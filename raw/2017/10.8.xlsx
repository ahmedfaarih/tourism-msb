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56" firstSheet="1" activeTab="1"/>
  </bookViews>
  <sheets>
    <sheet name="10.1 figures workings" sheetId="44" state="hidden" r:id="rId1"/>
    <sheet name="10.8" sheetId="41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'10.8'!$A$1:$L$63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J6" i="41" l="1"/>
  <c r="J7" i="41"/>
  <c r="J8" i="41"/>
  <c r="J9" i="41"/>
  <c r="J10" i="41"/>
  <c r="J11" i="41"/>
  <c r="J12" i="41"/>
  <c r="J13" i="41"/>
  <c r="J14" i="41"/>
  <c r="J15" i="41"/>
  <c r="J16" i="41"/>
  <c r="J17" i="41"/>
  <c r="J18" i="41"/>
  <c r="J19" i="41"/>
  <c r="J20" i="41"/>
  <c r="J21" i="41"/>
  <c r="J22" i="41"/>
  <c r="J23" i="41"/>
  <c r="J5" i="41"/>
  <c r="I5" i="41" l="1"/>
  <c r="H5" i="41" l="1"/>
  <c r="G5" i="41"/>
  <c r="F5" i="41"/>
  <c r="E5" i="41"/>
  <c r="D5" i="41"/>
  <c r="C5" i="41"/>
  <c r="B5" i="41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<sst xmlns="http://schemas.openxmlformats.org/spreadsheetml/2006/main" count="144" uniqueCount="137">
  <si>
    <t>Resorts</t>
  </si>
  <si>
    <t xml:space="preserve">% Share 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</si>
  <si>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</si>
  <si>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</si>
  <si>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</si>
  <si>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</si>
  <si>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</si>
  <si>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</si>
  <si>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</si>
  <si>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</si>
  <si>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</si>
  <si>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(D)</t>
  </si>
  <si>
    <t>2008</t>
  </si>
  <si>
    <t>Addu Atoll (S)</t>
  </si>
  <si>
    <t>North Thiladhunmathi Atoll (HA)</t>
  </si>
  <si>
    <t>South Miladhunmadulu Atoll (N)</t>
  </si>
  <si>
    <t>udwdwA egcnirevurutwf</t>
  </si>
  <si>
    <t>Sh</t>
  </si>
  <si>
    <t>N</t>
  </si>
  <si>
    <t>R</t>
  </si>
  <si>
    <t>Lh</t>
  </si>
  <si>
    <t>K</t>
  </si>
  <si>
    <t>L</t>
  </si>
  <si>
    <t>M</t>
  </si>
  <si>
    <t>S</t>
  </si>
  <si>
    <t>B</t>
  </si>
  <si>
    <t>2009</t>
  </si>
  <si>
    <t>North Huvadhu Atoll (GA)</t>
  </si>
  <si>
    <t>V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</si>
  <si>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</si>
  <si>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</si>
  <si>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</si>
  <si>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</si>
  <si>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</si>
  <si>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</si>
  <si>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</si>
  <si>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</si>
  <si>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</si>
  <si>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</si>
  <si>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</si>
  <si>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</si>
  <si>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</si>
  <si>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</si>
  <si>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</si>
  <si>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</si>
  <si>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</si>
  <si>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</si>
  <si>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</si>
  <si>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</si>
  <si>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</si>
  <si>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</si>
  <si>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</si>
  <si>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</si>
  <si>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</si>
  <si>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</si>
  <si>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</si>
  <si>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</si>
  <si>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</si>
  <si>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</si>
  <si>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</si>
  <si>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</si>
  <si>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</si>
  <si>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</si>
  <si>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</si>
  <si>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</si>
  <si>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</si>
  <si>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</si>
  <si>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</si>
  <si>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</si>
  <si>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</si>
  <si>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</si>
  <si>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</si>
  <si>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</si>
  <si>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</si>
  <si>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</si>
  <si>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</si>
  <si>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</si>
  <si>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</si>
  <si>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</si>
  <si>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</si>
  <si>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</si>
  <si>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</si>
  <si>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</si>
  <si>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</si>
  <si>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2010</t>
  </si>
  <si>
    <t>No. of Tourists</t>
  </si>
  <si>
    <t>% change over previous year</t>
  </si>
  <si>
    <t>މާޅޮސްމަޑުލު އުތުރުބުރި (ރ)</t>
  </si>
  <si>
    <t>މާޅޮސްމަޑުލު ދެކުނުބުރި (ބ)</t>
  </si>
  <si>
    <t>ފާދިއްޕޮޅު (ޅ)</t>
  </si>
  <si>
    <t>މާލެ އަތޮޅު (ކ)</t>
  </si>
  <si>
    <t>އަރިއަތޮޅު ދެކުނުބުރި (އދ)</t>
  </si>
  <si>
    <t>ފެލިދެ އަތޮޅު (ވ)</t>
  </si>
  <si>
    <t>އަތޮޅުތައް</t>
  </si>
  <si>
    <t>މުލަކަތޮޅު (މ)</t>
  </si>
  <si>
    <t>ނިލަންދެ އަތޮޅު އުތުރުބުރި (ފ)</t>
  </si>
  <si>
    <t>ނިލަންދެ އަތޮޅު ދެކުނުބުރި (ދ)</t>
  </si>
  <si>
    <t>ތިލަދުންމަތި އުތުރުބުރި (ހއ)</t>
  </si>
  <si>
    <t>އައްޑު އަތޮޅު (ސ)</t>
  </si>
  <si>
    <t>މިލަދުންމަޑޫލު ދެކުނުބުރި (ނ)</t>
  </si>
  <si>
    <t>ހުވަދު އަތޮޅު އުތުރުބުރި (ގއ)</t>
  </si>
  <si>
    <t>އަރިއަތޮޅު އުތުރުބުރި (އއ)</t>
  </si>
  <si>
    <t>2011</t>
  </si>
  <si>
    <t>South Huvadhu Atoll (GDh)</t>
  </si>
  <si>
    <t>Laamu Atoll (L)</t>
  </si>
  <si>
    <t>އިތުރުވި މިންވަރު</t>
  </si>
  <si>
    <t>ހައްދުންމަތި (ލ)</t>
  </si>
  <si>
    <t>ހުވަދު އަތޮޅު ދެކުނުބުރި (ގދ)</t>
  </si>
  <si>
    <t>2012</t>
  </si>
  <si>
    <t>2012 - 2008 ,udwdwA egcnirevurutwf iawaejcaWr cnutogegukwtumuawq : 10.1 ulwvWt</t>
  </si>
  <si>
    <t>Table 10.1 :   FLOW OF TOURISTS BY NATIONALITY, 2008 -  2012</t>
  </si>
  <si>
    <t>North Miladhunmadulu Atoll (Sh)</t>
  </si>
  <si>
    <t>މިލަދުންމަޑޫލު އުތުރުބުރި (ށ)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</si>
  <si>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</si>
  <si>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</si>
  <si>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</si>
  <si>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</si>
  <si>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</si>
  <si>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All Resorts ( include marinas)</t>
  </si>
  <si>
    <t>HA</t>
  </si>
  <si>
    <t>AA</t>
  </si>
  <si>
    <t>F</t>
  </si>
  <si>
    <t>D</t>
  </si>
  <si>
    <t>GA</t>
  </si>
  <si>
    <t>GDh</t>
  </si>
  <si>
    <t>ADh</t>
  </si>
  <si>
    <t>Source: Ministry of Tourism</t>
  </si>
  <si>
    <t>cmwzirUT cfoa  IrcTcsinim :ctWrwf ivcaed utWmUluAwm</t>
  </si>
  <si>
    <t>Thaa Atoll (Th)</t>
  </si>
  <si>
    <t>ކޮޅުމަޑުލު (ތ)</t>
  </si>
  <si>
    <t>Th</t>
  </si>
  <si>
    <t xml:space="preserve">Note: * 2010 , 2013,  2014 figures are revised </t>
  </si>
  <si>
    <t xml:space="preserve">ނޯޓް: 2010، 2013 އަދި 2014 ގެ މައުލޫމާތު އިސްލާޙްކުރެވިފައި </t>
  </si>
  <si>
    <t>Bed Capacity</t>
  </si>
  <si>
    <t>in 2016</t>
  </si>
  <si>
    <t>ތާވަލު 10.8: ރިސޯޓުތަކުގެ އެނދުގެ ޖާގަ އަތޮޅުތަކަށް ބެހިފައިވާ ގޮތް، 2012 - 2016</t>
  </si>
  <si>
    <t>Table 10.8 :   BED CAPACITY OF TOURIST RESORTS BY ATOLL, 2012 - 2016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</si>
</sst>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Randhoo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dotted">
        <color theme="1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1" fillId="0" borderId="1" applyNumberFormat="0"/>
    <xf numFmtId="0" fontId="2" fillId="0" borderId="0"/>
    <xf numFmtId="0" fontId="14" fillId="0" borderId="0"/>
    <xf numFmtId="0" fontId="12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35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8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20" fillId="2" borderId="0" xfId="0" applyFont="1" applyFill="1"/>
    <xf numFmtId="0" fontId="21" fillId="2" borderId="0" xfId="0" applyFont="1" applyFill="1" applyBorder="1" applyAlignment="1">
      <alignment horizontal="right" vertical="center"/>
    </xf>
    <xf numFmtId="0" fontId="22" fillId="2" borderId="18" xfId="4" applyFont="1" applyFill="1" applyBorder="1" applyAlignment="1">
      <alignment horizontal="center" vertical="center"/>
    </xf>
    <xf numFmtId="0" fontId="19" fillId="2" borderId="18" xfId="4" applyFont="1" applyFill="1" applyBorder="1" applyAlignment="1">
      <alignment horizontal="right"/>
    </xf>
    <xf numFmtId="1" fontId="22" fillId="2" borderId="19" xfId="4" applyNumberFormat="1" applyFont="1" applyFill="1" applyBorder="1" applyAlignment="1">
      <alignment vertical="center"/>
    </xf>
    <xf numFmtId="1" fontId="22" fillId="2" borderId="19" xfId="4" applyNumberFormat="1" applyFont="1" applyFill="1" applyBorder="1" applyAlignment="1">
      <alignment horizontal="right" vertical="center"/>
    </xf>
    <xf numFmtId="0" fontId="23" fillId="2" borderId="20" xfId="4" applyFont="1" applyFill="1" applyBorder="1" applyAlignment="1" applyProtection="1">
      <alignment horizontal="right" vertical="center"/>
    </xf>
    <xf numFmtId="0" fontId="22" fillId="2" borderId="17" xfId="4" applyFont="1" applyFill="1" applyBorder="1" applyAlignment="1" applyProtection="1">
      <alignment horizontal="left" vertical="center"/>
    </xf>
    <xf numFmtId="3" fontId="22" fillId="2" borderId="17" xfId="4" applyNumberFormat="1" applyFont="1" applyFill="1" applyBorder="1" applyAlignment="1">
      <alignment horizontal="right" vertical="center"/>
    </xf>
    <xf numFmtId="0" fontId="23" fillId="2" borderId="17" xfId="4" applyFont="1" applyFill="1" applyBorder="1" applyAlignment="1" applyProtection="1">
      <alignment horizontal="right" vertical="center"/>
    </xf>
    <xf numFmtId="3" fontId="19" fillId="2" borderId="15" xfId="4" applyNumberFormat="1" applyFont="1" applyFill="1" applyBorder="1" applyAlignment="1">
      <alignment horizontal="right" vertical="center"/>
    </xf>
    <xf numFmtId="0" fontId="24" fillId="2" borderId="15" xfId="4" applyFont="1" applyFill="1" applyBorder="1" applyAlignment="1">
      <alignment horizontal="right" vertical="center"/>
    </xf>
    <xf numFmtId="0" fontId="24" fillId="2" borderId="15" xfId="4" applyFont="1" applyFill="1" applyBorder="1" applyAlignment="1" applyProtection="1">
      <alignment horizontal="right" vertical="center"/>
    </xf>
    <xf numFmtId="0" fontId="19" fillId="2" borderId="15" xfId="4" applyFont="1" applyFill="1" applyBorder="1" applyAlignment="1" applyProtection="1">
      <alignment horizontal="left" vertical="center"/>
    </xf>
    <xf numFmtId="3" fontId="19" fillId="2" borderId="15" xfId="4" applyNumberFormat="1" applyFont="1" applyFill="1" applyBorder="1" applyAlignment="1" applyProtection="1">
      <alignment horizontal="right" vertical="center"/>
      <protection locked="0"/>
    </xf>
    <xf numFmtId="3" fontId="19" fillId="2" borderId="16" xfId="4" applyNumberFormat="1" applyFont="1" applyFill="1" applyBorder="1" applyAlignment="1">
      <alignment horizontal="right" vertical="center"/>
    </xf>
    <xf numFmtId="0" fontId="24" fillId="2" borderId="16" xfId="4" applyFont="1" applyFill="1" applyBorder="1" applyAlignment="1" applyProtection="1">
      <alignment horizontal="right" vertical="center"/>
    </xf>
    <xf numFmtId="3" fontId="19" fillId="2" borderId="0" xfId="4" applyNumberFormat="1" applyFont="1" applyFill="1" applyBorder="1" applyAlignment="1">
      <alignment horizontal="right" vertical="center"/>
    </xf>
    <xf numFmtId="0" fontId="24" fillId="2" borderId="0" xfId="4" applyFont="1" applyFill="1" applyBorder="1" applyAlignment="1" applyProtection="1">
      <alignment horizontal="right" vertical="center"/>
    </xf>
    <xf numFmtId="3" fontId="19" fillId="2" borderId="17" xfId="4" applyNumberFormat="1" applyFont="1" applyFill="1" applyBorder="1" applyAlignment="1">
      <alignment horizontal="right" vertical="center"/>
    </xf>
    <xf numFmtId="0" fontId="24" fillId="2" borderId="17" xfId="4" applyFont="1" applyFill="1" applyBorder="1" applyAlignment="1" applyProtection="1">
      <alignment horizontal="right" vertical="center"/>
    </xf>
    <xf numFmtId="3" fontId="19" fillId="2" borderId="20" xfId="4" applyNumberFormat="1" applyFont="1" applyFill="1" applyBorder="1" applyAlignment="1">
      <alignment horizontal="right" vertical="center"/>
    </xf>
    <xf numFmtId="0" fontId="24" fillId="2" borderId="20" xfId="4" applyFont="1" applyFill="1" applyBorder="1" applyAlignment="1">
      <alignment horizontal="right" vertical="center"/>
    </xf>
    <xf numFmtId="0" fontId="25" fillId="2" borderId="15" xfId="4" applyFont="1" applyFill="1" applyBorder="1"/>
    <xf numFmtId="0" fontId="26" fillId="2" borderId="15" xfId="4" applyFont="1" applyFill="1" applyBorder="1" applyAlignment="1" applyProtection="1">
      <alignment horizontal="left" vertical="center"/>
    </xf>
    <xf numFmtId="3" fontId="25" fillId="2" borderId="15" xfId="4" applyNumberFormat="1" applyFont="1" applyFill="1" applyBorder="1"/>
    <xf numFmtId="3" fontId="19" fillId="2" borderId="0" xfId="4" applyNumberFormat="1" applyFont="1" applyFill="1" applyBorder="1" applyAlignment="1" applyProtection="1">
      <alignment horizontal="right" vertical="center"/>
      <protection locked="0"/>
    </xf>
    <xf numFmtId="0" fontId="4" fillId="2" borderId="0" xfId="0" applyFont="1" applyFill="1" applyBorder="1" applyAlignment="1" applyProtection="1">
      <alignment horizontal="center" vertical="center"/>
    </xf>
    <xf numFmtId="0" fontId="27" fillId="2" borderId="15" xfId="4" applyFont="1" applyFill="1" applyBorder="1" applyAlignment="1" applyProtection="1">
      <alignment horizontal="left" vertical="center"/>
    </xf>
    <xf numFmtId="0" fontId="28" fillId="2" borderId="15" xfId="4" applyFont="1" applyFill="1" applyBorder="1"/>
    <xf numFmtId="0" fontId="25" fillId="2" borderId="0" xfId="0" applyFont="1" applyFill="1"/>
    <xf numFmtId="0" fontId="19" fillId="2" borderId="15" xfId="4" applyFont="1" applyFill="1" applyBorder="1" applyAlignment="1">
      <alignment horizontal="left" vertical="center"/>
    </xf>
    <xf numFmtId="0" fontId="19" fillId="2" borderId="16" xfId="4" applyFont="1" applyFill="1" applyBorder="1" applyAlignment="1">
      <alignment horizontal="left" vertical="center"/>
    </xf>
    <xf numFmtId="0" fontId="19" fillId="2" borderId="0" xfId="4" applyFont="1" applyFill="1" applyBorder="1" applyAlignment="1">
      <alignment horizontal="left" vertical="center"/>
    </xf>
    <xf numFmtId="0" fontId="19" fillId="2" borderId="17" xfId="4" applyFont="1" applyFill="1" applyBorder="1" applyAlignment="1">
      <alignment horizontal="left" vertical="center"/>
    </xf>
    <xf numFmtId="0" fontId="19" fillId="2" borderId="20" xfId="4" applyFont="1" applyFill="1" applyBorder="1" applyAlignment="1">
      <alignment horizontal="left" vertical="center"/>
    </xf>
    <xf numFmtId="49" fontId="16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7" fillId="4" borderId="8" xfId="2" applyNumberFormat="1" applyFont="1" applyFill="1" applyBorder="1" applyAlignment="1" applyProtection="1">
      <alignment horizontal="left" vertical="center"/>
    </xf>
    <xf numFmtId="170" fontId="17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17" fillId="4" borderId="0" xfId="2" applyNumberFormat="1" applyFont="1" applyFill="1" applyBorder="1" applyAlignment="1">
      <alignment vertical="center"/>
    </xf>
    <xf numFmtId="170" fontId="17" fillId="4" borderId="7" xfId="2" applyNumberFormat="1" applyFont="1" applyFill="1" applyBorder="1" applyAlignment="1">
      <alignment vertical="center"/>
    </xf>
    <xf numFmtId="0" fontId="16" fillId="2" borderId="4" xfId="0" applyFont="1" applyFill="1" applyBorder="1" applyAlignment="1" applyProtection="1">
      <alignment horizontal="right" vertical="center"/>
    </xf>
    <xf numFmtId="0" fontId="16" fillId="3" borderId="6" xfId="0" applyFont="1" applyFill="1" applyBorder="1" applyAlignment="1" applyProtection="1">
      <alignment horizontal="right" vertical="center"/>
    </xf>
    <xf numFmtId="167" fontId="17" fillId="4" borderId="0" xfId="0" applyNumberFormat="1" applyFont="1" applyFill="1" applyBorder="1" applyAlignment="1">
      <alignment vertical="center"/>
    </xf>
    <xf numFmtId="167" fontId="15" fillId="4" borderId="0" xfId="0" applyNumberFormat="1" applyFont="1" applyFill="1" applyBorder="1" applyAlignment="1">
      <alignment vertical="center"/>
    </xf>
    <xf numFmtId="167" fontId="15" fillId="4" borderId="7" xfId="0" applyNumberFormat="1" applyFont="1" applyFill="1" applyBorder="1" applyAlignment="1">
      <alignment vertical="center"/>
    </xf>
    <xf numFmtId="169" fontId="17" fillId="2" borderId="8" xfId="2" applyNumberFormat="1" applyFont="1" applyFill="1" applyBorder="1" applyAlignment="1" applyProtection="1">
      <alignment horizontal="left" vertical="center"/>
    </xf>
    <xf numFmtId="170" fontId="17" fillId="2" borderId="9" xfId="2" applyNumberFormat="1" applyFont="1" applyFill="1" applyBorder="1" applyAlignment="1">
      <alignment vertical="center"/>
    </xf>
    <xf numFmtId="170" fontId="17" fillId="2" borderId="0" xfId="2" applyNumberFormat="1" applyFont="1" applyFill="1" applyBorder="1" applyAlignment="1">
      <alignment vertical="center"/>
    </xf>
    <xf numFmtId="170" fontId="17" fillId="3" borderId="7" xfId="2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5" fillId="2" borderId="0" xfId="0" applyNumberFormat="1" applyFont="1" applyFill="1" applyBorder="1" applyAlignment="1">
      <alignment vertical="center"/>
    </xf>
    <xf numFmtId="167" fontId="15" fillId="3" borderId="7" xfId="0" applyNumberFormat="1" applyFont="1" applyFill="1" applyBorder="1" applyAlignment="1">
      <alignment vertical="center"/>
    </xf>
    <xf numFmtId="169" fontId="17" fillId="2" borderId="10" xfId="2" applyNumberFormat="1" applyFont="1" applyFill="1" applyBorder="1" applyAlignment="1" applyProtection="1">
      <alignment horizontal="left" vertical="center"/>
    </xf>
    <xf numFmtId="170" fontId="17" fillId="2" borderId="11" xfId="2" applyNumberFormat="1" applyFont="1" applyFill="1" applyBorder="1" applyAlignment="1">
      <alignment vertical="center"/>
    </xf>
    <xf numFmtId="170" fontId="17" fillId="2" borderId="2" xfId="2" applyNumberFormat="1" applyFont="1" applyFill="1" applyBorder="1" applyAlignment="1">
      <alignment vertical="center"/>
    </xf>
    <xf numFmtId="170" fontId="17" fillId="3" borderId="6" xfId="2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vertical="center"/>
    </xf>
    <xf numFmtId="167" fontId="15" fillId="3" borderId="6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37" fontId="20" fillId="2" borderId="0" xfId="0" applyNumberFormat="1" applyFont="1" applyFill="1" applyAlignment="1" applyProtection="1">
      <alignment horizontal="right" vertical="center"/>
    </xf>
    <xf numFmtId="0" fontId="26" fillId="2" borderId="17" xfId="4" applyFont="1" applyFill="1" applyBorder="1" applyAlignment="1" applyProtection="1">
      <alignment horizontal="left" vertical="center"/>
    </xf>
    <xf numFmtId="0" fontId="19" fillId="2" borderId="15" xfId="4" applyFont="1" applyFill="1" applyBorder="1" applyAlignment="1">
      <alignment vertical="center"/>
    </xf>
    <xf numFmtId="0" fontId="19" fillId="2" borderId="16" xfId="4" applyFont="1" applyFill="1" applyBorder="1" applyAlignment="1">
      <alignment vertical="center"/>
    </xf>
    <xf numFmtId="0" fontId="19" fillId="2" borderId="0" xfId="4" applyFont="1" applyFill="1" applyBorder="1" applyAlignment="1">
      <alignment vertical="center"/>
    </xf>
    <xf numFmtId="0" fontId="19" fillId="2" borderId="17" xfId="4" applyFont="1" applyFill="1" applyBorder="1" applyAlignment="1">
      <alignment vertical="center"/>
    </xf>
    <xf numFmtId="0" fontId="19" fillId="2" borderId="20" xfId="4" applyFont="1" applyFill="1" applyBorder="1" applyAlignment="1">
      <alignment vertical="center"/>
    </xf>
    <xf numFmtId="0" fontId="25" fillId="2" borderId="24" xfId="4" applyFont="1" applyFill="1" applyBorder="1"/>
    <xf numFmtId="1" fontId="25" fillId="2" borderId="24" xfId="4" applyNumberFormat="1" applyFont="1" applyFill="1" applyBorder="1"/>
    <xf numFmtId="0" fontId="25" fillId="2" borderId="16" xfId="4" applyFont="1" applyFill="1" applyBorder="1"/>
    <xf numFmtId="0" fontId="25" fillId="2" borderId="0" xfId="4" applyFont="1" applyFill="1" applyBorder="1"/>
    <xf numFmtId="0" fontId="19" fillId="2" borderId="0" xfId="4" applyFont="1" applyFill="1" applyBorder="1" applyAlignment="1" applyProtection="1">
      <alignment horizontal="left" vertical="center"/>
    </xf>
    <xf numFmtId="0" fontId="25" fillId="2" borderId="22" xfId="4" applyFont="1" applyFill="1" applyBorder="1"/>
    <xf numFmtId="0" fontId="25" fillId="2" borderId="15" xfId="4" applyFont="1" applyFill="1" applyBorder="1" applyAlignment="1">
      <alignment vertical="center"/>
    </xf>
    <xf numFmtId="0" fontId="25" fillId="2" borderId="22" xfId="4" applyFont="1" applyFill="1" applyBorder="1" applyAlignment="1">
      <alignment vertical="center"/>
    </xf>
    <xf numFmtId="0" fontId="25" fillId="2" borderId="0" xfId="4" applyFont="1" applyFill="1" applyBorder="1" applyAlignment="1">
      <alignment vertical="center"/>
    </xf>
    <xf numFmtId="3" fontId="25" fillId="2" borderId="0" xfId="4" applyNumberFormat="1" applyFont="1" applyFill="1" applyBorder="1" applyAlignment="1">
      <alignment vertical="center"/>
    </xf>
    <xf numFmtId="0" fontId="20" fillId="2" borderId="15" xfId="4" applyFont="1" applyFill="1" applyBorder="1" applyAlignment="1">
      <alignment vertical="center"/>
    </xf>
    <xf numFmtId="0" fontId="20" fillId="2" borderId="22" xfId="4" applyFont="1" applyFill="1" applyBorder="1" applyAlignment="1">
      <alignment vertical="center"/>
    </xf>
    <xf numFmtId="0" fontId="20" fillId="2" borderId="0" xfId="4" applyFont="1" applyFill="1" applyBorder="1" applyAlignment="1">
      <alignment vertical="center"/>
    </xf>
    <xf numFmtId="0" fontId="25" fillId="2" borderId="16" xfId="4" applyFont="1" applyFill="1" applyBorder="1" applyAlignment="1">
      <alignment vertical="center"/>
    </xf>
    <xf numFmtId="0" fontId="25" fillId="2" borderId="27" xfId="4" applyFont="1" applyFill="1" applyBorder="1" applyAlignment="1">
      <alignment vertical="center"/>
    </xf>
    <xf numFmtId="0" fontId="25" fillId="2" borderId="17" xfId="4" applyFont="1" applyFill="1" applyBorder="1" applyAlignment="1">
      <alignment vertical="center"/>
    </xf>
    <xf numFmtId="0" fontId="25" fillId="2" borderId="28" xfId="4" applyFont="1" applyFill="1" applyBorder="1" applyAlignment="1">
      <alignment vertical="center"/>
    </xf>
    <xf numFmtId="0" fontId="31" fillId="2" borderId="0" xfId="0" applyFont="1" applyFill="1"/>
    <xf numFmtId="169" fontId="25" fillId="2" borderId="0" xfId="2" applyNumberFormat="1" applyFont="1" applyFill="1"/>
    <xf numFmtId="3" fontId="31" fillId="2" borderId="0" xfId="0" applyNumberFormat="1" applyFont="1" applyFill="1" applyBorder="1"/>
    <xf numFmtId="0" fontId="28" fillId="2" borderId="0" xfId="0" applyFont="1" applyFill="1" applyAlignment="1" applyProtection="1">
      <alignment horizontal="left" vertical="center"/>
    </xf>
    <xf numFmtId="3" fontId="20" fillId="2" borderId="0" xfId="4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22" fillId="2" borderId="20" xfId="4" applyFont="1" applyFill="1" applyBorder="1" applyAlignment="1">
      <alignment horizontal="center" vertical="center"/>
    </xf>
    <xf numFmtId="3" fontId="22" fillId="2" borderId="17" xfId="4" applyNumberFormat="1" applyFont="1" applyFill="1" applyBorder="1" applyAlignment="1">
      <alignment horizontal="center" vertical="center"/>
    </xf>
    <xf numFmtId="3" fontId="19" fillId="2" borderId="15" xfId="4" applyNumberFormat="1" applyFont="1" applyFill="1" applyBorder="1" applyAlignment="1">
      <alignment horizontal="center" vertical="center"/>
    </xf>
    <xf numFmtId="0" fontId="22" fillId="2" borderId="5" xfId="4" applyFont="1" applyFill="1" applyBorder="1" applyAlignment="1">
      <alignment vertical="center" wrapText="1"/>
    </xf>
    <xf numFmtId="3" fontId="19" fillId="2" borderId="17" xfId="4" applyNumberFormat="1" applyFont="1" applyFill="1" applyBorder="1" applyAlignment="1">
      <alignment horizontal="center" vertical="center"/>
    </xf>
    <xf numFmtId="3" fontId="19" fillId="2" borderId="19" xfId="4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5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9" fillId="2" borderId="1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30" fillId="2" borderId="16" xfId="4" applyFont="1" applyFill="1" applyBorder="1" applyAlignment="1" applyProtection="1">
      <alignment horizontal="center" vertical="center" wrapText="1"/>
    </xf>
    <xf numFmtId="0" fontId="22" fillId="2" borderId="21" xfId="4" applyFont="1" applyFill="1" applyBorder="1" applyAlignment="1" applyProtection="1">
      <alignment horizontal="center" vertical="center"/>
    </xf>
    <xf numFmtId="0" fontId="22" fillId="2" borderId="19" xfId="4" applyFont="1" applyFill="1" applyBorder="1" applyAlignment="1" applyProtection="1">
      <alignment horizontal="center" vertical="center"/>
    </xf>
    <xf numFmtId="0" fontId="29" fillId="2" borderId="22" xfId="4" applyFont="1" applyFill="1" applyBorder="1" applyAlignment="1">
      <alignment horizontal="center"/>
    </xf>
    <xf numFmtId="0" fontId="29" fillId="2" borderId="23" xfId="4" applyFont="1" applyFill="1" applyBorder="1" applyAlignment="1">
      <alignment horizontal="center"/>
    </xf>
    <xf numFmtId="0" fontId="29" fillId="2" borderId="24" xfId="4" applyFont="1" applyFill="1" applyBorder="1" applyAlignment="1">
      <alignment horizontal="center"/>
    </xf>
    <xf numFmtId="0" fontId="22" fillId="2" borderId="29" xfId="4" applyFont="1" applyFill="1" applyBorder="1" applyAlignment="1">
      <alignment horizontal="center" vertical="center" wrapText="1"/>
    </xf>
    <xf numFmtId="0" fontId="22" fillId="2" borderId="25" xfId="4" applyFont="1" applyFill="1" applyBorder="1" applyAlignment="1">
      <alignment horizontal="center" vertical="center" wrapText="1"/>
    </xf>
    <xf numFmtId="0" fontId="22" fillId="2" borderId="26" xfId="4" applyFont="1" applyFill="1" applyBorder="1" applyAlignment="1">
      <alignment horizontal="center" vertical="center" wrapText="1"/>
    </xf>
    <xf numFmtId="0" fontId="32" fillId="2" borderId="22" xfId="4" applyFont="1" applyFill="1" applyBorder="1" applyAlignment="1">
      <alignment horizontal="center"/>
    </xf>
    <xf numFmtId="0" fontId="32" fillId="2" borderId="23" xfId="4" applyFont="1" applyFill="1" applyBorder="1" applyAlignment="1">
      <alignment horizontal="center"/>
    </xf>
    <xf numFmtId="0" fontId="32" fillId="2" borderId="24" xfId="4" applyFont="1" applyFill="1" applyBorder="1" applyAlignment="1">
      <alignment horizont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DEADB"/>
      <color rgb="FFFCD5BD"/>
      <color rgb="FFFFCC00"/>
      <color rgb="FFFBC9AB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576512"/>
        <c:axId val="104578432"/>
      </c:barChart>
      <c:catAx>
        <c:axId val="10457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578432"/>
        <c:crosses val="autoZero"/>
        <c:auto val="1"/>
        <c:lblAlgn val="ctr"/>
        <c:lblOffset val="100"/>
        <c:noMultiLvlLbl val="0"/>
      </c:catAx>
      <c:valAx>
        <c:axId val="104578432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04576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08768"/>
        <c:axId val="110610304"/>
      </c:barChart>
      <c:catAx>
        <c:axId val="11060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610304"/>
        <c:crosses val="autoZero"/>
        <c:auto val="1"/>
        <c:lblAlgn val="ctr"/>
        <c:lblOffset val="100"/>
        <c:noMultiLvlLbl val="0"/>
      </c:catAx>
      <c:valAx>
        <c:axId val="110610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0608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050">
                <a:latin typeface="Candara" pitchFamily="34" charset="0"/>
                <a:cs typeface="Consolas" pitchFamily="49" charset="0"/>
              </a:rPr>
              <a:t>Figure 10.12: Number of resorts by Atoll, 2016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462472525179492"/>
          <c:y val="0.15104465600336545"/>
          <c:w val="0.8706422847921651"/>
          <c:h val="0.69089778411844871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953735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Humanst521 Lt BT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'10.8'!$AG$26:$AG$43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f>'10.8'!$AI$26:$AI$43</c:f>
              <c:numCache>
                <c:formatCode>General</c:formatCode>
                <c:ptCount val="18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12</c:v>
                </c:pt>
                <c:pt idx="5">
                  <c:v>7</c:v>
                </c:pt>
                <c:pt idx="6">
                  <c:v>44</c:v>
                </c:pt>
                <c:pt idx="7">
                  <c:v>13</c:v>
                </c:pt>
                <c:pt idx="8">
                  <c:v>17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5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10585344"/>
        <c:axId val="110586880"/>
      </c:barChart>
      <c:catAx>
        <c:axId val="11058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10586880"/>
        <c:crosses val="autoZero"/>
        <c:auto val="1"/>
        <c:lblAlgn val="ctr"/>
        <c:lblOffset val="100"/>
        <c:noMultiLvlLbl val="0"/>
      </c:catAx>
      <c:valAx>
        <c:axId val="110586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7213056972832878E-3"/>
              <c:y val="0.342565616797900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10585344"/>
        <c:crosses val="autoZero"/>
        <c:crossBetween val="between"/>
      </c:valAx>
      <c:spPr>
        <a:solidFill>
          <a:srgbClr val="FCE0C8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050" b="1" i="0" baseline="0">
                <a:latin typeface="Candara" pitchFamily="34" charset="0"/>
                <a:cs typeface="Consolas" pitchFamily="49" charset="0"/>
              </a:rPr>
              <a:t>Figure 10.13: Number of beds of tourist resorts by Atolls, 2016  </a:t>
            </a:r>
            <a:endParaRPr lang="en-US" sz="1050">
              <a:latin typeface="Candara" pitchFamily="34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4900702165334454"/>
          <c:y val="2.4751239428404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7392297867033"/>
          <c:y val="0.1600313294171562"/>
          <c:w val="0.83663217717620009"/>
          <c:h val="0.674019947506563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53735"/>
            </a:solidFill>
          </c:spPr>
          <c:invertIfNegative val="0"/>
          <c:dLbls>
            <c:dLbl>
              <c:idx val="6"/>
              <c:layout>
                <c:manualLayout>
                  <c:x val="0"/>
                  <c:y val="1.8885741265344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Humanst521 Lt BT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'10.8'!$AG$26:$AG$43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f>'10.8'!$AH$26:$AH$43</c:f>
              <c:numCache>
                <c:formatCode>_(* #,##0_);_(* \(#,##0\);_(* "-"??_);_(@_)</c:formatCode>
                <c:ptCount val="18"/>
                <c:pt idx="0">
                  <c:v>464</c:v>
                </c:pt>
                <c:pt idx="1">
                  <c:v>159</c:v>
                </c:pt>
                <c:pt idx="2">
                  <c:v>832</c:v>
                </c:pt>
                <c:pt idx="3">
                  <c:v>810</c:v>
                </c:pt>
                <c:pt idx="4">
                  <c:v>2204</c:v>
                </c:pt>
                <c:pt idx="5">
                  <c:v>2138</c:v>
                </c:pt>
                <c:pt idx="6">
                  <c:v>9506</c:v>
                </c:pt>
                <c:pt idx="7">
                  <c:v>2454</c:v>
                </c:pt>
                <c:pt idx="8">
                  <c:v>3982</c:v>
                </c:pt>
                <c:pt idx="9">
                  <c:v>434</c:v>
                </c:pt>
                <c:pt idx="10">
                  <c:v>400</c:v>
                </c:pt>
                <c:pt idx="11">
                  <c:v>250</c:v>
                </c:pt>
                <c:pt idx="12">
                  <c:v>962</c:v>
                </c:pt>
                <c:pt idx="13">
                  <c:v>152</c:v>
                </c:pt>
                <c:pt idx="14">
                  <c:v>194</c:v>
                </c:pt>
                <c:pt idx="15">
                  <c:v>616</c:v>
                </c:pt>
                <c:pt idx="16">
                  <c:v>550</c:v>
                </c:pt>
                <c:pt idx="17">
                  <c:v>826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110615936"/>
        <c:axId val="110634112"/>
      </c:barChart>
      <c:catAx>
        <c:axId val="11061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0634112"/>
        <c:crosses val="autoZero"/>
        <c:auto val="1"/>
        <c:lblAlgn val="ctr"/>
        <c:lblOffset val="100"/>
        <c:noMultiLvlLbl val="0"/>
      </c:catAx>
      <c:valAx>
        <c:axId val="110634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10615936"/>
        <c:crosses val="autoZero"/>
        <c:crossBetween val="between"/>
      </c:valAx>
      <c:spPr>
        <a:solidFill>
          <a:srgbClr val="FCE0C8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25</xdr:row>
      <xdr:rowOff>76200</xdr:rowOff>
    </xdr:from>
    <xdr:to>
      <xdr:col>10</xdr:col>
      <xdr:colOff>790575</xdr:colOff>
      <xdr:row>41</xdr:row>
      <xdr:rowOff>76200</xdr:rowOff>
    </xdr:to>
    <xdr:graphicFrame macro="">
      <xdr:nvGraphicFramePr>
        <xdr:cNvPr id="231641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866775</xdr:colOff>
      <xdr:row>42</xdr:row>
      <xdr:rowOff>95249</xdr:rowOff>
    </xdr:from>
    <xdr:to>
      <xdr:col>10</xdr:col>
      <xdr:colOff>771525</xdr:colOff>
      <xdr:row>61</xdr:row>
      <xdr:rowOff>19049</xdr:rowOff>
    </xdr:to>
    <xdr:graphicFrame macro="">
      <xdr:nvGraphicFramePr>
        <xdr:cNvPr id="23164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373380</xdr:colOff>
      <xdr:row>43</xdr:row>
      <xdr:rowOff>99060</xdr:rowOff>
    </xdr:from>
    <xdr:to>
      <xdr:col>5</xdr:col>
      <xdr:colOff>144780</xdr:colOff>
      <xdr:row>44</xdr:row>
      <xdr:rowOff>15240</xdr:rowOff>
    </xdr:to>
    <xdr:sp macro="" textlink="">
      <xdr:nvSpPr>
        <xdr:cNvPr id="5" name="Left Arrow 4"/>
        <xdr:cNvSpPr/>
      </xdr:nvSpPr>
      <xdr:spPr bwMode="auto">
        <a:xfrm>
          <a:off x="3489960" y="9174480"/>
          <a:ext cx="960120" cy="83820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575266</xdr:colOff>
      <xdr:row>26</xdr:row>
      <xdr:rowOff>40979</xdr:rowOff>
    </xdr:from>
    <xdr:to>
      <xdr:col>9</xdr:col>
      <xdr:colOff>381000</xdr:colOff>
      <xdr:row>26</xdr:row>
      <xdr:rowOff>40979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2451691" y="6156029"/>
          <a:ext cx="2710859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4</xdr:col>
      <xdr:colOff>352426</xdr:colOff>
      <xdr:row>44</xdr:row>
      <xdr:rowOff>57150</xdr:rowOff>
    </xdr:from>
    <xdr:to>
      <xdr:col>9</xdr:col>
      <xdr:colOff>1066801</xdr:colOff>
      <xdr:row>44</xdr:row>
      <xdr:rowOff>57150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228851" y="9086850"/>
          <a:ext cx="36195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07" t="s">
        <v>109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M1" s="2" t="s">
        <v>12</v>
      </c>
      <c r="N1" s="2" t="s">
        <v>26</v>
      </c>
      <c r="O1" s="2" t="s">
        <v>84</v>
      </c>
      <c r="P1" s="2" t="s">
        <v>102</v>
      </c>
      <c r="Q1" s="43" t="s">
        <v>108</v>
      </c>
      <c r="S1" s="44">
        <f>Q2/M2</f>
        <v>5.5298836452988356</v>
      </c>
      <c r="T1" s="45" t="s">
        <v>113</v>
      </c>
      <c r="U1" s="45"/>
    </row>
    <row r="2" spans="1:21" ht="9.75" customHeight="1">
      <c r="A2" s="108" t="s">
        <v>110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46" t="s">
        <v>56</v>
      </c>
      <c r="M2" s="47">
        <f>M4/1000</f>
        <v>41.511000000000003</v>
      </c>
      <c r="N2" s="47">
        <f>N4/1000</f>
        <v>60.665999999999997</v>
      </c>
      <c r="O2" s="47">
        <f>O4/1000</f>
        <v>118.961</v>
      </c>
      <c r="P2" s="47">
        <f>P4/1000</f>
        <v>198.655</v>
      </c>
      <c r="Q2" s="47">
        <f>Q4/1000</f>
        <v>229.55099999999999</v>
      </c>
      <c r="R2" s="48" t="s">
        <v>114</v>
      </c>
    </row>
    <row r="3" spans="1:21" ht="3.7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21" ht="21" customHeight="1">
      <c r="A4" s="109" t="s">
        <v>115</v>
      </c>
      <c r="B4" s="112" t="s">
        <v>16</v>
      </c>
      <c r="C4" s="113"/>
      <c r="D4" s="113"/>
      <c r="E4" s="113"/>
      <c r="F4" s="114"/>
      <c r="G4" s="115" t="s">
        <v>105</v>
      </c>
      <c r="H4" s="116"/>
      <c r="I4" s="116"/>
      <c r="J4" s="116"/>
      <c r="K4" s="117"/>
      <c r="L4" s="46" t="s">
        <v>56</v>
      </c>
      <c r="M4" s="47">
        <v>41511</v>
      </c>
      <c r="N4" s="47">
        <v>60666</v>
      </c>
      <c r="O4" s="49">
        <v>118961</v>
      </c>
      <c r="P4" s="49">
        <v>198655</v>
      </c>
      <c r="Q4" s="50">
        <v>229551</v>
      </c>
    </row>
    <row r="5" spans="1:21" ht="13.5" customHeight="1">
      <c r="A5" s="110"/>
      <c r="B5" s="118" t="s">
        <v>85</v>
      </c>
      <c r="C5" s="118"/>
      <c r="D5" s="118"/>
      <c r="E5" s="118"/>
      <c r="F5" s="119"/>
      <c r="G5" s="120" t="s">
        <v>86</v>
      </c>
      <c r="H5" s="121"/>
      <c r="I5" s="121"/>
      <c r="J5" s="121"/>
      <c r="K5" s="122"/>
    </row>
    <row r="6" spans="1:21" ht="15" customHeight="1">
      <c r="A6" s="111"/>
      <c r="B6" s="2" t="s">
        <v>12</v>
      </c>
      <c r="C6" s="2" t="s">
        <v>26</v>
      </c>
      <c r="D6" s="2" t="s">
        <v>84</v>
      </c>
      <c r="E6" s="2" t="s">
        <v>102</v>
      </c>
      <c r="F6" s="43" t="s">
        <v>108</v>
      </c>
      <c r="G6" s="51">
        <v>2008</v>
      </c>
      <c r="H6" s="3">
        <v>2009</v>
      </c>
      <c r="I6" s="3">
        <v>2010</v>
      </c>
      <c r="J6" s="3">
        <v>2011</v>
      </c>
      <c r="K6" s="52">
        <v>2012</v>
      </c>
    </row>
    <row r="7" spans="1:21" ht="12.75" customHeight="1">
      <c r="A7" s="46" t="s">
        <v>56</v>
      </c>
      <c r="B7" s="47">
        <v>41511</v>
      </c>
      <c r="C7" s="47">
        <v>60666</v>
      </c>
      <c r="D7" s="49">
        <v>118961</v>
      </c>
      <c r="E7" s="49">
        <v>198655</v>
      </c>
      <c r="F7" s="50">
        <v>229551</v>
      </c>
      <c r="G7" s="53">
        <v>15.385256837891928</v>
      </c>
      <c r="H7" s="53">
        <f t="shared" ref="H7:K38" si="0">(C7-B7)/B7*100</f>
        <v>46.144395461443956</v>
      </c>
      <c r="I7" s="54">
        <f t="shared" si="0"/>
        <v>96.091715293574651</v>
      </c>
      <c r="J7" s="54">
        <f t="shared" si="0"/>
        <v>66.991703163221558</v>
      </c>
      <c r="K7" s="55">
        <f t="shared" si="0"/>
        <v>15.552591175656289</v>
      </c>
    </row>
    <row r="8" spans="1:21" ht="12.75" customHeight="1">
      <c r="A8" s="46" t="s">
        <v>35</v>
      </c>
      <c r="B8" s="47">
        <v>69240</v>
      </c>
      <c r="C8" s="47">
        <v>69085</v>
      </c>
      <c r="D8" s="49">
        <v>77108</v>
      </c>
      <c r="E8" s="49">
        <v>90517</v>
      </c>
      <c r="F8" s="50">
        <v>98351</v>
      </c>
      <c r="G8" s="53">
        <v>-4.1912853367280576</v>
      </c>
      <c r="H8" s="53">
        <f t="shared" si="0"/>
        <v>-0.2238590410167533</v>
      </c>
      <c r="I8" s="54">
        <f t="shared" si="0"/>
        <v>11.613230078888325</v>
      </c>
      <c r="J8" s="54">
        <f t="shared" si="0"/>
        <v>17.389894693157647</v>
      </c>
      <c r="K8" s="55">
        <f t="shared" si="0"/>
        <v>8.654727841179005</v>
      </c>
    </row>
    <row r="9" spans="1:21" ht="12.75" customHeight="1">
      <c r="A9" s="46" t="s">
        <v>53</v>
      </c>
      <c r="B9" s="47">
        <v>116821</v>
      </c>
      <c r="C9" s="47">
        <v>105950</v>
      </c>
      <c r="D9" s="49">
        <v>114158</v>
      </c>
      <c r="E9" s="49">
        <v>104508</v>
      </c>
      <c r="F9" s="50">
        <v>91776</v>
      </c>
      <c r="G9" s="53">
        <v>-6.6611802681410701</v>
      </c>
      <c r="H9" s="53">
        <f t="shared" si="0"/>
        <v>-9.3056899016443957</v>
      </c>
      <c r="I9" s="54">
        <f t="shared" si="0"/>
        <v>7.7470504955167536</v>
      </c>
      <c r="J9" s="54">
        <f t="shared" si="0"/>
        <v>-8.4531964470295549</v>
      </c>
      <c r="K9" s="55">
        <f t="shared" si="0"/>
        <v>-12.182799402916524</v>
      </c>
    </row>
    <row r="10" spans="1:21" ht="12.75" customHeight="1">
      <c r="A10" s="46" t="s">
        <v>45</v>
      </c>
      <c r="B10" s="47">
        <v>48978</v>
      </c>
      <c r="C10" s="47">
        <v>40014</v>
      </c>
      <c r="D10" s="49">
        <v>49111</v>
      </c>
      <c r="E10" s="49">
        <v>63936</v>
      </c>
      <c r="F10" s="50">
        <v>66378</v>
      </c>
      <c r="G10" s="53">
        <v>53.801224682053693</v>
      </c>
      <c r="H10" s="53">
        <f t="shared" si="0"/>
        <v>-18.302094818081589</v>
      </c>
      <c r="I10" s="54">
        <f t="shared" si="0"/>
        <v>22.734542909981506</v>
      </c>
      <c r="J10" s="54">
        <f t="shared" si="0"/>
        <v>30.186719879456742</v>
      </c>
      <c r="K10" s="55">
        <f t="shared" si="0"/>
        <v>3.8194444444444446</v>
      </c>
    </row>
    <row r="11" spans="1:21" ht="12.75" customHeight="1">
      <c r="A11" s="46" t="s">
        <v>40</v>
      </c>
      <c r="B11" s="47">
        <v>103824</v>
      </c>
      <c r="C11" s="47">
        <v>89292</v>
      </c>
      <c r="D11" s="49">
        <v>89596</v>
      </c>
      <c r="E11" s="49">
        <v>83088</v>
      </c>
      <c r="F11" s="50">
        <v>62782</v>
      </c>
      <c r="G11" s="53">
        <v>-11.44772529553247</v>
      </c>
      <c r="H11" s="53">
        <f t="shared" si="0"/>
        <v>-13.996763754045308</v>
      </c>
      <c r="I11" s="54">
        <f t="shared" si="0"/>
        <v>0.34045603189535456</v>
      </c>
      <c r="J11" s="54">
        <f t="shared" si="0"/>
        <v>-7.2637171302290273</v>
      </c>
      <c r="K11" s="55">
        <f t="shared" si="0"/>
        <v>-24.439148854226843</v>
      </c>
    </row>
    <row r="12" spans="1:21" ht="12.75" customHeight="1">
      <c r="A12" s="46" t="s">
        <v>34</v>
      </c>
      <c r="B12" s="47">
        <v>48100</v>
      </c>
      <c r="C12" s="47">
        <v>50373</v>
      </c>
      <c r="D12" s="49">
        <v>54789</v>
      </c>
      <c r="E12" s="49">
        <v>59694</v>
      </c>
      <c r="F12" s="50">
        <v>56775</v>
      </c>
      <c r="G12" s="53">
        <v>6.1786715525043601</v>
      </c>
      <c r="H12" s="53">
        <f t="shared" si="0"/>
        <v>4.7255717255717258</v>
      </c>
      <c r="I12" s="54">
        <f t="shared" si="0"/>
        <v>8.766601155380858</v>
      </c>
      <c r="J12" s="54">
        <f t="shared" si="0"/>
        <v>8.9525269670919343</v>
      </c>
      <c r="K12" s="55">
        <f t="shared" si="0"/>
        <v>-4.889938687305257</v>
      </c>
    </row>
    <row r="13" spans="1:21" ht="12.75" customHeight="1">
      <c r="A13" s="46" t="s">
        <v>59</v>
      </c>
      <c r="B13" s="47">
        <v>38193</v>
      </c>
      <c r="C13" s="47">
        <v>36641</v>
      </c>
      <c r="D13" s="49">
        <v>38791</v>
      </c>
      <c r="E13" s="49">
        <v>35782</v>
      </c>
      <c r="F13" s="50">
        <v>36438</v>
      </c>
      <c r="G13" s="53">
        <v>-7.120449405413293</v>
      </c>
      <c r="H13" s="53">
        <f t="shared" si="0"/>
        <v>-4.063571858717566</v>
      </c>
      <c r="I13" s="54">
        <f t="shared" si="0"/>
        <v>5.8677437842853637</v>
      </c>
      <c r="J13" s="54">
        <f t="shared" si="0"/>
        <v>-7.7569539326132348</v>
      </c>
      <c r="K13" s="55">
        <f t="shared" si="0"/>
        <v>1.8333240176625119</v>
      </c>
    </row>
    <row r="14" spans="1:21" ht="12.75" customHeight="1">
      <c r="A14" s="46" t="s">
        <v>50</v>
      </c>
      <c r="B14" s="47">
        <v>26983</v>
      </c>
      <c r="C14" s="47">
        <v>26783</v>
      </c>
      <c r="D14" s="49">
        <v>27766</v>
      </c>
      <c r="E14" s="49">
        <v>32504</v>
      </c>
      <c r="F14" s="50">
        <v>35457</v>
      </c>
      <c r="G14" s="53">
        <v>3.0554176373983117</v>
      </c>
      <c r="H14" s="53">
        <f t="shared" si="0"/>
        <v>-0.74120742689841757</v>
      </c>
      <c r="I14" s="54">
        <f t="shared" si="0"/>
        <v>3.6702385841765301</v>
      </c>
      <c r="J14" s="54">
        <f t="shared" si="0"/>
        <v>17.064035150903983</v>
      </c>
      <c r="K14" s="55">
        <f t="shared" si="0"/>
        <v>9.0850356879153349</v>
      </c>
    </row>
    <row r="15" spans="1:21" ht="12.75" customHeight="1">
      <c r="A15" s="46" t="s">
        <v>57</v>
      </c>
      <c r="B15" s="47">
        <v>16663</v>
      </c>
      <c r="C15" s="47">
        <v>15850</v>
      </c>
      <c r="D15" s="49">
        <v>25756</v>
      </c>
      <c r="E15" s="49">
        <v>30978</v>
      </c>
      <c r="F15" s="50">
        <v>31721</v>
      </c>
      <c r="G15" s="53">
        <v>-3.832169446528539</v>
      </c>
      <c r="H15" s="53">
        <f t="shared" si="0"/>
        <v>-4.8790733961471524</v>
      </c>
      <c r="I15" s="54">
        <f t="shared" si="0"/>
        <v>62.498422712933753</v>
      </c>
      <c r="J15" s="54">
        <f t="shared" si="0"/>
        <v>20.274887404876534</v>
      </c>
      <c r="K15" s="55">
        <f t="shared" si="0"/>
        <v>2.3984763380463554</v>
      </c>
    </row>
    <row r="16" spans="1:21" ht="12.75" customHeight="1">
      <c r="A16" s="46" t="s">
        <v>60</v>
      </c>
      <c r="B16" s="47">
        <v>20934</v>
      </c>
      <c r="C16" s="47">
        <v>16135</v>
      </c>
      <c r="D16" s="49">
        <v>24808</v>
      </c>
      <c r="E16" s="49">
        <v>25285</v>
      </c>
      <c r="F16" s="50">
        <v>23933</v>
      </c>
      <c r="G16" s="53">
        <v>-0.20022883295194507</v>
      </c>
      <c r="H16" s="53">
        <f t="shared" si="0"/>
        <v>-22.92442915830706</v>
      </c>
      <c r="I16" s="54">
        <f t="shared" si="0"/>
        <v>53.752711496746208</v>
      </c>
      <c r="J16" s="54">
        <f t="shared" si="0"/>
        <v>1.9227668494034182</v>
      </c>
      <c r="K16" s="55">
        <f t="shared" si="0"/>
        <v>-5.3470437017994854</v>
      </c>
    </row>
    <row r="17" spans="1:15" ht="12.75" customHeight="1">
      <c r="A17" s="56" t="s">
        <v>54</v>
      </c>
      <c r="B17" s="57">
        <v>9482</v>
      </c>
      <c r="C17" s="57">
        <v>9476</v>
      </c>
      <c r="D17" s="58">
        <v>10220</v>
      </c>
      <c r="E17" s="58">
        <v>12088</v>
      </c>
      <c r="F17" s="59">
        <v>18612</v>
      </c>
      <c r="G17" s="60">
        <v>16.272225628448805</v>
      </c>
      <c r="H17" s="60">
        <f t="shared" si="0"/>
        <v>-6.3277789495886944E-2</v>
      </c>
      <c r="I17" s="61">
        <f t="shared" si="0"/>
        <v>7.8514140987758552</v>
      </c>
      <c r="J17" s="61">
        <f t="shared" si="0"/>
        <v>18.277886497064578</v>
      </c>
      <c r="K17" s="62">
        <f t="shared" si="0"/>
        <v>53.970880211780283</v>
      </c>
    </row>
    <row r="18" spans="1:15" ht="12.75" customHeight="1">
      <c r="A18" s="56" t="s">
        <v>29</v>
      </c>
      <c r="B18" s="57">
        <v>13462</v>
      </c>
      <c r="C18" s="57">
        <v>13274</v>
      </c>
      <c r="D18" s="58">
        <v>14944</v>
      </c>
      <c r="E18" s="58">
        <v>16655</v>
      </c>
      <c r="F18" s="59">
        <v>18164</v>
      </c>
      <c r="G18" s="60">
        <v>-1.5431873034447401</v>
      </c>
      <c r="H18" s="60">
        <f t="shared" si="0"/>
        <v>-1.3965235477640767</v>
      </c>
      <c r="I18" s="61">
        <f t="shared" si="0"/>
        <v>12.580985384963087</v>
      </c>
      <c r="J18" s="61">
        <f t="shared" si="0"/>
        <v>11.44941113490364</v>
      </c>
      <c r="K18" s="62">
        <f t="shared" si="0"/>
        <v>9.0603422395676976</v>
      </c>
    </row>
    <row r="19" spans="1:15" ht="12.75" customHeight="1">
      <c r="A19" s="56" t="s">
        <v>73</v>
      </c>
      <c r="B19" s="57">
        <v>8853</v>
      </c>
      <c r="C19" s="57">
        <v>9438</v>
      </c>
      <c r="D19" s="58">
        <v>11482</v>
      </c>
      <c r="E19" s="58">
        <v>14490</v>
      </c>
      <c r="F19" s="59">
        <v>16049</v>
      </c>
      <c r="G19" s="60">
        <v>-5.2952503209242625</v>
      </c>
      <c r="H19" s="60">
        <f t="shared" si="0"/>
        <v>6.607929515418502</v>
      </c>
      <c r="I19" s="61">
        <f t="shared" si="0"/>
        <v>21.657130748039837</v>
      </c>
      <c r="J19" s="61">
        <f t="shared" si="0"/>
        <v>26.197526563316497</v>
      </c>
      <c r="K19" s="62">
        <f t="shared" si="0"/>
        <v>10.759144237405106</v>
      </c>
    </row>
    <row r="20" spans="1:15" ht="12.75" customHeight="1">
      <c r="A20" s="56" t="s">
        <v>75</v>
      </c>
      <c r="B20" s="57">
        <v>9368</v>
      </c>
      <c r="C20" s="57">
        <v>7392</v>
      </c>
      <c r="D20" s="58">
        <v>9622</v>
      </c>
      <c r="E20" s="58">
        <v>12778</v>
      </c>
      <c r="F20" s="59">
        <v>15208</v>
      </c>
      <c r="G20" s="60">
        <v>-0.40399744843716773</v>
      </c>
      <c r="H20" s="60">
        <f t="shared" si="0"/>
        <v>-21.093082835183605</v>
      </c>
      <c r="I20" s="61">
        <f t="shared" si="0"/>
        <v>30.167748917748916</v>
      </c>
      <c r="J20" s="61">
        <f t="shared" si="0"/>
        <v>32.799833714404492</v>
      </c>
      <c r="K20" s="62">
        <f t="shared" si="0"/>
        <v>19.017060572859602</v>
      </c>
    </row>
    <row r="21" spans="1:15" ht="12.75" customHeight="1">
      <c r="A21" s="56" t="s">
        <v>64</v>
      </c>
      <c r="B21" s="57">
        <v>4956</v>
      </c>
      <c r="C21" s="57">
        <v>5214</v>
      </c>
      <c r="D21" s="58">
        <v>5332</v>
      </c>
      <c r="E21" s="58">
        <v>7990</v>
      </c>
      <c r="F21" s="59">
        <v>9625</v>
      </c>
      <c r="G21" s="60">
        <v>11.220825852782765</v>
      </c>
      <c r="H21" s="60">
        <f t="shared" si="0"/>
        <v>5.2058111380145284</v>
      </c>
      <c r="I21" s="61">
        <f t="shared" si="0"/>
        <v>2.263137706175681</v>
      </c>
      <c r="J21" s="61">
        <f t="shared" si="0"/>
        <v>49.849962490622659</v>
      </c>
      <c r="K21" s="62">
        <f t="shared" si="0"/>
        <v>20.463078848560702</v>
      </c>
    </row>
    <row r="22" spans="1:15" ht="12.75" customHeight="1">
      <c r="A22" s="56" t="s">
        <v>65</v>
      </c>
      <c r="B22" s="57">
        <v>9752</v>
      </c>
      <c r="C22" s="57">
        <v>7833</v>
      </c>
      <c r="D22" s="58">
        <v>7872</v>
      </c>
      <c r="E22" s="58">
        <v>9670</v>
      </c>
      <c r="F22" s="59">
        <v>8860</v>
      </c>
      <c r="G22" s="60">
        <v>1.015123264967889</v>
      </c>
      <c r="H22" s="60">
        <f t="shared" si="0"/>
        <v>-19.678014766201805</v>
      </c>
      <c r="I22" s="61">
        <f t="shared" si="0"/>
        <v>0.49789352738414405</v>
      </c>
      <c r="J22" s="61">
        <f t="shared" si="0"/>
        <v>22.840447154471544</v>
      </c>
      <c r="K22" s="62">
        <f t="shared" si="0"/>
        <v>-8.3764219234746644</v>
      </c>
    </row>
    <row r="23" spans="1:15" ht="12.75" customHeight="1">
      <c r="A23" s="56" t="s">
        <v>48</v>
      </c>
      <c r="B23" s="57">
        <v>8217</v>
      </c>
      <c r="C23" s="57">
        <v>7279</v>
      </c>
      <c r="D23" s="58">
        <v>8912</v>
      </c>
      <c r="E23" s="58">
        <v>9710</v>
      </c>
      <c r="F23" s="59">
        <v>8824</v>
      </c>
      <c r="G23" s="60">
        <v>-6.6037735849056602</v>
      </c>
      <c r="H23" s="60">
        <f t="shared" si="0"/>
        <v>-11.415358403310211</v>
      </c>
      <c r="I23" s="61">
        <f t="shared" si="0"/>
        <v>22.434400329715622</v>
      </c>
      <c r="J23" s="61">
        <f t="shared" si="0"/>
        <v>8.9542190305206457</v>
      </c>
      <c r="K23" s="62">
        <f t="shared" si="0"/>
        <v>-9.1246138002059727</v>
      </c>
      <c r="O23" s="45" t="s">
        <v>116</v>
      </c>
    </row>
    <row r="24" spans="1:15" ht="12.75" customHeight="1">
      <c r="A24" s="56" t="s">
        <v>52</v>
      </c>
      <c r="B24" s="57">
        <v>5399</v>
      </c>
      <c r="C24" s="57">
        <v>4643</v>
      </c>
      <c r="D24" s="58">
        <v>5445</v>
      </c>
      <c r="E24" s="58">
        <v>6729</v>
      </c>
      <c r="F24" s="59">
        <v>8044</v>
      </c>
      <c r="G24" s="60">
        <v>52.299012693935119</v>
      </c>
      <c r="H24" s="60">
        <f t="shared" si="0"/>
        <v>-14.002593072791258</v>
      </c>
      <c r="I24" s="61">
        <f t="shared" si="0"/>
        <v>17.273314667241007</v>
      </c>
      <c r="J24" s="61">
        <f t="shared" si="0"/>
        <v>23.581267217630856</v>
      </c>
      <c r="K24" s="62">
        <f t="shared" si="0"/>
        <v>19.542279684945758</v>
      </c>
    </row>
    <row r="25" spans="1:15" ht="12.75" customHeight="1">
      <c r="A25" s="56" t="s">
        <v>80</v>
      </c>
      <c r="B25" s="57">
        <v>2747</v>
      </c>
      <c r="C25" s="57">
        <v>3036</v>
      </c>
      <c r="D25" s="58">
        <v>4040</v>
      </c>
      <c r="E25" s="58">
        <v>5005</v>
      </c>
      <c r="F25" s="59">
        <v>7263</v>
      </c>
      <c r="G25" s="60">
        <v>41.597938144329902</v>
      </c>
      <c r="H25" s="60">
        <f t="shared" si="0"/>
        <v>10.520567892246087</v>
      </c>
      <c r="I25" s="61">
        <f t="shared" si="0"/>
        <v>33.06982872200264</v>
      </c>
      <c r="J25" s="61">
        <f t="shared" si="0"/>
        <v>23.886138613861384</v>
      </c>
      <c r="K25" s="62">
        <f t="shared" si="0"/>
        <v>45.114885114885119</v>
      </c>
    </row>
    <row r="26" spans="1:15" ht="12.75" customHeight="1">
      <c r="A26" s="56" t="s">
        <v>67</v>
      </c>
      <c r="B26" s="57">
        <v>3952</v>
      </c>
      <c r="C26" s="57">
        <v>3813</v>
      </c>
      <c r="D26" s="58">
        <v>5397</v>
      </c>
      <c r="E26" s="58">
        <v>6214</v>
      </c>
      <c r="F26" s="59">
        <v>6896</v>
      </c>
      <c r="G26" s="60">
        <v>7.8897078897078892</v>
      </c>
      <c r="H26" s="60">
        <f t="shared" si="0"/>
        <v>-3.5172064777327936</v>
      </c>
      <c r="I26" s="61">
        <f t="shared" si="0"/>
        <v>41.542092840283239</v>
      </c>
      <c r="J26" s="61">
        <f t="shared" si="0"/>
        <v>15.138039651658328</v>
      </c>
      <c r="K26" s="62">
        <f t="shared" si="0"/>
        <v>10.975217251367878</v>
      </c>
    </row>
    <row r="27" spans="1:15" ht="12.75" customHeight="1">
      <c r="A27" s="56" t="s">
        <v>61</v>
      </c>
      <c r="B27" s="57">
        <v>3137</v>
      </c>
      <c r="C27" s="57">
        <v>3139</v>
      </c>
      <c r="D27" s="58">
        <v>3894</v>
      </c>
      <c r="E27" s="58">
        <v>6055</v>
      </c>
      <c r="F27" s="59">
        <v>6766</v>
      </c>
      <c r="G27" s="60">
        <v>4.6015338446148721</v>
      </c>
      <c r="H27" s="60">
        <f t="shared" si="0"/>
        <v>6.3755180108383797E-2</v>
      </c>
      <c r="I27" s="61">
        <f t="shared" si="0"/>
        <v>24.052245938196879</v>
      </c>
      <c r="J27" s="61">
        <f t="shared" si="0"/>
        <v>55.495634309193633</v>
      </c>
      <c r="K27" s="62">
        <f t="shared" si="0"/>
        <v>11.742361684558217</v>
      </c>
    </row>
    <row r="28" spans="1:15" ht="12.75" customHeight="1">
      <c r="A28" s="56" t="s">
        <v>41</v>
      </c>
      <c r="B28" s="57">
        <v>5595</v>
      </c>
      <c r="C28" s="57">
        <v>5355</v>
      </c>
      <c r="D28" s="58">
        <v>5682</v>
      </c>
      <c r="E28" s="58">
        <v>5693</v>
      </c>
      <c r="F28" s="59">
        <v>6077</v>
      </c>
      <c r="G28" s="60">
        <v>-13.644080876678499</v>
      </c>
      <c r="H28" s="60">
        <f t="shared" si="0"/>
        <v>-4.2895442359249332</v>
      </c>
      <c r="I28" s="61">
        <f t="shared" si="0"/>
        <v>6.1064425770308119</v>
      </c>
      <c r="J28" s="61">
        <f t="shared" si="0"/>
        <v>0.19359380499824005</v>
      </c>
      <c r="K28" s="62">
        <f t="shared" si="0"/>
        <v>6.745125592833304</v>
      </c>
    </row>
    <row r="29" spans="1:15" ht="12.75" customHeight="1">
      <c r="A29" s="56" t="s">
        <v>82</v>
      </c>
      <c r="B29" s="57">
        <v>2585</v>
      </c>
      <c r="C29" s="57">
        <v>2744</v>
      </c>
      <c r="D29" s="58">
        <v>3336</v>
      </c>
      <c r="E29" s="58">
        <v>4130</v>
      </c>
      <c r="F29" s="59">
        <v>5880</v>
      </c>
      <c r="G29" s="60">
        <v>26.777832270720943</v>
      </c>
      <c r="H29" s="60">
        <f t="shared" si="0"/>
        <v>6.1508704061895552</v>
      </c>
      <c r="I29" s="61">
        <f t="shared" si="0"/>
        <v>21.574344023323615</v>
      </c>
      <c r="J29" s="61">
        <f t="shared" si="0"/>
        <v>23.800959232613909</v>
      </c>
      <c r="K29" s="62">
        <f t="shared" si="0"/>
        <v>42.372881355932201</v>
      </c>
    </row>
    <row r="30" spans="1:15" ht="12.75" customHeight="1">
      <c r="A30" s="56" t="s">
        <v>31</v>
      </c>
      <c r="B30" s="57">
        <v>3811</v>
      </c>
      <c r="C30" s="57">
        <v>3851</v>
      </c>
      <c r="D30" s="58">
        <v>5137</v>
      </c>
      <c r="E30" s="58">
        <v>6471</v>
      </c>
      <c r="F30" s="59">
        <v>5588</v>
      </c>
      <c r="G30" s="60">
        <v>37.780187997107738</v>
      </c>
      <c r="H30" s="60">
        <f t="shared" si="0"/>
        <v>1.0495932826029915</v>
      </c>
      <c r="I30" s="61">
        <f t="shared" si="0"/>
        <v>33.393923656193195</v>
      </c>
      <c r="J30" s="61">
        <f t="shared" si="0"/>
        <v>25.968464084095778</v>
      </c>
      <c r="K30" s="62">
        <f t="shared" si="0"/>
        <v>-13.645495286663575</v>
      </c>
    </row>
    <row r="31" spans="1:15" ht="12.75" customHeight="1">
      <c r="A31" s="56" t="s">
        <v>51</v>
      </c>
      <c r="B31" s="57">
        <v>3235</v>
      </c>
      <c r="C31" s="57">
        <v>2758</v>
      </c>
      <c r="D31" s="58">
        <v>4637</v>
      </c>
      <c r="E31" s="58">
        <v>4542</v>
      </c>
      <c r="F31" s="59">
        <v>5416</v>
      </c>
      <c r="G31" s="60">
        <v>32.473382473382472</v>
      </c>
      <c r="H31" s="60">
        <f t="shared" si="0"/>
        <v>-14.744976816074187</v>
      </c>
      <c r="I31" s="61">
        <f t="shared" si="0"/>
        <v>68.129079042784625</v>
      </c>
      <c r="J31" s="61">
        <f t="shared" si="0"/>
        <v>-2.0487384084537417</v>
      </c>
      <c r="K31" s="62">
        <f t="shared" si="0"/>
        <v>19.242624394539849</v>
      </c>
    </row>
    <row r="32" spans="1:15" ht="12.75" customHeight="1">
      <c r="A32" s="56" t="s">
        <v>49</v>
      </c>
      <c r="B32" s="57">
        <v>3542</v>
      </c>
      <c r="C32" s="57">
        <v>3165</v>
      </c>
      <c r="D32" s="58">
        <v>3638</v>
      </c>
      <c r="E32" s="58">
        <v>4896</v>
      </c>
      <c r="F32" s="59">
        <v>5230</v>
      </c>
      <c r="G32" s="60">
        <v>64.820846905537451</v>
      </c>
      <c r="H32" s="60">
        <f t="shared" si="0"/>
        <v>-10.643704121964992</v>
      </c>
      <c r="I32" s="61">
        <f t="shared" si="0"/>
        <v>14.944707740916272</v>
      </c>
      <c r="J32" s="61">
        <f t="shared" si="0"/>
        <v>34.579439252336449</v>
      </c>
      <c r="K32" s="62">
        <f t="shared" si="0"/>
        <v>6.8218954248366011</v>
      </c>
    </row>
    <row r="33" spans="1:14" ht="12.75" customHeight="1">
      <c r="A33" s="56" t="s">
        <v>72</v>
      </c>
      <c r="B33" s="57">
        <v>2966</v>
      </c>
      <c r="C33" s="57">
        <v>3043</v>
      </c>
      <c r="D33" s="58">
        <v>3815</v>
      </c>
      <c r="E33" s="58">
        <v>4690</v>
      </c>
      <c r="F33" s="59">
        <v>5070</v>
      </c>
      <c r="G33" s="60">
        <v>4.0336723956506493</v>
      </c>
      <c r="H33" s="60">
        <f t="shared" si="0"/>
        <v>2.5960890087660147</v>
      </c>
      <c r="I33" s="61">
        <f t="shared" si="0"/>
        <v>25.369700953006902</v>
      </c>
      <c r="J33" s="61">
        <f t="shared" si="0"/>
        <v>22.935779816513762</v>
      </c>
      <c r="K33" s="62">
        <f t="shared" si="0"/>
        <v>8.1023454157782524</v>
      </c>
    </row>
    <row r="34" spans="1:14" ht="12.75" customHeight="1">
      <c r="A34" s="56" t="s">
        <v>66</v>
      </c>
      <c r="B34" s="57">
        <v>2233</v>
      </c>
      <c r="C34" s="57">
        <v>1975</v>
      </c>
      <c r="D34" s="58">
        <v>3831</v>
      </c>
      <c r="E34" s="58">
        <v>5305</v>
      </c>
      <c r="F34" s="59">
        <v>4430</v>
      </c>
      <c r="G34" s="60">
        <v>10.654112983151636</v>
      </c>
      <c r="H34" s="60">
        <f t="shared" si="0"/>
        <v>-11.553963278101209</v>
      </c>
      <c r="I34" s="61">
        <f t="shared" si="0"/>
        <v>93.974683544303801</v>
      </c>
      <c r="J34" s="61">
        <f t="shared" si="0"/>
        <v>38.475593839728525</v>
      </c>
      <c r="K34" s="62">
        <f t="shared" si="0"/>
        <v>-16.493873704052781</v>
      </c>
    </row>
    <row r="35" spans="1:14" ht="12.75" customHeight="1">
      <c r="A35" s="56" t="s">
        <v>81</v>
      </c>
      <c r="B35" s="57">
        <v>1394</v>
      </c>
      <c r="C35" s="57">
        <v>1580</v>
      </c>
      <c r="D35" s="58">
        <v>1699</v>
      </c>
      <c r="E35" s="58">
        <v>2292</v>
      </c>
      <c r="F35" s="59">
        <v>4047</v>
      </c>
      <c r="G35" s="60">
        <v>72.738537794299873</v>
      </c>
      <c r="H35" s="60">
        <f t="shared" si="0"/>
        <v>13.342898134863701</v>
      </c>
      <c r="I35" s="61">
        <f t="shared" si="0"/>
        <v>7.5316455696202533</v>
      </c>
      <c r="J35" s="61">
        <f t="shared" si="0"/>
        <v>34.90288404944085</v>
      </c>
      <c r="K35" s="62">
        <f t="shared" si="0"/>
        <v>76.570680628272243</v>
      </c>
    </row>
    <row r="36" spans="1:14" ht="12.75" customHeight="1">
      <c r="A36" s="56" t="s">
        <v>69</v>
      </c>
      <c r="B36" s="57">
        <v>3732</v>
      </c>
      <c r="C36" s="57">
        <v>2975</v>
      </c>
      <c r="D36" s="58">
        <v>3157</v>
      </c>
      <c r="E36" s="58">
        <v>3684</v>
      </c>
      <c r="F36" s="59">
        <v>3967</v>
      </c>
      <c r="G36" s="60">
        <v>13.331308836926814</v>
      </c>
      <c r="H36" s="60">
        <f t="shared" si="0"/>
        <v>-20.284030010718112</v>
      </c>
      <c r="I36" s="61">
        <f t="shared" si="0"/>
        <v>6.1176470588235299</v>
      </c>
      <c r="J36" s="61">
        <f t="shared" si="0"/>
        <v>16.69306303452645</v>
      </c>
      <c r="K36" s="62">
        <f t="shared" si="0"/>
        <v>7.681867535287731</v>
      </c>
    </row>
    <row r="37" spans="1:14" ht="12.75" customHeight="1">
      <c r="A37" s="56" t="s">
        <v>43</v>
      </c>
      <c r="B37" s="57">
        <v>3325</v>
      </c>
      <c r="C37" s="57">
        <v>3357</v>
      </c>
      <c r="D37" s="58">
        <v>3795</v>
      </c>
      <c r="E37" s="58">
        <v>4158</v>
      </c>
      <c r="F37" s="59">
        <v>3918</v>
      </c>
      <c r="G37" s="60">
        <v>25.047010154193305</v>
      </c>
      <c r="H37" s="60">
        <f t="shared" si="0"/>
        <v>0.96240601503759393</v>
      </c>
      <c r="I37" s="61">
        <f t="shared" si="0"/>
        <v>13.047363717605004</v>
      </c>
      <c r="J37" s="61">
        <f t="shared" si="0"/>
        <v>9.5652173913043477</v>
      </c>
      <c r="K37" s="62">
        <f t="shared" si="0"/>
        <v>-5.7720057720057723</v>
      </c>
    </row>
    <row r="38" spans="1:14" ht="12.75" customHeight="1">
      <c r="A38" s="56" t="s">
        <v>44</v>
      </c>
      <c r="B38" s="57">
        <v>4150</v>
      </c>
      <c r="C38" s="57">
        <v>4822</v>
      </c>
      <c r="D38" s="58">
        <v>4555</v>
      </c>
      <c r="E38" s="58">
        <v>4434</v>
      </c>
      <c r="F38" s="59">
        <v>3660</v>
      </c>
      <c r="G38" s="60">
        <v>-0.90735434574976126</v>
      </c>
      <c r="H38" s="60">
        <f t="shared" si="0"/>
        <v>16.192771084337348</v>
      </c>
      <c r="I38" s="61">
        <f t="shared" si="0"/>
        <v>-5.5371215263376188</v>
      </c>
      <c r="J38" s="61">
        <f t="shared" si="0"/>
        <v>-2.6564215148188803</v>
      </c>
      <c r="K38" s="62">
        <f t="shared" si="0"/>
        <v>-17.456021650879567</v>
      </c>
    </row>
    <row r="39" spans="1:14" ht="12.75" customHeight="1">
      <c r="A39" s="56" t="s">
        <v>32</v>
      </c>
      <c r="B39" s="57">
        <v>1834</v>
      </c>
      <c r="C39" s="57">
        <v>1722</v>
      </c>
      <c r="D39" s="58">
        <v>2422</v>
      </c>
      <c r="E39" s="58">
        <v>3173</v>
      </c>
      <c r="F39" s="59">
        <v>3493</v>
      </c>
      <c r="G39" s="60">
        <v>0.82462891698735563</v>
      </c>
      <c r="H39" s="60">
        <f t="shared" ref="H39:K60" si="1">(C39-B39)/B39*100</f>
        <v>-6.1068702290076331</v>
      </c>
      <c r="I39" s="61">
        <f t="shared" si="1"/>
        <v>40.650406504065039</v>
      </c>
      <c r="J39" s="61">
        <f t="shared" si="1"/>
        <v>31.007431874483899</v>
      </c>
      <c r="K39" s="62">
        <f t="shared" si="1"/>
        <v>10.085092971950834</v>
      </c>
    </row>
    <row r="40" spans="1:14" ht="12.75" customHeight="1">
      <c r="A40" s="56" t="s">
        <v>70</v>
      </c>
      <c r="B40" s="57">
        <v>1962</v>
      </c>
      <c r="C40" s="57">
        <v>2059</v>
      </c>
      <c r="D40" s="58">
        <v>2471</v>
      </c>
      <c r="E40" s="58">
        <v>2781</v>
      </c>
      <c r="F40" s="59">
        <v>3128</v>
      </c>
      <c r="G40" s="60">
        <v>26.336123631680618</v>
      </c>
      <c r="H40" s="60">
        <f t="shared" si="1"/>
        <v>4.9439347604485224</v>
      </c>
      <c r="I40" s="61">
        <f t="shared" si="1"/>
        <v>20.009713453132587</v>
      </c>
      <c r="J40" s="61">
        <f t="shared" si="1"/>
        <v>12.545528126264671</v>
      </c>
      <c r="K40" s="62">
        <f t="shared" si="1"/>
        <v>12.47752606975908</v>
      </c>
    </row>
    <row r="41" spans="1:14" ht="12.75" customHeight="1">
      <c r="A41" s="56" t="s">
        <v>71</v>
      </c>
      <c r="B41" s="57">
        <v>1327</v>
      </c>
      <c r="C41" s="57">
        <v>1304</v>
      </c>
      <c r="D41" s="58">
        <v>1761</v>
      </c>
      <c r="E41" s="58">
        <v>2342</v>
      </c>
      <c r="F41" s="59">
        <v>3061</v>
      </c>
      <c r="G41" s="60">
        <v>87.429378531073439</v>
      </c>
      <c r="H41" s="60">
        <f t="shared" si="1"/>
        <v>-1.7332328560663148</v>
      </c>
      <c r="I41" s="61">
        <f t="shared" si="1"/>
        <v>35.04601226993865</v>
      </c>
      <c r="J41" s="61">
        <f t="shared" si="1"/>
        <v>32.992617830777967</v>
      </c>
      <c r="K41" s="62">
        <f t="shared" si="1"/>
        <v>30.700256191289498</v>
      </c>
    </row>
    <row r="42" spans="1:14" ht="12.75" customHeight="1">
      <c r="A42" s="56" t="s">
        <v>78</v>
      </c>
      <c r="B42" s="57">
        <v>1340</v>
      </c>
      <c r="C42" s="57">
        <v>1181</v>
      </c>
      <c r="D42" s="58">
        <v>1409</v>
      </c>
      <c r="E42" s="58">
        <v>1797</v>
      </c>
      <c r="F42" s="59">
        <v>2987</v>
      </c>
      <c r="G42" s="60">
        <v>33.466135458167329</v>
      </c>
      <c r="H42" s="60">
        <f t="shared" si="1"/>
        <v>-11.865671641791046</v>
      </c>
      <c r="I42" s="61">
        <f t="shared" si="1"/>
        <v>19.30567315834039</v>
      </c>
      <c r="J42" s="61">
        <f t="shared" si="1"/>
        <v>27.537260468417319</v>
      </c>
      <c r="K42" s="62">
        <f t="shared" si="1"/>
        <v>66.221480244852543</v>
      </c>
    </row>
    <row r="43" spans="1:14" ht="12.75" customHeight="1">
      <c r="A43" s="56" t="s">
        <v>42</v>
      </c>
      <c r="B43" s="57">
        <v>2596</v>
      </c>
      <c r="C43" s="57">
        <v>2120</v>
      </c>
      <c r="D43" s="58">
        <v>2153</v>
      </c>
      <c r="E43" s="58">
        <v>2775</v>
      </c>
      <c r="F43" s="59">
        <v>2902</v>
      </c>
      <c r="G43" s="60">
        <v>43.584070796460175</v>
      </c>
      <c r="H43" s="60">
        <f t="shared" si="1"/>
        <v>-18.335901386748844</v>
      </c>
      <c r="I43" s="61">
        <f t="shared" si="1"/>
        <v>1.5566037735849056</v>
      </c>
      <c r="J43" s="61">
        <f t="shared" si="1"/>
        <v>28.889921040408733</v>
      </c>
      <c r="K43" s="62">
        <f t="shared" si="1"/>
        <v>4.576576576576576</v>
      </c>
    </row>
    <row r="44" spans="1:14" ht="12.75" customHeight="1">
      <c r="A44" s="56" t="s">
        <v>46</v>
      </c>
      <c r="B44" s="57">
        <v>1916</v>
      </c>
      <c r="C44" s="57">
        <v>1970</v>
      </c>
      <c r="D44" s="58">
        <v>2348</v>
      </c>
      <c r="E44" s="58">
        <v>2822</v>
      </c>
      <c r="F44" s="59">
        <v>2636</v>
      </c>
      <c r="G44" s="60">
        <v>30.428863172226006</v>
      </c>
      <c r="H44" s="60">
        <f t="shared" si="1"/>
        <v>2.8183716075156577</v>
      </c>
      <c r="I44" s="61">
        <f t="shared" si="1"/>
        <v>19.18781725888325</v>
      </c>
      <c r="J44" s="61">
        <f t="shared" si="1"/>
        <v>20.187393526405451</v>
      </c>
      <c r="K44" s="62">
        <f t="shared" si="1"/>
        <v>-6.5910701630049608</v>
      </c>
    </row>
    <row r="45" spans="1:14" ht="12.75" customHeight="1">
      <c r="A45" s="56" t="s">
        <v>74</v>
      </c>
      <c r="B45" s="57">
        <v>1334</v>
      </c>
      <c r="C45" s="57">
        <v>1374</v>
      </c>
      <c r="D45" s="58">
        <v>1543</v>
      </c>
      <c r="E45" s="58">
        <v>2132</v>
      </c>
      <c r="F45" s="59">
        <v>2594</v>
      </c>
      <c r="G45" s="60">
        <v>3.3307513555383426</v>
      </c>
      <c r="H45" s="60">
        <f t="shared" si="1"/>
        <v>2.9985007496251872</v>
      </c>
      <c r="I45" s="61">
        <f t="shared" si="1"/>
        <v>12.299854439592432</v>
      </c>
      <c r="J45" s="61">
        <f t="shared" si="1"/>
        <v>38.172391445236556</v>
      </c>
      <c r="K45" s="62">
        <f t="shared" si="1"/>
        <v>21.669793621013135</v>
      </c>
      <c r="N45" s="45" t="s">
        <v>117</v>
      </c>
    </row>
    <row r="46" spans="1:14" ht="12" customHeight="1">
      <c r="A46" s="56" t="s">
        <v>39</v>
      </c>
      <c r="B46" s="57">
        <v>1588</v>
      </c>
      <c r="C46" s="57">
        <v>1380</v>
      </c>
      <c r="D46" s="58">
        <v>2113</v>
      </c>
      <c r="E46" s="58">
        <v>2433</v>
      </c>
      <c r="F46" s="59">
        <v>2569</v>
      </c>
      <c r="G46" s="60">
        <v>21.406727828746178</v>
      </c>
      <c r="H46" s="60">
        <f t="shared" si="1"/>
        <v>-13.09823677581864</v>
      </c>
      <c r="I46" s="61">
        <f t="shared" si="1"/>
        <v>53.115942028985508</v>
      </c>
      <c r="J46" s="61">
        <f t="shared" si="1"/>
        <v>15.144344533838144</v>
      </c>
      <c r="K46" s="62">
        <f t="shared" si="1"/>
        <v>5.589806822852446</v>
      </c>
    </row>
    <row r="47" spans="1:14" ht="12.75" customHeight="1">
      <c r="A47" s="56" t="s">
        <v>38</v>
      </c>
      <c r="B47" s="57">
        <v>2884</v>
      </c>
      <c r="C47" s="57">
        <v>2420</v>
      </c>
      <c r="D47" s="58">
        <v>2514</v>
      </c>
      <c r="E47" s="58">
        <v>2444</v>
      </c>
      <c r="F47" s="59">
        <v>2483</v>
      </c>
      <c r="G47" s="60">
        <v>-8.3862770012706473</v>
      </c>
      <c r="H47" s="60">
        <f t="shared" si="1"/>
        <v>-16.08876560332871</v>
      </c>
      <c r="I47" s="61">
        <f t="shared" si="1"/>
        <v>3.884297520661157</v>
      </c>
      <c r="J47" s="61">
        <f t="shared" si="1"/>
        <v>-2.7844073190135243</v>
      </c>
      <c r="K47" s="62">
        <f t="shared" si="1"/>
        <v>1.5957446808510638</v>
      </c>
    </row>
    <row r="48" spans="1:14" ht="12.75" customHeight="1">
      <c r="A48" s="56" t="s">
        <v>37</v>
      </c>
      <c r="B48" s="57">
        <v>2052</v>
      </c>
      <c r="C48" s="57">
        <v>1848</v>
      </c>
      <c r="D48" s="58">
        <v>2434</v>
      </c>
      <c r="E48" s="58">
        <v>2596</v>
      </c>
      <c r="F48" s="59">
        <v>2408</v>
      </c>
      <c r="G48" s="60">
        <v>-20.093457943925234</v>
      </c>
      <c r="H48" s="60">
        <f t="shared" si="1"/>
        <v>-9.9415204678362574</v>
      </c>
      <c r="I48" s="61">
        <f t="shared" si="1"/>
        <v>31.70995670995671</v>
      </c>
      <c r="J48" s="61">
        <f t="shared" si="1"/>
        <v>6.6557107641741986</v>
      </c>
      <c r="K48" s="62">
        <f t="shared" si="1"/>
        <v>-7.2419106317411401</v>
      </c>
    </row>
    <row r="49" spans="1:11" ht="12.75" customHeight="1">
      <c r="A49" s="56" t="s">
        <v>68</v>
      </c>
      <c r="B49" s="57">
        <v>1065</v>
      </c>
      <c r="C49" s="57">
        <v>1182</v>
      </c>
      <c r="D49" s="58">
        <v>1575</v>
      </c>
      <c r="E49" s="58">
        <v>2485</v>
      </c>
      <c r="F49" s="59">
        <v>2345</v>
      </c>
      <c r="G49" s="60">
        <v>-45.412608918503331</v>
      </c>
      <c r="H49" s="60">
        <f t="shared" si="1"/>
        <v>10.985915492957748</v>
      </c>
      <c r="I49" s="61">
        <f t="shared" si="1"/>
        <v>33.248730964467008</v>
      </c>
      <c r="J49" s="61">
        <f t="shared" si="1"/>
        <v>57.777777777777771</v>
      </c>
      <c r="K49" s="62">
        <f t="shared" si="1"/>
        <v>-5.6338028169014089</v>
      </c>
    </row>
    <row r="50" spans="1:11" ht="12.75" customHeight="1">
      <c r="A50" s="56" t="s">
        <v>63</v>
      </c>
      <c r="B50" s="57">
        <v>871</v>
      </c>
      <c r="C50" s="57">
        <v>979</v>
      </c>
      <c r="D50" s="58">
        <v>1066</v>
      </c>
      <c r="E50" s="58">
        <v>1652</v>
      </c>
      <c r="F50" s="59">
        <v>2265</v>
      </c>
      <c r="G50" s="60">
        <v>-11.303462321792262</v>
      </c>
      <c r="H50" s="60">
        <f t="shared" si="1"/>
        <v>12.399540757749714</v>
      </c>
      <c r="I50" s="61">
        <f t="shared" si="1"/>
        <v>8.88661899897855</v>
      </c>
      <c r="J50" s="61">
        <f t="shared" si="1"/>
        <v>54.971857410881796</v>
      </c>
      <c r="K50" s="62">
        <f t="shared" si="1"/>
        <v>37.106537530266344</v>
      </c>
    </row>
    <row r="51" spans="1:11" ht="12.75" customHeight="1">
      <c r="A51" s="56" t="s">
        <v>36</v>
      </c>
      <c r="B51" s="57">
        <v>4926</v>
      </c>
      <c r="C51" s="57">
        <v>5406</v>
      </c>
      <c r="D51" s="58">
        <v>4630</v>
      </c>
      <c r="E51" s="58">
        <v>3009</v>
      </c>
      <c r="F51" s="59">
        <v>2058</v>
      </c>
      <c r="G51" s="60">
        <v>1.5670103092783505</v>
      </c>
      <c r="H51" s="60">
        <f t="shared" si="1"/>
        <v>9.7442143727161987</v>
      </c>
      <c r="I51" s="61">
        <f t="shared" si="1"/>
        <v>-14.354421013688496</v>
      </c>
      <c r="J51" s="61">
        <f t="shared" si="1"/>
        <v>-35.010799136069117</v>
      </c>
      <c r="K51" s="62">
        <f t="shared" si="1"/>
        <v>-31.605184446660019</v>
      </c>
    </row>
    <row r="52" spans="1:11" ht="12.75" customHeight="1">
      <c r="A52" s="56" t="s">
        <v>62</v>
      </c>
      <c r="B52" s="57">
        <v>1191</v>
      </c>
      <c r="C52" s="57">
        <v>1046</v>
      </c>
      <c r="D52" s="58">
        <v>1256</v>
      </c>
      <c r="E52" s="58">
        <v>1842</v>
      </c>
      <c r="F52" s="59">
        <v>1857</v>
      </c>
      <c r="G52" s="60">
        <v>17.5715695952616</v>
      </c>
      <c r="H52" s="60">
        <f t="shared" si="1"/>
        <v>-12.174643157010916</v>
      </c>
      <c r="I52" s="61">
        <f t="shared" si="1"/>
        <v>20.076481835564053</v>
      </c>
      <c r="J52" s="61">
        <f t="shared" si="1"/>
        <v>46.656050955414017</v>
      </c>
      <c r="K52" s="62">
        <f t="shared" si="1"/>
        <v>0.81433224755700329</v>
      </c>
    </row>
    <row r="53" spans="1:11" ht="12.75" customHeight="1">
      <c r="A53" s="56" t="s">
        <v>58</v>
      </c>
      <c r="B53" s="57">
        <v>581</v>
      </c>
      <c r="C53" s="57">
        <v>677</v>
      </c>
      <c r="D53" s="58">
        <v>818</v>
      </c>
      <c r="E53" s="58">
        <v>1283</v>
      </c>
      <c r="F53" s="59">
        <v>1772</v>
      </c>
      <c r="G53" s="60">
        <v>-38.388123011664902</v>
      </c>
      <c r="H53" s="60">
        <f t="shared" si="1"/>
        <v>16.523235800344235</v>
      </c>
      <c r="I53" s="61">
        <f t="shared" si="1"/>
        <v>20.827178729689809</v>
      </c>
      <c r="J53" s="61">
        <f t="shared" si="1"/>
        <v>56.845965770171148</v>
      </c>
      <c r="K53" s="62">
        <f t="shared" si="1"/>
        <v>38.113795791114576</v>
      </c>
    </row>
    <row r="54" spans="1:11" ht="12.75" customHeight="1">
      <c r="A54" s="56" t="s">
        <v>79</v>
      </c>
      <c r="B54" s="57">
        <v>1139</v>
      </c>
      <c r="C54" s="57">
        <v>984</v>
      </c>
      <c r="D54" s="58">
        <v>1145</v>
      </c>
      <c r="E54" s="58">
        <v>1346</v>
      </c>
      <c r="F54" s="59">
        <v>1666</v>
      </c>
      <c r="G54" s="60">
        <v>72.575757575757578</v>
      </c>
      <c r="H54" s="60">
        <f t="shared" si="1"/>
        <v>-13.608428446005268</v>
      </c>
      <c r="I54" s="61">
        <f t="shared" si="1"/>
        <v>16.361788617886177</v>
      </c>
      <c r="J54" s="61">
        <f t="shared" si="1"/>
        <v>17.554585152838428</v>
      </c>
      <c r="K54" s="62">
        <f t="shared" si="1"/>
        <v>23.774145616641899</v>
      </c>
    </row>
    <row r="55" spans="1:11" ht="12.75" customHeight="1">
      <c r="A55" s="56" t="s">
        <v>76</v>
      </c>
      <c r="B55" s="57">
        <v>1184</v>
      </c>
      <c r="C55" s="57">
        <v>991</v>
      </c>
      <c r="D55" s="58">
        <v>1103</v>
      </c>
      <c r="E55" s="58">
        <v>1390</v>
      </c>
      <c r="F55" s="59">
        <v>1579</v>
      </c>
      <c r="G55" s="60">
        <v>3.6777583187390541</v>
      </c>
      <c r="H55" s="60">
        <f t="shared" si="1"/>
        <v>-16.300675675675674</v>
      </c>
      <c r="I55" s="61">
        <f t="shared" si="1"/>
        <v>11.301715438950556</v>
      </c>
      <c r="J55" s="61">
        <f t="shared" si="1"/>
        <v>26.019945602901178</v>
      </c>
      <c r="K55" s="62">
        <f t="shared" si="1"/>
        <v>13.597122302158274</v>
      </c>
    </row>
    <row r="56" spans="1:11" ht="12.75" customHeight="1">
      <c r="A56" s="56" t="s">
        <v>30</v>
      </c>
      <c r="B56" s="57">
        <v>3368</v>
      </c>
      <c r="C56" s="57">
        <v>3437</v>
      </c>
      <c r="D56" s="58">
        <v>4386</v>
      </c>
      <c r="E56" s="58">
        <v>5738</v>
      </c>
      <c r="F56" s="59">
        <v>1509</v>
      </c>
      <c r="G56" s="60">
        <v>-5.1801801801801801</v>
      </c>
      <c r="H56" s="60">
        <f t="shared" si="1"/>
        <v>2.0486935866983371</v>
      </c>
      <c r="I56" s="61">
        <f t="shared" si="1"/>
        <v>27.611288914751235</v>
      </c>
      <c r="J56" s="61">
        <f t="shared" si="1"/>
        <v>30.825353397172822</v>
      </c>
      <c r="K56" s="62">
        <f t="shared" si="1"/>
        <v>-73.701638201463922</v>
      </c>
    </row>
    <row r="57" spans="1:11" ht="12.75" customHeight="1">
      <c r="A57" s="56" t="s">
        <v>33</v>
      </c>
      <c r="B57" s="57">
        <v>865</v>
      </c>
      <c r="C57" s="57">
        <v>1088</v>
      </c>
      <c r="D57" s="58">
        <v>1281</v>
      </c>
      <c r="E57" s="58">
        <v>1535</v>
      </c>
      <c r="F57" s="59">
        <v>1402</v>
      </c>
      <c r="G57" s="60">
        <v>9.6324461343472745</v>
      </c>
      <c r="H57" s="60">
        <f t="shared" si="1"/>
        <v>25.780346820809246</v>
      </c>
      <c r="I57" s="61">
        <f t="shared" si="1"/>
        <v>17.738970588235293</v>
      </c>
      <c r="J57" s="61">
        <f t="shared" si="1"/>
        <v>19.828259172521467</v>
      </c>
      <c r="K57" s="62">
        <f t="shared" si="1"/>
        <v>-8.664495114006515</v>
      </c>
    </row>
    <row r="58" spans="1:11" ht="12.75" customHeight="1">
      <c r="A58" s="56" t="s">
        <v>47</v>
      </c>
      <c r="B58" s="57">
        <v>1372</v>
      </c>
      <c r="C58" s="57">
        <v>1324</v>
      </c>
      <c r="D58" s="58">
        <v>1647</v>
      </c>
      <c r="E58" s="58">
        <v>1609</v>
      </c>
      <c r="F58" s="59">
        <v>1295</v>
      </c>
      <c r="G58" s="60">
        <v>13.953488372093023</v>
      </c>
      <c r="H58" s="60">
        <f t="shared" si="1"/>
        <v>-3.4985422740524781</v>
      </c>
      <c r="I58" s="61">
        <f t="shared" si="1"/>
        <v>24.395770392749245</v>
      </c>
      <c r="J58" s="61">
        <f t="shared" si="1"/>
        <v>-2.3072252580449302</v>
      </c>
      <c r="K58" s="62">
        <f t="shared" si="1"/>
        <v>-19.515226848974518</v>
      </c>
    </row>
    <row r="59" spans="1:11" ht="12.75" customHeight="1">
      <c r="A59" s="56" t="s">
        <v>55</v>
      </c>
      <c r="B59" s="57">
        <v>455</v>
      </c>
      <c r="C59" s="57">
        <v>388</v>
      </c>
      <c r="D59" s="58">
        <v>525</v>
      </c>
      <c r="E59" s="58">
        <v>1496</v>
      </c>
      <c r="F59" s="59">
        <v>1221</v>
      </c>
      <c r="G59" s="60">
        <v>-64.563862928348911</v>
      </c>
      <c r="H59" s="60">
        <f t="shared" si="1"/>
        <v>-14.725274725274726</v>
      </c>
      <c r="I59" s="61">
        <f t="shared" si="1"/>
        <v>35.309278350515463</v>
      </c>
      <c r="J59" s="61">
        <f t="shared" si="1"/>
        <v>184.95238095238096</v>
      </c>
      <c r="K59" s="62">
        <f t="shared" si="1"/>
        <v>-18.382352941176471</v>
      </c>
    </row>
    <row r="60" spans="1:11" ht="12.75" customHeight="1">
      <c r="A60" s="63" t="s">
        <v>77</v>
      </c>
      <c r="B60" s="64">
        <v>22</v>
      </c>
      <c r="C60" s="64">
        <v>21</v>
      </c>
      <c r="D60" s="65">
        <v>31</v>
      </c>
      <c r="E60" s="65">
        <v>27</v>
      </c>
      <c r="F60" s="66">
        <v>39</v>
      </c>
      <c r="G60" s="67">
        <v>-80.530973451327441</v>
      </c>
      <c r="H60" s="67">
        <f t="shared" si="1"/>
        <v>-4.5454545454545459</v>
      </c>
      <c r="I60" s="68">
        <f t="shared" si="1"/>
        <v>47.619047619047613</v>
      </c>
      <c r="J60" s="68">
        <f t="shared" si="1"/>
        <v>-12.903225806451612</v>
      </c>
      <c r="K60" s="69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70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70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52"/>
  <sheetViews>
    <sheetView tabSelected="1" zoomScaleNormal="100" zoomScaleSheetLayoutView="67" workbookViewId="0">
      <selection activeCell="S13" sqref="S13"/>
    </sheetView>
  </sheetViews>
  <sheetFormatPr defaultColWidth="9.140625" defaultRowHeight="12.75"/>
  <cols>
    <col min="1" max="1" width="28.140625" style="30" customWidth="1"/>
    <col min="2" max="4" width="8.7109375" style="30" hidden="1" customWidth="1"/>
    <col min="5" max="9" width="8.7109375" style="30" customWidth="1"/>
    <col min="10" max="10" width="17" style="30" customWidth="1"/>
    <col min="11" max="11" width="23.28515625" style="30" customWidth="1"/>
    <col min="12" max="12" width="2" style="30" customWidth="1"/>
    <col min="13" max="33" width="9.140625" style="30"/>
    <col min="34" max="34" width="9.42578125" style="30" bestFit="1" customWidth="1"/>
    <col min="35" max="16384" width="9.140625" style="30"/>
  </cols>
  <sheetData>
    <row r="1" spans="1:38" ht="18.75" customHeight="1">
      <c r="A1" s="126" t="s">
        <v>135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38" ht="18.75" customHeight="1">
      <c r="A2" s="123" t="s">
        <v>136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</row>
    <row r="3" spans="1:38" ht="13.5" customHeight="1">
      <c r="A3" s="124" t="s">
        <v>0</v>
      </c>
      <c r="C3" s="104"/>
      <c r="D3" s="104"/>
      <c r="E3" s="129" t="s">
        <v>133</v>
      </c>
      <c r="F3" s="130"/>
      <c r="G3" s="130"/>
      <c r="H3" s="130"/>
      <c r="I3" s="131"/>
      <c r="J3" s="9" t="s">
        <v>1</v>
      </c>
      <c r="K3" s="10"/>
      <c r="M3" s="83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78"/>
    </row>
    <row r="4" spans="1:38" ht="15.95" customHeight="1">
      <c r="A4" s="125"/>
      <c r="B4" s="11">
        <v>2009</v>
      </c>
      <c r="C4" s="11">
        <v>2010</v>
      </c>
      <c r="D4" s="11">
        <v>2011</v>
      </c>
      <c r="E4" s="11">
        <v>2012</v>
      </c>
      <c r="F4" s="12">
        <v>2013</v>
      </c>
      <c r="G4" s="11">
        <v>2014</v>
      </c>
      <c r="H4" s="11">
        <v>2015</v>
      </c>
      <c r="I4" s="11">
        <v>2016</v>
      </c>
      <c r="J4" s="101" t="s">
        <v>134</v>
      </c>
      <c r="K4" s="13" t="s">
        <v>93</v>
      </c>
      <c r="M4" s="83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78"/>
    </row>
    <row r="5" spans="1:38" s="84" customFormat="1" ht="17.25" customHeight="1">
      <c r="A5" s="14" t="s">
        <v>118</v>
      </c>
      <c r="B5" s="15">
        <f t="shared" ref="B5:E5" si="0">SUM(B6:B23)</f>
        <v>20942</v>
      </c>
      <c r="C5" s="15">
        <f t="shared" si="0"/>
        <v>21350</v>
      </c>
      <c r="D5" s="15">
        <f>SUM(D6:D23)</f>
        <v>22120</v>
      </c>
      <c r="E5" s="15">
        <f t="shared" si="0"/>
        <v>22889</v>
      </c>
      <c r="F5" s="15">
        <f>SUM(F6:F23)</f>
        <v>23791</v>
      </c>
      <c r="G5" s="15">
        <f>SUM(G6:G23)</f>
        <v>24031</v>
      </c>
      <c r="H5" s="15">
        <f>SUM(H6:H23)</f>
        <v>24877</v>
      </c>
      <c r="I5" s="15">
        <f>SUM(I6:I23)</f>
        <v>26933</v>
      </c>
      <c r="J5" s="102">
        <f>I5/$I$5*100</f>
        <v>100</v>
      </c>
      <c r="K5" s="16" t="s">
        <v>83</v>
      </c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1"/>
      <c r="AH5" s="81"/>
      <c r="AI5" s="78"/>
      <c r="AJ5" s="30"/>
      <c r="AK5" s="30"/>
      <c r="AL5" s="30"/>
    </row>
    <row r="6" spans="1:38" s="84" customFormat="1" ht="18.75" customHeight="1">
      <c r="A6" s="38" t="s">
        <v>14</v>
      </c>
      <c r="B6" s="17">
        <v>432</v>
      </c>
      <c r="C6" s="17">
        <v>456</v>
      </c>
      <c r="D6" s="17">
        <v>456</v>
      </c>
      <c r="E6" s="17">
        <v>456</v>
      </c>
      <c r="F6" s="17">
        <v>456</v>
      </c>
      <c r="G6" s="17">
        <v>464</v>
      </c>
      <c r="H6" s="17">
        <v>464</v>
      </c>
      <c r="I6" s="17">
        <v>464</v>
      </c>
      <c r="J6" s="103">
        <f t="shared" ref="J6:J23" si="1">I6/$I$5*100</f>
        <v>1.72279359893068</v>
      </c>
      <c r="K6" s="18" t="s">
        <v>97</v>
      </c>
      <c r="M6" s="85"/>
      <c r="N6" s="81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97"/>
      <c r="AC6" s="86"/>
      <c r="AD6" s="87"/>
      <c r="AE6" s="86"/>
      <c r="AF6" s="86"/>
      <c r="AG6" s="75"/>
      <c r="AH6" s="24"/>
      <c r="AI6" s="79"/>
      <c r="AJ6" s="30"/>
      <c r="AK6" s="30"/>
      <c r="AL6" s="30"/>
    </row>
    <row r="7" spans="1:38" s="84" customFormat="1" ht="18.75" customHeight="1">
      <c r="A7" s="38" t="s">
        <v>111</v>
      </c>
      <c r="B7" s="17">
        <v>0</v>
      </c>
      <c r="C7" s="17">
        <v>0</v>
      </c>
      <c r="D7" s="17">
        <v>0</v>
      </c>
      <c r="E7" s="17">
        <v>97</v>
      </c>
      <c r="F7" s="17">
        <v>159</v>
      </c>
      <c r="G7" s="17">
        <v>159</v>
      </c>
      <c r="H7" s="17">
        <v>159</v>
      </c>
      <c r="I7" s="17">
        <v>159</v>
      </c>
      <c r="J7" s="105">
        <f t="shared" si="1"/>
        <v>0.5903538410128838</v>
      </c>
      <c r="K7" s="19" t="s">
        <v>112</v>
      </c>
      <c r="M7" s="85"/>
      <c r="N7" s="86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97"/>
      <c r="AC7" s="86"/>
      <c r="AD7" s="87"/>
      <c r="AE7" s="86"/>
      <c r="AF7" s="86"/>
      <c r="AG7" s="75"/>
      <c r="AH7" s="24"/>
      <c r="AI7" s="79"/>
      <c r="AJ7" s="30"/>
      <c r="AK7" s="30"/>
      <c r="AL7" s="30"/>
    </row>
    <row r="8" spans="1:38" s="84" customFormat="1" ht="18.75" customHeight="1">
      <c r="A8" s="38" t="s">
        <v>15</v>
      </c>
      <c r="B8" s="17">
        <v>490</v>
      </c>
      <c r="C8" s="17">
        <v>542</v>
      </c>
      <c r="D8" s="17">
        <v>542</v>
      </c>
      <c r="E8" s="17">
        <v>542</v>
      </c>
      <c r="F8" s="17">
        <v>796</v>
      </c>
      <c r="G8" s="17">
        <v>796</v>
      </c>
      <c r="H8" s="17">
        <v>796</v>
      </c>
      <c r="I8" s="17">
        <v>832</v>
      </c>
      <c r="J8" s="105">
        <f t="shared" si="1"/>
        <v>3.0891471429101847</v>
      </c>
      <c r="K8" s="19" t="s">
        <v>99</v>
      </c>
      <c r="M8" s="85"/>
      <c r="N8" s="86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97"/>
      <c r="AC8" s="86"/>
      <c r="AD8" s="87"/>
      <c r="AE8" s="86"/>
      <c r="AF8" s="86"/>
      <c r="AG8" s="75"/>
      <c r="AH8" s="24"/>
      <c r="AI8" s="79"/>
      <c r="AJ8" s="30"/>
      <c r="AK8" s="30"/>
      <c r="AL8" s="30"/>
    </row>
    <row r="9" spans="1:38" s="88" customFormat="1" ht="18.75" customHeight="1">
      <c r="A9" s="20" t="s">
        <v>2</v>
      </c>
      <c r="B9" s="17">
        <v>470</v>
      </c>
      <c r="C9" s="17">
        <v>470</v>
      </c>
      <c r="D9" s="17">
        <v>470</v>
      </c>
      <c r="E9" s="17">
        <v>470</v>
      </c>
      <c r="F9" s="17">
        <v>470</v>
      </c>
      <c r="G9" s="17">
        <v>656</v>
      </c>
      <c r="H9" s="17">
        <v>680</v>
      </c>
      <c r="I9" s="17">
        <v>810</v>
      </c>
      <c r="J9" s="105">
        <f t="shared" si="1"/>
        <v>3.0074629636505401</v>
      </c>
      <c r="K9" s="19" t="s">
        <v>87</v>
      </c>
      <c r="M9" s="89"/>
      <c r="N9" s="86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97"/>
      <c r="AC9" s="90"/>
      <c r="AD9" s="87"/>
      <c r="AE9" s="90"/>
      <c r="AF9" s="90"/>
      <c r="AG9" s="82"/>
      <c r="AH9" s="24"/>
      <c r="AI9" s="79"/>
      <c r="AJ9" s="30"/>
      <c r="AK9" s="30"/>
      <c r="AL9" s="30"/>
    </row>
    <row r="10" spans="1:38" s="88" customFormat="1" ht="18.75" customHeight="1">
      <c r="A10" s="20" t="s">
        <v>3</v>
      </c>
      <c r="B10" s="21">
        <v>1240</v>
      </c>
      <c r="C10" s="21">
        <v>1398</v>
      </c>
      <c r="D10" s="21">
        <v>1398</v>
      </c>
      <c r="E10" s="21">
        <v>1660</v>
      </c>
      <c r="F10" s="21">
        <v>1704</v>
      </c>
      <c r="G10" s="21">
        <v>1704</v>
      </c>
      <c r="H10" s="21">
        <v>1700</v>
      </c>
      <c r="I10" s="21">
        <v>2204</v>
      </c>
      <c r="J10" s="105">
        <f t="shared" si="1"/>
        <v>8.1832695949207288</v>
      </c>
      <c r="K10" s="19" t="s">
        <v>88</v>
      </c>
      <c r="M10" s="89"/>
      <c r="N10" s="86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97"/>
      <c r="AC10" s="90"/>
      <c r="AD10" s="87"/>
      <c r="AE10" s="90"/>
      <c r="AF10" s="90"/>
      <c r="AG10" s="82"/>
      <c r="AH10" s="33"/>
      <c r="AI10" s="79"/>
      <c r="AJ10" s="30"/>
      <c r="AK10" s="30"/>
      <c r="AL10" s="30"/>
    </row>
    <row r="11" spans="1:38" s="88" customFormat="1" ht="18.75" customHeight="1">
      <c r="A11" s="20" t="s">
        <v>4</v>
      </c>
      <c r="B11" s="21">
        <v>1336</v>
      </c>
      <c r="C11" s="21">
        <v>1336</v>
      </c>
      <c r="D11" s="21">
        <v>1336</v>
      </c>
      <c r="E11" s="21">
        <v>1336</v>
      </c>
      <c r="F11" s="21">
        <v>1476</v>
      </c>
      <c r="G11" s="21">
        <v>1636</v>
      </c>
      <c r="H11" s="21">
        <v>1636</v>
      </c>
      <c r="I11" s="21">
        <v>2138</v>
      </c>
      <c r="J11" s="105">
        <f t="shared" si="1"/>
        <v>7.938217057141796</v>
      </c>
      <c r="K11" s="19" t="s">
        <v>89</v>
      </c>
      <c r="M11" s="89"/>
      <c r="N11" s="90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97"/>
      <c r="AC11" s="90"/>
      <c r="AD11" s="87"/>
      <c r="AE11" s="90"/>
      <c r="AF11" s="90"/>
      <c r="AG11" s="82"/>
      <c r="AH11" s="33"/>
      <c r="AI11" s="79"/>
      <c r="AJ11" s="30"/>
      <c r="AK11" s="30"/>
      <c r="AL11" s="30"/>
    </row>
    <row r="12" spans="1:38" s="88" customFormat="1" ht="18.75" customHeight="1">
      <c r="A12" s="20" t="s">
        <v>5</v>
      </c>
      <c r="B12" s="21">
        <v>8982</v>
      </c>
      <c r="C12" s="21">
        <v>9058</v>
      </c>
      <c r="D12" s="21">
        <v>9128</v>
      </c>
      <c r="E12" s="21">
        <v>9132</v>
      </c>
      <c r="F12" s="21">
        <v>9268</v>
      </c>
      <c r="G12" s="21">
        <v>8968</v>
      </c>
      <c r="H12" s="21">
        <v>9088</v>
      </c>
      <c r="I12" s="21">
        <v>9506</v>
      </c>
      <c r="J12" s="105">
        <f t="shared" si="1"/>
        <v>35.294991274644488</v>
      </c>
      <c r="K12" s="19" t="s">
        <v>90</v>
      </c>
      <c r="M12" s="89"/>
      <c r="N12" s="90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97"/>
      <c r="AC12" s="90"/>
      <c r="AD12" s="87"/>
      <c r="AE12" s="90"/>
      <c r="AF12" s="90"/>
      <c r="AG12" s="82"/>
      <c r="AH12" s="33"/>
      <c r="AI12" s="79"/>
      <c r="AJ12" s="30"/>
      <c r="AK12" s="30"/>
      <c r="AL12" s="30"/>
    </row>
    <row r="13" spans="1:38" s="88" customFormat="1" ht="18.75" customHeight="1">
      <c r="A13" s="20" t="s">
        <v>6</v>
      </c>
      <c r="B13" s="21">
        <v>1988</v>
      </c>
      <c r="C13" s="21">
        <v>1988</v>
      </c>
      <c r="D13" s="21">
        <v>1988</v>
      </c>
      <c r="E13" s="21">
        <v>1988</v>
      </c>
      <c r="F13" s="21">
        <v>2156</v>
      </c>
      <c r="G13" s="21">
        <v>2216</v>
      </c>
      <c r="H13" s="21">
        <v>2244</v>
      </c>
      <c r="I13" s="21">
        <v>2454</v>
      </c>
      <c r="J13" s="105">
        <f t="shared" si="1"/>
        <v>9.1114989046894141</v>
      </c>
      <c r="K13" s="19" t="s">
        <v>101</v>
      </c>
      <c r="M13" s="89"/>
      <c r="N13" s="90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97"/>
      <c r="AC13" s="90"/>
      <c r="AD13" s="87"/>
      <c r="AE13" s="90"/>
      <c r="AF13" s="90"/>
      <c r="AG13" s="82"/>
      <c r="AH13" s="33"/>
      <c r="AI13" s="79"/>
      <c r="AJ13" s="30"/>
      <c r="AK13" s="30"/>
      <c r="AL13" s="30"/>
    </row>
    <row r="14" spans="1:38" s="84" customFormat="1" ht="18.75" customHeight="1">
      <c r="A14" s="20" t="s">
        <v>7</v>
      </c>
      <c r="B14" s="21">
        <v>3538</v>
      </c>
      <c r="C14" s="21">
        <v>3586</v>
      </c>
      <c r="D14" s="21">
        <v>3818</v>
      </c>
      <c r="E14" s="21">
        <v>3818</v>
      </c>
      <c r="F14" s="21">
        <v>3818</v>
      </c>
      <c r="G14" s="21">
        <v>3862</v>
      </c>
      <c r="H14" s="21">
        <v>3982</v>
      </c>
      <c r="I14" s="21">
        <v>3982</v>
      </c>
      <c r="J14" s="105">
        <f t="shared" si="1"/>
        <v>14.784836445995619</v>
      </c>
      <c r="K14" s="19" t="s">
        <v>91</v>
      </c>
      <c r="M14" s="85"/>
      <c r="N14" s="90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97"/>
      <c r="AC14" s="86"/>
      <c r="AD14" s="87"/>
      <c r="AE14" s="86"/>
      <c r="AF14" s="86"/>
      <c r="AG14" s="82"/>
      <c r="AH14" s="33"/>
      <c r="AI14" s="79"/>
      <c r="AJ14" s="30"/>
      <c r="AK14" s="30"/>
      <c r="AL14" s="30"/>
    </row>
    <row r="15" spans="1:38" s="84" customFormat="1" ht="18.75" customHeight="1">
      <c r="A15" s="20" t="s">
        <v>8</v>
      </c>
      <c r="B15" s="17">
        <v>350</v>
      </c>
      <c r="C15" s="17">
        <v>350</v>
      </c>
      <c r="D15" s="17">
        <v>350</v>
      </c>
      <c r="E15" s="17">
        <v>402</v>
      </c>
      <c r="F15" s="17">
        <v>402</v>
      </c>
      <c r="G15" s="17">
        <v>402</v>
      </c>
      <c r="H15" s="17">
        <v>402</v>
      </c>
      <c r="I15" s="17">
        <v>434</v>
      </c>
      <c r="J15" s="105">
        <f t="shared" si="1"/>
        <v>1.6114060817584375</v>
      </c>
      <c r="K15" s="19" t="s">
        <v>92</v>
      </c>
      <c r="M15" s="85"/>
      <c r="N15" s="90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97"/>
      <c r="AC15" s="86"/>
      <c r="AD15" s="87"/>
      <c r="AE15" s="86"/>
      <c r="AF15" s="86"/>
      <c r="AG15" s="82"/>
      <c r="AH15" s="24"/>
      <c r="AI15" s="79"/>
      <c r="AJ15" s="30"/>
      <c r="AK15" s="30"/>
      <c r="AL15" s="30"/>
    </row>
    <row r="16" spans="1:38" s="84" customFormat="1" ht="18.75" customHeight="1">
      <c r="A16" s="38" t="s">
        <v>9</v>
      </c>
      <c r="B16" s="17">
        <v>400</v>
      </c>
      <c r="C16" s="17">
        <v>400</v>
      </c>
      <c r="D16" s="17">
        <v>400</v>
      </c>
      <c r="E16" s="17">
        <v>400</v>
      </c>
      <c r="F16" s="17">
        <v>400</v>
      </c>
      <c r="G16" s="17">
        <v>400</v>
      </c>
      <c r="H16" s="17">
        <v>400</v>
      </c>
      <c r="I16" s="17">
        <v>400</v>
      </c>
      <c r="J16" s="105">
        <f t="shared" si="1"/>
        <v>1.4851668956298965</v>
      </c>
      <c r="K16" s="18" t="s">
        <v>94</v>
      </c>
      <c r="M16" s="85"/>
      <c r="N16" s="86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97"/>
      <c r="AC16" s="86"/>
      <c r="AD16" s="87"/>
      <c r="AE16" s="86"/>
      <c r="AF16" s="86"/>
      <c r="AG16" s="75"/>
      <c r="AH16" s="24"/>
      <c r="AI16" s="79"/>
      <c r="AJ16" s="30"/>
      <c r="AK16" s="30"/>
      <c r="AL16" s="30"/>
    </row>
    <row r="17" spans="1:38" s="84" customFormat="1" ht="18.75" customHeight="1">
      <c r="A17" s="38" t="s">
        <v>10</v>
      </c>
      <c r="B17" s="17">
        <v>250</v>
      </c>
      <c r="C17" s="17">
        <v>250</v>
      </c>
      <c r="D17" s="17">
        <v>250</v>
      </c>
      <c r="E17" s="17">
        <v>250</v>
      </c>
      <c r="F17" s="17">
        <v>250</v>
      </c>
      <c r="G17" s="17">
        <v>250</v>
      </c>
      <c r="H17" s="17">
        <v>250</v>
      </c>
      <c r="I17" s="17">
        <v>250</v>
      </c>
      <c r="J17" s="105">
        <f t="shared" si="1"/>
        <v>0.92822930976868523</v>
      </c>
      <c r="K17" s="19" t="s">
        <v>95</v>
      </c>
      <c r="M17" s="85"/>
      <c r="N17" s="86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97"/>
      <c r="AC17" s="86"/>
      <c r="AD17" s="87"/>
      <c r="AE17" s="86"/>
      <c r="AF17" s="86"/>
      <c r="AG17" s="75"/>
      <c r="AH17" s="24"/>
      <c r="AI17" s="79"/>
      <c r="AJ17" s="30"/>
      <c r="AK17" s="30"/>
      <c r="AL17" s="30"/>
    </row>
    <row r="18" spans="1:38" s="91" customFormat="1" ht="18.75" customHeight="1">
      <c r="A18" s="39" t="s">
        <v>11</v>
      </c>
      <c r="B18" s="22">
        <v>436</v>
      </c>
      <c r="C18" s="22">
        <v>436</v>
      </c>
      <c r="D18" s="22">
        <v>436</v>
      </c>
      <c r="E18" s="22">
        <v>590</v>
      </c>
      <c r="F18" s="22">
        <v>590</v>
      </c>
      <c r="G18" s="22">
        <v>590</v>
      </c>
      <c r="H18" s="22">
        <v>778</v>
      </c>
      <c r="I18" s="22">
        <v>962</v>
      </c>
      <c r="J18" s="105">
        <f t="shared" si="1"/>
        <v>3.5718263839899009</v>
      </c>
      <c r="K18" s="23" t="s">
        <v>96</v>
      </c>
      <c r="M18" s="92"/>
      <c r="N18" s="86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97"/>
      <c r="AC18" s="86"/>
      <c r="AD18" s="87"/>
      <c r="AE18" s="86"/>
      <c r="AF18" s="86"/>
      <c r="AG18" s="75"/>
      <c r="AH18" s="24"/>
      <c r="AI18" s="79"/>
      <c r="AJ18" s="30"/>
      <c r="AK18" s="30"/>
      <c r="AL18" s="30"/>
    </row>
    <row r="19" spans="1:38" s="86" customFormat="1" ht="18.75" customHeight="1">
      <c r="A19" s="40" t="s">
        <v>128</v>
      </c>
      <c r="B19" s="24">
        <v>0</v>
      </c>
      <c r="C19" s="24">
        <v>0</v>
      </c>
      <c r="D19" s="24">
        <v>0</v>
      </c>
      <c r="E19" s="24">
        <v>0</v>
      </c>
      <c r="F19" s="24">
        <v>46</v>
      </c>
      <c r="G19" s="24">
        <v>132</v>
      </c>
      <c r="H19" s="24">
        <v>152</v>
      </c>
      <c r="I19" s="24">
        <v>152</v>
      </c>
      <c r="J19" s="105">
        <f t="shared" si="1"/>
        <v>0.5643634203393606</v>
      </c>
      <c r="K19" s="27" t="s">
        <v>129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97"/>
      <c r="AD19" s="87"/>
      <c r="AG19" s="75"/>
      <c r="AH19" s="24"/>
      <c r="AI19" s="79"/>
      <c r="AJ19" s="30"/>
      <c r="AK19" s="30"/>
      <c r="AL19" s="30"/>
    </row>
    <row r="20" spans="1:38" s="90" customFormat="1" ht="18.75" customHeight="1">
      <c r="A20" s="40" t="s">
        <v>104</v>
      </c>
      <c r="B20" s="24">
        <v>0</v>
      </c>
      <c r="C20" s="24">
        <v>0</v>
      </c>
      <c r="D20" s="24">
        <v>194</v>
      </c>
      <c r="E20" s="24">
        <v>194</v>
      </c>
      <c r="F20" s="24">
        <v>194</v>
      </c>
      <c r="G20" s="24">
        <v>194</v>
      </c>
      <c r="H20" s="24">
        <v>194</v>
      </c>
      <c r="I20" s="24">
        <v>194</v>
      </c>
      <c r="J20" s="105">
        <f t="shared" si="1"/>
        <v>0.72030594438049977</v>
      </c>
      <c r="K20" s="25" t="s">
        <v>106</v>
      </c>
      <c r="N20" s="86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97"/>
      <c r="AD20" s="87"/>
      <c r="AG20" s="75"/>
      <c r="AH20" s="24"/>
      <c r="AI20" s="79"/>
      <c r="AJ20" s="30"/>
      <c r="AK20" s="30"/>
      <c r="AL20" s="30"/>
    </row>
    <row r="21" spans="1:38" s="93" customFormat="1" ht="18.75" customHeight="1">
      <c r="A21" s="41" t="s">
        <v>27</v>
      </c>
      <c r="B21" s="26">
        <v>200</v>
      </c>
      <c r="C21" s="26">
        <v>250</v>
      </c>
      <c r="D21" s="26">
        <v>324</v>
      </c>
      <c r="E21" s="26">
        <v>524</v>
      </c>
      <c r="F21" s="26">
        <v>576</v>
      </c>
      <c r="G21" s="26">
        <v>576</v>
      </c>
      <c r="H21" s="26">
        <v>576</v>
      </c>
      <c r="I21" s="26">
        <v>616</v>
      </c>
      <c r="J21" s="105">
        <f t="shared" si="1"/>
        <v>2.2871570192700403</v>
      </c>
      <c r="K21" s="27" t="s">
        <v>100</v>
      </c>
      <c r="M21" s="94"/>
      <c r="N21" s="86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97"/>
      <c r="AC21" s="86"/>
      <c r="AD21" s="87"/>
      <c r="AE21" s="86"/>
      <c r="AF21" s="86"/>
      <c r="AG21" s="75"/>
      <c r="AH21" s="24"/>
      <c r="AI21" s="79"/>
      <c r="AJ21" s="30"/>
      <c r="AK21" s="30"/>
      <c r="AL21" s="30"/>
    </row>
    <row r="22" spans="1:38" s="84" customFormat="1" ht="18.75" customHeight="1">
      <c r="A22" s="38" t="s">
        <v>103</v>
      </c>
      <c r="B22" s="17">
        <v>0</v>
      </c>
      <c r="C22" s="17">
        <v>0</v>
      </c>
      <c r="D22" s="17">
        <v>200</v>
      </c>
      <c r="E22" s="17">
        <v>200</v>
      </c>
      <c r="F22" s="17">
        <v>200</v>
      </c>
      <c r="G22" s="17">
        <v>200</v>
      </c>
      <c r="H22" s="17">
        <v>550</v>
      </c>
      <c r="I22" s="17">
        <v>550</v>
      </c>
      <c r="J22" s="105">
        <f t="shared" si="1"/>
        <v>2.0421044814911076</v>
      </c>
      <c r="K22" s="27" t="s">
        <v>107</v>
      </c>
      <c r="M22" s="8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97"/>
      <c r="AC22" s="86"/>
      <c r="AD22" s="87"/>
      <c r="AE22" s="86"/>
      <c r="AF22" s="86"/>
      <c r="AG22" s="75"/>
      <c r="AH22" s="24"/>
      <c r="AI22" s="79"/>
      <c r="AJ22" s="30"/>
      <c r="AK22" s="30"/>
      <c r="AL22" s="30"/>
    </row>
    <row r="23" spans="1:38" s="84" customFormat="1" ht="18.75" customHeight="1">
      <c r="A23" s="42" t="s">
        <v>13</v>
      </c>
      <c r="B23" s="28">
        <v>830</v>
      </c>
      <c r="C23" s="28">
        <v>830</v>
      </c>
      <c r="D23" s="28">
        <v>830</v>
      </c>
      <c r="E23" s="28">
        <v>830</v>
      </c>
      <c r="F23" s="28">
        <v>830</v>
      </c>
      <c r="G23" s="28">
        <v>826</v>
      </c>
      <c r="H23" s="28">
        <v>826</v>
      </c>
      <c r="I23" s="28">
        <v>826</v>
      </c>
      <c r="J23" s="106">
        <f t="shared" si="1"/>
        <v>3.066869639475736</v>
      </c>
      <c r="K23" s="29" t="s">
        <v>98</v>
      </c>
      <c r="M23" s="85"/>
      <c r="N23" s="86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97"/>
      <c r="AC23" s="86"/>
      <c r="AD23" s="87"/>
      <c r="AE23" s="86"/>
      <c r="AF23" s="86"/>
      <c r="AG23" s="75"/>
      <c r="AH23" s="24"/>
      <c r="AI23" s="79"/>
      <c r="AJ23" s="30"/>
      <c r="AK23" s="30"/>
      <c r="AL23" s="30"/>
    </row>
    <row r="24" spans="1:38" s="7" customFormat="1" ht="15.75" customHeight="1">
      <c r="A24" s="98" t="s">
        <v>131</v>
      </c>
      <c r="E24" s="71"/>
      <c r="F24" s="71"/>
      <c r="G24" s="71"/>
      <c r="H24" s="71"/>
      <c r="I24" s="71"/>
      <c r="J24" s="71"/>
      <c r="K24" s="100" t="s">
        <v>132</v>
      </c>
      <c r="L24" s="71"/>
      <c r="M24" s="71"/>
    </row>
    <row r="25" spans="1:38" ht="20.25" customHeight="1">
      <c r="A25" s="35" t="s">
        <v>126</v>
      </c>
      <c r="B25" s="31"/>
      <c r="C25" s="31"/>
      <c r="D25" s="31"/>
      <c r="E25" s="31"/>
      <c r="F25" s="31"/>
      <c r="G25" s="31"/>
      <c r="H25" s="31"/>
      <c r="I25" s="31"/>
      <c r="J25" s="72"/>
      <c r="K25" s="8" t="s">
        <v>127</v>
      </c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95"/>
    </row>
    <row r="26" spans="1:38" ht="24" customHeight="1"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95"/>
      <c r="AD26" s="38"/>
      <c r="AG26" s="73" t="s">
        <v>119</v>
      </c>
      <c r="AH26" s="96">
        <v>464</v>
      </c>
      <c r="AI26" s="30">
        <v>3</v>
      </c>
      <c r="AJ26" s="37"/>
      <c r="AK26" s="37"/>
    </row>
    <row r="27" spans="1:38">
      <c r="A27" s="36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95"/>
      <c r="AD27" s="38"/>
      <c r="AG27" s="73" t="s">
        <v>17</v>
      </c>
      <c r="AH27" s="96">
        <v>159</v>
      </c>
      <c r="AI27" s="30">
        <v>1</v>
      </c>
      <c r="AJ27" s="37"/>
      <c r="AK27" s="37"/>
    </row>
    <row r="28" spans="1:38">
      <c r="A28" s="36"/>
      <c r="C28" s="32"/>
      <c r="D28" s="32"/>
      <c r="E28" s="32"/>
      <c r="F28" s="32"/>
      <c r="G28" s="32"/>
      <c r="H28" s="32"/>
      <c r="I28" s="32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95"/>
      <c r="AD28" s="38"/>
      <c r="AG28" s="73" t="s">
        <v>18</v>
      </c>
      <c r="AH28" s="96">
        <v>832</v>
      </c>
      <c r="AI28" s="30">
        <v>5</v>
      </c>
      <c r="AJ28" s="37"/>
      <c r="AK28" s="37"/>
    </row>
    <row r="29" spans="1:38"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95"/>
      <c r="AD29" s="20"/>
      <c r="AG29" s="20" t="s">
        <v>19</v>
      </c>
      <c r="AH29" s="96">
        <v>810</v>
      </c>
      <c r="AI29" s="30">
        <v>3</v>
      </c>
      <c r="AJ29" s="37"/>
      <c r="AK29" s="37"/>
    </row>
    <row r="30" spans="1:38">
      <c r="AD30" s="20"/>
      <c r="AG30" s="20" t="s">
        <v>25</v>
      </c>
      <c r="AH30" s="96">
        <v>2204</v>
      </c>
      <c r="AI30" s="30">
        <v>12</v>
      </c>
      <c r="AJ30" s="37"/>
      <c r="AK30" s="37"/>
    </row>
    <row r="31" spans="1:38">
      <c r="AD31" s="20"/>
      <c r="AG31" s="20" t="s">
        <v>20</v>
      </c>
      <c r="AH31" s="96">
        <v>2138</v>
      </c>
      <c r="AI31" s="30">
        <v>7</v>
      </c>
      <c r="AJ31" s="37"/>
      <c r="AK31" s="37"/>
    </row>
    <row r="32" spans="1:38">
      <c r="AD32" s="20"/>
      <c r="AG32" s="20" t="s">
        <v>21</v>
      </c>
      <c r="AH32" s="96">
        <v>9506</v>
      </c>
      <c r="AI32" s="30">
        <v>44</v>
      </c>
      <c r="AJ32" s="37"/>
      <c r="AK32" s="37"/>
    </row>
    <row r="33" spans="11:37">
      <c r="AD33" s="20"/>
      <c r="AG33" s="20" t="s">
        <v>120</v>
      </c>
      <c r="AH33" s="96">
        <v>2454</v>
      </c>
      <c r="AI33" s="30">
        <v>13</v>
      </c>
      <c r="AJ33" s="37"/>
      <c r="AK33" s="37"/>
    </row>
    <row r="34" spans="11:37">
      <c r="K34" s="132"/>
      <c r="L34" s="133"/>
      <c r="M34" s="133"/>
      <c r="N34" s="134"/>
      <c r="AD34" s="20"/>
      <c r="AG34" s="20" t="s">
        <v>125</v>
      </c>
      <c r="AH34" s="96">
        <v>3982</v>
      </c>
      <c r="AI34" s="30">
        <v>17</v>
      </c>
      <c r="AJ34" s="37"/>
    </row>
    <row r="35" spans="11:37">
      <c r="AD35" s="20"/>
      <c r="AG35" s="20" t="s">
        <v>28</v>
      </c>
      <c r="AH35" s="96">
        <v>434</v>
      </c>
      <c r="AI35" s="30">
        <v>2</v>
      </c>
      <c r="AJ35" s="37"/>
      <c r="AK35" s="37"/>
    </row>
    <row r="36" spans="11:37">
      <c r="AD36" s="38"/>
      <c r="AG36" s="73" t="s">
        <v>23</v>
      </c>
      <c r="AH36" s="96">
        <v>400</v>
      </c>
      <c r="AI36" s="30">
        <v>2</v>
      </c>
      <c r="AJ36" s="37"/>
      <c r="AK36" s="37"/>
    </row>
    <row r="37" spans="11:37">
      <c r="AD37" s="38"/>
      <c r="AG37" s="73" t="s">
        <v>121</v>
      </c>
      <c r="AH37" s="96">
        <v>250</v>
      </c>
      <c r="AI37" s="30">
        <v>1</v>
      </c>
      <c r="AJ37" s="37"/>
      <c r="AK37" s="37"/>
    </row>
    <row r="38" spans="11:37">
      <c r="AD38" s="39"/>
      <c r="AE38" s="80"/>
      <c r="AG38" s="74" t="s">
        <v>122</v>
      </c>
      <c r="AH38" s="96">
        <v>962</v>
      </c>
      <c r="AI38" s="30">
        <v>5</v>
      </c>
      <c r="AJ38" s="37"/>
    </row>
    <row r="39" spans="11:37">
      <c r="AC39" s="83"/>
      <c r="AD39" s="40"/>
      <c r="AE39" s="81"/>
      <c r="AF39" s="78"/>
      <c r="AG39" s="75" t="s">
        <v>130</v>
      </c>
      <c r="AH39" s="96">
        <v>152</v>
      </c>
      <c r="AI39" s="30">
        <v>1</v>
      </c>
      <c r="AJ39" s="37"/>
      <c r="AK39" s="99"/>
    </row>
    <row r="40" spans="11:37">
      <c r="AC40" s="83"/>
      <c r="AD40" s="40"/>
      <c r="AE40" s="81"/>
      <c r="AF40" s="78"/>
      <c r="AG40" s="75" t="s">
        <v>22</v>
      </c>
      <c r="AH40" s="96">
        <v>194</v>
      </c>
      <c r="AI40" s="30">
        <v>1</v>
      </c>
      <c r="AJ40" s="37"/>
      <c r="AK40" s="99"/>
    </row>
    <row r="41" spans="11:37">
      <c r="AC41" s="83"/>
      <c r="AD41" s="40"/>
      <c r="AE41" s="81"/>
      <c r="AF41" s="78"/>
      <c r="AG41" s="76" t="s">
        <v>123</v>
      </c>
      <c r="AH41" s="96">
        <v>616</v>
      </c>
      <c r="AI41" s="30">
        <v>4</v>
      </c>
      <c r="AJ41" s="37"/>
      <c r="AK41" s="99"/>
    </row>
    <row r="42" spans="11:37">
      <c r="AC42" s="83"/>
      <c r="AD42" s="40"/>
      <c r="AE42" s="81"/>
      <c r="AF42" s="78"/>
      <c r="AG42" s="73" t="s">
        <v>124</v>
      </c>
      <c r="AH42" s="96">
        <v>550</v>
      </c>
      <c r="AI42" s="30">
        <v>3</v>
      </c>
      <c r="AJ42" s="37"/>
      <c r="AK42" s="99"/>
    </row>
    <row r="43" spans="11:37">
      <c r="AC43" s="83"/>
      <c r="AD43" s="40"/>
      <c r="AE43" s="81"/>
      <c r="AF43" s="78"/>
      <c r="AG43" s="77" t="s">
        <v>24</v>
      </c>
      <c r="AH43" s="96">
        <v>826</v>
      </c>
      <c r="AI43" s="30">
        <v>2</v>
      </c>
      <c r="AJ43" s="37"/>
      <c r="AK43" s="99"/>
    </row>
    <row r="44" spans="11:37">
      <c r="AC44" s="83"/>
      <c r="AD44" s="81"/>
      <c r="AE44" s="81"/>
      <c r="AF44" s="78"/>
    </row>
    <row r="45" spans="11:37">
      <c r="AC45" s="83"/>
      <c r="AD45" s="81"/>
      <c r="AE45" s="81"/>
      <c r="AF45" s="78"/>
    </row>
    <row r="46" spans="11:37">
      <c r="AC46" s="83"/>
      <c r="AD46" s="81"/>
      <c r="AE46" s="81"/>
      <c r="AF46" s="78"/>
    </row>
    <row r="47" spans="11:37">
      <c r="AC47" s="83"/>
      <c r="AD47" s="81"/>
      <c r="AE47" s="81"/>
      <c r="AF47" s="78"/>
    </row>
    <row r="48" spans="11:37">
      <c r="AC48" s="83"/>
      <c r="AD48" s="81"/>
      <c r="AE48" s="81"/>
      <c r="AF48" s="78"/>
    </row>
    <row r="49" spans="29:32">
      <c r="AC49" s="83"/>
      <c r="AD49" s="81"/>
      <c r="AE49" s="81"/>
      <c r="AF49" s="78"/>
    </row>
    <row r="50" spans="29:32">
      <c r="AC50" s="83"/>
      <c r="AD50" s="81"/>
      <c r="AE50" s="81"/>
      <c r="AF50" s="78"/>
    </row>
    <row r="51" spans="29:32">
      <c r="AC51" s="83"/>
      <c r="AD51" s="81"/>
      <c r="AE51" s="81"/>
      <c r="AF51" s="78"/>
    </row>
    <row r="52" spans="29:32">
      <c r="AC52" s="83"/>
      <c r="AD52" s="81"/>
      <c r="AE52" s="81"/>
      <c r="AF52" s="78"/>
    </row>
  </sheetData>
  <mergeCells count="5">
    <mergeCell ref="A2:K2"/>
    <mergeCell ref="A3:A4"/>
    <mergeCell ref="A1:K1"/>
    <mergeCell ref="E3:I3"/>
    <mergeCell ref="K34:N34"/>
  </mergeCells>
  <pageMargins left="0.7" right="0.7" top="0.51" bottom="0.75" header="0.3" footer="0.3"/>
  <pageSetup paperSize="9" scale="95" orientation="landscape" horizontalDpi="4294967295" verticalDpi="4294967295" r:id="rId1"/>
  <rowBreaks count="1" manualBreakCount="1">
    <brk id="25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10.8</vt:lpstr>
      <vt:lpstr>'10.8'!Print_Area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2017-06-06T07:58:17Z</cp:lastPrinted>
  <dcterms:created xsi:type="dcterms:W3CDTF">2007-02-07T06:41:32Z</dcterms:created>
  <dcterms:modified xsi:type="dcterms:W3CDTF">2017-06-06T07:58:36Z</dcterms:modified>
</cp:coreProperties>
</file>