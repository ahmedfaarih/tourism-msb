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736" firstSheet="1" activeTab="1"/>
  </bookViews>
  <sheets>
    <sheet name="10.1 figures workings" sheetId="44" state="hidden" r:id="rId1"/>
    <sheet name="10.6" sheetId="51" r:id="rId2"/>
  </sheets>
  <externalReferences>
    <externalReference r:id="rId3"/>
    <externalReference r:id="rId4"/>
    <externalReference r:id="rId5"/>
  </externalReference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'10.6'!$A$1:$T$32</definedName>
    <definedName name="Print_Area_MI">#REF!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R19" i="51" l="1"/>
  <c r="Q19" i="51"/>
  <c r="P19" i="51"/>
  <c r="O19" i="51"/>
  <c r="N19" i="51"/>
  <c r="M19" i="51"/>
  <c r="R18" i="51"/>
  <c r="Q18" i="51"/>
  <c r="P18" i="51"/>
  <c r="O18" i="51"/>
  <c r="N18" i="51"/>
  <c r="M18" i="51"/>
  <c r="Q17" i="51"/>
  <c r="P17" i="51"/>
  <c r="L17" i="51"/>
  <c r="K17" i="51"/>
  <c r="I17" i="51"/>
  <c r="H17" i="51"/>
  <c r="G17" i="51"/>
  <c r="F17" i="51"/>
  <c r="R14" i="51"/>
  <c r="Q14" i="51"/>
  <c r="P14" i="51"/>
  <c r="O14" i="51"/>
  <c r="O17" i="51" s="1"/>
  <c r="N14" i="51"/>
  <c r="N17" i="51" s="1"/>
  <c r="M14" i="51"/>
  <c r="M17" i="51" s="1"/>
  <c r="L14" i="51"/>
  <c r="K14" i="51"/>
  <c r="J14" i="51"/>
  <c r="I14" i="51"/>
  <c r="R11" i="51"/>
  <c r="R17" i="51" s="1"/>
  <c r="Q11" i="51"/>
  <c r="P11" i="51"/>
  <c r="O11" i="51"/>
  <c r="N11" i="51"/>
  <c r="M11" i="51"/>
  <c r="L11" i="51"/>
  <c r="J11" i="51"/>
  <c r="J17" i="51" s="1"/>
  <c r="I11" i="51"/>
  <c r="R9" i="51"/>
  <c r="Q9" i="51"/>
  <c r="P9" i="51"/>
  <c r="O9" i="51"/>
  <c r="N9" i="51"/>
  <c r="M9" i="51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<sst xmlns="http://schemas.openxmlformats.org/spreadsheetml/2006/main" count="125" uniqueCount="108">
  <si>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</si>
  <si>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</si>
  <si>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</si>
  <si>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</si>
  <si>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</si>
  <si>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</si>
  <si>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</si>
  <si>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</si>
  <si>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</si>
  <si>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</si>
  <si>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</si>
  <si>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</si>
  <si>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</si>
  <si>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</si>
  <si>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</si>
  <si>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</si>
  <si>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</si>
  <si>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</si>
  <si>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</si>
  <si>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</si>
  <si>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</si>
  <si>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</si>
  <si>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</si>
  <si>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</si>
  <si>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</si>
  <si>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</si>
  <si>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</si>
  <si>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</si>
  <si>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</si>
  <si>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</si>
  <si>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</si>
  <si>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</si>
  <si>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</si>
  <si>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</si>
  <si>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</si>
  <si>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</si>
  <si>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</si>
  <si>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</si>
  <si>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</si>
  <si>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</si>
  <si>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</si>
  <si>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</si>
  <si>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</si>
  <si>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</si>
  <si>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</si>
  <si>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</si>
  <si>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</si>
  <si>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</si>
  <si>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</si>
  <si>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</si>
  <si>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</si>
  <si>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</si>
  <si>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</si>
  <si>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</si>
  <si>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</si>
  <si>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</si>
  <si>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</si>
  <si>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</si>
  <si>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No. of Tourists</t>
  </si>
  <si>
    <t>% change over previous year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</si>
  <si>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</si>
  <si>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</si>
  <si>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</si>
  <si>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</si>
  <si>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</si>
  <si>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</si>
  <si>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</si>
  <si>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</si>
  <si>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</si>
  <si>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</si>
  <si>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2019 - 2006 ,ctwbcsin egInwdcmWa iaWdwrwK egWriaWd egumwkirevurutwf cniaeret eguTejwb egurWkurws : 10.6 ulwvWt</t>
  </si>
  <si>
    <t xml:space="preserve">Table  10.6 : PROPORTION OF TOURISM REVENUE AND EXPENDITURE TO CENTRAL GOVERNMENT BUDGET, 2006 - 2019
</t>
  </si>
  <si>
    <t xml:space="preserve">     (In Million MVR)</t>
  </si>
  <si>
    <t>Particulars</t>
  </si>
  <si>
    <t>Actual</t>
  </si>
  <si>
    <t>Revised</t>
  </si>
  <si>
    <t>Estimate</t>
  </si>
  <si>
    <t>Central Government Budget</t>
  </si>
  <si>
    <t>InwdcmWa eguTejwb egurWkurws</t>
  </si>
  <si>
    <t>Total Revenue</t>
  </si>
  <si>
    <t xml:space="preserve"> InwdcmWa wlcmuj</t>
  </si>
  <si>
    <t>Tourism Revenue*</t>
  </si>
  <si>
    <t>InwdcmWa cniaWriaWd egumwkirevurutwf</t>
  </si>
  <si>
    <t>% Share of Tourism Revenue</t>
  </si>
  <si>
    <t>cniawtcaws InwdcmWa cniaWriaWd egumwkirevurutwf</t>
  </si>
  <si>
    <t>Central Government Expenditure</t>
  </si>
  <si>
    <t>urwvcnim WvudwrwK cnuTejwb egurWkurws</t>
  </si>
  <si>
    <t>Total Expenditure</t>
  </si>
  <si>
    <t>udwrwK wlcmuj</t>
  </si>
  <si>
    <t xml:space="preserve"> Current Expenditure</t>
  </si>
  <si>
    <t>ރިކަރަންޓް ޚަރަދު</t>
  </si>
  <si>
    <t xml:space="preserve"> Capital Expenditure</t>
  </si>
  <si>
    <t>ކެޕިޓަލް ޚަރަދު</t>
  </si>
  <si>
    <t>Tourism Expenditure</t>
  </si>
  <si>
    <t xml:space="preserve">                  urwvcnimWvudwrwK cSwmwkirevurutwf</t>
  </si>
  <si>
    <t xml:space="preserve"> % Share of Tourism Expenditure</t>
  </si>
  <si>
    <t>cniawtcaws cnutogWviawfiheb urwvcnim WvudwrwK cSwmwkirevurutwf</t>
  </si>
  <si>
    <t xml:space="preserve">Note: </t>
  </si>
  <si>
    <t xml:space="preserve"> *Tourism Revenue: include Tourism tax, Resort lease rent (Resort kuli) until 2011</t>
  </si>
  <si>
    <t xml:space="preserve"> * 2011 onwards Tourism Goods and Services tax has been included in Total Revenue</t>
  </si>
  <si>
    <t>* 2012 onwards lease period Extension fee has been included in Total Revenue</t>
  </si>
  <si>
    <t>* Bed Tax was abolished from Dec 2014</t>
  </si>
  <si>
    <t>* Green tax introduced starting Nov 2015</t>
  </si>
  <si>
    <t>* TGST rate was increased from 8% to 12% starting Nov 2014</t>
  </si>
  <si>
    <t>* lease period extension fee (consession fee for upto 50 years) was started in mid 2014 after a court ruling. LPEF will be paid in 6 installments, most of which fall for 2015. The last payment will be in March 2016.</t>
  </si>
  <si>
    <t>* Resort lease rent for 2015 - 2017 includes the amount for new revenue measures in budget 2015</t>
  </si>
  <si>
    <t>* Resort lease rent for 2016 - 2018 includes the amount for new revenue measures in budget 2016</t>
  </si>
  <si>
    <t>Source: Ministry of Finance and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</si>
</sst>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(* #,##0.00_);_(* \(#,##0.00\);_(* &quot;-&quot;??_);_(@_)"/>
    <numFmt numFmtId="164" formatCode="General_)"/>
    <numFmt numFmtId="165" formatCode="#,##0.0"/>
    <numFmt numFmtId="166" formatCode="#,##0.0_);\(#,##0.0\)"/>
    <numFmt numFmtId="167" formatCode="0.0"/>
    <numFmt numFmtId="168" formatCode="0.00_)"/>
    <numFmt numFmtId="169" formatCode="_(* #,##0_);_(* \(#,##0\);_(* &quot;-&quot;??_);_(@_)"/>
    <numFmt numFmtId="170" formatCode="#,##0;[Red]#,##0"/>
    <numFmt numFmtId="173" formatCode="0_);\(0\)"/>
    <numFmt numFmtId="174" formatCode="_(* #,##0.0_);_(* \(#,##0.0\);_(* &quot;-&quot;??_);_(@_)"/>
    <numFmt numFmtId="175" formatCode="0.0%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sz val="10"/>
      <name val="Helv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_Randhoo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A_Randhoo"/>
    </font>
    <font>
      <b/>
      <sz val="12"/>
      <color theme="1"/>
      <name val="A_Randhoo"/>
    </font>
    <font>
      <sz val="10"/>
      <color theme="1"/>
      <name val="A_Randho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9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2" fillId="0" borderId="1" applyNumberFormat="0"/>
    <xf numFmtId="0" fontId="2" fillId="0" borderId="0"/>
    <xf numFmtId="0" fontId="15" fillId="0" borderId="0"/>
    <xf numFmtId="0" fontId="13" fillId="0" borderId="0"/>
    <xf numFmtId="0" fontId="2" fillId="0" borderId="0"/>
    <xf numFmtId="0" fontId="4" fillId="0" borderId="0"/>
    <xf numFmtId="0" fontId="4" fillId="0" borderId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4" fillId="0" borderId="0"/>
  </cellStyleXfs>
  <cellXfs count="114">
    <xf numFmtId="0" fontId="0" fillId="0" borderId="0" xfId="0"/>
    <xf numFmtId="0" fontId="0" fillId="2" borderId="0" xfId="0" applyFill="1"/>
    <xf numFmtId="49" fontId="17" fillId="2" borderId="3" xfId="0" applyNumberFormat="1" applyFont="1" applyFill="1" applyBorder="1" applyAlignment="1" applyProtection="1">
      <alignment horizontal="right" vertical="center"/>
    </xf>
    <xf numFmtId="0" fontId="17" fillId="2" borderId="2" xfId="0" applyFont="1" applyFill="1" applyBorder="1" applyAlignment="1" applyProtection="1">
      <alignment horizontal="right" vertical="center"/>
    </xf>
    <xf numFmtId="0" fontId="19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Border="1" applyAlignment="1" applyProtection="1">
      <alignment horizontal="center" vertical="center"/>
    </xf>
    <xf numFmtId="0" fontId="27" fillId="2" borderId="0" xfId="0" applyFont="1" applyFill="1"/>
    <xf numFmtId="49" fontId="17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8" fillId="4" borderId="8" xfId="2" applyNumberFormat="1" applyFont="1" applyFill="1" applyBorder="1" applyAlignment="1" applyProtection="1">
      <alignment horizontal="left" vertical="center"/>
    </xf>
    <xf numFmtId="170" fontId="18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18" fillId="4" borderId="0" xfId="2" applyNumberFormat="1" applyFont="1" applyFill="1" applyBorder="1" applyAlignment="1">
      <alignment vertical="center"/>
    </xf>
    <xf numFmtId="170" fontId="18" fillId="4" borderId="7" xfId="2" applyNumberFormat="1" applyFont="1" applyFill="1" applyBorder="1" applyAlignment="1">
      <alignment vertical="center"/>
    </xf>
    <xf numFmtId="0" fontId="17" fillId="2" borderId="4" xfId="0" applyFont="1" applyFill="1" applyBorder="1" applyAlignment="1" applyProtection="1">
      <alignment horizontal="right" vertical="center"/>
    </xf>
    <xf numFmtId="0" fontId="17" fillId="3" borderId="6" xfId="0" applyFont="1" applyFill="1" applyBorder="1" applyAlignment="1" applyProtection="1">
      <alignment horizontal="right" vertical="center"/>
    </xf>
    <xf numFmtId="167" fontId="18" fillId="4" borderId="0" xfId="0" applyNumberFormat="1" applyFont="1" applyFill="1" applyBorder="1" applyAlignment="1">
      <alignment vertical="center"/>
    </xf>
    <xf numFmtId="167" fontId="16" fillId="4" borderId="0" xfId="0" applyNumberFormat="1" applyFont="1" applyFill="1" applyBorder="1" applyAlignment="1">
      <alignment vertical="center"/>
    </xf>
    <xf numFmtId="167" fontId="16" fillId="4" borderId="7" xfId="0" applyNumberFormat="1" applyFont="1" applyFill="1" applyBorder="1" applyAlignment="1">
      <alignment vertical="center"/>
    </xf>
    <xf numFmtId="169" fontId="18" fillId="2" borderId="8" xfId="2" applyNumberFormat="1" applyFont="1" applyFill="1" applyBorder="1" applyAlignment="1" applyProtection="1">
      <alignment horizontal="left" vertical="center"/>
    </xf>
    <xf numFmtId="170" fontId="18" fillId="2" borderId="9" xfId="2" applyNumberFormat="1" applyFont="1" applyFill="1" applyBorder="1" applyAlignment="1">
      <alignment vertical="center"/>
    </xf>
    <xf numFmtId="170" fontId="18" fillId="2" borderId="0" xfId="2" applyNumberFormat="1" applyFont="1" applyFill="1" applyBorder="1" applyAlignment="1">
      <alignment vertical="center"/>
    </xf>
    <xf numFmtId="170" fontId="18" fillId="3" borderId="7" xfId="2" applyNumberFormat="1" applyFont="1" applyFill="1" applyBorder="1" applyAlignment="1">
      <alignment vertical="center"/>
    </xf>
    <xf numFmtId="167" fontId="18" fillId="2" borderId="0" xfId="0" applyNumberFormat="1" applyFont="1" applyFill="1" applyBorder="1" applyAlignment="1">
      <alignment vertical="center"/>
    </xf>
    <xf numFmtId="167" fontId="16" fillId="2" borderId="0" xfId="0" applyNumberFormat="1" applyFont="1" applyFill="1" applyBorder="1" applyAlignment="1">
      <alignment vertical="center"/>
    </xf>
    <xf numFmtId="167" fontId="16" fillId="3" borderId="7" xfId="0" applyNumberFormat="1" applyFont="1" applyFill="1" applyBorder="1" applyAlignment="1">
      <alignment vertical="center"/>
    </xf>
    <xf numFmtId="169" fontId="18" fillId="2" borderId="10" xfId="2" applyNumberFormat="1" applyFont="1" applyFill="1" applyBorder="1" applyAlignment="1" applyProtection="1">
      <alignment horizontal="left" vertical="center"/>
    </xf>
    <xf numFmtId="170" fontId="18" fillId="2" borderId="11" xfId="2" applyNumberFormat="1" applyFont="1" applyFill="1" applyBorder="1" applyAlignment="1">
      <alignment vertical="center"/>
    </xf>
    <xf numFmtId="170" fontId="18" fillId="2" borderId="2" xfId="2" applyNumberFormat="1" applyFont="1" applyFill="1" applyBorder="1" applyAlignment="1">
      <alignment vertical="center"/>
    </xf>
    <xf numFmtId="170" fontId="18" fillId="3" borderId="6" xfId="2" applyNumberFormat="1" applyFont="1" applyFill="1" applyBorder="1" applyAlignment="1">
      <alignment vertical="center"/>
    </xf>
    <xf numFmtId="167" fontId="18" fillId="2" borderId="2" xfId="0" applyNumberFormat="1" applyFont="1" applyFill="1" applyBorder="1" applyAlignment="1">
      <alignment vertical="center"/>
    </xf>
    <xf numFmtId="167" fontId="16" fillId="2" borderId="2" xfId="0" applyNumberFormat="1" applyFont="1" applyFill="1" applyBorder="1" applyAlignment="1">
      <alignment vertical="center"/>
    </xf>
    <xf numFmtId="167" fontId="16" fillId="3" borderId="6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0" fontId="23" fillId="2" borderId="0" xfId="0" applyFont="1" applyFill="1" applyAlignment="1">
      <alignment horizontal="right" vertical="center"/>
    </xf>
    <xf numFmtId="164" fontId="27" fillId="2" borderId="0" xfId="11" applyNumberFormat="1" applyFont="1" applyFill="1" applyAlignment="1">
      <alignment vertical="center"/>
    </xf>
    <xf numFmtId="164" fontId="25" fillId="2" borderId="0" xfId="11" applyNumberFormat="1" applyFont="1" applyFill="1" applyBorder="1" applyAlignment="1">
      <alignment horizontal="center" vertical="center"/>
    </xf>
    <xf numFmtId="164" fontId="27" fillId="2" borderId="0" xfId="11" applyNumberFormat="1" applyFont="1" applyFill="1" applyAlignment="1">
      <alignment horizontal="right" vertical="center"/>
    </xf>
    <xf numFmtId="164" fontId="25" fillId="2" borderId="0" xfId="11" applyNumberFormat="1" applyFont="1" applyFill="1" applyBorder="1" applyAlignment="1">
      <alignment horizontal="right" vertical="center"/>
    </xf>
    <xf numFmtId="173" fontId="25" fillId="2" borderId="2" xfId="11" applyNumberFormat="1" applyFont="1" applyFill="1" applyBorder="1" applyAlignment="1" applyProtection="1">
      <alignment horizontal="right" vertical="center"/>
    </xf>
    <xf numFmtId="173" fontId="25" fillId="2" borderId="2" xfId="10" applyNumberFormat="1" applyFont="1" applyFill="1" applyBorder="1" applyAlignment="1" applyProtection="1">
      <alignment horizontal="right" vertical="center"/>
    </xf>
    <xf numFmtId="0" fontId="27" fillId="2" borderId="2" xfId="0" applyFont="1" applyFill="1" applyBorder="1"/>
    <xf numFmtId="164" fontId="27" fillId="2" borderId="0" xfId="11" applyNumberFormat="1" applyFont="1" applyFill="1" applyBorder="1" applyAlignment="1">
      <alignment vertical="center"/>
    </xf>
    <xf numFmtId="164" fontId="25" fillId="2" borderId="0" xfId="11" applyNumberFormat="1" applyFont="1" applyFill="1" applyBorder="1" applyAlignment="1">
      <alignment horizontal="left" vertical="center"/>
    </xf>
    <xf numFmtId="166" fontId="20" fillId="2" borderId="0" xfId="11" applyNumberFormat="1" applyFont="1" applyFill="1" applyBorder="1" applyAlignment="1" applyProtection="1">
      <alignment horizontal="right" vertical="center"/>
    </xf>
    <xf numFmtId="166" fontId="20" fillId="2" borderId="0" xfId="10" applyNumberFormat="1" applyFont="1" applyFill="1" applyBorder="1" applyAlignment="1" applyProtection="1">
      <alignment horizontal="right" vertical="center"/>
    </xf>
    <xf numFmtId="164" fontId="20" fillId="2" borderId="5" xfId="10" applyNumberFormat="1" applyFont="1" applyFill="1" applyBorder="1" applyAlignment="1">
      <alignment horizontal="right" vertical="center"/>
    </xf>
    <xf numFmtId="164" fontId="20" fillId="2" borderId="0" xfId="10" applyNumberFormat="1" applyFont="1" applyFill="1" applyBorder="1" applyAlignment="1">
      <alignment horizontal="right" vertical="center"/>
    </xf>
    <xf numFmtId="0" fontId="31" fillId="2" borderId="0" xfId="0" applyFont="1" applyFill="1" applyAlignment="1">
      <alignment horizontal="right" vertical="center"/>
    </xf>
    <xf numFmtId="164" fontId="21" fillId="2" borderId="0" xfId="11" applyNumberFormat="1" applyFont="1" applyFill="1" applyAlignment="1">
      <alignment vertical="center"/>
    </xf>
    <xf numFmtId="165" fontId="25" fillId="2" borderId="0" xfId="11" applyNumberFormat="1" applyFont="1" applyFill="1" applyBorder="1" applyAlignment="1">
      <alignment horizontal="right" vertical="center"/>
    </xf>
    <xf numFmtId="165" fontId="25" fillId="2" borderId="0" xfId="18" applyNumberFormat="1" applyFont="1" applyFill="1" applyBorder="1" applyAlignment="1">
      <alignment horizontal="right" vertical="center"/>
    </xf>
    <xf numFmtId="174" fontId="25" fillId="2" borderId="0" xfId="2" applyNumberFormat="1" applyFont="1" applyFill="1" applyBorder="1" applyAlignment="1">
      <alignment horizontal="right" vertical="center"/>
    </xf>
    <xf numFmtId="164" fontId="24" fillId="2" borderId="0" xfId="11" applyNumberFormat="1" applyFont="1" applyFill="1" applyAlignment="1">
      <alignment vertical="center"/>
    </xf>
    <xf numFmtId="164" fontId="20" fillId="2" borderId="0" xfId="11" applyNumberFormat="1" applyFont="1" applyFill="1" applyBorder="1" applyAlignment="1">
      <alignment horizontal="left" vertical="center"/>
    </xf>
    <xf numFmtId="165" fontId="20" fillId="2" borderId="0" xfId="11" applyNumberFormat="1" applyFont="1" applyFill="1" applyBorder="1" applyAlignment="1">
      <alignment horizontal="right" vertical="center"/>
    </xf>
    <xf numFmtId="165" fontId="20" fillId="2" borderId="0" xfId="18" applyNumberFormat="1" applyFont="1" applyFill="1" applyBorder="1" applyAlignment="1">
      <alignment horizontal="right" vertical="center"/>
    </xf>
    <xf numFmtId="174" fontId="20" fillId="2" borderId="0" xfId="2" applyNumberFormat="1" applyFont="1" applyFill="1" applyBorder="1" applyAlignment="1">
      <alignment horizontal="right" vertical="center"/>
    </xf>
    <xf numFmtId="0" fontId="33" fillId="2" borderId="0" xfId="0" applyFont="1" applyFill="1" applyAlignment="1">
      <alignment horizontal="right" vertical="center"/>
    </xf>
    <xf numFmtId="175" fontId="20" fillId="2" borderId="0" xfId="13" applyNumberFormat="1" applyFont="1" applyFill="1" applyBorder="1" applyAlignment="1">
      <alignment horizontal="right" vertical="center"/>
    </xf>
    <xf numFmtId="0" fontId="26" fillId="2" borderId="0" xfId="0" applyFont="1" applyFill="1" applyAlignment="1">
      <alignment horizontal="right" vertical="center"/>
    </xf>
    <xf numFmtId="164" fontId="25" fillId="2" borderId="0" xfId="11" applyNumberFormat="1" applyFont="1" applyFill="1" applyAlignment="1">
      <alignment horizontal="left" vertical="center"/>
    </xf>
    <xf numFmtId="165" fontId="25" fillId="2" borderId="0" xfId="11" applyNumberFormat="1" applyFont="1" applyFill="1" applyAlignment="1">
      <alignment horizontal="right" vertical="center"/>
    </xf>
    <xf numFmtId="165" fontId="25" fillId="2" borderId="0" xfId="18" applyNumberFormat="1" applyFont="1" applyFill="1" applyAlignment="1">
      <alignment horizontal="right" vertical="center"/>
    </xf>
    <xf numFmtId="174" fontId="25" fillId="2" borderId="0" xfId="2" applyNumberFormat="1" applyFont="1" applyFill="1" applyAlignment="1">
      <alignment horizontal="right" vertical="center"/>
    </xf>
    <xf numFmtId="165" fontId="20" fillId="2" borderId="0" xfId="11" applyNumberFormat="1" applyFont="1" applyFill="1" applyAlignment="1">
      <alignment horizontal="right" vertical="center"/>
    </xf>
    <xf numFmtId="165" fontId="20" fillId="2" borderId="0" xfId="18" applyNumberFormat="1" applyFont="1" applyFill="1" applyAlignment="1">
      <alignment horizontal="right" vertical="center"/>
    </xf>
    <xf numFmtId="174" fontId="20" fillId="2" borderId="0" xfId="2" applyNumberFormat="1" applyFont="1" applyFill="1" applyAlignment="1">
      <alignment horizontal="right" vertical="center"/>
    </xf>
    <xf numFmtId="164" fontId="20" fillId="2" borderId="2" xfId="11" applyNumberFormat="1" applyFont="1" applyFill="1" applyBorder="1" applyAlignment="1">
      <alignment horizontal="left" vertical="center"/>
    </xf>
    <xf numFmtId="165" fontId="20" fillId="2" borderId="2" xfId="11" applyNumberFormat="1" applyFont="1" applyFill="1" applyBorder="1" applyAlignment="1">
      <alignment horizontal="right" vertical="center"/>
    </xf>
    <xf numFmtId="165" fontId="20" fillId="2" borderId="2" xfId="18" applyNumberFormat="1" applyFont="1" applyFill="1" applyBorder="1" applyAlignment="1">
      <alignment horizontal="right" vertical="center"/>
    </xf>
    <xf numFmtId="174" fontId="20" fillId="2" borderId="2" xfId="2" applyNumberFormat="1" applyFont="1" applyFill="1" applyBorder="1" applyAlignment="1">
      <alignment horizontal="right" vertical="center"/>
    </xf>
    <xf numFmtId="0" fontId="26" fillId="2" borderId="2" xfId="0" applyFont="1" applyFill="1" applyBorder="1" applyAlignment="1">
      <alignment horizontal="right" vertical="center"/>
    </xf>
    <xf numFmtId="164" fontId="29" fillId="2" borderId="0" xfId="11" applyNumberFormat="1" applyFont="1" applyFill="1" applyAlignment="1">
      <alignment horizontal="left" vertical="center"/>
    </xf>
    <xf numFmtId="164" fontId="30" fillId="2" borderId="0" xfId="11" applyNumberFormat="1" applyFont="1" applyFill="1" applyAlignment="1">
      <alignment horizontal="right" vertical="center"/>
    </xf>
    <xf numFmtId="164" fontId="30" fillId="2" borderId="0" xfId="11" applyNumberFormat="1" applyFont="1" applyFill="1" applyAlignment="1">
      <alignment vertical="center"/>
    </xf>
    <xf numFmtId="164" fontId="30" fillId="2" borderId="0" xfId="11" applyNumberFormat="1" applyFont="1" applyFill="1" applyBorder="1" applyAlignment="1">
      <alignment vertical="center"/>
    </xf>
    <xf numFmtId="164" fontId="29" fillId="2" borderId="0" xfId="11" applyNumberFormat="1" applyFont="1" applyFill="1" applyAlignment="1">
      <alignment horizontal="left" vertical="center" indent="2"/>
    </xf>
    <xf numFmtId="0" fontId="29" fillId="2" borderId="0" xfId="0" applyFont="1" applyFill="1" applyAlignment="1">
      <alignment horizontal="left" indent="2"/>
    </xf>
    <xf numFmtId="0" fontId="22" fillId="2" borderId="0" xfId="0" applyFont="1" applyFill="1"/>
    <xf numFmtId="164" fontId="21" fillId="2" borderId="0" xfId="11" applyNumberFormat="1" applyFont="1" applyFill="1" applyAlignment="1">
      <alignment horizontal="right" vertical="center"/>
    </xf>
    <xf numFmtId="164" fontId="21" fillId="2" borderId="0" xfId="11" applyNumberFormat="1" applyFont="1" applyFill="1" applyBorder="1" applyAlignment="1">
      <alignment vertical="center"/>
    </xf>
    <xf numFmtId="164" fontId="29" fillId="2" borderId="0" xfId="11" applyNumberFormat="1" applyFont="1" applyFill="1" applyBorder="1" applyAlignment="1">
      <alignment vertical="center"/>
    </xf>
    <xf numFmtId="164" fontId="21" fillId="2" borderId="0" xfId="11" applyNumberFormat="1" applyFont="1" applyFill="1" applyBorder="1" applyAlignment="1">
      <alignment horizontal="right" vertical="center"/>
    </xf>
    <xf numFmtId="164" fontId="21" fillId="2" borderId="0" xfId="11" applyNumberFormat="1" applyFont="1" applyFill="1" applyAlignment="1">
      <alignment horizontal="left" vertical="center"/>
    </xf>
    <xf numFmtId="0" fontId="27" fillId="2" borderId="0" xfId="0" applyFont="1" applyFill="1" applyBorder="1"/>
    <xf numFmtId="164" fontId="25" fillId="2" borderId="5" xfId="11" applyNumberFormat="1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17" fillId="2" borderId="5" xfId="0" applyFont="1" applyFill="1" applyBorder="1" applyAlignment="1" applyProtection="1">
      <alignment horizontal="left" vertical="center" wrapText="1"/>
    </xf>
    <xf numFmtId="0" fontId="17" fillId="2" borderId="0" xfId="0" applyFont="1" applyFill="1" applyBorder="1" applyAlignment="1" applyProtection="1">
      <alignment horizontal="left" vertical="center"/>
    </xf>
    <xf numFmtId="0" fontId="17" fillId="2" borderId="2" xfId="0" applyFont="1" applyFill="1" applyBorder="1" applyAlignment="1" applyProtection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3" xfId="0" applyFill="1" applyBorder="1"/>
    <xf numFmtId="0" fontId="11" fillId="2" borderId="1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164" fontId="32" fillId="2" borderId="0" xfId="10" applyNumberFormat="1" applyFont="1" applyFill="1" applyAlignment="1">
      <alignment horizontal="center" vertical="center"/>
    </xf>
    <xf numFmtId="164" fontId="28" fillId="2" borderId="0" xfId="11" applyNumberFormat="1" applyFont="1" applyFill="1" applyBorder="1" applyAlignment="1" applyProtection="1">
      <alignment horizontal="center" wrapText="1"/>
    </xf>
    <xf numFmtId="164" fontId="28" fillId="2" borderId="0" xfId="11" applyNumberFormat="1" applyFont="1" applyFill="1" applyBorder="1" applyAlignment="1" applyProtection="1">
      <alignment horizontal="center"/>
    </xf>
    <xf numFmtId="164" fontId="25" fillId="2" borderId="2" xfId="11" applyNumberFormat="1" applyFont="1" applyFill="1" applyBorder="1" applyAlignment="1">
      <alignment horizontal="center" vertical="top"/>
    </xf>
    <xf numFmtId="164" fontId="25" fillId="2" borderId="0" xfId="11" applyNumberFormat="1" applyFont="1" applyFill="1" applyBorder="1" applyAlignment="1">
      <alignment horizontal="center" vertical="top"/>
    </xf>
    <xf numFmtId="0" fontId="25" fillId="2" borderId="5" xfId="5" applyNumberFormat="1" applyFont="1" applyFill="1" applyBorder="1" applyAlignment="1">
      <alignment horizontal="left" vertical="center"/>
    </xf>
    <xf numFmtId="0" fontId="25" fillId="2" borderId="2" xfId="5" applyNumberFormat="1" applyFont="1" applyFill="1" applyBorder="1" applyAlignment="1">
      <alignment horizontal="left" vertical="center"/>
    </xf>
    <xf numFmtId="0" fontId="29" fillId="2" borderId="0" xfId="0" applyFont="1" applyFill="1" applyAlignment="1">
      <alignment horizontal="left" vertical="center" wrapText="1" indent="2"/>
    </xf>
  </cellXfs>
  <cellStyles count="19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4"/>
    <cellStyle name="Normal 4 2" xfId="7"/>
    <cellStyle name="Normal 4 2 2" xfId="15"/>
    <cellStyle name="Normal 5" xfId="8"/>
    <cellStyle name="Normal 5 2" xfId="9"/>
    <cellStyle name="Normal 6" xfId="16"/>
    <cellStyle name="Normal 7" xfId="17"/>
    <cellStyle name="Normal_VIII-8 (Tourism) 2" xfId="10"/>
    <cellStyle name="Normal_VIII-8 (Tourism) 2 3" xfId="11"/>
    <cellStyle name="Normal_VIII-8 (Tourism) 2 4" xfId="18"/>
    <cellStyle name="Percent 2" xfId="12"/>
    <cellStyle name="Percent 2 2" xfId="13"/>
  </cellStyles>
  <dxfs count="0"/>
  <tableStyles count="0" defaultTableStyle="TableStyleMedium9" defaultPivotStyle="PivotStyleLight16"/>
  <colors>
    <mruColors>
      <color rgb="FFFDEADB"/>
      <color rgb="FFFCD5BD"/>
      <color rgb="FFFFCC00"/>
      <color rgb="FFFBC9AB"/>
      <color rgb="FFFAC090"/>
      <color rgb="FF953735"/>
      <color rgb="FFFCE0C8"/>
      <color rgb="FFFF4B4B"/>
      <color rgb="FFA54E07"/>
      <color rgb="FFFDE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542976"/>
        <c:axId val="104544512"/>
      </c:barChart>
      <c:catAx>
        <c:axId val="10454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544512"/>
        <c:crosses val="autoZero"/>
        <c:auto val="1"/>
        <c:lblAlgn val="ctr"/>
        <c:lblOffset val="100"/>
        <c:noMultiLvlLbl val="0"/>
      </c:catAx>
      <c:valAx>
        <c:axId val="104544512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04542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08768"/>
        <c:axId val="110610304"/>
      </c:barChart>
      <c:catAx>
        <c:axId val="11060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610304"/>
        <c:crosses val="autoZero"/>
        <c:auto val="1"/>
        <c:lblAlgn val="ctr"/>
        <c:lblOffset val="100"/>
        <c:noMultiLvlLbl val="0"/>
      </c:catAx>
      <c:valAx>
        <c:axId val="110610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0608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90" t="s">
        <v>63</v>
      </c>
      <c r="B1" s="90"/>
      <c r="C1" s="90"/>
      <c r="D1" s="90"/>
      <c r="E1" s="90"/>
      <c r="F1" s="90"/>
      <c r="G1" s="90"/>
      <c r="H1" s="90"/>
      <c r="I1" s="90"/>
      <c r="J1" s="90"/>
      <c r="K1" s="90"/>
      <c r="M1" s="2" t="s">
        <v>0</v>
      </c>
      <c r="N1" s="2" t="s">
        <v>2</v>
      </c>
      <c r="O1" s="2" t="s">
        <v>57</v>
      </c>
      <c r="P1" s="2" t="s">
        <v>60</v>
      </c>
      <c r="Q1" s="9" t="s">
        <v>62</v>
      </c>
      <c r="S1" s="10">
        <f>Q2/M2</f>
        <v>5.5298836452988356</v>
      </c>
      <c r="T1" s="11" t="s">
        <v>65</v>
      </c>
      <c r="U1" s="11"/>
    </row>
    <row r="2" spans="1:21" ht="9.75" customHeight="1">
      <c r="A2" s="91" t="s">
        <v>64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12" t="s">
        <v>30</v>
      </c>
      <c r="M2" s="13">
        <f>M4/1000</f>
        <v>41.511000000000003</v>
      </c>
      <c r="N2" s="13">
        <f>N4/1000</f>
        <v>60.665999999999997</v>
      </c>
      <c r="O2" s="13">
        <f>O4/1000</f>
        <v>118.961</v>
      </c>
      <c r="P2" s="13">
        <f>P4/1000</f>
        <v>198.655</v>
      </c>
      <c r="Q2" s="13">
        <f>Q4/1000</f>
        <v>229.55099999999999</v>
      </c>
      <c r="R2" s="14" t="s">
        <v>66</v>
      </c>
    </row>
    <row r="3" spans="1:21" ht="3.7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21" ht="21" customHeight="1">
      <c r="A4" s="92" t="s">
        <v>67</v>
      </c>
      <c r="B4" s="95" t="s">
        <v>1</v>
      </c>
      <c r="C4" s="96"/>
      <c r="D4" s="96"/>
      <c r="E4" s="96"/>
      <c r="F4" s="97"/>
      <c r="G4" s="98" t="s">
        <v>61</v>
      </c>
      <c r="H4" s="99"/>
      <c r="I4" s="99"/>
      <c r="J4" s="99"/>
      <c r="K4" s="100"/>
      <c r="L4" s="12" t="s">
        <v>30</v>
      </c>
      <c r="M4" s="13">
        <v>41511</v>
      </c>
      <c r="N4" s="13">
        <v>60666</v>
      </c>
      <c r="O4" s="15">
        <v>118961</v>
      </c>
      <c r="P4" s="15">
        <v>198655</v>
      </c>
      <c r="Q4" s="16">
        <v>229551</v>
      </c>
    </row>
    <row r="5" spans="1:21" ht="13.5" customHeight="1">
      <c r="A5" s="93"/>
      <c r="B5" s="101" t="s">
        <v>58</v>
      </c>
      <c r="C5" s="101"/>
      <c r="D5" s="101"/>
      <c r="E5" s="101"/>
      <c r="F5" s="102"/>
      <c r="G5" s="103" t="s">
        <v>59</v>
      </c>
      <c r="H5" s="104"/>
      <c r="I5" s="104"/>
      <c r="J5" s="104"/>
      <c r="K5" s="105"/>
    </row>
    <row r="6" spans="1:21" ht="15" customHeight="1">
      <c r="A6" s="94"/>
      <c r="B6" s="2" t="s">
        <v>0</v>
      </c>
      <c r="C6" s="2" t="s">
        <v>2</v>
      </c>
      <c r="D6" s="2" t="s">
        <v>57</v>
      </c>
      <c r="E6" s="2" t="s">
        <v>60</v>
      </c>
      <c r="F6" s="9" t="s">
        <v>62</v>
      </c>
      <c r="G6" s="17">
        <v>2008</v>
      </c>
      <c r="H6" s="3">
        <v>2009</v>
      </c>
      <c r="I6" s="3">
        <v>2010</v>
      </c>
      <c r="J6" s="3">
        <v>2011</v>
      </c>
      <c r="K6" s="18">
        <v>2012</v>
      </c>
    </row>
    <row r="7" spans="1:21" ht="12.75" customHeight="1">
      <c r="A7" s="12" t="s">
        <v>30</v>
      </c>
      <c r="B7" s="13">
        <v>41511</v>
      </c>
      <c r="C7" s="13">
        <v>60666</v>
      </c>
      <c r="D7" s="15">
        <v>118961</v>
      </c>
      <c r="E7" s="15">
        <v>198655</v>
      </c>
      <c r="F7" s="16">
        <v>229551</v>
      </c>
      <c r="G7" s="19">
        <v>15.385256837891928</v>
      </c>
      <c r="H7" s="19">
        <f t="shared" ref="H7:K38" si="0">(C7-B7)/B7*100</f>
        <v>46.144395461443956</v>
      </c>
      <c r="I7" s="20">
        <f t="shared" si="0"/>
        <v>96.091715293574651</v>
      </c>
      <c r="J7" s="20">
        <f t="shared" si="0"/>
        <v>66.991703163221558</v>
      </c>
      <c r="K7" s="21">
        <f t="shared" si="0"/>
        <v>15.552591175656289</v>
      </c>
    </row>
    <row r="8" spans="1:21" ht="12.75" customHeight="1">
      <c r="A8" s="12" t="s">
        <v>9</v>
      </c>
      <c r="B8" s="13">
        <v>69240</v>
      </c>
      <c r="C8" s="13">
        <v>69085</v>
      </c>
      <c r="D8" s="15">
        <v>77108</v>
      </c>
      <c r="E8" s="15">
        <v>90517</v>
      </c>
      <c r="F8" s="16">
        <v>98351</v>
      </c>
      <c r="G8" s="19">
        <v>-4.1912853367280576</v>
      </c>
      <c r="H8" s="19">
        <f t="shared" si="0"/>
        <v>-0.2238590410167533</v>
      </c>
      <c r="I8" s="20">
        <f t="shared" si="0"/>
        <v>11.613230078888325</v>
      </c>
      <c r="J8" s="20">
        <f t="shared" si="0"/>
        <v>17.389894693157647</v>
      </c>
      <c r="K8" s="21">
        <f t="shared" si="0"/>
        <v>8.654727841179005</v>
      </c>
    </row>
    <row r="9" spans="1:21" ht="12.75" customHeight="1">
      <c r="A9" s="12" t="s">
        <v>27</v>
      </c>
      <c r="B9" s="13">
        <v>116821</v>
      </c>
      <c r="C9" s="13">
        <v>105950</v>
      </c>
      <c r="D9" s="15">
        <v>114158</v>
      </c>
      <c r="E9" s="15">
        <v>104508</v>
      </c>
      <c r="F9" s="16">
        <v>91776</v>
      </c>
      <c r="G9" s="19">
        <v>-6.6611802681410701</v>
      </c>
      <c r="H9" s="19">
        <f t="shared" si="0"/>
        <v>-9.3056899016443957</v>
      </c>
      <c r="I9" s="20">
        <f t="shared" si="0"/>
        <v>7.7470504955167536</v>
      </c>
      <c r="J9" s="20">
        <f t="shared" si="0"/>
        <v>-8.4531964470295549</v>
      </c>
      <c r="K9" s="21">
        <f t="shared" si="0"/>
        <v>-12.182799402916524</v>
      </c>
    </row>
    <row r="10" spans="1:21" ht="12.75" customHeight="1">
      <c r="A10" s="12" t="s">
        <v>19</v>
      </c>
      <c r="B10" s="13">
        <v>48978</v>
      </c>
      <c r="C10" s="13">
        <v>40014</v>
      </c>
      <c r="D10" s="15">
        <v>49111</v>
      </c>
      <c r="E10" s="15">
        <v>63936</v>
      </c>
      <c r="F10" s="16">
        <v>66378</v>
      </c>
      <c r="G10" s="19">
        <v>53.801224682053693</v>
      </c>
      <c r="H10" s="19">
        <f t="shared" si="0"/>
        <v>-18.302094818081589</v>
      </c>
      <c r="I10" s="20">
        <f t="shared" si="0"/>
        <v>22.734542909981506</v>
      </c>
      <c r="J10" s="20">
        <f t="shared" si="0"/>
        <v>30.186719879456742</v>
      </c>
      <c r="K10" s="21">
        <f t="shared" si="0"/>
        <v>3.8194444444444446</v>
      </c>
    </row>
    <row r="11" spans="1:21" ht="12.75" customHeight="1">
      <c r="A11" s="12" t="s">
        <v>14</v>
      </c>
      <c r="B11" s="13">
        <v>103824</v>
      </c>
      <c r="C11" s="13">
        <v>89292</v>
      </c>
      <c r="D11" s="15">
        <v>89596</v>
      </c>
      <c r="E11" s="15">
        <v>83088</v>
      </c>
      <c r="F11" s="16">
        <v>62782</v>
      </c>
      <c r="G11" s="19">
        <v>-11.44772529553247</v>
      </c>
      <c r="H11" s="19">
        <f t="shared" si="0"/>
        <v>-13.996763754045308</v>
      </c>
      <c r="I11" s="20">
        <f t="shared" si="0"/>
        <v>0.34045603189535456</v>
      </c>
      <c r="J11" s="20">
        <f t="shared" si="0"/>
        <v>-7.2637171302290273</v>
      </c>
      <c r="K11" s="21">
        <f t="shared" si="0"/>
        <v>-24.439148854226843</v>
      </c>
    </row>
    <row r="12" spans="1:21" ht="12.75" customHeight="1">
      <c r="A12" s="12" t="s">
        <v>8</v>
      </c>
      <c r="B12" s="13">
        <v>48100</v>
      </c>
      <c r="C12" s="13">
        <v>50373</v>
      </c>
      <c r="D12" s="15">
        <v>54789</v>
      </c>
      <c r="E12" s="15">
        <v>59694</v>
      </c>
      <c r="F12" s="16">
        <v>56775</v>
      </c>
      <c r="G12" s="19">
        <v>6.1786715525043601</v>
      </c>
      <c r="H12" s="19">
        <f t="shared" si="0"/>
        <v>4.7255717255717258</v>
      </c>
      <c r="I12" s="20">
        <f t="shared" si="0"/>
        <v>8.766601155380858</v>
      </c>
      <c r="J12" s="20">
        <f t="shared" si="0"/>
        <v>8.9525269670919343</v>
      </c>
      <c r="K12" s="21">
        <f t="shared" si="0"/>
        <v>-4.889938687305257</v>
      </c>
    </row>
    <row r="13" spans="1:21" ht="12.75" customHeight="1">
      <c r="A13" s="12" t="s">
        <v>33</v>
      </c>
      <c r="B13" s="13">
        <v>38193</v>
      </c>
      <c r="C13" s="13">
        <v>36641</v>
      </c>
      <c r="D13" s="15">
        <v>38791</v>
      </c>
      <c r="E13" s="15">
        <v>35782</v>
      </c>
      <c r="F13" s="16">
        <v>36438</v>
      </c>
      <c r="G13" s="19">
        <v>-7.120449405413293</v>
      </c>
      <c r="H13" s="19">
        <f t="shared" si="0"/>
        <v>-4.063571858717566</v>
      </c>
      <c r="I13" s="20">
        <f t="shared" si="0"/>
        <v>5.8677437842853637</v>
      </c>
      <c r="J13" s="20">
        <f t="shared" si="0"/>
        <v>-7.7569539326132348</v>
      </c>
      <c r="K13" s="21">
        <f t="shared" si="0"/>
        <v>1.8333240176625119</v>
      </c>
    </row>
    <row r="14" spans="1:21" ht="12.75" customHeight="1">
      <c r="A14" s="12" t="s">
        <v>24</v>
      </c>
      <c r="B14" s="13">
        <v>26983</v>
      </c>
      <c r="C14" s="13">
        <v>26783</v>
      </c>
      <c r="D14" s="15">
        <v>27766</v>
      </c>
      <c r="E14" s="15">
        <v>32504</v>
      </c>
      <c r="F14" s="16">
        <v>35457</v>
      </c>
      <c r="G14" s="19">
        <v>3.0554176373983117</v>
      </c>
      <c r="H14" s="19">
        <f t="shared" si="0"/>
        <v>-0.74120742689841757</v>
      </c>
      <c r="I14" s="20">
        <f t="shared" si="0"/>
        <v>3.6702385841765301</v>
      </c>
      <c r="J14" s="20">
        <f t="shared" si="0"/>
        <v>17.064035150903983</v>
      </c>
      <c r="K14" s="21">
        <f t="shared" si="0"/>
        <v>9.0850356879153349</v>
      </c>
    </row>
    <row r="15" spans="1:21" ht="12.75" customHeight="1">
      <c r="A15" s="12" t="s">
        <v>31</v>
      </c>
      <c r="B15" s="13">
        <v>16663</v>
      </c>
      <c r="C15" s="13">
        <v>15850</v>
      </c>
      <c r="D15" s="15">
        <v>25756</v>
      </c>
      <c r="E15" s="15">
        <v>30978</v>
      </c>
      <c r="F15" s="16">
        <v>31721</v>
      </c>
      <c r="G15" s="19">
        <v>-3.832169446528539</v>
      </c>
      <c r="H15" s="19">
        <f t="shared" si="0"/>
        <v>-4.8790733961471524</v>
      </c>
      <c r="I15" s="20">
        <f t="shared" si="0"/>
        <v>62.498422712933753</v>
      </c>
      <c r="J15" s="20">
        <f t="shared" si="0"/>
        <v>20.274887404876534</v>
      </c>
      <c r="K15" s="21">
        <f t="shared" si="0"/>
        <v>2.3984763380463554</v>
      </c>
    </row>
    <row r="16" spans="1:21" ht="12.75" customHeight="1">
      <c r="A16" s="12" t="s">
        <v>34</v>
      </c>
      <c r="B16" s="13">
        <v>20934</v>
      </c>
      <c r="C16" s="13">
        <v>16135</v>
      </c>
      <c r="D16" s="15">
        <v>24808</v>
      </c>
      <c r="E16" s="15">
        <v>25285</v>
      </c>
      <c r="F16" s="16">
        <v>23933</v>
      </c>
      <c r="G16" s="19">
        <v>-0.20022883295194507</v>
      </c>
      <c r="H16" s="19">
        <f t="shared" si="0"/>
        <v>-22.92442915830706</v>
      </c>
      <c r="I16" s="20">
        <f t="shared" si="0"/>
        <v>53.752711496746208</v>
      </c>
      <c r="J16" s="20">
        <f t="shared" si="0"/>
        <v>1.9227668494034182</v>
      </c>
      <c r="K16" s="21">
        <f t="shared" si="0"/>
        <v>-5.3470437017994854</v>
      </c>
    </row>
    <row r="17" spans="1:15" ht="12.75" customHeight="1">
      <c r="A17" s="22" t="s">
        <v>28</v>
      </c>
      <c r="B17" s="23">
        <v>9482</v>
      </c>
      <c r="C17" s="23">
        <v>9476</v>
      </c>
      <c r="D17" s="24">
        <v>10220</v>
      </c>
      <c r="E17" s="24">
        <v>12088</v>
      </c>
      <c r="F17" s="25">
        <v>18612</v>
      </c>
      <c r="G17" s="26">
        <v>16.272225628448805</v>
      </c>
      <c r="H17" s="26">
        <f t="shared" si="0"/>
        <v>-6.3277789495886944E-2</v>
      </c>
      <c r="I17" s="27">
        <f t="shared" si="0"/>
        <v>7.8514140987758552</v>
      </c>
      <c r="J17" s="27">
        <f t="shared" si="0"/>
        <v>18.277886497064578</v>
      </c>
      <c r="K17" s="28">
        <f t="shared" si="0"/>
        <v>53.970880211780283</v>
      </c>
    </row>
    <row r="18" spans="1:15" ht="12.75" customHeight="1">
      <c r="A18" s="22" t="s">
        <v>3</v>
      </c>
      <c r="B18" s="23">
        <v>13462</v>
      </c>
      <c r="C18" s="23">
        <v>13274</v>
      </c>
      <c r="D18" s="24">
        <v>14944</v>
      </c>
      <c r="E18" s="24">
        <v>16655</v>
      </c>
      <c r="F18" s="25">
        <v>18164</v>
      </c>
      <c r="G18" s="26">
        <v>-1.5431873034447401</v>
      </c>
      <c r="H18" s="26">
        <f t="shared" si="0"/>
        <v>-1.3965235477640767</v>
      </c>
      <c r="I18" s="27">
        <f t="shared" si="0"/>
        <v>12.580985384963087</v>
      </c>
      <c r="J18" s="27">
        <f t="shared" si="0"/>
        <v>11.44941113490364</v>
      </c>
      <c r="K18" s="28">
        <f t="shared" si="0"/>
        <v>9.0603422395676976</v>
      </c>
    </row>
    <row r="19" spans="1:15" ht="12.75" customHeight="1">
      <c r="A19" s="22" t="s">
        <v>47</v>
      </c>
      <c r="B19" s="23">
        <v>8853</v>
      </c>
      <c r="C19" s="23">
        <v>9438</v>
      </c>
      <c r="D19" s="24">
        <v>11482</v>
      </c>
      <c r="E19" s="24">
        <v>14490</v>
      </c>
      <c r="F19" s="25">
        <v>16049</v>
      </c>
      <c r="G19" s="26">
        <v>-5.2952503209242625</v>
      </c>
      <c r="H19" s="26">
        <f t="shared" si="0"/>
        <v>6.607929515418502</v>
      </c>
      <c r="I19" s="27">
        <f t="shared" si="0"/>
        <v>21.657130748039837</v>
      </c>
      <c r="J19" s="27">
        <f t="shared" si="0"/>
        <v>26.197526563316497</v>
      </c>
      <c r="K19" s="28">
        <f t="shared" si="0"/>
        <v>10.759144237405106</v>
      </c>
    </row>
    <row r="20" spans="1:15" ht="12.75" customHeight="1">
      <c r="A20" s="22" t="s">
        <v>49</v>
      </c>
      <c r="B20" s="23">
        <v>9368</v>
      </c>
      <c r="C20" s="23">
        <v>7392</v>
      </c>
      <c r="D20" s="24">
        <v>9622</v>
      </c>
      <c r="E20" s="24">
        <v>12778</v>
      </c>
      <c r="F20" s="25">
        <v>15208</v>
      </c>
      <c r="G20" s="26">
        <v>-0.40399744843716773</v>
      </c>
      <c r="H20" s="26">
        <f t="shared" si="0"/>
        <v>-21.093082835183605</v>
      </c>
      <c r="I20" s="27">
        <f t="shared" si="0"/>
        <v>30.167748917748916</v>
      </c>
      <c r="J20" s="27">
        <f t="shared" si="0"/>
        <v>32.799833714404492</v>
      </c>
      <c r="K20" s="28">
        <f t="shared" si="0"/>
        <v>19.017060572859602</v>
      </c>
    </row>
    <row r="21" spans="1:15" ht="12.75" customHeight="1">
      <c r="A21" s="22" t="s">
        <v>38</v>
      </c>
      <c r="B21" s="23">
        <v>4956</v>
      </c>
      <c r="C21" s="23">
        <v>5214</v>
      </c>
      <c r="D21" s="24">
        <v>5332</v>
      </c>
      <c r="E21" s="24">
        <v>7990</v>
      </c>
      <c r="F21" s="25">
        <v>9625</v>
      </c>
      <c r="G21" s="26">
        <v>11.220825852782765</v>
      </c>
      <c r="H21" s="26">
        <f t="shared" si="0"/>
        <v>5.2058111380145284</v>
      </c>
      <c r="I21" s="27">
        <f t="shared" si="0"/>
        <v>2.263137706175681</v>
      </c>
      <c r="J21" s="27">
        <f t="shared" si="0"/>
        <v>49.849962490622659</v>
      </c>
      <c r="K21" s="28">
        <f t="shared" si="0"/>
        <v>20.463078848560702</v>
      </c>
    </row>
    <row r="22" spans="1:15" ht="12.75" customHeight="1">
      <c r="A22" s="22" t="s">
        <v>39</v>
      </c>
      <c r="B22" s="23">
        <v>9752</v>
      </c>
      <c r="C22" s="23">
        <v>7833</v>
      </c>
      <c r="D22" s="24">
        <v>7872</v>
      </c>
      <c r="E22" s="24">
        <v>9670</v>
      </c>
      <c r="F22" s="25">
        <v>8860</v>
      </c>
      <c r="G22" s="26">
        <v>1.015123264967889</v>
      </c>
      <c r="H22" s="26">
        <f t="shared" si="0"/>
        <v>-19.678014766201805</v>
      </c>
      <c r="I22" s="27">
        <f t="shared" si="0"/>
        <v>0.49789352738414405</v>
      </c>
      <c r="J22" s="27">
        <f t="shared" si="0"/>
        <v>22.840447154471544</v>
      </c>
      <c r="K22" s="28">
        <f t="shared" si="0"/>
        <v>-8.3764219234746644</v>
      </c>
    </row>
    <row r="23" spans="1:15" ht="12.75" customHeight="1">
      <c r="A23" s="22" t="s">
        <v>22</v>
      </c>
      <c r="B23" s="23">
        <v>8217</v>
      </c>
      <c r="C23" s="23">
        <v>7279</v>
      </c>
      <c r="D23" s="24">
        <v>8912</v>
      </c>
      <c r="E23" s="24">
        <v>9710</v>
      </c>
      <c r="F23" s="25">
        <v>8824</v>
      </c>
      <c r="G23" s="26">
        <v>-6.6037735849056602</v>
      </c>
      <c r="H23" s="26">
        <f t="shared" si="0"/>
        <v>-11.415358403310211</v>
      </c>
      <c r="I23" s="27">
        <f t="shared" si="0"/>
        <v>22.434400329715622</v>
      </c>
      <c r="J23" s="27">
        <f t="shared" si="0"/>
        <v>8.9542190305206457</v>
      </c>
      <c r="K23" s="28">
        <f t="shared" si="0"/>
        <v>-9.1246138002059727</v>
      </c>
      <c r="O23" s="11" t="s">
        <v>68</v>
      </c>
    </row>
    <row r="24" spans="1:15" ht="12.75" customHeight="1">
      <c r="A24" s="22" t="s">
        <v>26</v>
      </c>
      <c r="B24" s="23">
        <v>5399</v>
      </c>
      <c r="C24" s="23">
        <v>4643</v>
      </c>
      <c r="D24" s="24">
        <v>5445</v>
      </c>
      <c r="E24" s="24">
        <v>6729</v>
      </c>
      <c r="F24" s="25">
        <v>8044</v>
      </c>
      <c r="G24" s="26">
        <v>52.299012693935119</v>
      </c>
      <c r="H24" s="26">
        <f t="shared" si="0"/>
        <v>-14.002593072791258</v>
      </c>
      <c r="I24" s="27">
        <f t="shared" si="0"/>
        <v>17.273314667241007</v>
      </c>
      <c r="J24" s="27">
        <f t="shared" si="0"/>
        <v>23.581267217630856</v>
      </c>
      <c r="K24" s="28">
        <f t="shared" si="0"/>
        <v>19.542279684945758</v>
      </c>
    </row>
    <row r="25" spans="1:15" ht="12.75" customHeight="1">
      <c r="A25" s="22" t="s">
        <v>54</v>
      </c>
      <c r="B25" s="23">
        <v>2747</v>
      </c>
      <c r="C25" s="23">
        <v>3036</v>
      </c>
      <c r="D25" s="24">
        <v>4040</v>
      </c>
      <c r="E25" s="24">
        <v>5005</v>
      </c>
      <c r="F25" s="25">
        <v>7263</v>
      </c>
      <c r="G25" s="26">
        <v>41.597938144329902</v>
      </c>
      <c r="H25" s="26">
        <f t="shared" si="0"/>
        <v>10.520567892246087</v>
      </c>
      <c r="I25" s="27">
        <f t="shared" si="0"/>
        <v>33.06982872200264</v>
      </c>
      <c r="J25" s="27">
        <f t="shared" si="0"/>
        <v>23.886138613861384</v>
      </c>
      <c r="K25" s="28">
        <f t="shared" si="0"/>
        <v>45.114885114885119</v>
      </c>
    </row>
    <row r="26" spans="1:15" ht="12.75" customHeight="1">
      <c r="A26" s="22" t="s">
        <v>41</v>
      </c>
      <c r="B26" s="23">
        <v>3952</v>
      </c>
      <c r="C26" s="23">
        <v>3813</v>
      </c>
      <c r="D26" s="24">
        <v>5397</v>
      </c>
      <c r="E26" s="24">
        <v>6214</v>
      </c>
      <c r="F26" s="25">
        <v>6896</v>
      </c>
      <c r="G26" s="26">
        <v>7.8897078897078892</v>
      </c>
      <c r="H26" s="26">
        <f t="shared" si="0"/>
        <v>-3.5172064777327936</v>
      </c>
      <c r="I26" s="27">
        <f t="shared" si="0"/>
        <v>41.542092840283239</v>
      </c>
      <c r="J26" s="27">
        <f t="shared" si="0"/>
        <v>15.138039651658328</v>
      </c>
      <c r="K26" s="28">
        <f t="shared" si="0"/>
        <v>10.975217251367878</v>
      </c>
    </row>
    <row r="27" spans="1:15" ht="12.75" customHeight="1">
      <c r="A27" s="22" t="s">
        <v>35</v>
      </c>
      <c r="B27" s="23">
        <v>3137</v>
      </c>
      <c r="C27" s="23">
        <v>3139</v>
      </c>
      <c r="D27" s="24">
        <v>3894</v>
      </c>
      <c r="E27" s="24">
        <v>6055</v>
      </c>
      <c r="F27" s="25">
        <v>6766</v>
      </c>
      <c r="G27" s="26">
        <v>4.6015338446148721</v>
      </c>
      <c r="H27" s="26">
        <f t="shared" si="0"/>
        <v>6.3755180108383797E-2</v>
      </c>
      <c r="I27" s="27">
        <f t="shared" si="0"/>
        <v>24.052245938196879</v>
      </c>
      <c r="J27" s="27">
        <f t="shared" si="0"/>
        <v>55.495634309193633</v>
      </c>
      <c r="K27" s="28">
        <f t="shared" si="0"/>
        <v>11.742361684558217</v>
      </c>
    </row>
    <row r="28" spans="1:15" ht="12.75" customHeight="1">
      <c r="A28" s="22" t="s">
        <v>15</v>
      </c>
      <c r="B28" s="23">
        <v>5595</v>
      </c>
      <c r="C28" s="23">
        <v>5355</v>
      </c>
      <c r="D28" s="24">
        <v>5682</v>
      </c>
      <c r="E28" s="24">
        <v>5693</v>
      </c>
      <c r="F28" s="25">
        <v>6077</v>
      </c>
      <c r="G28" s="26">
        <v>-13.644080876678499</v>
      </c>
      <c r="H28" s="26">
        <f t="shared" si="0"/>
        <v>-4.2895442359249332</v>
      </c>
      <c r="I28" s="27">
        <f t="shared" si="0"/>
        <v>6.1064425770308119</v>
      </c>
      <c r="J28" s="27">
        <f t="shared" si="0"/>
        <v>0.19359380499824005</v>
      </c>
      <c r="K28" s="28">
        <f t="shared" si="0"/>
        <v>6.745125592833304</v>
      </c>
    </row>
    <row r="29" spans="1:15" ht="12.75" customHeight="1">
      <c r="A29" s="22" t="s">
        <v>56</v>
      </c>
      <c r="B29" s="23">
        <v>2585</v>
      </c>
      <c r="C29" s="23">
        <v>2744</v>
      </c>
      <c r="D29" s="24">
        <v>3336</v>
      </c>
      <c r="E29" s="24">
        <v>4130</v>
      </c>
      <c r="F29" s="25">
        <v>5880</v>
      </c>
      <c r="G29" s="26">
        <v>26.777832270720943</v>
      </c>
      <c r="H29" s="26">
        <f t="shared" si="0"/>
        <v>6.1508704061895552</v>
      </c>
      <c r="I29" s="27">
        <f t="shared" si="0"/>
        <v>21.574344023323615</v>
      </c>
      <c r="J29" s="27">
        <f t="shared" si="0"/>
        <v>23.800959232613909</v>
      </c>
      <c r="K29" s="28">
        <f t="shared" si="0"/>
        <v>42.372881355932201</v>
      </c>
    </row>
    <row r="30" spans="1:15" ht="12.75" customHeight="1">
      <c r="A30" s="22" t="s">
        <v>5</v>
      </c>
      <c r="B30" s="23">
        <v>3811</v>
      </c>
      <c r="C30" s="23">
        <v>3851</v>
      </c>
      <c r="D30" s="24">
        <v>5137</v>
      </c>
      <c r="E30" s="24">
        <v>6471</v>
      </c>
      <c r="F30" s="25">
        <v>5588</v>
      </c>
      <c r="G30" s="26">
        <v>37.780187997107738</v>
      </c>
      <c r="H30" s="26">
        <f t="shared" si="0"/>
        <v>1.0495932826029915</v>
      </c>
      <c r="I30" s="27">
        <f t="shared" si="0"/>
        <v>33.393923656193195</v>
      </c>
      <c r="J30" s="27">
        <f t="shared" si="0"/>
        <v>25.968464084095778</v>
      </c>
      <c r="K30" s="28">
        <f t="shared" si="0"/>
        <v>-13.645495286663575</v>
      </c>
    </row>
    <row r="31" spans="1:15" ht="12.75" customHeight="1">
      <c r="A31" s="22" t="s">
        <v>25</v>
      </c>
      <c r="B31" s="23">
        <v>3235</v>
      </c>
      <c r="C31" s="23">
        <v>2758</v>
      </c>
      <c r="D31" s="24">
        <v>4637</v>
      </c>
      <c r="E31" s="24">
        <v>4542</v>
      </c>
      <c r="F31" s="25">
        <v>5416</v>
      </c>
      <c r="G31" s="26">
        <v>32.473382473382472</v>
      </c>
      <c r="H31" s="26">
        <f t="shared" si="0"/>
        <v>-14.744976816074187</v>
      </c>
      <c r="I31" s="27">
        <f t="shared" si="0"/>
        <v>68.129079042784625</v>
      </c>
      <c r="J31" s="27">
        <f t="shared" si="0"/>
        <v>-2.0487384084537417</v>
      </c>
      <c r="K31" s="28">
        <f t="shared" si="0"/>
        <v>19.242624394539849</v>
      </c>
    </row>
    <row r="32" spans="1:15" ht="12.75" customHeight="1">
      <c r="A32" s="22" t="s">
        <v>23</v>
      </c>
      <c r="B32" s="23">
        <v>3542</v>
      </c>
      <c r="C32" s="23">
        <v>3165</v>
      </c>
      <c r="D32" s="24">
        <v>3638</v>
      </c>
      <c r="E32" s="24">
        <v>4896</v>
      </c>
      <c r="F32" s="25">
        <v>5230</v>
      </c>
      <c r="G32" s="26">
        <v>64.820846905537451</v>
      </c>
      <c r="H32" s="26">
        <f t="shared" si="0"/>
        <v>-10.643704121964992</v>
      </c>
      <c r="I32" s="27">
        <f t="shared" si="0"/>
        <v>14.944707740916272</v>
      </c>
      <c r="J32" s="27">
        <f t="shared" si="0"/>
        <v>34.579439252336449</v>
      </c>
      <c r="K32" s="28">
        <f t="shared" si="0"/>
        <v>6.8218954248366011</v>
      </c>
    </row>
    <row r="33" spans="1:14" ht="12.75" customHeight="1">
      <c r="A33" s="22" t="s">
        <v>46</v>
      </c>
      <c r="B33" s="23">
        <v>2966</v>
      </c>
      <c r="C33" s="23">
        <v>3043</v>
      </c>
      <c r="D33" s="24">
        <v>3815</v>
      </c>
      <c r="E33" s="24">
        <v>4690</v>
      </c>
      <c r="F33" s="25">
        <v>5070</v>
      </c>
      <c r="G33" s="26">
        <v>4.0336723956506493</v>
      </c>
      <c r="H33" s="26">
        <f t="shared" si="0"/>
        <v>2.5960890087660147</v>
      </c>
      <c r="I33" s="27">
        <f t="shared" si="0"/>
        <v>25.369700953006902</v>
      </c>
      <c r="J33" s="27">
        <f t="shared" si="0"/>
        <v>22.935779816513762</v>
      </c>
      <c r="K33" s="28">
        <f t="shared" si="0"/>
        <v>8.1023454157782524</v>
      </c>
    </row>
    <row r="34" spans="1:14" ht="12.75" customHeight="1">
      <c r="A34" s="22" t="s">
        <v>40</v>
      </c>
      <c r="B34" s="23">
        <v>2233</v>
      </c>
      <c r="C34" s="23">
        <v>1975</v>
      </c>
      <c r="D34" s="24">
        <v>3831</v>
      </c>
      <c r="E34" s="24">
        <v>5305</v>
      </c>
      <c r="F34" s="25">
        <v>4430</v>
      </c>
      <c r="G34" s="26">
        <v>10.654112983151636</v>
      </c>
      <c r="H34" s="26">
        <f t="shared" si="0"/>
        <v>-11.553963278101209</v>
      </c>
      <c r="I34" s="27">
        <f t="shared" si="0"/>
        <v>93.974683544303801</v>
      </c>
      <c r="J34" s="27">
        <f t="shared" si="0"/>
        <v>38.475593839728525</v>
      </c>
      <c r="K34" s="28">
        <f t="shared" si="0"/>
        <v>-16.493873704052781</v>
      </c>
    </row>
    <row r="35" spans="1:14" ht="12.75" customHeight="1">
      <c r="A35" s="22" t="s">
        <v>55</v>
      </c>
      <c r="B35" s="23">
        <v>1394</v>
      </c>
      <c r="C35" s="23">
        <v>1580</v>
      </c>
      <c r="D35" s="24">
        <v>1699</v>
      </c>
      <c r="E35" s="24">
        <v>2292</v>
      </c>
      <c r="F35" s="25">
        <v>4047</v>
      </c>
      <c r="G35" s="26">
        <v>72.738537794299873</v>
      </c>
      <c r="H35" s="26">
        <f t="shared" si="0"/>
        <v>13.342898134863701</v>
      </c>
      <c r="I35" s="27">
        <f t="shared" si="0"/>
        <v>7.5316455696202533</v>
      </c>
      <c r="J35" s="27">
        <f t="shared" si="0"/>
        <v>34.90288404944085</v>
      </c>
      <c r="K35" s="28">
        <f t="shared" si="0"/>
        <v>76.570680628272243</v>
      </c>
    </row>
    <row r="36" spans="1:14" ht="12.75" customHeight="1">
      <c r="A36" s="22" t="s">
        <v>43</v>
      </c>
      <c r="B36" s="23">
        <v>3732</v>
      </c>
      <c r="C36" s="23">
        <v>2975</v>
      </c>
      <c r="D36" s="24">
        <v>3157</v>
      </c>
      <c r="E36" s="24">
        <v>3684</v>
      </c>
      <c r="F36" s="25">
        <v>3967</v>
      </c>
      <c r="G36" s="26">
        <v>13.331308836926814</v>
      </c>
      <c r="H36" s="26">
        <f t="shared" si="0"/>
        <v>-20.284030010718112</v>
      </c>
      <c r="I36" s="27">
        <f t="shared" si="0"/>
        <v>6.1176470588235299</v>
      </c>
      <c r="J36" s="27">
        <f t="shared" si="0"/>
        <v>16.69306303452645</v>
      </c>
      <c r="K36" s="28">
        <f t="shared" si="0"/>
        <v>7.681867535287731</v>
      </c>
    </row>
    <row r="37" spans="1:14" ht="12.75" customHeight="1">
      <c r="A37" s="22" t="s">
        <v>17</v>
      </c>
      <c r="B37" s="23">
        <v>3325</v>
      </c>
      <c r="C37" s="23">
        <v>3357</v>
      </c>
      <c r="D37" s="24">
        <v>3795</v>
      </c>
      <c r="E37" s="24">
        <v>4158</v>
      </c>
      <c r="F37" s="25">
        <v>3918</v>
      </c>
      <c r="G37" s="26">
        <v>25.047010154193305</v>
      </c>
      <c r="H37" s="26">
        <f t="shared" si="0"/>
        <v>0.96240601503759393</v>
      </c>
      <c r="I37" s="27">
        <f t="shared" si="0"/>
        <v>13.047363717605004</v>
      </c>
      <c r="J37" s="27">
        <f t="shared" si="0"/>
        <v>9.5652173913043477</v>
      </c>
      <c r="K37" s="28">
        <f t="shared" si="0"/>
        <v>-5.7720057720057723</v>
      </c>
    </row>
    <row r="38" spans="1:14" ht="12.75" customHeight="1">
      <c r="A38" s="22" t="s">
        <v>18</v>
      </c>
      <c r="B38" s="23">
        <v>4150</v>
      </c>
      <c r="C38" s="23">
        <v>4822</v>
      </c>
      <c r="D38" s="24">
        <v>4555</v>
      </c>
      <c r="E38" s="24">
        <v>4434</v>
      </c>
      <c r="F38" s="25">
        <v>3660</v>
      </c>
      <c r="G38" s="26">
        <v>-0.90735434574976126</v>
      </c>
      <c r="H38" s="26">
        <f t="shared" si="0"/>
        <v>16.192771084337348</v>
      </c>
      <c r="I38" s="27">
        <f t="shared" si="0"/>
        <v>-5.5371215263376188</v>
      </c>
      <c r="J38" s="27">
        <f t="shared" si="0"/>
        <v>-2.6564215148188803</v>
      </c>
      <c r="K38" s="28">
        <f t="shared" si="0"/>
        <v>-17.456021650879567</v>
      </c>
    </row>
    <row r="39" spans="1:14" ht="12.75" customHeight="1">
      <c r="A39" s="22" t="s">
        <v>6</v>
      </c>
      <c r="B39" s="23">
        <v>1834</v>
      </c>
      <c r="C39" s="23">
        <v>1722</v>
      </c>
      <c r="D39" s="24">
        <v>2422</v>
      </c>
      <c r="E39" s="24">
        <v>3173</v>
      </c>
      <c r="F39" s="25">
        <v>3493</v>
      </c>
      <c r="G39" s="26">
        <v>0.82462891698735563</v>
      </c>
      <c r="H39" s="26">
        <f t="shared" ref="H39:K60" si="1">(C39-B39)/B39*100</f>
        <v>-6.1068702290076331</v>
      </c>
      <c r="I39" s="27">
        <f t="shared" si="1"/>
        <v>40.650406504065039</v>
      </c>
      <c r="J39" s="27">
        <f t="shared" si="1"/>
        <v>31.007431874483899</v>
      </c>
      <c r="K39" s="28">
        <f t="shared" si="1"/>
        <v>10.085092971950834</v>
      </c>
    </row>
    <row r="40" spans="1:14" ht="12.75" customHeight="1">
      <c r="A40" s="22" t="s">
        <v>44</v>
      </c>
      <c r="B40" s="23">
        <v>1962</v>
      </c>
      <c r="C40" s="23">
        <v>2059</v>
      </c>
      <c r="D40" s="24">
        <v>2471</v>
      </c>
      <c r="E40" s="24">
        <v>2781</v>
      </c>
      <c r="F40" s="25">
        <v>3128</v>
      </c>
      <c r="G40" s="26">
        <v>26.336123631680618</v>
      </c>
      <c r="H40" s="26">
        <f t="shared" si="1"/>
        <v>4.9439347604485224</v>
      </c>
      <c r="I40" s="27">
        <f t="shared" si="1"/>
        <v>20.009713453132587</v>
      </c>
      <c r="J40" s="27">
        <f t="shared" si="1"/>
        <v>12.545528126264671</v>
      </c>
      <c r="K40" s="28">
        <f t="shared" si="1"/>
        <v>12.47752606975908</v>
      </c>
    </row>
    <row r="41" spans="1:14" ht="12.75" customHeight="1">
      <c r="A41" s="22" t="s">
        <v>45</v>
      </c>
      <c r="B41" s="23">
        <v>1327</v>
      </c>
      <c r="C41" s="23">
        <v>1304</v>
      </c>
      <c r="D41" s="24">
        <v>1761</v>
      </c>
      <c r="E41" s="24">
        <v>2342</v>
      </c>
      <c r="F41" s="25">
        <v>3061</v>
      </c>
      <c r="G41" s="26">
        <v>87.429378531073439</v>
      </c>
      <c r="H41" s="26">
        <f t="shared" si="1"/>
        <v>-1.7332328560663148</v>
      </c>
      <c r="I41" s="27">
        <f t="shared" si="1"/>
        <v>35.04601226993865</v>
      </c>
      <c r="J41" s="27">
        <f t="shared" si="1"/>
        <v>32.992617830777967</v>
      </c>
      <c r="K41" s="28">
        <f t="shared" si="1"/>
        <v>30.700256191289498</v>
      </c>
    </row>
    <row r="42" spans="1:14" ht="12.75" customHeight="1">
      <c r="A42" s="22" t="s">
        <v>52</v>
      </c>
      <c r="B42" s="23">
        <v>1340</v>
      </c>
      <c r="C42" s="23">
        <v>1181</v>
      </c>
      <c r="D42" s="24">
        <v>1409</v>
      </c>
      <c r="E42" s="24">
        <v>1797</v>
      </c>
      <c r="F42" s="25">
        <v>2987</v>
      </c>
      <c r="G42" s="26">
        <v>33.466135458167329</v>
      </c>
      <c r="H42" s="26">
        <f t="shared" si="1"/>
        <v>-11.865671641791046</v>
      </c>
      <c r="I42" s="27">
        <f t="shared" si="1"/>
        <v>19.30567315834039</v>
      </c>
      <c r="J42" s="27">
        <f t="shared" si="1"/>
        <v>27.537260468417319</v>
      </c>
      <c r="K42" s="28">
        <f t="shared" si="1"/>
        <v>66.221480244852543</v>
      </c>
    </row>
    <row r="43" spans="1:14" ht="12.75" customHeight="1">
      <c r="A43" s="22" t="s">
        <v>16</v>
      </c>
      <c r="B43" s="23">
        <v>2596</v>
      </c>
      <c r="C43" s="23">
        <v>2120</v>
      </c>
      <c r="D43" s="24">
        <v>2153</v>
      </c>
      <c r="E43" s="24">
        <v>2775</v>
      </c>
      <c r="F43" s="25">
        <v>2902</v>
      </c>
      <c r="G43" s="26">
        <v>43.584070796460175</v>
      </c>
      <c r="H43" s="26">
        <f t="shared" si="1"/>
        <v>-18.335901386748844</v>
      </c>
      <c r="I43" s="27">
        <f t="shared" si="1"/>
        <v>1.5566037735849056</v>
      </c>
      <c r="J43" s="27">
        <f t="shared" si="1"/>
        <v>28.889921040408733</v>
      </c>
      <c r="K43" s="28">
        <f t="shared" si="1"/>
        <v>4.576576576576576</v>
      </c>
    </row>
    <row r="44" spans="1:14" ht="12.75" customHeight="1">
      <c r="A44" s="22" t="s">
        <v>20</v>
      </c>
      <c r="B44" s="23">
        <v>1916</v>
      </c>
      <c r="C44" s="23">
        <v>1970</v>
      </c>
      <c r="D44" s="24">
        <v>2348</v>
      </c>
      <c r="E44" s="24">
        <v>2822</v>
      </c>
      <c r="F44" s="25">
        <v>2636</v>
      </c>
      <c r="G44" s="26">
        <v>30.428863172226006</v>
      </c>
      <c r="H44" s="26">
        <f t="shared" si="1"/>
        <v>2.8183716075156577</v>
      </c>
      <c r="I44" s="27">
        <f t="shared" si="1"/>
        <v>19.18781725888325</v>
      </c>
      <c r="J44" s="27">
        <f t="shared" si="1"/>
        <v>20.187393526405451</v>
      </c>
      <c r="K44" s="28">
        <f t="shared" si="1"/>
        <v>-6.5910701630049608</v>
      </c>
    </row>
    <row r="45" spans="1:14" ht="12.75" customHeight="1">
      <c r="A45" s="22" t="s">
        <v>48</v>
      </c>
      <c r="B45" s="23">
        <v>1334</v>
      </c>
      <c r="C45" s="23">
        <v>1374</v>
      </c>
      <c r="D45" s="24">
        <v>1543</v>
      </c>
      <c r="E45" s="24">
        <v>2132</v>
      </c>
      <c r="F45" s="25">
        <v>2594</v>
      </c>
      <c r="G45" s="26">
        <v>3.3307513555383426</v>
      </c>
      <c r="H45" s="26">
        <f t="shared" si="1"/>
        <v>2.9985007496251872</v>
      </c>
      <c r="I45" s="27">
        <f t="shared" si="1"/>
        <v>12.299854439592432</v>
      </c>
      <c r="J45" s="27">
        <f t="shared" si="1"/>
        <v>38.172391445236556</v>
      </c>
      <c r="K45" s="28">
        <f t="shared" si="1"/>
        <v>21.669793621013135</v>
      </c>
      <c r="N45" s="11" t="s">
        <v>69</v>
      </c>
    </row>
    <row r="46" spans="1:14" ht="12" customHeight="1">
      <c r="A46" s="22" t="s">
        <v>13</v>
      </c>
      <c r="B46" s="23">
        <v>1588</v>
      </c>
      <c r="C46" s="23">
        <v>1380</v>
      </c>
      <c r="D46" s="24">
        <v>2113</v>
      </c>
      <c r="E46" s="24">
        <v>2433</v>
      </c>
      <c r="F46" s="25">
        <v>2569</v>
      </c>
      <c r="G46" s="26">
        <v>21.406727828746178</v>
      </c>
      <c r="H46" s="26">
        <f t="shared" si="1"/>
        <v>-13.09823677581864</v>
      </c>
      <c r="I46" s="27">
        <f t="shared" si="1"/>
        <v>53.115942028985508</v>
      </c>
      <c r="J46" s="27">
        <f t="shared" si="1"/>
        <v>15.144344533838144</v>
      </c>
      <c r="K46" s="28">
        <f t="shared" si="1"/>
        <v>5.589806822852446</v>
      </c>
    </row>
    <row r="47" spans="1:14" ht="12.75" customHeight="1">
      <c r="A47" s="22" t="s">
        <v>12</v>
      </c>
      <c r="B47" s="23">
        <v>2884</v>
      </c>
      <c r="C47" s="23">
        <v>2420</v>
      </c>
      <c r="D47" s="24">
        <v>2514</v>
      </c>
      <c r="E47" s="24">
        <v>2444</v>
      </c>
      <c r="F47" s="25">
        <v>2483</v>
      </c>
      <c r="G47" s="26">
        <v>-8.3862770012706473</v>
      </c>
      <c r="H47" s="26">
        <f t="shared" si="1"/>
        <v>-16.08876560332871</v>
      </c>
      <c r="I47" s="27">
        <f t="shared" si="1"/>
        <v>3.884297520661157</v>
      </c>
      <c r="J47" s="27">
        <f t="shared" si="1"/>
        <v>-2.7844073190135243</v>
      </c>
      <c r="K47" s="28">
        <f t="shared" si="1"/>
        <v>1.5957446808510638</v>
      </c>
    </row>
    <row r="48" spans="1:14" ht="12.75" customHeight="1">
      <c r="A48" s="22" t="s">
        <v>11</v>
      </c>
      <c r="B48" s="23">
        <v>2052</v>
      </c>
      <c r="C48" s="23">
        <v>1848</v>
      </c>
      <c r="D48" s="24">
        <v>2434</v>
      </c>
      <c r="E48" s="24">
        <v>2596</v>
      </c>
      <c r="F48" s="25">
        <v>2408</v>
      </c>
      <c r="G48" s="26">
        <v>-20.093457943925234</v>
      </c>
      <c r="H48" s="26">
        <f t="shared" si="1"/>
        <v>-9.9415204678362574</v>
      </c>
      <c r="I48" s="27">
        <f t="shared" si="1"/>
        <v>31.70995670995671</v>
      </c>
      <c r="J48" s="27">
        <f t="shared" si="1"/>
        <v>6.6557107641741986</v>
      </c>
      <c r="K48" s="28">
        <f t="shared" si="1"/>
        <v>-7.2419106317411401</v>
      </c>
    </row>
    <row r="49" spans="1:11" ht="12.75" customHeight="1">
      <c r="A49" s="22" t="s">
        <v>42</v>
      </c>
      <c r="B49" s="23">
        <v>1065</v>
      </c>
      <c r="C49" s="23">
        <v>1182</v>
      </c>
      <c r="D49" s="24">
        <v>1575</v>
      </c>
      <c r="E49" s="24">
        <v>2485</v>
      </c>
      <c r="F49" s="25">
        <v>2345</v>
      </c>
      <c r="G49" s="26">
        <v>-45.412608918503331</v>
      </c>
      <c r="H49" s="26">
        <f t="shared" si="1"/>
        <v>10.985915492957748</v>
      </c>
      <c r="I49" s="27">
        <f t="shared" si="1"/>
        <v>33.248730964467008</v>
      </c>
      <c r="J49" s="27">
        <f t="shared" si="1"/>
        <v>57.777777777777771</v>
      </c>
      <c r="K49" s="28">
        <f t="shared" si="1"/>
        <v>-5.6338028169014089</v>
      </c>
    </row>
    <row r="50" spans="1:11" ht="12.75" customHeight="1">
      <c r="A50" s="22" t="s">
        <v>37</v>
      </c>
      <c r="B50" s="23">
        <v>871</v>
      </c>
      <c r="C50" s="23">
        <v>979</v>
      </c>
      <c r="D50" s="24">
        <v>1066</v>
      </c>
      <c r="E50" s="24">
        <v>1652</v>
      </c>
      <c r="F50" s="25">
        <v>2265</v>
      </c>
      <c r="G50" s="26">
        <v>-11.303462321792262</v>
      </c>
      <c r="H50" s="26">
        <f t="shared" si="1"/>
        <v>12.399540757749714</v>
      </c>
      <c r="I50" s="27">
        <f t="shared" si="1"/>
        <v>8.88661899897855</v>
      </c>
      <c r="J50" s="27">
        <f t="shared" si="1"/>
        <v>54.971857410881796</v>
      </c>
      <c r="K50" s="28">
        <f t="shared" si="1"/>
        <v>37.106537530266344</v>
      </c>
    </row>
    <row r="51" spans="1:11" ht="12.75" customHeight="1">
      <c r="A51" s="22" t="s">
        <v>10</v>
      </c>
      <c r="B51" s="23">
        <v>4926</v>
      </c>
      <c r="C51" s="23">
        <v>5406</v>
      </c>
      <c r="D51" s="24">
        <v>4630</v>
      </c>
      <c r="E51" s="24">
        <v>3009</v>
      </c>
      <c r="F51" s="25">
        <v>2058</v>
      </c>
      <c r="G51" s="26">
        <v>1.5670103092783505</v>
      </c>
      <c r="H51" s="26">
        <f t="shared" si="1"/>
        <v>9.7442143727161987</v>
      </c>
      <c r="I51" s="27">
        <f t="shared" si="1"/>
        <v>-14.354421013688496</v>
      </c>
      <c r="J51" s="27">
        <f t="shared" si="1"/>
        <v>-35.010799136069117</v>
      </c>
      <c r="K51" s="28">
        <f t="shared" si="1"/>
        <v>-31.605184446660019</v>
      </c>
    </row>
    <row r="52" spans="1:11" ht="12.75" customHeight="1">
      <c r="A52" s="22" t="s">
        <v>36</v>
      </c>
      <c r="B52" s="23">
        <v>1191</v>
      </c>
      <c r="C52" s="23">
        <v>1046</v>
      </c>
      <c r="D52" s="24">
        <v>1256</v>
      </c>
      <c r="E52" s="24">
        <v>1842</v>
      </c>
      <c r="F52" s="25">
        <v>1857</v>
      </c>
      <c r="G52" s="26">
        <v>17.5715695952616</v>
      </c>
      <c r="H52" s="26">
        <f t="shared" si="1"/>
        <v>-12.174643157010916</v>
      </c>
      <c r="I52" s="27">
        <f t="shared" si="1"/>
        <v>20.076481835564053</v>
      </c>
      <c r="J52" s="27">
        <f t="shared" si="1"/>
        <v>46.656050955414017</v>
      </c>
      <c r="K52" s="28">
        <f t="shared" si="1"/>
        <v>0.81433224755700329</v>
      </c>
    </row>
    <row r="53" spans="1:11" ht="12.75" customHeight="1">
      <c r="A53" s="22" t="s">
        <v>32</v>
      </c>
      <c r="B53" s="23">
        <v>581</v>
      </c>
      <c r="C53" s="23">
        <v>677</v>
      </c>
      <c r="D53" s="24">
        <v>818</v>
      </c>
      <c r="E53" s="24">
        <v>1283</v>
      </c>
      <c r="F53" s="25">
        <v>1772</v>
      </c>
      <c r="G53" s="26">
        <v>-38.388123011664902</v>
      </c>
      <c r="H53" s="26">
        <f t="shared" si="1"/>
        <v>16.523235800344235</v>
      </c>
      <c r="I53" s="27">
        <f t="shared" si="1"/>
        <v>20.827178729689809</v>
      </c>
      <c r="J53" s="27">
        <f t="shared" si="1"/>
        <v>56.845965770171148</v>
      </c>
      <c r="K53" s="28">
        <f t="shared" si="1"/>
        <v>38.113795791114576</v>
      </c>
    </row>
    <row r="54" spans="1:11" ht="12.75" customHeight="1">
      <c r="A54" s="22" t="s">
        <v>53</v>
      </c>
      <c r="B54" s="23">
        <v>1139</v>
      </c>
      <c r="C54" s="23">
        <v>984</v>
      </c>
      <c r="D54" s="24">
        <v>1145</v>
      </c>
      <c r="E54" s="24">
        <v>1346</v>
      </c>
      <c r="F54" s="25">
        <v>1666</v>
      </c>
      <c r="G54" s="26">
        <v>72.575757575757578</v>
      </c>
      <c r="H54" s="26">
        <f t="shared" si="1"/>
        <v>-13.608428446005268</v>
      </c>
      <c r="I54" s="27">
        <f t="shared" si="1"/>
        <v>16.361788617886177</v>
      </c>
      <c r="J54" s="27">
        <f t="shared" si="1"/>
        <v>17.554585152838428</v>
      </c>
      <c r="K54" s="28">
        <f t="shared" si="1"/>
        <v>23.774145616641899</v>
      </c>
    </row>
    <row r="55" spans="1:11" ht="12.75" customHeight="1">
      <c r="A55" s="22" t="s">
        <v>50</v>
      </c>
      <c r="B55" s="23">
        <v>1184</v>
      </c>
      <c r="C55" s="23">
        <v>991</v>
      </c>
      <c r="D55" s="24">
        <v>1103</v>
      </c>
      <c r="E55" s="24">
        <v>1390</v>
      </c>
      <c r="F55" s="25">
        <v>1579</v>
      </c>
      <c r="G55" s="26">
        <v>3.6777583187390541</v>
      </c>
      <c r="H55" s="26">
        <f t="shared" si="1"/>
        <v>-16.300675675675674</v>
      </c>
      <c r="I55" s="27">
        <f t="shared" si="1"/>
        <v>11.301715438950556</v>
      </c>
      <c r="J55" s="27">
        <f t="shared" si="1"/>
        <v>26.019945602901178</v>
      </c>
      <c r="K55" s="28">
        <f t="shared" si="1"/>
        <v>13.597122302158274</v>
      </c>
    </row>
    <row r="56" spans="1:11" ht="12.75" customHeight="1">
      <c r="A56" s="22" t="s">
        <v>4</v>
      </c>
      <c r="B56" s="23">
        <v>3368</v>
      </c>
      <c r="C56" s="23">
        <v>3437</v>
      </c>
      <c r="D56" s="24">
        <v>4386</v>
      </c>
      <c r="E56" s="24">
        <v>5738</v>
      </c>
      <c r="F56" s="25">
        <v>1509</v>
      </c>
      <c r="G56" s="26">
        <v>-5.1801801801801801</v>
      </c>
      <c r="H56" s="26">
        <f t="shared" si="1"/>
        <v>2.0486935866983371</v>
      </c>
      <c r="I56" s="27">
        <f t="shared" si="1"/>
        <v>27.611288914751235</v>
      </c>
      <c r="J56" s="27">
        <f t="shared" si="1"/>
        <v>30.825353397172822</v>
      </c>
      <c r="K56" s="28">
        <f t="shared" si="1"/>
        <v>-73.701638201463922</v>
      </c>
    </row>
    <row r="57" spans="1:11" ht="12.75" customHeight="1">
      <c r="A57" s="22" t="s">
        <v>7</v>
      </c>
      <c r="B57" s="23">
        <v>865</v>
      </c>
      <c r="C57" s="23">
        <v>1088</v>
      </c>
      <c r="D57" s="24">
        <v>1281</v>
      </c>
      <c r="E57" s="24">
        <v>1535</v>
      </c>
      <c r="F57" s="25">
        <v>1402</v>
      </c>
      <c r="G57" s="26">
        <v>9.6324461343472745</v>
      </c>
      <c r="H57" s="26">
        <f t="shared" si="1"/>
        <v>25.780346820809246</v>
      </c>
      <c r="I57" s="27">
        <f t="shared" si="1"/>
        <v>17.738970588235293</v>
      </c>
      <c r="J57" s="27">
        <f t="shared" si="1"/>
        <v>19.828259172521467</v>
      </c>
      <c r="K57" s="28">
        <f t="shared" si="1"/>
        <v>-8.664495114006515</v>
      </c>
    </row>
    <row r="58" spans="1:11" ht="12.75" customHeight="1">
      <c r="A58" s="22" t="s">
        <v>21</v>
      </c>
      <c r="B58" s="23">
        <v>1372</v>
      </c>
      <c r="C58" s="23">
        <v>1324</v>
      </c>
      <c r="D58" s="24">
        <v>1647</v>
      </c>
      <c r="E58" s="24">
        <v>1609</v>
      </c>
      <c r="F58" s="25">
        <v>1295</v>
      </c>
      <c r="G58" s="26">
        <v>13.953488372093023</v>
      </c>
      <c r="H58" s="26">
        <f t="shared" si="1"/>
        <v>-3.4985422740524781</v>
      </c>
      <c r="I58" s="27">
        <f t="shared" si="1"/>
        <v>24.395770392749245</v>
      </c>
      <c r="J58" s="27">
        <f t="shared" si="1"/>
        <v>-2.3072252580449302</v>
      </c>
      <c r="K58" s="28">
        <f t="shared" si="1"/>
        <v>-19.515226848974518</v>
      </c>
    </row>
    <row r="59" spans="1:11" ht="12.75" customHeight="1">
      <c r="A59" s="22" t="s">
        <v>29</v>
      </c>
      <c r="B59" s="23">
        <v>455</v>
      </c>
      <c r="C59" s="23">
        <v>388</v>
      </c>
      <c r="D59" s="24">
        <v>525</v>
      </c>
      <c r="E59" s="24">
        <v>1496</v>
      </c>
      <c r="F59" s="25">
        <v>1221</v>
      </c>
      <c r="G59" s="26">
        <v>-64.563862928348911</v>
      </c>
      <c r="H59" s="26">
        <f t="shared" si="1"/>
        <v>-14.725274725274726</v>
      </c>
      <c r="I59" s="27">
        <f t="shared" si="1"/>
        <v>35.309278350515463</v>
      </c>
      <c r="J59" s="27">
        <f t="shared" si="1"/>
        <v>184.95238095238096</v>
      </c>
      <c r="K59" s="28">
        <f t="shared" si="1"/>
        <v>-18.382352941176471</v>
      </c>
    </row>
    <row r="60" spans="1:11" ht="12.75" customHeight="1">
      <c r="A60" s="29" t="s">
        <v>51</v>
      </c>
      <c r="B60" s="30">
        <v>22</v>
      </c>
      <c r="C60" s="30">
        <v>21</v>
      </c>
      <c r="D60" s="31">
        <v>31</v>
      </c>
      <c r="E60" s="31">
        <v>27</v>
      </c>
      <c r="F60" s="32">
        <v>39</v>
      </c>
      <c r="G60" s="33">
        <v>-80.530973451327441</v>
      </c>
      <c r="H60" s="33">
        <f t="shared" si="1"/>
        <v>-4.5454545454545459</v>
      </c>
      <c r="I60" s="34">
        <f t="shared" si="1"/>
        <v>47.619047619047613</v>
      </c>
      <c r="J60" s="34">
        <f t="shared" si="1"/>
        <v>-12.903225806451612</v>
      </c>
      <c r="K60" s="35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6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6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97"/>
  <sheetViews>
    <sheetView tabSelected="1" zoomScaleNormal="100" workbookViewId="0">
      <selection activeCell="A3" sqref="A3:T3"/>
    </sheetView>
  </sheetViews>
  <sheetFormatPr defaultColWidth="8.85546875" defaultRowHeight="12.75"/>
  <cols>
    <col min="1" max="1" width="27.28515625" style="38" customWidth="1"/>
    <col min="2" max="4" width="0" style="40" hidden="1" customWidth="1"/>
    <col min="5" max="11" width="9.85546875" style="40" customWidth="1"/>
    <col min="12" max="17" width="9.85546875" style="38" customWidth="1"/>
    <col min="18" max="18" width="9.85546875" style="45" customWidth="1"/>
    <col min="19" max="19" width="22.28515625" style="38" customWidth="1"/>
    <col min="20" max="20" width="9.85546875" style="38" customWidth="1"/>
    <col min="21" max="16384" width="8.85546875" style="38"/>
  </cols>
  <sheetData>
    <row r="1" spans="1:20" ht="19.5">
      <c r="A1" s="106" t="s">
        <v>70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</row>
    <row r="2" spans="1:20" ht="30.75" customHeight="1">
      <c r="A2" s="107" t="s">
        <v>71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</row>
    <row r="3" spans="1:20">
      <c r="A3" s="109" t="s">
        <v>72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10"/>
      <c r="S3" s="109"/>
      <c r="T3" s="109"/>
    </row>
    <row r="4" spans="1:20">
      <c r="A4" s="111" t="s">
        <v>73</v>
      </c>
      <c r="B4" s="39"/>
      <c r="C4" s="39"/>
      <c r="D4" s="39"/>
      <c r="E4" s="39"/>
      <c r="F4" s="39"/>
      <c r="G4" s="39"/>
      <c r="H4" s="39"/>
      <c r="L4" s="41"/>
      <c r="M4" s="41"/>
      <c r="N4" s="41" t="s">
        <v>74</v>
      </c>
      <c r="O4" s="41" t="s">
        <v>75</v>
      </c>
      <c r="P4" s="41" t="s">
        <v>76</v>
      </c>
      <c r="Q4" s="41" t="s">
        <v>76</v>
      </c>
      <c r="R4" s="89" t="s">
        <v>76</v>
      </c>
      <c r="S4" s="41"/>
      <c r="T4" s="8"/>
    </row>
    <row r="5" spans="1:20" s="45" customFormat="1">
      <c r="A5" s="112"/>
      <c r="B5" s="42">
        <v>2003</v>
      </c>
      <c r="C5" s="42">
        <v>2004</v>
      </c>
      <c r="D5" s="42">
        <v>2005</v>
      </c>
      <c r="E5" s="42">
        <v>2006</v>
      </c>
      <c r="F5" s="42">
        <v>2007</v>
      </c>
      <c r="G5" s="42">
        <v>2008</v>
      </c>
      <c r="H5" s="42">
        <v>2009</v>
      </c>
      <c r="I5" s="43">
        <v>2010</v>
      </c>
      <c r="J5" s="43">
        <v>2011</v>
      </c>
      <c r="K5" s="43">
        <v>2012</v>
      </c>
      <c r="L5" s="43">
        <v>2013</v>
      </c>
      <c r="M5" s="43">
        <v>2014</v>
      </c>
      <c r="N5" s="43">
        <v>2015</v>
      </c>
      <c r="O5" s="43">
        <v>2016</v>
      </c>
      <c r="P5" s="43">
        <v>2017</v>
      </c>
      <c r="Q5" s="43">
        <v>2018</v>
      </c>
      <c r="R5" s="43">
        <v>2019</v>
      </c>
      <c r="S5" s="43"/>
      <c r="T5" s="44"/>
    </row>
    <row r="6" spans="1:20" s="52" customFormat="1" ht="15.75">
      <c r="A6" s="46" t="s">
        <v>77</v>
      </c>
      <c r="B6" s="47"/>
      <c r="C6" s="47"/>
      <c r="D6" s="47"/>
      <c r="E6" s="47"/>
      <c r="F6" s="47"/>
      <c r="G6" s="47"/>
      <c r="H6" s="47"/>
      <c r="I6" s="48"/>
      <c r="J6" s="49"/>
      <c r="K6" s="49"/>
      <c r="L6" s="50"/>
      <c r="M6" s="50"/>
      <c r="N6" s="50"/>
      <c r="O6" s="50"/>
      <c r="P6" s="50"/>
      <c r="Q6" s="50"/>
      <c r="R6" s="50"/>
      <c r="S6" s="50"/>
      <c r="T6" s="51" t="s">
        <v>78</v>
      </c>
    </row>
    <row r="7" spans="1:20" s="56" customFormat="1" ht="15.75">
      <c r="A7" s="46" t="s">
        <v>79</v>
      </c>
      <c r="B7" s="53">
        <v>2964.3</v>
      </c>
      <c r="C7" s="54">
        <v>3351.8</v>
      </c>
      <c r="D7" s="54">
        <v>3788.3</v>
      </c>
      <c r="E7" s="55">
        <v>5286.7</v>
      </c>
      <c r="F7" s="55">
        <v>6527.2000000000007</v>
      </c>
      <c r="G7" s="55">
        <v>6939.54</v>
      </c>
      <c r="H7" s="55">
        <v>5313.319469</v>
      </c>
      <c r="I7" s="55">
        <v>6392.3855347199969</v>
      </c>
      <c r="J7" s="55">
        <v>9172.1262260000003</v>
      </c>
      <c r="K7" s="55">
        <v>9771.4430765199995</v>
      </c>
      <c r="L7" s="55">
        <v>11783.092823999999</v>
      </c>
      <c r="M7" s="55">
        <v>14998.954087</v>
      </c>
      <c r="N7" s="55">
        <v>16669.260270999999</v>
      </c>
      <c r="O7" s="55">
        <v>17673.727405000001</v>
      </c>
      <c r="P7" s="55">
        <v>21030.102108999999</v>
      </c>
      <c r="Q7" s="55">
        <v>21318.159534999999</v>
      </c>
      <c r="R7" s="55">
        <v>22316.721419000001</v>
      </c>
      <c r="S7" s="55"/>
      <c r="T7" s="51" t="s">
        <v>80</v>
      </c>
    </row>
    <row r="8" spans="1:20" s="52" customFormat="1" ht="15.75">
      <c r="A8" s="57" t="s">
        <v>81</v>
      </c>
      <c r="B8" s="58">
        <v>899.7</v>
      </c>
      <c r="C8" s="59">
        <v>921.5</v>
      </c>
      <c r="D8" s="59">
        <v>911.8</v>
      </c>
      <c r="E8" s="60">
        <v>1776.9</v>
      </c>
      <c r="F8" s="60">
        <v>2216</v>
      </c>
      <c r="G8" s="60">
        <v>1969.8000000000002</v>
      </c>
      <c r="H8" s="60">
        <v>1429.8078089999999</v>
      </c>
      <c r="I8" s="60">
        <v>1703.6</v>
      </c>
      <c r="J8" s="60">
        <v>2568.2981019999997</v>
      </c>
      <c r="K8" s="60">
        <v>3389.5097959999998</v>
      </c>
      <c r="L8" s="60">
        <v>4122.6634639999993</v>
      </c>
      <c r="M8" s="60">
        <v>5621.5076369999997</v>
      </c>
      <c r="N8" s="60">
        <v>6532.7918000000009</v>
      </c>
      <c r="O8" s="60">
        <v>6394.5514360000006</v>
      </c>
      <c r="P8" s="60">
        <v>6688.3148689999998</v>
      </c>
      <c r="Q8" s="60">
        <v>7119.1270679999998</v>
      </c>
      <c r="R8" s="60">
        <v>7423.3353269999998</v>
      </c>
      <c r="S8" s="60"/>
      <c r="T8" s="61" t="s">
        <v>82</v>
      </c>
    </row>
    <row r="9" spans="1:20" s="52" customFormat="1" ht="15.75">
      <c r="A9" s="57" t="s">
        <v>83</v>
      </c>
      <c r="B9" s="58">
        <v>30.351179030462504</v>
      </c>
      <c r="C9" s="59">
        <v>27.492690494659584</v>
      </c>
      <c r="D9" s="59">
        <v>24.068843544597836</v>
      </c>
      <c r="E9" s="60">
        <v>34</v>
      </c>
      <c r="F9" s="60">
        <v>34</v>
      </c>
      <c r="G9" s="60">
        <v>28</v>
      </c>
      <c r="H9" s="60">
        <v>26.909878416723522</v>
      </c>
      <c r="I9" s="60">
        <v>26.650457653828319</v>
      </c>
      <c r="J9" s="60">
        <v>28.0011203369586</v>
      </c>
      <c r="K9" s="60">
        <v>34.687914256438972</v>
      </c>
      <c r="L9" s="60">
        <v>34.987957114306099</v>
      </c>
      <c r="M9" s="60">
        <f>(M8/M7)*100</f>
        <v>37.479330921296125</v>
      </c>
      <c r="N9" s="60">
        <f t="shared" ref="N9:R9" si="0">(N8/N7)*100</f>
        <v>39.190652097293665</v>
      </c>
      <c r="O9" s="60">
        <f t="shared" si="0"/>
        <v>36.181113861646097</v>
      </c>
      <c r="P9" s="60">
        <f t="shared" si="0"/>
        <v>31.803530169916211</v>
      </c>
      <c r="Q9" s="60">
        <f t="shared" si="0"/>
        <v>33.394660811651534</v>
      </c>
      <c r="R9" s="60">
        <f t="shared" si="0"/>
        <v>33.263556898102081</v>
      </c>
      <c r="S9" s="60"/>
      <c r="T9" s="61" t="s">
        <v>84</v>
      </c>
    </row>
    <row r="10" spans="1:20" s="52" customFormat="1" ht="15.75">
      <c r="A10" s="46" t="s">
        <v>85</v>
      </c>
      <c r="B10" s="58"/>
      <c r="C10" s="62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51" t="s">
        <v>86</v>
      </c>
    </row>
    <row r="11" spans="1:20" s="56" customFormat="1" ht="15.75">
      <c r="A11" s="46" t="s">
        <v>87</v>
      </c>
      <c r="B11" s="53">
        <v>3551.8999999999996</v>
      </c>
      <c r="C11" s="54">
        <v>3779.1</v>
      </c>
      <c r="D11" s="54">
        <v>5775.4</v>
      </c>
      <c r="E11" s="55">
        <v>7066.2000000000007</v>
      </c>
      <c r="F11" s="55">
        <v>8325.4000000000015</v>
      </c>
      <c r="G11" s="55">
        <v>10342.400000000001</v>
      </c>
      <c r="H11" s="55">
        <v>11104.270489000002</v>
      </c>
      <c r="I11" s="55">
        <f>SUM(I12:I13)</f>
        <v>10996.362102899999</v>
      </c>
      <c r="J11" s="55">
        <f>SUM(J12:J13)</f>
        <v>12663.726665999999</v>
      </c>
      <c r="K11" s="55">
        <v>13200.234560999999</v>
      </c>
      <c r="L11" s="55">
        <f>SUM(L12:L13)</f>
        <v>15298.46353139</v>
      </c>
      <c r="M11" s="55">
        <f>SUM(M12:M13)</f>
        <v>17958.287056000001</v>
      </c>
      <c r="N11" s="55">
        <f t="shared" ref="N11:R11" si="1">SUM(N12:N13)</f>
        <v>22667.86647891</v>
      </c>
      <c r="O11" s="55">
        <f t="shared" si="1"/>
        <v>23804.288300364162</v>
      </c>
      <c r="P11" s="55">
        <f t="shared" si="1"/>
        <v>26791.522460927634</v>
      </c>
      <c r="Q11" s="55">
        <f t="shared" si="1"/>
        <v>28640.504564432398</v>
      </c>
      <c r="R11" s="55">
        <f t="shared" si="1"/>
        <v>29974.42510451105</v>
      </c>
      <c r="S11" s="55"/>
      <c r="T11" s="61" t="s">
        <v>88</v>
      </c>
    </row>
    <row r="12" spans="1:20" s="52" customFormat="1" ht="18.75">
      <c r="A12" s="57" t="s">
        <v>89</v>
      </c>
      <c r="B12" s="58">
        <v>2345.6999999999998</v>
      </c>
      <c r="C12" s="59">
        <v>2788.1</v>
      </c>
      <c r="D12" s="59">
        <v>4643.3</v>
      </c>
      <c r="E12" s="60">
        <v>5607.8</v>
      </c>
      <c r="F12" s="60">
        <v>6560.1</v>
      </c>
      <c r="G12" s="60">
        <v>7463.2000000000007</v>
      </c>
      <c r="H12" s="60">
        <v>8764.9</v>
      </c>
      <c r="I12" s="60">
        <v>8428.0733739999996</v>
      </c>
      <c r="J12" s="60">
        <v>9075.7434510000003</v>
      </c>
      <c r="K12" s="60">
        <v>10316.485255</v>
      </c>
      <c r="L12" s="60">
        <v>11573.21458545</v>
      </c>
      <c r="M12" s="60">
        <v>13959.96852</v>
      </c>
      <c r="N12" s="60">
        <v>16733.599942880002</v>
      </c>
      <c r="O12" s="60">
        <v>15312.396627187472</v>
      </c>
      <c r="P12" s="60">
        <v>13574.70255758</v>
      </c>
      <c r="Q12" s="60">
        <v>14102.3250754736</v>
      </c>
      <c r="R12" s="60">
        <v>14340.063969503071</v>
      </c>
      <c r="S12" s="60"/>
      <c r="T12" s="63" t="s">
        <v>90</v>
      </c>
    </row>
    <row r="13" spans="1:20" s="52" customFormat="1" ht="18.75">
      <c r="A13" s="57" t="s">
        <v>91</v>
      </c>
      <c r="B13" s="58">
        <v>1206.2</v>
      </c>
      <c r="C13" s="59">
        <v>991</v>
      </c>
      <c r="D13" s="59">
        <v>1132.0999999999999</v>
      </c>
      <c r="E13" s="60">
        <v>1458.4</v>
      </c>
      <c r="F13" s="60">
        <v>1765.3000000000002</v>
      </c>
      <c r="G13" s="60">
        <v>2879.2</v>
      </c>
      <c r="H13" s="60">
        <v>2339.3000000000002</v>
      </c>
      <c r="I13" s="60">
        <v>2568.2887288999996</v>
      </c>
      <c r="J13" s="60">
        <v>3587.9832149999993</v>
      </c>
      <c r="K13" s="60">
        <v>2883.7493059999997</v>
      </c>
      <c r="L13" s="60">
        <v>3725.2489459399994</v>
      </c>
      <c r="M13" s="60">
        <v>3998.3185360000002</v>
      </c>
      <c r="N13" s="60">
        <v>5934.2665360299998</v>
      </c>
      <c r="O13" s="60">
        <v>8491.8916731766876</v>
      </c>
      <c r="P13" s="60">
        <v>13216.819903347634</v>
      </c>
      <c r="Q13" s="60">
        <v>14538.1794889588</v>
      </c>
      <c r="R13" s="60">
        <v>15634.361135007977</v>
      </c>
      <c r="S13" s="60"/>
      <c r="T13" s="63" t="s">
        <v>92</v>
      </c>
    </row>
    <row r="14" spans="1:20" s="56" customFormat="1" ht="15.75">
      <c r="A14" s="46" t="s">
        <v>93</v>
      </c>
      <c r="B14" s="53">
        <v>34.9</v>
      </c>
      <c r="C14" s="54">
        <v>56.300000000000004</v>
      </c>
      <c r="D14" s="54">
        <v>57.4</v>
      </c>
      <c r="E14" s="55">
        <v>100.8</v>
      </c>
      <c r="F14" s="55">
        <v>108.2</v>
      </c>
      <c r="G14" s="55">
        <v>93.3</v>
      </c>
      <c r="H14" s="55">
        <v>56.6</v>
      </c>
      <c r="I14" s="55">
        <f t="shared" ref="I14:L14" si="2">SUM(I15:I16)</f>
        <v>46.85</v>
      </c>
      <c r="J14" s="55">
        <f t="shared" si="2"/>
        <v>33.749468999999998</v>
      </c>
      <c r="K14" s="55">
        <f>SUM(K15:K16)</f>
        <v>52.6</v>
      </c>
      <c r="L14" s="55">
        <f t="shared" si="2"/>
        <v>33.124519409999998</v>
      </c>
      <c r="M14" s="55">
        <f>SUM(M15:M16)</f>
        <v>49.642775</v>
      </c>
      <c r="N14" s="55">
        <f t="shared" ref="N14:R14" si="3">SUM(N15:N16)</f>
        <v>103.70914999999999</v>
      </c>
      <c r="O14" s="55">
        <f t="shared" si="3"/>
        <v>146.29904588333332</v>
      </c>
      <c r="P14" s="55">
        <f t="shared" si="3"/>
        <v>201.358023</v>
      </c>
      <c r="Q14" s="55">
        <f t="shared" si="3"/>
        <v>93.496478999999994</v>
      </c>
      <c r="R14" s="55">
        <f t="shared" si="3"/>
        <v>93.537668999999994</v>
      </c>
      <c r="S14" s="55"/>
      <c r="T14" s="51" t="s">
        <v>94</v>
      </c>
    </row>
    <row r="15" spans="1:20" s="52" customFormat="1" ht="18.75">
      <c r="A15" s="57" t="s">
        <v>89</v>
      </c>
      <c r="B15" s="58">
        <v>34.5</v>
      </c>
      <c r="C15" s="59">
        <v>55.6</v>
      </c>
      <c r="D15" s="59">
        <v>56.9</v>
      </c>
      <c r="E15" s="60">
        <v>100.1</v>
      </c>
      <c r="F15" s="60">
        <v>107.8</v>
      </c>
      <c r="G15" s="60">
        <v>80.099999999999994</v>
      </c>
      <c r="H15" s="60">
        <v>56.43</v>
      </c>
      <c r="I15" s="60">
        <v>43.83</v>
      </c>
      <c r="J15" s="60">
        <v>33.652000000000001</v>
      </c>
      <c r="K15" s="60">
        <v>52.4</v>
      </c>
      <c r="L15" s="60">
        <v>33.053981409999999</v>
      </c>
      <c r="M15" s="60">
        <v>48.876987999999997</v>
      </c>
      <c r="N15" s="60">
        <v>103.028464</v>
      </c>
      <c r="O15" s="60">
        <v>145.87562321666667</v>
      </c>
      <c r="P15" s="60">
        <v>93.284747999999993</v>
      </c>
      <c r="Q15" s="60">
        <v>93.363203999999996</v>
      </c>
      <c r="R15" s="60">
        <v>93.404393999999996</v>
      </c>
      <c r="S15" s="60"/>
      <c r="T15" s="63" t="s">
        <v>90</v>
      </c>
    </row>
    <row r="16" spans="1:20" s="52" customFormat="1" ht="18.75">
      <c r="A16" s="57" t="s">
        <v>91</v>
      </c>
      <c r="B16" s="58">
        <v>0.4</v>
      </c>
      <c r="C16" s="59">
        <v>0.7</v>
      </c>
      <c r="D16" s="59">
        <v>0.5</v>
      </c>
      <c r="E16" s="60">
        <v>0.7</v>
      </c>
      <c r="F16" s="60">
        <v>0.4</v>
      </c>
      <c r="G16" s="60">
        <v>13.2</v>
      </c>
      <c r="H16" s="60">
        <v>0.13069</v>
      </c>
      <c r="I16" s="60">
        <v>3.02</v>
      </c>
      <c r="J16" s="60">
        <v>9.7469E-2</v>
      </c>
      <c r="K16" s="60">
        <v>0.2</v>
      </c>
      <c r="L16" s="60">
        <v>7.0538000000000003E-2</v>
      </c>
      <c r="M16" s="60">
        <v>0.765787</v>
      </c>
      <c r="N16" s="60">
        <v>0.68068600000000001</v>
      </c>
      <c r="O16" s="60">
        <v>0.42342266666666667</v>
      </c>
      <c r="P16" s="60">
        <v>108.073275</v>
      </c>
      <c r="Q16" s="60">
        <v>0.133275</v>
      </c>
      <c r="R16" s="60">
        <v>0.133275</v>
      </c>
      <c r="S16" s="60"/>
      <c r="T16" s="63" t="s">
        <v>92</v>
      </c>
    </row>
    <row r="17" spans="1:20" s="56" customFormat="1" ht="22.15" customHeight="1">
      <c r="A17" s="64" t="s">
        <v>95</v>
      </c>
      <c r="B17" s="65">
        <v>0.98257270756496529</v>
      </c>
      <c r="C17" s="66">
        <v>1.4897726972030381</v>
      </c>
      <c r="D17" s="66">
        <v>0.99387055442047312</v>
      </c>
      <c r="E17" s="67">
        <v>1.4265092977838159</v>
      </c>
      <c r="F17" s="67">
        <f>F14/F11*100</f>
        <v>1.2996372546664423</v>
      </c>
      <c r="G17" s="67">
        <f>G14/G11*100</f>
        <v>0.90211169554455428</v>
      </c>
      <c r="H17" s="67">
        <f t="shared" ref="H17:R19" si="4">H14/H11*100</f>
        <v>0.50971380835930202</v>
      </c>
      <c r="I17" s="67">
        <f t="shared" si="4"/>
        <v>0.42604999327590853</v>
      </c>
      <c r="J17" s="67">
        <f t="shared" si="4"/>
        <v>0.26650503355076127</v>
      </c>
      <c r="K17" s="55">
        <f t="shared" si="4"/>
        <v>0.39847776762548093</v>
      </c>
      <c r="L17" s="55">
        <f t="shared" si="4"/>
        <v>0.21652187059199626</v>
      </c>
      <c r="M17" s="55">
        <f t="shared" si="4"/>
        <v>0.27643379819688302</v>
      </c>
      <c r="N17" s="55">
        <f t="shared" si="4"/>
        <v>0.45751614999360501</v>
      </c>
      <c r="O17" s="55">
        <f t="shared" si="4"/>
        <v>0.61459113600592385</v>
      </c>
      <c r="P17" s="55">
        <f t="shared" si="4"/>
        <v>0.75157364906625823</v>
      </c>
      <c r="Q17" s="55">
        <f t="shared" si="4"/>
        <v>0.32644843525595518</v>
      </c>
      <c r="R17" s="55">
        <f t="shared" si="4"/>
        <v>0.31205825857832015</v>
      </c>
      <c r="S17" s="67"/>
      <c r="T17" s="51" t="s">
        <v>96</v>
      </c>
    </row>
    <row r="18" spans="1:20" s="56" customFormat="1" ht="18.75">
      <c r="A18" s="57" t="s">
        <v>89</v>
      </c>
      <c r="B18" s="68">
        <v>1.4707763141066634</v>
      </c>
      <c r="C18" s="69">
        <v>1.9941895914780676</v>
      </c>
      <c r="D18" s="69">
        <v>1.2254215751728297</v>
      </c>
      <c r="E18" s="70">
        <v>1.7850137308748528</v>
      </c>
      <c r="F18" s="70">
        <v>1.6432676331153486</v>
      </c>
      <c r="G18" s="70">
        <v>1.0732661592882407</v>
      </c>
      <c r="H18" s="70">
        <v>0.64381795570970579</v>
      </c>
      <c r="I18" s="70">
        <v>0.52004767940455288</v>
      </c>
      <c r="J18" s="70">
        <v>0.37079056037323416</v>
      </c>
      <c r="K18" s="70">
        <v>0.5079249250572403</v>
      </c>
      <c r="L18" s="70">
        <v>0.28560760855117906</v>
      </c>
      <c r="M18" s="70">
        <f t="shared" si="4"/>
        <v>0.35012248007562125</v>
      </c>
      <c r="N18" s="70">
        <f t="shared" si="4"/>
        <v>0.61569814237036113</v>
      </c>
      <c r="O18" s="70">
        <f t="shared" si="4"/>
        <v>0.95266356252594397</v>
      </c>
      <c r="P18" s="70">
        <f t="shared" si="4"/>
        <v>0.68719552125958427</v>
      </c>
      <c r="Q18" s="70">
        <f t="shared" si="4"/>
        <v>0.66204121306475106</v>
      </c>
      <c r="R18" s="60">
        <f t="shared" si="4"/>
        <v>0.65135270106634513</v>
      </c>
      <c r="S18" s="70"/>
      <c r="T18" s="63" t="s">
        <v>90</v>
      </c>
    </row>
    <row r="19" spans="1:20" s="52" customFormat="1" ht="18.75">
      <c r="A19" s="71" t="s">
        <v>91</v>
      </c>
      <c r="B19" s="72">
        <v>3.3161996352180402E-2</v>
      </c>
      <c r="C19" s="73">
        <v>7.0635721493440967E-2</v>
      </c>
      <c r="D19" s="73">
        <v>4.416570974295557E-2</v>
      </c>
      <c r="E19" s="74">
        <v>4.7997805814591329E-2</v>
      </c>
      <c r="F19" s="74">
        <v>2.2659038123831642E-2</v>
      </c>
      <c r="G19" s="74">
        <v>0.45846068352320091</v>
      </c>
      <c r="H19" s="74">
        <v>5.5867139742658053E-3</v>
      </c>
      <c r="I19" s="74">
        <v>0.11758802528769688</v>
      </c>
      <c r="J19" s="74">
        <v>2.7165400214950565E-3</v>
      </c>
      <c r="K19" s="74">
        <v>6.9354156265898385E-3</v>
      </c>
      <c r="L19" s="74">
        <v>1.893511038420038E-3</v>
      </c>
      <c r="M19" s="74">
        <f>M16/M13*100</f>
        <v>1.9152726154882824E-2</v>
      </c>
      <c r="N19" s="74">
        <f t="shared" si="4"/>
        <v>1.1470431870007918E-2</v>
      </c>
      <c r="O19" s="74">
        <f>O16/O13*100</f>
        <v>4.9861995767577971E-3</v>
      </c>
      <c r="P19" s="74">
        <f>P16/P13*100</f>
        <v>0.81769499615127961</v>
      </c>
      <c r="Q19" s="74">
        <f>Q16/Q13*100</f>
        <v>9.1672413386571089E-4</v>
      </c>
      <c r="R19" s="74">
        <f>R16/R13*100</f>
        <v>8.5244928685684982E-4</v>
      </c>
      <c r="S19" s="74"/>
      <c r="T19" s="75" t="s">
        <v>92</v>
      </c>
    </row>
    <row r="20" spans="1:20" s="78" customFormat="1" ht="15">
      <c r="A20" s="76" t="s">
        <v>97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R20" s="79"/>
      <c r="T20" s="37"/>
    </row>
    <row r="21" spans="1:20" s="78" customFormat="1">
      <c r="A21" s="80" t="s">
        <v>98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R21" s="79"/>
    </row>
    <row r="22" spans="1:20" s="78" customFormat="1">
      <c r="A22" s="80" t="s">
        <v>99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R22" s="79"/>
    </row>
    <row r="23" spans="1:20" s="78" customFormat="1">
      <c r="A23" s="80" t="s">
        <v>100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R23" s="79"/>
    </row>
    <row r="24" spans="1:20" s="52" customFormat="1" ht="12">
      <c r="A24" s="81" t="s">
        <v>101</v>
      </c>
      <c r="B24" s="81"/>
      <c r="C24" s="81"/>
      <c r="D24" s="81"/>
      <c r="E24" s="81"/>
      <c r="F24" s="81"/>
      <c r="G24" s="82"/>
      <c r="H24" s="83"/>
      <c r="I24" s="83"/>
      <c r="J24" s="83"/>
      <c r="K24" s="83"/>
      <c r="R24" s="84"/>
    </row>
    <row r="25" spans="1:20" s="52" customFormat="1" ht="12">
      <c r="A25" s="81" t="s">
        <v>102</v>
      </c>
      <c r="B25" s="81"/>
      <c r="C25" s="81"/>
      <c r="D25" s="81"/>
      <c r="E25" s="81"/>
      <c r="F25" s="81"/>
      <c r="G25" s="82"/>
      <c r="H25" s="83"/>
      <c r="I25" s="83"/>
      <c r="J25" s="83"/>
      <c r="K25" s="83"/>
      <c r="R25" s="84"/>
    </row>
    <row r="26" spans="1:20" s="52" customFormat="1" ht="12" hidden="1">
      <c r="A26" s="81" t="s">
        <v>103</v>
      </c>
      <c r="B26" s="81"/>
      <c r="C26" s="81"/>
      <c r="D26" s="81"/>
      <c r="E26" s="81"/>
      <c r="F26" s="81"/>
      <c r="G26" s="82"/>
      <c r="H26" s="83"/>
      <c r="I26" s="83"/>
      <c r="J26" s="83"/>
      <c r="K26" s="83"/>
      <c r="R26" s="84"/>
    </row>
    <row r="27" spans="1:20" s="52" customFormat="1" ht="12" hidden="1" customHeight="1">
      <c r="A27" s="113" t="s">
        <v>104</v>
      </c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R27" s="84"/>
    </row>
    <row r="28" spans="1:20" s="52" customFormat="1" ht="12" hidden="1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R28" s="84"/>
    </row>
    <row r="29" spans="1:20" s="52" customFormat="1" ht="12" hidden="1">
      <c r="A29" s="81" t="s">
        <v>105</v>
      </c>
      <c r="B29" s="81"/>
      <c r="C29" s="81"/>
      <c r="D29" s="81"/>
      <c r="E29" s="81"/>
      <c r="F29" s="81"/>
      <c r="G29" s="82"/>
      <c r="H29" s="83"/>
      <c r="I29" s="83"/>
      <c r="J29" s="83"/>
      <c r="K29" s="83"/>
      <c r="R29" s="84"/>
    </row>
    <row r="30" spans="1:20" hidden="1">
      <c r="A30" s="81" t="s">
        <v>106</v>
      </c>
    </row>
    <row r="31" spans="1:20" s="52" customFormat="1" ht="12">
      <c r="A31" s="85" t="s">
        <v>107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6"/>
      <c r="S31" s="83"/>
    </row>
    <row r="33" spans="1:20" s="52" customFormat="1" ht="12">
      <c r="A33" s="87"/>
      <c r="B33" s="83"/>
      <c r="R33" s="84"/>
    </row>
    <row r="34" spans="1:20" s="52" customFormat="1">
      <c r="A34" s="87"/>
      <c r="B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8"/>
      <c r="S34" s="8"/>
      <c r="T34" s="8"/>
    </row>
    <row r="35" spans="1:20" s="52" customFormat="1" ht="12">
      <c r="B35" s="83"/>
      <c r="C35" s="83"/>
      <c r="D35" s="83"/>
      <c r="E35" s="83"/>
      <c r="G35" s="83"/>
      <c r="R35" s="84"/>
    </row>
    <row r="42" spans="1:20" s="52" customFormat="1">
      <c r="A42" s="8"/>
      <c r="B42" s="8"/>
      <c r="C42" s="8"/>
      <c r="D42" s="8"/>
      <c r="E42" s="8"/>
      <c r="F42" s="8"/>
      <c r="G42" s="8"/>
      <c r="H42" s="83"/>
      <c r="I42" s="83"/>
      <c r="J42" s="83"/>
      <c r="K42" s="83"/>
      <c r="R42" s="84"/>
    </row>
    <row r="43" spans="1:20" s="52" customFormat="1" ht="12">
      <c r="B43" s="83"/>
      <c r="C43" s="83"/>
      <c r="D43" s="83"/>
      <c r="E43" s="83"/>
      <c r="F43" s="83"/>
      <c r="G43" s="83"/>
      <c r="H43" s="83"/>
      <c r="I43" s="83"/>
      <c r="J43" s="83"/>
      <c r="K43" s="83"/>
      <c r="R43" s="84"/>
    </row>
    <row r="44" spans="1:20" s="52" customFormat="1" ht="12">
      <c r="B44" s="83"/>
      <c r="C44" s="83"/>
      <c r="D44" s="83"/>
      <c r="E44" s="83"/>
      <c r="F44" s="83"/>
      <c r="G44" s="83"/>
      <c r="H44" s="83"/>
      <c r="I44" s="83"/>
      <c r="J44" s="83"/>
      <c r="K44" s="83"/>
      <c r="R44" s="84"/>
    </row>
    <row r="45" spans="1:20" s="52" customFormat="1" ht="12">
      <c r="B45" s="83"/>
      <c r="C45" s="83"/>
      <c r="D45" s="83"/>
      <c r="E45" s="83"/>
      <c r="F45" s="83"/>
      <c r="G45" s="83"/>
      <c r="H45" s="83"/>
      <c r="I45" s="83"/>
      <c r="J45" s="83"/>
      <c r="K45" s="83"/>
      <c r="R45" s="84"/>
    </row>
    <row r="46" spans="1:20" s="52" customFormat="1" ht="12">
      <c r="B46" s="83"/>
      <c r="C46" s="83"/>
      <c r="D46" s="83"/>
      <c r="E46" s="83"/>
      <c r="F46" s="83"/>
      <c r="G46" s="83"/>
      <c r="H46" s="83"/>
      <c r="I46" s="83"/>
      <c r="J46" s="83"/>
      <c r="K46" s="83"/>
      <c r="R46" s="84"/>
    </row>
    <row r="47" spans="1:20" s="52" customFormat="1" ht="12">
      <c r="B47" s="83"/>
      <c r="C47" s="83"/>
      <c r="D47" s="83"/>
      <c r="E47" s="83"/>
      <c r="F47" s="83"/>
      <c r="G47" s="83"/>
      <c r="H47" s="83"/>
      <c r="I47" s="83"/>
      <c r="J47" s="83"/>
      <c r="K47" s="83"/>
      <c r="R47" s="84"/>
    </row>
    <row r="48" spans="1:20" s="52" customFormat="1" ht="12">
      <c r="B48" s="83"/>
      <c r="C48" s="83"/>
      <c r="D48" s="83"/>
      <c r="E48" s="83"/>
      <c r="F48" s="83"/>
      <c r="G48" s="83"/>
      <c r="H48" s="83"/>
      <c r="I48" s="83"/>
      <c r="J48" s="83"/>
      <c r="K48" s="83"/>
      <c r="R48" s="84"/>
    </row>
    <row r="49" spans="2:18" s="52" customFormat="1" ht="12">
      <c r="B49" s="83"/>
      <c r="C49" s="83"/>
      <c r="D49" s="83"/>
      <c r="E49" s="83"/>
      <c r="F49" s="83"/>
      <c r="G49" s="83"/>
      <c r="H49" s="83"/>
      <c r="I49" s="83"/>
      <c r="J49" s="83"/>
      <c r="K49" s="83"/>
      <c r="R49" s="84"/>
    </row>
    <row r="50" spans="2:18" s="52" customFormat="1" ht="12">
      <c r="B50" s="83"/>
      <c r="C50" s="83"/>
      <c r="D50" s="83"/>
      <c r="E50" s="83"/>
      <c r="F50" s="83"/>
      <c r="G50" s="83"/>
      <c r="H50" s="83"/>
      <c r="I50" s="83"/>
      <c r="J50" s="83"/>
      <c r="K50" s="83"/>
      <c r="R50" s="84"/>
    </row>
    <row r="51" spans="2:18" s="52" customFormat="1" ht="12">
      <c r="B51" s="83"/>
      <c r="C51" s="83"/>
      <c r="D51" s="83"/>
      <c r="E51" s="83"/>
      <c r="F51" s="83"/>
      <c r="G51" s="83"/>
      <c r="H51" s="83"/>
      <c r="I51" s="83"/>
      <c r="J51" s="83"/>
      <c r="K51" s="83"/>
      <c r="R51" s="84"/>
    </row>
    <row r="52" spans="2:18" s="52" customFormat="1" ht="12">
      <c r="B52" s="83"/>
      <c r="C52" s="83"/>
      <c r="D52" s="83"/>
      <c r="E52" s="83"/>
      <c r="F52" s="83"/>
      <c r="G52" s="83"/>
      <c r="H52" s="83"/>
      <c r="I52" s="83"/>
      <c r="J52" s="83"/>
      <c r="K52" s="83"/>
      <c r="R52" s="84"/>
    </row>
    <row r="53" spans="2:18" s="52" customFormat="1" ht="12">
      <c r="B53" s="83"/>
      <c r="C53" s="83"/>
      <c r="D53" s="83"/>
      <c r="E53" s="83"/>
      <c r="F53" s="83"/>
      <c r="G53" s="83"/>
      <c r="H53" s="83"/>
      <c r="I53" s="83"/>
      <c r="J53" s="83"/>
      <c r="K53" s="83"/>
      <c r="R53" s="84"/>
    </row>
    <row r="54" spans="2:18" s="52" customFormat="1" ht="12">
      <c r="B54" s="83"/>
      <c r="C54" s="83"/>
      <c r="D54" s="83"/>
      <c r="E54" s="83"/>
      <c r="F54" s="83"/>
      <c r="G54" s="83"/>
      <c r="H54" s="83"/>
      <c r="I54" s="83"/>
      <c r="J54" s="83"/>
      <c r="K54" s="83"/>
      <c r="R54" s="84"/>
    </row>
    <row r="55" spans="2:18" s="52" customFormat="1" ht="12">
      <c r="B55" s="83"/>
      <c r="C55" s="83"/>
      <c r="D55" s="83"/>
      <c r="E55" s="83"/>
      <c r="F55" s="83"/>
      <c r="G55" s="83"/>
      <c r="H55" s="83"/>
      <c r="I55" s="83"/>
      <c r="J55" s="83"/>
      <c r="K55" s="83"/>
      <c r="R55" s="84"/>
    </row>
    <row r="56" spans="2:18" s="52" customFormat="1" ht="12">
      <c r="B56" s="83"/>
      <c r="C56" s="83"/>
      <c r="D56" s="83"/>
      <c r="E56" s="83"/>
      <c r="F56" s="83"/>
      <c r="G56" s="83"/>
      <c r="H56" s="83"/>
      <c r="I56" s="83"/>
      <c r="J56" s="83"/>
      <c r="K56" s="83"/>
      <c r="R56" s="84"/>
    </row>
    <row r="57" spans="2:18" s="52" customFormat="1" ht="12">
      <c r="B57" s="83"/>
      <c r="C57" s="83"/>
      <c r="D57" s="83"/>
      <c r="E57" s="83"/>
      <c r="F57" s="83"/>
      <c r="G57" s="83"/>
      <c r="H57" s="83"/>
      <c r="I57" s="83"/>
      <c r="J57" s="83"/>
      <c r="K57" s="83"/>
      <c r="R57" s="84"/>
    </row>
    <row r="58" spans="2:18" s="52" customFormat="1" ht="12">
      <c r="B58" s="83"/>
      <c r="C58" s="83"/>
      <c r="D58" s="83"/>
      <c r="E58" s="83"/>
      <c r="F58" s="83"/>
      <c r="G58" s="83"/>
      <c r="H58" s="83"/>
      <c r="I58" s="83"/>
      <c r="J58" s="83"/>
      <c r="K58" s="83"/>
      <c r="R58" s="84"/>
    </row>
    <row r="59" spans="2:18" s="52" customFormat="1" ht="12">
      <c r="B59" s="83"/>
      <c r="C59" s="83"/>
      <c r="D59" s="83"/>
      <c r="E59" s="83"/>
      <c r="F59" s="83"/>
      <c r="G59" s="83"/>
      <c r="H59" s="83"/>
      <c r="I59" s="83"/>
      <c r="J59" s="83"/>
      <c r="K59" s="83"/>
      <c r="R59" s="84"/>
    </row>
    <row r="60" spans="2:18" s="52" customFormat="1" ht="12">
      <c r="B60" s="83"/>
      <c r="C60" s="83"/>
      <c r="D60" s="83"/>
      <c r="E60" s="83"/>
      <c r="F60" s="83"/>
      <c r="G60" s="83"/>
      <c r="H60" s="83"/>
      <c r="I60" s="83"/>
      <c r="J60" s="83"/>
      <c r="K60" s="83"/>
      <c r="R60" s="84"/>
    </row>
    <row r="61" spans="2:18" s="52" customFormat="1" ht="12">
      <c r="B61" s="83"/>
      <c r="C61" s="83"/>
      <c r="D61" s="83"/>
      <c r="E61" s="83"/>
      <c r="F61" s="83"/>
      <c r="G61" s="83"/>
      <c r="H61" s="83"/>
      <c r="I61" s="83"/>
      <c r="J61" s="83"/>
      <c r="K61" s="83"/>
      <c r="R61" s="84"/>
    </row>
    <row r="62" spans="2:18" s="52" customFormat="1" ht="12">
      <c r="B62" s="83"/>
      <c r="C62" s="83"/>
      <c r="D62" s="83"/>
      <c r="E62" s="83"/>
      <c r="F62" s="83"/>
      <c r="G62" s="83"/>
      <c r="H62" s="83"/>
      <c r="I62" s="83"/>
      <c r="J62" s="83"/>
      <c r="K62" s="83"/>
      <c r="R62" s="84"/>
    </row>
    <row r="63" spans="2:18" s="52" customFormat="1" ht="12">
      <c r="B63" s="83"/>
      <c r="C63" s="83"/>
      <c r="D63" s="83"/>
      <c r="E63" s="83"/>
      <c r="F63" s="83"/>
      <c r="G63" s="83"/>
      <c r="H63" s="83"/>
      <c r="I63" s="83"/>
      <c r="J63" s="83"/>
      <c r="K63" s="83"/>
      <c r="R63" s="84"/>
    </row>
    <row r="64" spans="2:18" s="52" customFormat="1" ht="12">
      <c r="B64" s="83"/>
      <c r="C64" s="83"/>
      <c r="D64" s="83"/>
      <c r="E64" s="83"/>
      <c r="F64" s="83"/>
      <c r="G64" s="83"/>
      <c r="H64" s="83"/>
      <c r="I64" s="83"/>
      <c r="J64" s="83"/>
      <c r="K64" s="83"/>
      <c r="R64" s="84"/>
    </row>
    <row r="65" spans="2:18" s="52" customFormat="1" ht="12">
      <c r="B65" s="83"/>
      <c r="C65" s="83"/>
      <c r="D65" s="83"/>
      <c r="E65" s="83"/>
      <c r="F65" s="83"/>
      <c r="G65" s="83"/>
      <c r="H65" s="83"/>
      <c r="I65" s="83"/>
      <c r="J65" s="83"/>
      <c r="K65" s="83"/>
      <c r="R65" s="84"/>
    </row>
    <row r="66" spans="2:18" s="52" customFormat="1" ht="12">
      <c r="B66" s="83"/>
      <c r="C66" s="83"/>
      <c r="D66" s="83"/>
      <c r="E66" s="83"/>
      <c r="F66" s="83"/>
      <c r="G66" s="83"/>
      <c r="H66" s="83"/>
      <c r="I66" s="83"/>
      <c r="J66" s="83"/>
      <c r="K66" s="83"/>
      <c r="R66" s="84"/>
    </row>
    <row r="67" spans="2:18" s="52" customFormat="1" ht="12">
      <c r="B67" s="83"/>
      <c r="C67" s="83"/>
      <c r="D67" s="83"/>
      <c r="E67" s="83"/>
      <c r="F67" s="83"/>
      <c r="G67" s="83"/>
      <c r="H67" s="83"/>
      <c r="I67" s="83"/>
      <c r="J67" s="83"/>
      <c r="K67" s="83"/>
      <c r="R67" s="84"/>
    </row>
    <row r="68" spans="2:18" s="52" customFormat="1" ht="12">
      <c r="B68" s="83"/>
      <c r="C68" s="83"/>
      <c r="D68" s="83"/>
      <c r="E68" s="83"/>
      <c r="F68" s="83"/>
      <c r="G68" s="83"/>
      <c r="H68" s="83"/>
      <c r="I68" s="83"/>
      <c r="J68" s="83"/>
      <c r="K68" s="83"/>
      <c r="R68" s="84"/>
    </row>
    <row r="69" spans="2:18" s="52" customFormat="1" ht="12">
      <c r="B69" s="83"/>
      <c r="C69" s="83"/>
      <c r="D69" s="83"/>
      <c r="E69" s="83"/>
      <c r="F69" s="83"/>
      <c r="G69" s="83"/>
      <c r="H69" s="83"/>
      <c r="I69" s="83"/>
      <c r="J69" s="83"/>
      <c r="K69" s="83"/>
      <c r="R69" s="84"/>
    </row>
    <row r="70" spans="2:18" s="52" customFormat="1" ht="12">
      <c r="B70" s="83"/>
      <c r="C70" s="83"/>
      <c r="D70" s="83"/>
      <c r="E70" s="83"/>
      <c r="F70" s="83"/>
      <c r="G70" s="83"/>
      <c r="H70" s="83"/>
      <c r="I70" s="83"/>
      <c r="J70" s="83"/>
      <c r="K70" s="83"/>
      <c r="R70" s="84"/>
    </row>
    <row r="71" spans="2:18" s="52" customFormat="1" ht="12">
      <c r="B71" s="83"/>
      <c r="C71" s="83"/>
      <c r="D71" s="83"/>
      <c r="E71" s="83"/>
      <c r="F71" s="83"/>
      <c r="G71" s="83"/>
      <c r="H71" s="83"/>
      <c r="I71" s="83"/>
      <c r="J71" s="83"/>
      <c r="K71" s="83"/>
      <c r="R71" s="84"/>
    </row>
    <row r="72" spans="2:18" s="52" customFormat="1" ht="12">
      <c r="B72" s="83"/>
      <c r="C72" s="83"/>
      <c r="D72" s="83"/>
      <c r="E72" s="83"/>
      <c r="F72" s="83"/>
      <c r="G72" s="83"/>
      <c r="H72" s="83"/>
      <c r="I72" s="83"/>
      <c r="J72" s="83"/>
      <c r="K72" s="83"/>
      <c r="R72" s="84"/>
    </row>
    <row r="73" spans="2:18" s="52" customFormat="1" ht="12">
      <c r="B73" s="83"/>
      <c r="C73" s="83"/>
      <c r="D73" s="83"/>
      <c r="E73" s="83"/>
      <c r="F73" s="83"/>
      <c r="G73" s="83"/>
      <c r="H73" s="83"/>
      <c r="I73" s="83"/>
      <c r="J73" s="83"/>
      <c r="K73" s="83"/>
      <c r="R73" s="84"/>
    </row>
    <row r="74" spans="2:18" s="52" customFormat="1" ht="12">
      <c r="B74" s="83"/>
      <c r="C74" s="83"/>
      <c r="D74" s="83"/>
      <c r="E74" s="83"/>
      <c r="F74" s="83"/>
      <c r="G74" s="83"/>
      <c r="H74" s="83"/>
      <c r="I74" s="83"/>
      <c r="J74" s="83"/>
      <c r="K74" s="83"/>
      <c r="R74" s="84"/>
    </row>
    <row r="75" spans="2:18" s="52" customFormat="1" ht="12">
      <c r="B75" s="83"/>
      <c r="C75" s="83"/>
      <c r="D75" s="83"/>
      <c r="E75" s="83"/>
      <c r="F75" s="83"/>
      <c r="G75" s="83"/>
      <c r="H75" s="83"/>
      <c r="I75" s="83"/>
      <c r="J75" s="83"/>
      <c r="K75" s="83"/>
      <c r="R75" s="84"/>
    </row>
    <row r="76" spans="2:18" s="52" customFormat="1" ht="12">
      <c r="B76" s="83"/>
      <c r="C76" s="83"/>
      <c r="D76" s="83"/>
      <c r="E76" s="83"/>
      <c r="F76" s="83"/>
      <c r="G76" s="83"/>
      <c r="H76" s="83"/>
      <c r="I76" s="83"/>
      <c r="J76" s="83"/>
      <c r="K76" s="83"/>
      <c r="R76" s="84"/>
    </row>
    <row r="77" spans="2:18" s="52" customFormat="1" ht="12">
      <c r="B77" s="83"/>
      <c r="C77" s="83"/>
      <c r="D77" s="83"/>
      <c r="E77" s="83"/>
      <c r="F77" s="83"/>
      <c r="G77" s="83"/>
      <c r="H77" s="83"/>
      <c r="I77" s="83"/>
      <c r="J77" s="83"/>
      <c r="K77" s="83"/>
      <c r="R77" s="84"/>
    </row>
    <row r="78" spans="2:18" s="52" customFormat="1" ht="12">
      <c r="B78" s="83"/>
      <c r="C78" s="83"/>
      <c r="D78" s="83"/>
      <c r="E78" s="83"/>
      <c r="F78" s="83"/>
      <c r="G78" s="83"/>
      <c r="H78" s="83"/>
      <c r="I78" s="83"/>
      <c r="J78" s="83"/>
      <c r="K78" s="83"/>
      <c r="R78" s="84"/>
    </row>
    <row r="79" spans="2:18" s="52" customFormat="1" ht="12">
      <c r="B79" s="83"/>
      <c r="C79" s="83"/>
      <c r="D79" s="83"/>
      <c r="E79" s="83"/>
      <c r="F79" s="83"/>
      <c r="G79" s="83"/>
      <c r="H79" s="83"/>
      <c r="I79" s="83"/>
      <c r="J79" s="83"/>
      <c r="K79" s="83"/>
      <c r="R79" s="84"/>
    </row>
    <row r="80" spans="2:18" s="52" customFormat="1" ht="12">
      <c r="B80" s="83"/>
      <c r="C80" s="83"/>
      <c r="D80" s="83"/>
      <c r="E80" s="83"/>
      <c r="F80" s="83"/>
      <c r="G80" s="83"/>
      <c r="H80" s="83"/>
      <c r="I80" s="83"/>
      <c r="J80" s="83"/>
      <c r="K80" s="83"/>
      <c r="R80" s="84"/>
    </row>
    <row r="81" spans="2:18" s="52" customFormat="1" ht="12">
      <c r="B81" s="83"/>
      <c r="C81" s="83"/>
      <c r="D81" s="83"/>
      <c r="E81" s="83"/>
      <c r="F81" s="83"/>
      <c r="G81" s="83"/>
      <c r="H81" s="83"/>
      <c r="I81" s="83"/>
      <c r="J81" s="83"/>
      <c r="K81" s="83"/>
      <c r="R81" s="84"/>
    </row>
    <row r="82" spans="2:18" s="52" customFormat="1" ht="12">
      <c r="B82" s="83"/>
      <c r="C82" s="83"/>
      <c r="D82" s="83"/>
      <c r="E82" s="83"/>
      <c r="F82" s="83"/>
      <c r="G82" s="83"/>
      <c r="H82" s="83"/>
      <c r="I82" s="83"/>
      <c r="J82" s="83"/>
      <c r="K82" s="83"/>
      <c r="R82" s="84"/>
    </row>
    <row r="83" spans="2:18" s="52" customFormat="1" ht="12">
      <c r="B83" s="83"/>
      <c r="C83" s="83"/>
      <c r="D83" s="83"/>
      <c r="E83" s="83"/>
      <c r="F83" s="83"/>
      <c r="G83" s="83"/>
      <c r="H83" s="83"/>
      <c r="I83" s="83"/>
      <c r="J83" s="83"/>
      <c r="K83" s="83"/>
      <c r="R83" s="84"/>
    </row>
    <row r="84" spans="2:18" s="52" customFormat="1" ht="12">
      <c r="B84" s="83"/>
      <c r="C84" s="83"/>
      <c r="D84" s="83"/>
      <c r="E84" s="83"/>
      <c r="F84" s="83"/>
      <c r="G84" s="83"/>
      <c r="H84" s="83"/>
      <c r="I84" s="83"/>
      <c r="J84" s="83"/>
      <c r="K84" s="83"/>
      <c r="R84" s="84"/>
    </row>
    <row r="85" spans="2:18" s="52" customFormat="1" ht="12">
      <c r="B85" s="83"/>
      <c r="C85" s="83"/>
      <c r="D85" s="83"/>
      <c r="E85" s="83"/>
      <c r="F85" s="83"/>
      <c r="G85" s="83"/>
      <c r="H85" s="83"/>
      <c r="I85" s="83"/>
      <c r="J85" s="83"/>
      <c r="K85" s="83"/>
      <c r="R85" s="84"/>
    </row>
    <row r="86" spans="2:18" s="52" customFormat="1" ht="12">
      <c r="B86" s="83"/>
      <c r="C86" s="83"/>
      <c r="D86" s="83"/>
      <c r="E86" s="83"/>
      <c r="F86" s="83"/>
      <c r="G86" s="83"/>
      <c r="H86" s="83"/>
      <c r="I86" s="83"/>
      <c r="J86" s="83"/>
      <c r="K86" s="83"/>
      <c r="R86" s="84"/>
    </row>
    <row r="87" spans="2:18" s="52" customFormat="1" ht="12">
      <c r="B87" s="83"/>
      <c r="C87" s="83"/>
      <c r="D87" s="83"/>
      <c r="E87" s="83"/>
      <c r="F87" s="83"/>
      <c r="G87" s="83"/>
      <c r="H87" s="83"/>
      <c r="I87" s="83"/>
      <c r="J87" s="83"/>
      <c r="K87" s="83"/>
      <c r="R87" s="84"/>
    </row>
    <row r="88" spans="2:18" s="52" customFormat="1" ht="12">
      <c r="B88" s="83"/>
      <c r="C88" s="83"/>
      <c r="D88" s="83"/>
      <c r="E88" s="83"/>
      <c r="F88" s="83"/>
      <c r="G88" s="83"/>
      <c r="H88" s="83"/>
      <c r="I88" s="83"/>
      <c r="J88" s="83"/>
      <c r="K88" s="83"/>
      <c r="R88" s="84"/>
    </row>
    <row r="89" spans="2:18" s="52" customFormat="1" ht="12">
      <c r="B89" s="83"/>
      <c r="C89" s="83"/>
      <c r="D89" s="83"/>
      <c r="E89" s="83"/>
      <c r="F89" s="83"/>
      <c r="G89" s="83"/>
      <c r="H89" s="83"/>
      <c r="I89" s="83"/>
      <c r="J89" s="83"/>
      <c r="K89" s="83"/>
      <c r="R89" s="84"/>
    </row>
    <row r="90" spans="2:18" s="52" customFormat="1" ht="12">
      <c r="B90" s="83"/>
      <c r="C90" s="83"/>
      <c r="D90" s="83"/>
      <c r="E90" s="83"/>
      <c r="F90" s="83"/>
      <c r="G90" s="83"/>
      <c r="H90" s="83"/>
      <c r="I90" s="83"/>
      <c r="J90" s="83"/>
      <c r="K90" s="83"/>
      <c r="R90" s="84"/>
    </row>
    <row r="91" spans="2:18" s="52" customFormat="1" ht="12">
      <c r="B91" s="83"/>
      <c r="C91" s="83"/>
      <c r="D91" s="83"/>
      <c r="E91" s="83"/>
      <c r="F91" s="83"/>
      <c r="G91" s="83"/>
      <c r="H91" s="83"/>
      <c r="I91" s="83"/>
      <c r="J91" s="83"/>
      <c r="K91" s="83"/>
      <c r="R91" s="84"/>
    </row>
    <row r="92" spans="2:18" s="52" customFormat="1" ht="12">
      <c r="B92" s="83"/>
      <c r="C92" s="83"/>
      <c r="D92" s="83"/>
      <c r="E92" s="83"/>
      <c r="F92" s="83"/>
      <c r="G92" s="83"/>
      <c r="H92" s="83"/>
      <c r="I92" s="83"/>
      <c r="J92" s="83"/>
      <c r="K92" s="83"/>
      <c r="R92" s="84"/>
    </row>
    <row r="93" spans="2:18" s="52" customFormat="1" ht="12">
      <c r="B93" s="83"/>
      <c r="C93" s="83"/>
      <c r="D93" s="83"/>
      <c r="E93" s="83"/>
      <c r="F93" s="83"/>
      <c r="G93" s="83"/>
      <c r="H93" s="83"/>
      <c r="I93" s="83"/>
      <c r="J93" s="83"/>
      <c r="K93" s="83"/>
      <c r="R93" s="84"/>
    </row>
    <row r="94" spans="2:18" s="52" customFormat="1" ht="12">
      <c r="B94" s="83"/>
      <c r="C94" s="83"/>
      <c r="D94" s="83"/>
      <c r="E94" s="83"/>
      <c r="F94" s="83"/>
      <c r="G94" s="83"/>
      <c r="H94" s="83"/>
      <c r="I94" s="83"/>
      <c r="J94" s="83"/>
      <c r="K94" s="83"/>
      <c r="R94" s="84"/>
    </row>
    <row r="95" spans="2:18" s="52" customFormat="1" ht="12">
      <c r="B95" s="83"/>
      <c r="C95" s="83"/>
      <c r="D95" s="83"/>
      <c r="E95" s="83"/>
      <c r="F95" s="83"/>
      <c r="G95" s="83"/>
      <c r="H95" s="83"/>
      <c r="I95" s="83"/>
      <c r="J95" s="83"/>
      <c r="K95" s="83"/>
      <c r="R95" s="84"/>
    </row>
    <row r="96" spans="2:18" s="52" customFormat="1" ht="12">
      <c r="B96" s="83"/>
      <c r="C96" s="83"/>
      <c r="D96" s="83"/>
      <c r="E96" s="83"/>
      <c r="F96" s="83"/>
      <c r="G96" s="83"/>
      <c r="H96" s="83"/>
      <c r="I96" s="83"/>
      <c r="J96" s="83"/>
      <c r="K96" s="83"/>
      <c r="R96" s="84"/>
    </row>
    <row r="97" spans="2:18" s="52" customFormat="1" ht="12">
      <c r="B97" s="83"/>
      <c r="C97" s="83"/>
      <c r="D97" s="83"/>
      <c r="E97" s="83"/>
      <c r="F97" s="83"/>
      <c r="G97" s="83"/>
      <c r="H97" s="83"/>
      <c r="I97" s="83"/>
      <c r="J97" s="83"/>
      <c r="K97" s="83"/>
      <c r="R97" s="84"/>
    </row>
  </sheetData>
  <mergeCells count="5">
    <mergeCell ref="A1:T1"/>
    <mergeCell ref="A2:T2"/>
    <mergeCell ref="A3:T3"/>
    <mergeCell ref="A4:A5"/>
    <mergeCell ref="A27:M28"/>
  </mergeCells>
  <pageMargins left="0.7" right="0.7" top="0.75" bottom="0.75" header="0.3" footer="0.3"/>
  <pageSetup paperSize="9" scale="67" orientation="landscape" horizontalDpi="4294967295" verticalDpi="4294967295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10.6</vt:lpstr>
      <vt:lpstr>'10.6'!Print_Area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2017-06-06T07:55:21Z</cp:lastPrinted>
  <dcterms:created xsi:type="dcterms:W3CDTF">2007-02-07T06:41:32Z</dcterms:created>
  <dcterms:modified xsi:type="dcterms:W3CDTF">2017-06-06T07:55:22Z</dcterms:modified>
</cp:coreProperties>
</file>