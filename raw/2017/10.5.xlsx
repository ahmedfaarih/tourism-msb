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ml.chartshapes+xml"/>
  <Override PartName="/xl/charts/chart4.xml" ContentType="application/vnd.openxmlformats-officedocument.drawingml.chart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0" yWindow="0" windowWidth="20490" windowHeight="7905" tabRatio="736" firstSheet="1" activeTab="1"/>
  </bookViews>
  <sheets>
    <sheet name="10.1 figures workings" sheetId="44" state="hidden" r:id="rId1"/>
    <sheet name="10.5" sheetId="5" r:id="rId2"/>
  </sheets>
  <externalReferences>
    <externalReference r:id="rId3"/>
    <externalReference r:id="rId4"/>
    <externalReference r:id="rId5"/>
  </externalReferences>
  <definedNames>
    <definedName name="\a">[1]TCARR2000!#REF!</definedName>
    <definedName name="asd">#REF!</definedName>
    <definedName name="fgh">#REF!</definedName>
    <definedName name="fgnjvhkj">#REF!</definedName>
    <definedName name="new">[2]TCARR2001!#REF!</definedName>
    <definedName name="_xlnm.Print_Area" localSheetId="1">'10.5'!$A$1:$P$67</definedName>
    <definedName name="Print_Area_MI">#REF!</definedName>
    <definedName name="ttttt">#REF!</definedName>
  </definedNames>
  <calcPr calcId="144525"/>
</workbook>
</file>

<file path=xl/calcChain.xml><?xml version="1.0" encoding="utf-8"?>
<calcChain xmlns="http://schemas.openxmlformats.org/spreadsheetml/2006/main">
  <c r="K10" i="5" l="1"/>
  <c r="K11" i="5"/>
  <c r="K12" i="5"/>
  <c r="K13" i="5"/>
  <c r="K14" i="5"/>
  <c r="K15" i="5"/>
  <c r="K16" i="5"/>
  <c r="K17" i="5"/>
  <c r="K18" i="5"/>
  <c r="K19" i="5"/>
  <c r="K20" i="5"/>
  <c r="K9" i="5"/>
  <c r="I10" i="5"/>
  <c r="I11" i="5"/>
  <c r="I12" i="5"/>
  <c r="I13" i="5"/>
  <c r="I14" i="5"/>
  <c r="I15" i="5"/>
  <c r="I16" i="5"/>
  <c r="I17" i="5"/>
  <c r="I18" i="5"/>
  <c r="I19" i="5"/>
  <c r="I20" i="5"/>
  <c r="I9" i="5"/>
  <c r="L9" i="5"/>
  <c r="N9" i="5" l="1"/>
  <c r="N11" i="5"/>
  <c r="N10" i="5"/>
  <c r="N12" i="5"/>
  <c r="N13" i="5"/>
  <c r="N14" i="5"/>
  <c r="N15" i="5"/>
  <c r="N16" i="5"/>
  <c r="N17" i="5"/>
  <c r="N18" i="5"/>
  <c r="N19" i="5"/>
  <c r="N20" i="5"/>
  <c r="L13" i="5"/>
  <c r="L11" i="5"/>
  <c r="L12" i="5"/>
  <c r="L14" i="5"/>
  <c r="L15" i="5"/>
  <c r="L16" i="5"/>
  <c r="L17" i="5"/>
  <c r="L18" i="5"/>
  <c r="L19" i="5"/>
  <c r="L20" i="5"/>
  <c r="L10" i="5"/>
  <c r="H8" i="5"/>
  <c r="D8" i="5"/>
  <c r="G8" i="5" l="1"/>
  <c r="C8" i="5"/>
  <c r="I8" i="5" l="1"/>
  <c r="K8" i="5"/>
  <c r="B8" i="5" l="1"/>
  <c r="F8" i="5"/>
  <c r="K60" i="44" l="1"/>
  <c r="J60" i="44"/>
  <c r="I60" i="44"/>
  <c r="H60" i="44"/>
  <c r="K59" i="44"/>
  <c r="J59" i="44"/>
  <c r="I59" i="44"/>
  <c r="H59" i="44"/>
  <c r="K58" i="44"/>
  <c r="J58" i="44"/>
  <c r="I58" i="44"/>
  <c r="H58" i="44"/>
  <c r="K57" i="44"/>
  <c r="J57" i="44"/>
  <c r="I57" i="44"/>
  <c r="H57" i="44"/>
  <c r="K56" i="44"/>
  <c r="J56" i="44"/>
  <c r="I56" i="44"/>
  <c r="H56" i="44"/>
  <c r="K55" i="44"/>
  <c r="J55" i="44"/>
  <c r="I55" i="44"/>
  <c r="H55" i="44"/>
  <c r="K54" i="44"/>
  <c r="J54" i="44"/>
  <c r="I54" i="44"/>
  <c r="H54" i="44"/>
  <c r="K53" i="44"/>
  <c r="J53" i="44"/>
  <c r="I53" i="44"/>
  <c r="H53" i="44"/>
  <c r="K52" i="44"/>
  <c r="J52" i="44"/>
  <c r="I52" i="44"/>
  <c r="H52" i="44"/>
  <c r="K51" i="44"/>
  <c r="J51" i="44"/>
  <c r="I51" i="44"/>
  <c r="H51" i="44"/>
  <c r="K50" i="44"/>
  <c r="J50" i="44"/>
  <c r="I50" i="44"/>
  <c r="H50" i="44"/>
  <c r="K49" i="44"/>
  <c r="J49" i="44"/>
  <c r="I49" i="44"/>
  <c r="H49" i="44"/>
  <c r="K48" i="44"/>
  <c r="J48" i="44"/>
  <c r="I48" i="44"/>
  <c r="H48" i="44"/>
  <c r="K47" i="44"/>
  <c r="J47" i="44"/>
  <c r="I47" i="44"/>
  <c r="H47" i="44"/>
  <c r="K46" i="44"/>
  <c r="J46" i="44"/>
  <c r="I46" i="44"/>
  <c r="H46" i="44"/>
  <c r="K45" i="44"/>
  <c r="J45" i="44"/>
  <c r="I45" i="44"/>
  <c r="H45" i="44"/>
  <c r="K44" i="44"/>
  <c r="J44" i="44"/>
  <c r="I44" i="44"/>
  <c r="H44" i="44"/>
  <c r="K43" i="44"/>
  <c r="J43" i="44"/>
  <c r="I43" i="44"/>
  <c r="H43" i="44"/>
  <c r="K42" i="44"/>
  <c r="J42" i="44"/>
  <c r="I42" i="44"/>
  <c r="H42" i="44"/>
  <c r="K41" i="44"/>
  <c r="J41" i="44"/>
  <c r="I41" i="44"/>
  <c r="H41" i="44"/>
  <c r="K40" i="44"/>
  <c r="J40" i="44"/>
  <c r="I40" i="44"/>
  <c r="H40" i="44"/>
  <c r="K39" i="44"/>
  <c r="J39" i="44"/>
  <c r="I39" i="44"/>
  <c r="H39" i="44"/>
  <c r="K38" i="44"/>
  <c r="J38" i="44"/>
  <c r="I38" i="44"/>
  <c r="H38" i="44"/>
  <c r="K37" i="44"/>
  <c r="J37" i="44"/>
  <c r="I37" i="44"/>
  <c r="H37" i="44"/>
  <c r="K36" i="44"/>
  <c r="J36" i="44"/>
  <c r="I36" i="44"/>
  <c r="H36" i="44"/>
  <c r="K35" i="44"/>
  <c r="J35" i="44"/>
  <c r="I35" i="44"/>
  <c r="H35" i="44"/>
  <c r="K34" i="44"/>
  <c r="J34" i="44"/>
  <c r="I34" i="44"/>
  <c r="H34" i="44"/>
  <c r="K33" i="44"/>
  <c r="J33" i="44"/>
  <c r="I33" i="44"/>
  <c r="H33" i="44"/>
  <c r="K32" i="44"/>
  <c r="J32" i="44"/>
  <c r="I32" i="44"/>
  <c r="H32" i="44"/>
  <c r="K31" i="44"/>
  <c r="J31" i="44"/>
  <c r="I31" i="44"/>
  <c r="H31" i="44"/>
  <c r="K30" i="44"/>
  <c r="J30" i="44"/>
  <c r="I30" i="44"/>
  <c r="H30" i="44"/>
  <c r="K29" i="44"/>
  <c r="J29" i="44"/>
  <c r="I29" i="44"/>
  <c r="H29" i="44"/>
  <c r="K28" i="44"/>
  <c r="J28" i="44"/>
  <c r="I28" i="44"/>
  <c r="H28" i="44"/>
  <c r="K27" i="44"/>
  <c r="J27" i="44"/>
  <c r="I27" i="44"/>
  <c r="H27" i="44"/>
  <c r="K26" i="44"/>
  <c r="J26" i="44"/>
  <c r="I26" i="44"/>
  <c r="H26" i="44"/>
  <c r="K25" i="44"/>
  <c r="J25" i="44"/>
  <c r="I25" i="44"/>
  <c r="H25" i="44"/>
  <c r="K24" i="44"/>
  <c r="J24" i="44"/>
  <c r="I24" i="44"/>
  <c r="H24" i="44"/>
  <c r="K23" i="44"/>
  <c r="J23" i="44"/>
  <c r="I23" i="44"/>
  <c r="H23" i="44"/>
  <c r="K22" i="44"/>
  <c r="J22" i="44"/>
  <c r="I22" i="44"/>
  <c r="H22" i="44"/>
  <c r="K21" i="44"/>
  <c r="J21" i="44"/>
  <c r="I21" i="44"/>
  <c r="H21" i="44"/>
  <c r="K20" i="44"/>
  <c r="J20" i="44"/>
  <c r="I20" i="44"/>
  <c r="H20" i="44"/>
  <c r="K19" i="44"/>
  <c r="J19" i="44"/>
  <c r="I19" i="44"/>
  <c r="H19" i="44"/>
  <c r="K18" i="44"/>
  <c r="J18" i="44"/>
  <c r="I18" i="44"/>
  <c r="H18" i="44"/>
  <c r="K17" i="44"/>
  <c r="J17" i="44"/>
  <c r="I17" i="44"/>
  <c r="H17" i="44"/>
  <c r="K16" i="44"/>
  <c r="J16" i="44"/>
  <c r="I16" i="44"/>
  <c r="H16" i="44"/>
  <c r="K15" i="44"/>
  <c r="J15" i="44"/>
  <c r="I15" i="44"/>
  <c r="H15" i="44"/>
  <c r="K14" i="44"/>
  <c r="J14" i="44"/>
  <c r="I14" i="44"/>
  <c r="H14" i="44"/>
  <c r="K13" i="44"/>
  <c r="J13" i="44"/>
  <c r="I13" i="44"/>
  <c r="H13" i="44"/>
  <c r="K12" i="44"/>
  <c r="J12" i="44"/>
  <c r="I12" i="44"/>
  <c r="H12" i="44"/>
  <c r="K11" i="44"/>
  <c r="J11" i="44"/>
  <c r="I11" i="44"/>
  <c r="H11" i="44"/>
  <c r="K10" i="44"/>
  <c r="J10" i="44"/>
  <c r="I10" i="44"/>
  <c r="H10" i="44"/>
  <c r="K9" i="44"/>
  <c r="J9" i="44"/>
  <c r="I9" i="44"/>
  <c r="H9" i="44"/>
  <c r="K8" i="44"/>
  <c r="J8" i="44"/>
  <c r="I8" i="44"/>
  <c r="H8" i="44"/>
  <c r="K7" i="44"/>
  <c r="J7" i="44"/>
  <c r="I7" i="44"/>
  <c r="H7" i="44"/>
  <c r="Q2" i="44"/>
  <c r="P2" i="44"/>
  <c r="O2" i="44"/>
  <c r="N2" i="44"/>
  <c r="M2" i="44"/>
  <c r="S1" i="44" l="1"/>
</calcChain>
</file>

<file path=xl/sharedStrings.xml><?xml version="1.0" encoding="utf-8"?>
<sst xmlns="http://schemas.openxmlformats.org/spreadsheetml/2006/main" count="134" uniqueCount="118">
  <si>
    <t>Total</t>
  </si>
  <si>
    <t>May</t>
  </si>
  <si>
    <t>Month</t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</si>
  <si>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</si>
  <si>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</si>
  <si>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</si>
  <si>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</si>
  <si>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</si>
  <si>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</si>
  <si>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</si>
  <si>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</si>
  <si>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</si>
  <si>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</si>
  <si>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</si>
  <si>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Tourist Arrivals </t>
  </si>
  <si>
    <t>2008</t>
  </si>
  <si>
    <t>udwdwA egcnirevurutwf</t>
  </si>
  <si>
    <t>wlcmuj</t>
  </si>
  <si>
    <t>cswm</t>
  </si>
  <si>
    <t>Irwaunej</t>
  </si>
  <si>
    <t>Irwaurcbef</t>
  </si>
  <si>
    <t>cCWm</t>
  </si>
  <si>
    <t>clIrcpEa</t>
  </si>
  <si>
    <t>iaem</t>
  </si>
  <si>
    <t>cnUj</t>
  </si>
  <si>
    <t>iawluj</t>
  </si>
  <si>
    <t>cTcswgOa</t>
  </si>
  <si>
    <t>rwbcmeTcpes</t>
  </si>
  <si>
    <t>rwbOTckoa</t>
  </si>
  <si>
    <t>rwbcmevon</t>
  </si>
  <si>
    <t>rwbcmesiD</t>
  </si>
  <si>
    <t>2009</t>
  </si>
  <si>
    <t xml:space="preserve">   Austria</t>
  </si>
  <si>
    <t xml:space="preserve">   Belgium</t>
  </si>
  <si>
    <t xml:space="preserve">   Czech Republic</t>
  </si>
  <si>
    <t xml:space="preserve">   Denmark</t>
  </si>
  <si>
    <t xml:space="preserve">   Finland</t>
  </si>
  <si>
    <t xml:space="preserve">   France</t>
  </si>
  <si>
    <t xml:space="preserve">   Germany</t>
  </si>
  <si>
    <t xml:space="preserve">   Greece</t>
  </si>
  <si>
    <t xml:space="preserve">   Hungary</t>
  </si>
  <si>
    <t xml:space="preserve">   Ireland</t>
  </si>
  <si>
    <t xml:space="preserve">   Israel</t>
  </si>
  <si>
    <t xml:space="preserve">   Italy</t>
  </si>
  <si>
    <t xml:space="preserve">   Netherlands</t>
  </si>
  <si>
    <t xml:space="preserve">   Norway</t>
  </si>
  <si>
    <t xml:space="preserve">   Poland</t>
  </si>
  <si>
    <t xml:space="preserve">   Portugal</t>
  </si>
  <si>
    <t xml:space="preserve">   Russia</t>
  </si>
  <si>
    <t xml:space="preserve">   Slovakia</t>
  </si>
  <si>
    <t xml:space="preserve">   Slovenia</t>
  </si>
  <si>
    <t xml:space="preserve">   Spain</t>
  </si>
  <si>
    <t xml:space="preserve">   Sweden</t>
  </si>
  <si>
    <t xml:space="preserve">   Switzerland</t>
  </si>
  <si>
    <t xml:space="preserve">   Turkey</t>
  </si>
  <si>
    <t xml:space="preserve">   Ukraine</t>
  </si>
  <si>
    <t xml:space="preserve">   United Kingdom</t>
  </si>
  <si>
    <t xml:space="preserve">   Other Europe</t>
  </si>
  <si>
    <t xml:space="preserve">   Bangladesh</t>
  </si>
  <si>
    <t xml:space="preserve">   China</t>
  </si>
  <si>
    <t xml:space="preserve">   India</t>
  </si>
  <si>
    <t xml:space="preserve">   Indonesia</t>
  </si>
  <si>
    <t xml:space="preserve">   Japan</t>
  </si>
  <si>
    <t xml:space="preserve">   Korea</t>
  </si>
  <si>
    <t xml:space="preserve">   Malaysia</t>
  </si>
  <si>
    <t xml:space="preserve">   Pakistan</t>
  </si>
  <si>
    <t xml:space="preserve">   Philippines</t>
  </si>
  <si>
    <t xml:space="preserve">   Singapore</t>
  </si>
  <si>
    <t xml:space="preserve">   Sri Lanka</t>
  </si>
  <si>
    <t xml:space="preserve">   Taiwan</t>
  </si>
  <si>
    <t xml:space="preserve">   Thailand</t>
  </si>
  <si>
    <t xml:space="preserve">   Other Asia</t>
  </si>
  <si>
    <t xml:space="preserve">    South Africa</t>
  </si>
  <si>
    <t xml:space="preserve">   Other Africa</t>
  </si>
  <si>
    <t xml:space="preserve">   Brazil</t>
  </si>
  <si>
    <t xml:space="preserve">   Canada</t>
  </si>
  <si>
    <t xml:space="preserve">   U.S.A</t>
  </si>
  <si>
    <t xml:space="preserve">   Other Americas</t>
  </si>
  <si>
    <t xml:space="preserve">   Australia</t>
  </si>
  <si>
    <t xml:space="preserve">   New Zealand</t>
  </si>
  <si>
    <t xml:space="preserve">   Other Oceania</t>
  </si>
  <si>
    <t xml:space="preserve">   Kuwait</t>
  </si>
  <si>
    <t xml:space="preserve">   Lebanon</t>
  </si>
  <si>
    <t xml:space="preserve">   Saudi Arabia</t>
  </si>
  <si>
    <t xml:space="preserve">   United Arab Emirates</t>
  </si>
  <si>
    <t xml:space="preserve">   Other Middle East</t>
  </si>
  <si>
    <t>2010</t>
  </si>
  <si>
    <t>Tourist Bed-nights*</t>
  </si>
  <si>
    <t>No. of Tourists</t>
  </si>
  <si>
    <t>% change over previous year</t>
  </si>
  <si>
    <t>2011</t>
  </si>
  <si>
    <t>އިތުރުވި މިންވަރު</t>
  </si>
  <si>
    <t>2012</t>
  </si>
  <si>
    <t>2012 - 2008 ,udwdwA egcnirevurutwf iawaejcaWr cnutogegukwtumuawq : 10.1 ulwvWt</t>
  </si>
  <si>
    <t>Table 10.1 :   FLOW OF TOURISTS BY NATIONALITY, 2008 -  2012</t>
  </si>
  <si>
    <t>folds increase</t>
  </si>
  <si>
    <t>000</t>
  </si>
  <si>
    <t>Country of
 Nationality</t>
  </si>
  <si>
    <t>Top ten tourism markets accounts for 77% of all the tourist arrivals in 2012</t>
  </si>
  <si>
    <t xml:space="preserve">Chinese tourist arrivals have increased over five folds during the last five years. It grew from 42 thousand in 2008 to 230 thousand in 2012 </t>
  </si>
  <si>
    <t>% change from previous month</t>
  </si>
  <si>
    <t xml:space="preserve">ފަތުރުވެރިން ހޭދަކުރި ރޭގެ އަދަދު </t>
  </si>
  <si>
    <t xml:space="preserve">ފަތުރުވެރިންގެ އަދަދު </t>
  </si>
  <si>
    <t>ވޭތުވެދިޔަ މަހާއި އަޅާބަލާއިރު އިތުރުވި މިންވަރު</t>
  </si>
  <si>
    <t>ވޭތުވެދިޔަ އަހަރުގެ މިމަހާއި އަޅާބަލާއިރު އިތުރުވި މިންވަރު</t>
  </si>
  <si>
    <t>ނޯޓް: ފަތުރުވެރިން ހޭދަކުރި ރޭގެ އަދަދުގެ ތެރޭގައި ރިސޯޓް، ހޮޓާ، ސަފާރީ އަދި ގެސްޓްހައުސްތައްވެސް ހިމެނެއެވެ.</t>
  </si>
  <si>
    <t>_</t>
  </si>
  <si>
    <t>Note: * Tourist Bed night figures include resorts/hotels/safaris &amp; guesthouses</t>
  </si>
  <si>
    <t>Source: Ministry of Tourism</t>
  </si>
  <si>
    <t>cmwzirUT cfoa  IrcTcsinim :ctWrwf ivcaed utWmUluAwm</t>
  </si>
  <si>
    <t xml:space="preserve">% change same month of previous year </t>
  </si>
  <si>
    <t>މޯލްޑިވްސް އިމިގްރޭޝަން</t>
  </si>
  <si>
    <t>Maldives Immigration</t>
  </si>
  <si>
    <t>2015-2016</t>
  </si>
  <si>
    <t xml:space="preserve">Table 10.5: TOURIST ARRIVALS,AND TOURIST BED-NIGHTS BY MONTH,  2014 - 2016
</t>
  </si>
  <si>
    <t>2016 - 2014 , udwdwA egEr irukwdEh cnirevurutwf iaWrwviawa cnirevurutwf iawguhwmcswmikea : 10.5 ulwvWt</t>
  </si>
  <si>
    <t xml:space="preserve">ނޯޓް: 2015 އޭޕްރީލް ގެ ޑޭޓާ އިސްލާޙްކުރެވިފައި </t>
  </si>
  <si>
    <t xml:space="preserve">            April 2015, tourist bednights figure is revised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</si>
</sst>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(* #,##0.00_);_(* \(#,##0.00\);_(* &quot;-&quot;??_);_(@_)"/>
    <numFmt numFmtId="165" formatCode="#,##0.0"/>
    <numFmt numFmtId="167" formatCode="0.0"/>
    <numFmt numFmtId="168" formatCode="0.00_)"/>
    <numFmt numFmtId="169" formatCode="_(* #,##0_);_(* \(#,##0\);_(* &quot;-&quot;??_);_(@_)"/>
    <numFmt numFmtId="170" formatCode="#,##0;[Red]#,##0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i/>
      <sz val="16"/>
      <name val="Helv"/>
    </font>
    <font>
      <sz val="10"/>
      <name val="Courier"/>
      <family val="3"/>
    </font>
    <font>
      <b/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b/>
      <sz val="10"/>
      <name val="A_Randhoo"/>
    </font>
    <font>
      <sz val="10"/>
      <name val="Helv"/>
    </font>
    <font>
      <b/>
      <sz val="10"/>
      <name val="Faruma"/>
    </font>
    <font>
      <sz val="10"/>
      <name val="Faruma"/>
    </font>
    <font>
      <b/>
      <sz val="10"/>
      <name val="TimesNewRomanPS"/>
    </font>
    <font>
      <sz val="10"/>
      <name val="Arial"/>
      <family val="2"/>
    </font>
    <font>
      <b/>
      <sz val="12"/>
      <name val="A_Randhoo"/>
    </font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i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Arial"/>
      <family val="2"/>
    </font>
    <font>
      <b/>
      <sz val="12"/>
      <color theme="1"/>
      <name val="A_Utheem"/>
    </font>
    <font>
      <b/>
      <sz val="9"/>
      <color theme="1"/>
      <name val="A_Randhoo"/>
    </font>
    <font>
      <sz val="9"/>
      <color theme="1"/>
      <name val="A_Randhoo"/>
    </font>
    <font>
      <b/>
      <sz val="10"/>
      <color theme="1"/>
      <name val="Calibri"/>
      <family val="2"/>
      <scheme val="minor"/>
    </font>
    <font>
      <b/>
      <sz val="10"/>
      <color theme="1"/>
      <name val="Faruma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9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1"/>
      <name val="A_Randhoo"/>
    </font>
    <font>
      <sz val="9"/>
      <color theme="1"/>
      <name val="Faruma"/>
    </font>
    <font>
      <b/>
      <sz val="12"/>
      <color theme="1"/>
      <name val="A_Randhoo"/>
    </font>
    <font>
      <b/>
      <sz val="9.5"/>
      <color theme="1"/>
      <name val="Faruma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</borders>
  <cellStyleXfs count="16">
    <xf numFmtId="0" fontId="0" fillId="0" borderId="0"/>
    <xf numFmtId="0" fontId="2" fillId="0" borderId="0"/>
    <xf numFmtId="43" fontId="2" fillId="0" borderId="0" applyFont="0" applyFill="0" applyBorder="0" applyAlignment="0" applyProtection="0"/>
    <xf numFmtId="168" fontId="3" fillId="0" borderId="0"/>
    <xf numFmtId="0" fontId="2" fillId="0" borderId="0"/>
    <xf numFmtId="1" fontId="13" fillId="0" borderId="1" applyNumberFormat="0"/>
    <xf numFmtId="0" fontId="2" fillId="0" borderId="0"/>
    <xf numFmtId="0" fontId="16" fillId="0" borderId="0"/>
    <xf numFmtId="0" fontId="14" fillId="0" borderId="0"/>
    <xf numFmtId="0" fontId="2" fillId="0" borderId="0"/>
    <xf numFmtId="9" fontId="7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" fillId="0" borderId="0"/>
    <xf numFmtId="0" fontId="2" fillId="0" borderId="0"/>
    <xf numFmtId="0" fontId="2" fillId="0" borderId="0"/>
  </cellStyleXfs>
  <cellXfs count="142">
    <xf numFmtId="0" fontId="0" fillId="0" borderId="0" xfId="0"/>
    <xf numFmtId="0" fontId="0" fillId="2" borderId="0" xfId="0" applyFill="1"/>
    <xf numFmtId="49" fontId="18" fillId="2" borderId="3" xfId="0" applyNumberFormat="1" applyFont="1" applyFill="1" applyBorder="1" applyAlignment="1" applyProtection="1">
      <alignment horizontal="right" vertical="center"/>
    </xf>
    <xf numFmtId="0" fontId="18" fillId="2" borderId="2" xfId="0" applyFont="1" applyFill="1" applyBorder="1" applyAlignment="1" applyProtection="1">
      <alignment horizontal="right" vertical="center"/>
    </xf>
    <xf numFmtId="0" fontId="20" fillId="2" borderId="0" xfId="0" applyFont="1" applyFill="1" applyAlignment="1" applyProtection="1">
      <alignment horizontal="left" vertical="center"/>
    </xf>
    <xf numFmtId="37" fontId="6" fillId="2" borderId="0" xfId="0" applyNumberFormat="1" applyFont="1" applyFill="1" applyAlignment="1" applyProtection="1">
      <alignment horizontal="right" vertical="center"/>
    </xf>
    <xf numFmtId="0" fontId="6" fillId="2" borderId="0" xfId="0" applyFont="1" applyFill="1" applyAlignment="1">
      <alignment vertical="center"/>
    </xf>
    <xf numFmtId="0" fontId="23" fillId="2" borderId="0" xfId="0" applyFont="1" applyFill="1" applyAlignment="1">
      <alignment vertical="center"/>
    </xf>
    <xf numFmtId="0" fontId="22" fillId="2" borderId="0" xfId="0" applyFont="1" applyFill="1"/>
    <xf numFmtId="167" fontId="22" fillId="2" borderId="0" xfId="0" applyNumberFormat="1" applyFont="1" applyFill="1"/>
    <xf numFmtId="0" fontId="25" fillId="2" borderId="0" xfId="0" applyFont="1" applyFill="1" applyBorder="1" applyAlignment="1">
      <alignment horizontal="right" vertical="center"/>
    </xf>
    <xf numFmtId="0" fontId="5" fillId="2" borderId="0" xfId="0" applyFont="1" applyFill="1" applyBorder="1" applyAlignment="1" applyProtection="1">
      <alignment horizontal="center" vertical="center"/>
    </xf>
    <xf numFmtId="0" fontId="30" fillId="2" borderId="0" xfId="0" applyFont="1" applyFill="1" applyAlignment="1" applyProtection="1">
      <alignment horizontal="left" vertical="center"/>
    </xf>
    <xf numFmtId="0" fontId="28" fillId="2" borderId="0" xfId="0" applyFont="1" applyFill="1"/>
    <xf numFmtId="3" fontId="21" fillId="2" borderId="0" xfId="0" applyNumberFormat="1" applyFont="1" applyFill="1" applyBorder="1" applyAlignment="1">
      <alignment horizontal="right" vertical="center"/>
    </xf>
    <xf numFmtId="3" fontId="21" fillId="2" borderId="2" xfId="0" applyNumberFormat="1" applyFont="1" applyFill="1" applyBorder="1" applyAlignment="1">
      <alignment horizontal="right" vertical="center"/>
    </xf>
    <xf numFmtId="49" fontId="18" fillId="3" borderId="20" xfId="0" applyNumberFormat="1" applyFont="1" applyFill="1" applyBorder="1" applyAlignment="1" applyProtection="1">
      <alignment horizontal="right" vertical="center"/>
    </xf>
    <xf numFmtId="167" fontId="0" fillId="4" borderId="0" xfId="0" applyNumberFormat="1" applyFill="1"/>
    <xf numFmtId="0" fontId="0" fillId="4" borderId="0" xfId="0" applyFill="1"/>
    <xf numFmtId="169" fontId="19" fillId="4" borderId="14" xfId="2" applyNumberFormat="1" applyFont="1" applyFill="1" applyBorder="1" applyAlignment="1" applyProtection="1">
      <alignment horizontal="left" vertical="center"/>
    </xf>
    <xf numFmtId="170" fontId="19" fillId="4" borderId="15" xfId="2" applyNumberFormat="1" applyFont="1" applyFill="1" applyBorder="1" applyAlignment="1">
      <alignment vertical="center"/>
    </xf>
    <xf numFmtId="0" fontId="0" fillId="4" borderId="0" xfId="0" quotePrefix="1" applyFill="1"/>
    <xf numFmtId="170" fontId="19" fillId="4" borderId="0" xfId="2" applyNumberFormat="1" applyFont="1" applyFill="1" applyBorder="1" applyAlignment="1">
      <alignment vertical="center"/>
    </xf>
    <xf numFmtId="170" fontId="19" fillId="4" borderId="11" xfId="2" applyNumberFormat="1" applyFont="1" applyFill="1" applyBorder="1" applyAlignment="1">
      <alignment vertical="center"/>
    </xf>
    <xf numFmtId="0" fontId="18" fillId="2" borderId="6" xfId="0" applyFont="1" applyFill="1" applyBorder="1" applyAlignment="1" applyProtection="1">
      <alignment horizontal="right" vertical="center"/>
    </xf>
    <xf numFmtId="0" fontId="18" fillId="3" borderId="10" xfId="0" applyFont="1" applyFill="1" applyBorder="1" applyAlignment="1" applyProtection="1">
      <alignment horizontal="right" vertical="center"/>
    </xf>
    <xf numFmtId="167" fontId="19" fillId="4" borderId="0" xfId="0" applyNumberFormat="1" applyFont="1" applyFill="1" applyBorder="1" applyAlignment="1">
      <alignment vertical="center"/>
    </xf>
    <xf numFmtId="167" fontId="17" fillId="4" borderId="0" xfId="0" applyNumberFormat="1" applyFont="1" applyFill="1" applyBorder="1" applyAlignment="1">
      <alignment vertical="center"/>
    </xf>
    <xf numFmtId="167" fontId="17" fillId="4" borderId="11" xfId="0" applyNumberFormat="1" applyFont="1" applyFill="1" applyBorder="1" applyAlignment="1">
      <alignment vertical="center"/>
    </xf>
    <xf numFmtId="169" fontId="19" fillId="2" borderId="14" xfId="2" applyNumberFormat="1" applyFont="1" applyFill="1" applyBorder="1" applyAlignment="1" applyProtection="1">
      <alignment horizontal="left" vertical="center"/>
    </xf>
    <xf numFmtId="170" fontId="19" fillId="2" borderId="15" xfId="2" applyNumberFormat="1" applyFont="1" applyFill="1" applyBorder="1" applyAlignment="1">
      <alignment vertical="center"/>
    </xf>
    <xf numFmtId="170" fontId="19" fillId="2" borderId="0" xfId="2" applyNumberFormat="1" applyFont="1" applyFill="1" applyBorder="1" applyAlignment="1">
      <alignment vertical="center"/>
    </xf>
    <xf numFmtId="170" fontId="19" fillId="3" borderId="11" xfId="2" applyNumberFormat="1" applyFont="1" applyFill="1" applyBorder="1" applyAlignment="1">
      <alignment vertical="center"/>
    </xf>
    <xf numFmtId="167" fontId="19" fillId="2" borderId="0" xfId="0" applyNumberFormat="1" applyFont="1" applyFill="1" applyBorder="1" applyAlignment="1">
      <alignment vertical="center"/>
    </xf>
    <xf numFmtId="167" fontId="17" fillId="2" borderId="0" xfId="0" applyNumberFormat="1" applyFont="1" applyFill="1" applyBorder="1" applyAlignment="1">
      <alignment vertical="center"/>
    </xf>
    <xf numFmtId="167" fontId="17" fillId="3" borderId="11" xfId="0" applyNumberFormat="1" applyFont="1" applyFill="1" applyBorder="1" applyAlignment="1">
      <alignment vertical="center"/>
    </xf>
    <xf numFmtId="169" fontId="19" fillId="2" borderId="16" xfId="2" applyNumberFormat="1" applyFont="1" applyFill="1" applyBorder="1" applyAlignment="1" applyProtection="1">
      <alignment horizontal="left" vertical="center"/>
    </xf>
    <xf numFmtId="170" fontId="19" fillId="2" borderId="17" xfId="2" applyNumberFormat="1" applyFont="1" applyFill="1" applyBorder="1" applyAlignment="1">
      <alignment vertical="center"/>
    </xf>
    <xf numFmtId="170" fontId="19" fillId="2" borderId="2" xfId="2" applyNumberFormat="1" applyFont="1" applyFill="1" applyBorder="1" applyAlignment="1">
      <alignment vertical="center"/>
    </xf>
    <xf numFmtId="170" fontId="19" fillId="3" borderId="10" xfId="2" applyNumberFormat="1" applyFont="1" applyFill="1" applyBorder="1" applyAlignment="1">
      <alignment vertical="center"/>
    </xf>
    <xf numFmtId="167" fontId="19" fillId="2" borderId="2" xfId="0" applyNumberFormat="1" applyFont="1" applyFill="1" applyBorder="1" applyAlignment="1">
      <alignment vertical="center"/>
    </xf>
    <xf numFmtId="167" fontId="17" fillId="2" borderId="2" xfId="0" applyNumberFormat="1" applyFont="1" applyFill="1" applyBorder="1" applyAlignment="1">
      <alignment vertical="center"/>
    </xf>
    <xf numFmtId="167" fontId="17" fillId="3" borderId="10" xfId="0" applyNumberFormat="1" applyFont="1" applyFill="1" applyBorder="1" applyAlignment="1">
      <alignment vertical="center"/>
    </xf>
    <xf numFmtId="0" fontId="8" fillId="2" borderId="0" xfId="0" applyFont="1" applyFill="1" applyAlignment="1" applyProtection="1">
      <alignment horizontal="center" vertical="center"/>
    </xf>
    <xf numFmtId="0" fontId="26" fillId="2" borderId="0" xfId="0" applyFont="1" applyFill="1" applyAlignment="1" applyProtection="1">
      <alignment horizontal="left" vertical="center"/>
    </xf>
    <xf numFmtId="0" fontId="25" fillId="2" borderId="0" xfId="0" applyFont="1" applyFill="1" applyAlignment="1">
      <alignment horizontal="right" vertical="center"/>
    </xf>
    <xf numFmtId="0" fontId="26" fillId="2" borderId="2" xfId="0" applyFont="1" applyFill="1" applyBorder="1" applyAlignment="1" applyProtection="1">
      <alignment horizontal="right" vertical="center" wrapText="1"/>
    </xf>
    <xf numFmtId="0" fontId="22" fillId="2" borderId="0" xfId="0" applyFont="1" applyFill="1" applyAlignment="1">
      <alignment horizontal="right" vertical="center"/>
    </xf>
    <xf numFmtId="3" fontId="26" fillId="2" borderId="0" xfId="0" applyNumberFormat="1" applyFont="1" applyFill="1" applyAlignment="1" applyProtection="1">
      <alignment horizontal="right" vertical="center"/>
    </xf>
    <xf numFmtId="37" fontId="22" fillId="2" borderId="0" xfId="0" applyNumberFormat="1" applyFont="1" applyFill="1" applyAlignment="1" applyProtection="1">
      <alignment horizontal="right" vertical="center"/>
    </xf>
    <xf numFmtId="3" fontId="21" fillId="2" borderId="0" xfId="0" applyNumberFormat="1" applyFont="1" applyFill="1" applyBorder="1" applyAlignment="1" applyProtection="1">
      <alignment horizontal="right" vertical="center"/>
    </xf>
    <xf numFmtId="0" fontId="27" fillId="2" borderId="24" xfId="0" applyFont="1" applyFill="1" applyBorder="1" applyAlignment="1" applyProtection="1">
      <alignment horizontal="right" vertical="center" wrapText="1" indent="2"/>
    </xf>
    <xf numFmtId="0" fontId="27" fillId="2" borderId="25" xfId="0" applyFont="1" applyFill="1" applyBorder="1" applyAlignment="1" applyProtection="1">
      <alignment horizontal="center" vertical="center" wrapText="1"/>
    </xf>
    <xf numFmtId="0" fontId="27" fillId="2" borderId="5" xfId="0" applyFont="1" applyFill="1" applyBorder="1" applyAlignment="1" applyProtection="1">
      <alignment horizontal="center" vertical="center" wrapText="1"/>
    </xf>
    <xf numFmtId="0" fontId="27" fillId="2" borderId="25" xfId="0" applyFont="1" applyFill="1" applyBorder="1" applyAlignment="1" applyProtection="1">
      <alignment vertical="top" wrapText="1"/>
    </xf>
    <xf numFmtId="0" fontId="33" fillId="2" borderId="0" xfId="0" applyFont="1" applyFill="1" applyAlignment="1">
      <alignment vertical="center"/>
    </xf>
    <xf numFmtId="3" fontId="26" fillId="2" borderId="0" xfId="0" applyNumberFormat="1" applyFont="1" applyFill="1" applyBorder="1" applyAlignment="1" applyProtection="1">
      <alignment horizontal="center" vertical="center"/>
    </xf>
    <xf numFmtId="3" fontId="26" fillId="2" borderId="8" xfId="0" applyNumberFormat="1" applyFont="1" applyFill="1" applyBorder="1" applyAlignment="1" applyProtection="1">
      <alignment horizontal="center" vertical="center"/>
    </xf>
    <xf numFmtId="165" fontId="21" fillId="2" borderId="8" xfId="0" applyNumberFormat="1" applyFont="1" applyFill="1" applyBorder="1" applyAlignment="1" applyProtection="1">
      <alignment horizontal="center" vertical="center"/>
    </xf>
    <xf numFmtId="165" fontId="21" fillId="2" borderId="0" xfId="0" applyNumberFormat="1" applyFont="1" applyFill="1" applyBorder="1" applyAlignment="1" applyProtection="1">
      <alignment horizontal="center" vertical="center"/>
    </xf>
    <xf numFmtId="165" fontId="21" fillId="2" borderId="13" xfId="0" applyNumberFormat="1" applyFont="1" applyFill="1" applyBorder="1" applyAlignment="1" applyProtection="1">
      <alignment horizontal="center" vertical="center"/>
    </xf>
    <xf numFmtId="165" fontId="21" fillId="2" borderId="9" xfId="0" applyNumberFormat="1" applyFont="1" applyFill="1" applyBorder="1" applyAlignment="1" applyProtection="1">
      <alignment horizontal="center" vertical="center"/>
    </xf>
    <xf numFmtId="165" fontId="21" fillId="2" borderId="2" xfId="0" applyNumberFormat="1" applyFont="1" applyFill="1" applyBorder="1" applyAlignment="1" applyProtection="1">
      <alignment horizontal="center" vertical="center"/>
    </xf>
    <xf numFmtId="165" fontId="21" fillId="2" borderId="18" xfId="0" applyNumberFormat="1" applyFont="1" applyFill="1" applyBorder="1" applyAlignment="1" applyProtection="1">
      <alignment horizontal="center" vertical="center"/>
    </xf>
    <xf numFmtId="3" fontId="26" fillId="2" borderId="7" xfId="0" applyNumberFormat="1" applyFont="1" applyFill="1" applyBorder="1" applyAlignment="1" applyProtection="1">
      <alignment horizontal="center" vertical="center"/>
    </xf>
    <xf numFmtId="0" fontId="27" fillId="2" borderId="24" xfId="0" applyFont="1" applyFill="1" applyBorder="1" applyAlignment="1" applyProtection="1">
      <alignment horizontal="right" vertical="top" wrapText="1"/>
    </xf>
    <xf numFmtId="0" fontId="24" fillId="2" borderId="0" xfId="0" applyFont="1" applyFill="1" applyAlignment="1">
      <alignment horizontal="right" vertical="center" indent="1"/>
    </xf>
    <xf numFmtId="0" fontId="26" fillId="2" borderId="21" xfId="0" applyFont="1" applyFill="1" applyBorder="1" applyAlignment="1" applyProtection="1">
      <alignment horizontal="center" vertical="top" wrapText="1"/>
    </xf>
    <xf numFmtId="0" fontId="26" fillId="2" borderId="22" xfId="0" applyFont="1" applyFill="1" applyBorder="1" applyAlignment="1" applyProtection="1">
      <alignment horizontal="center" vertical="top" wrapText="1"/>
    </xf>
    <xf numFmtId="0" fontId="27" fillId="2" borderId="0" xfId="0" applyFont="1" applyFill="1" applyBorder="1" applyAlignment="1" applyProtection="1">
      <alignment horizontal="center" vertical="center" wrapText="1"/>
    </xf>
    <xf numFmtId="3" fontId="26" fillId="2" borderId="8" xfId="0" applyNumberFormat="1" applyFont="1" applyFill="1" applyBorder="1" applyAlignment="1" applyProtection="1">
      <alignment horizontal="right" vertical="center"/>
    </xf>
    <xf numFmtId="3" fontId="21" fillId="2" borderId="8" xfId="0" applyNumberFormat="1" applyFont="1" applyFill="1" applyBorder="1" applyAlignment="1">
      <alignment horizontal="right" vertical="center"/>
    </xf>
    <xf numFmtId="3" fontId="21" fillId="2" borderId="9" xfId="0" applyNumberFormat="1" applyFont="1" applyFill="1" applyBorder="1" applyAlignment="1">
      <alignment horizontal="right" vertical="center"/>
    </xf>
    <xf numFmtId="165" fontId="26" fillId="2" borderId="0" xfId="0" applyNumberFormat="1" applyFont="1" applyFill="1" applyBorder="1" applyAlignment="1" applyProtection="1">
      <alignment horizontal="center" vertical="center"/>
    </xf>
    <xf numFmtId="165" fontId="26" fillId="2" borderId="13" xfId="0" applyNumberFormat="1" applyFont="1" applyFill="1" applyBorder="1" applyAlignment="1" applyProtection="1">
      <alignment horizontal="center" vertical="center"/>
    </xf>
    <xf numFmtId="0" fontId="26" fillId="2" borderId="27" xfId="0" applyFont="1" applyFill="1" applyBorder="1" applyAlignment="1" applyProtection="1">
      <alignment horizontal="right" vertical="center" wrapText="1"/>
    </xf>
    <xf numFmtId="3" fontId="26" fillId="2" borderId="13" xfId="0" applyNumberFormat="1" applyFont="1" applyFill="1" applyBorder="1" applyAlignment="1" applyProtection="1">
      <alignment horizontal="right" vertical="center"/>
    </xf>
    <xf numFmtId="165" fontId="26" fillId="2" borderId="26" xfId="0" applyNumberFormat="1" applyFont="1" applyFill="1" applyBorder="1" applyAlignment="1" applyProtection="1">
      <alignment horizontal="center" vertical="center"/>
    </xf>
    <xf numFmtId="3" fontId="21" fillId="2" borderId="2" xfId="0" applyNumberFormat="1" applyFont="1" applyFill="1" applyBorder="1" applyAlignment="1" applyProtection="1">
      <alignment horizontal="right" vertical="center"/>
    </xf>
    <xf numFmtId="0" fontId="21" fillId="2" borderId="0" xfId="0" applyFont="1" applyFill="1" applyAlignment="1" applyProtection="1">
      <alignment horizontal="left" vertical="center" indent="1"/>
    </xf>
    <xf numFmtId="0" fontId="21" fillId="2" borderId="2" xfId="0" applyFont="1" applyFill="1" applyBorder="1" applyAlignment="1" applyProtection="1">
      <alignment horizontal="left" vertical="center" indent="1"/>
    </xf>
    <xf numFmtId="0" fontId="25" fillId="2" borderId="0" xfId="0" applyFont="1" applyFill="1" applyAlignment="1">
      <alignment horizontal="right" vertical="center" indent="2"/>
    </xf>
    <xf numFmtId="0" fontId="25" fillId="2" borderId="2" xfId="0" applyFont="1" applyFill="1" applyBorder="1" applyAlignment="1">
      <alignment horizontal="right" vertical="center" indent="2"/>
    </xf>
    <xf numFmtId="0" fontId="31" fillId="2" borderId="0" xfId="0" applyFont="1" applyFill="1" applyAlignment="1" applyProtection="1">
      <alignment horizontal="left" vertical="center"/>
    </xf>
    <xf numFmtId="0" fontId="33" fillId="2" borderId="0" xfId="0" applyFont="1" applyFill="1" applyAlignment="1">
      <alignment horizontal="right" vertical="center"/>
    </xf>
    <xf numFmtId="0" fontId="26" fillId="2" borderId="2" xfId="0" applyFont="1" applyFill="1" applyBorder="1" applyAlignment="1" applyProtection="1">
      <alignment vertical="center" wrapText="1"/>
    </xf>
    <xf numFmtId="0" fontId="26" fillId="2" borderId="30" xfId="0" applyFont="1" applyFill="1" applyBorder="1" applyAlignment="1" applyProtection="1">
      <alignment horizontal="right" vertical="center" wrapText="1"/>
    </xf>
    <xf numFmtId="0" fontId="12" fillId="2" borderId="0" xfId="0" applyFont="1" applyFill="1" applyBorder="1" applyAlignment="1">
      <alignment horizontal="right" vertical="center"/>
    </xf>
    <xf numFmtId="3" fontId="26" fillId="2" borderId="0" xfId="0" applyNumberFormat="1" applyFont="1" applyFill="1" applyBorder="1" applyAlignment="1" applyProtection="1">
      <alignment horizontal="right" vertical="center"/>
    </xf>
    <xf numFmtId="0" fontId="26" fillId="2" borderId="31" xfId="0" applyFont="1" applyFill="1" applyBorder="1" applyAlignment="1" applyProtection="1">
      <alignment horizontal="right" vertical="center" wrapText="1"/>
    </xf>
    <xf numFmtId="0" fontId="26" fillId="2" borderId="21" xfId="0" applyFont="1" applyFill="1" applyBorder="1" applyAlignment="1" applyProtection="1">
      <alignment horizontal="center" vertical="center" wrapText="1"/>
    </xf>
    <xf numFmtId="0" fontId="26" fillId="2" borderId="22" xfId="0" applyFont="1" applyFill="1" applyBorder="1" applyAlignment="1" applyProtection="1">
      <alignment horizontal="center" vertical="center" wrapText="1"/>
    </xf>
    <xf numFmtId="0" fontId="26" fillId="2" borderId="23" xfId="0" applyFont="1" applyFill="1" applyBorder="1" applyAlignment="1" applyProtection="1">
      <alignment horizontal="center" vertical="center" wrapText="1"/>
    </xf>
    <xf numFmtId="0" fontId="26" fillId="2" borderId="2" xfId="0" applyFont="1" applyFill="1" applyBorder="1" applyAlignment="1" applyProtection="1">
      <alignment horizontal="center" vertical="center" wrapText="1"/>
    </xf>
    <xf numFmtId="0" fontId="26" fillId="2" borderId="7" xfId="0" applyFont="1" applyFill="1" applyBorder="1" applyAlignment="1" applyProtection="1">
      <alignment horizontal="center" vertical="center" wrapText="1"/>
    </xf>
    <xf numFmtId="0" fontId="27" fillId="2" borderId="12" xfId="0" applyFont="1" applyFill="1" applyBorder="1" applyAlignment="1" applyProtection="1">
      <alignment horizontal="center" vertical="center" wrapText="1"/>
    </xf>
    <xf numFmtId="3" fontId="21" fillId="2" borderId="13" xfId="0" applyNumberFormat="1" applyFont="1" applyFill="1" applyBorder="1" applyAlignment="1">
      <alignment horizontal="right" vertical="center"/>
    </xf>
    <xf numFmtId="3" fontId="21" fillId="2" borderId="18" xfId="0" applyNumberFormat="1" applyFont="1" applyFill="1" applyBorder="1" applyAlignment="1">
      <alignment horizontal="right" vertical="center"/>
    </xf>
    <xf numFmtId="0" fontId="15" fillId="2" borderId="0" xfId="0" applyFont="1" applyFill="1" applyBorder="1" applyAlignment="1">
      <alignment horizontal="center" vertical="center"/>
    </xf>
    <xf numFmtId="0" fontId="5" fillId="2" borderId="0" xfId="0" applyFont="1" applyFill="1" applyBorder="1" applyAlignment="1" applyProtection="1">
      <alignment horizontal="center" vertical="center"/>
    </xf>
    <xf numFmtId="0" fontId="18" fillId="2" borderId="7" xfId="0" applyFont="1" applyFill="1" applyBorder="1" applyAlignment="1" applyProtection="1">
      <alignment horizontal="left" vertical="center" wrapText="1"/>
    </xf>
    <xf numFmtId="0" fontId="18" fillId="2" borderId="0" xfId="0" applyFont="1" applyFill="1" applyBorder="1" applyAlignment="1" applyProtection="1">
      <alignment horizontal="left" vertical="center"/>
    </xf>
    <xf numFmtId="0" fontId="18" fillId="2" borderId="2" xfId="0" applyFont="1" applyFill="1" applyBorder="1" applyAlignment="1" applyProtection="1">
      <alignment horizontal="left" vertical="center"/>
    </xf>
    <xf numFmtId="0" fontId="9" fillId="2" borderId="7" xfId="0" applyFont="1" applyFill="1" applyBorder="1" applyAlignment="1">
      <alignment horizontal="center" vertical="center"/>
    </xf>
    <xf numFmtId="0" fontId="0" fillId="2" borderId="7" xfId="0" applyFill="1" applyBorder="1"/>
    <xf numFmtId="0" fontId="0" fillId="2" borderId="28" xfId="0" applyFill="1" applyBorder="1"/>
    <xf numFmtId="0" fontId="11" fillId="2" borderId="29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11" fillId="2" borderId="28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center" vertical="center"/>
    </xf>
    <xf numFmtId="0" fontId="18" fillId="2" borderId="6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18" fillId="2" borderId="10" xfId="0" applyFont="1" applyFill="1" applyBorder="1" applyAlignment="1">
      <alignment horizontal="center" vertical="center" wrapText="1"/>
    </xf>
    <xf numFmtId="0" fontId="34" fillId="2" borderId="0" xfId="0" applyFont="1" applyFill="1" applyAlignment="1">
      <alignment horizontal="center" vertical="center"/>
    </xf>
    <xf numFmtId="0" fontId="29" fillId="2" borderId="2" xfId="0" applyFont="1" applyFill="1" applyBorder="1" applyAlignment="1" applyProtection="1">
      <alignment horizontal="center" vertical="center" wrapText="1"/>
    </xf>
    <xf numFmtId="0" fontId="26" fillId="2" borderId="7" xfId="0" applyFont="1" applyFill="1" applyBorder="1" applyAlignment="1" applyProtection="1">
      <alignment horizontal="left" vertical="center"/>
    </xf>
    <xf numFmtId="0" fontId="26" fillId="2" borderId="0" xfId="0" applyFont="1" applyFill="1" applyBorder="1" applyAlignment="1" applyProtection="1">
      <alignment horizontal="left" vertical="center"/>
    </xf>
    <xf numFmtId="0" fontId="26" fillId="2" borderId="2" xfId="0" applyFont="1" applyFill="1" applyBorder="1" applyAlignment="1" applyProtection="1">
      <alignment horizontal="left" vertical="center"/>
    </xf>
    <xf numFmtId="0" fontId="32" fillId="2" borderId="7" xfId="0" applyFont="1" applyFill="1" applyBorder="1" applyAlignment="1">
      <alignment horizontal="right" vertical="center" indent="1"/>
    </xf>
    <xf numFmtId="0" fontId="32" fillId="2" borderId="0" xfId="0" applyFont="1" applyFill="1" applyBorder="1" applyAlignment="1">
      <alignment horizontal="right" vertical="center" indent="1"/>
    </xf>
    <xf numFmtId="0" fontId="32" fillId="2" borderId="2" xfId="0" applyFont="1" applyFill="1" applyBorder="1" applyAlignment="1">
      <alignment horizontal="right" vertical="center" indent="1"/>
    </xf>
    <xf numFmtId="0" fontId="26" fillId="2" borderId="7" xfId="0" applyFont="1" applyFill="1" applyBorder="1" applyAlignment="1" applyProtection="1">
      <alignment horizontal="center" vertical="center" wrapText="1"/>
    </xf>
    <xf numFmtId="0" fontId="27" fillId="2" borderId="7" xfId="0" applyFont="1" applyFill="1" applyBorder="1" applyAlignment="1" applyProtection="1">
      <alignment horizontal="center" vertical="center" wrapText="1"/>
    </xf>
    <xf numFmtId="0" fontId="27" fillId="2" borderId="12" xfId="0" applyFont="1" applyFill="1" applyBorder="1" applyAlignment="1" applyProtection="1">
      <alignment horizontal="center" vertical="center" wrapText="1"/>
    </xf>
    <xf numFmtId="0" fontId="26" fillId="2" borderId="21" xfId="0" applyFont="1" applyFill="1" applyBorder="1" applyAlignment="1" applyProtection="1">
      <alignment horizontal="center" vertical="center" wrapText="1"/>
    </xf>
    <xf numFmtId="0" fontId="26" fillId="2" borderId="22" xfId="0" applyFont="1" applyFill="1" applyBorder="1" applyAlignment="1" applyProtection="1">
      <alignment horizontal="center" vertical="center" wrapText="1"/>
    </xf>
    <xf numFmtId="0" fontId="35" fillId="2" borderId="30" xfId="0" applyFont="1" applyFill="1" applyBorder="1" applyAlignment="1" applyProtection="1">
      <alignment horizontal="center" vertical="top" wrapText="1"/>
    </xf>
    <xf numFmtId="0" fontId="35" fillId="2" borderId="31" xfId="0" applyFont="1" applyFill="1" applyBorder="1" applyAlignment="1" applyProtection="1">
      <alignment horizontal="center" vertical="top" wrapText="1"/>
    </xf>
    <xf numFmtId="0" fontId="26" fillId="2" borderId="9" xfId="0" applyFont="1" applyFill="1" applyBorder="1" applyAlignment="1" applyProtection="1">
      <alignment horizontal="center" vertical="center" wrapText="1"/>
    </xf>
    <xf numFmtId="0" fontId="26" fillId="2" borderId="2" xfId="0" applyFont="1" applyFill="1" applyBorder="1" applyAlignment="1" applyProtection="1">
      <alignment horizontal="center" vertical="center" wrapText="1"/>
    </xf>
    <xf numFmtId="0" fontId="27" fillId="2" borderId="26" xfId="0" applyFont="1" applyFill="1" applyBorder="1" applyAlignment="1" applyProtection="1">
      <alignment horizontal="center" vertical="center" wrapText="1"/>
    </xf>
    <xf numFmtId="0" fontId="27" fillId="2" borderId="19" xfId="0" applyFont="1" applyFill="1" applyBorder="1" applyAlignment="1" applyProtection="1">
      <alignment horizontal="center" vertical="center" wrapText="1"/>
    </xf>
    <xf numFmtId="0" fontId="27" fillId="2" borderId="32" xfId="0" applyFont="1" applyFill="1" applyBorder="1" applyAlignment="1" applyProtection="1">
      <alignment horizontal="center" vertical="center" wrapText="1"/>
    </xf>
    <xf numFmtId="0" fontId="27" fillId="2" borderId="4" xfId="0" applyFont="1" applyFill="1" applyBorder="1" applyAlignment="1" applyProtection="1">
      <alignment horizontal="center" vertical="center" wrapText="1"/>
    </xf>
    <xf numFmtId="0" fontId="26" fillId="2" borderId="26" xfId="0" applyFont="1" applyFill="1" applyBorder="1" applyAlignment="1" applyProtection="1">
      <alignment horizontal="center" vertical="center" wrapText="1"/>
    </xf>
    <xf numFmtId="0" fontId="26" fillId="2" borderId="19" xfId="0" applyFont="1" applyFill="1" applyBorder="1" applyAlignment="1" applyProtection="1">
      <alignment horizontal="center" vertical="center" wrapText="1"/>
    </xf>
    <xf numFmtId="0" fontId="26" fillId="2" borderId="18" xfId="0" applyFont="1" applyFill="1" applyBorder="1" applyAlignment="1" applyProtection="1">
      <alignment horizontal="center" vertical="center" wrapText="1"/>
    </xf>
    <xf numFmtId="0" fontId="26" fillId="2" borderId="23" xfId="0" applyFont="1" applyFill="1" applyBorder="1" applyAlignment="1" applyProtection="1">
      <alignment horizontal="center" vertical="center" wrapText="1"/>
    </xf>
    <xf numFmtId="0" fontId="35" fillId="2" borderId="30" xfId="0" applyFont="1" applyFill="1" applyBorder="1" applyAlignment="1" applyProtection="1">
      <alignment horizontal="center" vertical="top"/>
    </xf>
    <xf numFmtId="0" fontId="35" fillId="2" borderId="31" xfId="0" applyFont="1" applyFill="1" applyBorder="1" applyAlignment="1" applyProtection="1">
      <alignment horizontal="center" vertical="top"/>
    </xf>
    <xf numFmtId="0" fontId="35" fillId="2" borderId="27" xfId="0" applyFont="1" applyFill="1" applyBorder="1" applyAlignment="1" applyProtection="1">
      <alignment horizontal="center" vertical="top"/>
    </xf>
  </cellXfs>
  <cellStyles count="16">
    <cellStyle name="1" xfId="1"/>
    <cellStyle name="Comma" xfId="2" builtinId="3"/>
    <cellStyle name="Normal" xfId="0" builtinId="0"/>
    <cellStyle name="Normal - Style1" xfId="3"/>
    <cellStyle name="Normal 2" xfId="4"/>
    <cellStyle name="Normal 2 2" xfId="5"/>
    <cellStyle name="Normal 3" xfId="6"/>
    <cellStyle name="Normal 4" xfId="12"/>
    <cellStyle name="Normal 4 2" xfId="7"/>
    <cellStyle name="Normal 4 2 2" xfId="13"/>
    <cellStyle name="Normal 5" xfId="8"/>
    <cellStyle name="Normal 5 2" xfId="9"/>
    <cellStyle name="Normal 6" xfId="14"/>
    <cellStyle name="Normal 7" xfId="15"/>
    <cellStyle name="Percent 2" xfId="10"/>
    <cellStyle name="Percent 2 2" xfId="11"/>
  </cellStyles>
  <dxfs count="0"/>
  <tableStyles count="0" defaultTableStyle="TableStyleMedium9" defaultPivotStyle="PivotStyleLight16"/>
  <colors>
    <mruColors>
      <color rgb="FFFDEADB"/>
      <color rgb="FFFCD5BD"/>
      <color rgb="FFFFCC00"/>
      <color rgb="FFFBC9AB"/>
      <color rgb="FFFAC090"/>
      <color rgb="FF953735"/>
      <color rgb="FFFCE0C8"/>
      <color rgb="FFFF4B4B"/>
      <color rgb="FFA54E07"/>
      <color rgb="FFFDEA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583333333333381"/>
          <c:y val="0.1134259259259261"/>
          <c:w val="0.82083333333333364"/>
          <c:h val="0.5115740740740746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'10.1 figures workings'!$A$7:$A$16</c:f>
              <c:strCache>
                <c:ptCount val="10"/>
                <c:pt idx="0">
                  <c:v>   China</c:v>
                </c:pt>
                <c:pt idx="1">
                  <c:v>   Germany</c:v>
                </c:pt>
                <c:pt idx="2">
                  <c:v>   United Kingdom</c:v>
                </c:pt>
                <c:pt idx="3">
                  <c:v>   Russia</c:v>
                </c:pt>
                <c:pt idx="4">
                  <c:v>   Italy</c:v>
                </c:pt>
                <c:pt idx="5">
                  <c:v>   France</c:v>
                </c:pt>
                <c:pt idx="6">
                  <c:v>   Japan</c:v>
                </c:pt>
                <c:pt idx="7">
                  <c:v>   Switzerland</c:v>
                </c:pt>
                <c:pt idx="8">
                  <c:v>   India</c:v>
                </c:pt>
                <c:pt idx="9">
                  <c:v>   Korea</c:v>
                </c:pt>
              </c:strCache>
            </c:strRef>
          </c:cat>
          <c:val>
            <c:numRef>
              <c:f>'10.1 figures workings'!$F$7:$F$16</c:f>
              <c:numCache>
                <c:formatCode>#,##0;[Red]#,##0</c:formatCode>
                <c:ptCount val="10"/>
                <c:pt idx="0">
                  <c:v>229551</c:v>
                </c:pt>
                <c:pt idx="1">
                  <c:v>98351</c:v>
                </c:pt>
                <c:pt idx="2">
                  <c:v>91776</c:v>
                </c:pt>
                <c:pt idx="3">
                  <c:v>66378</c:v>
                </c:pt>
                <c:pt idx="4">
                  <c:v>62782</c:v>
                </c:pt>
                <c:pt idx="5">
                  <c:v>56775</c:v>
                </c:pt>
                <c:pt idx="6">
                  <c:v>36438</c:v>
                </c:pt>
                <c:pt idx="7">
                  <c:v>35457</c:v>
                </c:pt>
                <c:pt idx="8">
                  <c:v>31721</c:v>
                </c:pt>
                <c:pt idx="9">
                  <c:v>23933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4575360"/>
        <c:axId val="104578048"/>
      </c:barChart>
      <c:catAx>
        <c:axId val="1045753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4578048"/>
        <c:crosses val="autoZero"/>
        <c:auto val="1"/>
        <c:lblAlgn val="ctr"/>
        <c:lblOffset val="100"/>
        <c:noMultiLvlLbl val="0"/>
      </c:catAx>
      <c:valAx>
        <c:axId val="104578048"/>
        <c:scaling>
          <c:orientation val="minMax"/>
        </c:scaling>
        <c:delete val="0"/>
        <c:axPos val="l"/>
        <c:majorGridlines/>
        <c:numFmt formatCode="#,##0;[Red]#,##0" sourceLinked="1"/>
        <c:majorTickMark val="out"/>
        <c:minorTickMark val="none"/>
        <c:tickLblPos val="nextTo"/>
        <c:crossAx val="10457536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775240594925634"/>
          <c:y val="0.16702573636628754"/>
          <c:w val="0.82169203849519157"/>
          <c:h val="0.68259988334791477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'[3]10.1 (2)fig'!$M$1:$Q$1</c:f>
              <c:strCache>
                <c:ptCount val="5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</c:strCache>
            </c:strRef>
          </c:cat>
          <c:val>
            <c:numRef>
              <c:f>'[3]10.1 (2)fig'!$M$4:$Q$4</c:f>
              <c:numCache>
                <c:formatCode>General</c:formatCode>
                <c:ptCount val="5"/>
                <c:pt idx="0">
                  <c:v>41511</c:v>
                </c:pt>
                <c:pt idx="1">
                  <c:v>60666</c:v>
                </c:pt>
                <c:pt idx="2">
                  <c:v>118961</c:v>
                </c:pt>
                <c:pt idx="3">
                  <c:v>198655</c:v>
                </c:pt>
                <c:pt idx="4">
                  <c:v>229551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0657536"/>
        <c:axId val="110679168"/>
      </c:barChart>
      <c:catAx>
        <c:axId val="1106575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0679168"/>
        <c:crosses val="autoZero"/>
        <c:auto val="1"/>
        <c:lblAlgn val="ctr"/>
        <c:lblOffset val="100"/>
        <c:noMultiLvlLbl val="0"/>
      </c:catAx>
      <c:valAx>
        <c:axId val="11067916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1065753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3943854844231447E-2"/>
          <c:y val="0.18471000859405887"/>
          <c:w val="0.8940011964026513"/>
          <c:h val="0.75327092962937325"/>
        </c:manualLayout>
      </c:layout>
      <c:lineChart>
        <c:grouping val="standard"/>
        <c:varyColors val="0"/>
        <c:ser>
          <c:idx val="0"/>
          <c:order val="0"/>
          <c:tx>
            <c:strRef>
              <c:f>'10.5'!$I$5</c:f>
              <c:strCache>
                <c:ptCount val="1"/>
                <c:pt idx="0">
                  <c:v>Tourist Bed-nights*</c:v>
                </c:pt>
              </c:strCache>
            </c:strRef>
          </c:tx>
          <c:spPr>
            <a:ln>
              <a:solidFill>
                <a:srgbClr val="FAC090"/>
              </a:solidFill>
            </a:ln>
          </c:spPr>
          <c:marker>
            <c:symbol val="none"/>
          </c:marker>
          <c:cat>
            <c:strRef>
              <c:f>'10.5'!$A$9:$A$20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'10.5'!$I$9:$I$20</c:f>
              <c:numCache>
                <c:formatCode>#,##0.0</c:formatCode>
                <c:ptCount val="12"/>
                <c:pt idx="0">
                  <c:v>-3.7635533574281954</c:v>
                </c:pt>
                <c:pt idx="1">
                  <c:v>1.8031444024858567</c:v>
                </c:pt>
                <c:pt idx="2">
                  <c:v>5.6647619047619058</c:v>
                </c:pt>
                <c:pt idx="3">
                  <c:v>0.84138123159374079</c:v>
                </c:pt>
                <c:pt idx="4">
                  <c:v>-2.9372041064103405</c:v>
                </c:pt>
                <c:pt idx="5">
                  <c:v>-3.7346479171315283</c:v>
                </c:pt>
                <c:pt idx="6">
                  <c:v>7.2555283358975986</c:v>
                </c:pt>
                <c:pt idx="7">
                  <c:v>3.051383581347733</c:v>
                </c:pt>
                <c:pt idx="8">
                  <c:v>2.4385822639889421</c:v>
                </c:pt>
                <c:pt idx="9">
                  <c:v>5.0805342616859539</c:v>
                </c:pt>
                <c:pt idx="10">
                  <c:v>9.1285590054412289</c:v>
                </c:pt>
                <c:pt idx="11">
                  <c:v>2.9487683260616349</c:v>
                </c:pt>
              </c:numCache>
            </c:numRef>
          </c:val>
          <c:smooth val="0"/>
        </c:ser>
        <c:ser>
          <c:idx val="2"/>
          <c:order val="1"/>
          <c:tx>
            <c:strRef>
              <c:f>'10.5'!$K$5</c:f>
              <c:strCache>
                <c:ptCount val="1"/>
                <c:pt idx="0">
                  <c:v>Tourist Arrivals </c:v>
                </c:pt>
              </c:strCache>
            </c:strRef>
          </c:tx>
          <c:spPr>
            <a:ln>
              <a:solidFill>
                <a:srgbClr val="953735"/>
              </a:solidFill>
            </a:ln>
          </c:spPr>
          <c:marker>
            <c:symbol val="none"/>
          </c:marker>
          <c:cat>
            <c:strRef>
              <c:f>'10.5'!$A$9:$A$20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'10.5'!$K$9:$K$20</c:f>
              <c:numCache>
                <c:formatCode>#,##0.0</c:formatCode>
                <c:ptCount val="12"/>
                <c:pt idx="0">
                  <c:v>11.664417500231794</c:v>
                </c:pt>
                <c:pt idx="1">
                  <c:v>0.14194640900488942</c:v>
                </c:pt>
                <c:pt idx="2">
                  <c:v>2.4051162087398881</c:v>
                </c:pt>
                <c:pt idx="3">
                  <c:v>1.2235676140920582</c:v>
                </c:pt>
                <c:pt idx="4">
                  <c:v>-2.2654603780310145</c:v>
                </c:pt>
                <c:pt idx="5">
                  <c:v>-3.0329055529654259</c:v>
                </c:pt>
                <c:pt idx="6">
                  <c:v>5.6593664188600901</c:v>
                </c:pt>
                <c:pt idx="7">
                  <c:v>1.9410952934340475</c:v>
                </c:pt>
                <c:pt idx="8">
                  <c:v>6.6987048612201727</c:v>
                </c:pt>
                <c:pt idx="9">
                  <c:v>11.366092248194271</c:v>
                </c:pt>
                <c:pt idx="10">
                  <c:v>15.910350484382274</c:v>
                </c:pt>
                <c:pt idx="11">
                  <c:v>0.23059829776528318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565376"/>
        <c:axId val="104571264"/>
      </c:lineChart>
      <c:catAx>
        <c:axId val="104565376"/>
        <c:scaling>
          <c:orientation val="minMax"/>
        </c:scaling>
        <c:delete val="0"/>
        <c:axPos val="b"/>
        <c:numFmt formatCode="General" sourceLinked="1"/>
        <c:majorTickMark val="none"/>
        <c:minorTickMark val="cross"/>
        <c:tickLblPos val="nextTo"/>
        <c:spPr>
          <a:ln w="25400">
            <a:solidFill>
              <a:schemeClr val="bg1">
                <a:lumMod val="75000"/>
              </a:schemeClr>
            </a:solidFill>
          </a:ln>
        </c:spPr>
        <c:txPr>
          <a:bodyPr rot="-5400000" vert="horz"/>
          <a:lstStyle/>
          <a:p>
            <a:pPr>
              <a:defRPr/>
            </a:pPr>
            <a:endParaRPr lang="en-US"/>
          </a:p>
        </c:txPr>
        <c:crossAx val="104571264"/>
        <c:crosses val="autoZero"/>
        <c:auto val="1"/>
        <c:lblAlgn val="ctr"/>
        <c:lblOffset val="100"/>
        <c:noMultiLvlLbl val="0"/>
      </c:catAx>
      <c:valAx>
        <c:axId val="104571264"/>
        <c:scaling>
          <c:orientation val="minMax"/>
          <c:min val="-10"/>
        </c:scaling>
        <c:delete val="0"/>
        <c:axPos val="l"/>
        <c:majorGridlines>
          <c:spPr>
            <a:ln>
              <a:solidFill>
                <a:srgbClr val="FBC9AB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layout>
            <c:manualLayout>
              <c:xMode val="edge"/>
              <c:yMode val="edge"/>
              <c:x val="1.524621108874822E-2"/>
              <c:y val="0.37984113163739147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crossAx val="104565376"/>
        <c:crosses val="autoZero"/>
        <c:crossBetween val="between"/>
      </c:valAx>
      <c:spPr>
        <a:solidFill>
          <a:srgbClr val="FDEADB"/>
        </a:solidFill>
        <a:ln>
          <a:solidFill>
            <a:schemeClr val="bg1">
              <a:lumMod val="65000"/>
            </a:schemeClr>
          </a:solidFill>
        </a:ln>
      </c:spPr>
    </c:plotArea>
    <c:legend>
      <c:legendPos val="b"/>
      <c:layout>
        <c:manualLayout>
          <c:xMode val="edge"/>
          <c:yMode val="edge"/>
          <c:x val="0.2723475313617294"/>
          <c:y val="0.21785820041725554"/>
          <c:w val="0.47583856575241995"/>
          <c:h val="7.1517694550961283E-2"/>
        </c:manualLayout>
      </c:layout>
      <c:overlay val="0"/>
      <c:txPr>
        <a:bodyPr/>
        <a:lstStyle/>
        <a:p>
          <a:pPr>
            <a:defRPr sz="900"/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167" l="0.70000000000000062" r="0.70000000000000062" t="0.75000000000000167" header="0.30000000000000032" footer="0.30000000000000032"/>
    <c:pageSetup orientation="portrait"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>
                <a:latin typeface="Consolas" pitchFamily="49" charset="0"/>
                <a:cs typeface="Consolas" pitchFamily="49" charset="0"/>
              </a:defRPr>
            </a:pPr>
            <a:r>
              <a:rPr lang="en-US" sz="1000">
                <a:latin typeface="Consolas" pitchFamily="49" charset="0"/>
                <a:cs typeface="Consolas" pitchFamily="49" charset="0"/>
              </a:rPr>
              <a:t>Figure 10.9: Percentage change of tourist arrivals and bed-nights compared to previous month, 2016</a:t>
            </a:r>
          </a:p>
        </c:rich>
      </c:tx>
      <c:layout>
        <c:manualLayout>
          <c:xMode val="edge"/>
          <c:yMode val="edge"/>
          <c:x val="0.15355991000113384"/>
          <c:y val="2.589334166086643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455651065975924"/>
          <c:y val="0.17897647925182064"/>
          <c:w val="0.8682830605604186"/>
          <c:h val="0.7650699144045765"/>
        </c:manualLayout>
      </c:layout>
      <c:lineChart>
        <c:grouping val="standard"/>
        <c:varyColors val="0"/>
        <c:ser>
          <c:idx val="0"/>
          <c:order val="0"/>
          <c:tx>
            <c:strRef>
              <c:f>'10.5'!$L$5</c:f>
              <c:strCache>
                <c:ptCount val="1"/>
                <c:pt idx="0">
                  <c:v>Tourist Bed-nights*</c:v>
                </c:pt>
              </c:strCache>
            </c:strRef>
          </c:tx>
          <c:spPr>
            <a:ln>
              <a:solidFill>
                <a:srgbClr val="FAC090"/>
              </a:solidFill>
            </a:ln>
          </c:spPr>
          <c:marker>
            <c:symbol val="none"/>
          </c:marker>
          <c:cat>
            <c:strRef>
              <c:f>'10.5'!$A$9:$A$20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'10.5'!$L$9:$L$20</c:f>
              <c:numCache>
                <c:formatCode>#,##0.0</c:formatCode>
                <c:ptCount val="12"/>
                <c:pt idx="0">
                  <c:v>2.8254654345410746</c:v>
                </c:pt>
                <c:pt idx="1">
                  <c:v>14.433584034208646</c:v>
                </c:pt>
                <c:pt idx="2">
                  <c:v>-0.18698072903772234</c:v>
                </c:pt>
                <c:pt idx="3">
                  <c:v>-12.300537188592852</c:v>
                </c:pt>
                <c:pt idx="4">
                  <c:v>-11.131830365217965</c:v>
                </c:pt>
                <c:pt idx="5">
                  <c:v>-22.566307819271181</c:v>
                </c:pt>
                <c:pt idx="6">
                  <c:v>40.41072648980353</c:v>
                </c:pt>
                <c:pt idx="7">
                  <c:v>6.5656548465931941</c:v>
                </c:pt>
                <c:pt idx="8">
                  <c:v>-14.263287589413043</c:v>
                </c:pt>
                <c:pt idx="9">
                  <c:v>19.419582568850057</c:v>
                </c:pt>
                <c:pt idx="10">
                  <c:v>-9.3729625181326099</c:v>
                </c:pt>
                <c:pt idx="11">
                  <c:v>4.6137905989305006</c:v>
                </c:pt>
              </c:numCache>
            </c:numRef>
          </c:val>
          <c:smooth val="0"/>
        </c:ser>
        <c:ser>
          <c:idx val="2"/>
          <c:order val="1"/>
          <c:tx>
            <c:strRef>
              <c:f>'10.5'!$N$5</c:f>
              <c:strCache>
                <c:ptCount val="1"/>
                <c:pt idx="0">
                  <c:v>Tourist Arrivals </c:v>
                </c:pt>
              </c:strCache>
            </c:strRef>
          </c:tx>
          <c:spPr>
            <a:ln>
              <a:solidFill>
                <a:srgbClr val="953735"/>
              </a:solidFill>
            </a:ln>
          </c:spPr>
          <c:marker>
            <c:symbol val="none"/>
          </c:marker>
          <c:cat>
            <c:strRef>
              <c:f>'10.5'!$A$9:$A$20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'10.5'!$N$9:$N$20</c:f>
              <c:numCache>
                <c:formatCode>#,##0.0</c:formatCode>
                <c:ptCount val="12"/>
                <c:pt idx="0">
                  <c:v>-9.1056978743029653</c:v>
                </c:pt>
                <c:pt idx="1">
                  <c:v>11.294697221299677</c:v>
                </c:pt>
                <c:pt idx="2">
                  <c:v>-4.565687712928657</c:v>
                </c:pt>
                <c:pt idx="3">
                  <c:v>-10.108485116953736</c:v>
                </c:pt>
                <c:pt idx="4">
                  <c:v>-9.9185452156184457</c:v>
                </c:pt>
                <c:pt idx="5">
                  <c:v>-15.22503968764749</c:v>
                </c:pt>
                <c:pt idx="6">
                  <c:v>39.727206012602181</c:v>
                </c:pt>
                <c:pt idx="7">
                  <c:v>1.675239061141709</c:v>
                </c:pt>
                <c:pt idx="8">
                  <c:v>-9.2383463066208265</c:v>
                </c:pt>
                <c:pt idx="9">
                  <c:v>15.288149231176828</c:v>
                </c:pt>
                <c:pt idx="10">
                  <c:v>-10.994220735558224</c:v>
                </c:pt>
                <c:pt idx="11">
                  <c:v>14.304020196610946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584704"/>
        <c:axId val="104586240"/>
      </c:lineChart>
      <c:catAx>
        <c:axId val="104584704"/>
        <c:scaling>
          <c:orientation val="minMax"/>
        </c:scaling>
        <c:delete val="0"/>
        <c:axPos val="b"/>
        <c:numFmt formatCode="General" sourceLinked="1"/>
        <c:majorTickMark val="none"/>
        <c:minorTickMark val="in"/>
        <c:tickLblPos val="nextTo"/>
        <c:spPr>
          <a:ln w="31750">
            <a:solidFill>
              <a:schemeClr val="bg1">
                <a:lumMod val="65000"/>
              </a:schemeClr>
            </a:solidFill>
          </a:ln>
        </c:spPr>
        <c:txPr>
          <a:bodyPr rot="-5400000" vert="horz"/>
          <a:lstStyle/>
          <a:p>
            <a:pPr>
              <a:defRPr/>
            </a:pPr>
            <a:endParaRPr lang="en-US"/>
          </a:p>
        </c:txPr>
        <c:crossAx val="104586240"/>
        <c:crosses val="autoZero"/>
        <c:auto val="1"/>
        <c:lblAlgn val="ctr"/>
        <c:lblOffset val="100"/>
        <c:noMultiLvlLbl val="0"/>
      </c:catAx>
      <c:valAx>
        <c:axId val="104586240"/>
        <c:scaling>
          <c:orientation val="minMax"/>
        </c:scaling>
        <c:delete val="0"/>
        <c:axPos val="l"/>
        <c:majorGridlines>
          <c:spPr>
            <a:ln>
              <a:solidFill>
                <a:srgbClr val="FBC9AB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ln w="9525">
            <a:noFill/>
          </a:ln>
        </c:spPr>
        <c:crossAx val="104584704"/>
        <c:crosses val="autoZero"/>
        <c:crossBetween val="between"/>
      </c:valAx>
      <c:spPr>
        <a:solidFill>
          <a:srgbClr val="FDEADA"/>
        </a:solidFill>
        <a:ln>
          <a:solidFill>
            <a:schemeClr val="bg1">
              <a:lumMod val="65000"/>
            </a:schemeClr>
          </a:solidFill>
        </a:ln>
      </c:spPr>
    </c:plotArea>
    <c:legend>
      <c:legendPos val="b"/>
      <c:layout>
        <c:manualLayout>
          <c:xMode val="edge"/>
          <c:yMode val="edge"/>
          <c:x val="0.35175955235316425"/>
          <c:y val="0.20732359547115337"/>
          <c:w val="0.47588403668425966"/>
          <c:h val="7.0174232251384805E-2"/>
        </c:manualLayout>
      </c:layout>
      <c:overlay val="0"/>
      <c:txPr>
        <a:bodyPr/>
        <a:lstStyle/>
        <a:p>
          <a:pPr>
            <a:defRPr sz="900"/>
          </a:pPr>
          <a:endParaRPr lang="en-US"/>
        </a:p>
      </c:txPr>
    </c:legend>
    <c:plotVisOnly val="1"/>
    <c:dispBlanksAs val="gap"/>
    <c:showDLblsOverMax val="0"/>
  </c:chart>
  <c:spPr>
    <a:solidFill>
      <a:sysClr val="window" lastClr="FFFFFF"/>
    </a:solidFill>
  </c:spPr>
  <c:txPr>
    <a:bodyPr/>
    <a:lstStyle/>
    <a:p>
      <a:pPr>
        <a:defRPr>
          <a:latin typeface="+mn-lt"/>
        </a:defRPr>
      </a:pPr>
      <a:endParaRPr lang="en-US"/>
    </a:p>
  </c:txPr>
  <c:printSettings>
    <c:headerFooter/>
    <c:pageMargins b="0.75000000000000144" l="0.70000000000000062" r="0.70000000000000062" t="0.75000000000000144" header="0.30000000000000032" footer="0.30000000000000032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238125</xdr:colOff>
      <xdr:row>4</xdr:row>
      <xdr:rowOff>114300</xdr:rowOff>
    </xdr:from>
    <xdr:to>
      <xdr:col>20</xdr:col>
      <xdr:colOff>542925</xdr:colOff>
      <xdr:row>21</xdr:row>
      <xdr:rowOff>66675</xdr:rowOff>
    </xdr:to>
    <xdr:graphicFrame macro="">
      <xdr:nvGraphicFramePr>
        <xdr:cNvPr id="241676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190500</xdr:colOff>
      <xdr:row>25</xdr:row>
      <xdr:rowOff>28575</xdr:rowOff>
    </xdr:from>
    <xdr:to>
      <xdr:col>20</xdr:col>
      <xdr:colOff>495300</xdr:colOff>
      <xdr:row>42</xdr:row>
      <xdr:rowOff>19050</xdr:rowOff>
    </xdr:to>
    <xdr:graphicFrame macro="">
      <xdr:nvGraphicFramePr>
        <xdr:cNvPr id="2416770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715632</xdr:colOff>
      <xdr:row>24</xdr:row>
      <xdr:rowOff>102907</xdr:rowOff>
    </xdr:from>
    <xdr:to>
      <xdr:col>11</xdr:col>
      <xdr:colOff>0</xdr:colOff>
      <xdr:row>43</xdr:row>
      <xdr:rowOff>80872</xdr:rowOff>
    </xdr:to>
    <xdr:graphicFrame macro="">
      <xdr:nvGraphicFramePr>
        <xdr:cNvPr id="20611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716172</xdr:colOff>
      <xdr:row>46</xdr:row>
      <xdr:rowOff>8627</xdr:rowOff>
    </xdr:from>
    <xdr:to>
      <xdr:col>11</xdr:col>
      <xdr:colOff>0</xdr:colOff>
      <xdr:row>65</xdr:row>
      <xdr:rowOff>0</xdr:rowOff>
    </xdr:to>
    <xdr:graphicFrame macro="">
      <xdr:nvGraphicFramePr>
        <xdr:cNvPr id="20612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557124</xdr:colOff>
      <xdr:row>27</xdr:row>
      <xdr:rowOff>87922</xdr:rowOff>
    </xdr:from>
    <xdr:to>
      <xdr:col>10</xdr:col>
      <xdr:colOff>696058</xdr:colOff>
      <xdr:row>27</xdr:row>
      <xdr:rowOff>87922</xdr:rowOff>
    </xdr:to>
    <xdr:sp macro="" textlink="">
      <xdr:nvSpPr>
        <xdr:cNvPr id="6" name="Line 4"/>
        <xdr:cNvSpPr>
          <a:spLocks noChangeShapeType="1"/>
        </xdr:cNvSpPr>
      </xdr:nvSpPr>
      <xdr:spPr bwMode="auto">
        <a:xfrm flipV="1">
          <a:off x="3238778" y="6667499"/>
          <a:ext cx="4674299" cy="0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sp>
    <xdr:clientData/>
  </xdr:twoCellAnchor>
  <xdr:twoCellAnchor>
    <xdr:from>
      <xdr:col>3</xdr:col>
      <xdr:colOff>713201</xdr:colOff>
      <xdr:row>48</xdr:row>
      <xdr:rowOff>118474</xdr:rowOff>
    </xdr:from>
    <xdr:to>
      <xdr:col>10</xdr:col>
      <xdr:colOff>468924</xdr:colOff>
      <xdr:row>48</xdr:row>
      <xdr:rowOff>118474</xdr:rowOff>
    </xdr:to>
    <xdr:sp macro="" textlink="">
      <xdr:nvSpPr>
        <xdr:cNvPr id="7" name="Line 4"/>
        <xdr:cNvSpPr>
          <a:spLocks noChangeShapeType="1"/>
        </xdr:cNvSpPr>
      </xdr:nvSpPr>
      <xdr:spPr bwMode="auto">
        <a:xfrm>
          <a:off x="3394855" y="10083089"/>
          <a:ext cx="4291088" cy="0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sp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0.12229</cdr:x>
      <cdr:y>0.00478</cdr:y>
    </cdr:from>
    <cdr:to>
      <cdr:x>0.95851</cdr:x>
      <cdr:y>0.18082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691138" y="14323"/>
          <a:ext cx="4725865" cy="527539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vertOverflow="clip" wrap="square" rtlCol="0" anchor="t"/>
        <a:lstStyle xmlns:a="http://schemas.openxmlformats.org/drawingml/2006/main"/>
        <a:p xmlns:a="http://schemas.openxmlformats.org/drawingml/2006/main"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+mn-lt"/>
              <a:ea typeface="+mn-ea"/>
              <a:cs typeface="+mn-cs"/>
            </a:rPr>
            <a:t>Figure 10.8: Percentage change of tourist arrivals and bed-nights compared to same month of previous year, 2015 - 2016</a:t>
          </a:r>
          <a:endParaRPr lang="en-US">
            <a:effectLst/>
          </a:endParaRPr>
        </a:p>
        <a:p xmlns:a="http://schemas.openxmlformats.org/drawingml/2006/main">
          <a:pPr algn="ctr"/>
          <a:endParaRPr lang="en-US" sz="1100"/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0.01659</cdr:x>
      <cdr:y>0.36272</cdr:y>
    </cdr:from>
    <cdr:to>
      <cdr:x>0.0568</cdr:x>
      <cdr:y>0.64267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114300" y="1151189"/>
          <a:ext cx="276986" cy="8884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vert270" wrap="square" rtlCol="0"/>
        <a:lstStyle xmlns:a="http://schemas.openxmlformats.org/drawingml/2006/main"/>
        <a:p xmlns:a="http://schemas.openxmlformats.org/drawingml/2006/main">
          <a:r>
            <a:rPr lang="en-US" sz="1000" b="1">
              <a:latin typeface="+mn-lt"/>
            </a:rPr>
            <a:t>In percent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STATS\CARRIER\Carmon0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STATS\CARRIER\Carmon0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Users\sharu\AppData\Local\Microsoft\Windows\Temporary%20Internet%20Files\Content.Outlook\D1OR6BR1\10%20%20Tourism__Min%20of%20Tourism%20updated%20shahuda%20checked%20with%20new%20graph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ights"/>
      <sheetName val="carmon2000"/>
      <sheetName val="TCARR2000"/>
    </sheetNames>
    <sheetDataSet>
      <sheetData sheetId="0" refreshError="1"/>
      <sheetData sheetId="1" refreshError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carmon2001"/>
      <sheetName val="TCARR2001"/>
    </sheetNames>
    <sheetDataSet>
      <sheetData sheetId="0" refreshError="1"/>
      <sheetData sheetId="1" refreshError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10.1"/>
      <sheetName val="10.1 (2)fig"/>
      <sheetName val="10.2&amp;fig10.1- 10.2"/>
      <sheetName val="10.3&amp;fig10.3"/>
      <sheetName val="10.4&amp;fig10.4-10.5."/>
      <sheetName val="10.5 (2)graph"/>
      <sheetName val="10.5"/>
      <sheetName val="10.6"/>
      <sheetName val="10.7"/>
      <sheetName val="10.8fig"/>
      <sheetName val="10.9 cd (2)fig"/>
      <sheetName val="10.9 cd"/>
      <sheetName val="10.10 cd"/>
      <sheetName val="10.11 cd"/>
      <sheetName val="10.12 new"/>
      <sheetName val="10.13 new"/>
      <sheetName val="10.14new"/>
    </sheetNames>
    <sheetDataSet>
      <sheetData sheetId="0" refreshError="1"/>
      <sheetData sheetId="1" refreshError="1"/>
      <sheetData sheetId="2">
        <row r="1">
          <cell r="M1" t="str">
            <v>2008</v>
          </cell>
          <cell r="N1" t="str">
            <v>2009</v>
          </cell>
          <cell r="O1" t="str">
            <v>2010</v>
          </cell>
          <cell r="P1" t="str">
            <v>2011</v>
          </cell>
          <cell r="Q1" t="str">
            <v>2012</v>
          </cell>
        </row>
        <row r="4">
          <cell r="M4">
            <v>41511</v>
          </cell>
          <cell r="N4">
            <v>60666</v>
          </cell>
          <cell r="O4">
            <v>118961</v>
          </cell>
          <cell r="P4">
            <v>198655</v>
          </cell>
          <cell r="Q4">
            <v>229551</v>
          </cell>
        </row>
      </sheetData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U62"/>
  <sheetViews>
    <sheetView topLeftCell="A27" workbookViewId="0">
      <selection activeCell="M20" sqref="M20"/>
    </sheetView>
  </sheetViews>
  <sheetFormatPr defaultColWidth="9.140625" defaultRowHeight="12.75"/>
  <cols>
    <col min="1" max="1" width="16.28515625" style="1" customWidth="1"/>
    <col min="2" max="2" width="8.140625" style="1" customWidth="1"/>
    <col min="3" max="4" width="8.7109375" style="1" customWidth="1"/>
    <col min="5" max="6" width="9.140625" style="1" customWidth="1"/>
    <col min="7" max="7" width="7" style="1" customWidth="1"/>
    <col min="8" max="9" width="7.28515625" style="1" customWidth="1"/>
    <col min="10" max="11" width="7.85546875" style="1" customWidth="1"/>
    <col min="12" max="16384" width="9.140625" style="1"/>
  </cols>
  <sheetData>
    <row r="1" spans="1:21" ht="24" customHeight="1">
      <c r="A1" s="98" t="s">
        <v>93</v>
      </c>
      <c r="B1" s="98"/>
      <c r="C1" s="98"/>
      <c r="D1" s="98"/>
      <c r="E1" s="98"/>
      <c r="F1" s="98"/>
      <c r="G1" s="98"/>
      <c r="H1" s="98"/>
      <c r="I1" s="98"/>
      <c r="J1" s="98"/>
      <c r="K1" s="98"/>
      <c r="M1" s="2" t="s">
        <v>15</v>
      </c>
      <c r="N1" s="2" t="s">
        <v>31</v>
      </c>
      <c r="O1" s="2" t="s">
        <v>86</v>
      </c>
      <c r="P1" s="2" t="s">
        <v>90</v>
      </c>
      <c r="Q1" s="16" t="s">
        <v>92</v>
      </c>
      <c r="S1" s="17">
        <f>Q2/M2</f>
        <v>5.5298836452988356</v>
      </c>
      <c r="T1" s="18" t="s">
        <v>95</v>
      </c>
      <c r="U1" s="18"/>
    </row>
    <row r="2" spans="1:21" ht="9.75" customHeight="1">
      <c r="A2" s="99" t="s">
        <v>94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19" t="s">
        <v>59</v>
      </c>
      <c r="M2" s="20">
        <f>M4/1000</f>
        <v>41.511000000000003</v>
      </c>
      <c r="N2" s="20">
        <f>N4/1000</f>
        <v>60.665999999999997</v>
      </c>
      <c r="O2" s="20">
        <f>O4/1000</f>
        <v>118.961</v>
      </c>
      <c r="P2" s="20">
        <f>P4/1000</f>
        <v>198.655</v>
      </c>
      <c r="Q2" s="20">
        <f>Q4/1000</f>
        <v>229.55099999999999</v>
      </c>
      <c r="R2" s="21" t="s">
        <v>96</v>
      </c>
    </row>
    <row r="3" spans="1:21" ht="3.75" customHeight="1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</row>
    <row r="4" spans="1:21" ht="21" customHeight="1">
      <c r="A4" s="100" t="s">
        <v>97</v>
      </c>
      <c r="B4" s="103" t="s">
        <v>16</v>
      </c>
      <c r="C4" s="104"/>
      <c r="D4" s="104"/>
      <c r="E4" s="104"/>
      <c r="F4" s="105"/>
      <c r="G4" s="106" t="s">
        <v>91</v>
      </c>
      <c r="H4" s="107"/>
      <c r="I4" s="107"/>
      <c r="J4" s="107"/>
      <c r="K4" s="108"/>
      <c r="L4" s="19" t="s">
        <v>59</v>
      </c>
      <c r="M4" s="20">
        <v>41511</v>
      </c>
      <c r="N4" s="20">
        <v>60666</v>
      </c>
      <c r="O4" s="22">
        <v>118961</v>
      </c>
      <c r="P4" s="22">
        <v>198655</v>
      </c>
      <c r="Q4" s="23">
        <v>229551</v>
      </c>
    </row>
    <row r="5" spans="1:21" ht="13.5" customHeight="1">
      <c r="A5" s="101"/>
      <c r="B5" s="109" t="s">
        <v>88</v>
      </c>
      <c r="C5" s="109"/>
      <c r="D5" s="109"/>
      <c r="E5" s="109"/>
      <c r="F5" s="110"/>
      <c r="G5" s="111" t="s">
        <v>89</v>
      </c>
      <c r="H5" s="112"/>
      <c r="I5" s="112"/>
      <c r="J5" s="112"/>
      <c r="K5" s="113"/>
    </row>
    <row r="6" spans="1:21" ht="15" customHeight="1">
      <c r="A6" s="102"/>
      <c r="B6" s="2" t="s">
        <v>15</v>
      </c>
      <c r="C6" s="2" t="s">
        <v>31</v>
      </c>
      <c r="D6" s="2" t="s">
        <v>86</v>
      </c>
      <c r="E6" s="2" t="s">
        <v>90</v>
      </c>
      <c r="F6" s="16" t="s">
        <v>92</v>
      </c>
      <c r="G6" s="24">
        <v>2008</v>
      </c>
      <c r="H6" s="3">
        <v>2009</v>
      </c>
      <c r="I6" s="3">
        <v>2010</v>
      </c>
      <c r="J6" s="3">
        <v>2011</v>
      </c>
      <c r="K6" s="25">
        <v>2012</v>
      </c>
    </row>
    <row r="7" spans="1:21" ht="12.75" customHeight="1">
      <c r="A7" s="19" t="s">
        <v>59</v>
      </c>
      <c r="B7" s="20">
        <v>41511</v>
      </c>
      <c r="C7" s="20">
        <v>60666</v>
      </c>
      <c r="D7" s="22">
        <v>118961</v>
      </c>
      <c r="E7" s="22">
        <v>198655</v>
      </c>
      <c r="F7" s="23">
        <v>229551</v>
      </c>
      <c r="G7" s="26">
        <v>15.385256837891928</v>
      </c>
      <c r="H7" s="26">
        <f t="shared" ref="H7:K38" si="0">(C7-B7)/B7*100</f>
        <v>46.144395461443956</v>
      </c>
      <c r="I7" s="27">
        <f t="shared" si="0"/>
        <v>96.091715293574651</v>
      </c>
      <c r="J7" s="27">
        <f t="shared" si="0"/>
        <v>66.991703163221558</v>
      </c>
      <c r="K7" s="28">
        <f t="shared" si="0"/>
        <v>15.552591175656289</v>
      </c>
    </row>
    <row r="8" spans="1:21" ht="12.75" customHeight="1">
      <c r="A8" s="19" t="s">
        <v>38</v>
      </c>
      <c r="B8" s="20">
        <v>69240</v>
      </c>
      <c r="C8" s="20">
        <v>69085</v>
      </c>
      <c r="D8" s="22">
        <v>77108</v>
      </c>
      <c r="E8" s="22">
        <v>90517</v>
      </c>
      <c r="F8" s="23">
        <v>98351</v>
      </c>
      <c r="G8" s="26">
        <v>-4.1912853367280576</v>
      </c>
      <c r="H8" s="26">
        <f t="shared" si="0"/>
        <v>-0.2238590410167533</v>
      </c>
      <c r="I8" s="27">
        <f t="shared" si="0"/>
        <v>11.613230078888325</v>
      </c>
      <c r="J8" s="27">
        <f t="shared" si="0"/>
        <v>17.389894693157647</v>
      </c>
      <c r="K8" s="28">
        <f t="shared" si="0"/>
        <v>8.654727841179005</v>
      </c>
    </row>
    <row r="9" spans="1:21" ht="12.75" customHeight="1">
      <c r="A9" s="19" t="s">
        <v>56</v>
      </c>
      <c r="B9" s="20">
        <v>116821</v>
      </c>
      <c r="C9" s="20">
        <v>105950</v>
      </c>
      <c r="D9" s="22">
        <v>114158</v>
      </c>
      <c r="E9" s="22">
        <v>104508</v>
      </c>
      <c r="F9" s="23">
        <v>91776</v>
      </c>
      <c r="G9" s="26">
        <v>-6.6611802681410701</v>
      </c>
      <c r="H9" s="26">
        <f t="shared" si="0"/>
        <v>-9.3056899016443957</v>
      </c>
      <c r="I9" s="27">
        <f t="shared" si="0"/>
        <v>7.7470504955167536</v>
      </c>
      <c r="J9" s="27">
        <f t="shared" si="0"/>
        <v>-8.4531964470295549</v>
      </c>
      <c r="K9" s="28">
        <f t="shared" si="0"/>
        <v>-12.182799402916524</v>
      </c>
    </row>
    <row r="10" spans="1:21" ht="12.75" customHeight="1">
      <c r="A10" s="19" t="s">
        <v>48</v>
      </c>
      <c r="B10" s="20">
        <v>48978</v>
      </c>
      <c r="C10" s="20">
        <v>40014</v>
      </c>
      <c r="D10" s="22">
        <v>49111</v>
      </c>
      <c r="E10" s="22">
        <v>63936</v>
      </c>
      <c r="F10" s="23">
        <v>66378</v>
      </c>
      <c r="G10" s="26">
        <v>53.801224682053693</v>
      </c>
      <c r="H10" s="26">
        <f t="shared" si="0"/>
        <v>-18.302094818081589</v>
      </c>
      <c r="I10" s="27">
        <f t="shared" si="0"/>
        <v>22.734542909981506</v>
      </c>
      <c r="J10" s="27">
        <f t="shared" si="0"/>
        <v>30.186719879456742</v>
      </c>
      <c r="K10" s="28">
        <f t="shared" si="0"/>
        <v>3.8194444444444446</v>
      </c>
    </row>
    <row r="11" spans="1:21" ht="12.75" customHeight="1">
      <c r="A11" s="19" t="s">
        <v>43</v>
      </c>
      <c r="B11" s="20">
        <v>103824</v>
      </c>
      <c r="C11" s="20">
        <v>89292</v>
      </c>
      <c r="D11" s="22">
        <v>89596</v>
      </c>
      <c r="E11" s="22">
        <v>83088</v>
      </c>
      <c r="F11" s="23">
        <v>62782</v>
      </c>
      <c r="G11" s="26">
        <v>-11.44772529553247</v>
      </c>
      <c r="H11" s="26">
        <f t="shared" si="0"/>
        <v>-13.996763754045308</v>
      </c>
      <c r="I11" s="27">
        <f t="shared" si="0"/>
        <v>0.34045603189535456</v>
      </c>
      <c r="J11" s="27">
        <f t="shared" si="0"/>
        <v>-7.2637171302290273</v>
      </c>
      <c r="K11" s="28">
        <f t="shared" si="0"/>
        <v>-24.439148854226843</v>
      </c>
    </row>
    <row r="12" spans="1:21" ht="12.75" customHeight="1">
      <c r="A12" s="19" t="s">
        <v>37</v>
      </c>
      <c r="B12" s="20">
        <v>48100</v>
      </c>
      <c r="C12" s="20">
        <v>50373</v>
      </c>
      <c r="D12" s="22">
        <v>54789</v>
      </c>
      <c r="E12" s="22">
        <v>59694</v>
      </c>
      <c r="F12" s="23">
        <v>56775</v>
      </c>
      <c r="G12" s="26">
        <v>6.1786715525043601</v>
      </c>
      <c r="H12" s="26">
        <f t="shared" si="0"/>
        <v>4.7255717255717258</v>
      </c>
      <c r="I12" s="27">
        <f t="shared" si="0"/>
        <v>8.766601155380858</v>
      </c>
      <c r="J12" s="27">
        <f t="shared" si="0"/>
        <v>8.9525269670919343</v>
      </c>
      <c r="K12" s="28">
        <f t="shared" si="0"/>
        <v>-4.889938687305257</v>
      </c>
    </row>
    <row r="13" spans="1:21" ht="12.75" customHeight="1">
      <c r="A13" s="19" t="s">
        <v>62</v>
      </c>
      <c r="B13" s="20">
        <v>38193</v>
      </c>
      <c r="C13" s="20">
        <v>36641</v>
      </c>
      <c r="D13" s="22">
        <v>38791</v>
      </c>
      <c r="E13" s="22">
        <v>35782</v>
      </c>
      <c r="F13" s="23">
        <v>36438</v>
      </c>
      <c r="G13" s="26">
        <v>-7.120449405413293</v>
      </c>
      <c r="H13" s="26">
        <f t="shared" si="0"/>
        <v>-4.063571858717566</v>
      </c>
      <c r="I13" s="27">
        <f t="shared" si="0"/>
        <v>5.8677437842853637</v>
      </c>
      <c r="J13" s="27">
        <f t="shared" si="0"/>
        <v>-7.7569539326132348</v>
      </c>
      <c r="K13" s="28">
        <f t="shared" si="0"/>
        <v>1.8333240176625119</v>
      </c>
    </row>
    <row r="14" spans="1:21" ht="12.75" customHeight="1">
      <c r="A14" s="19" t="s">
        <v>53</v>
      </c>
      <c r="B14" s="20">
        <v>26983</v>
      </c>
      <c r="C14" s="20">
        <v>26783</v>
      </c>
      <c r="D14" s="22">
        <v>27766</v>
      </c>
      <c r="E14" s="22">
        <v>32504</v>
      </c>
      <c r="F14" s="23">
        <v>35457</v>
      </c>
      <c r="G14" s="26">
        <v>3.0554176373983117</v>
      </c>
      <c r="H14" s="26">
        <f t="shared" si="0"/>
        <v>-0.74120742689841757</v>
      </c>
      <c r="I14" s="27">
        <f t="shared" si="0"/>
        <v>3.6702385841765301</v>
      </c>
      <c r="J14" s="27">
        <f t="shared" si="0"/>
        <v>17.064035150903983</v>
      </c>
      <c r="K14" s="28">
        <f t="shared" si="0"/>
        <v>9.0850356879153349</v>
      </c>
    </row>
    <row r="15" spans="1:21" ht="12.75" customHeight="1">
      <c r="A15" s="19" t="s">
        <v>60</v>
      </c>
      <c r="B15" s="20">
        <v>16663</v>
      </c>
      <c r="C15" s="20">
        <v>15850</v>
      </c>
      <c r="D15" s="22">
        <v>25756</v>
      </c>
      <c r="E15" s="22">
        <v>30978</v>
      </c>
      <c r="F15" s="23">
        <v>31721</v>
      </c>
      <c r="G15" s="26">
        <v>-3.832169446528539</v>
      </c>
      <c r="H15" s="26">
        <f t="shared" si="0"/>
        <v>-4.8790733961471524</v>
      </c>
      <c r="I15" s="27">
        <f t="shared" si="0"/>
        <v>62.498422712933753</v>
      </c>
      <c r="J15" s="27">
        <f t="shared" si="0"/>
        <v>20.274887404876534</v>
      </c>
      <c r="K15" s="28">
        <f t="shared" si="0"/>
        <v>2.3984763380463554</v>
      </c>
    </row>
    <row r="16" spans="1:21" ht="12.75" customHeight="1">
      <c r="A16" s="19" t="s">
        <v>63</v>
      </c>
      <c r="B16" s="20">
        <v>20934</v>
      </c>
      <c r="C16" s="20">
        <v>16135</v>
      </c>
      <c r="D16" s="22">
        <v>24808</v>
      </c>
      <c r="E16" s="22">
        <v>25285</v>
      </c>
      <c r="F16" s="23">
        <v>23933</v>
      </c>
      <c r="G16" s="26">
        <v>-0.20022883295194507</v>
      </c>
      <c r="H16" s="26">
        <f t="shared" si="0"/>
        <v>-22.92442915830706</v>
      </c>
      <c r="I16" s="27">
        <f t="shared" si="0"/>
        <v>53.752711496746208</v>
      </c>
      <c r="J16" s="27">
        <f t="shared" si="0"/>
        <v>1.9227668494034182</v>
      </c>
      <c r="K16" s="28">
        <f t="shared" si="0"/>
        <v>-5.3470437017994854</v>
      </c>
    </row>
    <row r="17" spans="1:15" ht="12.75" customHeight="1">
      <c r="A17" s="29" t="s">
        <v>57</v>
      </c>
      <c r="B17" s="30">
        <v>9482</v>
      </c>
      <c r="C17" s="30">
        <v>9476</v>
      </c>
      <c r="D17" s="31">
        <v>10220</v>
      </c>
      <c r="E17" s="31">
        <v>12088</v>
      </c>
      <c r="F17" s="32">
        <v>18612</v>
      </c>
      <c r="G17" s="33">
        <v>16.272225628448805</v>
      </c>
      <c r="H17" s="33">
        <f t="shared" si="0"/>
        <v>-6.3277789495886944E-2</v>
      </c>
      <c r="I17" s="34">
        <f t="shared" si="0"/>
        <v>7.8514140987758552</v>
      </c>
      <c r="J17" s="34">
        <f t="shared" si="0"/>
        <v>18.277886497064578</v>
      </c>
      <c r="K17" s="35">
        <f t="shared" si="0"/>
        <v>53.970880211780283</v>
      </c>
    </row>
    <row r="18" spans="1:15" ht="12.75" customHeight="1">
      <c r="A18" s="29" t="s">
        <v>32</v>
      </c>
      <c r="B18" s="30">
        <v>13462</v>
      </c>
      <c r="C18" s="30">
        <v>13274</v>
      </c>
      <c r="D18" s="31">
        <v>14944</v>
      </c>
      <c r="E18" s="31">
        <v>16655</v>
      </c>
      <c r="F18" s="32">
        <v>18164</v>
      </c>
      <c r="G18" s="33">
        <v>-1.5431873034447401</v>
      </c>
      <c r="H18" s="33">
        <f t="shared" si="0"/>
        <v>-1.3965235477640767</v>
      </c>
      <c r="I18" s="34">
        <f t="shared" si="0"/>
        <v>12.580985384963087</v>
      </c>
      <c r="J18" s="34">
        <f t="shared" si="0"/>
        <v>11.44941113490364</v>
      </c>
      <c r="K18" s="35">
        <f t="shared" si="0"/>
        <v>9.0603422395676976</v>
      </c>
    </row>
    <row r="19" spans="1:15" ht="12.75" customHeight="1">
      <c r="A19" s="29" t="s">
        <v>76</v>
      </c>
      <c r="B19" s="30">
        <v>8853</v>
      </c>
      <c r="C19" s="30">
        <v>9438</v>
      </c>
      <c r="D19" s="31">
        <v>11482</v>
      </c>
      <c r="E19" s="31">
        <v>14490</v>
      </c>
      <c r="F19" s="32">
        <v>16049</v>
      </c>
      <c r="G19" s="33">
        <v>-5.2952503209242625</v>
      </c>
      <c r="H19" s="33">
        <f t="shared" si="0"/>
        <v>6.607929515418502</v>
      </c>
      <c r="I19" s="34">
        <f t="shared" si="0"/>
        <v>21.657130748039837</v>
      </c>
      <c r="J19" s="34">
        <f t="shared" si="0"/>
        <v>26.197526563316497</v>
      </c>
      <c r="K19" s="35">
        <f t="shared" si="0"/>
        <v>10.759144237405106</v>
      </c>
    </row>
    <row r="20" spans="1:15" ht="12.75" customHeight="1">
      <c r="A20" s="29" t="s">
        <v>78</v>
      </c>
      <c r="B20" s="30">
        <v>9368</v>
      </c>
      <c r="C20" s="30">
        <v>7392</v>
      </c>
      <c r="D20" s="31">
        <v>9622</v>
      </c>
      <c r="E20" s="31">
        <v>12778</v>
      </c>
      <c r="F20" s="32">
        <v>15208</v>
      </c>
      <c r="G20" s="33">
        <v>-0.40399744843716773</v>
      </c>
      <c r="H20" s="33">
        <f t="shared" si="0"/>
        <v>-21.093082835183605</v>
      </c>
      <c r="I20" s="34">
        <f t="shared" si="0"/>
        <v>30.167748917748916</v>
      </c>
      <c r="J20" s="34">
        <f t="shared" si="0"/>
        <v>32.799833714404492</v>
      </c>
      <c r="K20" s="35">
        <f t="shared" si="0"/>
        <v>19.017060572859602</v>
      </c>
    </row>
    <row r="21" spans="1:15" ht="12.75" customHeight="1">
      <c r="A21" s="29" t="s">
        <v>67</v>
      </c>
      <c r="B21" s="30">
        <v>4956</v>
      </c>
      <c r="C21" s="30">
        <v>5214</v>
      </c>
      <c r="D21" s="31">
        <v>5332</v>
      </c>
      <c r="E21" s="31">
        <v>7990</v>
      </c>
      <c r="F21" s="32">
        <v>9625</v>
      </c>
      <c r="G21" s="33">
        <v>11.220825852782765</v>
      </c>
      <c r="H21" s="33">
        <f t="shared" si="0"/>
        <v>5.2058111380145284</v>
      </c>
      <c r="I21" s="34">
        <f t="shared" si="0"/>
        <v>2.263137706175681</v>
      </c>
      <c r="J21" s="34">
        <f t="shared" si="0"/>
        <v>49.849962490622659</v>
      </c>
      <c r="K21" s="35">
        <f t="shared" si="0"/>
        <v>20.463078848560702</v>
      </c>
    </row>
    <row r="22" spans="1:15" ht="12.75" customHeight="1">
      <c r="A22" s="29" t="s">
        <v>68</v>
      </c>
      <c r="B22" s="30">
        <v>9752</v>
      </c>
      <c r="C22" s="30">
        <v>7833</v>
      </c>
      <c r="D22" s="31">
        <v>7872</v>
      </c>
      <c r="E22" s="31">
        <v>9670</v>
      </c>
      <c r="F22" s="32">
        <v>8860</v>
      </c>
      <c r="G22" s="33">
        <v>1.015123264967889</v>
      </c>
      <c r="H22" s="33">
        <f t="shared" si="0"/>
        <v>-19.678014766201805</v>
      </c>
      <c r="I22" s="34">
        <f t="shared" si="0"/>
        <v>0.49789352738414405</v>
      </c>
      <c r="J22" s="34">
        <f t="shared" si="0"/>
        <v>22.840447154471544</v>
      </c>
      <c r="K22" s="35">
        <f t="shared" si="0"/>
        <v>-8.3764219234746644</v>
      </c>
    </row>
    <row r="23" spans="1:15" ht="12.75" customHeight="1">
      <c r="A23" s="29" t="s">
        <v>51</v>
      </c>
      <c r="B23" s="30">
        <v>8217</v>
      </c>
      <c r="C23" s="30">
        <v>7279</v>
      </c>
      <c r="D23" s="31">
        <v>8912</v>
      </c>
      <c r="E23" s="31">
        <v>9710</v>
      </c>
      <c r="F23" s="32">
        <v>8824</v>
      </c>
      <c r="G23" s="33">
        <v>-6.6037735849056602</v>
      </c>
      <c r="H23" s="33">
        <f t="shared" si="0"/>
        <v>-11.415358403310211</v>
      </c>
      <c r="I23" s="34">
        <f t="shared" si="0"/>
        <v>22.434400329715622</v>
      </c>
      <c r="J23" s="34">
        <f t="shared" si="0"/>
        <v>8.9542190305206457</v>
      </c>
      <c r="K23" s="35">
        <f t="shared" si="0"/>
        <v>-9.1246138002059727</v>
      </c>
      <c r="O23" s="18" t="s">
        <v>98</v>
      </c>
    </row>
    <row r="24" spans="1:15" ht="12.75" customHeight="1">
      <c r="A24" s="29" t="s">
        <v>55</v>
      </c>
      <c r="B24" s="30">
        <v>5399</v>
      </c>
      <c r="C24" s="30">
        <v>4643</v>
      </c>
      <c r="D24" s="31">
        <v>5445</v>
      </c>
      <c r="E24" s="31">
        <v>6729</v>
      </c>
      <c r="F24" s="32">
        <v>8044</v>
      </c>
      <c r="G24" s="33">
        <v>52.299012693935119</v>
      </c>
      <c r="H24" s="33">
        <f t="shared" si="0"/>
        <v>-14.002593072791258</v>
      </c>
      <c r="I24" s="34">
        <f t="shared" si="0"/>
        <v>17.273314667241007</v>
      </c>
      <c r="J24" s="34">
        <f t="shared" si="0"/>
        <v>23.581267217630856</v>
      </c>
      <c r="K24" s="35">
        <f t="shared" si="0"/>
        <v>19.542279684945758</v>
      </c>
    </row>
    <row r="25" spans="1:15" ht="12.75" customHeight="1">
      <c r="A25" s="29" t="s">
        <v>83</v>
      </c>
      <c r="B25" s="30">
        <v>2747</v>
      </c>
      <c r="C25" s="30">
        <v>3036</v>
      </c>
      <c r="D25" s="31">
        <v>4040</v>
      </c>
      <c r="E25" s="31">
        <v>5005</v>
      </c>
      <c r="F25" s="32">
        <v>7263</v>
      </c>
      <c r="G25" s="33">
        <v>41.597938144329902</v>
      </c>
      <c r="H25" s="33">
        <f t="shared" si="0"/>
        <v>10.520567892246087</v>
      </c>
      <c r="I25" s="34">
        <f t="shared" si="0"/>
        <v>33.06982872200264</v>
      </c>
      <c r="J25" s="34">
        <f t="shared" si="0"/>
        <v>23.886138613861384</v>
      </c>
      <c r="K25" s="35">
        <f t="shared" si="0"/>
        <v>45.114885114885119</v>
      </c>
    </row>
    <row r="26" spans="1:15" ht="12.75" customHeight="1">
      <c r="A26" s="29" t="s">
        <v>70</v>
      </c>
      <c r="B26" s="30">
        <v>3952</v>
      </c>
      <c r="C26" s="30">
        <v>3813</v>
      </c>
      <c r="D26" s="31">
        <v>5397</v>
      </c>
      <c r="E26" s="31">
        <v>6214</v>
      </c>
      <c r="F26" s="32">
        <v>6896</v>
      </c>
      <c r="G26" s="33">
        <v>7.8897078897078892</v>
      </c>
      <c r="H26" s="33">
        <f t="shared" si="0"/>
        <v>-3.5172064777327936</v>
      </c>
      <c r="I26" s="34">
        <f t="shared" si="0"/>
        <v>41.542092840283239</v>
      </c>
      <c r="J26" s="34">
        <f t="shared" si="0"/>
        <v>15.138039651658328</v>
      </c>
      <c r="K26" s="35">
        <f t="shared" si="0"/>
        <v>10.975217251367878</v>
      </c>
    </row>
    <row r="27" spans="1:15" ht="12.75" customHeight="1">
      <c r="A27" s="29" t="s">
        <v>64</v>
      </c>
      <c r="B27" s="30">
        <v>3137</v>
      </c>
      <c r="C27" s="30">
        <v>3139</v>
      </c>
      <c r="D27" s="31">
        <v>3894</v>
      </c>
      <c r="E27" s="31">
        <v>6055</v>
      </c>
      <c r="F27" s="32">
        <v>6766</v>
      </c>
      <c r="G27" s="33">
        <v>4.6015338446148721</v>
      </c>
      <c r="H27" s="33">
        <f t="shared" si="0"/>
        <v>6.3755180108383797E-2</v>
      </c>
      <c r="I27" s="34">
        <f t="shared" si="0"/>
        <v>24.052245938196879</v>
      </c>
      <c r="J27" s="34">
        <f t="shared" si="0"/>
        <v>55.495634309193633</v>
      </c>
      <c r="K27" s="35">
        <f t="shared" si="0"/>
        <v>11.742361684558217</v>
      </c>
    </row>
    <row r="28" spans="1:15" ht="12.75" customHeight="1">
      <c r="A28" s="29" t="s">
        <v>44</v>
      </c>
      <c r="B28" s="30">
        <v>5595</v>
      </c>
      <c r="C28" s="30">
        <v>5355</v>
      </c>
      <c r="D28" s="31">
        <v>5682</v>
      </c>
      <c r="E28" s="31">
        <v>5693</v>
      </c>
      <c r="F28" s="32">
        <v>6077</v>
      </c>
      <c r="G28" s="33">
        <v>-13.644080876678499</v>
      </c>
      <c r="H28" s="33">
        <f t="shared" si="0"/>
        <v>-4.2895442359249332</v>
      </c>
      <c r="I28" s="34">
        <f t="shared" si="0"/>
        <v>6.1064425770308119</v>
      </c>
      <c r="J28" s="34">
        <f t="shared" si="0"/>
        <v>0.19359380499824005</v>
      </c>
      <c r="K28" s="35">
        <f t="shared" si="0"/>
        <v>6.745125592833304</v>
      </c>
    </row>
    <row r="29" spans="1:15" ht="12.75" customHeight="1">
      <c r="A29" s="29" t="s">
        <v>85</v>
      </c>
      <c r="B29" s="30">
        <v>2585</v>
      </c>
      <c r="C29" s="30">
        <v>2744</v>
      </c>
      <c r="D29" s="31">
        <v>3336</v>
      </c>
      <c r="E29" s="31">
        <v>4130</v>
      </c>
      <c r="F29" s="32">
        <v>5880</v>
      </c>
      <c r="G29" s="33">
        <v>26.777832270720943</v>
      </c>
      <c r="H29" s="33">
        <f t="shared" si="0"/>
        <v>6.1508704061895552</v>
      </c>
      <c r="I29" s="34">
        <f t="shared" si="0"/>
        <v>21.574344023323615</v>
      </c>
      <c r="J29" s="34">
        <f t="shared" si="0"/>
        <v>23.800959232613909</v>
      </c>
      <c r="K29" s="35">
        <f t="shared" si="0"/>
        <v>42.372881355932201</v>
      </c>
    </row>
    <row r="30" spans="1:15" ht="12.75" customHeight="1">
      <c r="A30" s="29" t="s">
        <v>34</v>
      </c>
      <c r="B30" s="30">
        <v>3811</v>
      </c>
      <c r="C30" s="30">
        <v>3851</v>
      </c>
      <c r="D30" s="31">
        <v>5137</v>
      </c>
      <c r="E30" s="31">
        <v>6471</v>
      </c>
      <c r="F30" s="32">
        <v>5588</v>
      </c>
      <c r="G30" s="33">
        <v>37.780187997107738</v>
      </c>
      <c r="H30" s="33">
        <f t="shared" si="0"/>
        <v>1.0495932826029915</v>
      </c>
      <c r="I30" s="34">
        <f t="shared" si="0"/>
        <v>33.393923656193195</v>
      </c>
      <c r="J30" s="34">
        <f t="shared" si="0"/>
        <v>25.968464084095778</v>
      </c>
      <c r="K30" s="35">
        <f t="shared" si="0"/>
        <v>-13.645495286663575</v>
      </c>
    </row>
    <row r="31" spans="1:15" ht="12.75" customHeight="1">
      <c r="A31" s="29" t="s">
        <v>54</v>
      </c>
      <c r="B31" s="30">
        <v>3235</v>
      </c>
      <c r="C31" s="30">
        <v>2758</v>
      </c>
      <c r="D31" s="31">
        <v>4637</v>
      </c>
      <c r="E31" s="31">
        <v>4542</v>
      </c>
      <c r="F31" s="32">
        <v>5416</v>
      </c>
      <c r="G31" s="33">
        <v>32.473382473382472</v>
      </c>
      <c r="H31" s="33">
        <f t="shared" si="0"/>
        <v>-14.744976816074187</v>
      </c>
      <c r="I31" s="34">
        <f t="shared" si="0"/>
        <v>68.129079042784625</v>
      </c>
      <c r="J31" s="34">
        <f t="shared" si="0"/>
        <v>-2.0487384084537417</v>
      </c>
      <c r="K31" s="35">
        <f t="shared" si="0"/>
        <v>19.242624394539849</v>
      </c>
    </row>
    <row r="32" spans="1:15" ht="12.75" customHeight="1">
      <c r="A32" s="29" t="s">
        <v>52</v>
      </c>
      <c r="B32" s="30">
        <v>3542</v>
      </c>
      <c r="C32" s="30">
        <v>3165</v>
      </c>
      <c r="D32" s="31">
        <v>3638</v>
      </c>
      <c r="E32" s="31">
        <v>4896</v>
      </c>
      <c r="F32" s="32">
        <v>5230</v>
      </c>
      <c r="G32" s="33">
        <v>64.820846905537451</v>
      </c>
      <c r="H32" s="33">
        <f t="shared" si="0"/>
        <v>-10.643704121964992</v>
      </c>
      <c r="I32" s="34">
        <f t="shared" si="0"/>
        <v>14.944707740916272</v>
      </c>
      <c r="J32" s="34">
        <f t="shared" si="0"/>
        <v>34.579439252336449</v>
      </c>
      <c r="K32" s="35">
        <f t="shared" si="0"/>
        <v>6.8218954248366011</v>
      </c>
    </row>
    <row r="33" spans="1:14" ht="12.75" customHeight="1">
      <c r="A33" s="29" t="s">
        <v>75</v>
      </c>
      <c r="B33" s="30">
        <v>2966</v>
      </c>
      <c r="C33" s="30">
        <v>3043</v>
      </c>
      <c r="D33" s="31">
        <v>3815</v>
      </c>
      <c r="E33" s="31">
        <v>4690</v>
      </c>
      <c r="F33" s="32">
        <v>5070</v>
      </c>
      <c r="G33" s="33">
        <v>4.0336723956506493</v>
      </c>
      <c r="H33" s="33">
        <f t="shared" si="0"/>
        <v>2.5960890087660147</v>
      </c>
      <c r="I33" s="34">
        <f t="shared" si="0"/>
        <v>25.369700953006902</v>
      </c>
      <c r="J33" s="34">
        <f t="shared" si="0"/>
        <v>22.935779816513762</v>
      </c>
      <c r="K33" s="35">
        <f t="shared" si="0"/>
        <v>8.1023454157782524</v>
      </c>
    </row>
    <row r="34" spans="1:14" ht="12.75" customHeight="1">
      <c r="A34" s="29" t="s">
        <v>69</v>
      </c>
      <c r="B34" s="30">
        <v>2233</v>
      </c>
      <c r="C34" s="30">
        <v>1975</v>
      </c>
      <c r="D34" s="31">
        <v>3831</v>
      </c>
      <c r="E34" s="31">
        <v>5305</v>
      </c>
      <c r="F34" s="32">
        <v>4430</v>
      </c>
      <c r="G34" s="33">
        <v>10.654112983151636</v>
      </c>
      <c r="H34" s="33">
        <f t="shared" si="0"/>
        <v>-11.553963278101209</v>
      </c>
      <c r="I34" s="34">
        <f t="shared" si="0"/>
        <v>93.974683544303801</v>
      </c>
      <c r="J34" s="34">
        <f t="shared" si="0"/>
        <v>38.475593839728525</v>
      </c>
      <c r="K34" s="35">
        <f t="shared" si="0"/>
        <v>-16.493873704052781</v>
      </c>
    </row>
    <row r="35" spans="1:14" ht="12.75" customHeight="1">
      <c r="A35" s="29" t="s">
        <v>84</v>
      </c>
      <c r="B35" s="30">
        <v>1394</v>
      </c>
      <c r="C35" s="30">
        <v>1580</v>
      </c>
      <c r="D35" s="31">
        <v>1699</v>
      </c>
      <c r="E35" s="31">
        <v>2292</v>
      </c>
      <c r="F35" s="32">
        <v>4047</v>
      </c>
      <c r="G35" s="33">
        <v>72.738537794299873</v>
      </c>
      <c r="H35" s="33">
        <f t="shared" si="0"/>
        <v>13.342898134863701</v>
      </c>
      <c r="I35" s="34">
        <f t="shared" si="0"/>
        <v>7.5316455696202533</v>
      </c>
      <c r="J35" s="34">
        <f t="shared" si="0"/>
        <v>34.90288404944085</v>
      </c>
      <c r="K35" s="35">
        <f t="shared" si="0"/>
        <v>76.570680628272243</v>
      </c>
    </row>
    <row r="36" spans="1:14" ht="12.75" customHeight="1">
      <c r="A36" s="29" t="s">
        <v>72</v>
      </c>
      <c r="B36" s="30">
        <v>3732</v>
      </c>
      <c r="C36" s="30">
        <v>2975</v>
      </c>
      <c r="D36" s="31">
        <v>3157</v>
      </c>
      <c r="E36" s="31">
        <v>3684</v>
      </c>
      <c r="F36" s="32">
        <v>3967</v>
      </c>
      <c r="G36" s="33">
        <v>13.331308836926814</v>
      </c>
      <c r="H36" s="33">
        <f t="shared" si="0"/>
        <v>-20.284030010718112</v>
      </c>
      <c r="I36" s="34">
        <f t="shared" si="0"/>
        <v>6.1176470588235299</v>
      </c>
      <c r="J36" s="34">
        <f t="shared" si="0"/>
        <v>16.69306303452645</v>
      </c>
      <c r="K36" s="35">
        <f t="shared" si="0"/>
        <v>7.681867535287731</v>
      </c>
    </row>
    <row r="37" spans="1:14" ht="12.75" customHeight="1">
      <c r="A37" s="29" t="s">
        <v>46</v>
      </c>
      <c r="B37" s="30">
        <v>3325</v>
      </c>
      <c r="C37" s="30">
        <v>3357</v>
      </c>
      <c r="D37" s="31">
        <v>3795</v>
      </c>
      <c r="E37" s="31">
        <v>4158</v>
      </c>
      <c r="F37" s="32">
        <v>3918</v>
      </c>
      <c r="G37" s="33">
        <v>25.047010154193305</v>
      </c>
      <c r="H37" s="33">
        <f t="shared" si="0"/>
        <v>0.96240601503759393</v>
      </c>
      <c r="I37" s="34">
        <f t="shared" si="0"/>
        <v>13.047363717605004</v>
      </c>
      <c r="J37" s="34">
        <f t="shared" si="0"/>
        <v>9.5652173913043477</v>
      </c>
      <c r="K37" s="35">
        <f t="shared" si="0"/>
        <v>-5.7720057720057723</v>
      </c>
    </row>
    <row r="38" spans="1:14" ht="12.75" customHeight="1">
      <c r="A38" s="29" t="s">
        <v>47</v>
      </c>
      <c r="B38" s="30">
        <v>4150</v>
      </c>
      <c r="C38" s="30">
        <v>4822</v>
      </c>
      <c r="D38" s="31">
        <v>4555</v>
      </c>
      <c r="E38" s="31">
        <v>4434</v>
      </c>
      <c r="F38" s="32">
        <v>3660</v>
      </c>
      <c r="G38" s="33">
        <v>-0.90735434574976126</v>
      </c>
      <c r="H38" s="33">
        <f t="shared" si="0"/>
        <v>16.192771084337348</v>
      </c>
      <c r="I38" s="34">
        <f t="shared" si="0"/>
        <v>-5.5371215263376188</v>
      </c>
      <c r="J38" s="34">
        <f t="shared" si="0"/>
        <v>-2.6564215148188803</v>
      </c>
      <c r="K38" s="35">
        <f t="shared" si="0"/>
        <v>-17.456021650879567</v>
      </c>
    </row>
    <row r="39" spans="1:14" ht="12.75" customHeight="1">
      <c r="A39" s="29" t="s">
        <v>35</v>
      </c>
      <c r="B39" s="30">
        <v>1834</v>
      </c>
      <c r="C39" s="30">
        <v>1722</v>
      </c>
      <c r="D39" s="31">
        <v>2422</v>
      </c>
      <c r="E39" s="31">
        <v>3173</v>
      </c>
      <c r="F39" s="32">
        <v>3493</v>
      </c>
      <c r="G39" s="33">
        <v>0.82462891698735563</v>
      </c>
      <c r="H39" s="33">
        <f t="shared" ref="H39:K60" si="1">(C39-B39)/B39*100</f>
        <v>-6.1068702290076331</v>
      </c>
      <c r="I39" s="34">
        <f t="shared" si="1"/>
        <v>40.650406504065039</v>
      </c>
      <c r="J39" s="34">
        <f t="shared" si="1"/>
        <v>31.007431874483899</v>
      </c>
      <c r="K39" s="35">
        <f t="shared" si="1"/>
        <v>10.085092971950834</v>
      </c>
    </row>
    <row r="40" spans="1:14" ht="12.75" customHeight="1">
      <c r="A40" s="29" t="s">
        <v>73</v>
      </c>
      <c r="B40" s="30">
        <v>1962</v>
      </c>
      <c r="C40" s="30">
        <v>2059</v>
      </c>
      <c r="D40" s="31">
        <v>2471</v>
      </c>
      <c r="E40" s="31">
        <v>2781</v>
      </c>
      <c r="F40" s="32">
        <v>3128</v>
      </c>
      <c r="G40" s="33">
        <v>26.336123631680618</v>
      </c>
      <c r="H40" s="33">
        <f t="shared" si="1"/>
        <v>4.9439347604485224</v>
      </c>
      <c r="I40" s="34">
        <f t="shared" si="1"/>
        <v>20.009713453132587</v>
      </c>
      <c r="J40" s="34">
        <f t="shared" si="1"/>
        <v>12.545528126264671</v>
      </c>
      <c r="K40" s="35">
        <f t="shared" si="1"/>
        <v>12.47752606975908</v>
      </c>
    </row>
    <row r="41" spans="1:14" ht="12.75" customHeight="1">
      <c r="A41" s="29" t="s">
        <v>74</v>
      </c>
      <c r="B41" s="30">
        <v>1327</v>
      </c>
      <c r="C41" s="30">
        <v>1304</v>
      </c>
      <c r="D41" s="31">
        <v>1761</v>
      </c>
      <c r="E41" s="31">
        <v>2342</v>
      </c>
      <c r="F41" s="32">
        <v>3061</v>
      </c>
      <c r="G41" s="33">
        <v>87.429378531073439</v>
      </c>
      <c r="H41" s="33">
        <f t="shared" si="1"/>
        <v>-1.7332328560663148</v>
      </c>
      <c r="I41" s="34">
        <f t="shared" si="1"/>
        <v>35.04601226993865</v>
      </c>
      <c r="J41" s="34">
        <f t="shared" si="1"/>
        <v>32.992617830777967</v>
      </c>
      <c r="K41" s="35">
        <f t="shared" si="1"/>
        <v>30.700256191289498</v>
      </c>
    </row>
    <row r="42" spans="1:14" ht="12.75" customHeight="1">
      <c r="A42" s="29" t="s">
        <v>81</v>
      </c>
      <c r="B42" s="30">
        <v>1340</v>
      </c>
      <c r="C42" s="30">
        <v>1181</v>
      </c>
      <c r="D42" s="31">
        <v>1409</v>
      </c>
      <c r="E42" s="31">
        <v>1797</v>
      </c>
      <c r="F42" s="32">
        <v>2987</v>
      </c>
      <c r="G42" s="33">
        <v>33.466135458167329</v>
      </c>
      <c r="H42" s="33">
        <f t="shared" si="1"/>
        <v>-11.865671641791046</v>
      </c>
      <c r="I42" s="34">
        <f t="shared" si="1"/>
        <v>19.30567315834039</v>
      </c>
      <c r="J42" s="34">
        <f t="shared" si="1"/>
        <v>27.537260468417319</v>
      </c>
      <c r="K42" s="35">
        <f t="shared" si="1"/>
        <v>66.221480244852543</v>
      </c>
    </row>
    <row r="43" spans="1:14" ht="12.75" customHeight="1">
      <c r="A43" s="29" t="s">
        <v>45</v>
      </c>
      <c r="B43" s="30">
        <v>2596</v>
      </c>
      <c r="C43" s="30">
        <v>2120</v>
      </c>
      <c r="D43" s="31">
        <v>2153</v>
      </c>
      <c r="E43" s="31">
        <v>2775</v>
      </c>
      <c r="F43" s="32">
        <v>2902</v>
      </c>
      <c r="G43" s="33">
        <v>43.584070796460175</v>
      </c>
      <c r="H43" s="33">
        <f t="shared" si="1"/>
        <v>-18.335901386748844</v>
      </c>
      <c r="I43" s="34">
        <f t="shared" si="1"/>
        <v>1.5566037735849056</v>
      </c>
      <c r="J43" s="34">
        <f t="shared" si="1"/>
        <v>28.889921040408733</v>
      </c>
      <c r="K43" s="35">
        <f t="shared" si="1"/>
        <v>4.576576576576576</v>
      </c>
    </row>
    <row r="44" spans="1:14" ht="12.75" customHeight="1">
      <c r="A44" s="29" t="s">
        <v>49</v>
      </c>
      <c r="B44" s="30">
        <v>1916</v>
      </c>
      <c r="C44" s="30">
        <v>1970</v>
      </c>
      <c r="D44" s="31">
        <v>2348</v>
      </c>
      <c r="E44" s="31">
        <v>2822</v>
      </c>
      <c r="F44" s="32">
        <v>2636</v>
      </c>
      <c r="G44" s="33">
        <v>30.428863172226006</v>
      </c>
      <c r="H44" s="33">
        <f t="shared" si="1"/>
        <v>2.8183716075156577</v>
      </c>
      <c r="I44" s="34">
        <f t="shared" si="1"/>
        <v>19.18781725888325</v>
      </c>
      <c r="J44" s="34">
        <f t="shared" si="1"/>
        <v>20.187393526405451</v>
      </c>
      <c r="K44" s="35">
        <f t="shared" si="1"/>
        <v>-6.5910701630049608</v>
      </c>
    </row>
    <row r="45" spans="1:14" ht="12.75" customHeight="1">
      <c r="A45" s="29" t="s">
        <v>77</v>
      </c>
      <c r="B45" s="30">
        <v>1334</v>
      </c>
      <c r="C45" s="30">
        <v>1374</v>
      </c>
      <c r="D45" s="31">
        <v>1543</v>
      </c>
      <c r="E45" s="31">
        <v>2132</v>
      </c>
      <c r="F45" s="32">
        <v>2594</v>
      </c>
      <c r="G45" s="33">
        <v>3.3307513555383426</v>
      </c>
      <c r="H45" s="33">
        <f t="shared" si="1"/>
        <v>2.9985007496251872</v>
      </c>
      <c r="I45" s="34">
        <f t="shared" si="1"/>
        <v>12.299854439592432</v>
      </c>
      <c r="J45" s="34">
        <f t="shared" si="1"/>
        <v>38.172391445236556</v>
      </c>
      <c r="K45" s="35">
        <f t="shared" si="1"/>
        <v>21.669793621013135</v>
      </c>
      <c r="N45" s="18" t="s">
        <v>99</v>
      </c>
    </row>
    <row r="46" spans="1:14" ht="12" customHeight="1">
      <c r="A46" s="29" t="s">
        <v>42</v>
      </c>
      <c r="B46" s="30">
        <v>1588</v>
      </c>
      <c r="C46" s="30">
        <v>1380</v>
      </c>
      <c r="D46" s="31">
        <v>2113</v>
      </c>
      <c r="E46" s="31">
        <v>2433</v>
      </c>
      <c r="F46" s="32">
        <v>2569</v>
      </c>
      <c r="G46" s="33">
        <v>21.406727828746178</v>
      </c>
      <c r="H46" s="33">
        <f t="shared" si="1"/>
        <v>-13.09823677581864</v>
      </c>
      <c r="I46" s="34">
        <f t="shared" si="1"/>
        <v>53.115942028985508</v>
      </c>
      <c r="J46" s="34">
        <f t="shared" si="1"/>
        <v>15.144344533838144</v>
      </c>
      <c r="K46" s="35">
        <f t="shared" si="1"/>
        <v>5.589806822852446</v>
      </c>
    </row>
    <row r="47" spans="1:14" ht="12.75" customHeight="1">
      <c r="A47" s="29" t="s">
        <v>41</v>
      </c>
      <c r="B47" s="30">
        <v>2884</v>
      </c>
      <c r="C47" s="30">
        <v>2420</v>
      </c>
      <c r="D47" s="31">
        <v>2514</v>
      </c>
      <c r="E47" s="31">
        <v>2444</v>
      </c>
      <c r="F47" s="32">
        <v>2483</v>
      </c>
      <c r="G47" s="33">
        <v>-8.3862770012706473</v>
      </c>
      <c r="H47" s="33">
        <f t="shared" si="1"/>
        <v>-16.08876560332871</v>
      </c>
      <c r="I47" s="34">
        <f t="shared" si="1"/>
        <v>3.884297520661157</v>
      </c>
      <c r="J47" s="34">
        <f t="shared" si="1"/>
        <v>-2.7844073190135243</v>
      </c>
      <c r="K47" s="35">
        <f t="shared" si="1"/>
        <v>1.5957446808510638</v>
      </c>
    </row>
    <row r="48" spans="1:14" ht="12.75" customHeight="1">
      <c r="A48" s="29" t="s">
        <v>40</v>
      </c>
      <c r="B48" s="30">
        <v>2052</v>
      </c>
      <c r="C48" s="30">
        <v>1848</v>
      </c>
      <c r="D48" s="31">
        <v>2434</v>
      </c>
      <c r="E48" s="31">
        <v>2596</v>
      </c>
      <c r="F48" s="32">
        <v>2408</v>
      </c>
      <c r="G48" s="33">
        <v>-20.093457943925234</v>
      </c>
      <c r="H48" s="33">
        <f t="shared" si="1"/>
        <v>-9.9415204678362574</v>
      </c>
      <c r="I48" s="34">
        <f t="shared" si="1"/>
        <v>31.70995670995671</v>
      </c>
      <c r="J48" s="34">
        <f t="shared" si="1"/>
        <v>6.6557107641741986</v>
      </c>
      <c r="K48" s="35">
        <f t="shared" si="1"/>
        <v>-7.2419106317411401</v>
      </c>
    </row>
    <row r="49" spans="1:11" ht="12.75" customHeight="1">
      <c r="A49" s="29" t="s">
        <v>71</v>
      </c>
      <c r="B49" s="30">
        <v>1065</v>
      </c>
      <c r="C49" s="30">
        <v>1182</v>
      </c>
      <c r="D49" s="31">
        <v>1575</v>
      </c>
      <c r="E49" s="31">
        <v>2485</v>
      </c>
      <c r="F49" s="32">
        <v>2345</v>
      </c>
      <c r="G49" s="33">
        <v>-45.412608918503331</v>
      </c>
      <c r="H49" s="33">
        <f t="shared" si="1"/>
        <v>10.985915492957748</v>
      </c>
      <c r="I49" s="34">
        <f t="shared" si="1"/>
        <v>33.248730964467008</v>
      </c>
      <c r="J49" s="34">
        <f t="shared" si="1"/>
        <v>57.777777777777771</v>
      </c>
      <c r="K49" s="35">
        <f t="shared" si="1"/>
        <v>-5.6338028169014089</v>
      </c>
    </row>
    <row r="50" spans="1:11" ht="12.75" customHeight="1">
      <c r="A50" s="29" t="s">
        <v>66</v>
      </c>
      <c r="B50" s="30">
        <v>871</v>
      </c>
      <c r="C50" s="30">
        <v>979</v>
      </c>
      <c r="D50" s="31">
        <v>1066</v>
      </c>
      <c r="E50" s="31">
        <v>1652</v>
      </c>
      <c r="F50" s="32">
        <v>2265</v>
      </c>
      <c r="G50" s="33">
        <v>-11.303462321792262</v>
      </c>
      <c r="H50" s="33">
        <f t="shared" si="1"/>
        <v>12.399540757749714</v>
      </c>
      <c r="I50" s="34">
        <f t="shared" si="1"/>
        <v>8.88661899897855</v>
      </c>
      <c r="J50" s="34">
        <f t="shared" si="1"/>
        <v>54.971857410881796</v>
      </c>
      <c r="K50" s="35">
        <f t="shared" si="1"/>
        <v>37.106537530266344</v>
      </c>
    </row>
    <row r="51" spans="1:11" ht="12.75" customHeight="1">
      <c r="A51" s="29" t="s">
        <v>39</v>
      </c>
      <c r="B51" s="30">
        <v>4926</v>
      </c>
      <c r="C51" s="30">
        <v>5406</v>
      </c>
      <c r="D51" s="31">
        <v>4630</v>
      </c>
      <c r="E51" s="31">
        <v>3009</v>
      </c>
      <c r="F51" s="32">
        <v>2058</v>
      </c>
      <c r="G51" s="33">
        <v>1.5670103092783505</v>
      </c>
      <c r="H51" s="33">
        <f t="shared" si="1"/>
        <v>9.7442143727161987</v>
      </c>
      <c r="I51" s="34">
        <f t="shared" si="1"/>
        <v>-14.354421013688496</v>
      </c>
      <c r="J51" s="34">
        <f t="shared" si="1"/>
        <v>-35.010799136069117</v>
      </c>
      <c r="K51" s="35">
        <f t="shared" si="1"/>
        <v>-31.605184446660019</v>
      </c>
    </row>
    <row r="52" spans="1:11" ht="12.75" customHeight="1">
      <c r="A52" s="29" t="s">
        <v>65</v>
      </c>
      <c r="B52" s="30">
        <v>1191</v>
      </c>
      <c r="C52" s="30">
        <v>1046</v>
      </c>
      <c r="D52" s="31">
        <v>1256</v>
      </c>
      <c r="E52" s="31">
        <v>1842</v>
      </c>
      <c r="F52" s="32">
        <v>1857</v>
      </c>
      <c r="G52" s="33">
        <v>17.5715695952616</v>
      </c>
      <c r="H52" s="33">
        <f t="shared" si="1"/>
        <v>-12.174643157010916</v>
      </c>
      <c r="I52" s="34">
        <f t="shared" si="1"/>
        <v>20.076481835564053</v>
      </c>
      <c r="J52" s="34">
        <f t="shared" si="1"/>
        <v>46.656050955414017</v>
      </c>
      <c r="K52" s="35">
        <f t="shared" si="1"/>
        <v>0.81433224755700329</v>
      </c>
    </row>
    <row r="53" spans="1:11" ht="12.75" customHeight="1">
      <c r="A53" s="29" t="s">
        <v>61</v>
      </c>
      <c r="B53" s="30">
        <v>581</v>
      </c>
      <c r="C53" s="30">
        <v>677</v>
      </c>
      <c r="D53" s="31">
        <v>818</v>
      </c>
      <c r="E53" s="31">
        <v>1283</v>
      </c>
      <c r="F53" s="32">
        <v>1772</v>
      </c>
      <c r="G53" s="33">
        <v>-38.388123011664902</v>
      </c>
      <c r="H53" s="33">
        <f t="shared" si="1"/>
        <v>16.523235800344235</v>
      </c>
      <c r="I53" s="34">
        <f t="shared" si="1"/>
        <v>20.827178729689809</v>
      </c>
      <c r="J53" s="34">
        <f t="shared" si="1"/>
        <v>56.845965770171148</v>
      </c>
      <c r="K53" s="35">
        <f t="shared" si="1"/>
        <v>38.113795791114576</v>
      </c>
    </row>
    <row r="54" spans="1:11" ht="12.75" customHeight="1">
      <c r="A54" s="29" t="s">
        <v>82</v>
      </c>
      <c r="B54" s="30">
        <v>1139</v>
      </c>
      <c r="C54" s="30">
        <v>984</v>
      </c>
      <c r="D54" s="31">
        <v>1145</v>
      </c>
      <c r="E54" s="31">
        <v>1346</v>
      </c>
      <c r="F54" s="32">
        <v>1666</v>
      </c>
      <c r="G54" s="33">
        <v>72.575757575757578</v>
      </c>
      <c r="H54" s="33">
        <f t="shared" si="1"/>
        <v>-13.608428446005268</v>
      </c>
      <c r="I54" s="34">
        <f t="shared" si="1"/>
        <v>16.361788617886177</v>
      </c>
      <c r="J54" s="34">
        <f t="shared" si="1"/>
        <v>17.554585152838428</v>
      </c>
      <c r="K54" s="35">
        <f t="shared" si="1"/>
        <v>23.774145616641899</v>
      </c>
    </row>
    <row r="55" spans="1:11" ht="12.75" customHeight="1">
      <c r="A55" s="29" t="s">
        <v>79</v>
      </c>
      <c r="B55" s="30">
        <v>1184</v>
      </c>
      <c r="C55" s="30">
        <v>991</v>
      </c>
      <c r="D55" s="31">
        <v>1103</v>
      </c>
      <c r="E55" s="31">
        <v>1390</v>
      </c>
      <c r="F55" s="32">
        <v>1579</v>
      </c>
      <c r="G55" s="33">
        <v>3.6777583187390541</v>
      </c>
      <c r="H55" s="33">
        <f t="shared" si="1"/>
        <v>-16.300675675675674</v>
      </c>
      <c r="I55" s="34">
        <f t="shared" si="1"/>
        <v>11.301715438950556</v>
      </c>
      <c r="J55" s="34">
        <f t="shared" si="1"/>
        <v>26.019945602901178</v>
      </c>
      <c r="K55" s="35">
        <f t="shared" si="1"/>
        <v>13.597122302158274</v>
      </c>
    </row>
    <row r="56" spans="1:11" ht="12.75" customHeight="1">
      <c r="A56" s="29" t="s">
        <v>33</v>
      </c>
      <c r="B56" s="30">
        <v>3368</v>
      </c>
      <c r="C56" s="30">
        <v>3437</v>
      </c>
      <c r="D56" s="31">
        <v>4386</v>
      </c>
      <c r="E56" s="31">
        <v>5738</v>
      </c>
      <c r="F56" s="32">
        <v>1509</v>
      </c>
      <c r="G56" s="33">
        <v>-5.1801801801801801</v>
      </c>
      <c r="H56" s="33">
        <f t="shared" si="1"/>
        <v>2.0486935866983371</v>
      </c>
      <c r="I56" s="34">
        <f t="shared" si="1"/>
        <v>27.611288914751235</v>
      </c>
      <c r="J56" s="34">
        <f t="shared" si="1"/>
        <v>30.825353397172822</v>
      </c>
      <c r="K56" s="35">
        <f t="shared" si="1"/>
        <v>-73.701638201463922</v>
      </c>
    </row>
    <row r="57" spans="1:11" ht="12.75" customHeight="1">
      <c r="A57" s="29" t="s">
        <v>36</v>
      </c>
      <c r="B57" s="30">
        <v>865</v>
      </c>
      <c r="C57" s="30">
        <v>1088</v>
      </c>
      <c r="D57" s="31">
        <v>1281</v>
      </c>
      <c r="E57" s="31">
        <v>1535</v>
      </c>
      <c r="F57" s="32">
        <v>1402</v>
      </c>
      <c r="G57" s="33">
        <v>9.6324461343472745</v>
      </c>
      <c r="H57" s="33">
        <f t="shared" si="1"/>
        <v>25.780346820809246</v>
      </c>
      <c r="I57" s="34">
        <f t="shared" si="1"/>
        <v>17.738970588235293</v>
      </c>
      <c r="J57" s="34">
        <f t="shared" si="1"/>
        <v>19.828259172521467</v>
      </c>
      <c r="K57" s="35">
        <f t="shared" si="1"/>
        <v>-8.664495114006515</v>
      </c>
    </row>
    <row r="58" spans="1:11" ht="12.75" customHeight="1">
      <c r="A58" s="29" t="s">
        <v>50</v>
      </c>
      <c r="B58" s="30">
        <v>1372</v>
      </c>
      <c r="C58" s="30">
        <v>1324</v>
      </c>
      <c r="D58" s="31">
        <v>1647</v>
      </c>
      <c r="E58" s="31">
        <v>1609</v>
      </c>
      <c r="F58" s="32">
        <v>1295</v>
      </c>
      <c r="G58" s="33">
        <v>13.953488372093023</v>
      </c>
      <c r="H58" s="33">
        <f t="shared" si="1"/>
        <v>-3.4985422740524781</v>
      </c>
      <c r="I58" s="34">
        <f t="shared" si="1"/>
        <v>24.395770392749245</v>
      </c>
      <c r="J58" s="34">
        <f t="shared" si="1"/>
        <v>-2.3072252580449302</v>
      </c>
      <c r="K58" s="35">
        <f t="shared" si="1"/>
        <v>-19.515226848974518</v>
      </c>
    </row>
    <row r="59" spans="1:11" ht="12.75" customHeight="1">
      <c r="A59" s="29" t="s">
        <v>58</v>
      </c>
      <c r="B59" s="30">
        <v>455</v>
      </c>
      <c r="C59" s="30">
        <v>388</v>
      </c>
      <c r="D59" s="31">
        <v>525</v>
      </c>
      <c r="E59" s="31">
        <v>1496</v>
      </c>
      <c r="F59" s="32">
        <v>1221</v>
      </c>
      <c r="G59" s="33">
        <v>-64.563862928348911</v>
      </c>
      <c r="H59" s="33">
        <f t="shared" si="1"/>
        <v>-14.725274725274726</v>
      </c>
      <c r="I59" s="34">
        <f t="shared" si="1"/>
        <v>35.309278350515463</v>
      </c>
      <c r="J59" s="34">
        <f t="shared" si="1"/>
        <v>184.95238095238096</v>
      </c>
      <c r="K59" s="35">
        <f t="shared" si="1"/>
        <v>-18.382352941176471</v>
      </c>
    </row>
    <row r="60" spans="1:11" ht="12.75" customHeight="1">
      <c r="A60" s="36" t="s">
        <v>80</v>
      </c>
      <c r="B60" s="37">
        <v>22</v>
      </c>
      <c r="C60" s="37">
        <v>21</v>
      </c>
      <c r="D60" s="38">
        <v>31</v>
      </c>
      <c r="E60" s="38">
        <v>27</v>
      </c>
      <c r="F60" s="39">
        <v>39</v>
      </c>
      <c r="G60" s="40">
        <v>-80.530973451327441</v>
      </c>
      <c r="H60" s="40">
        <f t="shared" si="1"/>
        <v>-4.5454545454545459</v>
      </c>
      <c r="I60" s="41">
        <f t="shared" si="1"/>
        <v>47.619047619047613</v>
      </c>
      <c r="J60" s="41">
        <f t="shared" si="1"/>
        <v>-12.903225806451612</v>
      </c>
      <c r="K60" s="42">
        <f t="shared" si="1"/>
        <v>44.444444444444443</v>
      </c>
    </row>
    <row r="61" spans="1:11">
      <c r="A61" s="4"/>
      <c r="B61" s="5"/>
      <c r="C61" s="5"/>
      <c r="D61" s="5"/>
      <c r="E61" s="5"/>
      <c r="F61" s="5"/>
      <c r="G61" s="43"/>
      <c r="H61" s="6"/>
      <c r="I61" s="6"/>
      <c r="J61" s="6"/>
      <c r="K61" s="6"/>
    </row>
    <row r="62" spans="1:11" ht="12" customHeight="1">
      <c r="A62" s="4"/>
      <c r="B62" s="5"/>
      <c r="C62" s="5"/>
      <c r="D62" s="5"/>
      <c r="E62" s="5"/>
      <c r="F62" s="5"/>
      <c r="G62" s="43"/>
      <c r="H62" s="6"/>
      <c r="I62" s="6"/>
      <c r="J62" s="6"/>
      <c r="K62" s="6"/>
    </row>
  </sheetData>
  <mergeCells count="7">
    <mergeCell ref="A1:K1"/>
    <mergeCell ref="A2:K2"/>
    <mergeCell ref="A4:A6"/>
    <mergeCell ref="B4:F4"/>
    <mergeCell ref="G4:K4"/>
    <mergeCell ref="B5:F5"/>
    <mergeCell ref="G5:K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92D050"/>
  </sheetPr>
  <dimension ref="A1:Q28"/>
  <sheetViews>
    <sheetView showGridLines="0" tabSelected="1" zoomScale="106" zoomScaleNormal="106" zoomScaleSheetLayoutView="13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C12" sqref="C12"/>
    </sheetView>
  </sheetViews>
  <sheetFormatPr defaultColWidth="9.140625" defaultRowHeight="12.75"/>
  <cols>
    <col min="1" max="1" width="15.5703125" style="13" customWidth="1"/>
    <col min="2" max="4" width="12.28515625" style="13" customWidth="1"/>
    <col min="5" max="5" width="0.85546875" style="13" customWidth="1"/>
    <col min="6" max="8" width="11.140625" style="13" customWidth="1"/>
    <col min="9" max="9" width="20" style="13" customWidth="1"/>
    <col min="10" max="10" width="1.5703125" style="13" customWidth="1"/>
    <col min="11" max="11" width="15.140625" style="13" customWidth="1"/>
    <col min="12" max="12" width="17.7109375" style="13" customWidth="1"/>
    <col min="13" max="13" width="2.42578125" style="13" customWidth="1"/>
    <col min="14" max="14" width="14.5703125" style="13" customWidth="1"/>
    <col min="15" max="15" width="12.7109375" style="13" customWidth="1"/>
    <col min="16" max="16" width="3.85546875" style="13" customWidth="1"/>
    <col min="17" max="16384" width="9.140625" style="13"/>
  </cols>
  <sheetData>
    <row r="1" spans="1:17" ht="19.5" customHeight="1">
      <c r="A1" s="114" t="s">
        <v>115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7"/>
    </row>
    <row r="2" spans="1:17" ht="24.75" customHeight="1">
      <c r="A2" s="115" t="s">
        <v>114</v>
      </c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</row>
    <row r="3" spans="1:17" s="8" customFormat="1" ht="28.5" customHeight="1">
      <c r="A3" s="116" t="s">
        <v>2</v>
      </c>
      <c r="B3" s="122" t="s">
        <v>87</v>
      </c>
      <c r="C3" s="122"/>
      <c r="D3" s="122"/>
      <c r="E3" s="94"/>
      <c r="F3" s="135" t="s">
        <v>14</v>
      </c>
      <c r="G3" s="122"/>
      <c r="H3" s="136"/>
      <c r="I3" s="125" t="s">
        <v>110</v>
      </c>
      <c r="J3" s="126"/>
      <c r="K3" s="138"/>
      <c r="L3" s="125" t="s">
        <v>100</v>
      </c>
      <c r="M3" s="126"/>
      <c r="N3" s="126"/>
      <c r="O3" s="119" t="s">
        <v>18</v>
      </c>
    </row>
    <row r="4" spans="1:17" s="8" customFormat="1" ht="21.75" customHeight="1">
      <c r="A4" s="117"/>
      <c r="B4" s="85"/>
      <c r="C4" s="85"/>
      <c r="D4" s="85"/>
      <c r="E4" s="93"/>
      <c r="F4" s="129"/>
      <c r="G4" s="130"/>
      <c r="H4" s="137"/>
      <c r="I4" s="139" t="s">
        <v>104</v>
      </c>
      <c r="J4" s="140"/>
      <c r="K4" s="141"/>
      <c r="L4" s="127" t="s">
        <v>103</v>
      </c>
      <c r="M4" s="128"/>
      <c r="N4" s="128"/>
      <c r="O4" s="120"/>
    </row>
    <row r="5" spans="1:17" s="8" customFormat="1" ht="14.25" customHeight="1">
      <c r="A5" s="117"/>
      <c r="B5" s="123" t="s">
        <v>101</v>
      </c>
      <c r="C5" s="123"/>
      <c r="D5" s="123"/>
      <c r="E5" s="69"/>
      <c r="F5" s="131" t="s">
        <v>102</v>
      </c>
      <c r="G5" s="123"/>
      <c r="H5" s="132"/>
      <c r="I5" s="90" t="s">
        <v>87</v>
      </c>
      <c r="J5" s="91"/>
      <c r="K5" s="92" t="s">
        <v>14</v>
      </c>
      <c r="L5" s="67" t="s">
        <v>87</v>
      </c>
      <c r="M5" s="68"/>
      <c r="N5" s="68" t="s">
        <v>14</v>
      </c>
      <c r="O5" s="120"/>
    </row>
    <row r="6" spans="1:17" s="8" customFormat="1" ht="33" customHeight="1">
      <c r="A6" s="117"/>
      <c r="B6" s="124"/>
      <c r="C6" s="124"/>
      <c r="D6" s="124"/>
      <c r="E6" s="95"/>
      <c r="F6" s="133"/>
      <c r="G6" s="124"/>
      <c r="H6" s="134"/>
      <c r="I6" s="51" t="s">
        <v>101</v>
      </c>
      <c r="J6" s="52"/>
      <c r="K6" s="53" t="s">
        <v>102</v>
      </c>
      <c r="L6" s="65" t="s">
        <v>101</v>
      </c>
      <c r="M6" s="54"/>
      <c r="N6" s="54" t="s">
        <v>102</v>
      </c>
      <c r="O6" s="120"/>
    </row>
    <row r="7" spans="1:17" s="47" customFormat="1" ht="25.5" customHeight="1">
      <c r="A7" s="118"/>
      <c r="B7" s="46">
        <v>2014</v>
      </c>
      <c r="C7" s="46">
        <v>2015</v>
      </c>
      <c r="D7" s="46">
        <v>2016</v>
      </c>
      <c r="E7" s="46"/>
      <c r="F7" s="86">
        <v>2014</v>
      </c>
      <c r="G7" s="89">
        <v>2015</v>
      </c>
      <c r="H7" s="75">
        <v>2016</v>
      </c>
      <c r="I7" s="129" t="s">
        <v>113</v>
      </c>
      <c r="J7" s="130"/>
      <c r="K7" s="137"/>
      <c r="L7" s="129">
        <v>2016</v>
      </c>
      <c r="M7" s="130"/>
      <c r="N7" s="130"/>
      <c r="O7" s="121"/>
    </row>
    <row r="8" spans="1:17" s="8" customFormat="1" ht="19.5" customHeight="1">
      <c r="A8" s="44" t="s">
        <v>0</v>
      </c>
      <c r="B8" s="48">
        <f>SUM(B9:B20)</f>
        <v>7290007</v>
      </c>
      <c r="C8" s="48">
        <f>SUM(C9:C20)</f>
        <v>6976552.3599999994</v>
      </c>
      <c r="D8" s="48">
        <f>SUM(D9:D20)</f>
        <v>7142854</v>
      </c>
      <c r="E8" s="48"/>
      <c r="F8" s="70">
        <f>SUM(F9:F20)</f>
        <v>1204857</v>
      </c>
      <c r="G8" s="88">
        <f>SUM(G9:G20)</f>
        <v>1234248</v>
      </c>
      <c r="H8" s="76">
        <f>SUM(H9:H20)</f>
        <v>1286135</v>
      </c>
      <c r="I8" s="77">
        <f>((D8/C8)-1)*100</f>
        <v>2.3837223806057795</v>
      </c>
      <c r="J8" s="73"/>
      <c r="K8" s="74">
        <f>((H8/G8)-1)*100</f>
        <v>4.2039363239802618</v>
      </c>
      <c r="L8" s="57" t="s">
        <v>106</v>
      </c>
      <c r="M8" s="64"/>
      <c r="N8" s="56" t="s">
        <v>106</v>
      </c>
      <c r="O8" s="66" t="s">
        <v>17</v>
      </c>
    </row>
    <row r="9" spans="1:17" s="8" customFormat="1" ht="19.5" customHeight="1">
      <c r="A9" s="79" t="s">
        <v>3</v>
      </c>
      <c r="B9" s="50">
        <v>684162</v>
      </c>
      <c r="C9" s="50">
        <v>630840</v>
      </c>
      <c r="D9" s="50">
        <v>607098</v>
      </c>
      <c r="E9" s="14"/>
      <c r="F9" s="71">
        <v>105296</v>
      </c>
      <c r="G9" s="14">
        <v>97073</v>
      </c>
      <c r="H9" s="96">
        <v>108396</v>
      </c>
      <c r="I9" s="58">
        <f>((D9/C9)-1)*100</f>
        <v>-3.7635533574281954</v>
      </c>
      <c r="J9" s="59"/>
      <c r="K9" s="60">
        <f>((H9/G9)-1)*100</f>
        <v>11.664417500231794</v>
      </c>
      <c r="L9" s="58">
        <f>((D9/C20)-1)*100</f>
        <v>2.8254654345410746</v>
      </c>
      <c r="M9" s="59"/>
      <c r="N9" s="59">
        <f>((H9/G20)-1)*100</f>
        <v>-9.1056978743029653</v>
      </c>
      <c r="O9" s="81" t="s">
        <v>19</v>
      </c>
      <c r="Q9" s="9"/>
    </row>
    <row r="10" spans="1:17" s="8" customFormat="1" ht="19.5" customHeight="1">
      <c r="A10" s="79" t="s">
        <v>4</v>
      </c>
      <c r="B10" s="50">
        <v>679469</v>
      </c>
      <c r="C10" s="50">
        <v>682419</v>
      </c>
      <c r="D10" s="50">
        <v>694724</v>
      </c>
      <c r="E10" s="14"/>
      <c r="F10" s="71">
        <v>110705</v>
      </c>
      <c r="G10" s="14">
        <v>120468</v>
      </c>
      <c r="H10" s="96">
        <v>120639</v>
      </c>
      <c r="I10" s="58">
        <f t="shared" ref="I10:I20" si="0">((D10/C10)-1)*100</f>
        <v>1.8031444024858567</v>
      </c>
      <c r="J10" s="59"/>
      <c r="K10" s="60">
        <f t="shared" ref="K10:K20" si="1">((H10/G10)-1)*100</f>
        <v>0.14194640900488942</v>
      </c>
      <c r="L10" s="58">
        <f>((D10/D9)-1)*100</f>
        <v>14.433584034208646</v>
      </c>
      <c r="M10" s="59"/>
      <c r="N10" s="59">
        <f>((H10/H9)-1)*100</f>
        <v>11.294697221299677</v>
      </c>
      <c r="O10" s="81" t="s">
        <v>20</v>
      </c>
      <c r="Q10" s="9"/>
    </row>
    <row r="11" spans="1:17" s="8" customFormat="1" ht="19.5" customHeight="1">
      <c r="A11" s="79" t="s">
        <v>5</v>
      </c>
      <c r="B11" s="50">
        <v>674699</v>
      </c>
      <c r="C11" s="50">
        <v>656250</v>
      </c>
      <c r="D11" s="50">
        <v>693425</v>
      </c>
      <c r="E11" s="14"/>
      <c r="F11" s="71">
        <v>105560</v>
      </c>
      <c r="G11" s="14">
        <v>112427</v>
      </c>
      <c r="H11" s="96">
        <v>115131</v>
      </c>
      <c r="I11" s="58">
        <f t="shared" si="0"/>
        <v>5.6647619047619058</v>
      </c>
      <c r="J11" s="59"/>
      <c r="K11" s="60">
        <f t="shared" si="1"/>
        <v>2.4051162087398881</v>
      </c>
      <c r="L11" s="58">
        <f>((D11/D10)-1)*100</f>
        <v>-0.18698072903772234</v>
      </c>
      <c r="M11" s="59"/>
      <c r="N11" s="59">
        <f>((H11/H10)-1)*100</f>
        <v>-4.565687712928657</v>
      </c>
      <c r="O11" s="81" t="s">
        <v>21</v>
      </c>
      <c r="Q11" s="9"/>
    </row>
    <row r="12" spans="1:17" s="8" customFormat="1" ht="19.5" customHeight="1">
      <c r="A12" s="79" t="s">
        <v>6</v>
      </c>
      <c r="B12" s="50">
        <v>647734</v>
      </c>
      <c r="C12" s="50">
        <v>603056</v>
      </c>
      <c r="D12" s="50">
        <v>608130</v>
      </c>
      <c r="E12" s="14"/>
      <c r="F12" s="71">
        <v>105309</v>
      </c>
      <c r="G12" s="14">
        <v>102242</v>
      </c>
      <c r="H12" s="96">
        <v>103493</v>
      </c>
      <c r="I12" s="58">
        <f t="shared" si="0"/>
        <v>0.84138123159374079</v>
      </c>
      <c r="J12" s="59"/>
      <c r="K12" s="60">
        <f t="shared" si="1"/>
        <v>1.2235676140920582</v>
      </c>
      <c r="L12" s="58">
        <f t="shared" ref="L12:L20" si="2">((D12/D11)-1)*100</f>
        <v>-12.300537188592852</v>
      </c>
      <c r="M12" s="59"/>
      <c r="N12" s="59">
        <f t="shared" ref="N12:N20" si="3">((H12/H11)-1)*100</f>
        <v>-10.108485116953736</v>
      </c>
      <c r="O12" s="81" t="s">
        <v>22</v>
      </c>
      <c r="Q12" s="9"/>
    </row>
    <row r="13" spans="1:17" s="8" customFormat="1" ht="19.5" customHeight="1">
      <c r="A13" s="79" t="s">
        <v>1</v>
      </c>
      <c r="B13" s="50">
        <v>565969</v>
      </c>
      <c r="C13" s="50">
        <v>556788</v>
      </c>
      <c r="D13" s="50">
        <v>540434</v>
      </c>
      <c r="E13" s="14"/>
      <c r="F13" s="71">
        <v>91296</v>
      </c>
      <c r="G13" s="14">
        <v>95389</v>
      </c>
      <c r="H13" s="96">
        <v>93228</v>
      </c>
      <c r="I13" s="58">
        <f t="shared" si="0"/>
        <v>-2.9372041064103405</v>
      </c>
      <c r="J13" s="59"/>
      <c r="K13" s="60">
        <f t="shared" si="1"/>
        <v>-2.2654603780310145</v>
      </c>
      <c r="L13" s="58">
        <f>((D13/D12)-1)*100</f>
        <v>-11.131830365217965</v>
      </c>
      <c r="M13" s="59"/>
      <c r="N13" s="59">
        <f t="shared" si="3"/>
        <v>-9.9185452156184457</v>
      </c>
      <c r="O13" s="81" t="s">
        <v>23</v>
      </c>
      <c r="Q13" s="9"/>
    </row>
    <row r="14" spans="1:17" s="8" customFormat="1" ht="19.5" customHeight="1">
      <c r="A14" s="79" t="s">
        <v>7</v>
      </c>
      <c r="B14" s="50">
        <v>466416</v>
      </c>
      <c r="C14" s="50">
        <v>434713</v>
      </c>
      <c r="D14" s="50">
        <v>418478</v>
      </c>
      <c r="E14" s="14"/>
      <c r="F14" s="71">
        <v>83347</v>
      </c>
      <c r="G14" s="14">
        <v>81506</v>
      </c>
      <c r="H14" s="96">
        <v>79034</v>
      </c>
      <c r="I14" s="58">
        <f t="shared" si="0"/>
        <v>-3.7346479171315283</v>
      </c>
      <c r="J14" s="59"/>
      <c r="K14" s="60">
        <f t="shared" si="1"/>
        <v>-3.0329055529654259</v>
      </c>
      <c r="L14" s="58">
        <f t="shared" si="2"/>
        <v>-22.566307819271181</v>
      </c>
      <c r="M14" s="59"/>
      <c r="N14" s="59">
        <f t="shared" si="3"/>
        <v>-15.22503968764749</v>
      </c>
      <c r="O14" s="81" t="s">
        <v>24</v>
      </c>
      <c r="Q14" s="9"/>
    </row>
    <row r="15" spans="1:17" s="8" customFormat="1" ht="19.5" customHeight="1">
      <c r="A15" s="79" t="s">
        <v>8</v>
      </c>
      <c r="B15" s="50">
        <v>566482</v>
      </c>
      <c r="C15" s="50">
        <v>547839.36</v>
      </c>
      <c r="D15" s="50">
        <v>587588</v>
      </c>
      <c r="E15" s="14"/>
      <c r="F15" s="71">
        <v>100191</v>
      </c>
      <c r="G15" s="14">
        <v>104517</v>
      </c>
      <c r="H15" s="96">
        <v>110432</v>
      </c>
      <c r="I15" s="58">
        <f t="shared" si="0"/>
        <v>7.2555283358975986</v>
      </c>
      <c r="J15" s="59"/>
      <c r="K15" s="60">
        <f t="shared" si="1"/>
        <v>5.6593664188600901</v>
      </c>
      <c r="L15" s="58">
        <f t="shared" si="2"/>
        <v>40.41072648980353</v>
      </c>
      <c r="M15" s="59"/>
      <c r="N15" s="59">
        <f t="shared" si="3"/>
        <v>39.727206012602181</v>
      </c>
      <c r="O15" s="81" t="s">
        <v>25</v>
      </c>
      <c r="Q15" s="9"/>
    </row>
    <row r="16" spans="1:17" s="8" customFormat="1" ht="19.5" customHeight="1">
      <c r="A16" s="79" t="s">
        <v>9</v>
      </c>
      <c r="B16" s="50">
        <v>629991</v>
      </c>
      <c r="C16" s="50">
        <v>607626</v>
      </c>
      <c r="D16" s="50">
        <v>626167</v>
      </c>
      <c r="E16" s="14"/>
      <c r="F16" s="71">
        <v>104186</v>
      </c>
      <c r="G16" s="14">
        <v>110144</v>
      </c>
      <c r="H16" s="96">
        <v>112282</v>
      </c>
      <c r="I16" s="58">
        <f t="shared" si="0"/>
        <v>3.051383581347733</v>
      </c>
      <c r="J16" s="59"/>
      <c r="K16" s="60">
        <f t="shared" si="1"/>
        <v>1.9410952934340475</v>
      </c>
      <c r="L16" s="58">
        <f t="shared" si="2"/>
        <v>6.5656548465931941</v>
      </c>
      <c r="M16" s="59"/>
      <c r="N16" s="59">
        <f t="shared" si="3"/>
        <v>1.675239061141709</v>
      </c>
      <c r="O16" s="81" t="s">
        <v>26</v>
      </c>
      <c r="Q16" s="9"/>
    </row>
    <row r="17" spans="1:17" s="8" customFormat="1" ht="19.5" customHeight="1">
      <c r="A17" s="79" t="s">
        <v>10</v>
      </c>
      <c r="B17" s="50">
        <v>540349</v>
      </c>
      <c r="C17" s="50">
        <v>524075</v>
      </c>
      <c r="D17" s="50">
        <v>536855</v>
      </c>
      <c r="E17" s="14"/>
      <c r="F17" s="71">
        <v>95114</v>
      </c>
      <c r="G17" s="14">
        <v>95511</v>
      </c>
      <c r="H17" s="96">
        <v>101909</v>
      </c>
      <c r="I17" s="58">
        <f t="shared" si="0"/>
        <v>2.4385822639889421</v>
      </c>
      <c r="J17" s="59"/>
      <c r="K17" s="60">
        <f t="shared" si="1"/>
        <v>6.6987048612201727</v>
      </c>
      <c r="L17" s="58">
        <f t="shared" si="2"/>
        <v>-14.263287589413043</v>
      </c>
      <c r="M17" s="59"/>
      <c r="N17" s="59">
        <f t="shared" si="3"/>
        <v>-9.2383463066208265</v>
      </c>
      <c r="O17" s="81" t="s">
        <v>27</v>
      </c>
      <c r="Q17" s="9"/>
    </row>
    <row r="18" spans="1:17" s="8" customFormat="1" ht="19.5" customHeight="1">
      <c r="A18" s="79" t="s">
        <v>11</v>
      </c>
      <c r="B18" s="50">
        <v>664604</v>
      </c>
      <c r="C18" s="50">
        <v>610113</v>
      </c>
      <c r="D18" s="50">
        <v>641110</v>
      </c>
      <c r="E18" s="14"/>
      <c r="F18" s="71">
        <v>110331</v>
      </c>
      <c r="G18" s="14">
        <v>105498</v>
      </c>
      <c r="H18" s="96">
        <v>117489</v>
      </c>
      <c r="I18" s="58">
        <f t="shared" si="0"/>
        <v>5.0805342616859539</v>
      </c>
      <c r="J18" s="59"/>
      <c r="K18" s="60">
        <f t="shared" si="1"/>
        <v>11.366092248194271</v>
      </c>
      <c r="L18" s="58">
        <f t="shared" si="2"/>
        <v>19.419582568850057</v>
      </c>
      <c r="M18" s="59"/>
      <c r="N18" s="59">
        <f t="shared" si="3"/>
        <v>15.288149231176828</v>
      </c>
      <c r="O18" s="81" t="s">
        <v>28</v>
      </c>
      <c r="Q18" s="9"/>
    </row>
    <row r="19" spans="1:17" s="8" customFormat="1" ht="19.5" customHeight="1">
      <c r="A19" s="79" t="s">
        <v>12</v>
      </c>
      <c r="B19" s="50">
        <v>552681</v>
      </c>
      <c r="C19" s="50">
        <v>532417</v>
      </c>
      <c r="D19" s="50">
        <v>581019</v>
      </c>
      <c r="E19" s="14"/>
      <c r="F19" s="71">
        <v>89778</v>
      </c>
      <c r="G19" s="14">
        <v>90218</v>
      </c>
      <c r="H19" s="96">
        <v>104572</v>
      </c>
      <c r="I19" s="58">
        <f t="shared" si="0"/>
        <v>9.1285590054412289</v>
      </c>
      <c r="J19" s="59"/>
      <c r="K19" s="60">
        <f t="shared" si="1"/>
        <v>15.910350484382274</v>
      </c>
      <c r="L19" s="58">
        <f t="shared" si="2"/>
        <v>-9.3729625181326099</v>
      </c>
      <c r="M19" s="59"/>
      <c r="N19" s="59">
        <f t="shared" si="3"/>
        <v>-10.994220735558224</v>
      </c>
      <c r="O19" s="81" t="s">
        <v>29</v>
      </c>
      <c r="Q19" s="9"/>
    </row>
    <row r="20" spans="1:17" s="8" customFormat="1" ht="19.5" customHeight="1">
      <c r="A20" s="80" t="s">
        <v>13</v>
      </c>
      <c r="B20" s="78">
        <v>617451</v>
      </c>
      <c r="C20" s="78">
        <v>590416</v>
      </c>
      <c r="D20" s="78">
        <v>607826</v>
      </c>
      <c r="E20" s="15"/>
      <c r="F20" s="72">
        <v>103744</v>
      </c>
      <c r="G20" s="15">
        <v>119255</v>
      </c>
      <c r="H20" s="97">
        <v>119530</v>
      </c>
      <c r="I20" s="61">
        <f t="shared" si="0"/>
        <v>2.9487683260616349</v>
      </c>
      <c r="J20" s="62"/>
      <c r="K20" s="63">
        <f t="shared" si="1"/>
        <v>0.23059829776528318</v>
      </c>
      <c r="L20" s="61">
        <f t="shared" si="2"/>
        <v>4.6137905989305006</v>
      </c>
      <c r="M20" s="62"/>
      <c r="N20" s="62">
        <f t="shared" si="3"/>
        <v>14.304020196610946</v>
      </c>
      <c r="O20" s="82" t="s">
        <v>30</v>
      </c>
      <c r="Q20" s="9"/>
    </row>
    <row r="21" spans="1:17" s="8" customFormat="1" ht="15.75" customHeight="1">
      <c r="A21" s="12" t="s">
        <v>107</v>
      </c>
      <c r="F21" s="49"/>
      <c r="G21" s="49"/>
      <c r="H21" s="49"/>
      <c r="I21" s="49"/>
      <c r="J21" s="49"/>
      <c r="K21" s="49"/>
      <c r="L21" s="49"/>
      <c r="M21" s="49"/>
      <c r="N21" s="49"/>
      <c r="O21" s="55" t="s">
        <v>105</v>
      </c>
    </row>
    <row r="22" spans="1:17" s="8" customFormat="1" ht="15.75" customHeight="1">
      <c r="A22" s="83" t="s">
        <v>117</v>
      </c>
      <c r="F22" s="49"/>
      <c r="G22" s="49"/>
      <c r="H22" s="49"/>
      <c r="I22" s="49"/>
      <c r="J22" s="49"/>
      <c r="K22" s="49"/>
      <c r="L22" s="49"/>
      <c r="M22" s="49"/>
      <c r="N22" s="49"/>
      <c r="O22" s="87" t="s">
        <v>116</v>
      </c>
    </row>
    <row r="23" spans="1:17" s="8" customFormat="1" ht="15.75" customHeight="1">
      <c r="A23" s="12" t="s">
        <v>108</v>
      </c>
      <c r="O23" s="10" t="s">
        <v>109</v>
      </c>
    </row>
    <row r="24" spans="1:17" s="8" customFormat="1" ht="14.25" customHeight="1">
      <c r="A24" s="12" t="s">
        <v>112</v>
      </c>
      <c r="F24" s="49"/>
      <c r="G24" s="49"/>
      <c r="H24" s="49"/>
      <c r="I24" s="49"/>
      <c r="J24" s="49"/>
      <c r="K24" s="49"/>
      <c r="L24" s="49"/>
      <c r="M24" s="49"/>
      <c r="N24" s="49"/>
      <c r="O24" s="84" t="s">
        <v>111</v>
      </c>
    </row>
    <row r="25" spans="1:17" s="8" customFormat="1" ht="14.25" customHeight="1">
      <c r="A25" s="12"/>
      <c r="F25" s="49"/>
      <c r="G25" s="49"/>
      <c r="H25" s="49"/>
      <c r="I25" s="49"/>
      <c r="J25" s="49"/>
      <c r="K25" s="49"/>
      <c r="L25" s="49"/>
      <c r="M25" s="49"/>
      <c r="N25" s="49"/>
    </row>
    <row r="26" spans="1:17" s="8" customFormat="1" ht="14.25" customHeight="1">
      <c r="A26" s="12"/>
      <c r="F26" s="49"/>
      <c r="G26" s="49"/>
      <c r="H26" s="49"/>
      <c r="I26" s="49"/>
      <c r="J26" s="49"/>
      <c r="K26" s="49"/>
      <c r="L26" s="49"/>
      <c r="M26" s="49"/>
      <c r="N26" s="49"/>
      <c r="O26" s="45"/>
    </row>
    <row r="27" spans="1:17" ht="6" customHeight="1"/>
    <row r="28" spans="1:17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</row>
  </sheetData>
  <mergeCells count="14">
    <mergeCell ref="A1:O1"/>
    <mergeCell ref="A2:O2"/>
    <mergeCell ref="A3:A7"/>
    <mergeCell ref="O3:O7"/>
    <mergeCell ref="B3:D3"/>
    <mergeCell ref="B5:D6"/>
    <mergeCell ref="L3:N3"/>
    <mergeCell ref="L4:N4"/>
    <mergeCell ref="L7:N7"/>
    <mergeCell ref="F5:H6"/>
    <mergeCell ref="F3:H4"/>
    <mergeCell ref="I3:K3"/>
    <mergeCell ref="I4:K4"/>
    <mergeCell ref="I7:K7"/>
  </mergeCells>
  <phoneticPr fontId="0" type="noConversion"/>
  <printOptions horizontalCentered="1" verticalCentered="1"/>
  <pageMargins left="0.05" right="0.14000000000000001" top="0.19" bottom="0.18" header="3.06" footer="0.17"/>
  <pageSetup paperSize="9" scale="79" orientation="landscape" horizontalDpi="4294967295" verticalDpi="4294967295" r:id="rId1"/>
  <headerFooter alignWithMargins="0"/>
  <colBreaks count="1" manualBreakCount="1">
    <brk id="16" max="1048575" man="1"/>
  </colBreaks>
  <drawing r:id="rId2"/>
  <webPublishItems count="1">
    <webPublishItem id="19630" divId="10- Tourism_19630" sourceType="range" sourceRef="A24:E27" destinationFile="\\Server\dp unit\Publication\Statistical  Year Book\Statistical Year Book 2008\yrbook08 cd\10-Tourism\10.5.htm"/>
  </webPublishItem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10.1 figures workings</vt:lpstr>
      <vt:lpstr>10.5</vt:lpstr>
      <vt:lpstr>'10.5'!Print_Area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Fathimath Shifaza</cp:lastModifiedBy>
  <cp:lastPrinted>2017-06-06T07:54:38Z</cp:lastPrinted>
  <dcterms:created xsi:type="dcterms:W3CDTF">2007-02-07T06:41:32Z</dcterms:created>
  <dcterms:modified xsi:type="dcterms:W3CDTF">2017-06-06T07:54:43Z</dcterms:modified>
</cp:coreProperties>
</file>