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0490" windowHeight="7905" tabRatio="736"/>
  </bookViews>
  <sheets>
    <sheet name="10.1" sheetId="39" r:id="rId1"/>
    <sheet name="10.1 figures workings" sheetId="44" state="hidden" r:id="rId2"/>
  </sheets>
  <externalReferences>
    <externalReference r:id="rId3"/>
    <externalReference r:id="rId4"/>
    <externalReference r:id="rId5"/>
  </externalReference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0">'10.1'!$A$1:$S$111</definedName>
    <definedName name="Print_Area_MI">#REF!</definedName>
    <definedName name="_xlnm.Print_Titles" localSheetId="0">'10.1'!$4:$6</definedName>
    <definedName name="ttttt">#REF!</definedName>
  </definedNames>
  <calcPr calcId="144525"/>
</workbook>
</file>

<file path=xl/calcChain.xml><?xml version="1.0" encoding="utf-8"?>
<calcChain xmlns="http://schemas.openxmlformats.org/spreadsheetml/2006/main">
  <c r="R13" i="39" l="1"/>
  <c r="AG64" i="39" l="1"/>
  <c r="AF64" i="39"/>
  <c r="R7" i="39"/>
  <c r="R67" i="39" l="1"/>
  <c r="R66" i="39"/>
  <c r="R65" i="39"/>
  <c r="R64" i="39"/>
  <c r="R63" i="39"/>
  <c r="R61" i="39"/>
  <c r="R60" i="39"/>
  <c r="R59" i="39"/>
  <c r="R57" i="39"/>
  <c r="R56" i="39"/>
  <c r="R55" i="39"/>
  <c r="R54" i="39"/>
  <c r="R52" i="39"/>
  <c r="R51" i="39"/>
  <c r="R49" i="39"/>
  <c r="R48" i="39"/>
  <c r="R47" i="39"/>
  <c r="R46" i="39"/>
  <c r="R45" i="39"/>
  <c r="R44" i="39"/>
  <c r="R43" i="39"/>
  <c r="R42" i="39"/>
  <c r="R41" i="39"/>
  <c r="R40" i="39"/>
  <c r="R39" i="39"/>
  <c r="R38" i="39"/>
  <c r="R37" i="39"/>
  <c r="R36" i="39"/>
  <c r="R34" i="39"/>
  <c r="R33" i="39"/>
  <c r="R32" i="39"/>
  <c r="R31" i="39"/>
  <c r="R30" i="39"/>
  <c r="R29" i="39"/>
  <c r="R28" i="39"/>
  <c r="R27" i="39"/>
  <c r="R26" i="39"/>
  <c r="R25" i="39"/>
  <c r="R24" i="39"/>
  <c r="R23" i="39"/>
  <c r="R22" i="39"/>
  <c r="R21" i="39"/>
  <c r="R20" i="39"/>
  <c r="R19" i="39"/>
  <c r="R18" i="39"/>
  <c r="R17" i="39"/>
  <c r="R16" i="39"/>
  <c r="R15" i="39"/>
  <c r="R14" i="39"/>
  <c r="R12" i="39"/>
  <c r="R11" i="39"/>
  <c r="R10" i="39"/>
  <c r="R9" i="39"/>
  <c r="F62" i="39"/>
  <c r="F58" i="39"/>
  <c r="F53" i="39"/>
  <c r="F50" i="39"/>
  <c r="F35" i="39"/>
  <c r="F8" i="39"/>
  <c r="F7" i="39" l="1"/>
  <c r="L53" i="39" s="1"/>
  <c r="L8" i="39" l="1"/>
  <c r="L35" i="39"/>
  <c r="L62" i="39"/>
  <c r="L58" i="39"/>
  <c r="L68" i="39"/>
  <c r="L64" i="39"/>
  <c r="L60" i="39"/>
  <c r="L56" i="39"/>
  <c r="L52" i="39"/>
  <c r="L48" i="39"/>
  <c r="L44" i="39"/>
  <c r="L40" i="39"/>
  <c r="L36" i="39"/>
  <c r="L32" i="39"/>
  <c r="L28" i="39"/>
  <c r="L24" i="39"/>
  <c r="L20" i="39"/>
  <c r="L16" i="39"/>
  <c r="L12" i="39"/>
  <c r="L61" i="39"/>
  <c r="L49" i="39"/>
  <c r="L33" i="39"/>
  <c r="L21" i="39"/>
  <c r="L13" i="39"/>
  <c r="L67" i="39"/>
  <c r="L63" i="39"/>
  <c r="L59" i="39"/>
  <c r="L55" i="39"/>
  <c r="L51" i="39"/>
  <c r="L47" i="39"/>
  <c r="L43" i="39"/>
  <c r="L39" i="39"/>
  <c r="L31" i="39"/>
  <c r="L27" i="39"/>
  <c r="L23" i="39"/>
  <c r="L19" i="39"/>
  <c r="L15" i="39"/>
  <c r="L11" i="39"/>
  <c r="L69" i="39"/>
  <c r="L41" i="39"/>
  <c r="L25" i="39"/>
  <c r="L7" i="39"/>
  <c r="L66" i="39"/>
  <c r="L54" i="39"/>
  <c r="L46" i="39"/>
  <c r="L42" i="39"/>
  <c r="L38" i="39"/>
  <c r="L34" i="39"/>
  <c r="L30" i="39"/>
  <c r="L26" i="39"/>
  <c r="L22" i="39"/>
  <c r="L18" i="39"/>
  <c r="L14" i="39"/>
  <c r="L10" i="39"/>
  <c r="L65" i="39"/>
  <c r="L57" i="39"/>
  <c r="L45" i="39"/>
  <c r="L37" i="39"/>
  <c r="L29" i="39"/>
  <c r="L17" i="39"/>
  <c r="L9" i="39"/>
  <c r="L50" i="39"/>
  <c r="Q67" i="39" l="1"/>
  <c r="Q66" i="39"/>
  <c r="Q65" i="39"/>
  <c r="Q64" i="39"/>
  <c r="Q63" i="39"/>
  <c r="Q61" i="39"/>
  <c r="Q60" i="39"/>
  <c r="Q59" i="39"/>
  <c r="Q57" i="39"/>
  <c r="Q56" i="39"/>
  <c r="Q55" i="39"/>
  <c r="Q54" i="39"/>
  <c r="Q52" i="39"/>
  <c r="Q51" i="39"/>
  <c r="Q49" i="39"/>
  <c r="Q48" i="39"/>
  <c r="Q47" i="39"/>
  <c r="Q46" i="39"/>
  <c r="Q45" i="39"/>
  <c r="Q44" i="39"/>
  <c r="Q43" i="39"/>
  <c r="Q42" i="39"/>
  <c r="Q41" i="39"/>
  <c r="Q40" i="39"/>
  <c r="Q39" i="39"/>
  <c r="Q38" i="39"/>
  <c r="Q37" i="39"/>
  <c r="Q36" i="39"/>
  <c r="Q34" i="39"/>
  <c r="Q33" i="39"/>
  <c r="Q32" i="39"/>
  <c r="Q31" i="39"/>
  <c r="Q30" i="39"/>
  <c r="Q29" i="39"/>
  <c r="Q28" i="39"/>
  <c r="Q27" i="39"/>
  <c r="Q26" i="39"/>
  <c r="Q25" i="39"/>
  <c r="Q24" i="39"/>
  <c r="Q23" i="39"/>
  <c r="Q22" i="39"/>
  <c r="Q21" i="39"/>
  <c r="Q20" i="39"/>
  <c r="Q19" i="39"/>
  <c r="Q18" i="39"/>
  <c r="Q17" i="39"/>
  <c r="Q16" i="39"/>
  <c r="Q15" i="39"/>
  <c r="Q14" i="39"/>
  <c r="Q13" i="39"/>
  <c r="Q12" i="39"/>
  <c r="Q11" i="39"/>
  <c r="Q10" i="39"/>
  <c r="Q9" i="39"/>
  <c r="E62" i="39"/>
  <c r="R62" i="39" s="1"/>
  <c r="E58" i="39"/>
  <c r="R58" i="39" s="1"/>
  <c r="E53" i="39"/>
  <c r="R53" i="39" s="1"/>
  <c r="E50" i="39"/>
  <c r="R50" i="39" s="1"/>
  <c r="E35" i="39"/>
  <c r="R35" i="39" s="1"/>
  <c r="E8" i="39"/>
  <c r="R8" i="39" s="1"/>
  <c r="E7" i="39" l="1"/>
  <c r="K8" i="39" l="1"/>
  <c r="K29" i="39"/>
  <c r="K48" i="39"/>
  <c r="K32" i="39"/>
  <c r="K57" i="39"/>
  <c r="K9" i="39"/>
  <c r="K12" i="39"/>
  <c r="K7" i="39"/>
  <c r="K14" i="39"/>
  <c r="K10" i="39"/>
  <c r="K40" i="39"/>
  <c r="K22" i="39"/>
  <c r="K43" i="39"/>
  <c r="K17" i="39"/>
  <c r="K53" i="39"/>
  <c r="K63" i="39"/>
  <c r="K58" i="39"/>
  <c r="K39" i="39"/>
  <c r="K50" i="39"/>
  <c r="K56" i="39"/>
  <c r="K31" i="39"/>
  <c r="K44" i="39"/>
  <c r="K46" i="39"/>
  <c r="K15" i="39"/>
  <c r="K69" i="39"/>
  <c r="K68" i="39"/>
  <c r="K59" i="39"/>
  <c r="K26" i="39"/>
  <c r="K37" i="39"/>
  <c r="K60" i="39"/>
  <c r="K51" i="39"/>
  <c r="K18" i="39"/>
  <c r="K54" i="39"/>
  <c r="K21" i="39"/>
  <c r="K36" i="39"/>
  <c r="K27" i="39"/>
  <c r="K49" i="39"/>
  <c r="K64" i="39"/>
  <c r="K28" i="39"/>
  <c r="K19" i="39"/>
  <c r="K41" i="39"/>
  <c r="K47" i="39"/>
  <c r="K38" i="39"/>
  <c r="K16" i="39"/>
  <c r="K11" i="39"/>
  <c r="K24" i="39"/>
  <c r="K23" i="39"/>
  <c r="K30" i="39"/>
  <c r="K13" i="39"/>
  <c r="K52" i="39"/>
  <c r="K67" i="39"/>
  <c r="K66" i="39"/>
  <c r="K65" i="39"/>
  <c r="K42" i="39"/>
  <c r="K33" i="39"/>
  <c r="K55" i="39"/>
  <c r="K62" i="39"/>
  <c r="K45" i="39"/>
  <c r="K61" i="39"/>
  <c r="K20" i="39"/>
  <c r="K35" i="39"/>
  <c r="K34" i="39"/>
  <c r="K25" i="39"/>
  <c r="D58" i="39" l="1"/>
  <c r="Q58" i="39" s="1"/>
  <c r="AE64" i="39" l="1"/>
  <c r="D62" i="39"/>
  <c r="Q62" i="39" s="1"/>
  <c r="D53" i="39"/>
  <c r="Q53" i="39" s="1"/>
  <c r="D50" i="39"/>
  <c r="Q50" i="39" s="1"/>
  <c r="D35" i="39"/>
  <c r="Q35" i="39" s="1"/>
  <c r="D8" i="39"/>
  <c r="Q8" i="39" s="1"/>
  <c r="D7" i="39" l="1"/>
  <c r="Q7" i="39" s="1"/>
  <c r="P9" i="39" l="1"/>
  <c r="P67" i="39"/>
  <c r="P66" i="39"/>
  <c r="P65" i="39"/>
  <c r="P64" i="39"/>
  <c r="P63" i="39"/>
  <c r="P61" i="39"/>
  <c r="P60" i="39"/>
  <c r="P59" i="39"/>
  <c r="P57" i="39"/>
  <c r="P56" i="39"/>
  <c r="P55" i="39"/>
  <c r="P54" i="39"/>
  <c r="P52" i="39"/>
  <c r="P51" i="39"/>
  <c r="P49" i="39"/>
  <c r="P48" i="39"/>
  <c r="P47" i="39"/>
  <c r="P46" i="39"/>
  <c r="P45" i="39"/>
  <c r="P44" i="39"/>
  <c r="P43" i="39"/>
  <c r="P42" i="39"/>
  <c r="P41" i="39"/>
  <c r="P40" i="39"/>
  <c r="P39" i="39"/>
  <c r="P38" i="39"/>
  <c r="P37" i="39"/>
  <c r="P36" i="39"/>
  <c r="P34" i="39"/>
  <c r="P33" i="39"/>
  <c r="P32" i="39"/>
  <c r="P31" i="39"/>
  <c r="P30" i="39"/>
  <c r="P29" i="39"/>
  <c r="P28" i="39"/>
  <c r="P27" i="39"/>
  <c r="P26" i="39"/>
  <c r="P25" i="39"/>
  <c r="P24" i="39"/>
  <c r="P23" i="39"/>
  <c r="P22" i="39"/>
  <c r="P21" i="39"/>
  <c r="P20" i="39"/>
  <c r="P19" i="39"/>
  <c r="P18" i="39"/>
  <c r="P17" i="39"/>
  <c r="P16" i="39"/>
  <c r="P15" i="39"/>
  <c r="P14" i="39"/>
  <c r="P13" i="39"/>
  <c r="P12" i="39"/>
  <c r="P11" i="39"/>
  <c r="P10" i="39"/>
  <c r="J62" i="39" l="1"/>
  <c r="C62" i="39"/>
  <c r="P62" i="39" s="1"/>
  <c r="AD64" i="39"/>
  <c r="AC64" i="39"/>
  <c r="C58" i="39"/>
  <c r="P58" i="39" s="1"/>
  <c r="C53" i="39"/>
  <c r="P53" i="39" s="1"/>
  <c r="C50" i="39"/>
  <c r="P50" i="39" s="1"/>
  <c r="C35" i="39"/>
  <c r="P35" i="39" s="1"/>
  <c r="C8" i="39"/>
  <c r="C7" i="39" l="1"/>
  <c r="I9" i="39" s="1"/>
  <c r="J58" i="39"/>
  <c r="J50" i="39"/>
  <c r="P8" i="39"/>
  <c r="J8" i="39"/>
  <c r="J66" i="39"/>
  <c r="J54" i="39"/>
  <c r="J46" i="39"/>
  <c r="J42" i="39"/>
  <c r="J38" i="39"/>
  <c r="J34" i="39"/>
  <c r="J30" i="39"/>
  <c r="J26" i="39"/>
  <c r="J22" i="39"/>
  <c r="J18" i="39"/>
  <c r="J14" i="39"/>
  <c r="J10" i="39"/>
  <c r="J61" i="39"/>
  <c r="J45" i="39"/>
  <c r="J41" i="39"/>
  <c r="J33" i="39"/>
  <c r="J25" i="39"/>
  <c r="J17" i="39"/>
  <c r="J13" i="39"/>
  <c r="J67" i="39"/>
  <c r="J59" i="39"/>
  <c r="J43" i="39"/>
  <c r="J39" i="39"/>
  <c r="J23" i="39"/>
  <c r="J15" i="39"/>
  <c r="J9" i="39"/>
  <c r="J69" i="39"/>
  <c r="J65" i="39"/>
  <c r="J57" i="39"/>
  <c r="J53" i="39"/>
  <c r="J49" i="39"/>
  <c r="J37" i="39"/>
  <c r="J29" i="39"/>
  <c r="J21" i="39"/>
  <c r="J7" i="39"/>
  <c r="J55" i="39"/>
  <c r="J51" i="39"/>
  <c r="J31" i="39"/>
  <c r="J27" i="39"/>
  <c r="J11" i="39"/>
  <c r="J68" i="39"/>
  <c r="J64" i="39"/>
  <c r="J60" i="39"/>
  <c r="J56" i="39"/>
  <c r="J52" i="39"/>
  <c r="J48" i="39"/>
  <c r="J44" i="39"/>
  <c r="J40" i="39"/>
  <c r="J36" i="39"/>
  <c r="J32" i="39"/>
  <c r="J28" i="39"/>
  <c r="J24" i="39"/>
  <c r="J20" i="39"/>
  <c r="J16" i="39"/>
  <c r="J12" i="39"/>
  <c r="J63" i="39"/>
  <c r="J47" i="39"/>
  <c r="J35" i="39"/>
  <c r="J19" i="39"/>
  <c r="I68" i="39"/>
  <c r="I69" i="39"/>
  <c r="P7" i="39" l="1"/>
  <c r="I67" i="39"/>
  <c r="I8" i="39"/>
  <c r="O63" i="39" l="1"/>
  <c r="O64" i="39"/>
  <c r="O65" i="39"/>
  <c r="O66" i="39"/>
  <c r="O67" i="39"/>
  <c r="O61" i="39"/>
  <c r="O60" i="39"/>
  <c r="O59" i="39"/>
  <c r="O57" i="39"/>
  <c r="O56" i="39"/>
  <c r="O55" i="39"/>
  <c r="O52" i="39"/>
  <c r="O51" i="39"/>
  <c r="O49" i="39"/>
  <c r="O47" i="39"/>
  <c r="O48" i="39"/>
  <c r="O46" i="39"/>
  <c r="O45" i="39"/>
  <c r="O44" i="39"/>
  <c r="O43" i="39"/>
  <c r="O42" i="39"/>
  <c r="O41" i="39"/>
  <c r="O40" i="39"/>
  <c r="O38" i="39"/>
  <c r="O39" i="39"/>
  <c r="O37" i="39"/>
  <c r="O36" i="39"/>
  <c r="O34" i="39"/>
  <c r="O33" i="39"/>
  <c r="O32" i="39"/>
  <c r="O31" i="39"/>
  <c r="O30" i="39"/>
  <c r="O29" i="39"/>
  <c r="O28" i="39"/>
  <c r="O27" i="39"/>
  <c r="O26" i="39"/>
  <c r="O24" i="39"/>
  <c r="O23" i="39"/>
  <c r="O22" i="39"/>
  <c r="O21" i="39"/>
  <c r="O20" i="39"/>
  <c r="O19" i="39"/>
  <c r="O18" i="39"/>
  <c r="O17" i="39"/>
  <c r="O16" i="39"/>
  <c r="O15" i="39"/>
  <c r="O14" i="39"/>
  <c r="O13" i="39"/>
  <c r="O12" i="39"/>
  <c r="O11" i="39"/>
  <c r="O10" i="39"/>
  <c r="O9" i="39"/>
  <c r="O54" i="39"/>
  <c r="O25" i="39"/>
  <c r="K60" i="44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AB64" i="39"/>
  <c r="AA64" i="39"/>
  <c r="Z64" i="39"/>
  <c r="Y64" i="39"/>
  <c r="B62" i="39"/>
  <c r="B58" i="39"/>
  <c r="B53" i="39"/>
  <c r="B50" i="39"/>
  <c r="B35" i="39"/>
  <c r="B8" i="39"/>
  <c r="O8" i="39" s="1"/>
  <c r="B7" i="39" l="1"/>
  <c r="H20" i="39" s="1"/>
  <c r="I58" i="39"/>
  <c r="I39" i="39"/>
  <c r="O62" i="39"/>
  <c r="O53" i="39"/>
  <c r="S1" i="44"/>
  <c r="I56" i="39"/>
  <c r="O35" i="39"/>
  <c r="O58" i="39"/>
  <c r="O50" i="39"/>
  <c r="H29" i="39" l="1"/>
  <c r="H58" i="39"/>
  <c r="H44" i="39"/>
  <c r="H15" i="39"/>
  <c r="H25" i="39"/>
  <c r="H43" i="39"/>
  <c r="H48" i="39"/>
  <c r="H50" i="39"/>
  <c r="H16" i="39"/>
  <c r="H53" i="39"/>
  <c r="H39" i="39"/>
  <c r="H36" i="39"/>
  <c r="H52" i="39"/>
  <c r="O7" i="39"/>
  <c r="H41" i="39"/>
  <c r="H56" i="39"/>
  <c r="H37" i="39"/>
  <c r="H18" i="39"/>
  <c r="H26" i="39"/>
  <c r="H40" i="39"/>
  <c r="H31" i="39"/>
  <c r="H14" i="39"/>
  <c r="H19" i="39"/>
  <c r="H54" i="39"/>
  <c r="H27" i="39"/>
  <c r="H13" i="39"/>
  <c r="H35" i="39"/>
  <c r="H32" i="39"/>
  <c r="H61" i="39"/>
  <c r="H65" i="39"/>
  <c r="H33" i="39"/>
  <c r="H34" i="39"/>
  <c r="H63" i="39"/>
  <c r="H21" i="39"/>
  <c r="H23" i="39"/>
  <c r="H55" i="39"/>
  <c r="H12" i="39"/>
  <c r="H64" i="39"/>
  <c r="H22" i="39"/>
  <c r="H46" i="39"/>
  <c r="H11" i="39"/>
  <c r="H49" i="39"/>
  <c r="H51" i="39"/>
  <c r="H7" i="39"/>
  <c r="H38" i="39"/>
  <c r="H10" i="39"/>
  <c r="H24" i="39"/>
  <c r="H8" i="39"/>
  <c r="H47" i="39"/>
  <c r="H45" i="39"/>
  <c r="H57" i="39"/>
  <c r="H59" i="39"/>
  <c r="H9" i="39"/>
  <c r="H17" i="39"/>
  <c r="H67" i="39"/>
  <c r="H60" i="39"/>
  <c r="H30" i="39"/>
  <c r="H66" i="39"/>
  <c r="H28" i="39"/>
  <c r="H42" i="39"/>
  <c r="H62" i="39"/>
  <c r="I45" i="39"/>
  <c r="I46" i="39"/>
  <c r="I30" i="39"/>
  <c r="I57" i="39"/>
  <c r="I13" i="39"/>
  <c r="I21" i="39"/>
  <c r="I28" i="39"/>
  <c r="I14" i="39"/>
  <c r="I51" i="39"/>
  <c r="I42" i="39"/>
  <c r="I53" i="39"/>
  <c r="I34" i="39"/>
  <c r="I63" i="39"/>
  <c r="I47" i="39"/>
  <c r="I35" i="39"/>
  <c r="I11" i="39"/>
  <c r="I55" i="39"/>
  <c r="I17" i="39"/>
  <c r="I25" i="39"/>
  <c r="I64" i="39"/>
  <c r="I22" i="39"/>
  <c r="I31" i="39"/>
  <c r="I54" i="39"/>
  <c r="I48" i="39"/>
  <c r="I44" i="39"/>
  <c r="I40" i="39"/>
  <c r="I62" i="39"/>
  <c r="I32" i="39"/>
  <c r="I37" i="39"/>
  <c r="I65" i="39"/>
  <c r="I60" i="39"/>
  <c r="I52" i="39"/>
  <c r="I43" i="39"/>
  <c r="I50" i="39"/>
  <c r="I41" i="39"/>
  <c r="I49" i="39"/>
  <c r="I10" i="39"/>
  <c r="I15" i="39"/>
  <c r="I19" i="39"/>
  <c r="I23" i="39"/>
  <c r="I27" i="39"/>
  <c r="I33" i="39"/>
  <c r="I7" i="39"/>
  <c r="I18" i="39"/>
  <c r="I26" i="39"/>
  <c r="I66" i="39"/>
  <c r="I38" i="39"/>
  <c r="I59" i="39"/>
  <c r="I12" i="39"/>
  <c r="I16" i="39"/>
  <c r="I20" i="39"/>
  <c r="I24" i="39"/>
  <c r="I29" i="39"/>
  <c r="I36" i="39"/>
  <c r="I61" i="39"/>
</calcChain>
</file>

<file path=xl/sharedStrings.xml><?xml version="1.0" encoding="utf-8"?>
<sst xmlns="http://schemas.openxmlformats.org/spreadsheetml/2006/main" count="257" uniqueCount="151">
  <si>
    <t>Total</t>
  </si>
  <si>
    <t>Europe</t>
  </si>
  <si>
    <t>Asia</t>
  </si>
  <si>
    <t>Africa</t>
  </si>
  <si>
    <t>Oceania</t>
  </si>
  <si>
    <t>-</t>
  </si>
  <si>
    <t>2008</t>
  </si>
  <si>
    <t>Middle East</t>
  </si>
  <si>
    <t>udwdwA egcnirevurutwf</t>
  </si>
  <si>
    <t xml:space="preserve"> cniawtcaws ctogWviawfiheb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</si>
  <si>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</si>
  <si>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</si>
  <si>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</si>
  <si>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</si>
  <si>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</si>
  <si>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</si>
  <si>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</si>
  <si>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</si>
  <si>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</si>
  <si>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</si>
  <si>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</si>
  <si>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</si>
  <si>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</si>
  <si>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</si>
  <si>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</si>
  <si>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</si>
  <si>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</si>
  <si>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</si>
  <si>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</si>
  <si>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</si>
  <si>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</si>
  <si>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</si>
  <si>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</si>
  <si>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</si>
  <si>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</si>
  <si>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</si>
  <si>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</si>
  <si>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</si>
  <si>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</si>
  <si>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</si>
  <si>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</si>
  <si>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</si>
  <si>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</si>
  <si>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</si>
  <si>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</si>
  <si>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</si>
  <si>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</si>
  <si>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</si>
  <si>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</si>
  <si>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</si>
  <si>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</si>
  <si>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</si>
  <si>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</si>
  <si>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>Americas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</si>
  <si>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</si>
  <si>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</si>
  <si>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</si>
  <si>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</si>
  <si>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</si>
  <si>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</si>
  <si>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</si>
  <si>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</si>
  <si>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</si>
  <si>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</si>
  <si>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</si>
  <si>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</si>
  <si>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އޮސްޓްރިއާ</t>
  </si>
  <si>
    <t>ޖުމްލަ</t>
  </si>
  <si>
    <t>ޔޫރަޕް</t>
  </si>
  <si>
    <t>ބެލްޖިއަމް</t>
  </si>
  <si>
    <t>ޗެކްރިޕަބްލިކް</t>
  </si>
  <si>
    <t>ޑެންމާރކް</t>
  </si>
  <si>
    <t>ފިންލޭންޑް</t>
  </si>
  <si>
    <t>ފްރާންސް</t>
  </si>
  <si>
    <t>ޖާމަނީ</t>
  </si>
  <si>
    <t>ގްރީސް</t>
  </si>
  <si>
    <t>ހަންގްރީ</t>
  </si>
  <si>
    <t>އަޔަރލޭންޑް</t>
  </si>
  <si>
    <t>އިޒްރޭލް</t>
  </si>
  <si>
    <t>އިޓަލީ</t>
  </si>
  <si>
    <t>ނެދަރލޭންޑްސް</t>
  </si>
  <si>
    <t>ނޯރވޭ</t>
  </si>
  <si>
    <t>ޕޮލޭންޑް</t>
  </si>
  <si>
    <t>ޕޯޗުގަލް</t>
  </si>
  <si>
    <t>ރަޝިއާ</t>
  </si>
  <si>
    <t>ސްލޮވޭކިއާ</t>
  </si>
  <si>
    <t>ސްޕެއިން</t>
  </si>
  <si>
    <t>ސްލްވީނިއާ</t>
  </si>
  <si>
    <t>ސްވިޑްން</t>
  </si>
  <si>
    <t>ސްވިޓްޒަރލޭންޑް</t>
  </si>
  <si>
    <t>ޓަރކީ</t>
  </si>
  <si>
    <t>ޔުކްރެއިން</t>
  </si>
  <si>
    <t>ޔުނައިޓެޑް ކިންގްޑަމް</t>
  </si>
  <si>
    <t>އެހެނިހެން</t>
  </si>
  <si>
    <t>އޭޝިއާ</t>
  </si>
  <si>
    <t>ބަންގްލަދޭޝް</t>
  </si>
  <si>
    <t>ޗައިނާ</t>
  </si>
  <si>
    <t>އިންޑޮނޭޝިއާ</t>
  </si>
  <si>
    <t>އިންޑިއާ</t>
  </si>
  <si>
    <t>ކޮރެއާ</t>
  </si>
  <si>
    <t>ޖަޕާން</t>
  </si>
  <si>
    <t>މެލޭޝިއާ</t>
  </si>
  <si>
    <t>ޕާކިސްތާން</t>
  </si>
  <si>
    <t>ފިލިޕީންސް</t>
  </si>
  <si>
    <t>ސިންގަޕޯރ</t>
  </si>
  <si>
    <t>ސްރީލަންކާ</t>
  </si>
  <si>
    <t>ޓައިވާން</t>
  </si>
  <si>
    <t>ތައިލޭންޑް</t>
  </si>
  <si>
    <t>އެފްރިކާ</t>
  </si>
  <si>
    <t>ސައުތު އެފްރިކާ</t>
  </si>
  <si>
    <t>އެމެރިކާސް</t>
  </si>
  <si>
    <t>ބްރެޒީލް</t>
  </si>
  <si>
    <t>ކެނެޑާ</t>
  </si>
  <si>
    <t>ޔޫ.އެސް.އޭ</t>
  </si>
  <si>
    <t>އޯޝޭނިއާ</t>
  </si>
  <si>
    <t>އޮސްޓްރޭލިއާ</t>
  </si>
  <si>
    <t>ނިއުޒީލޭންޑް</t>
  </si>
  <si>
    <t>މިޑްލް އީސްޓް</t>
  </si>
  <si>
    <t>ކުވެއިތު</t>
  </si>
  <si>
    <t>ލެބެނަން</t>
  </si>
  <si>
    <t>ސައުދީއެރޭބިއާ</t>
  </si>
  <si>
    <t>ޔުނައިޓެޑް އެރެބް އެމިރޭޓްސް</t>
  </si>
  <si>
    <t>2010</t>
  </si>
  <si>
    <t>No. of Tourists</t>
  </si>
  <si>
    <t>Percentage Share</t>
  </si>
  <si>
    <t>% change over previous year</t>
  </si>
  <si>
    <t xml:space="preserve"> cawtumuawq </t>
  </si>
  <si>
    <t>2011</t>
  </si>
  <si>
    <t>އިތުރުވި މިންވަރު</t>
  </si>
  <si>
    <t xml:space="preserve">Wviawfevirevcnwzwv
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</si>
  <si>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</si>
  <si>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</si>
  <si>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</si>
  <si>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</si>
  <si>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</si>
  <si>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</si>
  <si>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</si>
  <si>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</si>
  <si>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 xml:space="preserve">Country of Nationality
</t>
  </si>
  <si>
    <t>2013</t>
  </si>
  <si>
    <t>UN Passport Holders</t>
  </si>
  <si>
    <t>Source: Ministry of Tourism</t>
  </si>
  <si>
    <t>Not Stated</t>
  </si>
  <si>
    <t>cmwzirUT cfoa IrcTcsinim :ctWrwf ivcaed utWmUluAwm</t>
  </si>
  <si>
    <t>ބަޔާންނުކުރާ</t>
  </si>
  <si>
    <t>ޔޫ.އެން ޕާސްޕޯޓް ހޯލްޑަރ</t>
  </si>
  <si>
    <t>2014</t>
  </si>
  <si>
    <t>2015</t>
  </si>
  <si>
    <t>2016</t>
  </si>
  <si>
    <t>Table 10.1 :   FLOW OF TOURISTS BY NATIONALITY, 2014 -  2016</t>
  </si>
  <si>
    <t>2016 - 2014 ,udwdwA egcnirevurutwf iawaejcaWr cnutogegukwtumuawq : 10.1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</si>
</sst>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7" formatCode="0.0"/>
    <numFmt numFmtId="168" formatCode="0.00_)"/>
    <numFmt numFmtId="169" formatCode="_(* #,##0_);_(* \(#,##0\);_(* &quot;-&quot;??_);_(@_)"/>
    <numFmt numFmtId="170" formatCode="#,##0;[Red]#,##0"/>
  </numFmts>
  <fonts count="2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9"/>
      <name val="A_Randhoo"/>
    </font>
    <font>
      <b/>
      <sz val="9"/>
      <name val="A_Randhoo"/>
    </font>
    <font>
      <b/>
      <sz val="10"/>
      <name val="A_Randhoo"/>
    </font>
    <font>
      <sz val="10"/>
      <name val="Helv"/>
    </font>
    <font>
      <b/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b/>
      <sz val="10.5"/>
      <name val="Faruma"/>
    </font>
    <font>
      <sz val="10.5"/>
      <name val="Faruma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0.5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9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2" fillId="0" borderId="0"/>
    <xf numFmtId="43" fontId="2" fillId="0" borderId="0" applyFont="0" applyFill="0" applyBorder="0" applyAlignment="0" applyProtection="0"/>
    <xf numFmtId="168" fontId="3" fillId="0" borderId="0"/>
    <xf numFmtId="0" fontId="2" fillId="0" borderId="0"/>
    <xf numFmtId="1" fontId="13" fillId="0" borderId="1" applyNumberFormat="0"/>
    <xf numFmtId="0" fontId="2" fillId="0" borderId="0"/>
    <xf numFmtId="0" fontId="19" fillId="0" borderId="0"/>
    <xf numFmtId="0" fontId="14" fillId="0" borderId="0"/>
    <xf numFmtId="0" fontId="2" fillId="0" borderId="0"/>
    <xf numFmtId="0" fontId="11" fillId="0" borderId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</cellStyleXfs>
  <cellXfs count="127">
    <xf numFmtId="0" fontId="0" fillId="0" borderId="0" xfId="0"/>
    <xf numFmtId="0" fontId="0" fillId="2" borderId="0" xfId="0" applyFill="1"/>
    <xf numFmtId="49" fontId="21" fillId="2" borderId="3" xfId="0" applyNumberFormat="1" applyFont="1" applyFill="1" applyBorder="1" applyAlignment="1" applyProtection="1">
      <alignment horizontal="right" vertical="center"/>
    </xf>
    <xf numFmtId="0" fontId="21" fillId="2" borderId="2" xfId="0" applyFont="1" applyFill="1" applyBorder="1" applyAlignment="1" applyProtection="1">
      <alignment horizontal="right" vertical="center"/>
    </xf>
    <xf numFmtId="0" fontId="23" fillId="2" borderId="0" xfId="0" applyFont="1" applyFill="1" applyAlignment="1" applyProtection="1">
      <alignment horizontal="left" vertical="center"/>
    </xf>
    <xf numFmtId="37" fontId="5" fillId="2" borderId="0" xfId="0" applyNumberFormat="1" applyFont="1" applyFill="1" applyAlignment="1" applyProtection="1">
      <alignment horizontal="right" vertical="center"/>
    </xf>
    <xf numFmtId="0" fontId="5" fillId="2" borderId="0" xfId="0" applyFont="1" applyFill="1" applyAlignment="1">
      <alignment vertical="center"/>
    </xf>
    <xf numFmtId="0" fontId="8" fillId="2" borderId="0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0" fontId="2" fillId="2" borderId="0" xfId="0" applyFont="1" applyFill="1"/>
    <xf numFmtId="0" fontId="4" fillId="2" borderId="0" xfId="0" applyFont="1" applyFill="1"/>
    <xf numFmtId="0" fontId="21" fillId="2" borderId="3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170" fontId="4" fillId="2" borderId="0" xfId="0" applyNumberFormat="1" applyFont="1" applyFill="1"/>
    <xf numFmtId="0" fontId="24" fillId="2" borderId="0" xfId="0" applyFont="1" applyFill="1" applyAlignment="1" applyProtection="1">
      <alignment horizontal="left" vertical="center"/>
    </xf>
    <xf numFmtId="0" fontId="23" fillId="2" borderId="0" xfId="0" applyFont="1" applyFill="1" applyAlignment="1" applyProtection="1">
      <alignment horizontal="left" vertical="top"/>
    </xf>
    <xf numFmtId="0" fontId="9" fillId="2" borderId="2" xfId="0" applyFont="1" applyFill="1" applyBorder="1" applyAlignment="1">
      <alignment vertical="center" wrapText="1"/>
    </xf>
    <xf numFmtId="0" fontId="25" fillId="2" borderId="0" xfId="0" applyFont="1" applyFill="1" applyBorder="1" applyAlignment="1" applyProtection="1">
      <alignment horizontal="left" vertical="center"/>
    </xf>
    <xf numFmtId="3" fontId="25" fillId="2" borderId="0" xfId="0" applyNumberFormat="1" applyFont="1" applyFill="1" applyBorder="1" applyAlignment="1" applyProtection="1">
      <alignment vertical="center"/>
    </xf>
    <xf numFmtId="3" fontId="25" fillId="2" borderId="10" xfId="0" applyNumberFormat="1" applyFont="1" applyFill="1" applyBorder="1" applyAlignment="1">
      <alignment vertical="center"/>
    </xf>
    <xf numFmtId="167" fontId="25" fillId="2" borderId="0" xfId="0" applyNumberFormat="1" applyFont="1" applyFill="1" applyBorder="1" applyAlignment="1">
      <alignment vertical="center"/>
    </xf>
    <xf numFmtId="0" fontId="16" fillId="2" borderId="5" xfId="0" applyFont="1" applyFill="1" applyBorder="1" applyAlignment="1">
      <alignment horizontal="right" vertical="center"/>
    </xf>
    <xf numFmtId="167" fontId="25" fillId="2" borderId="10" xfId="0" applyNumberFormat="1" applyFont="1" applyFill="1" applyBorder="1" applyAlignment="1">
      <alignment vertical="center"/>
    </xf>
    <xf numFmtId="0" fontId="16" fillId="2" borderId="0" xfId="0" applyFont="1" applyFill="1" applyBorder="1" applyAlignment="1">
      <alignment horizontal="right" vertical="center"/>
    </xf>
    <xf numFmtId="169" fontId="26" fillId="2" borderId="11" xfId="2" applyNumberFormat="1" applyFont="1" applyFill="1" applyBorder="1" applyAlignment="1" applyProtection="1">
      <alignment horizontal="left" vertical="center"/>
    </xf>
    <xf numFmtId="170" fontId="26" fillId="2" borderId="0" xfId="2" applyNumberFormat="1" applyFont="1" applyFill="1" applyBorder="1" applyAlignment="1">
      <alignment vertical="center"/>
    </xf>
    <xf numFmtId="167" fontId="26" fillId="2" borderId="10" xfId="0" applyNumberFormat="1" applyFont="1" applyFill="1" applyBorder="1" applyAlignment="1">
      <alignment vertical="center"/>
    </xf>
    <xf numFmtId="167" fontId="26" fillId="2" borderId="6" xfId="0" applyNumberFormat="1" applyFont="1" applyFill="1" applyBorder="1" applyAlignment="1">
      <alignment vertical="center"/>
    </xf>
    <xf numFmtId="167" fontId="26" fillId="2" borderId="0" xfId="0" applyNumberFormat="1" applyFont="1" applyFill="1" applyBorder="1" applyAlignment="1">
      <alignment vertical="center"/>
    </xf>
    <xf numFmtId="0" fontId="17" fillId="2" borderId="0" xfId="0" applyFont="1" applyFill="1" applyBorder="1" applyAlignment="1">
      <alignment horizontal="right" vertical="center"/>
    </xf>
    <xf numFmtId="169" fontId="25" fillId="2" borderId="13" xfId="2" applyNumberFormat="1" applyFont="1" applyFill="1" applyBorder="1" applyAlignment="1" applyProtection="1">
      <alignment horizontal="left" vertical="center"/>
    </xf>
    <xf numFmtId="170" fontId="25" fillId="2" borderId="0" xfId="2" applyNumberFormat="1" applyFont="1" applyFill="1" applyBorder="1" applyAlignment="1" applyProtection="1">
      <alignment horizontal="right" vertical="center"/>
    </xf>
    <xf numFmtId="167" fontId="26" fillId="2" borderId="2" xfId="0" applyNumberFormat="1" applyFont="1" applyFill="1" applyBorder="1" applyAlignment="1">
      <alignment vertical="center"/>
    </xf>
    <xf numFmtId="0" fontId="17" fillId="2" borderId="2" xfId="10" applyFont="1" applyFill="1" applyBorder="1" applyAlignment="1">
      <alignment vertical="center"/>
    </xf>
    <xf numFmtId="0" fontId="21" fillId="2" borderId="17" xfId="0" applyFont="1" applyFill="1" applyBorder="1" applyAlignment="1">
      <alignment horizontal="center" vertical="center"/>
    </xf>
    <xf numFmtId="49" fontId="21" fillId="3" borderId="18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22" fillId="4" borderId="11" xfId="2" applyNumberFormat="1" applyFont="1" applyFill="1" applyBorder="1" applyAlignment="1" applyProtection="1">
      <alignment horizontal="left" vertical="center"/>
    </xf>
    <xf numFmtId="170" fontId="22" fillId="4" borderId="12" xfId="2" applyNumberFormat="1" applyFont="1" applyFill="1" applyBorder="1" applyAlignment="1">
      <alignment vertical="center"/>
    </xf>
    <xf numFmtId="0" fontId="0" fillId="4" borderId="0" xfId="0" quotePrefix="1" applyFill="1"/>
    <xf numFmtId="170" fontId="22" fillId="4" borderId="0" xfId="2" applyNumberFormat="1" applyFont="1" applyFill="1" applyBorder="1" applyAlignment="1">
      <alignment vertical="center"/>
    </xf>
    <xf numFmtId="170" fontId="22" fillId="4" borderId="9" xfId="2" applyNumberFormat="1" applyFont="1" applyFill="1" applyBorder="1" applyAlignment="1">
      <alignment vertical="center"/>
    </xf>
    <xf numFmtId="0" fontId="21" fillId="2" borderId="4" xfId="0" applyFont="1" applyFill="1" applyBorder="1" applyAlignment="1" applyProtection="1">
      <alignment horizontal="right" vertical="center"/>
    </xf>
    <xf numFmtId="0" fontId="21" fillId="3" borderId="8" xfId="0" applyFont="1" applyFill="1" applyBorder="1" applyAlignment="1" applyProtection="1">
      <alignment horizontal="right" vertical="center"/>
    </xf>
    <xf numFmtId="167" fontId="22" fillId="4" borderId="0" xfId="0" applyNumberFormat="1" applyFont="1" applyFill="1" applyBorder="1" applyAlignment="1">
      <alignment vertical="center"/>
    </xf>
    <xf numFmtId="167" fontId="20" fillId="4" borderId="0" xfId="0" applyNumberFormat="1" applyFont="1" applyFill="1" applyBorder="1" applyAlignment="1">
      <alignment vertical="center"/>
    </xf>
    <xf numFmtId="167" fontId="20" fillId="4" borderId="9" xfId="0" applyNumberFormat="1" applyFont="1" applyFill="1" applyBorder="1" applyAlignment="1">
      <alignment vertical="center"/>
    </xf>
    <xf numFmtId="169" fontId="22" fillId="2" borderId="11" xfId="2" applyNumberFormat="1" applyFont="1" applyFill="1" applyBorder="1" applyAlignment="1" applyProtection="1">
      <alignment horizontal="left" vertical="center"/>
    </xf>
    <xf numFmtId="170" fontId="22" fillId="2" borderId="12" xfId="2" applyNumberFormat="1" applyFont="1" applyFill="1" applyBorder="1" applyAlignment="1">
      <alignment vertical="center"/>
    </xf>
    <xf numFmtId="170" fontId="22" fillId="2" borderId="0" xfId="2" applyNumberFormat="1" applyFont="1" applyFill="1" applyBorder="1" applyAlignment="1">
      <alignment vertical="center"/>
    </xf>
    <xf numFmtId="170" fontId="22" fillId="3" borderId="9" xfId="2" applyNumberFormat="1" applyFont="1" applyFill="1" applyBorder="1" applyAlignment="1">
      <alignment vertical="center"/>
    </xf>
    <xf numFmtId="167" fontId="22" fillId="2" borderId="0" xfId="0" applyNumberFormat="1" applyFont="1" applyFill="1" applyBorder="1" applyAlignment="1">
      <alignment vertical="center"/>
    </xf>
    <xf numFmtId="167" fontId="20" fillId="2" borderId="0" xfId="0" applyNumberFormat="1" applyFont="1" applyFill="1" applyBorder="1" applyAlignment="1">
      <alignment vertical="center"/>
    </xf>
    <xf numFmtId="167" fontId="20" fillId="3" borderId="9" xfId="0" applyNumberFormat="1" applyFont="1" applyFill="1" applyBorder="1" applyAlignment="1">
      <alignment vertical="center"/>
    </xf>
    <xf numFmtId="169" fontId="22" fillId="2" borderId="15" xfId="2" applyNumberFormat="1" applyFont="1" applyFill="1" applyBorder="1" applyAlignment="1" applyProtection="1">
      <alignment horizontal="left" vertical="center"/>
    </xf>
    <xf numFmtId="170" fontId="22" fillId="2" borderId="16" xfId="2" applyNumberFormat="1" applyFont="1" applyFill="1" applyBorder="1" applyAlignment="1">
      <alignment vertical="center"/>
    </xf>
    <xf numFmtId="170" fontId="22" fillId="2" borderId="2" xfId="2" applyNumberFormat="1" applyFont="1" applyFill="1" applyBorder="1" applyAlignment="1">
      <alignment vertical="center"/>
    </xf>
    <xf numFmtId="170" fontId="22" fillId="3" borderId="8" xfId="2" applyNumberFormat="1" applyFont="1" applyFill="1" applyBorder="1" applyAlignment="1">
      <alignment vertical="center"/>
    </xf>
    <xf numFmtId="167" fontId="22" fillId="2" borderId="2" xfId="0" applyNumberFormat="1" applyFont="1" applyFill="1" applyBorder="1" applyAlignment="1">
      <alignment vertical="center"/>
    </xf>
    <xf numFmtId="167" fontId="20" fillId="2" borderId="2" xfId="0" applyNumberFormat="1" applyFont="1" applyFill="1" applyBorder="1" applyAlignment="1">
      <alignment vertical="center"/>
    </xf>
    <xf numFmtId="167" fontId="20" fillId="3" borderId="8" xfId="0" applyNumberFormat="1" applyFont="1" applyFill="1" applyBorder="1" applyAlignment="1">
      <alignment vertical="center"/>
    </xf>
    <xf numFmtId="0" fontId="7" fillId="2" borderId="0" xfId="0" applyFont="1" applyFill="1" applyAlignment="1" applyProtection="1">
      <alignment horizontal="center" vertical="center"/>
    </xf>
    <xf numFmtId="3" fontId="25" fillId="2" borderId="0" xfId="0" applyNumberFormat="1" applyFont="1" applyFill="1" applyBorder="1" applyAlignment="1">
      <alignment vertical="center"/>
    </xf>
    <xf numFmtId="0" fontId="21" fillId="2" borderId="17" xfId="0" applyFont="1" applyFill="1" applyBorder="1" applyAlignment="1" applyProtection="1">
      <alignment horizontal="right" vertical="center"/>
    </xf>
    <xf numFmtId="0" fontId="18" fillId="2" borderId="0" xfId="0" applyFont="1" applyFill="1"/>
    <xf numFmtId="0" fontId="17" fillId="2" borderId="0" xfId="10" applyFont="1" applyFill="1" applyBorder="1" applyAlignment="1">
      <alignment vertical="center"/>
    </xf>
    <xf numFmtId="0" fontId="0" fillId="2" borderId="0" xfId="0" applyFill="1" applyBorder="1"/>
    <xf numFmtId="169" fontId="26" fillId="2" borderId="21" xfId="2" applyNumberFormat="1" applyFont="1" applyFill="1" applyBorder="1" applyAlignment="1" applyProtection="1">
      <alignment horizontal="left" vertical="center"/>
    </xf>
    <xf numFmtId="169" fontId="26" fillId="2" borderId="0" xfId="2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/>
    <xf numFmtId="169" fontId="25" fillId="2" borderId="2" xfId="2" applyNumberFormat="1" applyFont="1" applyFill="1" applyBorder="1" applyAlignment="1" applyProtection="1">
      <alignment horizontal="left" vertical="center"/>
    </xf>
    <xf numFmtId="170" fontId="26" fillId="2" borderId="10" xfId="2" applyNumberFormat="1" applyFont="1" applyFill="1" applyBorder="1" applyAlignment="1">
      <alignment vertical="center"/>
    </xf>
    <xf numFmtId="49" fontId="21" fillId="2" borderId="18" xfId="0" applyNumberFormat="1" applyFont="1" applyFill="1" applyBorder="1" applyAlignment="1" applyProtection="1">
      <alignment horizontal="right" vertical="center"/>
    </xf>
    <xf numFmtId="170" fontId="22" fillId="2" borderId="9" xfId="2" applyNumberFormat="1" applyFont="1" applyFill="1" applyBorder="1" applyAlignment="1">
      <alignment vertical="center"/>
    </xf>
    <xf numFmtId="170" fontId="26" fillId="2" borderId="2" xfId="2" applyNumberFormat="1" applyFont="1" applyFill="1" applyBorder="1" applyAlignment="1">
      <alignment vertical="center"/>
    </xf>
    <xf numFmtId="170" fontId="26" fillId="2" borderId="14" xfId="2" applyNumberFormat="1" applyFont="1" applyFill="1" applyBorder="1" applyAlignment="1" applyProtection="1">
      <alignment horizontal="right" vertical="center"/>
    </xf>
    <xf numFmtId="170" fontId="26" fillId="2" borderId="22" xfId="2" applyNumberFormat="1" applyFont="1" applyFill="1" applyBorder="1" applyAlignment="1" applyProtection="1">
      <alignment horizontal="right" vertical="center"/>
    </xf>
    <xf numFmtId="170" fontId="26" fillId="2" borderId="23" xfId="2" applyNumberFormat="1" applyFont="1" applyFill="1" applyBorder="1" applyAlignment="1" applyProtection="1">
      <alignment horizontal="right" vertical="center"/>
    </xf>
    <xf numFmtId="170" fontId="26" fillId="2" borderId="7" xfId="2" applyNumberFormat="1" applyFont="1" applyFill="1" applyBorder="1" applyAlignment="1" applyProtection="1">
      <alignment horizontal="right" vertical="center"/>
    </xf>
    <xf numFmtId="49" fontId="21" fillId="2" borderId="24" xfId="0" applyNumberFormat="1" applyFont="1" applyFill="1" applyBorder="1" applyAlignment="1" applyProtection="1">
      <alignment horizontal="right" vertical="center"/>
    </xf>
    <xf numFmtId="3" fontId="25" fillId="2" borderId="10" xfId="0" applyNumberFormat="1" applyFont="1" applyFill="1" applyBorder="1" applyAlignment="1" applyProtection="1">
      <alignment vertical="center"/>
    </xf>
    <xf numFmtId="170" fontId="25" fillId="2" borderId="10" xfId="2" applyNumberFormat="1" applyFont="1" applyFill="1" applyBorder="1" applyAlignment="1" applyProtection="1">
      <alignment horizontal="right" vertical="center"/>
    </xf>
    <xf numFmtId="167" fontId="26" fillId="2" borderId="17" xfId="0" applyNumberFormat="1" applyFont="1" applyFill="1" applyBorder="1" applyAlignment="1">
      <alignment vertical="center"/>
    </xf>
    <xf numFmtId="0" fontId="9" fillId="2" borderId="0" xfId="0" applyFont="1" applyFill="1" applyBorder="1" applyAlignment="1">
      <alignment horizontal="right" vertical="center"/>
    </xf>
    <xf numFmtId="0" fontId="0" fillId="2" borderId="25" xfId="0" applyFill="1" applyBorder="1"/>
    <xf numFmtId="0" fontId="10" fillId="2" borderId="27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top" wrapText="1"/>
    </xf>
    <xf numFmtId="170" fontId="26" fillId="2" borderId="13" xfId="2" applyNumberFormat="1" applyFont="1" applyFill="1" applyBorder="1" applyAlignment="1" applyProtection="1">
      <alignment horizontal="right" vertical="center"/>
    </xf>
    <xf numFmtId="170" fontId="26" fillId="2" borderId="2" xfId="2" applyNumberFormat="1" applyFont="1" applyFill="1" applyBorder="1" applyAlignment="1" applyProtection="1">
      <alignment horizontal="right" vertical="center"/>
    </xf>
    <xf numFmtId="170" fontId="22" fillId="2" borderId="12" xfId="2" applyNumberFormat="1" applyFont="1" applyFill="1" applyBorder="1" applyAlignment="1">
      <alignment vertical="center"/>
    </xf>
    <xf numFmtId="0" fontId="10" fillId="2" borderId="25" xfId="0" applyFont="1" applyFill="1" applyBorder="1" applyAlignment="1">
      <alignment vertical="center"/>
    </xf>
    <xf numFmtId="0" fontId="21" fillId="2" borderId="28" xfId="0" applyFont="1" applyFill="1" applyBorder="1" applyAlignment="1">
      <alignment vertical="center"/>
    </xf>
    <xf numFmtId="0" fontId="10" fillId="2" borderId="25" xfId="0" applyFont="1" applyFill="1" applyBorder="1" applyAlignment="1">
      <alignment vertical="center" wrapText="1"/>
    </xf>
    <xf numFmtId="0" fontId="12" fillId="2" borderId="25" xfId="0" applyFont="1" applyFill="1" applyBorder="1" applyAlignment="1">
      <alignment vertical="center"/>
    </xf>
    <xf numFmtId="170" fontId="26" fillId="2" borderId="17" xfId="2" applyNumberFormat="1" applyFont="1" applyFill="1" applyBorder="1" applyAlignment="1">
      <alignment vertical="center"/>
    </xf>
    <xf numFmtId="0" fontId="4" fillId="2" borderId="0" xfId="0" applyFont="1" applyFill="1" applyBorder="1" applyAlignment="1" applyProtection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27" fillId="2" borderId="0" xfId="0" applyFont="1" applyFill="1" applyBorder="1" applyAlignment="1" applyProtection="1">
      <alignment horizontal="center" vertical="center"/>
    </xf>
    <xf numFmtId="0" fontId="20" fillId="2" borderId="5" xfId="0" applyFont="1" applyFill="1" applyBorder="1" applyAlignment="1" applyProtection="1">
      <alignment horizontal="left" vertical="center" wrapText="1"/>
    </xf>
    <xf numFmtId="0" fontId="20" fillId="2" borderId="0" xfId="0" applyFont="1" applyFill="1" applyBorder="1" applyAlignment="1" applyProtection="1">
      <alignment horizontal="left" vertical="center"/>
    </xf>
    <xf numFmtId="0" fontId="20" fillId="2" borderId="2" xfId="0" applyFont="1" applyFill="1" applyBorder="1" applyAlignment="1" applyProtection="1">
      <alignment horizontal="left" vertical="center"/>
    </xf>
    <xf numFmtId="0" fontId="10" fillId="2" borderId="25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21" fillId="2" borderId="29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21" fillId="2" borderId="5" xfId="0" applyFont="1" applyFill="1" applyBorder="1" applyAlignment="1" applyProtection="1">
      <alignment horizontal="left" vertical="center" wrapText="1"/>
    </xf>
    <xf numFmtId="0" fontId="21" fillId="2" borderId="0" xfId="0" applyFont="1" applyFill="1" applyBorder="1" applyAlignment="1" applyProtection="1">
      <alignment horizontal="left" vertical="center"/>
    </xf>
    <xf numFmtId="0" fontId="21" fillId="2" borderId="2" xfId="0" applyFont="1" applyFill="1" applyBorder="1" applyAlignment="1" applyProtection="1">
      <alignment horizontal="left" vertical="center"/>
    </xf>
    <xf numFmtId="0" fontId="10" fillId="2" borderId="5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19" xfId="0" applyFill="1" applyBorder="1"/>
    <xf numFmtId="0" fontId="12" fillId="2" borderId="20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</cellXfs>
  <cellStyles count="17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" xfId="13"/>
    <cellStyle name="Normal 4 2" xfId="7"/>
    <cellStyle name="Normal 4 2 2" xfId="14"/>
    <cellStyle name="Normal 5" xfId="8"/>
    <cellStyle name="Normal 5 2" xfId="9"/>
    <cellStyle name="Normal 6" xfId="15"/>
    <cellStyle name="Normal 7" xfId="16"/>
    <cellStyle name="Normal_TABLE456" xfId="10"/>
    <cellStyle name="Percent 2" xfId="11"/>
    <cellStyle name="Percent 2 2" xfId="12"/>
  </cellStyles>
  <dxfs count="0"/>
  <tableStyles count="0" defaultTableStyle="TableStyleMedium9" defaultPivotStyle="PivotStyleLight16"/>
  <colors>
    <mruColors>
      <color rgb="FFFDEADB"/>
      <color rgb="FFFCD5BD"/>
      <color rgb="FFFFCC00"/>
      <color rgb="FFFBC9AB"/>
      <color rgb="FFFAC090"/>
      <color rgb="FF953735"/>
      <color rgb="FFFCE0C8"/>
      <color rgb="FFFF4B4B"/>
      <color rgb="FFA54E07"/>
      <color rgb="FFFDEA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 10.1: Top ten tourist markets,</a:t>
            </a:r>
            <a:r>
              <a:rPr lang="en-US" sz="1200" baseline="0">
                <a:latin typeface="Consolas" pitchFamily="49" charset="0"/>
                <a:cs typeface="Consolas" pitchFamily="49" charset="0"/>
              </a:rPr>
              <a:t> 2016</a:t>
            </a:r>
            <a:endParaRPr lang="en-US" sz="12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2383064915058129"/>
          <c:y val="3.52051317754007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48678189842189"/>
          <c:y val="0.18103004978197124"/>
          <c:w val="0.85484533984672961"/>
          <c:h val="0.5474927725842095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53735"/>
            </a:solidFill>
          </c:spPr>
          <c:invertIfNegative val="0"/>
          <c:cat>
            <c:strRef>
              <c:f>'10.1'!$X$83:$X$92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Italy</c:v>
                </c:pt>
                <c:pt idx="4">
                  <c:v>   India</c:v>
                </c:pt>
                <c:pt idx="5">
                  <c:v>   Russia</c:v>
                </c:pt>
                <c:pt idx="6">
                  <c:v>   France</c:v>
                </c:pt>
                <c:pt idx="7">
                  <c:v>   Japan</c:v>
                </c:pt>
                <c:pt idx="8">
                  <c:v>   U.S.A</c:v>
                </c:pt>
                <c:pt idx="9">
                  <c:v>   Switzerland</c:v>
                </c:pt>
              </c:strCache>
            </c:strRef>
          </c:cat>
          <c:val>
            <c:numRef>
              <c:f>'10.1'!$Y$83:$Y$92</c:f>
              <c:numCache>
                <c:formatCode>General</c:formatCode>
                <c:ptCount val="10"/>
                <c:pt idx="0">
                  <c:v>324326</c:v>
                </c:pt>
                <c:pt idx="1">
                  <c:v>106381</c:v>
                </c:pt>
                <c:pt idx="2">
                  <c:v>101843</c:v>
                </c:pt>
                <c:pt idx="3">
                  <c:v>71202</c:v>
                </c:pt>
                <c:pt idx="4">
                  <c:v>66955</c:v>
                </c:pt>
                <c:pt idx="5">
                  <c:v>46522</c:v>
                </c:pt>
                <c:pt idx="6">
                  <c:v>40487</c:v>
                </c:pt>
                <c:pt idx="7">
                  <c:v>39894</c:v>
                </c:pt>
                <c:pt idx="8">
                  <c:v>32589</c:v>
                </c:pt>
                <c:pt idx="9">
                  <c:v>31678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0681088"/>
        <c:axId val="110693376"/>
      </c:barChart>
      <c:catAx>
        <c:axId val="11068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sz="1000"/>
            </a:pPr>
            <a:endParaRPr lang="en-US"/>
          </a:p>
        </c:txPr>
        <c:crossAx val="110693376"/>
        <c:crosses val="autoZero"/>
        <c:auto val="1"/>
        <c:lblAlgn val="ctr"/>
        <c:lblOffset val="100"/>
        <c:noMultiLvlLbl val="0"/>
      </c:catAx>
      <c:valAx>
        <c:axId val="110693376"/>
        <c:scaling>
          <c:orientation val="minMax"/>
        </c:scaling>
        <c:delete val="0"/>
        <c:axPos val="l"/>
        <c:majorGridlines>
          <c:spPr>
            <a:ln>
              <a:solidFill>
                <a:srgbClr val="FCD5BD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 b="0"/>
                </a:pPr>
                <a:r>
                  <a:rPr lang="en-US" sz="800" b="0"/>
                  <a:t>Number of tourists</a:t>
                </a:r>
              </a:p>
            </c:rich>
          </c:tx>
          <c:layout>
            <c:manualLayout>
              <c:xMode val="edge"/>
              <c:yMode val="edge"/>
              <c:x val="1.0839810550651403E-2"/>
              <c:y val="9.3296735565503067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110681088"/>
        <c:crosses val="autoZero"/>
        <c:crossBetween val="between"/>
      </c:valAx>
      <c:spPr>
        <a:solidFill>
          <a:srgbClr val="FDEADA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31131752177254"/>
          <c:y val="0.17562935067899124"/>
          <c:w val="0.8577636027436607"/>
          <c:h val="0.69272588418086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</c:spPr>
          <c:invertIfNegative val="0"/>
          <c:cat>
            <c:strRef>
              <c:f>'10.1'!$Y$63:$AG$63</c:f>
              <c:strCache>
                <c:ptCount val="9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</c:strCache>
            </c:strRef>
          </c:cat>
          <c:val>
            <c:numRef>
              <c:f>'10.1'!$Y$65:$AG$65</c:f>
              <c:numCache>
                <c:formatCode>#,##0;[Red]#,##0</c:formatCode>
                <c:ptCount val="9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  <c:pt idx="5">
                  <c:v>331719</c:v>
                </c:pt>
                <c:pt idx="6">
                  <c:v>363626</c:v>
                </c:pt>
                <c:pt idx="7" formatCode="General">
                  <c:v>359514</c:v>
                </c:pt>
                <c:pt idx="8" formatCode="General">
                  <c:v>324326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622592"/>
        <c:axId val="113693824"/>
      </c:barChart>
      <c:catAx>
        <c:axId val="11262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113693824"/>
        <c:crosses val="autoZero"/>
        <c:auto val="1"/>
        <c:lblAlgn val="ctr"/>
        <c:lblOffset val="100"/>
        <c:noMultiLvlLbl val="0"/>
      </c:catAx>
      <c:valAx>
        <c:axId val="113693824"/>
        <c:scaling>
          <c:orientation val="minMax"/>
        </c:scaling>
        <c:delete val="0"/>
        <c:axPos val="l"/>
        <c:majorGridlines>
          <c:spPr>
            <a:ln>
              <a:solidFill>
                <a:srgbClr val="FCD5BD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 b="0"/>
                </a:pPr>
                <a:r>
                  <a:rPr lang="en-US" sz="800" b="0"/>
                  <a:t>Number of tourists </a:t>
                </a:r>
              </a:p>
            </c:rich>
          </c:tx>
          <c:layout>
            <c:manualLayout>
              <c:xMode val="edge"/>
              <c:yMode val="edge"/>
              <c:x val="6.5250834182004874E-3"/>
              <c:y val="9.1687602594826431E-2"/>
            </c:manualLayout>
          </c:layout>
          <c:overlay val="0"/>
        </c:title>
        <c:numFmt formatCode="#,##0;[Red]#,##0" sourceLinked="1"/>
        <c:majorTickMark val="out"/>
        <c:minorTickMark val="none"/>
        <c:tickLblPos val="nextTo"/>
        <c:crossAx val="112622592"/>
        <c:crosses val="autoZero"/>
        <c:crossBetween val="between"/>
      </c:valAx>
      <c:spPr>
        <a:solidFill>
          <a:srgbClr val="FDEADA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166784"/>
        <c:axId val="114205824"/>
      </c:barChart>
      <c:catAx>
        <c:axId val="114166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4205824"/>
        <c:crosses val="autoZero"/>
        <c:auto val="1"/>
        <c:lblAlgn val="ctr"/>
        <c:lblOffset val="100"/>
        <c:noMultiLvlLbl val="0"/>
      </c:catAx>
      <c:valAx>
        <c:axId val="114205824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1141667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091648"/>
        <c:axId val="64093184"/>
      </c:barChart>
      <c:catAx>
        <c:axId val="64091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4093184"/>
        <c:crosses val="autoZero"/>
        <c:auto val="1"/>
        <c:lblAlgn val="ctr"/>
        <c:lblOffset val="100"/>
        <c:noMultiLvlLbl val="0"/>
      </c:catAx>
      <c:valAx>
        <c:axId val="640931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640916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438151</xdr:colOff>
      <xdr:row>72</xdr:row>
      <xdr:rowOff>38100</xdr:rowOff>
    </xdr:from>
    <xdr:to>
      <xdr:col>18</xdr:col>
      <xdr:colOff>1</xdr:colOff>
      <xdr:row>89</xdr:row>
      <xdr:rowOff>47625</xdr:rowOff>
    </xdr:to>
    <xdr:graphicFrame macro="">
      <xdr:nvGraphicFramePr>
        <xdr:cNvPr id="232768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542925</xdr:colOff>
      <xdr:row>91</xdr:row>
      <xdr:rowOff>0</xdr:rowOff>
    </xdr:from>
    <xdr:to>
      <xdr:col>18</xdr:col>
      <xdr:colOff>9525</xdr:colOff>
      <xdr:row>109</xdr:row>
      <xdr:rowOff>66675</xdr:rowOff>
    </xdr:to>
    <xdr:graphicFrame macro="">
      <xdr:nvGraphicFramePr>
        <xdr:cNvPr id="232768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315586</xdr:colOff>
      <xdr:row>92</xdr:row>
      <xdr:rowOff>131972</xdr:rowOff>
    </xdr:from>
    <xdr:to>
      <xdr:col>17</xdr:col>
      <xdr:colOff>418870</xdr:colOff>
      <xdr:row>92</xdr:row>
      <xdr:rowOff>135373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2375511" y="19818885"/>
          <a:ext cx="4389534" cy="3401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4</xdr:col>
      <xdr:colOff>573794</xdr:colOff>
      <xdr:row>74</xdr:row>
      <xdr:rowOff>37827</xdr:rowOff>
    </xdr:from>
    <xdr:to>
      <xdr:col>16</xdr:col>
      <xdr:colOff>481988</xdr:colOff>
      <xdr:row>74</xdr:row>
      <xdr:rowOff>37827</xdr:rowOff>
    </xdr:to>
    <xdr:sp macro="" textlink="">
      <xdr:nvSpPr>
        <xdr:cNvPr id="8" name="Line 4"/>
        <xdr:cNvSpPr>
          <a:spLocks noChangeShapeType="1"/>
        </xdr:cNvSpPr>
      </xdr:nvSpPr>
      <xdr:spPr bwMode="auto">
        <a:xfrm>
          <a:off x="2633719" y="16603294"/>
          <a:ext cx="3672290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4</xdr:col>
      <xdr:colOff>269683</xdr:colOff>
      <xdr:row>91</xdr:row>
      <xdr:rowOff>86070</xdr:rowOff>
    </xdr:from>
    <xdr:to>
      <xdr:col>17</xdr:col>
      <xdr:colOff>499202</xdr:colOff>
      <xdr:row>92</xdr:row>
      <xdr:rowOff>149187</xdr:rowOff>
    </xdr:to>
    <xdr:sp macro="" textlink="">
      <xdr:nvSpPr>
        <xdr:cNvPr id="2" name="TextBox 1"/>
        <xdr:cNvSpPr txBox="1"/>
      </xdr:nvSpPr>
      <xdr:spPr>
        <a:xfrm>
          <a:off x="2329608" y="19589368"/>
          <a:ext cx="4515769" cy="2467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10.2: Chinese tourist arrival market, 2008 - 2016 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sharu\AppData\Local\Microsoft\Windows\Temporary%20Internet%20Files\Content.Outlook\D1OR6BR1\10%20%20Tourism__Min%20of%20Tourism%20updated%20shahuda%20checked%20with%20new%20graph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ights"/>
      <sheetName val="carmon2000"/>
      <sheetName val="TCARR2000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armon2001"/>
      <sheetName val="TCARR2001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10.1"/>
      <sheetName val="10.1 (2)fig"/>
      <sheetName val="10.2&amp;fig10.1- 10.2"/>
      <sheetName val="10.3&amp;fig10.3"/>
      <sheetName val="10.4&amp;fig10.4-10.5."/>
      <sheetName val="10.5 (2)graph"/>
      <sheetName val="10.5"/>
      <sheetName val="10.6"/>
      <sheetName val="10.7"/>
      <sheetName val="10.8fig"/>
      <sheetName val="10.9 cd (2)fig"/>
      <sheetName val="10.9 cd"/>
      <sheetName val="10.10 cd"/>
      <sheetName val="10.11 cd"/>
      <sheetName val="10.12 new"/>
      <sheetName val="10.13 new"/>
      <sheetName val="10.14new"/>
    </sheetNames>
    <sheetDataSet>
      <sheetData sheetId="0" refreshError="1"/>
      <sheetData sheetId="1" refreshError="1"/>
      <sheetData sheetId="2">
        <row r="1">
          <cell r="M1" t="str">
            <v>2008</v>
          </cell>
          <cell r="N1" t="str">
            <v>2009</v>
          </cell>
          <cell r="O1" t="str">
            <v>2010</v>
          </cell>
          <cell r="P1" t="str">
            <v>2011</v>
          </cell>
          <cell r="Q1" t="str">
            <v>2012</v>
          </cell>
        </row>
        <row r="4">
          <cell r="M4">
            <v>41511</v>
          </cell>
          <cell r="N4">
            <v>60666</v>
          </cell>
          <cell r="O4">
            <v>118961</v>
          </cell>
          <cell r="P4">
            <v>198655</v>
          </cell>
          <cell r="Q4">
            <v>229551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G92"/>
  <sheetViews>
    <sheetView showGridLines="0" tabSelected="1" zoomScaleNormal="100" zoomScaleSheetLayoutView="148" workbookViewId="0">
      <pane xSplit="1" ySplit="8" topLeftCell="D9" activePane="bottomRight" state="frozen"/>
      <selection pane="topRight" activeCell="B1" sqref="B1"/>
      <selection pane="bottomLeft" activeCell="A9" sqref="A9"/>
      <selection pane="bottomRight" activeCell="J10" sqref="J10"/>
    </sheetView>
  </sheetViews>
  <sheetFormatPr defaultRowHeight="12.75"/>
  <cols>
    <col min="1" max="1" width="21" style="1" customWidth="1"/>
    <col min="2" max="2" width="9.140625" style="1" hidden="1" customWidth="1"/>
    <col min="3" max="3" width="9.85546875" style="1" hidden="1" customWidth="1"/>
    <col min="4" max="6" width="9.85546875" style="1" customWidth="1"/>
    <col min="7" max="7" width="1.28515625" style="1" customWidth="1"/>
    <col min="8" max="9" width="7.85546875" style="9" hidden="1" customWidth="1"/>
    <col min="10" max="12" width="8.7109375" style="9" customWidth="1"/>
    <col min="13" max="13" width="1.42578125" style="9" customWidth="1"/>
    <col min="14" max="15" width="7.85546875" style="9" hidden="1" customWidth="1"/>
    <col min="16" max="18" width="7.85546875" style="9" customWidth="1"/>
    <col min="19" max="19" width="19.140625" style="1" customWidth="1"/>
    <col min="20" max="20" width="1.42578125" style="1" customWidth="1"/>
    <col min="21" max="22" width="9.140625" style="1"/>
    <col min="23" max="23" width="56.42578125" style="1" customWidth="1"/>
    <col min="24" max="16384" width="9.140625" style="1"/>
  </cols>
  <sheetData>
    <row r="1" spans="1:20" s="66" customFormat="1" ht="15.75" customHeight="1">
      <c r="A1" s="99" t="s">
        <v>150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</row>
    <row r="2" spans="1:20" ht="15.75" customHeight="1">
      <c r="A2" s="100" t="s">
        <v>149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</row>
    <row r="3" spans="1:20" ht="7.5" customHeight="1">
      <c r="A3" s="97"/>
      <c r="B3" s="97"/>
      <c r="C3" s="97"/>
      <c r="D3" s="97"/>
      <c r="E3" s="97"/>
      <c r="F3" s="97"/>
      <c r="G3" s="97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97"/>
    </row>
    <row r="4" spans="1:20" ht="25.5" customHeight="1">
      <c r="A4" s="101" t="s">
        <v>138</v>
      </c>
      <c r="C4" s="92"/>
      <c r="D4" s="104" t="s">
        <v>8</v>
      </c>
      <c r="E4" s="104"/>
      <c r="F4" s="104"/>
      <c r="G4" s="86"/>
      <c r="I4" s="94"/>
      <c r="J4" s="106" t="s">
        <v>9</v>
      </c>
      <c r="K4" s="107"/>
      <c r="L4" s="107"/>
      <c r="M4" s="87"/>
      <c r="O4" s="95"/>
      <c r="P4" s="109" t="s">
        <v>128</v>
      </c>
      <c r="Q4" s="110"/>
      <c r="R4" s="110"/>
      <c r="S4" s="88" t="s">
        <v>129</v>
      </c>
    </row>
    <row r="5" spans="1:20" ht="13.5" customHeight="1">
      <c r="A5" s="102"/>
      <c r="C5" s="93"/>
      <c r="D5" s="105" t="s">
        <v>123</v>
      </c>
      <c r="E5" s="105"/>
      <c r="F5" s="105"/>
      <c r="G5" s="98"/>
      <c r="I5" s="93"/>
      <c r="J5" s="108" t="s">
        <v>124</v>
      </c>
      <c r="K5" s="105"/>
      <c r="L5" s="105"/>
      <c r="M5" s="35"/>
      <c r="O5" s="93"/>
      <c r="P5" s="108" t="s">
        <v>125</v>
      </c>
      <c r="Q5" s="105"/>
      <c r="R5" s="105"/>
      <c r="S5" s="85" t="s">
        <v>126</v>
      </c>
    </row>
    <row r="6" spans="1:20" s="10" customFormat="1" ht="15" customHeight="1">
      <c r="A6" s="103"/>
      <c r="B6" s="2" t="s">
        <v>130</v>
      </c>
      <c r="C6" s="2" t="s">
        <v>139</v>
      </c>
      <c r="D6" s="2" t="s">
        <v>146</v>
      </c>
      <c r="E6" s="2" t="s">
        <v>147</v>
      </c>
      <c r="F6" s="2" t="s">
        <v>148</v>
      </c>
      <c r="G6" s="81"/>
      <c r="H6" s="11">
        <v>2012</v>
      </c>
      <c r="I6" s="11">
        <v>2013</v>
      </c>
      <c r="J6" s="11">
        <v>2014</v>
      </c>
      <c r="K6" s="11">
        <v>2015</v>
      </c>
      <c r="L6" s="11">
        <v>2016</v>
      </c>
      <c r="M6" s="65"/>
      <c r="N6" s="3">
        <v>2012</v>
      </c>
      <c r="O6" s="3">
        <v>2013</v>
      </c>
      <c r="P6" s="3">
        <v>2014</v>
      </c>
      <c r="Q6" s="3">
        <v>2015</v>
      </c>
      <c r="R6" s="3">
        <v>2016</v>
      </c>
      <c r="S6" s="17"/>
    </row>
    <row r="7" spans="1:20" s="10" customFormat="1" ht="18" customHeight="1">
      <c r="A7" s="18" t="s">
        <v>0</v>
      </c>
      <c r="B7" s="19">
        <f t="shared" ref="B7" si="0">B8+B35+B50+B53+B58+B62</f>
        <v>958025</v>
      </c>
      <c r="C7" s="19">
        <f>C8+C35+C50+C53+C58+C62+C68+C69</f>
        <v>1125202</v>
      </c>
      <c r="D7" s="19">
        <f>D8+D35+D50+D53+D58+D62+D68+D69</f>
        <v>1204857</v>
      </c>
      <c r="E7" s="19">
        <f>E8+E35+E50+E53+E58+E62+E68+E69</f>
        <v>1234248</v>
      </c>
      <c r="F7" s="19">
        <f>F8+F35+F50+F53+F58+F62+F68+F69</f>
        <v>1286135</v>
      </c>
      <c r="G7" s="82"/>
      <c r="H7" s="64">
        <f t="shared" ref="H7:H38" si="1">B7/B$7*100</f>
        <v>100</v>
      </c>
      <c r="I7" s="64">
        <f t="shared" ref="I7:I38" si="2">C7/C$7*100</f>
        <v>100</v>
      </c>
      <c r="J7" s="64">
        <f t="shared" ref="J7:J38" si="3">D7/D$7*100</f>
        <v>100</v>
      </c>
      <c r="K7" s="64">
        <f t="shared" ref="K7:L38" si="4">E7/E$7*100</f>
        <v>100</v>
      </c>
      <c r="L7" s="64">
        <f>F7/F$7*100</f>
        <v>100</v>
      </c>
      <c r="M7" s="20"/>
      <c r="N7" s="21">
        <v>2.8659995941301339</v>
      </c>
      <c r="O7" s="21">
        <f t="shared" ref="O7:O38" si="5">(C7-B7)/B7*100</f>
        <v>17.450170924558336</v>
      </c>
      <c r="P7" s="21">
        <f t="shared" ref="P7:P38" si="6">(D7-C7)/C7*100</f>
        <v>7.0791733395425886</v>
      </c>
      <c r="Q7" s="21">
        <f t="shared" ref="Q7:R38" si="7">(E7-D7)/D7*100</f>
        <v>2.4393766231179304</v>
      </c>
      <c r="R7" s="21">
        <f>(F7-E7)/E7*100</f>
        <v>4.2039363239802698</v>
      </c>
      <c r="S7" s="22" t="s">
        <v>67</v>
      </c>
      <c r="T7" s="14"/>
    </row>
    <row r="8" spans="1:20" s="10" customFormat="1" ht="18" customHeight="1">
      <c r="A8" s="18" t="s">
        <v>1</v>
      </c>
      <c r="B8" s="19">
        <f t="shared" ref="B8" si="8">SUM(B9:B34)</f>
        <v>517807</v>
      </c>
      <c r="C8" s="19">
        <f>SUM(C9:C34)</f>
        <v>527274</v>
      </c>
      <c r="D8" s="19">
        <f>SUM(D9:D34)</f>
        <v>529291</v>
      </c>
      <c r="E8" s="19">
        <f>SUM(E9:E34)</f>
        <v>535962</v>
      </c>
      <c r="F8" s="19">
        <f>SUM(F9:F34)</f>
        <v>575176</v>
      </c>
      <c r="G8" s="82"/>
      <c r="H8" s="21">
        <f t="shared" si="1"/>
        <v>54.049424597479188</v>
      </c>
      <c r="I8" s="21">
        <f t="shared" si="2"/>
        <v>46.860385957365878</v>
      </c>
      <c r="J8" s="21">
        <f t="shared" si="3"/>
        <v>43.92977755866464</v>
      </c>
      <c r="K8" s="21">
        <f t="shared" si="4"/>
        <v>43.424174071985533</v>
      </c>
      <c r="L8" s="21">
        <f t="shared" si="4"/>
        <v>44.72127731536736</v>
      </c>
      <c r="M8" s="23"/>
      <c r="N8" s="21">
        <v>-3.70985407907289</v>
      </c>
      <c r="O8" s="21">
        <f t="shared" si="5"/>
        <v>1.8282873734808529</v>
      </c>
      <c r="P8" s="21">
        <f t="shared" si="6"/>
        <v>0.38253355940175315</v>
      </c>
      <c r="Q8" s="21">
        <f t="shared" si="7"/>
        <v>1.2603652811024559</v>
      </c>
      <c r="R8" s="21">
        <f t="shared" si="7"/>
        <v>7.3165634877099501</v>
      </c>
      <c r="S8" s="24" t="s">
        <v>68</v>
      </c>
    </row>
    <row r="9" spans="1:20" ht="18" customHeight="1">
      <c r="A9" s="25" t="s">
        <v>11</v>
      </c>
      <c r="B9" s="26">
        <v>18164</v>
      </c>
      <c r="C9" s="26">
        <v>18140</v>
      </c>
      <c r="D9" s="26">
        <v>18726</v>
      </c>
      <c r="E9" s="26">
        <v>18981</v>
      </c>
      <c r="F9" s="26">
        <v>17654</v>
      </c>
      <c r="G9" s="73"/>
      <c r="H9" s="29">
        <f t="shared" si="1"/>
        <v>1.8959839252629107</v>
      </c>
      <c r="I9" s="29">
        <f t="shared" si="2"/>
        <v>1.6121549730626146</v>
      </c>
      <c r="J9" s="29">
        <f t="shared" si="3"/>
        <v>1.5542093377056365</v>
      </c>
      <c r="K9" s="29">
        <f t="shared" si="4"/>
        <v>1.5378594901510878</v>
      </c>
      <c r="L9" s="29">
        <f t="shared" si="4"/>
        <v>1.3726397306659099</v>
      </c>
      <c r="M9" s="27"/>
      <c r="N9" s="29">
        <v>9.0603422395676976</v>
      </c>
      <c r="O9" s="29">
        <f t="shared" si="5"/>
        <v>-0.13212948689715923</v>
      </c>
      <c r="P9" s="29">
        <f t="shared" si="6"/>
        <v>3.2304299889746417</v>
      </c>
      <c r="Q9" s="29">
        <f t="shared" si="7"/>
        <v>1.3617430310797822</v>
      </c>
      <c r="R9" s="29">
        <f t="shared" si="7"/>
        <v>-6.9912017280438334</v>
      </c>
      <c r="S9" s="30" t="s">
        <v>66</v>
      </c>
    </row>
    <row r="10" spans="1:20" ht="18" customHeight="1">
      <c r="A10" s="25" t="s">
        <v>12</v>
      </c>
      <c r="B10" s="26">
        <v>1509</v>
      </c>
      <c r="C10" s="26">
        <v>5130</v>
      </c>
      <c r="D10" s="26">
        <v>5195</v>
      </c>
      <c r="E10" s="26">
        <v>5250</v>
      </c>
      <c r="F10" s="26">
        <v>5571</v>
      </c>
      <c r="G10" s="73"/>
      <c r="H10" s="29">
        <f t="shared" si="1"/>
        <v>0.15751154719344485</v>
      </c>
      <c r="I10" s="29">
        <f t="shared" si="2"/>
        <v>0.45591813736555753</v>
      </c>
      <c r="J10" s="29">
        <f t="shared" si="3"/>
        <v>0.43117150002033433</v>
      </c>
      <c r="K10" s="29">
        <f t="shared" si="4"/>
        <v>0.42536021934003543</v>
      </c>
      <c r="L10" s="29">
        <f t="shared" si="4"/>
        <v>0.43315826099126453</v>
      </c>
      <c r="M10" s="27"/>
      <c r="N10" s="29">
        <v>-73.701638201463922</v>
      </c>
      <c r="O10" s="29">
        <f t="shared" si="5"/>
        <v>239.96023856858847</v>
      </c>
      <c r="P10" s="29">
        <f t="shared" si="6"/>
        <v>1.267056530214425</v>
      </c>
      <c r="Q10" s="29">
        <f t="shared" si="7"/>
        <v>1.0587102983638113</v>
      </c>
      <c r="R10" s="29">
        <f t="shared" si="7"/>
        <v>6.1142857142857148</v>
      </c>
      <c r="S10" s="30" t="s">
        <v>69</v>
      </c>
    </row>
    <row r="11" spans="1:20" ht="18" customHeight="1">
      <c r="A11" s="25" t="s">
        <v>13</v>
      </c>
      <c r="B11" s="26">
        <v>5588</v>
      </c>
      <c r="C11" s="26">
        <v>6421</v>
      </c>
      <c r="D11" s="26">
        <v>6450</v>
      </c>
      <c r="E11" s="26">
        <v>8105</v>
      </c>
      <c r="F11" s="26">
        <v>10338</v>
      </c>
      <c r="G11" s="73"/>
      <c r="H11" s="29">
        <f t="shared" si="1"/>
        <v>0.58328331724119931</v>
      </c>
      <c r="I11" s="29">
        <f t="shared" si="2"/>
        <v>0.57065309162265976</v>
      </c>
      <c r="J11" s="29">
        <f t="shared" si="3"/>
        <v>0.53533323871629579</v>
      </c>
      <c r="K11" s="29">
        <f t="shared" si="4"/>
        <v>0.65667515766685458</v>
      </c>
      <c r="L11" s="29">
        <f t="shared" si="4"/>
        <v>0.80380364425196427</v>
      </c>
      <c r="M11" s="27"/>
      <c r="N11" s="29">
        <v>-13.645495286663575</v>
      </c>
      <c r="O11" s="29">
        <f t="shared" si="5"/>
        <v>14.906943450250537</v>
      </c>
      <c r="P11" s="29">
        <f t="shared" si="6"/>
        <v>0.45164304625447749</v>
      </c>
      <c r="Q11" s="29">
        <f t="shared" si="7"/>
        <v>25.65891472868217</v>
      </c>
      <c r="R11" s="29">
        <f t="shared" si="7"/>
        <v>27.550894509561996</v>
      </c>
      <c r="S11" s="30" t="s">
        <v>70</v>
      </c>
    </row>
    <row r="12" spans="1:20" ht="18" customHeight="1">
      <c r="A12" s="25" t="s">
        <v>14</v>
      </c>
      <c r="B12" s="26">
        <v>3493</v>
      </c>
      <c r="C12" s="26">
        <v>4055</v>
      </c>
      <c r="D12" s="26">
        <v>5008</v>
      </c>
      <c r="E12" s="26">
        <v>8418</v>
      </c>
      <c r="F12" s="26">
        <v>9747</v>
      </c>
      <c r="G12" s="73"/>
      <c r="H12" s="29">
        <f t="shared" si="1"/>
        <v>0.36460426398058504</v>
      </c>
      <c r="I12" s="29">
        <f t="shared" si="2"/>
        <v>0.3603797362606892</v>
      </c>
      <c r="J12" s="29">
        <f t="shared" si="3"/>
        <v>0.41565098596762939</v>
      </c>
      <c r="K12" s="29">
        <f t="shared" si="4"/>
        <v>0.68203472883893668</v>
      </c>
      <c r="L12" s="29">
        <f t="shared" si="4"/>
        <v>0.75785201397987001</v>
      </c>
      <c r="M12" s="27"/>
      <c r="N12" s="29">
        <v>10.085092971950834</v>
      </c>
      <c r="O12" s="29">
        <f t="shared" si="5"/>
        <v>16.089321500143143</v>
      </c>
      <c r="P12" s="29">
        <f t="shared" si="6"/>
        <v>23.501849568434032</v>
      </c>
      <c r="Q12" s="29">
        <f t="shared" si="7"/>
        <v>68.091054313099036</v>
      </c>
      <c r="R12" s="29">
        <f t="shared" si="7"/>
        <v>15.787598004276552</v>
      </c>
      <c r="S12" s="30" t="s">
        <v>71</v>
      </c>
    </row>
    <row r="13" spans="1:20" ht="18" customHeight="1">
      <c r="A13" s="25" t="s">
        <v>15</v>
      </c>
      <c r="B13" s="26">
        <v>1402</v>
      </c>
      <c r="C13" s="26">
        <v>1549</v>
      </c>
      <c r="D13" s="26">
        <v>5627</v>
      </c>
      <c r="E13" s="26">
        <v>2109</v>
      </c>
      <c r="F13" s="26">
        <v>2589</v>
      </c>
      <c r="G13" s="73"/>
      <c r="H13" s="29">
        <f t="shared" si="1"/>
        <v>0.14634273635865452</v>
      </c>
      <c r="I13" s="29">
        <f t="shared" si="2"/>
        <v>0.13766417052227067</v>
      </c>
      <c r="J13" s="29">
        <f t="shared" si="3"/>
        <v>0.46702637740412345</v>
      </c>
      <c r="K13" s="29">
        <f t="shared" si="4"/>
        <v>0.17087327668345423</v>
      </c>
      <c r="L13" s="29">
        <f t="shared" si="4"/>
        <v>0.20130079657267705</v>
      </c>
      <c r="M13" s="27"/>
      <c r="N13" s="29">
        <v>-8.664495114006515</v>
      </c>
      <c r="O13" s="29">
        <f t="shared" si="5"/>
        <v>10.485021398002853</v>
      </c>
      <c r="P13" s="29">
        <f t="shared" si="6"/>
        <v>263.26662362814722</v>
      </c>
      <c r="Q13" s="29">
        <f t="shared" si="7"/>
        <v>-62.519992891416386</v>
      </c>
      <c r="R13" s="29">
        <f>(F13-E13)/E13*100</f>
        <v>22.759601706970127</v>
      </c>
      <c r="S13" s="30" t="s">
        <v>72</v>
      </c>
    </row>
    <row r="14" spans="1:20" ht="18" customHeight="1">
      <c r="A14" s="25" t="s">
        <v>16</v>
      </c>
      <c r="B14" s="26">
        <v>56775</v>
      </c>
      <c r="C14" s="26">
        <v>54328</v>
      </c>
      <c r="D14" s="26">
        <v>50656</v>
      </c>
      <c r="E14" s="26">
        <v>42024</v>
      </c>
      <c r="F14" s="26">
        <v>40487</v>
      </c>
      <c r="G14" s="73"/>
      <c r="H14" s="29">
        <f t="shared" si="1"/>
        <v>5.9262545340674828</v>
      </c>
      <c r="I14" s="29">
        <f t="shared" si="2"/>
        <v>4.8282886095118922</v>
      </c>
      <c r="J14" s="29">
        <f t="shared" si="3"/>
        <v>4.2043163628546791</v>
      </c>
      <c r="K14" s="29">
        <f t="shared" si="4"/>
        <v>3.404826258580123</v>
      </c>
      <c r="L14" s="29">
        <f t="shared" si="4"/>
        <v>3.1479588068126598</v>
      </c>
      <c r="M14" s="27"/>
      <c r="N14" s="29">
        <v>-4.889938687305257</v>
      </c>
      <c r="O14" s="29">
        <f t="shared" si="5"/>
        <v>-4.3099955966534562</v>
      </c>
      <c r="P14" s="29">
        <f t="shared" si="6"/>
        <v>-6.7589456633780003</v>
      </c>
      <c r="Q14" s="29">
        <f t="shared" si="7"/>
        <v>-17.04042956411876</v>
      </c>
      <c r="R14" s="29">
        <f t="shared" si="7"/>
        <v>-3.657433847325338</v>
      </c>
      <c r="S14" s="30" t="s">
        <v>73</v>
      </c>
    </row>
    <row r="15" spans="1:20" ht="18" customHeight="1">
      <c r="A15" s="25" t="s">
        <v>17</v>
      </c>
      <c r="B15" s="26">
        <v>98351</v>
      </c>
      <c r="C15" s="26">
        <v>93598</v>
      </c>
      <c r="D15" s="26">
        <v>98328</v>
      </c>
      <c r="E15" s="26">
        <v>105132</v>
      </c>
      <c r="F15" s="26">
        <v>106381</v>
      </c>
      <c r="G15" s="73"/>
      <c r="H15" s="29">
        <f t="shared" si="1"/>
        <v>10.266016022546385</v>
      </c>
      <c r="I15" s="29">
        <f t="shared" si="2"/>
        <v>8.3183286201055466</v>
      </c>
      <c r="J15" s="29">
        <f t="shared" si="3"/>
        <v>8.1609684800768889</v>
      </c>
      <c r="K15" s="29">
        <f t="shared" si="4"/>
        <v>8.5178991580298291</v>
      </c>
      <c r="L15" s="29">
        <f t="shared" si="4"/>
        <v>8.2713712013124585</v>
      </c>
      <c r="M15" s="27"/>
      <c r="N15" s="29">
        <v>8.654727841179005</v>
      </c>
      <c r="O15" s="29">
        <f t="shared" si="5"/>
        <v>-4.8326910758406116</v>
      </c>
      <c r="P15" s="29">
        <f t="shared" si="6"/>
        <v>5.0535267847603578</v>
      </c>
      <c r="Q15" s="29">
        <f t="shared" si="7"/>
        <v>6.9196973395167198</v>
      </c>
      <c r="R15" s="29">
        <f t="shared" si="7"/>
        <v>1.188030285736027</v>
      </c>
      <c r="S15" s="30" t="s">
        <v>74</v>
      </c>
    </row>
    <row r="16" spans="1:20" ht="18" customHeight="1">
      <c r="A16" s="25" t="s">
        <v>18</v>
      </c>
      <c r="B16" s="26">
        <v>2058</v>
      </c>
      <c r="C16" s="26">
        <v>1841</v>
      </c>
      <c r="D16" s="26">
        <v>1981</v>
      </c>
      <c r="E16" s="26">
        <v>1700</v>
      </c>
      <c r="F16" s="26">
        <v>2077</v>
      </c>
      <c r="G16" s="73"/>
      <c r="H16" s="29">
        <f t="shared" si="1"/>
        <v>0.21481694110278959</v>
      </c>
      <c r="I16" s="29">
        <f t="shared" si="2"/>
        <v>0.1636150664502907</v>
      </c>
      <c r="J16" s="29">
        <f t="shared" si="3"/>
        <v>0.16441785207705145</v>
      </c>
      <c r="K16" s="29">
        <f t="shared" si="4"/>
        <v>0.13773569007201145</v>
      </c>
      <c r="L16" s="29">
        <f t="shared" si="4"/>
        <v>0.16149160080395913</v>
      </c>
      <c r="M16" s="27"/>
      <c r="N16" s="29">
        <v>-31.605184446660019</v>
      </c>
      <c r="O16" s="29">
        <f t="shared" si="5"/>
        <v>-10.544217687074831</v>
      </c>
      <c r="P16" s="29">
        <f t="shared" si="6"/>
        <v>7.6045627376425857</v>
      </c>
      <c r="Q16" s="29">
        <f t="shared" si="7"/>
        <v>-14.184755174154468</v>
      </c>
      <c r="R16" s="29">
        <f t="shared" si="7"/>
        <v>22.176470588235293</v>
      </c>
      <c r="S16" s="30" t="s">
        <v>75</v>
      </c>
    </row>
    <row r="17" spans="1:19" ht="18" customHeight="1">
      <c r="A17" s="25" t="s">
        <v>19</v>
      </c>
      <c r="B17" s="26">
        <v>2408</v>
      </c>
      <c r="C17" s="26">
        <v>2796</v>
      </c>
      <c r="D17" s="26">
        <v>3589</v>
      </c>
      <c r="E17" s="26">
        <v>4436</v>
      </c>
      <c r="F17" s="26">
        <v>5539</v>
      </c>
      <c r="G17" s="73"/>
      <c r="H17" s="29">
        <f t="shared" si="1"/>
        <v>0.25135043448761779</v>
      </c>
      <c r="I17" s="29">
        <f t="shared" si="2"/>
        <v>0.24848871580391788</v>
      </c>
      <c r="J17" s="29">
        <f t="shared" si="3"/>
        <v>0.29787767345004429</v>
      </c>
      <c r="K17" s="29">
        <f t="shared" si="4"/>
        <v>0.35940913009378989</v>
      </c>
      <c r="L17" s="29">
        <f t="shared" si="4"/>
        <v>0.43067018625571962</v>
      </c>
      <c r="M17" s="27"/>
      <c r="N17" s="29">
        <v>-7.2419106317411401</v>
      </c>
      <c r="O17" s="29">
        <f t="shared" si="5"/>
        <v>16.112956810631228</v>
      </c>
      <c r="P17" s="29">
        <f t="shared" si="6"/>
        <v>28.361945636623748</v>
      </c>
      <c r="Q17" s="29">
        <f t="shared" si="7"/>
        <v>23.599888548342157</v>
      </c>
      <c r="R17" s="29">
        <f t="shared" si="7"/>
        <v>24.864743011722272</v>
      </c>
      <c r="S17" s="30" t="s">
        <v>76</v>
      </c>
    </row>
    <row r="18" spans="1:19" ht="18" customHeight="1">
      <c r="A18" s="25" t="s">
        <v>20</v>
      </c>
      <c r="B18" s="26">
        <v>2483</v>
      </c>
      <c r="C18" s="26">
        <v>2590</v>
      </c>
      <c r="D18" s="26">
        <v>2759</v>
      </c>
      <c r="E18" s="26">
        <v>2856</v>
      </c>
      <c r="F18" s="26">
        <v>3449</v>
      </c>
      <c r="G18" s="73"/>
      <c r="H18" s="29">
        <f t="shared" si="1"/>
        <v>0.25917904021293808</v>
      </c>
      <c r="I18" s="29">
        <f t="shared" si="2"/>
        <v>0.23018089196428729</v>
      </c>
      <c r="J18" s="29">
        <f t="shared" si="3"/>
        <v>0.22898983032841241</v>
      </c>
      <c r="K18" s="29">
        <f t="shared" si="4"/>
        <v>0.23139595932097926</v>
      </c>
      <c r="L18" s="29">
        <f t="shared" si="4"/>
        <v>0.26816780509044541</v>
      </c>
      <c r="M18" s="27"/>
      <c r="N18" s="29">
        <v>1.5957446808510638</v>
      </c>
      <c r="O18" s="29">
        <f t="shared" si="5"/>
        <v>4.3093032621828433</v>
      </c>
      <c r="P18" s="29">
        <f t="shared" si="6"/>
        <v>6.5250965250965258</v>
      </c>
      <c r="Q18" s="29">
        <f t="shared" si="7"/>
        <v>3.5157665820949617</v>
      </c>
      <c r="R18" s="29">
        <f t="shared" si="7"/>
        <v>20.763305322128854</v>
      </c>
      <c r="S18" s="30" t="s">
        <v>77</v>
      </c>
    </row>
    <row r="19" spans="1:19" ht="18" customHeight="1">
      <c r="A19" s="25" t="s">
        <v>21</v>
      </c>
      <c r="B19" s="26">
        <v>2569</v>
      </c>
      <c r="C19" s="26">
        <v>3253</v>
      </c>
      <c r="D19" s="26">
        <v>3299</v>
      </c>
      <c r="E19" s="26">
        <v>3567</v>
      </c>
      <c r="F19" s="26">
        <v>5072</v>
      </c>
      <c r="G19" s="73"/>
      <c r="H19" s="29">
        <f t="shared" si="1"/>
        <v>0.26815584144463872</v>
      </c>
      <c r="I19" s="29">
        <f t="shared" si="2"/>
        <v>0.28910364538989447</v>
      </c>
      <c r="J19" s="29">
        <f t="shared" si="3"/>
        <v>0.27380842705814884</v>
      </c>
      <c r="K19" s="29">
        <f t="shared" si="4"/>
        <v>0.28900188616874406</v>
      </c>
      <c r="L19" s="29">
        <f t="shared" si="4"/>
        <v>0.39435984558386172</v>
      </c>
      <c r="M19" s="27"/>
      <c r="N19" s="29">
        <v>5.589806822852446</v>
      </c>
      <c r="O19" s="29">
        <f t="shared" si="5"/>
        <v>26.625145971195018</v>
      </c>
      <c r="P19" s="29">
        <f t="shared" si="6"/>
        <v>1.4140793114048571</v>
      </c>
      <c r="Q19" s="29">
        <f t="shared" si="7"/>
        <v>8.1236738405577444</v>
      </c>
      <c r="R19" s="29">
        <f t="shared" si="7"/>
        <v>42.192318474908888</v>
      </c>
      <c r="S19" s="30" t="s">
        <v>78</v>
      </c>
    </row>
    <row r="20" spans="1:19" ht="18" customHeight="1">
      <c r="A20" s="25" t="s">
        <v>22</v>
      </c>
      <c r="B20" s="26">
        <v>62782</v>
      </c>
      <c r="C20" s="26">
        <v>57854</v>
      </c>
      <c r="D20" s="26">
        <v>57862</v>
      </c>
      <c r="E20" s="26">
        <v>65616</v>
      </c>
      <c r="F20" s="26">
        <v>71202</v>
      </c>
      <c r="G20" s="73"/>
      <c r="H20" s="29">
        <f t="shared" si="1"/>
        <v>6.5532736619608052</v>
      </c>
      <c r="I20" s="29">
        <f t="shared" si="2"/>
        <v>5.1416545651358598</v>
      </c>
      <c r="J20" s="29">
        <f t="shared" si="3"/>
        <v>4.8023956369926051</v>
      </c>
      <c r="K20" s="29">
        <f t="shared" si="4"/>
        <v>5.3162735528030023</v>
      </c>
      <c r="L20" s="29">
        <f t="shared" si="4"/>
        <v>5.5361217912583047</v>
      </c>
      <c r="M20" s="27"/>
      <c r="N20" s="29">
        <v>-24.439148854226843</v>
      </c>
      <c r="O20" s="29">
        <f t="shared" si="5"/>
        <v>-7.8493835812812591</v>
      </c>
      <c r="P20" s="29">
        <f t="shared" si="6"/>
        <v>1.3827911639644622E-2</v>
      </c>
      <c r="Q20" s="29">
        <f t="shared" si="7"/>
        <v>13.400850298987246</v>
      </c>
      <c r="R20" s="29">
        <f t="shared" si="7"/>
        <v>8.5131675201170438</v>
      </c>
      <c r="S20" s="30" t="s">
        <v>79</v>
      </c>
    </row>
    <row r="21" spans="1:19" ht="18" customHeight="1">
      <c r="A21" s="25" t="s">
        <v>23</v>
      </c>
      <c r="B21" s="26">
        <v>6077</v>
      </c>
      <c r="C21" s="26">
        <v>6453</v>
      </c>
      <c r="D21" s="26">
        <v>7936</v>
      </c>
      <c r="E21" s="26">
        <v>9640</v>
      </c>
      <c r="F21" s="26">
        <v>10372</v>
      </c>
      <c r="G21" s="73"/>
      <c r="H21" s="29">
        <f t="shared" si="1"/>
        <v>0.6343258265702878</v>
      </c>
      <c r="I21" s="29">
        <f t="shared" si="2"/>
        <v>0.57349702542299075</v>
      </c>
      <c r="J21" s="29">
        <f t="shared" si="3"/>
        <v>0.65866737712442225</v>
      </c>
      <c r="K21" s="29">
        <f t="shared" si="4"/>
        <v>0.78104238370246493</v>
      </c>
      <c r="L21" s="29">
        <f t="shared" si="4"/>
        <v>0.80644722365848065</v>
      </c>
      <c r="M21" s="27"/>
      <c r="N21" s="29">
        <v>6.745125592833304</v>
      </c>
      <c r="O21" s="29">
        <f t="shared" si="5"/>
        <v>6.1872634523613623</v>
      </c>
      <c r="P21" s="29">
        <f t="shared" si="6"/>
        <v>22.981558964822561</v>
      </c>
      <c r="Q21" s="29">
        <f t="shared" si="7"/>
        <v>21.471774193548388</v>
      </c>
      <c r="R21" s="29">
        <f t="shared" si="7"/>
        <v>7.5933609958506221</v>
      </c>
      <c r="S21" s="30" t="s">
        <v>80</v>
      </c>
    </row>
    <row r="22" spans="1:19" ht="18" customHeight="1">
      <c r="A22" s="25" t="s">
        <v>24</v>
      </c>
      <c r="B22" s="26">
        <v>2902</v>
      </c>
      <c r="C22" s="26">
        <v>3281</v>
      </c>
      <c r="D22" s="26">
        <v>3882</v>
      </c>
      <c r="E22" s="26">
        <v>4153</v>
      </c>
      <c r="F22" s="26">
        <v>3971</v>
      </c>
      <c r="G22" s="73"/>
      <c r="H22" s="29">
        <f t="shared" si="1"/>
        <v>0.30291485086506093</v>
      </c>
      <c r="I22" s="29">
        <f t="shared" si="2"/>
        <v>0.29159208746518406</v>
      </c>
      <c r="J22" s="29">
        <f t="shared" si="3"/>
        <v>0.32219591204599385</v>
      </c>
      <c r="K22" s="29">
        <f t="shared" si="4"/>
        <v>0.33648018874650798</v>
      </c>
      <c r="L22" s="29">
        <f t="shared" si="4"/>
        <v>0.30875452421402105</v>
      </c>
      <c r="M22" s="27"/>
      <c r="N22" s="29">
        <v>4.576576576576576</v>
      </c>
      <c r="O22" s="29">
        <f t="shared" si="5"/>
        <v>13.059958649207443</v>
      </c>
      <c r="P22" s="29">
        <f t="shared" si="6"/>
        <v>18.317586101798234</v>
      </c>
      <c r="Q22" s="29">
        <f t="shared" si="7"/>
        <v>6.9809376609994853</v>
      </c>
      <c r="R22" s="29">
        <f t="shared" si="7"/>
        <v>-4.3823741873344568</v>
      </c>
      <c r="S22" s="30" t="s">
        <v>81</v>
      </c>
    </row>
    <row r="23" spans="1:19" ht="18" customHeight="1">
      <c r="A23" s="25" t="s">
        <v>25</v>
      </c>
      <c r="B23" s="26">
        <v>3918</v>
      </c>
      <c r="C23" s="26">
        <v>6668</v>
      </c>
      <c r="D23" s="26">
        <v>6182</v>
      </c>
      <c r="E23" s="26">
        <v>6879</v>
      </c>
      <c r="F23" s="26">
        <v>8976</v>
      </c>
      <c r="G23" s="73"/>
      <c r="H23" s="29">
        <f t="shared" si="1"/>
        <v>0.40896636309073353</v>
      </c>
      <c r="I23" s="29">
        <f t="shared" si="2"/>
        <v>0.59260470564396439</v>
      </c>
      <c r="J23" s="29">
        <f t="shared" si="3"/>
        <v>0.51308993515413037</v>
      </c>
      <c r="K23" s="29">
        <f t="shared" si="4"/>
        <v>0.55734341882668637</v>
      </c>
      <c r="L23" s="29">
        <f t="shared" si="4"/>
        <v>0.69790496332033569</v>
      </c>
      <c r="M23" s="27"/>
      <c r="N23" s="29">
        <v>-5.7720057720057723</v>
      </c>
      <c r="O23" s="29">
        <f t="shared" si="5"/>
        <v>70.188871873404807</v>
      </c>
      <c r="P23" s="29">
        <f t="shared" si="6"/>
        <v>-7.2885422915416918</v>
      </c>
      <c r="Q23" s="29">
        <f t="shared" si="7"/>
        <v>11.274668392106115</v>
      </c>
      <c r="R23" s="29">
        <f t="shared" si="7"/>
        <v>30.484081988661142</v>
      </c>
      <c r="S23" s="30" t="s">
        <v>82</v>
      </c>
    </row>
    <row r="24" spans="1:19" ht="18" customHeight="1">
      <c r="A24" s="25" t="s">
        <v>26</v>
      </c>
      <c r="B24" s="26">
        <v>3660</v>
      </c>
      <c r="C24" s="26">
        <v>4617</v>
      </c>
      <c r="D24" s="26">
        <v>4916</v>
      </c>
      <c r="E24" s="26">
        <v>5057</v>
      </c>
      <c r="F24" s="26">
        <v>6259</v>
      </c>
      <c r="G24" s="73"/>
      <c r="H24" s="29">
        <f t="shared" si="1"/>
        <v>0.38203595939563167</v>
      </c>
      <c r="I24" s="29">
        <f t="shared" si="2"/>
        <v>0.41032632362900173</v>
      </c>
      <c r="J24" s="29">
        <f t="shared" si="3"/>
        <v>0.4080152250433039</v>
      </c>
      <c r="K24" s="29">
        <f t="shared" si="4"/>
        <v>0.40972316746715409</v>
      </c>
      <c r="L24" s="29">
        <f t="shared" si="4"/>
        <v>0.4866518678054792</v>
      </c>
      <c r="M24" s="27"/>
      <c r="N24" s="29">
        <v>-17.456021650879567</v>
      </c>
      <c r="O24" s="29">
        <f t="shared" si="5"/>
        <v>26.147540983606561</v>
      </c>
      <c r="P24" s="29">
        <f t="shared" si="6"/>
        <v>6.4760667099848384</v>
      </c>
      <c r="Q24" s="29">
        <f t="shared" si="7"/>
        <v>2.8681855166802279</v>
      </c>
      <c r="R24" s="29">
        <f t="shared" si="7"/>
        <v>23.769033023531737</v>
      </c>
      <c r="S24" s="30" t="s">
        <v>83</v>
      </c>
    </row>
    <row r="25" spans="1:19" ht="18" customHeight="1">
      <c r="A25" s="25" t="s">
        <v>27</v>
      </c>
      <c r="B25" s="26">
        <v>66378</v>
      </c>
      <c r="C25" s="26">
        <v>76479</v>
      </c>
      <c r="D25" s="26">
        <v>66308</v>
      </c>
      <c r="E25" s="26">
        <v>44323</v>
      </c>
      <c r="F25" s="26">
        <v>46522</v>
      </c>
      <c r="G25" s="73"/>
      <c r="H25" s="29">
        <f t="shared" si="1"/>
        <v>6.9286292111374967</v>
      </c>
      <c r="I25" s="29">
        <f t="shared" si="2"/>
        <v>6.7969129098597412</v>
      </c>
      <c r="J25" s="29">
        <f t="shared" si="3"/>
        <v>5.5033916888062233</v>
      </c>
      <c r="K25" s="29">
        <f t="shared" si="4"/>
        <v>3.5910935241539788</v>
      </c>
      <c r="L25" s="29">
        <f t="shared" si="4"/>
        <v>3.6171941514693247</v>
      </c>
      <c r="M25" s="27"/>
      <c r="N25" s="29">
        <v>3.8194444444444446</v>
      </c>
      <c r="O25" s="29">
        <f t="shared" si="5"/>
        <v>15.217391304347828</v>
      </c>
      <c r="P25" s="29">
        <f t="shared" si="6"/>
        <v>-13.299075563226506</v>
      </c>
      <c r="Q25" s="29">
        <f t="shared" si="7"/>
        <v>-33.15587862701333</v>
      </c>
      <c r="R25" s="29">
        <f t="shared" si="7"/>
        <v>4.9613067707510776</v>
      </c>
      <c r="S25" s="30" t="s">
        <v>84</v>
      </c>
    </row>
    <row r="26" spans="1:19" ht="18" customHeight="1">
      <c r="A26" s="25" t="s">
        <v>28</v>
      </c>
      <c r="B26" s="26">
        <v>2636</v>
      </c>
      <c r="C26" s="26">
        <v>2758</v>
      </c>
      <c r="D26" s="26">
        <v>3262</v>
      </c>
      <c r="E26" s="26">
        <v>4286</v>
      </c>
      <c r="F26" s="26">
        <v>4957</v>
      </c>
      <c r="G26" s="73"/>
      <c r="H26" s="29">
        <f t="shared" si="1"/>
        <v>0.27514939589259158</v>
      </c>
      <c r="I26" s="29">
        <f t="shared" si="2"/>
        <v>0.24511154441602487</v>
      </c>
      <c r="J26" s="29">
        <f t="shared" si="3"/>
        <v>0.27073752320814837</v>
      </c>
      <c r="K26" s="29">
        <f t="shared" si="4"/>
        <v>0.34725598096978894</v>
      </c>
      <c r="L26" s="29">
        <f t="shared" si="4"/>
        <v>0.38541832700299733</v>
      </c>
      <c r="M26" s="27"/>
      <c r="N26" s="29">
        <v>-6.5910701630049608</v>
      </c>
      <c r="O26" s="29">
        <f t="shared" si="5"/>
        <v>4.628224582701062</v>
      </c>
      <c r="P26" s="29">
        <f t="shared" si="6"/>
        <v>18.274111675126903</v>
      </c>
      <c r="Q26" s="29">
        <f t="shared" si="7"/>
        <v>31.39178418148375</v>
      </c>
      <c r="R26" s="29">
        <f t="shared" si="7"/>
        <v>15.655622958469436</v>
      </c>
      <c r="S26" s="30" t="s">
        <v>85</v>
      </c>
    </row>
    <row r="27" spans="1:19" ht="18" customHeight="1">
      <c r="A27" s="25" t="s">
        <v>29</v>
      </c>
      <c r="B27" s="26">
        <v>1295</v>
      </c>
      <c r="C27" s="26">
        <v>1243</v>
      </c>
      <c r="D27" s="26">
        <v>1319</v>
      </c>
      <c r="E27" s="26">
        <v>1470</v>
      </c>
      <c r="F27" s="26">
        <v>1548</v>
      </c>
      <c r="G27" s="73"/>
      <c r="H27" s="29">
        <f t="shared" si="1"/>
        <v>0.1351739255238642</v>
      </c>
      <c r="I27" s="29">
        <f t="shared" si="2"/>
        <v>0.11046905355660583</v>
      </c>
      <c r="J27" s="29">
        <f t="shared" si="3"/>
        <v>0.1094735723824487</v>
      </c>
      <c r="K27" s="29">
        <f t="shared" si="4"/>
        <v>0.11910086141520991</v>
      </c>
      <c r="L27" s="29">
        <f t="shared" si="4"/>
        <v>0.12036061533198304</v>
      </c>
      <c r="M27" s="27"/>
      <c r="N27" s="29">
        <v>-19.515226848974518</v>
      </c>
      <c r="O27" s="29">
        <f t="shared" si="5"/>
        <v>-4.0154440154440154</v>
      </c>
      <c r="P27" s="29">
        <f t="shared" si="6"/>
        <v>6.1142397425583264</v>
      </c>
      <c r="Q27" s="29">
        <f t="shared" si="7"/>
        <v>11.448066717210008</v>
      </c>
      <c r="R27" s="29">
        <f t="shared" si="7"/>
        <v>5.3061224489795915</v>
      </c>
      <c r="S27" s="30" t="s">
        <v>87</v>
      </c>
    </row>
    <row r="28" spans="1:19" ht="18" customHeight="1">
      <c r="A28" s="25" t="s">
        <v>30</v>
      </c>
      <c r="B28" s="26">
        <v>8824</v>
      </c>
      <c r="C28" s="26">
        <v>11040</v>
      </c>
      <c r="D28" s="26">
        <v>15230</v>
      </c>
      <c r="E28" s="26">
        <v>17816</v>
      </c>
      <c r="F28" s="26">
        <v>23393</v>
      </c>
      <c r="G28" s="73"/>
      <c r="H28" s="29">
        <f t="shared" si="1"/>
        <v>0.92106155893635333</v>
      </c>
      <c r="I28" s="29">
        <f t="shared" si="2"/>
        <v>0.98115716111418205</v>
      </c>
      <c r="J28" s="29">
        <f t="shared" si="3"/>
        <v>1.264050422581269</v>
      </c>
      <c r="K28" s="29">
        <f t="shared" si="4"/>
        <v>1.44347003195468</v>
      </c>
      <c r="L28" s="29">
        <f t="shared" si="4"/>
        <v>1.8188603840187851</v>
      </c>
      <c r="M28" s="27"/>
      <c r="N28" s="29">
        <v>-9.1246138002059727</v>
      </c>
      <c r="O28" s="29">
        <f t="shared" si="5"/>
        <v>25.113327289211242</v>
      </c>
      <c r="P28" s="29">
        <f t="shared" si="6"/>
        <v>37.95289855072464</v>
      </c>
      <c r="Q28" s="29">
        <f t="shared" si="7"/>
        <v>16.979645436638215</v>
      </c>
      <c r="R28" s="29">
        <f t="shared" si="7"/>
        <v>31.3033228558599</v>
      </c>
      <c r="S28" s="30" t="s">
        <v>86</v>
      </c>
    </row>
    <row r="29" spans="1:19" ht="18" customHeight="1">
      <c r="A29" s="25" t="s">
        <v>31</v>
      </c>
      <c r="B29" s="26">
        <v>5230</v>
      </c>
      <c r="C29" s="26">
        <v>5694</v>
      </c>
      <c r="D29" s="26">
        <v>7163</v>
      </c>
      <c r="E29" s="26">
        <v>9138</v>
      </c>
      <c r="F29" s="26">
        <v>10918</v>
      </c>
      <c r="G29" s="73"/>
      <c r="H29" s="29">
        <f t="shared" si="1"/>
        <v>0.54591477257900367</v>
      </c>
      <c r="I29" s="29">
        <f t="shared" si="2"/>
        <v>0.50604247059639074</v>
      </c>
      <c r="J29" s="29">
        <f t="shared" si="3"/>
        <v>0.59451038587981808</v>
      </c>
      <c r="K29" s="29">
        <f t="shared" si="4"/>
        <v>0.74036984463414168</v>
      </c>
      <c r="L29" s="29">
        <f t="shared" si="4"/>
        <v>0.84889999883371503</v>
      </c>
      <c r="M29" s="27"/>
      <c r="N29" s="29">
        <v>6.8218954248366011</v>
      </c>
      <c r="O29" s="29">
        <f t="shared" si="5"/>
        <v>8.8718929254302115</v>
      </c>
      <c r="P29" s="29">
        <f t="shared" si="6"/>
        <v>25.799086757990867</v>
      </c>
      <c r="Q29" s="29">
        <f t="shared" si="7"/>
        <v>27.572246265531202</v>
      </c>
      <c r="R29" s="29">
        <f t="shared" si="7"/>
        <v>19.479098270956445</v>
      </c>
      <c r="S29" s="30" t="s">
        <v>88</v>
      </c>
    </row>
    <row r="30" spans="1:19" ht="18" customHeight="1">
      <c r="A30" s="25" t="s">
        <v>32</v>
      </c>
      <c r="B30" s="26">
        <v>35457</v>
      </c>
      <c r="C30" s="26">
        <v>34102</v>
      </c>
      <c r="D30" s="26">
        <v>31497</v>
      </c>
      <c r="E30" s="26">
        <v>31923</v>
      </c>
      <c r="F30" s="26">
        <v>31678</v>
      </c>
      <c r="G30" s="73"/>
      <c r="H30" s="29">
        <f t="shared" si="1"/>
        <v>3.7010516427024345</v>
      </c>
      <c r="I30" s="29">
        <f t="shared" si="2"/>
        <v>3.0307447018402027</v>
      </c>
      <c r="J30" s="29">
        <f t="shared" si="3"/>
        <v>2.6141691503639022</v>
      </c>
      <c r="K30" s="29">
        <f t="shared" si="4"/>
        <v>2.586433196569895</v>
      </c>
      <c r="L30" s="29">
        <f t="shared" si="4"/>
        <v>2.4630384835184485</v>
      </c>
      <c r="M30" s="27"/>
      <c r="N30" s="29">
        <v>9.0850356879153349</v>
      </c>
      <c r="O30" s="29">
        <f t="shared" si="5"/>
        <v>-3.8215303043122657</v>
      </c>
      <c r="P30" s="29">
        <f t="shared" si="6"/>
        <v>-7.6388481613981583</v>
      </c>
      <c r="Q30" s="29">
        <f t="shared" si="7"/>
        <v>1.3525097628345555</v>
      </c>
      <c r="R30" s="29">
        <f t="shared" si="7"/>
        <v>-0.76747172884753945</v>
      </c>
      <c r="S30" s="30" t="s">
        <v>89</v>
      </c>
    </row>
    <row r="31" spans="1:19" ht="18" customHeight="1">
      <c r="A31" s="25" t="s">
        <v>33</v>
      </c>
      <c r="B31" s="26">
        <v>5416</v>
      </c>
      <c r="C31" s="26">
        <v>9117</v>
      </c>
      <c r="D31" s="26">
        <v>8668</v>
      </c>
      <c r="E31" s="26">
        <v>10200</v>
      </c>
      <c r="F31" s="26">
        <v>10091</v>
      </c>
      <c r="G31" s="73"/>
      <c r="H31" s="29">
        <f t="shared" si="1"/>
        <v>0.56532971477779803</v>
      </c>
      <c r="I31" s="29">
        <f t="shared" si="2"/>
        <v>0.81025451430054329</v>
      </c>
      <c r="J31" s="29">
        <f t="shared" si="3"/>
        <v>0.71942147491362041</v>
      </c>
      <c r="K31" s="29">
        <f t="shared" si="4"/>
        <v>0.82641414043206873</v>
      </c>
      <c r="L31" s="29">
        <f t="shared" si="4"/>
        <v>0.78459881738697723</v>
      </c>
      <c r="M31" s="27"/>
      <c r="N31" s="29">
        <v>19.242624394539849</v>
      </c>
      <c r="O31" s="29">
        <f t="shared" si="5"/>
        <v>68.33456425406203</v>
      </c>
      <c r="P31" s="29">
        <f t="shared" si="6"/>
        <v>-4.9248656356257543</v>
      </c>
      <c r="Q31" s="29">
        <f t="shared" si="7"/>
        <v>17.674203968620212</v>
      </c>
      <c r="R31" s="29">
        <f t="shared" si="7"/>
        <v>-1.0686274509803921</v>
      </c>
      <c r="S31" s="30" t="s">
        <v>90</v>
      </c>
    </row>
    <row r="32" spans="1:19" ht="18" customHeight="1">
      <c r="A32" s="25" t="s">
        <v>34</v>
      </c>
      <c r="B32" s="26">
        <v>8044</v>
      </c>
      <c r="C32" s="26">
        <v>10362</v>
      </c>
      <c r="D32" s="26">
        <v>8057</v>
      </c>
      <c r="E32" s="26">
        <v>6747</v>
      </c>
      <c r="F32" s="26">
        <v>7599</v>
      </c>
      <c r="G32" s="73"/>
      <c r="H32" s="29">
        <f t="shared" si="1"/>
        <v>0.83964405939302211</v>
      </c>
      <c r="I32" s="29">
        <f t="shared" si="2"/>
        <v>0.92090131371966988</v>
      </c>
      <c r="J32" s="29">
        <f t="shared" si="3"/>
        <v>0.66871006268793731</v>
      </c>
      <c r="K32" s="29">
        <f t="shared" si="4"/>
        <v>0.54664864759756548</v>
      </c>
      <c r="L32" s="29">
        <f t="shared" si="4"/>
        <v>0.59083999735642057</v>
      </c>
      <c r="M32" s="27"/>
      <c r="N32" s="29">
        <v>19.542279684945758</v>
      </c>
      <c r="O32" s="29">
        <f t="shared" si="5"/>
        <v>28.816509199403285</v>
      </c>
      <c r="P32" s="29">
        <f t="shared" si="6"/>
        <v>-22.244740397606641</v>
      </c>
      <c r="Q32" s="29">
        <f t="shared" si="7"/>
        <v>-16.259153531090977</v>
      </c>
      <c r="R32" s="29">
        <f t="shared" si="7"/>
        <v>12.627834593152512</v>
      </c>
      <c r="S32" s="30" t="s">
        <v>91</v>
      </c>
    </row>
    <row r="33" spans="1:19" ht="18" customHeight="1">
      <c r="A33" s="25" t="s">
        <v>35</v>
      </c>
      <c r="B33" s="26">
        <v>91776</v>
      </c>
      <c r="C33" s="26">
        <v>85869</v>
      </c>
      <c r="D33" s="26">
        <v>88347</v>
      </c>
      <c r="E33" s="26">
        <v>92775</v>
      </c>
      <c r="F33" s="26">
        <v>101843</v>
      </c>
      <c r="G33" s="73"/>
      <c r="H33" s="29">
        <f t="shared" si="1"/>
        <v>9.5797082539599696</v>
      </c>
      <c r="I33" s="29">
        <f t="shared" si="2"/>
        <v>7.6314297343943576</v>
      </c>
      <c r="J33" s="29">
        <f t="shared" si="3"/>
        <v>7.3325714171889285</v>
      </c>
      <c r="K33" s="29">
        <f t="shared" si="4"/>
        <v>7.5167227331946247</v>
      </c>
      <c r="L33" s="29">
        <f t="shared" si="4"/>
        <v>7.9185311028780028</v>
      </c>
      <c r="M33" s="27"/>
      <c r="N33" s="29">
        <v>-12.182799402916524</v>
      </c>
      <c r="O33" s="29">
        <f t="shared" si="5"/>
        <v>-6.4363232217573216</v>
      </c>
      <c r="P33" s="29">
        <f t="shared" si="6"/>
        <v>2.8857911469797015</v>
      </c>
      <c r="Q33" s="29">
        <f t="shared" si="7"/>
        <v>5.0120547387008045</v>
      </c>
      <c r="R33" s="29">
        <f t="shared" si="7"/>
        <v>9.7741848558340081</v>
      </c>
      <c r="S33" s="30" t="s">
        <v>92</v>
      </c>
    </row>
    <row r="34" spans="1:19" ht="18" customHeight="1">
      <c r="A34" s="25" t="s">
        <v>36</v>
      </c>
      <c r="B34" s="26">
        <v>18612</v>
      </c>
      <c r="C34" s="26">
        <v>18036</v>
      </c>
      <c r="D34" s="26">
        <v>17044</v>
      </c>
      <c r="E34" s="26">
        <v>23361</v>
      </c>
      <c r="F34" s="26">
        <v>26943</v>
      </c>
      <c r="G34" s="73"/>
      <c r="H34" s="29">
        <f t="shared" si="1"/>
        <v>1.9427467967954908</v>
      </c>
      <c r="I34" s="29">
        <f t="shared" si="2"/>
        <v>1.6029121882115387</v>
      </c>
      <c r="J34" s="29">
        <f t="shared" si="3"/>
        <v>1.4146077086326427</v>
      </c>
      <c r="K34" s="29">
        <f t="shared" si="4"/>
        <v>1.8927314445719174</v>
      </c>
      <c r="L34" s="29">
        <f t="shared" si="4"/>
        <v>2.0948811749932941</v>
      </c>
      <c r="M34" s="27"/>
      <c r="N34" s="29">
        <v>53.970880211780283</v>
      </c>
      <c r="O34" s="29">
        <f t="shared" si="5"/>
        <v>-3.0947775628626695</v>
      </c>
      <c r="P34" s="29">
        <f t="shared" si="6"/>
        <v>-5.5001108893324462</v>
      </c>
      <c r="Q34" s="29">
        <f t="shared" si="7"/>
        <v>37.062896033794885</v>
      </c>
      <c r="R34" s="29">
        <f t="shared" si="7"/>
        <v>15.333247720559909</v>
      </c>
      <c r="S34" s="30" t="s">
        <v>93</v>
      </c>
    </row>
    <row r="35" spans="1:19" s="10" customFormat="1" ht="18" customHeight="1">
      <c r="A35" s="31" t="s">
        <v>2</v>
      </c>
      <c r="B35" s="32">
        <f t="shared" ref="B35" si="9">SUM(B36:B49)</f>
        <v>367680</v>
      </c>
      <c r="C35" s="32">
        <f>SUM(C36:C49)</f>
        <v>505753</v>
      </c>
      <c r="D35" s="32">
        <f>SUM(D36:D49)</f>
        <v>568031</v>
      </c>
      <c r="E35" s="32">
        <f>SUM(E36:E49)</f>
        <v>578322</v>
      </c>
      <c r="F35" s="32">
        <f>SUM(F36:F49)</f>
        <v>572336</v>
      </c>
      <c r="G35" s="83"/>
      <c r="H35" s="21">
        <f t="shared" si="1"/>
        <v>38.378956707810339</v>
      </c>
      <c r="I35" s="21">
        <f t="shared" si="2"/>
        <v>44.947751603712042</v>
      </c>
      <c r="J35" s="21">
        <f t="shared" si="3"/>
        <v>47.145096887016471</v>
      </c>
      <c r="K35" s="21">
        <f t="shared" si="4"/>
        <v>46.856223384603418</v>
      </c>
      <c r="L35" s="21">
        <f t="shared" si="4"/>
        <v>44.500460682587757</v>
      </c>
      <c r="M35" s="23"/>
      <c r="N35" s="21">
        <v>9.856226022731347</v>
      </c>
      <c r="O35" s="21">
        <f t="shared" si="5"/>
        <v>37.552491296779813</v>
      </c>
      <c r="P35" s="21">
        <f t="shared" si="6"/>
        <v>12.313916081565507</v>
      </c>
      <c r="Q35" s="21">
        <f t="shared" si="7"/>
        <v>1.811696896824293</v>
      </c>
      <c r="R35" s="21">
        <f t="shared" si="7"/>
        <v>-1.0350635113310578</v>
      </c>
      <c r="S35" s="24" t="s">
        <v>94</v>
      </c>
    </row>
    <row r="36" spans="1:19" ht="18" customHeight="1">
      <c r="A36" s="25" t="s">
        <v>37</v>
      </c>
      <c r="B36" s="26">
        <v>1221</v>
      </c>
      <c r="C36" s="26">
        <v>1906</v>
      </c>
      <c r="D36" s="26">
        <v>2231</v>
      </c>
      <c r="E36" s="26">
        <v>4431</v>
      </c>
      <c r="F36" s="26">
        <v>6018</v>
      </c>
      <c r="G36" s="73"/>
      <c r="H36" s="29">
        <f t="shared" si="1"/>
        <v>0.12744970120821481</v>
      </c>
      <c r="I36" s="29">
        <f t="shared" si="2"/>
        <v>0.16939180698221296</v>
      </c>
      <c r="J36" s="29">
        <f t="shared" si="3"/>
        <v>0.1851672024148924</v>
      </c>
      <c r="K36" s="29">
        <f t="shared" si="4"/>
        <v>0.35900402512298984</v>
      </c>
      <c r="L36" s="29">
        <f t="shared" si="4"/>
        <v>0.46791355495340692</v>
      </c>
      <c r="M36" s="27"/>
      <c r="N36" s="29">
        <v>-18.382352941176471</v>
      </c>
      <c r="O36" s="29">
        <f t="shared" si="5"/>
        <v>56.101556101556106</v>
      </c>
      <c r="P36" s="29">
        <f t="shared" si="6"/>
        <v>17.051416579223506</v>
      </c>
      <c r="Q36" s="29">
        <f t="shared" si="7"/>
        <v>98.610488570147908</v>
      </c>
      <c r="R36" s="29">
        <f t="shared" si="7"/>
        <v>35.815842924847665</v>
      </c>
      <c r="S36" s="30" t="s">
        <v>95</v>
      </c>
    </row>
    <row r="37" spans="1:19" ht="18" customHeight="1">
      <c r="A37" s="25" t="s">
        <v>38</v>
      </c>
      <c r="B37" s="26">
        <v>229551</v>
      </c>
      <c r="C37" s="26">
        <v>331719</v>
      </c>
      <c r="D37" s="26">
        <v>363626</v>
      </c>
      <c r="E37" s="26">
        <v>359514</v>
      </c>
      <c r="F37" s="26">
        <v>324326</v>
      </c>
      <c r="G37" s="73"/>
      <c r="H37" s="29">
        <f t="shared" si="1"/>
        <v>23.960856971373399</v>
      </c>
      <c r="I37" s="29">
        <f t="shared" si="2"/>
        <v>29.480839884749582</v>
      </c>
      <c r="J37" s="29">
        <f t="shared" si="3"/>
        <v>30.180013063790973</v>
      </c>
      <c r="K37" s="29">
        <f t="shared" si="4"/>
        <v>29.128181694440663</v>
      </c>
      <c r="L37" s="29">
        <f t="shared" si="4"/>
        <v>25.217103958760163</v>
      </c>
      <c r="M37" s="27"/>
      <c r="N37" s="29">
        <v>15.552591175656289</v>
      </c>
      <c r="O37" s="29">
        <f t="shared" si="5"/>
        <v>44.507756446279913</v>
      </c>
      <c r="P37" s="29">
        <f t="shared" si="6"/>
        <v>9.618683283140248</v>
      </c>
      <c r="Q37" s="29">
        <f t="shared" si="7"/>
        <v>-1.1308322287185184</v>
      </c>
      <c r="R37" s="29">
        <f t="shared" si="7"/>
        <v>-9.7876577824507525</v>
      </c>
      <c r="S37" s="30" t="s">
        <v>96</v>
      </c>
    </row>
    <row r="38" spans="1:19" ht="18" customHeight="1">
      <c r="A38" s="25" t="s">
        <v>39</v>
      </c>
      <c r="B38" s="26">
        <v>31721</v>
      </c>
      <c r="C38" s="26">
        <v>38014</v>
      </c>
      <c r="D38" s="26">
        <v>45587</v>
      </c>
      <c r="E38" s="26">
        <v>52368</v>
      </c>
      <c r="F38" s="26">
        <v>66955</v>
      </c>
      <c r="G38" s="73"/>
      <c r="H38" s="29">
        <f t="shared" si="1"/>
        <v>3.3110826961718116</v>
      </c>
      <c r="I38" s="29">
        <f t="shared" si="2"/>
        <v>3.3784156089306636</v>
      </c>
      <c r="J38" s="29">
        <f t="shared" si="3"/>
        <v>3.7836025354046163</v>
      </c>
      <c r="K38" s="29">
        <f t="shared" si="4"/>
        <v>4.2429074221712337</v>
      </c>
      <c r="L38" s="29">
        <f t="shared" si="4"/>
        <v>5.2059076224502094</v>
      </c>
      <c r="M38" s="27"/>
      <c r="N38" s="29">
        <v>2.3984763380463554</v>
      </c>
      <c r="O38" s="29">
        <f t="shared" si="5"/>
        <v>19.838592730367896</v>
      </c>
      <c r="P38" s="29">
        <f t="shared" si="6"/>
        <v>19.92160782869469</v>
      </c>
      <c r="Q38" s="29">
        <f t="shared" si="7"/>
        <v>14.874854673481474</v>
      </c>
      <c r="R38" s="29">
        <f t="shared" si="7"/>
        <v>27.854796822487017</v>
      </c>
      <c r="S38" s="30" t="s">
        <v>98</v>
      </c>
    </row>
    <row r="39" spans="1:19" ht="18" customHeight="1">
      <c r="A39" s="25" t="s">
        <v>40</v>
      </c>
      <c r="B39" s="26">
        <v>1772</v>
      </c>
      <c r="C39" s="26">
        <v>2511</v>
      </c>
      <c r="D39" s="26">
        <v>3333</v>
      </c>
      <c r="E39" s="26">
        <v>3452</v>
      </c>
      <c r="F39" s="26">
        <v>4886</v>
      </c>
      <c r="G39" s="73"/>
      <c r="H39" s="29">
        <f t="shared" ref="H39:H67" si="10">B39/B$7*100</f>
        <v>0.18496385793690143</v>
      </c>
      <c r="I39" s="29">
        <f t="shared" ref="I39:I67" si="11">C39/C$7*100</f>
        <v>0.22315993039472024</v>
      </c>
      <c r="J39" s="29">
        <f t="shared" ref="J39:J67" si="12">D39/D$7*100</f>
        <v>0.27663033870409515</v>
      </c>
      <c r="K39" s="29">
        <f t="shared" ref="K39:L67" si="13">E39/E$7*100</f>
        <v>0.27968447184034329</v>
      </c>
      <c r="L39" s="29">
        <f t="shared" si="13"/>
        <v>0.37989791118350719</v>
      </c>
      <c r="M39" s="27"/>
      <c r="N39" s="29">
        <v>38.113795791114576</v>
      </c>
      <c r="O39" s="29">
        <f t="shared" ref="O39:O67" si="14">(C39-B39)/B39*100</f>
        <v>41.704288939051921</v>
      </c>
      <c r="P39" s="29">
        <f t="shared" ref="P39:P67" si="15">(D39-C39)/C39*100</f>
        <v>32.735961768219838</v>
      </c>
      <c r="Q39" s="29">
        <f t="shared" ref="Q39:R67" si="16">(E39-D39)/D39*100</f>
        <v>3.5703570357035703</v>
      </c>
      <c r="R39" s="29">
        <f t="shared" si="16"/>
        <v>41.541135573580533</v>
      </c>
      <c r="S39" s="30" t="s">
        <v>97</v>
      </c>
    </row>
    <row r="40" spans="1:19" ht="18" customHeight="1">
      <c r="A40" s="25" t="s">
        <v>41</v>
      </c>
      <c r="B40" s="26">
        <v>36438</v>
      </c>
      <c r="C40" s="26">
        <v>39463</v>
      </c>
      <c r="D40" s="26">
        <v>38817</v>
      </c>
      <c r="E40" s="26">
        <v>39244</v>
      </c>
      <c r="F40" s="26">
        <v>39894</v>
      </c>
      <c r="G40" s="73"/>
      <c r="H40" s="29">
        <f t="shared" si="10"/>
        <v>3.8034498055896244</v>
      </c>
      <c r="I40" s="29">
        <f t="shared" si="11"/>
        <v>3.5071924863268995</v>
      </c>
      <c r="J40" s="29">
        <f t="shared" si="12"/>
        <v>3.2217101282558844</v>
      </c>
      <c r="K40" s="29">
        <f t="shared" si="13"/>
        <v>3.1795878948153047</v>
      </c>
      <c r="L40" s="29">
        <f t="shared" si="13"/>
        <v>3.1018516718695941</v>
      </c>
      <c r="M40" s="27"/>
      <c r="N40" s="29">
        <v>1.8333240176625119</v>
      </c>
      <c r="O40" s="29">
        <f t="shared" si="14"/>
        <v>8.3017728744717054</v>
      </c>
      <c r="P40" s="29">
        <f t="shared" si="15"/>
        <v>-1.6369764082811749</v>
      </c>
      <c r="Q40" s="29">
        <f t="shared" si="16"/>
        <v>1.1000334904809748</v>
      </c>
      <c r="R40" s="29">
        <f t="shared" si="16"/>
        <v>1.6563041484048517</v>
      </c>
      <c r="S40" s="30" t="s">
        <v>100</v>
      </c>
    </row>
    <row r="41" spans="1:19" ht="18" customHeight="1">
      <c r="A41" s="25" t="s">
        <v>42</v>
      </c>
      <c r="B41" s="26">
        <v>23933</v>
      </c>
      <c r="C41" s="26">
        <v>30306</v>
      </c>
      <c r="D41" s="26">
        <v>34896</v>
      </c>
      <c r="E41" s="26">
        <v>33001</v>
      </c>
      <c r="F41" s="26">
        <v>29580</v>
      </c>
      <c r="G41" s="73"/>
      <c r="H41" s="29">
        <f t="shared" si="10"/>
        <v>2.4981602776545495</v>
      </c>
      <c r="I41" s="29">
        <f t="shared" si="11"/>
        <v>2.6933830547759423</v>
      </c>
      <c r="J41" s="29">
        <f t="shared" si="12"/>
        <v>2.8962773175571872</v>
      </c>
      <c r="K41" s="29">
        <f t="shared" si="13"/>
        <v>2.6737738282743826</v>
      </c>
      <c r="L41" s="29">
        <f t="shared" si="13"/>
        <v>2.2999140836692882</v>
      </c>
      <c r="M41" s="27"/>
      <c r="N41" s="29">
        <v>-5.3470437017994854</v>
      </c>
      <c r="O41" s="29">
        <f t="shared" si="14"/>
        <v>26.628504575272636</v>
      </c>
      <c r="P41" s="29">
        <f t="shared" si="15"/>
        <v>15.145515739457533</v>
      </c>
      <c r="Q41" s="29">
        <f t="shared" si="16"/>
        <v>-5.4304218248509857</v>
      </c>
      <c r="R41" s="29">
        <f t="shared" si="16"/>
        <v>-10.366352534771673</v>
      </c>
      <c r="S41" s="30" t="s">
        <v>99</v>
      </c>
    </row>
    <row r="42" spans="1:19" ht="18" customHeight="1">
      <c r="A42" s="25" t="s">
        <v>43</v>
      </c>
      <c r="B42" s="26">
        <v>6766</v>
      </c>
      <c r="C42" s="26">
        <v>10875</v>
      </c>
      <c r="D42" s="26">
        <v>13457</v>
      </c>
      <c r="E42" s="26">
        <v>12575</v>
      </c>
      <c r="F42" s="26">
        <v>16185</v>
      </c>
      <c r="G42" s="73"/>
      <c r="H42" s="29">
        <f t="shared" si="10"/>
        <v>0.70624461783356385</v>
      </c>
      <c r="I42" s="29">
        <f t="shared" si="11"/>
        <v>0.96649312745622562</v>
      </c>
      <c r="J42" s="29">
        <f t="shared" si="12"/>
        <v>1.116896029985301</v>
      </c>
      <c r="K42" s="29">
        <f t="shared" si="13"/>
        <v>1.0188390015620847</v>
      </c>
      <c r="L42" s="29">
        <f t="shared" si="13"/>
        <v>1.2584215498373033</v>
      </c>
      <c r="M42" s="27"/>
      <c r="N42" s="29">
        <v>11.742361684558217</v>
      </c>
      <c r="O42" s="29">
        <f t="shared" si="14"/>
        <v>60.730121194206319</v>
      </c>
      <c r="P42" s="29">
        <f t="shared" si="15"/>
        <v>23.742528735632185</v>
      </c>
      <c r="Q42" s="29">
        <f t="shared" si="16"/>
        <v>-6.5542097049862527</v>
      </c>
      <c r="R42" s="29">
        <f t="shared" si="16"/>
        <v>28.707753479125248</v>
      </c>
      <c r="S42" s="30" t="s">
        <v>101</v>
      </c>
    </row>
    <row r="43" spans="1:19" ht="18" customHeight="1">
      <c r="A43" s="25" t="s">
        <v>44</v>
      </c>
      <c r="B43" s="26">
        <v>1857</v>
      </c>
      <c r="C43" s="26">
        <v>2693</v>
      </c>
      <c r="D43" s="26">
        <v>3105</v>
      </c>
      <c r="E43" s="26">
        <v>3987</v>
      </c>
      <c r="F43" s="26">
        <v>6251</v>
      </c>
      <c r="G43" s="73"/>
      <c r="H43" s="29">
        <f t="shared" si="10"/>
        <v>0.19383627775893114</v>
      </c>
      <c r="I43" s="29">
        <f t="shared" si="11"/>
        <v>0.23933480388410258</v>
      </c>
      <c r="J43" s="29">
        <f t="shared" si="12"/>
        <v>0.25770693119598426</v>
      </c>
      <c r="K43" s="29">
        <f t="shared" si="13"/>
        <v>0.32303070371594689</v>
      </c>
      <c r="L43" s="29">
        <f t="shared" si="13"/>
        <v>0.48602984912159297</v>
      </c>
      <c r="M43" s="27"/>
      <c r="N43" s="29">
        <v>0.81433224755700329</v>
      </c>
      <c r="O43" s="29">
        <f t="shared" si="14"/>
        <v>45.018847603661818</v>
      </c>
      <c r="P43" s="29">
        <f t="shared" si="15"/>
        <v>15.298923134051243</v>
      </c>
      <c r="Q43" s="29">
        <f t="shared" si="16"/>
        <v>28.405797101449277</v>
      </c>
      <c r="R43" s="29">
        <f t="shared" si="16"/>
        <v>56.784549786807126</v>
      </c>
      <c r="S43" s="30" t="s">
        <v>102</v>
      </c>
    </row>
    <row r="44" spans="1:19" ht="18" customHeight="1">
      <c r="A44" s="25" t="s">
        <v>45</v>
      </c>
      <c r="B44" s="26">
        <v>2265</v>
      </c>
      <c r="C44" s="26">
        <v>3040</v>
      </c>
      <c r="D44" s="26">
        <v>5406</v>
      </c>
      <c r="E44" s="26">
        <v>6907</v>
      </c>
      <c r="F44" s="26">
        <v>9551</v>
      </c>
      <c r="G44" s="73"/>
      <c r="H44" s="29">
        <f t="shared" si="10"/>
        <v>0.23642389290467369</v>
      </c>
      <c r="I44" s="29">
        <f t="shared" si="11"/>
        <v>0.2701737110314415</v>
      </c>
      <c r="J44" s="29">
        <f t="shared" si="12"/>
        <v>0.44868395170547215</v>
      </c>
      <c r="K44" s="29">
        <f t="shared" si="13"/>
        <v>0.55961200666316657</v>
      </c>
      <c r="L44" s="29">
        <f t="shared" si="13"/>
        <v>0.74261255622465761</v>
      </c>
      <c r="M44" s="27"/>
      <c r="N44" s="29">
        <v>37.106537530266344</v>
      </c>
      <c r="O44" s="29">
        <f t="shared" si="14"/>
        <v>34.216335540838855</v>
      </c>
      <c r="P44" s="29">
        <f t="shared" si="15"/>
        <v>77.828947368421055</v>
      </c>
      <c r="Q44" s="29">
        <f t="shared" si="16"/>
        <v>27.765445800961896</v>
      </c>
      <c r="R44" s="29">
        <f t="shared" si="16"/>
        <v>38.280005791226287</v>
      </c>
      <c r="S44" s="30" t="s">
        <v>103</v>
      </c>
    </row>
    <row r="45" spans="1:19" ht="18" customHeight="1">
      <c r="A45" s="25" t="s">
        <v>46</v>
      </c>
      <c r="B45" s="26">
        <v>9625</v>
      </c>
      <c r="C45" s="26">
        <v>11143</v>
      </c>
      <c r="D45" s="26">
        <v>18638</v>
      </c>
      <c r="E45" s="26">
        <v>15881</v>
      </c>
      <c r="F45" s="26">
        <v>14782</v>
      </c>
      <c r="G45" s="73"/>
      <c r="H45" s="29">
        <f t="shared" si="10"/>
        <v>1.0046710680827746</v>
      </c>
      <c r="I45" s="29">
        <f t="shared" si="11"/>
        <v>0.99031107303399735</v>
      </c>
      <c r="J45" s="29">
        <f t="shared" si="12"/>
        <v>1.5469055663867164</v>
      </c>
      <c r="K45" s="29">
        <f t="shared" si="13"/>
        <v>1.2866944082550671</v>
      </c>
      <c r="L45" s="29">
        <f t="shared" si="13"/>
        <v>1.1493350231507578</v>
      </c>
      <c r="M45" s="27"/>
      <c r="N45" s="29">
        <v>20.463078848560702</v>
      </c>
      <c r="O45" s="29">
        <f t="shared" si="14"/>
        <v>15.771428571428572</v>
      </c>
      <c r="P45" s="29">
        <f t="shared" si="15"/>
        <v>67.261958180023328</v>
      </c>
      <c r="Q45" s="29">
        <f t="shared" si="16"/>
        <v>-14.792359695246271</v>
      </c>
      <c r="R45" s="29">
        <f t="shared" si="16"/>
        <v>-6.9202191297777214</v>
      </c>
      <c r="S45" s="30" t="s">
        <v>104</v>
      </c>
    </row>
    <row r="46" spans="1:19" ht="18" customHeight="1">
      <c r="A46" s="25" t="s">
        <v>47</v>
      </c>
      <c r="B46" s="26">
        <v>8860</v>
      </c>
      <c r="C46" s="26">
        <v>12400</v>
      </c>
      <c r="D46" s="26">
        <v>13753</v>
      </c>
      <c r="E46" s="26">
        <v>14153</v>
      </c>
      <c r="F46" s="26">
        <v>17927</v>
      </c>
      <c r="G46" s="73"/>
      <c r="H46" s="29">
        <f t="shared" si="10"/>
        <v>0.92481928968450733</v>
      </c>
      <c r="I46" s="29">
        <f t="shared" si="11"/>
        <v>1.1020243476282481</v>
      </c>
      <c r="J46" s="29">
        <f t="shared" si="12"/>
        <v>1.1414632607853048</v>
      </c>
      <c r="K46" s="29">
        <f t="shared" si="13"/>
        <v>1.1466901303465753</v>
      </c>
      <c r="L46" s="29">
        <f t="shared" si="13"/>
        <v>1.393866118253527</v>
      </c>
      <c r="M46" s="27"/>
      <c r="N46" s="29">
        <v>-8.3764219234746644</v>
      </c>
      <c r="O46" s="29">
        <f t="shared" si="14"/>
        <v>39.954853273137694</v>
      </c>
      <c r="P46" s="29">
        <f t="shared" si="15"/>
        <v>10.911290322580646</v>
      </c>
      <c r="Q46" s="29">
        <f t="shared" si="16"/>
        <v>2.9084563367992438</v>
      </c>
      <c r="R46" s="29">
        <f t="shared" si="16"/>
        <v>26.665724581360845</v>
      </c>
      <c r="S46" s="30" t="s">
        <v>105</v>
      </c>
    </row>
    <row r="47" spans="1:19" ht="18" customHeight="1">
      <c r="A47" s="25" t="s">
        <v>48</v>
      </c>
      <c r="B47" s="26">
        <v>4430</v>
      </c>
      <c r="C47" s="26">
        <v>6522</v>
      </c>
      <c r="D47" s="26">
        <v>7341</v>
      </c>
      <c r="E47" s="26">
        <v>9177</v>
      </c>
      <c r="F47" s="26">
        <v>9505</v>
      </c>
      <c r="G47" s="73"/>
      <c r="H47" s="29">
        <f t="shared" si="10"/>
        <v>0.46240964484225366</v>
      </c>
      <c r="I47" s="29">
        <f t="shared" si="11"/>
        <v>0.57962925767995432</v>
      </c>
      <c r="J47" s="29">
        <f t="shared" si="12"/>
        <v>0.60928392332036085</v>
      </c>
      <c r="K47" s="29">
        <f t="shared" si="13"/>
        <v>0.74352966340638194</v>
      </c>
      <c r="L47" s="29">
        <f t="shared" si="13"/>
        <v>0.73903594879231183</v>
      </c>
      <c r="M47" s="27"/>
      <c r="N47" s="29">
        <v>-16.493873704052781</v>
      </c>
      <c r="O47" s="29">
        <f t="shared" si="14"/>
        <v>47.223476297968396</v>
      </c>
      <c r="P47" s="29">
        <f t="shared" si="15"/>
        <v>12.557497700091997</v>
      </c>
      <c r="Q47" s="29">
        <f t="shared" si="16"/>
        <v>25.010216591744992</v>
      </c>
      <c r="R47" s="29">
        <f t="shared" si="16"/>
        <v>3.5741527732374414</v>
      </c>
      <c r="S47" s="30" t="s">
        <v>106</v>
      </c>
    </row>
    <row r="48" spans="1:19" ht="18" customHeight="1">
      <c r="A48" s="25" t="s">
        <v>49</v>
      </c>
      <c r="B48" s="26">
        <v>6896</v>
      </c>
      <c r="C48" s="26">
        <v>11705</v>
      </c>
      <c r="D48" s="26">
        <v>12281</v>
      </c>
      <c r="E48" s="26">
        <v>15910</v>
      </c>
      <c r="F48" s="26">
        <v>16451</v>
      </c>
      <c r="G48" s="73"/>
      <c r="H48" s="29">
        <f t="shared" si="10"/>
        <v>0.71981420109078575</v>
      </c>
      <c r="I48" s="29">
        <f t="shared" si="11"/>
        <v>1.0402576604023099</v>
      </c>
      <c r="J48" s="29">
        <f t="shared" si="12"/>
        <v>1.0192910859960975</v>
      </c>
      <c r="K48" s="29">
        <f t="shared" si="13"/>
        <v>1.2890440170857074</v>
      </c>
      <c r="L48" s="29">
        <f t="shared" si="13"/>
        <v>1.2791036710765198</v>
      </c>
      <c r="M48" s="27"/>
      <c r="N48" s="29">
        <v>10.975217251367878</v>
      </c>
      <c r="O48" s="29">
        <f t="shared" si="14"/>
        <v>69.736078886310906</v>
      </c>
      <c r="P48" s="29">
        <f t="shared" si="15"/>
        <v>4.9209739427595043</v>
      </c>
      <c r="Q48" s="29">
        <f t="shared" si="16"/>
        <v>29.549710935591566</v>
      </c>
      <c r="R48" s="29">
        <f t="shared" si="16"/>
        <v>3.4003771213073541</v>
      </c>
      <c r="S48" s="30" t="s">
        <v>107</v>
      </c>
    </row>
    <row r="49" spans="1:33" ht="18" customHeight="1">
      <c r="A49" s="25" t="s">
        <v>50</v>
      </c>
      <c r="B49" s="26">
        <v>2345</v>
      </c>
      <c r="C49" s="26">
        <v>3456</v>
      </c>
      <c r="D49" s="26">
        <v>5560</v>
      </c>
      <c r="E49" s="26">
        <v>7722</v>
      </c>
      <c r="F49" s="26">
        <v>10025</v>
      </c>
      <c r="G49" s="73"/>
      <c r="H49" s="29">
        <f t="shared" si="10"/>
        <v>0.24477440567834868</v>
      </c>
      <c r="I49" s="29">
        <f t="shared" si="11"/>
        <v>0.30714485043574402</v>
      </c>
      <c r="J49" s="29">
        <f t="shared" si="12"/>
        <v>0.4614655515135821</v>
      </c>
      <c r="K49" s="29">
        <f t="shared" si="13"/>
        <v>0.62564411690357213</v>
      </c>
      <c r="L49" s="29">
        <f t="shared" si="13"/>
        <v>0.77946716324491594</v>
      </c>
      <c r="M49" s="27"/>
      <c r="N49" s="29">
        <v>-5.6338028169014089</v>
      </c>
      <c r="O49" s="29">
        <f t="shared" si="14"/>
        <v>47.377398720682301</v>
      </c>
      <c r="P49" s="29">
        <f t="shared" si="15"/>
        <v>60.879629629629626</v>
      </c>
      <c r="Q49" s="29">
        <f t="shared" si="16"/>
        <v>38.884892086330936</v>
      </c>
      <c r="R49" s="29">
        <f t="shared" si="16"/>
        <v>29.823879823879825</v>
      </c>
      <c r="S49" s="30" t="s">
        <v>93</v>
      </c>
    </row>
    <row r="50" spans="1:33" s="10" customFormat="1" ht="18" customHeight="1">
      <c r="A50" s="31" t="s">
        <v>3</v>
      </c>
      <c r="B50" s="32">
        <f t="shared" ref="B50" si="17">SUM(B51:B52)</f>
        <v>7095</v>
      </c>
      <c r="C50" s="32">
        <f>SUM(C51:C52)</f>
        <v>8271</v>
      </c>
      <c r="D50" s="32">
        <f>SUM(D51:D52)</f>
        <v>8149</v>
      </c>
      <c r="E50" s="32">
        <f>SUM(E51:E52)</f>
        <v>9276</v>
      </c>
      <c r="F50" s="32">
        <f>SUM(F51:F52)</f>
        <v>10752</v>
      </c>
      <c r="G50" s="83"/>
      <c r="H50" s="21">
        <f t="shared" si="10"/>
        <v>0.74058610161530236</v>
      </c>
      <c r="I50" s="21">
        <f t="shared" si="11"/>
        <v>0.73506801445429348</v>
      </c>
      <c r="J50" s="21">
        <f t="shared" si="12"/>
        <v>0.6763458236122627</v>
      </c>
      <c r="K50" s="21">
        <f t="shared" si="13"/>
        <v>0.75155074182822246</v>
      </c>
      <c r="L50" s="21">
        <f t="shared" si="13"/>
        <v>0.83599311114307595</v>
      </c>
      <c r="M50" s="23"/>
      <c r="N50" s="21">
        <v>9.7447795823665881</v>
      </c>
      <c r="O50" s="21">
        <f t="shared" si="14"/>
        <v>16.575052854122621</v>
      </c>
      <c r="P50" s="21">
        <f t="shared" si="15"/>
        <v>-1.4750332487002782</v>
      </c>
      <c r="Q50" s="21">
        <f t="shared" si="16"/>
        <v>13.829917781322862</v>
      </c>
      <c r="R50" s="21">
        <f t="shared" si="16"/>
        <v>15.91203104786546</v>
      </c>
      <c r="S50" s="24" t="s">
        <v>108</v>
      </c>
    </row>
    <row r="51" spans="1:33" ht="18" customHeight="1">
      <c r="A51" s="25" t="s">
        <v>51</v>
      </c>
      <c r="B51" s="26">
        <v>3967</v>
      </c>
      <c r="C51" s="26">
        <v>4503</v>
      </c>
      <c r="D51" s="26">
        <v>3699</v>
      </c>
      <c r="E51" s="26">
        <v>4170</v>
      </c>
      <c r="F51" s="26">
        <v>4656</v>
      </c>
      <c r="G51" s="73"/>
      <c r="H51" s="29">
        <f t="shared" si="10"/>
        <v>0.4140810521646095</v>
      </c>
      <c r="I51" s="29">
        <f t="shared" si="11"/>
        <v>0.40019480946532271</v>
      </c>
      <c r="J51" s="29">
        <f t="shared" si="12"/>
        <v>0.30700738759869428</v>
      </c>
      <c r="K51" s="29">
        <f t="shared" si="13"/>
        <v>0.33785754564722809</v>
      </c>
      <c r="L51" s="29">
        <f t="shared" si="13"/>
        <v>0.36201487402177845</v>
      </c>
      <c r="M51" s="27"/>
      <c r="N51" s="29">
        <v>7.681867535287731</v>
      </c>
      <c r="O51" s="29">
        <f t="shared" si="14"/>
        <v>13.511469624401313</v>
      </c>
      <c r="P51" s="29">
        <f t="shared" si="15"/>
        <v>-17.854763491005997</v>
      </c>
      <c r="Q51" s="29">
        <f t="shared" si="16"/>
        <v>12.73317112733171</v>
      </c>
      <c r="R51" s="29">
        <f t="shared" si="16"/>
        <v>11.654676258992806</v>
      </c>
      <c r="S51" s="30" t="s">
        <v>109</v>
      </c>
    </row>
    <row r="52" spans="1:33" ht="18" customHeight="1">
      <c r="A52" s="25" t="s">
        <v>52</v>
      </c>
      <c r="B52" s="26">
        <v>3128</v>
      </c>
      <c r="C52" s="26">
        <v>3768</v>
      </c>
      <c r="D52" s="26">
        <v>4450</v>
      </c>
      <c r="E52" s="26">
        <v>5106</v>
      </c>
      <c r="F52" s="26">
        <v>6096</v>
      </c>
      <c r="G52" s="73"/>
      <c r="H52" s="29">
        <f t="shared" si="10"/>
        <v>0.32650504945069281</v>
      </c>
      <c r="I52" s="29">
        <f t="shared" si="11"/>
        <v>0.33487320498897089</v>
      </c>
      <c r="J52" s="29">
        <f t="shared" si="12"/>
        <v>0.36933843601356842</v>
      </c>
      <c r="K52" s="29">
        <f t="shared" si="13"/>
        <v>0.41369319618099443</v>
      </c>
      <c r="L52" s="29">
        <f t="shared" si="13"/>
        <v>0.4739782371212975</v>
      </c>
      <c r="M52" s="27"/>
      <c r="N52" s="29">
        <v>12.47752606975908</v>
      </c>
      <c r="O52" s="29">
        <f t="shared" si="14"/>
        <v>20.460358056265985</v>
      </c>
      <c r="P52" s="29">
        <f t="shared" si="15"/>
        <v>18.099787685774945</v>
      </c>
      <c r="Q52" s="29">
        <f t="shared" si="16"/>
        <v>14.741573033707866</v>
      </c>
      <c r="R52" s="29">
        <f t="shared" si="16"/>
        <v>19.388954171562865</v>
      </c>
      <c r="S52" s="30" t="s">
        <v>93</v>
      </c>
    </row>
    <row r="53" spans="1:33" s="10" customFormat="1" ht="18" customHeight="1">
      <c r="A53" s="31" t="s">
        <v>53</v>
      </c>
      <c r="B53" s="32">
        <f t="shared" ref="B53" si="18">SUM(B54:B57)</f>
        <v>26774</v>
      </c>
      <c r="C53" s="32">
        <f>SUM(C54:C57)</f>
        <v>32970</v>
      </c>
      <c r="D53" s="32">
        <f>SUM(D54:D57)</f>
        <v>41044</v>
      </c>
      <c r="E53" s="32">
        <f>SUM(E54:E57)</f>
        <v>46602</v>
      </c>
      <c r="F53" s="32">
        <f>SUM(F54:F57)</f>
        <v>50458</v>
      </c>
      <c r="G53" s="83"/>
      <c r="H53" s="21">
        <f t="shared" si="10"/>
        <v>2.7947078625296835</v>
      </c>
      <c r="I53" s="21">
        <f t="shared" si="11"/>
        <v>2.9301405436534949</v>
      </c>
      <c r="J53" s="21">
        <f t="shared" si="12"/>
        <v>3.4065453410653714</v>
      </c>
      <c r="K53" s="21">
        <f t="shared" si="13"/>
        <v>3.7757403698446343</v>
      </c>
      <c r="L53" s="21">
        <f t="shared" si="13"/>
        <v>3.9232273439413436</v>
      </c>
      <c r="M53" s="23"/>
      <c r="N53" s="21">
        <v>13.190158112792764</v>
      </c>
      <c r="O53" s="21">
        <f t="shared" si="14"/>
        <v>23.141854037499066</v>
      </c>
      <c r="P53" s="21">
        <f t="shared" si="15"/>
        <v>24.488929329693661</v>
      </c>
      <c r="Q53" s="21">
        <f t="shared" si="16"/>
        <v>13.541565149595556</v>
      </c>
      <c r="R53" s="21">
        <f t="shared" si="16"/>
        <v>8.2743229904295958</v>
      </c>
      <c r="S53" s="24" t="s">
        <v>110</v>
      </c>
    </row>
    <row r="54" spans="1:33" ht="18" customHeight="1">
      <c r="A54" s="25" t="s">
        <v>54</v>
      </c>
      <c r="B54" s="26">
        <v>3061</v>
      </c>
      <c r="C54" s="26">
        <v>3675</v>
      </c>
      <c r="D54" s="26">
        <v>4321</v>
      </c>
      <c r="E54" s="26">
        <v>5082</v>
      </c>
      <c r="F54" s="26">
        <v>5015</v>
      </c>
      <c r="G54" s="73"/>
      <c r="H54" s="29">
        <f t="shared" si="10"/>
        <v>0.31951149500274001</v>
      </c>
      <c r="I54" s="29">
        <f t="shared" si="11"/>
        <v>0.32660802238175901</v>
      </c>
      <c r="J54" s="29">
        <f t="shared" si="12"/>
        <v>0.3586317712392425</v>
      </c>
      <c r="K54" s="29">
        <f t="shared" si="13"/>
        <v>0.4117486923211543</v>
      </c>
      <c r="L54" s="29">
        <f t="shared" si="13"/>
        <v>0.38992796246117239</v>
      </c>
      <c r="M54" s="27"/>
      <c r="N54" s="29">
        <v>30.700256191289498</v>
      </c>
      <c r="O54" s="29">
        <f t="shared" si="14"/>
        <v>20.058804312316237</v>
      </c>
      <c r="P54" s="29">
        <f t="shared" si="15"/>
        <v>17.578231292517007</v>
      </c>
      <c r="Q54" s="29">
        <f t="shared" si="16"/>
        <v>17.611663966674381</v>
      </c>
      <c r="R54" s="29">
        <f t="shared" si="16"/>
        <v>-1.3183785911058639</v>
      </c>
      <c r="S54" s="30" t="s">
        <v>111</v>
      </c>
    </row>
    <row r="55" spans="1:33" ht="18" customHeight="1">
      <c r="A55" s="25" t="s">
        <v>55</v>
      </c>
      <c r="B55" s="26">
        <v>5070</v>
      </c>
      <c r="C55" s="26">
        <v>6098</v>
      </c>
      <c r="D55" s="26">
        <v>7435</v>
      </c>
      <c r="E55" s="26">
        <v>7537</v>
      </c>
      <c r="F55" s="26">
        <v>7628</v>
      </c>
      <c r="G55" s="73"/>
      <c r="H55" s="29">
        <f t="shared" si="10"/>
        <v>0.52921374703165358</v>
      </c>
      <c r="I55" s="29">
        <f t="shared" si="11"/>
        <v>0.54194713482556911</v>
      </c>
      <c r="J55" s="29">
        <f t="shared" si="12"/>
        <v>0.61708567904738898</v>
      </c>
      <c r="K55" s="29">
        <f t="shared" si="13"/>
        <v>0.61065523298397084</v>
      </c>
      <c r="L55" s="29">
        <f t="shared" si="13"/>
        <v>0.5930948150855081</v>
      </c>
      <c r="M55" s="27"/>
      <c r="N55" s="29">
        <v>8.1023454157782524</v>
      </c>
      <c r="O55" s="29">
        <f t="shared" si="14"/>
        <v>20.276134122287967</v>
      </c>
      <c r="P55" s="29">
        <f t="shared" si="15"/>
        <v>21.925221384060347</v>
      </c>
      <c r="Q55" s="29">
        <f t="shared" si="16"/>
        <v>1.3718897108271688</v>
      </c>
      <c r="R55" s="29">
        <f t="shared" si="16"/>
        <v>1.2073769404272257</v>
      </c>
      <c r="S55" s="30" t="s">
        <v>112</v>
      </c>
    </row>
    <row r="56" spans="1:33" ht="18" customHeight="1">
      <c r="A56" s="25" t="s">
        <v>56</v>
      </c>
      <c r="B56" s="26">
        <v>16049</v>
      </c>
      <c r="C56" s="26">
        <v>20034</v>
      </c>
      <c r="D56" s="26">
        <v>25641</v>
      </c>
      <c r="E56" s="26">
        <v>29308</v>
      </c>
      <c r="F56" s="26">
        <v>32589</v>
      </c>
      <c r="G56" s="73"/>
      <c r="H56" s="29">
        <f t="shared" si="10"/>
        <v>1.6752172438088777</v>
      </c>
      <c r="I56" s="29">
        <f t="shared" si="11"/>
        <v>1.7804803048697033</v>
      </c>
      <c r="J56" s="29">
        <f t="shared" si="12"/>
        <v>2.128136368050316</v>
      </c>
      <c r="K56" s="29">
        <f t="shared" si="13"/>
        <v>2.3745632968414774</v>
      </c>
      <c r="L56" s="29">
        <f t="shared" si="13"/>
        <v>2.5338708611459917</v>
      </c>
      <c r="M56" s="27"/>
      <c r="N56" s="29">
        <v>10.759144237405106</v>
      </c>
      <c r="O56" s="29">
        <f t="shared" si="14"/>
        <v>24.830207489563215</v>
      </c>
      <c r="P56" s="29">
        <f t="shared" si="15"/>
        <v>27.987421383647799</v>
      </c>
      <c r="Q56" s="29">
        <f t="shared" si="16"/>
        <v>14.301314301314303</v>
      </c>
      <c r="R56" s="29">
        <f t="shared" si="16"/>
        <v>11.194895591647331</v>
      </c>
      <c r="S56" s="30" t="s">
        <v>113</v>
      </c>
    </row>
    <row r="57" spans="1:33" ht="18" customHeight="1">
      <c r="A57" s="25" t="s">
        <v>57</v>
      </c>
      <c r="B57" s="26">
        <v>2594</v>
      </c>
      <c r="C57" s="26">
        <v>3163</v>
      </c>
      <c r="D57" s="26">
        <v>3647</v>
      </c>
      <c r="E57" s="26">
        <v>4675</v>
      </c>
      <c r="F57" s="26">
        <v>5226</v>
      </c>
      <c r="G57" s="73"/>
      <c r="H57" s="29">
        <f t="shared" si="10"/>
        <v>0.27076537668641215</v>
      </c>
      <c r="I57" s="29">
        <f t="shared" si="11"/>
        <v>0.28110508157646363</v>
      </c>
      <c r="J57" s="29">
        <f t="shared" si="12"/>
        <v>0.30269152272842337</v>
      </c>
      <c r="K57" s="29">
        <f t="shared" si="13"/>
        <v>0.3787731476980315</v>
      </c>
      <c r="L57" s="29">
        <f t="shared" si="13"/>
        <v>0.40633370524867141</v>
      </c>
      <c r="M57" s="27"/>
      <c r="N57" s="29">
        <v>21.669793621013135</v>
      </c>
      <c r="O57" s="29">
        <f t="shared" si="14"/>
        <v>21.935235158057054</v>
      </c>
      <c r="P57" s="29">
        <f t="shared" si="15"/>
        <v>15.301928548846034</v>
      </c>
      <c r="Q57" s="29">
        <f t="shared" si="16"/>
        <v>28.18755141211955</v>
      </c>
      <c r="R57" s="29">
        <f t="shared" si="16"/>
        <v>11.786096256684491</v>
      </c>
      <c r="S57" s="30" t="s">
        <v>93</v>
      </c>
    </row>
    <row r="58" spans="1:33" s="10" customFormat="1" ht="18" customHeight="1">
      <c r="A58" s="31" t="s">
        <v>4</v>
      </c>
      <c r="B58" s="32">
        <f t="shared" ref="B58" si="19">SUM(B59:B61)</f>
        <v>16826</v>
      </c>
      <c r="C58" s="32">
        <f>SUM(C59:C61)</f>
        <v>18761</v>
      </c>
      <c r="D58" s="32">
        <f>SUM(D59:D61)</f>
        <v>20814</v>
      </c>
      <c r="E58" s="32">
        <f>SUM(E59:E61)</f>
        <v>21777</v>
      </c>
      <c r="F58" s="32">
        <f>SUM(F59:F61)</f>
        <v>25708</v>
      </c>
      <c r="G58" s="83"/>
      <c r="H58" s="21">
        <f t="shared" si="10"/>
        <v>1.7563215991231962</v>
      </c>
      <c r="I58" s="21">
        <f t="shared" si="11"/>
        <v>1.6673450633752873</v>
      </c>
      <c r="J58" s="21">
        <f t="shared" si="12"/>
        <v>1.727507911727284</v>
      </c>
      <c r="K58" s="21">
        <f t="shared" si="13"/>
        <v>1.7643941898224669</v>
      </c>
      <c r="L58" s="21">
        <f t="shared" si="13"/>
        <v>1.998857040668359</v>
      </c>
      <c r="M58" s="23"/>
      <c r="N58" s="21">
        <v>18.534695315251849</v>
      </c>
      <c r="O58" s="21">
        <f t="shared" si="14"/>
        <v>11.500059431831689</v>
      </c>
      <c r="P58" s="21">
        <f t="shared" si="15"/>
        <v>10.942913490752092</v>
      </c>
      <c r="Q58" s="21">
        <f t="shared" si="16"/>
        <v>4.626693571634477</v>
      </c>
      <c r="R58" s="21">
        <f t="shared" si="16"/>
        <v>18.051154888184779</v>
      </c>
      <c r="S58" s="24" t="s">
        <v>114</v>
      </c>
    </row>
    <row r="59" spans="1:33" ht="18" customHeight="1">
      <c r="A59" s="25" t="s">
        <v>58</v>
      </c>
      <c r="B59" s="26">
        <v>15208</v>
      </c>
      <c r="C59" s="26">
        <v>16915</v>
      </c>
      <c r="D59" s="26">
        <v>18872</v>
      </c>
      <c r="E59" s="26">
        <v>19733</v>
      </c>
      <c r="F59" s="26">
        <v>23584</v>
      </c>
      <c r="G59" s="73"/>
      <c r="H59" s="29">
        <f t="shared" si="10"/>
        <v>1.5874324782756193</v>
      </c>
      <c r="I59" s="29">
        <f t="shared" si="11"/>
        <v>1.5032856322686949</v>
      </c>
      <c r="J59" s="29">
        <f t="shared" si="12"/>
        <v>1.5663269583029353</v>
      </c>
      <c r="K59" s="29">
        <f t="shared" si="13"/>
        <v>1.5987872777594132</v>
      </c>
      <c r="L59" s="29">
        <f t="shared" si="13"/>
        <v>1.8337110800965684</v>
      </c>
      <c r="M59" s="27"/>
      <c r="N59" s="29">
        <v>19.017060572859602</v>
      </c>
      <c r="O59" s="29">
        <f t="shared" si="14"/>
        <v>11.224355602314571</v>
      </c>
      <c r="P59" s="29">
        <f t="shared" si="15"/>
        <v>11.569612769731009</v>
      </c>
      <c r="Q59" s="29">
        <f t="shared" si="16"/>
        <v>4.5623145400593472</v>
      </c>
      <c r="R59" s="29">
        <f t="shared" si="16"/>
        <v>19.51553235696549</v>
      </c>
      <c r="S59" s="30" t="s">
        <v>115</v>
      </c>
    </row>
    <row r="60" spans="1:33" ht="18" customHeight="1">
      <c r="A60" s="25" t="s">
        <v>59</v>
      </c>
      <c r="B60" s="26">
        <v>1579</v>
      </c>
      <c r="C60" s="26">
        <v>1791</v>
      </c>
      <c r="D60" s="26">
        <v>1916</v>
      </c>
      <c r="E60" s="26">
        <v>1978</v>
      </c>
      <c r="F60" s="26">
        <v>2087</v>
      </c>
      <c r="G60" s="73"/>
      <c r="H60" s="29">
        <f t="shared" si="10"/>
        <v>0.1648182458704105</v>
      </c>
      <c r="I60" s="29">
        <f t="shared" si="11"/>
        <v>0.15917141988727357</v>
      </c>
      <c r="J60" s="29">
        <f t="shared" si="12"/>
        <v>0.15902302098921281</v>
      </c>
      <c r="K60" s="29">
        <f t="shared" si="13"/>
        <v>0.16025952644849334</v>
      </c>
      <c r="L60" s="29">
        <f t="shared" si="13"/>
        <v>0.16226912415881692</v>
      </c>
      <c r="M60" s="27"/>
      <c r="N60" s="29">
        <v>13.597122302158274</v>
      </c>
      <c r="O60" s="29">
        <f t="shared" si="14"/>
        <v>13.426219126029132</v>
      </c>
      <c r="P60" s="29">
        <f t="shared" si="15"/>
        <v>6.9793411501954212</v>
      </c>
      <c r="Q60" s="29">
        <f t="shared" si="16"/>
        <v>3.2359081419624216</v>
      </c>
      <c r="R60" s="29">
        <f t="shared" si="16"/>
        <v>5.5106167846309404</v>
      </c>
      <c r="S60" s="30" t="s">
        <v>116</v>
      </c>
    </row>
    <row r="61" spans="1:33" ht="18" customHeight="1">
      <c r="A61" s="25" t="s">
        <v>60</v>
      </c>
      <c r="B61" s="26">
        <v>39</v>
      </c>
      <c r="C61" s="26">
        <v>55</v>
      </c>
      <c r="D61" s="26">
        <v>26</v>
      </c>
      <c r="E61" s="26">
        <v>66</v>
      </c>
      <c r="F61" s="26">
        <v>37</v>
      </c>
      <c r="G61" s="73"/>
      <c r="H61" s="29">
        <f t="shared" si="10"/>
        <v>4.0708749771665668E-3</v>
      </c>
      <c r="I61" s="29">
        <f t="shared" si="11"/>
        <v>4.888011219318842E-3</v>
      </c>
      <c r="J61" s="29">
        <f t="shared" si="12"/>
        <v>2.1579324351354559E-3</v>
      </c>
      <c r="K61" s="29">
        <f t="shared" si="13"/>
        <v>5.3473856145604456E-3</v>
      </c>
      <c r="L61" s="29">
        <f t="shared" si="13"/>
        <v>2.8768364129737548E-3</v>
      </c>
      <c r="M61" s="27"/>
      <c r="N61" s="29">
        <v>44.444444444444443</v>
      </c>
      <c r="O61" s="29">
        <f t="shared" si="14"/>
        <v>41.025641025641022</v>
      </c>
      <c r="P61" s="29">
        <f t="shared" si="15"/>
        <v>-52.72727272727272</v>
      </c>
      <c r="Q61" s="29">
        <f t="shared" si="16"/>
        <v>153.84615384615387</v>
      </c>
      <c r="R61" s="29">
        <f t="shared" si="16"/>
        <v>-43.939393939393938</v>
      </c>
      <c r="S61" s="30" t="s">
        <v>93</v>
      </c>
    </row>
    <row r="62" spans="1:33" s="10" customFormat="1" ht="18" customHeight="1">
      <c r="A62" s="31" t="s">
        <v>7</v>
      </c>
      <c r="B62" s="32">
        <f t="shared" ref="B62" si="20">SUM(B63:B67)</f>
        <v>21843</v>
      </c>
      <c r="C62" s="32">
        <f>SUM(C63:C67)</f>
        <v>32050</v>
      </c>
      <c r="D62" s="32">
        <f>SUM(D63:D67)</f>
        <v>37201</v>
      </c>
      <c r="E62" s="32">
        <f>SUM(E63:E67)</f>
        <v>41976</v>
      </c>
      <c r="F62" s="32">
        <f>SUM(F63:F67)</f>
        <v>51330</v>
      </c>
      <c r="G62" s="83"/>
      <c r="H62" s="21">
        <f t="shared" si="10"/>
        <v>2.2800031314422902</v>
      </c>
      <c r="I62" s="21">
        <f t="shared" si="11"/>
        <v>2.8483774468939802</v>
      </c>
      <c r="J62" s="21">
        <f t="shared" si="12"/>
        <v>3.0875863276720805</v>
      </c>
      <c r="K62" s="21">
        <f t="shared" si="13"/>
        <v>3.4009372508604434</v>
      </c>
      <c r="L62" s="21">
        <f t="shared" si="13"/>
        <v>3.9910273804849412</v>
      </c>
      <c r="M62" s="23"/>
      <c r="N62" s="21">
        <v>49.917638984214143</v>
      </c>
      <c r="O62" s="21">
        <f t="shared" si="14"/>
        <v>46.728929176395184</v>
      </c>
      <c r="P62" s="21">
        <f t="shared" si="15"/>
        <v>16.071762870514821</v>
      </c>
      <c r="Q62" s="21">
        <f t="shared" si="16"/>
        <v>12.835676460310207</v>
      </c>
      <c r="R62" s="21">
        <f t="shared" si="16"/>
        <v>22.284162378502</v>
      </c>
      <c r="S62" s="24" t="s">
        <v>117</v>
      </c>
    </row>
    <row r="63" spans="1:33" ht="18" customHeight="1">
      <c r="A63" s="25" t="s">
        <v>61</v>
      </c>
      <c r="B63" s="26">
        <v>2987</v>
      </c>
      <c r="C63" s="26">
        <v>4622</v>
      </c>
      <c r="D63" s="26">
        <v>5248</v>
      </c>
      <c r="E63" s="26">
        <v>4491</v>
      </c>
      <c r="F63" s="26">
        <v>4215</v>
      </c>
      <c r="G63" s="73"/>
      <c r="H63" s="28">
        <f t="shared" si="10"/>
        <v>0.31178727068709061</v>
      </c>
      <c r="I63" s="29">
        <f t="shared" si="11"/>
        <v>0.41077068828530344</v>
      </c>
      <c r="J63" s="29">
        <f t="shared" si="12"/>
        <v>0.43557036229195667</v>
      </c>
      <c r="K63" s="29">
        <f t="shared" si="13"/>
        <v>0.36386528477259028</v>
      </c>
      <c r="L63" s="29">
        <f t="shared" si="13"/>
        <v>0.32772609407255071</v>
      </c>
      <c r="M63" s="27"/>
      <c r="N63" s="29">
        <v>66.221480244852543</v>
      </c>
      <c r="O63" s="29">
        <f t="shared" si="14"/>
        <v>54.737194509541339</v>
      </c>
      <c r="P63" s="29">
        <f t="shared" si="15"/>
        <v>13.543920380787538</v>
      </c>
      <c r="Q63" s="29">
        <f t="shared" si="16"/>
        <v>-14.42454268292683</v>
      </c>
      <c r="R63" s="29">
        <f t="shared" si="16"/>
        <v>-6.1456245824983293</v>
      </c>
      <c r="S63" s="30" t="s">
        <v>118</v>
      </c>
      <c r="Y63" s="2" t="s">
        <v>6</v>
      </c>
      <c r="Z63" s="2" t="s">
        <v>10</v>
      </c>
      <c r="AA63" s="2" t="s">
        <v>122</v>
      </c>
      <c r="AB63" s="2" t="s">
        <v>127</v>
      </c>
      <c r="AC63" s="74" t="s">
        <v>130</v>
      </c>
      <c r="AD63" s="2" t="s">
        <v>139</v>
      </c>
      <c r="AE63" s="2" t="s">
        <v>146</v>
      </c>
      <c r="AF63" s="74" t="s">
        <v>147</v>
      </c>
      <c r="AG63" s="10">
        <v>2016</v>
      </c>
    </row>
    <row r="64" spans="1:33" ht="18" customHeight="1">
      <c r="A64" s="25" t="s">
        <v>62</v>
      </c>
      <c r="B64" s="26">
        <v>1666</v>
      </c>
      <c r="C64" s="26">
        <v>1817</v>
      </c>
      <c r="D64" s="26">
        <v>1949</v>
      </c>
      <c r="E64" s="26">
        <v>2185</v>
      </c>
      <c r="F64" s="26">
        <v>2258</v>
      </c>
      <c r="G64" s="73"/>
      <c r="H64" s="28">
        <f t="shared" si="10"/>
        <v>0.17389942851178203</v>
      </c>
      <c r="I64" s="29">
        <f t="shared" si="11"/>
        <v>0.16148211610004248</v>
      </c>
      <c r="J64" s="29">
        <f t="shared" si="12"/>
        <v>0.16176193523380783</v>
      </c>
      <c r="K64" s="29">
        <f t="shared" si="13"/>
        <v>0.17703087223961472</v>
      </c>
      <c r="L64" s="29">
        <f t="shared" si="13"/>
        <v>0.17556477352688482</v>
      </c>
      <c r="M64" s="27"/>
      <c r="N64" s="29">
        <v>23.774145616641899</v>
      </c>
      <c r="O64" s="29">
        <f t="shared" si="14"/>
        <v>9.0636254501800728</v>
      </c>
      <c r="P64" s="29">
        <f t="shared" si="15"/>
        <v>7.2647220693450736</v>
      </c>
      <c r="Q64" s="29">
        <f t="shared" si="16"/>
        <v>12.10877373011801</v>
      </c>
      <c r="R64" s="29">
        <f t="shared" si="16"/>
        <v>3.3409610983981692</v>
      </c>
      <c r="S64" s="30" t="s">
        <v>119</v>
      </c>
      <c r="X64" s="49" t="s">
        <v>38</v>
      </c>
      <c r="Y64" s="91">
        <f t="shared" ref="Y64:AD64" si="21">Y65/1000</f>
        <v>41.511000000000003</v>
      </c>
      <c r="Z64" s="91">
        <f t="shared" si="21"/>
        <v>60.665999999999997</v>
      </c>
      <c r="AA64" s="91">
        <f t="shared" si="21"/>
        <v>118.961</v>
      </c>
      <c r="AB64" s="91">
        <f t="shared" si="21"/>
        <v>198.655</v>
      </c>
      <c r="AC64" s="91">
        <f t="shared" si="21"/>
        <v>229.55099999999999</v>
      </c>
      <c r="AD64" s="91">
        <f t="shared" si="21"/>
        <v>331.71899999999999</v>
      </c>
      <c r="AE64" s="91">
        <f>AE65/1000</f>
        <v>363.62599999999998</v>
      </c>
      <c r="AF64" s="91">
        <f>AF65/1000</f>
        <v>359.51400000000001</v>
      </c>
      <c r="AG64" s="91">
        <f>AG65/1000</f>
        <v>324.32600000000002</v>
      </c>
    </row>
    <row r="65" spans="1:33" ht="18" customHeight="1">
      <c r="A65" s="25" t="s">
        <v>63</v>
      </c>
      <c r="B65" s="26">
        <v>7263</v>
      </c>
      <c r="C65" s="26">
        <v>10477</v>
      </c>
      <c r="D65" s="26">
        <v>12405</v>
      </c>
      <c r="E65" s="26">
        <v>15749</v>
      </c>
      <c r="F65" s="26">
        <v>21964</v>
      </c>
      <c r="G65" s="73"/>
      <c r="H65" s="28">
        <f t="shared" si="10"/>
        <v>0.75812217844001983</v>
      </c>
      <c r="I65" s="29">
        <f t="shared" si="11"/>
        <v>0.93112170081460932</v>
      </c>
      <c r="J65" s="29">
        <f t="shared" si="12"/>
        <v>1.0295827637636665</v>
      </c>
      <c r="K65" s="29">
        <f t="shared" si="13"/>
        <v>1.2759996370259461</v>
      </c>
      <c r="L65" s="29">
        <f t="shared" si="13"/>
        <v>1.7077522966096093</v>
      </c>
      <c r="M65" s="27"/>
      <c r="N65" s="29">
        <v>45.114885114885119</v>
      </c>
      <c r="O65" s="29">
        <f t="shared" si="14"/>
        <v>44.25168663086879</v>
      </c>
      <c r="P65" s="29">
        <f t="shared" si="15"/>
        <v>18.402214374343799</v>
      </c>
      <c r="Q65" s="29">
        <f t="shared" si="16"/>
        <v>26.956872228939943</v>
      </c>
      <c r="R65" s="29">
        <f t="shared" si="16"/>
        <v>39.462823036383263</v>
      </c>
      <c r="S65" s="30" t="s">
        <v>120</v>
      </c>
      <c r="X65" s="49" t="s">
        <v>38</v>
      </c>
      <c r="Y65" s="91">
        <v>41511</v>
      </c>
      <c r="Z65" s="91">
        <v>60666</v>
      </c>
      <c r="AA65" s="91">
        <v>118961</v>
      </c>
      <c r="AB65" s="91">
        <v>198655</v>
      </c>
      <c r="AC65" s="91">
        <v>229551</v>
      </c>
      <c r="AD65" s="91">
        <v>331719</v>
      </c>
      <c r="AE65" s="91">
        <v>363626</v>
      </c>
      <c r="AF65" s="10">
        <v>359514</v>
      </c>
      <c r="AG65" s="10">
        <v>324326</v>
      </c>
    </row>
    <row r="66" spans="1:33" ht="18" customHeight="1">
      <c r="A66" s="69" t="s">
        <v>64</v>
      </c>
      <c r="B66" s="26">
        <v>4047</v>
      </c>
      <c r="C66" s="26">
        <v>5936</v>
      </c>
      <c r="D66" s="26">
        <v>7008</v>
      </c>
      <c r="E66" s="26">
        <v>7322</v>
      </c>
      <c r="F66" s="26">
        <v>8045</v>
      </c>
      <c r="G66" s="73"/>
      <c r="H66" s="28">
        <f t="shared" si="10"/>
        <v>0.42243156493828443</v>
      </c>
      <c r="I66" s="29">
        <f t="shared" si="11"/>
        <v>0.52754971996139366</v>
      </c>
      <c r="J66" s="29">
        <f t="shared" si="12"/>
        <v>0.58164578867035666</v>
      </c>
      <c r="K66" s="29">
        <f t="shared" si="13"/>
        <v>0.5932357192395693</v>
      </c>
      <c r="L66" s="29">
        <f t="shared" si="13"/>
        <v>0.62551753898307716</v>
      </c>
      <c r="M66" s="27"/>
      <c r="N66" s="29">
        <v>76.570680628272243</v>
      </c>
      <c r="O66" s="29">
        <f t="shared" si="14"/>
        <v>46.676550531257718</v>
      </c>
      <c r="P66" s="29">
        <f t="shared" si="15"/>
        <v>18.059299191374663</v>
      </c>
      <c r="Q66" s="29">
        <f t="shared" si="16"/>
        <v>4.480593607305936</v>
      </c>
      <c r="R66" s="29">
        <f t="shared" si="16"/>
        <v>9.8743512701447695</v>
      </c>
      <c r="S66" s="30" t="s">
        <v>121</v>
      </c>
      <c r="AD66" s="10"/>
      <c r="AE66" s="10"/>
      <c r="AF66" s="10"/>
      <c r="AG66" s="10"/>
    </row>
    <row r="67" spans="1:33" s="68" customFormat="1" ht="18" customHeight="1">
      <c r="A67" s="70" t="s">
        <v>65</v>
      </c>
      <c r="B67" s="26">
        <v>5880</v>
      </c>
      <c r="C67" s="26">
        <v>9198</v>
      </c>
      <c r="D67" s="26">
        <v>10591</v>
      </c>
      <c r="E67" s="26">
        <v>12229</v>
      </c>
      <c r="F67" s="26">
        <v>14848</v>
      </c>
      <c r="G67" s="73"/>
      <c r="H67" s="28">
        <f t="shared" si="10"/>
        <v>0.61376268886511309</v>
      </c>
      <c r="I67" s="29">
        <f t="shared" si="11"/>
        <v>0.81745322173263113</v>
      </c>
      <c r="J67" s="29">
        <f t="shared" si="12"/>
        <v>0.87902547771229278</v>
      </c>
      <c r="K67" s="29">
        <f t="shared" si="13"/>
        <v>0.9908057375827225</v>
      </c>
      <c r="L67" s="29">
        <f t="shared" si="13"/>
        <v>1.1544666772928192</v>
      </c>
      <c r="M67" s="27"/>
      <c r="N67" s="29">
        <v>42.372881355932201</v>
      </c>
      <c r="O67" s="29">
        <f t="shared" si="14"/>
        <v>56.428571428571431</v>
      </c>
      <c r="P67" s="29">
        <f t="shared" si="15"/>
        <v>15.144596651445966</v>
      </c>
      <c r="Q67" s="29">
        <f t="shared" si="16"/>
        <v>15.465961665565104</v>
      </c>
      <c r="R67" s="29">
        <f t="shared" si="16"/>
        <v>21.416305503311801</v>
      </c>
      <c r="S67" s="67" t="s">
        <v>93</v>
      </c>
      <c r="AD67" s="71"/>
      <c r="AE67" s="71"/>
      <c r="AF67" s="71"/>
      <c r="AG67" s="71"/>
    </row>
    <row r="68" spans="1:33" ht="18" customHeight="1">
      <c r="A68" s="31" t="s">
        <v>140</v>
      </c>
      <c r="B68" s="77" t="s">
        <v>5</v>
      </c>
      <c r="C68" s="26">
        <v>90</v>
      </c>
      <c r="D68" s="26">
        <v>189</v>
      </c>
      <c r="E68" s="26">
        <v>181</v>
      </c>
      <c r="F68" s="26">
        <v>228</v>
      </c>
      <c r="G68" s="73"/>
      <c r="H68" s="79" t="s">
        <v>5</v>
      </c>
      <c r="I68" s="29">
        <f>C68/C$7*100</f>
        <v>7.9985638134308333E-3</v>
      </c>
      <c r="J68" s="29">
        <f>D68/D$7*100</f>
        <v>1.5686508855407739E-2</v>
      </c>
      <c r="K68" s="29">
        <f>E68/E$7*100</f>
        <v>1.466479994296122E-2</v>
      </c>
      <c r="L68" s="29">
        <f>F68/F$7*100</f>
        <v>1.7727532490757193E-2</v>
      </c>
      <c r="M68" s="27"/>
      <c r="N68" s="89" t="s">
        <v>5</v>
      </c>
      <c r="O68" s="29">
        <v>0</v>
      </c>
      <c r="P68" s="29">
        <v>0</v>
      </c>
      <c r="Q68" s="29">
        <v>0</v>
      </c>
      <c r="R68" s="29">
        <v>0</v>
      </c>
      <c r="S68" s="67" t="s">
        <v>145</v>
      </c>
      <c r="AD68" s="10"/>
      <c r="AE68" s="10"/>
      <c r="AF68" s="10"/>
      <c r="AG68" s="10"/>
    </row>
    <row r="69" spans="1:33" ht="18" customHeight="1">
      <c r="A69" s="72" t="s">
        <v>142</v>
      </c>
      <c r="B69" s="78" t="s">
        <v>5</v>
      </c>
      <c r="C69" s="76">
        <v>33</v>
      </c>
      <c r="D69" s="76">
        <v>138</v>
      </c>
      <c r="E69" s="76">
        <v>152</v>
      </c>
      <c r="F69" s="76">
        <v>147</v>
      </c>
      <c r="G69" s="96"/>
      <c r="H69" s="80" t="s">
        <v>5</v>
      </c>
      <c r="I69" s="33">
        <f t="shared" ref="I69:L69" si="22">C69/C$7*100</f>
        <v>2.9328067315913054E-3</v>
      </c>
      <c r="J69" s="33">
        <f t="shared" si="22"/>
        <v>1.1453641386488189E-2</v>
      </c>
      <c r="K69" s="33">
        <f t="shared" si="22"/>
        <v>1.2315191112321024E-2</v>
      </c>
      <c r="L69" s="33">
        <f t="shared" si="22"/>
        <v>1.1429593316409241E-2</v>
      </c>
      <c r="M69" s="84"/>
      <c r="N69" s="90" t="s">
        <v>5</v>
      </c>
      <c r="O69" s="33">
        <v>0</v>
      </c>
      <c r="P69" s="33">
        <v>0</v>
      </c>
      <c r="Q69" s="33">
        <v>0</v>
      </c>
      <c r="R69" s="33">
        <v>0</v>
      </c>
      <c r="S69" s="34" t="s">
        <v>144</v>
      </c>
      <c r="AD69" s="10"/>
      <c r="AE69" s="10"/>
      <c r="AF69" s="10"/>
      <c r="AG69" s="10"/>
    </row>
    <row r="70" spans="1:33" ht="12" customHeight="1">
      <c r="A70" s="15" t="s">
        <v>141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6"/>
      <c r="O70" s="6"/>
      <c r="P70" s="6"/>
      <c r="Q70" s="6"/>
      <c r="R70" s="6"/>
      <c r="S70" s="7" t="s">
        <v>143</v>
      </c>
    </row>
    <row r="71" spans="1:33" ht="22.9" customHeight="1">
      <c r="A71" s="16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6"/>
      <c r="O71" s="6"/>
      <c r="P71" s="6"/>
      <c r="Q71" s="6"/>
      <c r="R71" s="6"/>
      <c r="S71" s="8"/>
      <c r="Z71" s="49"/>
      <c r="AA71" s="75"/>
    </row>
    <row r="72" spans="1:33">
      <c r="Z72" s="49"/>
      <c r="AA72" s="75"/>
    </row>
    <row r="73" spans="1:33">
      <c r="Z73" s="49"/>
      <c r="AA73" s="75"/>
    </row>
    <row r="74" spans="1:33">
      <c r="Z74" s="49"/>
      <c r="AA74" s="75"/>
    </row>
    <row r="75" spans="1:33">
      <c r="Z75" s="49"/>
      <c r="AA75" s="75"/>
    </row>
    <row r="76" spans="1:33">
      <c r="Z76" s="49"/>
      <c r="AA76" s="75"/>
    </row>
    <row r="77" spans="1:33">
      <c r="Z77" s="49"/>
      <c r="AA77" s="75"/>
    </row>
    <row r="78" spans="1:33">
      <c r="Z78" s="49"/>
      <c r="AA78" s="75"/>
    </row>
    <row r="79" spans="1:33">
      <c r="Z79" s="49"/>
      <c r="AA79" s="75"/>
    </row>
    <row r="80" spans="1:33">
      <c r="Z80" s="49"/>
      <c r="AA80" s="75"/>
    </row>
    <row r="83" spans="24:27" ht="14.25">
      <c r="X83" s="1" t="s">
        <v>38</v>
      </c>
      <c r="Y83" s="1">
        <v>324326</v>
      </c>
      <c r="Z83" s="25" t="s">
        <v>38</v>
      </c>
      <c r="AA83" s="26">
        <v>363626</v>
      </c>
    </row>
    <row r="84" spans="24:27" ht="14.25">
      <c r="X84" s="1" t="s">
        <v>17</v>
      </c>
      <c r="Y84" s="1">
        <v>106381</v>
      </c>
      <c r="Z84" s="25" t="s">
        <v>17</v>
      </c>
      <c r="AA84" s="26">
        <v>98328</v>
      </c>
    </row>
    <row r="85" spans="24:27" ht="14.25">
      <c r="X85" s="1" t="s">
        <v>35</v>
      </c>
      <c r="Y85" s="1">
        <v>101843</v>
      </c>
      <c r="Z85" s="25" t="s">
        <v>35</v>
      </c>
      <c r="AA85" s="26">
        <v>88347</v>
      </c>
    </row>
    <row r="86" spans="24:27" ht="14.25">
      <c r="X86" s="1" t="s">
        <v>22</v>
      </c>
      <c r="Y86" s="1">
        <v>71202</v>
      </c>
      <c r="Z86" s="25" t="s">
        <v>27</v>
      </c>
      <c r="AA86" s="26">
        <v>66308</v>
      </c>
    </row>
    <row r="87" spans="24:27" ht="14.25">
      <c r="X87" s="1" t="s">
        <v>39</v>
      </c>
      <c r="Y87" s="1">
        <v>66955</v>
      </c>
      <c r="Z87" s="25" t="s">
        <v>22</v>
      </c>
      <c r="AA87" s="26">
        <v>57862</v>
      </c>
    </row>
    <row r="88" spans="24:27" ht="14.25">
      <c r="X88" s="1" t="s">
        <v>27</v>
      </c>
      <c r="Y88" s="1">
        <v>46522</v>
      </c>
      <c r="Z88" s="25" t="s">
        <v>16</v>
      </c>
      <c r="AA88" s="26">
        <v>50656</v>
      </c>
    </row>
    <row r="89" spans="24:27" ht="14.25">
      <c r="X89" s="1" t="s">
        <v>16</v>
      </c>
      <c r="Y89" s="1">
        <v>40487</v>
      </c>
      <c r="Z89" s="25" t="s">
        <v>39</v>
      </c>
      <c r="AA89" s="26">
        <v>45587</v>
      </c>
    </row>
    <row r="90" spans="24:27" ht="14.25">
      <c r="X90" s="1" t="s">
        <v>41</v>
      </c>
      <c r="Y90" s="1">
        <v>39894</v>
      </c>
      <c r="Z90" s="25" t="s">
        <v>41</v>
      </c>
      <c r="AA90" s="26">
        <v>38817</v>
      </c>
    </row>
    <row r="91" spans="24:27" ht="14.25">
      <c r="X91" s="1" t="s">
        <v>56</v>
      </c>
      <c r="Y91" s="1">
        <v>32589</v>
      </c>
      <c r="Z91" s="25" t="s">
        <v>42</v>
      </c>
      <c r="AA91" s="26">
        <v>34896</v>
      </c>
    </row>
    <row r="92" spans="24:27" ht="14.25">
      <c r="X92" s="1" t="s">
        <v>32</v>
      </c>
      <c r="Y92" s="1">
        <v>31678</v>
      </c>
      <c r="Z92" s="69" t="s">
        <v>32</v>
      </c>
      <c r="AA92" s="26">
        <v>31497</v>
      </c>
    </row>
  </sheetData>
  <sortState ref="Z83:AA92">
    <sortCondition descending="1" ref="AA83:AA92"/>
  </sortState>
  <mergeCells count="9">
    <mergeCell ref="A1:S1"/>
    <mergeCell ref="A2:S2"/>
    <mergeCell ref="A4:A6"/>
    <mergeCell ref="D4:F4"/>
    <mergeCell ref="D5:F5"/>
    <mergeCell ref="J4:L4"/>
    <mergeCell ref="J5:L5"/>
    <mergeCell ref="P4:R4"/>
    <mergeCell ref="P5:R5"/>
  </mergeCells>
  <pageMargins left="0.13" right="0.17" top="0.46" bottom="0.44" header="0.31496062992126" footer="0.31496062992126"/>
  <pageSetup paperSize="9" scale="76" orientation="portrait" horizontalDpi="4294967295" verticalDpi="4294967295" r:id="rId1"/>
  <rowBreaks count="1" manualBreakCount="1">
    <brk id="59" max="18" man="1"/>
  </rowBreaks>
  <colBreaks count="1" manualBreakCount="1">
    <brk id="19" max="1048575" man="1"/>
  </colBreaks>
  <ignoredErrors>
    <ignoredError sqref="B6 D6:F6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111" t="s">
        <v>131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M1" s="2" t="s">
        <v>6</v>
      </c>
      <c r="N1" s="2" t="s">
        <v>10</v>
      </c>
      <c r="O1" s="2" t="s">
        <v>122</v>
      </c>
      <c r="P1" s="2" t="s">
        <v>127</v>
      </c>
      <c r="Q1" s="36" t="s">
        <v>130</v>
      </c>
      <c r="S1" s="37">
        <f>Q2/M2</f>
        <v>5.5298836452988356</v>
      </c>
      <c r="T1" s="38" t="s">
        <v>133</v>
      </c>
      <c r="U1" s="38"/>
    </row>
    <row r="2" spans="1:21" ht="9.75" customHeight="1">
      <c r="A2" s="112" t="s">
        <v>132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39" t="s">
        <v>38</v>
      </c>
      <c r="M2" s="40">
        <f>M4/1000</f>
        <v>41.511000000000003</v>
      </c>
      <c r="N2" s="40">
        <f>N4/1000</f>
        <v>60.665999999999997</v>
      </c>
      <c r="O2" s="40">
        <f>O4/1000</f>
        <v>118.961</v>
      </c>
      <c r="P2" s="40">
        <f>P4/1000</f>
        <v>198.655</v>
      </c>
      <c r="Q2" s="40">
        <f>Q4/1000</f>
        <v>229.55099999999999</v>
      </c>
      <c r="R2" s="41" t="s">
        <v>134</v>
      </c>
    </row>
    <row r="3" spans="1:21" ht="3.7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21" ht="21" customHeight="1">
      <c r="A4" s="113" t="s">
        <v>135</v>
      </c>
      <c r="B4" s="116" t="s">
        <v>8</v>
      </c>
      <c r="C4" s="117"/>
      <c r="D4" s="117"/>
      <c r="E4" s="117"/>
      <c r="F4" s="118"/>
      <c r="G4" s="119" t="s">
        <v>128</v>
      </c>
      <c r="H4" s="120"/>
      <c r="I4" s="120"/>
      <c r="J4" s="120"/>
      <c r="K4" s="121"/>
      <c r="L4" s="39" t="s">
        <v>38</v>
      </c>
      <c r="M4" s="40">
        <v>41511</v>
      </c>
      <c r="N4" s="40">
        <v>60666</v>
      </c>
      <c r="O4" s="42">
        <v>118961</v>
      </c>
      <c r="P4" s="42">
        <v>198655</v>
      </c>
      <c r="Q4" s="43">
        <v>229551</v>
      </c>
    </row>
    <row r="5" spans="1:21" ht="13.5" customHeight="1">
      <c r="A5" s="114"/>
      <c r="B5" s="122" t="s">
        <v>123</v>
      </c>
      <c r="C5" s="122"/>
      <c r="D5" s="122"/>
      <c r="E5" s="122"/>
      <c r="F5" s="123"/>
      <c r="G5" s="124" t="s">
        <v>125</v>
      </c>
      <c r="H5" s="125"/>
      <c r="I5" s="125"/>
      <c r="J5" s="125"/>
      <c r="K5" s="126"/>
    </row>
    <row r="6" spans="1:21" ht="15" customHeight="1">
      <c r="A6" s="115"/>
      <c r="B6" s="2" t="s">
        <v>6</v>
      </c>
      <c r="C6" s="2" t="s">
        <v>10</v>
      </c>
      <c r="D6" s="2" t="s">
        <v>122</v>
      </c>
      <c r="E6" s="2" t="s">
        <v>127</v>
      </c>
      <c r="F6" s="36" t="s">
        <v>130</v>
      </c>
      <c r="G6" s="44">
        <v>2008</v>
      </c>
      <c r="H6" s="3">
        <v>2009</v>
      </c>
      <c r="I6" s="3">
        <v>2010</v>
      </c>
      <c r="J6" s="3">
        <v>2011</v>
      </c>
      <c r="K6" s="45">
        <v>2012</v>
      </c>
    </row>
    <row r="7" spans="1:21" ht="12.75" customHeight="1">
      <c r="A7" s="39" t="s">
        <v>38</v>
      </c>
      <c r="B7" s="40">
        <v>41511</v>
      </c>
      <c r="C7" s="40">
        <v>60666</v>
      </c>
      <c r="D7" s="42">
        <v>118961</v>
      </c>
      <c r="E7" s="42">
        <v>198655</v>
      </c>
      <c r="F7" s="43">
        <v>229551</v>
      </c>
      <c r="G7" s="46">
        <v>15.385256837891928</v>
      </c>
      <c r="H7" s="46">
        <f t="shared" ref="H7:K38" si="0">(C7-B7)/B7*100</f>
        <v>46.144395461443956</v>
      </c>
      <c r="I7" s="47">
        <f t="shared" si="0"/>
        <v>96.091715293574651</v>
      </c>
      <c r="J7" s="47">
        <f t="shared" si="0"/>
        <v>66.991703163221558</v>
      </c>
      <c r="K7" s="48">
        <f t="shared" si="0"/>
        <v>15.552591175656289</v>
      </c>
    </row>
    <row r="8" spans="1:21" ht="12.75" customHeight="1">
      <c r="A8" s="39" t="s">
        <v>17</v>
      </c>
      <c r="B8" s="40">
        <v>69240</v>
      </c>
      <c r="C8" s="40">
        <v>69085</v>
      </c>
      <c r="D8" s="42">
        <v>77108</v>
      </c>
      <c r="E8" s="42">
        <v>90517</v>
      </c>
      <c r="F8" s="43">
        <v>98351</v>
      </c>
      <c r="G8" s="46">
        <v>-4.1912853367280576</v>
      </c>
      <c r="H8" s="46">
        <f t="shared" si="0"/>
        <v>-0.2238590410167533</v>
      </c>
      <c r="I8" s="47">
        <f t="shared" si="0"/>
        <v>11.613230078888325</v>
      </c>
      <c r="J8" s="47">
        <f t="shared" si="0"/>
        <v>17.389894693157647</v>
      </c>
      <c r="K8" s="48">
        <f t="shared" si="0"/>
        <v>8.654727841179005</v>
      </c>
    </row>
    <row r="9" spans="1:21" ht="12.75" customHeight="1">
      <c r="A9" s="39" t="s">
        <v>35</v>
      </c>
      <c r="B9" s="40">
        <v>116821</v>
      </c>
      <c r="C9" s="40">
        <v>105950</v>
      </c>
      <c r="D9" s="42">
        <v>114158</v>
      </c>
      <c r="E9" s="42">
        <v>104508</v>
      </c>
      <c r="F9" s="43">
        <v>91776</v>
      </c>
      <c r="G9" s="46">
        <v>-6.6611802681410701</v>
      </c>
      <c r="H9" s="46">
        <f t="shared" si="0"/>
        <v>-9.3056899016443957</v>
      </c>
      <c r="I9" s="47">
        <f t="shared" si="0"/>
        <v>7.7470504955167536</v>
      </c>
      <c r="J9" s="47">
        <f t="shared" si="0"/>
        <v>-8.4531964470295549</v>
      </c>
      <c r="K9" s="48">
        <f t="shared" si="0"/>
        <v>-12.182799402916524</v>
      </c>
    </row>
    <row r="10" spans="1:21" ht="12.75" customHeight="1">
      <c r="A10" s="39" t="s">
        <v>27</v>
      </c>
      <c r="B10" s="40">
        <v>48978</v>
      </c>
      <c r="C10" s="40">
        <v>40014</v>
      </c>
      <c r="D10" s="42">
        <v>49111</v>
      </c>
      <c r="E10" s="42">
        <v>63936</v>
      </c>
      <c r="F10" s="43">
        <v>66378</v>
      </c>
      <c r="G10" s="46">
        <v>53.801224682053693</v>
      </c>
      <c r="H10" s="46">
        <f t="shared" si="0"/>
        <v>-18.302094818081589</v>
      </c>
      <c r="I10" s="47">
        <f t="shared" si="0"/>
        <v>22.734542909981506</v>
      </c>
      <c r="J10" s="47">
        <f t="shared" si="0"/>
        <v>30.186719879456742</v>
      </c>
      <c r="K10" s="48">
        <f t="shared" si="0"/>
        <v>3.8194444444444446</v>
      </c>
    </row>
    <row r="11" spans="1:21" ht="12.75" customHeight="1">
      <c r="A11" s="39" t="s">
        <v>22</v>
      </c>
      <c r="B11" s="40">
        <v>103824</v>
      </c>
      <c r="C11" s="40">
        <v>89292</v>
      </c>
      <c r="D11" s="42">
        <v>89596</v>
      </c>
      <c r="E11" s="42">
        <v>83088</v>
      </c>
      <c r="F11" s="43">
        <v>62782</v>
      </c>
      <c r="G11" s="46">
        <v>-11.44772529553247</v>
      </c>
      <c r="H11" s="46">
        <f t="shared" si="0"/>
        <v>-13.996763754045308</v>
      </c>
      <c r="I11" s="47">
        <f t="shared" si="0"/>
        <v>0.34045603189535456</v>
      </c>
      <c r="J11" s="47">
        <f t="shared" si="0"/>
        <v>-7.2637171302290273</v>
      </c>
      <c r="K11" s="48">
        <f t="shared" si="0"/>
        <v>-24.439148854226843</v>
      </c>
    </row>
    <row r="12" spans="1:21" ht="12.75" customHeight="1">
      <c r="A12" s="39" t="s">
        <v>16</v>
      </c>
      <c r="B12" s="40">
        <v>48100</v>
      </c>
      <c r="C12" s="40">
        <v>50373</v>
      </c>
      <c r="D12" s="42">
        <v>54789</v>
      </c>
      <c r="E12" s="42">
        <v>59694</v>
      </c>
      <c r="F12" s="43">
        <v>56775</v>
      </c>
      <c r="G12" s="46">
        <v>6.1786715525043601</v>
      </c>
      <c r="H12" s="46">
        <f t="shared" si="0"/>
        <v>4.7255717255717258</v>
      </c>
      <c r="I12" s="47">
        <f t="shared" si="0"/>
        <v>8.766601155380858</v>
      </c>
      <c r="J12" s="47">
        <f t="shared" si="0"/>
        <v>8.9525269670919343</v>
      </c>
      <c r="K12" s="48">
        <f t="shared" si="0"/>
        <v>-4.889938687305257</v>
      </c>
    </row>
    <row r="13" spans="1:21" ht="12.75" customHeight="1">
      <c r="A13" s="39" t="s">
        <v>41</v>
      </c>
      <c r="B13" s="40">
        <v>38193</v>
      </c>
      <c r="C13" s="40">
        <v>36641</v>
      </c>
      <c r="D13" s="42">
        <v>38791</v>
      </c>
      <c r="E13" s="42">
        <v>35782</v>
      </c>
      <c r="F13" s="43">
        <v>36438</v>
      </c>
      <c r="G13" s="46">
        <v>-7.120449405413293</v>
      </c>
      <c r="H13" s="46">
        <f t="shared" si="0"/>
        <v>-4.063571858717566</v>
      </c>
      <c r="I13" s="47">
        <f t="shared" si="0"/>
        <v>5.8677437842853637</v>
      </c>
      <c r="J13" s="47">
        <f t="shared" si="0"/>
        <v>-7.7569539326132348</v>
      </c>
      <c r="K13" s="48">
        <f t="shared" si="0"/>
        <v>1.8333240176625119</v>
      </c>
    </row>
    <row r="14" spans="1:21" ht="12.75" customHeight="1">
      <c r="A14" s="39" t="s">
        <v>32</v>
      </c>
      <c r="B14" s="40">
        <v>26983</v>
      </c>
      <c r="C14" s="40">
        <v>26783</v>
      </c>
      <c r="D14" s="42">
        <v>27766</v>
      </c>
      <c r="E14" s="42">
        <v>32504</v>
      </c>
      <c r="F14" s="43">
        <v>35457</v>
      </c>
      <c r="G14" s="46">
        <v>3.0554176373983117</v>
      </c>
      <c r="H14" s="46">
        <f t="shared" si="0"/>
        <v>-0.74120742689841757</v>
      </c>
      <c r="I14" s="47">
        <f t="shared" si="0"/>
        <v>3.6702385841765301</v>
      </c>
      <c r="J14" s="47">
        <f t="shared" si="0"/>
        <v>17.064035150903983</v>
      </c>
      <c r="K14" s="48">
        <f t="shared" si="0"/>
        <v>9.0850356879153349</v>
      </c>
    </row>
    <row r="15" spans="1:21" ht="12.75" customHeight="1">
      <c r="A15" s="39" t="s">
        <v>39</v>
      </c>
      <c r="B15" s="40">
        <v>16663</v>
      </c>
      <c r="C15" s="40">
        <v>15850</v>
      </c>
      <c r="D15" s="42">
        <v>25756</v>
      </c>
      <c r="E15" s="42">
        <v>30978</v>
      </c>
      <c r="F15" s="43">
        <v>31721</v>
      </c>
      <c r="G15" s="46">
        <v>-3.832169446528539</v>
      </c>
      <c r="H15" s="46">
        <f t="shared" si="0"/>
        <v>-4.8790733961471524</v>
      </c>
      <c r="I15" s="47">
        <f t="shared" si="0"/>
        <v>62.498422712933753</v>
      </c>
      <c r="J15" s="47">
        <f t="shared" si="0"/>
        <v>20.274887404876534</v>
      </c>
      <c r="K15" s="48">
        <f t="shared" si="0"/>
        <v>2.3984763380463554</v>
      </c>
    </row>
    <row r="16" spans="1:21" ht="12.75" customHeight="1">
      <c r="A16" s="39" t="s">
        <v>42</v>
      </c>
      <c r="B16" s="40">
        <v>20934</v>
      </c>
      <c r="C16" s="40">
        <v>16135</v>
      </c>
      <c r="D16" s="42">
        <v>24808</v>
      </c>
      <c r="E16" s="42">
        <v>25285</v>
      </c>
      <c r="F16" s="43">
        <v>23933</v>
      </c>
      <c r="G16" s="46">
        <v>-0.20022883295194507</v>
      </c>
      <c r="H16" s="46">
        <f t="shared" si="0"/>
        <v>-22.92442915830706</v>
      </c>
      <c r="I16" s="47">
        <f t="shared" si="0"/>
        <v>53.752711496746208</v>
      </c>
      <c r="J16" s="47">
        <f t="shared" si="0"/>
        <v>1.9227668494034182</v>
      </c>
      <c r="K16" s="48">
        <f t="shared" si="0"/>
        <v>-5.3470437017994854</v>
      </c>
    </row>
    <row r="17" spans="1:15" ht="12.75" customHeight="1">
      <c r="A17" s="49" t="s">
        <v>36</v>
      </c>
      <c r="B17" s="50">
        <v>9482</v>
      </c>
      <c r="C17" s="50">
        <v>9476</v>
      </c>
      <c r="D17" s="51">
        <v>10220</v>
      </c>
      <c r="E17" s="51">
        <v>12088</v>
      </c>
      <c r="F17" s="52">
        <v>18612</v>
      </c>
      <c r="G17" s="53">
        <v>16.272225628448805</v>
      </c>
      <c r="H17" s="53">
        <f t="shared" si="0"/>
        <v>-6.3277789495886944E-2</v>
      </c>
      <c r="I17" s="54">
        <f t="shared" si="0"/>
        <v>7.8514140987758552</v>
      </c>
      <c r="J17" s="54">
        <f t="shared" si="0"/>
        <v>18.277886497064578</v>
      </c>
      <c r="K17" s="55">
        <f t="shared" si="0"/>
        <v>53.970880211780283</v>
      </c>
    </row>
    <row r="18" spans="1:15" ht="12.75" customHeight="1">
      <c r="A18" s="49" t="s">
        <v>11</v>
      </c>
      <c r="B18" s="50">
        <v>13462</v>
      </c>
      <c r="C18" s="50">
        <v>13274</v>
      </c>
      <c r="D18" s="51">
        <v>14944</v>
      </c>
      <c r="E18" s="51">
        <v>16655</v>
      </c>
      <c r="F18" s="52">
        <v>18164</v>
      </c>
      <c r="G18" s="53">
        <v>-1.5431873034447401</v>
      </c>
      <c r="H18" s="53">
        <f t="shared" si="0"/>
        <v>-1.3965235477640767</v>
      </c>
      <c r="I18" s="54">
        <f t="shared" si="0"/>
        <v>12.580985384963087</v>
      </c>
      <c r="J18" s="54">
        <f t="shared" si="0"/>
        <v>11.44941113490364</v>
      </c>
      <c r="K18" s="55">
        <f t="shared" si="0"/>
        <v>9.0603422395676976</v>
      </c>
    </row>
    <row r="19" spans="1:15" ht="12.75" customHeight="1">
      <c r="A19" s="49" t="s">
        <v>56</v>
      </c>
      <c r="B19" s="50">
        <v>8853</v>
      </c>
      <c r="C19" s="50">
        <v>9438</v>
      </c>
      <c r="D19" s="51">
        <v>11482</v>
      </c>
      <c r="E19" s="51">
        <v>14490</v>
      </c>
      <c r="F19" s="52">
        <v>16049</v>
      </c>
      <c r="G19" s="53">
        <v>-5.2952503209242625</v>
      </c>
      <c r="H19" s="53">
        <f t="shared" si="0"/>
        <v>6.607929515418502</v>
      </c>
      <c r="I19" s="54">
        <f t="shared" si="0"/>
        <v>21.657130748039837</v>
      </c>
      <c r="J19" s="54">
        <f t="shared" si="0"/>
        <v>26.197526563316497</v>
      </c>
      <c r="K19" s="55">
        <f t="shared" si="0"/>
        <v>10.759144237405106</v>
      </c>
    </row>
    <row r="20" spans="1:15" ht="12.75" customHeight="1">
      <c r="A20" s="49" t="s">
        <v>58</v>
      </c>
      <c r="B20" s="50">
        <v>9368</v>
      </c>
      <c r="C20" s="50">
        <v>7392</v>
      </c>
      <c r="D20" s="51">
        <v>9622</v>
      </c>
      <c r="E20" s="51">
        <v>12778</v>
      </c>
      <c r="F20" s="52">
        <v>15208</v>
      </c>
      <c r="G20" s="53">
        <v>-0.40399744843716773</v>
      </c>
      <c r="H20" s="53">
        <f t="shared" si="0"/>
        <v>-21.093082835183605</v>
      </c>
      <c r="I20" s="54">
        <f t="shared" si="0"/>
        <v>30.167748917748916</v>
      </c>
      <c r="J20" s="54">
        <f t="shared" si="0"/>
        <v>32.799833714404492</v>
      </c>
      <c r="K20" s="55">
        <f t="shared" si="0"/>
        <v>19.017060572859602</v>
      </c>
    </row>
    <row r="21" spans="1:15" ht="12.75" customHeight="1">
      <c r="A21" s="49" t="s">
        <v>46</v>
      </c>
      <c r="B21" s="50">
        <v>4956</v>
      </c>
      <c r="C21" s="50">
        <v>5214</v>
      </c>
      <c r="D21" s="51">
        <v>5332</v>
      </c>
      <c r="E21" s="51">
        <v>7990</v>
      </c>
      <c r="F21" s="52">
        <v>9625</v>
      </c>
      <c r="G21" s="53">
        <v>11.220825852782765</v>
      </c>
      <c r="H21" s="53">
        <f t="shared" si="0"/>
        <v>5.2058111380145284</v>
      </c>
      <c r="I21" s="54">
        <f t="shared" si="0"/>
        <v>2.263137706175681</v>
      </c>
      <c r="J21" s="54">
        <f t="shared" si="0"/>
        <v>49.849962490622659</v>
      </c>
      <c r="K21" s="55">
        <f t="shared" si="0"/>
        <v>20.463078848560702</v>
      </c>
    </row>
    <row r="22" spans="1:15" ht="12.75" customHeight="1">
      <c r="A22" s="49" t="s">
        <v>47</v>
      </c>
      <c r="B22" s="50">
        <v>9752</v>
      </c>
      <c r="C22" s="50">
        <v>7833</v>
      </c>
      <c r="D22" s="51">
        <v>7872</v>
      </c>
      <c r="E22" s="51">
        <v>9670</v>
      </c>
      <c r="F22" s="52">
        <v>8860</v>
      </c>
      <c r="G22" s="53">
        <v>1.015123264967889</v>
      </c>
      <c r="H22" s="53">
        <f t="shared" si="0"/>
        <v>-19.678014766201805</v>
      </c>
      <c r="I22" s="54">
        <f t="shared" si="0"/>
        <v>0.49789352738414405</v>
      </c>
      <c r="J22" s="54">
        <f t="shared" si="0"/>
        <v>22.840447154471544</v>
      </c>
      <c r="K22" s="55">
        <f t="shared" si="0"/>
        <v>-8.3764219234746644</v>
      </c>
    </row>
    <row r="23" spans="1:15" ht="12.75" customHeight="1">
      <c r="A23" s="49" t="s">
        <v>30</v>
      </c>
      <c r="B23" s="50">
        <v>8217</v>
      </c>
      <c r="C23" s="50">
        <v>7279</v>
      </c>
      <c r="D23" s="51">
        <v>8912</v>
      </c>
      <c r="E23" s="51">
        <v>9710</v>
      </c>
      <c r="F23" s="52">
        <v>8824</v>
      </c>
      <c r="G23" s="53">
        <v>-6.6037735849056602</v>
      </c>
      <c r="H23" s="53">
        <f t="shared" si="0"/>
        <v>-11.415358403310211</v>
      </c>
      <c r="I23" s="54">
        <f t="shared" si="0"/>
        <v>22.434400329715622</v>
      </c>
      <c r="J23" s="54">
        <f t="shared" si="0"/>
        <v>8.9542190305206457</v>
      </c>
      <c r="K23" s="55">
        <f t="shared" si="0"/>
        <v>-9.1246138002059727</v>
      </c>
      <c r="O23" s="38" t="s">
        <v>136</v>
      </c>
    </row>
    <row r="24" spans="1:15" ht="12.75" customHeight="1">
      <c r="A24" s="49" t="s">
        <v>34</v>
      </c>
      <c r="B24" s="50">
        <v>5399</v>
      </c>
      <c r="C24" s="50">
        <v>4643</v>
      </c>
      <c r="D24" s="51">
        <v>5445</v>
      </c>
      <c r="E24" s="51">
        <v>6729</v>
      </c>
      <c r="F24" s="52">
        <v>8044</v>
      </c>
      <c r="G24" s="53">
        <v>52.299012693935119</v>
      </c>
      <c r="H24" s="53">
        <f t="shared" si="0"/>
        <v>-14.002593072791258</v>
      </c>
      <c r="I24" s="54">
        <f t="shared" si="0"/>
        <v>17.273314667241007</v>
      </c>
      <c r="J24" s="54">
        <f t="shared" si="0"/>
        <v>23.581267217630856</v>
      </c>
      <c r="K24" s="55">
        <f t="shared" si="0"/>
        <v>19.542279684945758</v>
      </c>
    </row>
    <row r="25" spans="1:15" ht="12.75" customHeight="1">
      <c r="A25" s="49" t="s">
        <v>63</v>
      </c>
      <c r="B25" s="50">
        <v>2747</v>
      </c>
      <c r="C25" s="50">
        <v>3036</v>
      </c>
      <c r="D25" s="51">
        <v>4040</v>
      </c>
      <c r="E25" s="51">
        <v>5005</v>
      </c>
      <c r="F25" s="52">
        <v>7263</v>
      </c>
      <c r="G25" s="53">
        <v>41.597938144329902</v>
      </c>
      <c r="H25" s="53">
        <f t="shared" si="0"/>
        <v>10.520567892246087</v>
      </c>
      <c r="I25" s="54">
        <f t="shared" si="0"/>
        <v>33.06982872200264</v>
      </c>
      <c r="J25" s="54">
        <f t="shared" si="0"/>
        <v>23.886138613861384</v>
      </c>
      <c r="K25" s="55">
        <f t="shared" si="0"/>
        <v>45.114885114885119</v>
      </c>
    </row>
    <row r="26" spans="1:15" ht="12.75" customHeight="1">
      <c r="A26" s="49" t="s">
        <v>49</v>
      </c>
      <c r="B26" s="50">
        <v>3952</v>
      </c>
      <c r="C26" s="50">
        <v>3813</v>
      </c>
      <c r="D26" s="51">
        <v>5397</v>
      </c>
      <c r="E26" s="51">
        <v>6214</v>
      </c>
      <c r="F26" s="52">
        <v>6896</v>
      </c>
      <c r="G26" s="53">
        <v>7.8897078897078892</v>
      </c>
      <c r="H26" s="53">
        <f t="shared" si="0"/>
        <v>-3.5172064777327936</v>
      </c>
      <c r="I26" s="54">
        <f t="shared" si="0"/>
        <v>41.542092840283239</v>
      </c>
      <c r="J26" s="54">
        <f t="shared" si="0"/>
        <v>15.138039651658328</v>
      </c>
      <c r="K26" s="55">
        <f t="shared" si="0"/>
        <v>10.975217251367878</v>
      </c>
    </row>
    <row r="27" spans="1:15" ht="12.75" customHeight="1">
      <c r="A27" s="49" t="s">
        <v>43</v>
      </c>
      <c r="B27" s="50">
        <v>3137</v>
      </c>
      <c r="C27" s="50">
        <v>3139</v>
      </c>
      <c r="D27" s="51">
        <v>3894</v>
      </c>
      <c r="E27" s="51">
        <v>6055</v>
      </c>
      <c r="F27" s="52">
        <v>6766</v>
      </c>
      <c r="G27" s="53">
        <v>4.6015338446148721</v>
      </c>
      <c r="H27" s="53">
        <f t="shared" si="0"/>
        <v>6.3755180108383797E-2</v>
      </c>
      <c r="I27" s="54">
        <f t="shared" si="0"/>
        <v>24.052245938196879</v>
      </c>
      <c r="J27" s="54">
        <f t="shared" si="0"/>
        <v>55.495634309193633</v>
      </c>
      <c r="K27" s="55">
        <f t="shared" si="0"/>
        <v>11.742361684558217</v>
      </c>
    </row>
    <row r="28" spans="1:15" ht="12.75" customHeight="1">
      <c r="A28" s="49" t="s">
        <v>23</v>
      </c>
      <c r="B28" s="50">
        <v>5595</v>
      </c>
      <c r="C28" s="50">
        <v>5355</v>
      </c>
      <c r="D28" s="51">
        <v>5682</v>
      </c>
      <c r="E28" s="51">
        <v>5693</v>
      </c>
      <c r="F28" s="52">
        <v>6077</v>
      </c>
      <c r="G28" s="53">
        <v>-13.644080876678499</v>
      </c>
      <c r="H28" s="53">
        <f t="shared" si="0"/>
        <v>-4.2895442359249332</v>
      </c>
      <c r="I28" s="54">
        <f t="shared" si="0"/>
        <v>6.1064425770308119</v>
      </c>
      <c r="J28" s="54">
        <f t="shared" si="0"/>
        <v>0.19359380499824005</v>
      </c>
      <c r="K28" s="55">
        <f t="shared" si="0"/>
        <v>6.745125592833304</v>
      </c>
    </row>
    <row r="29" spans="1:15" ht="12.75" customHeight="1">
      <c r="A29" s="49" t="s">
        <v>65</v>
      </c>
      <c r="B29" s="50">
        <v>2585</v>
      </c>
      <c r="C29" s="50">
        <v>2744</v>
      </c>
      <c r="D29" s="51">
        <v>3336</v>
      </c>
      <c r="E29" s="51">
        <v>4130</v>
      </c>
      <c r="F29" s="52">
        <v>5880</v>
      </c>
      <c r="G29" s="53">
        <v>26.777832270720943</v>
      </c>
      <c r="H29" s="53">
        <f t="shared" si="0"/>
        <v>6.1508704061895552</v>
      </c>
      <c r="I29" s="54">
        <f t="shared" si="0"/>
        <v>21.574344023323615</v>
      </c>
      <c r="J29" s="54">
        <f t="shared" si="0"/>
        <v>23.800959232613909</v>
      </c>
      <c r="K29" s="55">
        <f t="shared" si="0"/>
        <v>42.372881355932201</v>
      </c>
    </row>
    <row r="30" spans="1:15" ht="12.75" customHeight="1">
      <c r="A30" s="49" t="s">
        <v>13</v>
      </c>
      <c r="B30" s="50">
        <v>3811</v>
      </c>
      <c r="C30" s="50">
        <v>3851</v>
      </c>
      <c r="D30" s="51">
        <v>5137</v>
      </c>
      <c r="E30" s="51">
        <v>6471</v>
      </c>
      <c r="F30" s="52">
        <v>5588</v>
      </c>
      <c r="G30" s="53">
        <v>37.780187997107738</v>
      </c>
      <c r="H30" s="53">
        <f t="shared" si="0"/>
        <v>1.0495932826029915</v>
      </c>
      <c r="I30" s="54">
        <f t="shared" si="0"/>
        <v>33.393923656193195</v>
      </c>
      <c r="J30" s="54">
        <f t="shared" si="0"/>
        <v>25.968464084095778</v>
      </c>
      <c r="K30" s="55">
        <f t="shared" si="0"/>
        <v>-13.645495286663575</v>
      </c>
    </row>
    <row r="31" spans="1:15" ht="12.75" customHeight="1">
      <c r="A31" s="49" t="s">
        <v>33</v>
      </c>
      <c r="B31" s="50">
        <v>3235</v>
      </c>
      <c r="C31" s="50">
        <v>2758</v>
      </c>
      <c r="D31" s="51">
        <v>4637</v>
      </c>
      <c r="E31" s="51">
        <v>4542</v>
      </c>
      <c r="F31" s="52">
        <v>5416</v>
      </c>
      <c r="G31" s="53">
        <v>32.473382473382472</v>
      </c>
      <c r="H31" s="53">
        <f t="shared" si="0"/>
        <v>-14.744976816074187</v>
      </c>
      <c r="I31" s="54">
        <f t="shared" si="0"/>
        <v>68.129079042784625</v>
      </c>
      <c r="J31" s="54">
        <f t="shared" si="0"/>
        <v>-2.0487384084537417</v>
      </c>
      <c r="K31" s="55">
        <f t="shared" si="0"/>
        <v>19.242624394539849</v>
      </c>
    </row>
    <row r="32" spans="1:15" ht="12.75" customHeight="1">
      <c r="A32" s="49" t="s">
        <v>31</v>
      </c>
      <c r="B32" s="50">
        <v>3542</v>
      </c>
      <c r="C32" s="50">
        <v>3165</v>
      </c>
      <c r="D32" s="51">
        <v>3638</v>
      </c>
      <c r="E32" s="51">
        <v>4896</v>
      </c>
      <c r="F32" s="52">
        <v>5230</v>
      </c>
      <c r="G32" s="53">
        <v>64.820846905537451</v>
      </c>
      <c r="H32" s="53">
        <f t="shared" si="0"/>
        <v>-10.643704121964992</v>
      </c>
      <c r="I32" s="54">
        <f t="shared" si="0"/>
        <v>14.944707740916272</v>
      </c>
      <c r="J32" s="54">
        <f t="shared" si="0"/>
        <v>34.579439252336449</v>
      </c>
      <c r="K32" s="55">
        <f t="shared" si="0"/>
        <v>6.8218954248366011</v>
      </c>
    </row>
    <row r="33" spans="1:14" ht="12.75" customHeight="1">
      <c r="A33" s="49" t="s">
        <v>55</v>
      </c>
      <c r="B33" s="50">
        <v>2966</v>
      </c>
      <c r="C33" s="50">
        <v>3043</v>
      </c>
      <c r="D33" s="51">
        <v>3815</v>
      </c>
      <c r="E33" s="51">
        <v>4690</v>
      </c>
      <c r="F33" s="52">
        <v>5070</v>
      </c>
      <c r="G33" s="53">
        <v>4.0336723956506493</v>
      </c>
      <c r="H33" s="53">
        <f t="shared" si="0"/>
        <v>2.5960890087660147</v>
      </c>
      <c r="I33" s="54">
        <f t="shared" si="0"/>
        <v>25.369700953006902</v>
      </c>
      <c r="J33" s="54">
        <f t="shared" si="0"/>
        <v>22.935779816513762</v>
      </c>
      <c r="K33" s="55">
        <f t="shared" si="0"/>
        <v>8.1023454157782524</v>
      </c>
    </row>
    <row r="34" spans="1:14" ht="12.75" customHeight="1">
      <c r="A34" s="49" t="s">
        <v>48</v>
      </c>
      <c r="B34" s="50">
        <v>2233</v>
      </c>
      <c r="C34" s="50">
        <v>1975</v>
      </c>
      <c r="D34" s="51">
        <v>3831</v>
      </c>
      <c r="E34" s="51">
        <v>5305</v>
      </c>
      <c r="F34" s="52">
        <v>4430</v>
      </c>
      <c r="G34" s="53">
        <v>10.654112983151636</v>
      </c>
      <c r="H34" s="53">
        <f t="shared" si="0"/>
        <v>-11.553963278101209</v>
      </c>
      <c r="I34" s="54">
        <f t="shared" si="0"/>
        <v>93.974683544303801</v>
      </c>
      <c r="J34" s="54">
        <f t="shared" si="0"/>
        <v>38.475593839728525</v>
      </c>
      <c r="K34" s="55">
        <f t="shared" si="0"/>
        <v>-16.493873704052781</v>
      </c>
    </row>
    <row r="35" spans="1:14" ht="12.75" customHeight="1">
      <c r="A35" s="49" t="s">
        <v>64</v>
      </c>
      <c r="B35" s="50">
        <v>1394</v>
      </c>
      <c r="C35" s="50">
        <v>1580</v>
      </c>
      <c r="D35" s="51">
        <v>1699</v>
      </c>
      <c r="E35" s="51">
        <v>2292</v>
      </c>
      <c r="F35" s="52">
        <v>4047</v>
      </c>
      <c r="G35" s="53">
        <v>72.738537794299873</v>
      </c>
      <c r="H35" s="53">
        <f t="shared" si="0"/>
        <v>13.342898134863701</v>
      </c>
      <c r="I35" s="54">
        <f t="shared" si="0"/>
        <v>7.5316455696202533</v>
      </c>
      <c r="J35" s="54">
        <f t="shared" si="0"/>
        <v>34.90288404944085</v>
      </c>
      <c r="K35" s="55">
        <f t="shared" si="0"/>
        <v>76.570680628272243</v>
      </c>
    </row>
    <row r="36" spans="1:14" ht="12.75" customHeight="1">
      <c r="A36" s="49" t="s">
        <v>51</v>
      </c>
      <c r="B36" s="50">
        <v>3732</v>
      </c>
      <c r="C36" s="50">
        <v>2975</v>
      </c>
      <c r="D36" s="51">
        <v>3157</v>
      </c>
      <c r="E36" s="51">
        <v>3684</v>
      </c>
      <c r="F36" s="52">
        <v>3967</v>
      </c>
      <c r="G36" s="53">
        <v>13.331308836926814</v>
      </c>
      <c r="H36" s="53">
        <f t="shared" si="0"/>
        <v>-20.284030010718112</v>
      </c>
      <c r="I36" s="54">
        <f t="shared" si="0"/>
        <v>6.1176470588235299</v>
      </c>
      <c r="J36" s="54">
        <f t="shared" si="0"/>
        <v>16.69306303452645</v>
      </c>
      <c r="K36" s="55">
        <f t="shared" si="0"/>
        <v>7.681867535287731</v>
      </c>
    </row>
    <row r="37" spans="1:14" ht="12.75" customHeight="1">
      <c r="A37" s="49" t="s">
        <v>25</v>
      </c>
      <c r="B37" s="50">
        <v>3325</v>
      </c>
      <c r="C37" s="50">
        <v>3357</v>
      </c>
      <c r="D37" s="51">
        <v>3795</v>
      </c>
      <c r="E37" s="51">
        <v>4158</v>
      </c>
      <c r="F37" s="52">
        <v>3918</v>
      </c>
      <c r="G37" s="53">
        <v>25.047010154193305</v>
      </c>
      <c r="H37" s="53">
        <f t="shared" si="0"/>
        <v>0.96240601503759393</v>
      </c>
      <c r="I37" s="54">
        <f t="shared" si="0"/>
        <v>13.047363717605004</v>
      </c>
      <c r="J37" s="54">
        <f t="shared" si="0"/>
        <v>9.5652173913043477</v>
      </c>
      <c r="K37" s="55">
        <f t="shared" si="0"/>
        <v>-5.7720057720057723</v>
      </c>
    </row>
    <row r="38" spans="1:14" ht="12.75" customHeight="1">
      <c r="A38" s="49" t="s">
        <v>26</v>
      </c>
      <c r="B38" s="50">
        <v>4150</v>
      </c>
      <c r="C38" s="50">
        <v>4822</v>
      </c>
      <c r="D38" s="51">
        <v>4555</v>
      </c>
      <c r="E38" s="51">
        <v>4434</v>
      </c>
      <c r="F38" s="52">
        <v>3660</v>
      </c>
      <c r="G38" s="53">
        <v>-0.90735434574976126</v>
      </c>
      <c r="H38" s="53">
        <f t="shared" si="0"/>
        <v>16.192771084337348</v>
      </c>
      <c r="I38" s="54">
        <f t="shared" si="0"/>
        <v>-5.5371215263376188</v>
      </c>
      <c r="J38" s="54">
        <f t="shared" si="0"/>
        <v>-2.6564215148188803</v>
      </c>
      <c r="K38" s="55">
        <f t="shared" si="0"/>
        <v>-17.456021650879567</v>
      </c>
    </row>
    <row r="39" spans="1:14" ht="12.75" customHeight="1">
      <c r="A39" s="49" t="s">
        <v>14</v>
      </c>
      <c r="B39" s="50">
        <v>1834</v>
      </c>
      <c r="C39" s="50">
        <v>1722</v>
      </c>
      <c r="D39" s="51">
        <v>2422</v>
      </c>
      <c r="E39" s="51">
        <v>3173</v>
      </c>
      <c r="F39" s="52">
        <v>3493</v>
      </c>
      <c r="G39" s="53">
        <v>0.82462891698735563</v>
      </c>
      <c r="H39" s="53">
        <f t="shared" ref="H39:K60" si="1">(C39-B39)/B39*100</f>
        <v>-6.1068702290076331</v>
      </c>
      <c r="I39" s="54">
        <f t="shared" si="1"/>
        <v>40.650406504065039</v>
      </c>
      <c r="J39" s="54">
        <f t="shared" si="1"/>
        <v>31.007431874483899</v>
      </c>
      <c r="K39" s="55">
        <f t="shared" si="1"/>
        <v>10.085092971950834</v>
      </c>
    </row>
    <row r="40" spans="1:14" ht="12.75" customHeight="1">
      <c r="A40" s="49" t="s">
        <v>52</v>
      </c>
      <c r="B40" s="50">
        <v>1962</v>
      </c>
      <c r="C40" s="50">
        <v>2059</v>
      </c>
      <c r="D40" s="51">
        <v>2471</v>
      </c>
      <c r="E40" s="51">
        <v>2781</v>
      </c>
      <c r="F40" s="52">
        <v>3128</v>
      </c>
      <c r="G40" s="53">
        <v>26.336123631680618</v>
      </c>
      <c r="H40" s="53">
        <f t="shared" si="1"/>
        <v>4.9439347604485224</v>
      </c>
      <c r="I40" s="54">
        <f t="shared" si="1"/>
        <v>20.009713453132587</v>
      </c>
      <c r="J40" s="54">
        <f t="shared" si="1"/>
        <v>12.545528126264671</v>
      </c>
      <c r="K40" s="55">
        <f t="shared" si="1"/>
        <v>12.47752606975908</v>
      </c>
    </row>
    <row r="41" spans="1:14" ht="12.75" customHeight="1">
      <c r="A41" s="49" t="s">
        <v>54</v>
      </c>
      <c r="B41" s="50">
        <v>1327</v>
      </c>
      <c r="C41" s="50">
        <v>1304</v>
      </c>
      <c r="D41" s="51">
        <v>1761</v>
      </c>
      <c r="E41" s="51">
        <v>2342</v>
      </c>
      <c r="F41" s="52">
        <v>3061</v>
      </c>
      <c r="G41" s="53">
        <v>87.429378531073439</v>
      </c>
      <c r="H41" s="53">
        <f t="shared" si="1"/>
        <v>-1.7332328560663148</v>
      </c>
      <c r="I41" s="54">
        <f t="shared" si="1"/>
        <v>35.04601226993865</v>
      </c>
      <c r="J41" s="54">
        <f t="shared" si="1"/>
        <v>32.992617830777967</v>
      </c>
      <c r="K41" s="55">
        <f t="shared" si="1"/>
        <v>30.700256191289498</v>
      </c>
    </row>
    <row r="42" spans="1:14" ht="12.75" customHeight="1">
      <c r="A42" s="49" t="s">
        <v>61</v>
      </c>
      <c r="B42" s="50">
        <v>1340</v>
      </c>
      <c r="C42" s="50">
        <v>1181</v>
      </c>
      <c r="D42" s="51">
        <v>1409</v>
      </c>
      <c r="E42" s="51">
        <v>1797</v>
      </c>
      <c r="F42" s="52">
        <v>2987</v>
      </c>
      <c r="G42" s="53">
        <v>33.466135458167329</v>
      </c>
      <c r="H42" s="53">
        <f t="shared" si="1"/>
        <v>-11.865671641791046</v>
      </c>
      <c r="I42" s="54">
        <f t="shared" si="1"/>
        <v>19.30567315834039</v>
      </c>
      <c r="J42" s="54">
        <f t="shared" si="1"/>
        <v>27.537260468417319</v>
      </c>
      <c r="K42" s="55">
        <f t="shared" si="1"/>
        <v>66.221480244852543</v>
      </c>
    </row>
    <row r="43" spans="1:14" ht="12.75" customHeight="1">
      <c r="A43" s="49" t="s">
        <v>24</v>
      </c>
      <c r="B43" s="50">
        <v>2596</v>
      </c>
      <c r="C43" s="50">
        <v>2120</v>
      </c>
      <c r="D43" s="51">
        <v>2153</v>
      </c>
      <c r="E43" s="51">
        <v>2775</v>
      </c>
      <c r="F43" s="52">
        <v>2902</v>
      </c>
      <c r="G43" s="53">
        <v>43.584070796460175</v>
      </c>
      <c r="H43" s="53">
        <f t="shared" si="1"/>
        <v>-18.335901386748844</v>
      </c>
      <c r="I43" s="54">
        <f t="shared" si="1"/>
        <v>1.5566037735849056</v>
      </c>
      <c r="J43" s="54">
        <f t="shared" si="1"/>
        <v>28.889921040408733</v>
      </c>
      <c r="K43" s="55">
        <f t="shared" si="1"/>
        <v>4.576576576576576</v>
      </c>
    </row>
    <row r="44" spans="1:14" ht="12.75" customHeight="1">
      <c r="A44" s="49" t="s">
        <v>28</v>
      </c>
      <c r="B44" s="50">
        <v>1916</v>
      </c>
      <c r="C44" s="50">
        <v>1970</v>
      </c>
      <c r="D44" s="51">
        <v>2348</v>
      </c>
      <c r="E44" s="51">
        <v>2822</v>
      </c>
      <c r="F44" s="52">
        <v>2636</v>
      </c>
      <c r="G44" s="53">
        <v>30.428863172226006</v>
      </c>
      <c r="H44" s="53">
        <f t="shared" si="1"/>
        <v>2.8183716075156577</v>
      </c>
      <c r="I44" s="54">
        <f t="shared" si="1"/>
        <v>19.18781725888325</v>
      </c>
      <c r="J44" s="54">
        <f t="shared" si="1"/>
        <v>20.187393526405451</v>
      </c>
      <c r="K44" s="55">
        <f t="shared" si="1"/>
        <v>-6.5910701630049608</v>
      </c>
    </row>
    <row r="45" spans="1:14" ht="12.75" customHeight="1">
      <c r="A45" s="49" t="s">
        <v>57</v>
      </c>
      <c r="B45" s="50">
        <v>1334</v>
      </c>
      <c r="C45" s="50">
        <v>1374</v>
      </c>
      <c r="D45" s="51">
        <v>1543</v>
      </c>
      <c r="E45" s="51">
        <v>2132</v>
      </c>
      <c r="F45" s="52">
        <v>2594</v>
      </c>
      <c r="G45" s="53">
        <v>3.3307513555383426</v>
      </c>
      <c r="H45" s="53">
        <f t="shared" si="1"/>
        <v>2.9985007496251872</v>
      </c>
      <c r="I45" s="54">
        <f t="shared" si="1"/>
        <v>12.299854439592432</v>
      </c>
      <c r="J45" s="54">
        <f t="shared" si="1"/>
        <v>38.172391445236556</v>
      </c>
      <c r="K45" s="55">
        <f t="shared" si="1"/>
        <v>21.669793621013135</v>
      </c>
      <c r="N45" s="38" t="s">
        <v>137</v>
      </c>
    </row>
    <row r="46" spans="1:14" ht="12" customHeight="1">
      <c r="A46" s="49" t="s">
        <v>21</v>
      </c>
      <c r="B46" s="50">
        <v>1588</v>
      </c>
      <c r="C46" s="50">
        <v>1380</v>
      </c>
      <c r="D46" s="51">
        <v>2113</v>
      </c>
      <c r="E46" s="51">
        <v>2433</v>
      </c>
      <c r="F46" s="52">
        <v>2569</v>
      </c>
      <c r="G46" s="53">
        <v>21.406727828746178</v>
      </c>
      <c r="H46" s="53">
        <f t="shared" si="1"/>
        <v>-13.09823677581864</v>
      </c>
      <c r="I46" s="54">
        <f t="shared" si="1"/>
        <v>53.115942028985508</v>
      </c>
      <c r="J46" s="54">
        <f t="shared" si="1"/>
        <v>15.144344533838144</v>
      </c>
      <c r="K46" s="55">
        <f t="shared" si="1"/>
        <v>5.589806822852446</v>
      </c>
    </row>
    <row r="47" spans="1:14" ht="12.75" customHeight="1">
      <c r="A47" s="49" t="s">
        <v>20</v>
      </c>
      <c r="B47" s="50">
        <v>2884</v>
      </c>
      <c r="C47" s="50">
        <v>2420</v>
      </c>
      <c r="D47" s="51">
        <v>2514</v>
      </c>
      <c r="E47" s="51">
        <v>2444</v>
      </c>
      <c r="F47" s="52">
        <v>2483</v>
      </c>
      <c r="G47" s="53">
        <v>-8.3862770012706473</v>
      </c>
      <c r="H47" s="53">
        <f t="shared" si="1"/>
        <v>-16.08876560332871</v>
      </c>
      <c r="I47" s="54">
        <f t="shared" si="1"/>
        <v>3.884297520661157</v>
      </c>
      <c r="J47" s="54">
        <f t="shared" si="1"/>
        <v>-2.7844073190135243</v>
      </c>
      <c r="K47" s="55">
        <f t="shared" si="1"/>
        <v>1.5957446808510638</v>
      </c>
    </row>
    <row r="48" spans="1:14" ht="12.75" customHeight="1">
      <c r="A48" s="49" t="s">
        <v>19</v>
      </c>
      <c r="B48" s="50">
        <v>2052</v>
      </c>
      <c r="C48" s="50">
        <v>1848</v>
      </c>
      <c r="D48" s="51">
        <v>2434</v>
      </c>
      <c r="E48" s="51">
        <v>2596</v>
      </c>
      <c r="F48" s="52">
        <v>2408</v>
      </c>
      <c r="G48" s="53">
        <v>-20.093457943925234</v>
      </c>
      <c r="H48" s="53">
        <f t="shared" si="1"/>
        <v>-9.9415204678362574</v>
      </c>
      <c r="I48" s="54">
        <f t="shared" si="1"/>
        <v>31.70995670995671</v>
      </c>
      <c r="J48" s="54">
        <f t="shared" si="1"/>
        <v>6.6557107641741986</v>
      </c>
      <c r="K48" s="55">
        <f t="shared" si="1"/>
        <v>-7.2419106317411401</v>
      </c>
    </row>
    <row r="49" spans="1:11" ht="12.75" customHeight="1">
      <c r="A49" s="49" t="s">
        <v>50</v>
      </c>
      <c r="B49" s="50">
        <v>1065</v>
      </c>
      <c r="C49" s="50">
        <v>1182</v>
      </c>
      <c r="D49" s="51">
        <v>1575</v>
      </c>
      <c r="E49" s="51">
        <v>2485</v>
      </c>
      <c r="F49" s="52">
        <v>2345</v>
      </c>
      <c r="G49" s="53">
        <v>-45.412608918503331</v>
      </c>
      <c r="H49" s="53">
        <f t="shared" si="1"/>
        <v>10.985915492957748</v>
      </c>
      <c r="I49" s="54">
        <f t="shared" si="1"/>
        <v>33.248730964467008</v>
      </c>
      <c r="J49" s="54">
        <f t="shared" si="1"/>
        <v>57.777777777777771</v>
      </c>
      <c r="K49" s="55">
        <f t="shared" si="1"/>
        <v>-5.6338028169014089</v>
      </c>
    </row>
    <row r="50" spans="1:11" ht="12.75" customHeight="1">
      <c r="A50" s="49" t="s">
        <v>45</v>
      </c>
      <c r="B50" s="50">
        <v>871</v>
      </c>
      <c r="C50" s="50">
        <v>979</v>
      </c>
      <c r="D50" s="51">
        <v>1066</v>
      </c>
      <c r="E50" s="51">
        <v>1652</v>
      </c>
      <c r="F50" s="52">
        <v>2265</v>
      </c>
      <c r="G50" s="53">
        <v>-11.303462321792262</v>
      </c>
      <c r="H50" s="53">
        <f t="shared" si="1"/>
        <v>12.399540757749714</v>
      </c>
      <c r="I50" s="54">
        <f t="shared" si="1"/>
        <v>8.88661899897855</v>
      </c>
      <c r="J50" s="54">
        <f t="shared" si="1"/>
        <v>54.971857410881796</v>
      </c>
      <c r="K50" s="55">
        <f t="shared" si="1"/>
        <v>37.106537530266344</v>
      </c>
    </row>
    <row r="51" spans="1:11" ht="12.75" customHeight="1">
      <c r="A51" s="49" t="s">
        <v>18</v>
      </c>
      <c r="B51" s="50">
        <v>4926</v>
      </c>
      <c r="C51" s="50">
        <v>5406</v>
      </c>
      <c r="D51" s="51">
        <v>4630</v>
      </c>
      <c r="E51" s="51">
        <v>3009</v>
      </c>
      <c r="F51" s="52">
        <v>2058</v>
      </c>
      <c r="G51" s="53">
        <v>1.5670103092783505</v>
      </c>
      <c r="H51" s="53">
        <f t="shared" si="1"/>
        <v>9.7442143727161987</v>
      </c>
      <c r="I51" s="54">
        <f t="shared" si="1"/>
        <v>-14.354421013688496</v>
      </c>
      <c r="J51" s="54">
        <f t="shared" si="1"/>
        <v>-35.010799136069117</v>
      </c>
      <c r="K51" s="55">
        <f t="shared" si="1"/>
        <v>-31.605184446660019</v>
      </c>
    </row>
    <row r="52" spans="1:11" ht="12.75" customHeight="1">
      <c r="A52" s="49" t="s">
        <v>44</v>
      </c>
      <c r="B52" s="50">
        <v>1191</v>
      </c>
      <c r="C52" s="50">
        <v>1046</v>
      </c>
      <c r="D52" s="51">
        <v>1256</v>
      </c>
      <c r="E52" s="51">
        <v>1842</v>
      </c>
      <c r="F52" s="52">
        <v>1857</v>
      </c>
      <c r="G52" s="53">
        <v>17.5715695952616</v>
      </c>
      <c r="H52" s="53">
        <f t="shared" si="1"/>
        <v>-12.174643157010916</v>
      </c>
      <c r="I52" s="54">
        <f t="shared" si="1"/>
        <v>20.076481835564053</v>
      </c>
      <c r="J52" s="54">
        <f t="shared" si="1"/>
        <v>46.656050955414017</v>
      </c>
      <c r="K52" s="55">
        <f t="shared" si="1"/>
        <v>0.81433224755700329</v>
      </c>
    </row>
    <row r="53" spans="1:11" ht="12.75" customHeight="1">
      <c r="A53" s="49" t="s">
        <v>40</v>
      </c>
      <c r="B53" s="50">
        <v>581</v>
      </c>
      <c r="C53" s="50">
        <v>677</v>
      </c>
      <c r="D53" s="51">
        <v>818</v>
      </c>
      <c r="E53" s="51">
        <v>1283</v>
      </c>
      <c r="F53" s="52">
        <v>1772</v>
      </c>
      <c r="G53" s="53">
        <v>-38.388123011664902</v>
      </c>
      <c r="H53" s="53">
        <f t="shared" si="1"/>
        <v>16.523235800344235</v>
      </c>
      <c r="I53" s="54">
        <f t="shared" si="1"/>
        <v>20.827178729689809</v>
      </c>
      <c r="J53" s="54">
        <f t="shared" si="1"/>
        <v>56.845965770171148</v>
      </c>
      <c r="K53" s="55">
        <f t="shared" si="1"/>
        <v>38.113795791114576</v>
      </c>
    </row>
    <row r="54" spans="1:11" ht="12.75" customHeight="1">
      <c r="A54" s="49" t="s">
        <v>62</v>
      </c>
      <c r="B54" s="50">
        <v>1139</v>
      </c>
      <c r="C54" s="50">
        <v>984</v>
      </c>
      <c r="D54" s="51">
        <v>1145</v>
      </c>
      <c r="E54" s="51">
        <v>1346</v>
      </c>
      <c r="F54" s="52">
        <v>1666</v>
      </c>
      <c r="G54" s="53">
        <v>72.575757575757578</v>
      </c>
      <c r="H54" s="53">
        <f t="shared" si="1"/>
        <v>-13.608428446005268</v>
      </c>
      <c r="I54" s="54">
        <f t="shared" si="1"/>
        <v>16.361788617886177</v>
      </c>
      <c r="J54" s="54">
        <f t="shared" si="1"/>
        <v>17.554585152838428</v>
      </c>
      <c r="K54" s="55">
        <f t="shared" si="1"/>
        <v>23.774145616641899</v>
      </c>
    </row>
    <row r="55" spans="1:11" ht="12.75" customHeight="1">
      <c r="A55" s="49" t="s">
        <v>59</v>
      </c>
      <c r="B55" s="50">
        <v>1184</v>
      </c>
      <c r="C55" s="50">
        <v>991</v>
      </c>
      <c r="D55" s="51">
        <v>1103</v>
      </c>
      <c r="E55" s="51">
        <v>1390</v>
      </c>
      <c r="F55" s="52">
        <v>1579</v>
      </c>
      <c r="G55" s="53">
        <v>3.6777583187390541</v>
      </c>
      <c r="H55" s="53">
        <f t="shared" si="1"/>
        <v>-16.300675675675674</v>
      </c>
      <c r="I55" s="54">
        <f t="shared" si="1"/>
        <v>11.301715438950556</v>
      </c>
      <c r="J55" s="54">
        <f t="shared" si="1"/>
        <v>26.019945602901178</v>
      </c>
      <c r="K55" s="55">
        <f t="shared" si="1"/>
        <v>13.597122302158274</v>
      </c>
    </row>
    <row r="56" spans="1:11" ht="12.75" customHeight="1">
      <c r="A56" s="49" t="s">
        <v>12</v>
      </c>
      <c r="B56" s="50">
        <v>3368</v>
      </c>
      <c r="C56" s="50">
        <v>3437</v>
      </c>
      <c r="D56" s="51">
        <v>4386</v>
      </c>
      <c r="E56" s="51">
        <v>5738</v>
      </c>
      <c r="F56" s="52">
        <v>1509</v>
      </c>
      <c r="G56" s="53">
        <v>-5.1801801801801801</v>
      </c>
      <c r="H56" s="53">
        <f t="shared" si="1"/>
        <v>2.0486935866983371</v>
      </c>
      <c r="I56" s="54">
        <f t="shared" si="1"/>
        <v>27.611288914751235</v>
      </c>
      <c r="J56" s="54">
        <f t="shared" si="1"/>
        <v>30.825353397172822</v>
      </c>
      <c r="K56" s="55">
        <f t="shared" si="1"/>
        <v>-73.701638201463922</v>
      </c>
    </row>
    <row r="57" spans="1:11" ht="12.75" customHeight="1">
      <c r="A57" s="49" t="s">
        <v>15</v>
      </c>
      <c r="B57" s="50">
        <v>865</v>
      </c>
      <c r="C57" s="50">
        <v>1088</v>
      </c>
      <c r="D57" s="51">
        <v>1281</v>
      </c>
      <c r="E57" s="51">
        <v>1535</v>
      </c>
      <c r="F57" s="52">
        <v>1402</v>
      </c>
      <c r="G57" s="53">
        <v>9.6324461343472745</v>
      </c>
      <c r="H57" s="53">
        <f t="shared" si="1"/>
        <v>25.780346820809246</v>
      </c>
      <c r="I57" s="54">
        <f t="shared" si="1"/>
        <v>17.738970588235293</v>
      </c>
      <c r="J57" s="54">
        <f t="shared" si="1"/>
        <v>19.828259172521467</v>
      </c>
      <c r="K57" s="55">
        <f t="shared" si="1"/>
        <v>-8.664495114006515</v>
      </c>
    </row>
    <row r="58" spans="1:11" ht="12.75" customHeight="1">
      <c r="A58" s="49" t="s">
        <v>29</v>
      </c>
      <c r="B58" s="50">
        <v>1372</v>
      </c>
      <c r="C58" s="50">
        <v>1324</v>
      </c>
      <c r="D58" s="51">
        <v>1647</v>
      </c>
      <c r="E58" s="51">
        <v>1609</v>
      </c>
      <c r="F58" s="52">
        <v>1295</v>
      </c>
      <c r="G58" s="53">
        <v>13.953488372093023</v>
      </c>
      <c r="H58" s="53">
        <f t="shared" si="1"/>
        <v>-3.4985422740524781</v>
      </c>
      <c r="I58" s="54">
        <f t="shared" si="1"/>
        <v>24.395770392749245</v>
      </c>
      <c r="J58" s="54">
        <f t="shared" si="1"/>
        <v>-2.3072252580449302</v>
      </c>
      <c r="K58" s="55">
        <f t="shared" si="1"/>
        <v>-19.515226848974518</v>
      </c>
    </row>
    <row r="59" spans="1:11" ht="12.75" customHeight="1">
      <c r="A59" s="49" t="s">
        <v>37</v>
      </c>
      <c r="B59" s="50">
        <v>455</v>
      </c>
      <c r="C59" s="50">
        <v>388</v>
      </c>
      <c r="D59" s="51">
        <v>525</v>
      </c>
      <c r="E59" s="51">
        <v>1496</v>
      </c>
      <c r="F59" s="52">
        <v>1221</v>
      </c>
      <c r="G59" s="53">
        <v>-64.563862928348911</v>
      </c>
      <c r="H59" s="53">
        <f t="shared" si="1"/>
        <v>-14.725274725274726</v>
      </c>
      <c r="I59" s="54">
        <f t="shared" si="1"/>
        <v>35.309278350515463</v>
      </c>
      <c r="J59" s="54">
        <f t="shared" si="1"/>
        <v>184.95238095238096</v>
      </c>
      <c r="K59" s="55">
        <f t="shared" si="1"/>
        <v>-18.382352941176471</v>
      </c>
    </row>
    <row r="60" spans="1:11" ht="12.75" customHeight="1">
      <c r="A60" s="56" t="s">
        <v>60</v>
      </c>
      <c r="B60" s="57">
        <v>22</v>
      </c>
      <c r="C60" s="57">
        <v>21</v>
      </c>
      <c r="D60" s="58">
        <v>31</v>
      </c>
      <c r="E60" s="58">
        <v>27</v>
      </c>
      <c r="F60" s="59">
        <v>39</v>
      </c>
      <c r="G60" s="60">
        <v>-80.530973451327441</v>
      </c>
      <c r="H60" s="60">
        <f t="shared" si="1"/>
        <v>-4.5454545454545459</v>
      </c>
      <c r="I60" s="61">
        <f t="shared" si="1"/>
        <v>47.619047619047613</v>
      </c>
      <c r="J60" s="61">
        <f t="shared" si="1"/>
        <v>-12.903225806451612</v>
      </c>
      <c r="K60" s="62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63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63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10.1</vt:lpstr>
      <vt:lpstr>10.1 figures workings</vt:lpstr>
      <vt:lpstr>'10.1'!Print_Area</vt:lpstr>
      <vt:lpstr>'10.1'!Print_Titles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2017-06-06T07:48:23Z</cp:lastPrinted>
  <dcterms:created xsi:type="dcterms:W3CDTF">2007-02-07T06:41:32Z</dcterms:created>
  <dcterms:modified xsi:type="dcterms:W3CDTF">2017-06-06T07:48:29Z</dcterms:modified>
</cp:coreProperties>
</file>