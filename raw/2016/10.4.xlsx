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810" firstSheet="1" activeTab="1"/>
  </bookViews>
  <sheets>
    <sheet name="10.1 figures workings" sheetId="44" state="hidden" r:id="rId1"/>
    <sheet name="10.4" sheetId="3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'10.4'!$A$1:$Q$31</definedName>
    <definedName name="Print_Area_MI">#REF!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BX25" i="32" l="1"/>
  <c r="BX24" i="32"/>
  <c r="BX23" i="32"/>
  <c r="BZ25" i="32"/>
  <c r="BY25" i="32"/>
  <c r="BZ24" i="32"/>
  <c r="BY24" i="32"/>
  <c r="BZ23" i="32"/>
  <c r="BY23" i="32"/>
  <c r="P10" i="32"/>
  <c r="O10" i="32"/>
  <c r="N10" i="32"/>
  <c r="M10" i="32"/>
  <c r="K10" i="32"/>
  <c r="J10" i="32"/>
  <c r="I10" i="32"/>
  <c r="H10" i="32"/>
  <c r="F10" i="32"/>
  <c r="E10" i="32"/>
  <c r="D10" i="32"/>
  <c r="C10" i="32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<sst xmlns="http://schemas.openxmlformats.org/spreadsheetml/2006/main" count="102" uniqueCount="89">
  <si>
    <t>Type</t>
  </si>
  <si>
    <t>Operator</t>
  </si>
  <si>
    <t>Lease Holder</t>
  </si>
  <si>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</si>
  <si>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</si>
  <si>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</si>
  <si>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</si>
  <si>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</si>
  <si>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</si>
  <si>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</si>
  <si>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</si>
  <si>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</si>
  <si>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</si>
  <si>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</si>
  <si>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</si>
  <si>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</si>
  <si>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</si>
  <si>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</si>
  <si>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</si>
  <si>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</si>
  <si>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</si>
  <si>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</si>
  <si>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</si>
  <si>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</si>
  <si>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</si>
  <si>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</si>
  <si>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</si>
  <si>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</si>
  <si>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</si>
  <si>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</si>
  <si>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</si>
  <si>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</si>
  <si>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</si>
  <si>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</si>
  <si>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</si>
  <si>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</si>
  <si>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</si>
  <si>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</si>
  <si>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</si>
  <si>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</si>
  <si>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</si>
  <si>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</si>
  <si>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</si>
  <si>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</si>
  <si>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</si>
  <si>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</si>
  <si>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</si>
  <si>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</si>
  <si>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</si>
  <si>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</si>
  <si>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</si>
  <si>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</si>
  <si>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</si>
  <si>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</si>
  <si>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</si>
  <si>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</si>
  <si>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</si>
  <si>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</si>
  <si>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</si>
  <si>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</si>
  <si>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ޖުމްލަ</t>
  </si>
  <si>
    <t>2010</t>
  </si>
  <si>
    <t>No. of Tourists</t>
  </si>
  <si>
    <t>% change over previous year</t>
  </si>
  <si>
    <t>2011</t>
  </si>
  <si>
    <t>Management</t>
  </si>
  <si>
    <t>Local (L)</t>
  </si>
  <si>
    <t>Joint Venture (JV)</t>
  </si>
  <si>
    <t>Foreign (F)</t>
  </si>
  <si>
    <t>TOTAL</t>
  </si>
  <si>
    <t>ދިވެހިން</t>
  </si>
  <si>
    <t>ބިދޭސީން</t>
  </si>
  <si>
    <t xml:space="preserve">ދިވެހިންނާއި ބިދޭސީން </t>
  </si>
  <si>
    <t>ބާވަތް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</si>
  <si>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</si>
  <si>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</si>
  <si>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</si>
  <si>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</si>
  <si>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އަހަރު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</si>
  <si>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</si>
  <si>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</si>
  <si>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</si>
  <si>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</si>
  <si>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</si>
  <si>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year</t>
  </si>
  <si>
    <t>Source: Ministry of Tourism</t>
  </si>
  <si>
    <t>cmwzirUT cfoa  IrcTcsinim :ctWrwf ivcaed utWmUluAwm</t>
  </si>
  <si>
    <t>Table  10.4 :  RESORTS BY TYPE OF LEASE HOLDER, OPERATOR AND MANAGEMENT, 2011 - 2015</t>
  </si>
  <si>
    <t>2015 -2011 ,ctog Wviawfiheb cawtuTOsir cnutog egutWrwfWgcnih iaWtWrwf Wviawfived cSwycauk : 10.4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</si>
</sst>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_Randhoo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b/>
      <sz val="11"/>
      <color theme="1"/>
      <name val="A_Randho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2" fillId="0" borderId="1" applyNumberFormat="0"/>
    <xf numFmtId="0" fontId="2" fillId="0" borderId="0"/>
    <xf numFmtId="0" fontId="15" fillId="0" borderId="0"/>
    <xf numFmtId="0" fontId="13" fillId="0" borderId="0"/>
    <xf numFmtId="0" fontId="2" fillId="0" borderId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83">
    <xf numFmtId="0" fontId="0" fillId="0" borderId="0" xfId="0"/>
    <xf numFmtId="0" fontId="0" fillId="2" borderId="0" xfId="0" applyFill="1"/>
    <xf numFmtId="49" fontId="18" fillId="2" borderId="3" xfId="0" applyNumberFormat="1" applyFont="1" applyFill="1" applyBorder="1" applyAlignment="1" applyProtection="1">
      <alignment horizontal="right" vertical="center"/>
    </xf>
    <xf numFmtId="0" fontId="18" fillId="2" borderId="2" xfId="0" applyFont="1" applyFill="1" applyBorder="1" applyAlignment="1" applyProtection="1">
      <alignment horizontal="right" vertical="center"/>
    </xf>
    <xf numFmtId="0" fontId="20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0" fontId="22" fillId="2" borderId="0" xfId="0" applyFont="1" applyFill="1"/>
    <xf numFmtId="0" fontId="23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 applyProtection="1">
      <alignment horizontal="center" vertical="center"/>
    </xf>
    <xf numFmtId="0" fontId="30" fillId="2" borderId="0" xfId="0" applyFont="1" applyFill="1" applyAlignment="1" applyProtection="1">
      <alignment horizontal="left" vertical="center"/>
    </xf>
    <xf numFmtId="0" fontId="28" fillId="2" borderId="0" xfId="0" applyFont="1" applyFill="1"/>
    <xf numFmtId="49" fontId="18" fillId="3" borderId="19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9" fillId="4" borderId="14" xfId="2" applyNumberFormat="1" applyFont="1" applyFill="1" applyBorder="1" applyAlignment="1" applyProtection="1">
      <alignment horizontal="left" vertical="center"/>
    </xf>
    <xf numFmtId="170" fontId="19" fillId="4" borderId="15" xfId="2" applyNumberFormat="1" applyFont="1" applyFill="1" applyBorder="1" applyAlignment="1">
      <alignment vertical="center"/>
    </xf>
    <xf numFmtId="0" fontId="0" fillId="4" borderId="0" xfId="0" quotePrefix="1" applyFill="1"/>
    <xf numFmtId="170" fontId="19" fillId="4" borderId="0" xfId="2" applyNumberFormat="1" applyFont="1" applyFill="1" applyBorder="1" applyAlignment="1">
      <alignment vertical="center"/>
    </xf>
    <xf numFmtId="170" fontId="19" fillId="4" borderId="12" xfId="2" applyNumberFormat="1" applyFont="1" applyFill="1" applyBorder="1" applyAlignment="1">
      <alignment vertical="center"/>
    </xf>
    <xf numFmtId="0" fontId="18" fillId="2" borderId="7" xfId="0" applyFont="1" applyFill="1" applyBorder="1" applyAlignment="1" applyProtection="1">
      <alignment horizontal="right" vertical="center"/>
    </xf>
    <xf numFmtId="0" fontId="18" fillId="3" borderId="11" xfId="0" applyFont="1" applyFill="1" applyBorder="1" applyAlignment="1" applyProtection="1">
      <alignment horizontal="right" vertical="center"/>
    </xf>
    <xf numFmtId="167" fontId="19" fillId="4" borderId="0" xfId="0" applyNumberFormat="1" applyFont="1" applyFill="1" applyBorder="1" applyAlignment="1">
      <alignment vertical="center"/>
    </xf>
    <xf numFmtId="167" fontId="17" fillId="4" borderId="0" xfId="0" applyNumberFormat="1" applyFont="1" applyFill="1" applyBorder="1" applyAlignment="1">
      <alignment vertical="center"/>
    </xf>
    <xf numFmtId="167" fontId="17" fillId="4" borderId="12" xfId="0" applyNumberFormat="1" applyFont="1" applyFill="1" applyBorder="1" applyAlignment="1">
      <alignment vertical="center"/>
    </xf>
    <xf numFmtId="169" fontId="19" fillId="2" borderId="14" xfId="2" applyNumberFormat="1" applyFont="1" applyFill="1" applyBorder="1" applyAlignment="1" applyProtection="1">
      <alignment horizontal="left" vertical="center"/>
    </xf>
    <xf numFmtId="170" fontId="19" fillId="2" borderId="15" xfId="2" applyNumberFormat="1" applyFont="1" applyFill="1" applyBorder="1" applyAlignment="1">
      <alignment vertical="center"/>
    </xf>
    <xf numFmtId="170" fontId="19" fillId="2" borderId="0" xfId="2" applyNumberFormat="1" applyFont="1" applyFill="1" applyBorder="1" applyAlignment="1">
      <alignment vertical="center"/>
    </xf>
    <xf numFmtId="170" fontId="19" fillId="3" borderId="12" xfId="2" applyNumberFormat="1" applyFont="1" applyFill="1" applyBorder="1" applyAlignment="1">
      <alignment vertical="center"/>
    </xf>
    <xf numFmtId="167" fontId="19" fillId="2" borderId="0" xfId="0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7" fillId="3" borderId="12" xfId="0" applyNumberFormat="1" applyFont="1" applyFill="1" applyBorder="1" applyAlignment="1">
      <alignment vertical="center"/>
    </xf>
    <xf numFmtId="169" fontId="19" fillId="2" borderId="16" xfId="2" applyNumberFormat="1" applyFont="1" applyFill="1" applyBorder="1" applyAlignment="1" applyProtection="1">
      <alignment horizontal="left" vertical="center"/>
    </xf>
    <xf numFmtId="170" fontId="19" fillId="2" borderId="17" xfId="2" applyNumberFormat="1" applyFont="1" applyFill="1" applyBorder="1" applyAlignment="1">
      <alignment vertical="center"/>
    </xf>
    <xf numFmtId="170" fontId="19" fillId="2" borderId="2" xfId="2" applyNumberFormat="1" applyFont="1" applyFill="1" applyBorder="1" applyAlignment="1">
      <alignment vertical="center"/>
    </xf>
    <xf numFmtId="170" fontId="19" fillId="3" borderId="11" xfId="2" applyNumberFormat="1" applyFont="1" applyFill="1" applyBorder="1" applyAlignment="1">
      <alignment vertical="center"/>
    </xf>
    <xf numFmtId="167" fontId="19" fillId="2" borderId="2" xfId="0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7" fillId="3" borderId="11" xfId="0" applyNumberFormat="1" applyFont="1" applyFill="1" applyBorder="1" applyAlignment="1">
      <alignment vertical="center"/>
    </xf>
    <xf numFmtId="0" fontId="8" fillId="2" borderId="0" xfId="0" applyFont="1" applyFill="1" applyAlignment="1" applyProtection="1">
      <alignment horizontal="center" vertical="center"/>
    </xf>
    <xf numFmtId="0" fontId="29" fillId="2" borderId="0" xfId="0" applyFont="1" applyFill="1"/>
    <xf numFmtId="0" fontId="23" fillId="2" borderId="0" xfId="0" applyFont="1" applyFill="1" applyAlignment="1">
      <alignment horizontal="right" vertical="center"/>
    </xf>
    <xf numFmtId="0" fontId="31" fillId="2" borderId="0" xfId="0" applyFont="1" applyFill="1" applyAlignment="1">
      <alignment vertical="center"/>
    </xf>
    <xf numFmtId="0" fontId="24" fillId="2" borderId="0" xfId="0" applyFont="1" applyFill="1"/>
    <xf numFmtId="0" fontId="25" fillId="2" borderId="8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right" vertical="center" indent="1"/>
    </xf>
    <xf numFmtId="0" fontId="25" fillId="2" borderId="2" xfId="0" applyFont="1" applyFill="1" applyBorder="1" applyAlignment="1">
      <alignment horizontal="center" vertical="center"/>
    </xf>
    <xf numFmtId="0" fontId="25" fillId="2" borderId="26" xfId="0" applyFont="1" applyFill="1" applyBorder="1" applyAlignment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right" vertical="center" indent="1"/>
    </xf>
    <xf numFmtId="0" fontId="25" fillId="2" borderId="0" xfId="0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right" vertical="center" indent="1"/>
    </xf>
    <xf numFmtId="0" fontId="25" fillId="2" borderId="2" xfId="0" applyFont="1" applyFill="1" applyBorder="1" applyAlignment="1">
      <alignment horizontal="left" vertical="center"/>
    </xf>
    <xf numFmtId="0" fontId="25" fillId="2" borderId="18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right" vertical="center" indent="1"/>
    </xf>
    <xf numFmtId="0" fontId="25" fillId="2" borderId="5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left" vertical="center"/>
    </xf>
    <xf numFmtId="0" fontId="21" fillId="2" borderId="13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18" fillId="2" borderId="8" xfId="0" applyFont="1" applyFill="1" applyBorder="1" applyAlignment="1" applyProtection="1">
      <alignment horizontal="left" vertical="center" wrapText="1"/>
    </xf>
    <xf numFmtId="0" fontId="18" fillId="2" borderId="0" xfId="0" applyFont="1" applyFill="1" applyBorder="1" applyAlignment="1" applyProtection="1">
      <alignment horizontal="left" vertical="center"/>
    </xf>
    <xf numFmtId="0" fontId="18" fillId="2" borderId="2" xfId="0" applyFont="1" applyFill="1" applyBorder="1" applyAlignment="1" applyProtection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0" fillId="2" borderId="8" xfId="0" applyFill="1" applyBorder="1"/>
    <xf numFmtId="0" fontId="0" fillId="2" borderId="24" xfId="0" applyFill="1" applyBorder="1"/>
    <xf numFmtId="0" fontId="11" fillId="2" borderId="25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25" fillId="2" borderId="21" xfId="0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horizontal="center" vertical="center"/>
    </xf>
    <xf numFmtId="0" fontId="25" fillId="2" borderId="20" xfId="0" applyFont="1" applyFill="1" applyBorder="1" applyAlignment="1">
      <alignment horizontal="center" vertical="center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E7FFFF"/>
      <color rgb="FF81FFFF"/>
      <color rgb="FF33CCCC"/>
      <color rgb="FF1C706E"/>
      <color rgb="FF8AE4E2"/>
      <color rgb="FFABFFFF"/>
      <color rgb="FFFF3333"/>
      <color rgb="FF9C00EA"/>
      <color rgb="FFFF4B4B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675200"/>
        <c:axId val="139145984"/>
      </c:barChart>
      <c:catAx>
        <c:axId val="106675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145984"/>
        <c:crosses val="autoZero"/>
        <c:auto val="1"/>
        <c:lblAlgn val="ctr"/>
        <c:lblOffset val="100"/>
        <c:noMultiLvlLbl val="0"/>
      </c:catAx>
      <c:valAx>
        <c:axId val="139145984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06675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76512"/>
        <c:axId val="139392512"/>
      </c:barChart>
      <c:catAx>
        <c:axId val="13937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392512"/>
        <c:crosses val="autoZero"/>
        <c:auto val="1"/>
        <c:lblAlgn val="ctr"/>
        <c:lblOffset val="100"/>
        <c:noMultiLvlLbl val="0"/>
      </c:catAx>
      <c:valAx>
        <c:axId val="139392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9376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028804818178082E-2"/>
          <c:y val="0.18607975664891602"/>
          <c:w val="0.92548929209935715"/>
          <c:h val="0.701463292521960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'[4]10.4'!$Y$23</c:f>
              <c:strCache>
                <c:ptCount val="1"/>
                <c:pt idx="0">
                  <c:v>Local (L)</c:v>
                </c:pt>
              </c:strCache>
            </c:strRef>
          </c:tx>
          <c:spPr>
            <a:solidFill>
              <a:srgbClr val="1C706E"/>
            </a:solidFill>
            <a:ln w="3175">
              <a:solidFill>
                <a:schemeClr val="bg1">
                  <a:lumMod val="75000"/>
                </a:schemeClr>
              </a:solidFill>
            </a:ln>
          </c:spPr>
          <c:invertIfNegative val="0"/>
          <c:cat>
            <c:strRef>
              <c:f>'[4]10.4'!$Z$22:$AB$22</c:f>
              <c:strCache>
                <c:ptCount val="3"/>
                <c:pt idx="0">
                  <c:v>Lease Holder</c:v>
                </c:pt>
                <c:pt idx="1">
                  <c:v>Operator</c:v>
                </c:pt>
                <c:pt idx="2">
                  <c:v>Management</c:v>
                </c:pt>
              </c:strCache>
            </c:strRef>
          </c:cat>
          <c:val>
            <c:numRef>
              <c:f>'[4]10.4'!$Z$23:$AB$23</c:f>
              <c:numCache>
                <c:formatCode>General</c:formatCode>
                <c:ptCount val="3"/>
                <c:pt idx="0">
                  <c:v>77</c:v>
                </c:pt>
                <c:pt idx="1">
                  <c:v>49</c:v>
                </c:pt>
                <c:pt idx="2">
                  <c:v>46</c:v>
                </c:pt>
              </c:numCache>
            </c:numRef>
          </c:val>
        </c:ser>
        <c:ser>
          <c:idx val="1"/>
          <c:order val="1"/>
          <c:tx>
            <c:strRef>
              <c:f>'[4]10.4'!$Y$24</c:f>
              <c:strCache>
                <c:ptCount val="1"/>
                <c:pt idx="0">
                  <c:v>Joint Venture (JV)</c:v>
                </c:pt>
              </c:strCache>
            </c:strRef>
          </c:tx>
          <c:spPr>
            <a:solidFill>
              <a:srgbClr val="33CCCC"/>
            </a:solidFill>
            <a:ln w="3175">
              <a:noFill/>
            </a:ln>
          </c:spPr>
          <c:invertIfNegative val="0"/>
          <c:cat>
            <c:strRef>
              <c:f>'[4]10.4'!$Z$22:$AB$22</c:f>
              <c:strCache>
                <c:ptCount val="3"/>
                <c:pt idx="0">
                  <c:v>Lease Holder</c:v>
                </c:pt>
                <c:pt idx="1">
                  <c:v>Operator</c:v>
                </c:pt>
                <c:pt idx="2">
                  <c:v>Management</c:v>
                </c:pt>
              </c:strCache>
            </c:strRef>
          </c:cat>
          <c:val>
            <c:numRef>
              <c:f>'[4]10.4'!$Z$24:$AB$24</c:f>
              <c:numCache>
                <c:formatCode>General</c:formatCode>
                <c:ptCount val="3"/>
                <c:pt idx="0">
                  <c:v>20</c:v>
                </c:pt>
                <c:pt idx="1">
                  <c:v>21</c:v>
                </c:pt>
                <c:pt idx="2">
                  <c:v>19</c:v>
                </c:pt>
              </c:numCache>
            </c:numRef>
          </c:val>
        </c:ser>
        <c:ser>
          <c:idx val="2"/>
          <c:order val="2"/>
          <c:tx>
            <c:strRef>
              <c:f>'[4]10.4'!$Y$25</c:f>
              <c:strCache>
                <c:ptCount val="1"/>
                <c:pt idx="0">
                  <c:v>Foreign (F)</c:v>
                </c:pt>
              </c:strCache>
            </c:strRef>
          </c:tx>
          <c:spPr>
            <a:solidFill>
              <a:srgbClr val="81FFFF"/>
            </a:solidFill>
            <a:ln w="25400">
              <a:noFill/>
            </a:ln>
          </c:spPr>
          <c:invertIfNegative val="0"/>
          <c:cat>
            <c:strRef>
              <c:f>'[4]10.4'!$Z$22:$AB$22</c:f>
              <c:strCache>
                <c:ptCount val="3"/>
                <c:pt idx="0">
                  <c:v>Lease Holder</c:v>
                </c:pt>
                <c:pt idx="1">
                  <c:v>Operator</c:v>
                </c:pt>
                <c:pt idx="2">
                  <c:v>Management</c:v>
                </c:pt>
              </c:strCache>
            </c:strRef>
          </c:cat>
          <c:val>
            <c:numRef>
              <c:f>'[4]10.4'!$Z$25:$AB$25</c:f>
              <c:numCache>
                <c:formatCode>General</c:formatCode>
                <c:ptCount val="3"/>
                <c:pt idx="0">
                  <c:v>18</c:v>
                </c:pt>
                <c:pt idx="1">
                  <c:v>45</c:v>
                </c:pt>
                <c:pt idx="2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244480"/>
        <c:axId val="74246016"/>
      </c:barChart>
      <c:catAx>
        <c:axId val="7424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2460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424601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9266598852176981E-2"/>
              <c:y val="4.496350065616799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44480"/>
        <c:crosses val="autoZero"/>
        <c:crossBetween val="between"/>
      </c:valAx>
      <c:spPr>
        <a:solidFill>
          <a:srgbClr val="E7FFFF"/>
        </a:solidFill>
        <a:ln w="12700">
          <a:solidFill>
            <a:schemeClr val="bg1">
              <a:lumMod val="65000"/>
            </a:schemeClr>
          </a:solidFill>
        </a:ln>
      </c:spPr>
    </c:plotArea>
    <c:legend>
      <c:legendPos val="r"/>
      <c:legendEntry>
        <c:idx val="0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31131668444304689"/>
          <c:y val="0.26275051962435331"/>
          <c:w val="0.45048888586714031"/>
          <c:h val="7.3597030839895314E-2"/>
        </c:manualLayout>
      </c:layout>
      <c:overlay val="0"/>
      <c:spPr>
        <a:noFill/>
        <a:ln w="3175">
          <a:noFill/>
          <a:round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175">
      <a:solidFill>
        <a:schemeClr val="tx1">
          <a:lumMod val="75000"/>
          <a:lumOff val="25000"/>
        </a:schemeClr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22" r="0.75000000000000422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541021</xdr:colOff>
      <xdr:row>12</xdr:row>
      <xdr:rowOff>154305</xdr:rowOff>
    </xdr:from>
    <xdr:to>
      <xdr:col>13</xdr:col>
      <xdr:colOff>171451</xdr:colOff>
      <xdr:row>29</xdr:row>
      <xdr:rowOff>38100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561975</xdr:colOff>
      <xdr:row>14</xdr:row>
      <xdr:rowOff>142875</xdr:rowOff>
    </xdr:from>
    <xdr:to>
      <xdr:col>12</xdr:col>
      <xdr:colOff>295275</xdr:colOff>
      <xdr:row>14</xdr:row>
      <xdr:rowOff>142875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3114675" y="3105150"/>
          <a:ext cx="530542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0.12177</cdr:x>
      <cdr:y>0.01542</cdr:y>
    </cdr:from>
    <cdr:to>
      <cdr:x>0.95703</cdr:x>
      <cdr:y>0.1292</cdr:y>
    </cdr:to>
    <cdr:sp macro="" textlink="">
      <cdr:nvSpPr>
        <cdr:cNvPr id="717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1721" y="39286"/>
          <a:ext cx="5430664" cy="2897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ctr" upright="1"/>
        <a:lstStyle xmlns:a="http://schemas.openxmlformats.org/drawingml/2006/main"/>
        <a:p xmlns:a="http://schemas.openxmlformats.org/drawingml/2006/main">
          <a:pPr algn="ctr" rtl="1">
            <a:lnSpc>
              <a:spcPts val="1200"/>
            </a:lnSpc>
            <a:defRPr sz="1000"/>
          </a:pPr>
          <a:r>
            <a:rPr lang="en-US" sz="7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   </a:t>
          </a:r>
          <a:r>
            <a:rPr lang="en-US" sz="6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10.7:</a:t>
          </a:r>
          <a:r>
            <a:rPr lang="en-US" sz="1000" b="1" i="0" strike="noStrike" baseline="0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Resorts by type of </a:t>
          </a:r>
          <a:r>
            <a:rPr lang="en-US" sz="105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lease</a:t>
          </a: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 holders, Operator</a:t>
          </a:r>
          <a:r>
            <a:rPr lang="en-US" sz="1000" b="1" i="0" strike="noStrike" baseline="0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 &amp; Management, 2015</a:t>
          </a:r>
          <a:endParaRPr lang="en-US" sz="1000" b="1" i="0" strike="noStrike">
            <a:solidFill>
              <a:srgbClr val="000000"/>
            </a:solidFill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 rtl="1">
            <a:lnSpc>
              <a:spcPts val="1100"/>
            </a:lnSpc>
            <a:defRPr sz="1000"/>
          </a:pPr>
          <a:r>
            <a:rPr lang="en-US" sz="1050" b="1" i="0" strike="noStrike">
              <a:solidFill>
                <a:srgbClr val="000000"/>
              </a:solidFill>
              <a:latin typeface="Consolas" pitchFamily="49" charset="0"/>
              <a:ea typeface="+mn-ea"/>
              <a:cs typeface="Consolas" pitchFamily="49" charset="0"/>
            </a:rPr>
            <a:t>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10%20%20TOURISM_min%20of%20tourism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10%20%20TOURISM-%20Min%20of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10.5"/>
      <sheetName val="10.7"/>
      <sheetName val="10.8"/>
      <sheetName val="10.9 "/>
      <sheetName val="10.10 "/>
      <sheetName val="10.1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2">
          <cell r="Z22" t="str">
            <v>Lease Holder</v>
          </cell>
          <cell r="AA22" t="str">
            <v>Operator</v>
          </cell>
          <cell r="AB22" t="str">
            <v>Management</v>
          </cell>
        </row>
        <row r="23">
          <cell r="Y23" t="str">
            <v>Local (L)</v>
          </cell>
          <cell r="Z23">
            <v>77</v>
          </cell>
          <cell r="AA23">
            <v>49</v>
          </cell>
          <cell r="AB23">
            <v>46</v>
          </cell>
        </row>
        <row r="24">
          <cell r="Y24" t="str">
            <v>Joint Venture (JV)</v>
          </cell>
          <cell r="Z24">
            <v>20</v>
          </cell>
          <cell r="AA24">
            <v>21</v>
          </cell>
          <cell r="AB24">
            <v>19</v>
          </cell>
        </row>
        <row r="25">
          <cell r="Y25" t="str">
            <v>Foreign (F)</v>
          </cell>
          <cell r="Z25">
            <v>18</v>
          </cell>
          <cell r="AA25">
            <v>45</v>
          </cell>
          <cell r="AB25">
            <v>50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0.1"/>
      <sheetName val="10.1 figures workings"/>
      <sheetName val="10.2"/>
      <sheetName val="10.3"/>
      <sheetName val="10.4"/>
      <sheetName val="10.5"/>
      <sheetName val="10.7"/>
      <sheetName val="10.8"/>
      <sheetName val="10.9 "/>
      <sheetName val="10.10 "/>
      <sheetName val="10.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8">
          <cell r="W18" t="str">
            <v>Jan</v>
          </cell>
          <cell r="X18" t="str">
            <v>Feb</v>
          </cell>
          <cell r="Y18" t="str">
            <v>Mar</v>
          </cell>
          <cell r="Z18" t="str">
            <v>Apr</v>
          </cell>
          <cell r="AA18" t="str">
            <v>May</v>
          </cell>
          <cell r="AB18" t="str">
            <v>Jun</v>
          </cell>
          <cell r="AC18" t="str">
            <v>Jul</v>
          </cell>
          <cell r="AD18" t="str">
            <v>Aug</v>
          </cell>
          <cell r="AE18" t="str">
            <v>Sep</v>
          </cell>
          <cell r="AF18" t="str">
            <v>Oct</v>
          </cell>
          <cell r="AG18" t="str">
            <v>Nov</v>
          </cell>
          <cell r="AH18" t="str">
            <v>Dec</v>
          </cell>
        </row>
        <row r="19">
          <cell r="V19" t="str">
            <v>Europe</v>
          </cell>
          <cell r="W19">
            <v>52321</v>
          </cell>
          <cell r="X19">
            <v>54095</v>
          </cell>
          <cell r="Y19">
            <v>61204</v>
          </cell>
          <cell r="Z19">
            <v>48978</v>
          </cell>
          <cell r="AA19">
            <v>35167</v>
          </cell>
          <cell r="AB19">
            <v>24238</v>
          </cell>
          <cell r="AC19">
            <v>32701</v>
          </cell>
          <cell r="AD19">
            <v>36640</v>
          </cell>
          <cell r="AE19">
            <v>35574</v>
          </cell>
          <cell r="AF19">
            <v>46530</v>
          </cell>
          <cell r="AG19">
            <v>45894</v>
          </cell>
          <cell r="AH19">
            <v>53932</v>
          </cell>
        </row>
        <row r="20">
          <cell r="V20" t="str">
            <v>Asia</v>
          </cell>
          <cell r="W20">
            <v>29774</v>
          </cell>
          <cell r="X20">
            <v>44791</v>
          </cell>
          <cell r="Y20">
            <v>30647</v>
          </cell>
          <cell r="Z20">
            <v>33903</v>
          </cell>
          <cell r="AA20">
            <v>37946</v>
          </cell>
          <cell r="AB20">
            <v>42613</v>
          </cell>
          <cell r="AC20">
            <v>49319</v>
          </cell>
          <cell r="AD20">
            <v>51450</v>
          </cell>
          <cell r="AE20">
            <v>49179</v>
          </cell>
          <cell r="AF20">
            <v>51598</v>
          </cell>
          <cell r="AG20">
            <v>42348</v>
          </cell>
          <cell r="AH20">
            <v>42185</v>
          </cell>
        </row>
        <row r="21">
          <cell r="V21" t="str">
            <v>Other continents</v>
          </cell>
          <cell r="W21">
            <v>6774</v>
          </cell>
          <cell r="X21">
            <v>5859</v>
          </cell>
          <cell r="Y21">
            <v>7647</v>
          </cell>
          <cell r="Z21">
            <v>7755</v>
          </cell>
          <cell r="AA21">
            <v>6313</v>
          </cell>
          <cell r="AB21">
            <v>9642</v>
          </cell>
          <cell r="AC21">
            <v>5952</v>
          </cell>
          <cell r="AD21">
            <v>10248</v>
          </cell>
          <cell r="AE21">
            <v>7522</v>
          </cell>
          <cell r="AF21">
            <v>9168</v>
          </cell>
          <cell r="AG21">
            <v>6320</v>
          </cell>
          <cell r="AH21">
            <v>8852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63" t="s">
        <v>76</v>
      </c>
      <c r="B1" s="63"/>
      <c r="C1" s="63"/>
      <c r="D1" s="63"/>
      <c r="E1" s="63"/>
      <c r="F1" s="63"/>
      <c r="G1" s="63"/>
      <c r="H1" s="63"/>
      <c r="I1" s="63"/>
      <c r="J1" s="63"/>
      <c r="K1" s="63"/>
      <c r="M1" s="2" t="s">
        <v>3</v>
      </c>
      <c r="N1" s="2" t="s">
        <v>5</v>
      </c>
      <c r="O1" s="2" t="s">
        <v>61</v>
      </c>
      <c r="P1" s="2" t="s">
        <v>64</v>
      </c>
      <c r="Q1" s="12" t="s">
        <v>75</v>
      </c>
      <c r="S1" s="13">
        <f>Q2/M2</f>
        <v>5.5298836452988356</v>
      </c>
      <c r="T1" s="14" t="s">
        <v>79</v>
      </c>
      <c r="U1" s="14"/>
    </row>
    <row r="2" spans="1:21" ht="9.75" customHeight="1">
      <c r="A2" s="64" t="s">
        <v>77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15" t="s">
        <v>33</v>
      </c>
      <c r="M2" s="16">
        <f>M4/1000</f>
        <v>41.511000000000003</v>
      </c>
      <c r="N2" s="16">
        <f>N4/1000</f>
        <v>60.665999999999997</v>
      </c>
      <c r="O2" s="16">
        <f>O4/1000</f>
        <v>118.961</v>
      </c>
      <c r="P2" s="16">
        <f>P4/1000</f>
        <v>198.655</v>
      </c>
      <c r="Q2" s="16">
        <f>Q4/1000</f>
        <v>229.55099999999999</v>
      </c>
      <c r="R2" s="17" t="s">
        <v>80</v>
      </c>
    </row>
    <row r="3" spans="1:21" ht="3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21" ht="21" customHeight="1">
      <c r="A4" s="65" t="s">
        <v>81</v>
      </c>
      <c r="B4" s="68" t="s">
        <v>4</v>
      </c>
      <c r="C4" s="69"/>
      <c r="D4" s="69"/>
      <c r="E4" s="69"/>
      <c r="F4" s="70"/>
      <c r="G4" s="71" t="s">
        <v>74</v>
      </c>
      <c r="H4" s="72"/>
      <c r="I4" s="72"/>
      <c r="J4" s="72"/>
      <c r="K4" s="73"/>
      <c r="L4" s="15" t="s">
        <v>33</v>
      </c>
      <c r="M4" s="16">
        <v>41511</v>
      </c>
      <c r="N4" s="16">
        <v>60666</v>
      </c>
      <c r="O4" s="18">
        <v>118961</v>
      </c>
      <c r="P4" s="18">
        <v>198655</v>
      </c>
      <c r="Q4" s="19">
        <v>229551</v>
      </c>
    </row>
    <row r="5" spans="1:21" ht="13.5" customHeight="1">
      <c r="A5" s="66"/>
      <c r="B5" s="62" t="s">
        <v>62</v>
      </c>
      <c r="C5" s="62"/>
      <c r="D5" s="62"/>
      <c r="E5" s="62"/>
      <c r="F5" s="74"/>
      <c r="G5" s="75" t="s">
        <v>63</v>
      </c>
      <c r="H5" s="76"/>
      <c r="I5" s="76"/>
      <c r="J5" s="76"/>
      <c r="K5" s="77"/>
    </row>
    <row r="6" spans="1:21" ht="15" customHeight="1">
      <c r="A6" s="67"/>
      <c r="B6" s="2" t="s">
        <v>3</v>
      </c>
      <c r="C6" s="2" t="s">
        <v>5</v>
      </c>
      <c r="D6" s="2" t="s">
        <v>61</v>
      </c>
      <c r="E6" s="2" t="s">
        <v>64</v>
      </c>
      <c r="F6" s="12" t="s">
        <v>75</v>
      </c>
      <c r="G6" s="20">
        <v>2008</v>
      </c>
      <c r="H6" s="3">
        <v>2009</v>
      </c>
      <c r="I6" s="3">
        <v>2010</v>
      </c>
      <c r="J6" s="3">
        <v>2011</v>
      </c>
      <c r="K6" s="21">
        <v>2012</v>
      </c>
    </row>
    <row r="7" spans="1:21" ht="12.75" customHeight="1">
      <c r="A7" s="15" t="s">
        <v>33</v>
      </c>
      <c r="B7" s="16">
        <v>41511</v>
      </c>
      <c r="C7" s="16">
        <v>60666</v>
      </c>
      <c r="D7" s="18">
        <v>118961</v>
      </c>
      <c r="E7" s="18">
        <v>198655</v>
      </c>
      <c r="F7" s="19">
        <v>229551</v>
      </c>
      <c r="G7" s="22">
        <v>15.385256837891928</v>
      </c>
      <c r="H7" s="22">
        <f t="shared" ref="H7:K38" si="0">(C7-B7)/B7*100</f>
        <v>46.144395461443956</v>
      </c>
      <c r="I7" s="23">
        <f t="shared" si="0"/>
        <v>96.091715293574651</v>
      </c>
      <c r="J7" s="23">
        <f t="shared" si="0"/>
        <v>66.991703163221558</v>
      </c>
      <c r="K7" s="24">
        <f t="shared" si="0"/>
        <v>15.552591175656289</v>
      </c>
    </row>
    <row r="8" spans="1:21" ht="12.75" customHeight="1">
      <c r="A8" s="15" t="s">
        <v>12</v>
      </c>
      <c r="B8" s="16">
        <v>69240</v>
      </c>
      <c r="C8" s="16">
        <v>69085</v>
      </c>
      <c r="D8" s="18">
        <v>77108</v>
      </c>
      <c r="E8" s="18">
        <v>90517</v>
      </c>
      <c r="F8" s="19">
        <v>98351</v>
      </c>
      <c r="G8" s="22">
        <v>-4.1912853367280576</v>
      </c>
      <c r="H8" s="22">
        <f t="shared" si="0"/>
        <v>-0.2238590410167533</v>
      </c>
      <c r="I8" s="23">
        <f t="shared" si="0"/>
        <v>11.613230078888325</v>
      </c>
      <c r="J8" s="23">
        <f t="shared" si="0"/>
        <v>17.389894693157647</v>
      </c>
      <c r="K8" s="24">
        <f t="shared" si="0"/>
        <v>8.654727841179005</v>
      </c>
    </row>
    <row r="9" spans="1:21" ht="12.75" customHeight="1">
      <c r="A9" s="15" t="s">
        <v>30</v>
      </c>
      <c r="B9" s="16">
        <v>116821</v>
      </c>
      <c r="C9" s="16">
        <v>105950</v>
      </c>
      <c r="D9" s="18">
        <v>114158</v>
      </c>
      <c r="E9" s="18">
        <v>104508</v>
      </c>
      <c r="F9" s="19">
        <v>91776</v>
      </c>
      <c r="G9" s="22">
        <v>-6.6611802681410701</v>
      </c>
      <c r="H9" s="22">
        <f t="shared" si="0"/>
        <v>-9.3056899016443957</v>
      </c>
      <c r="I9" s="23">
        <f t="shared" si="0"/>
        <v>7.7470504955167536</v>
      </c>
      <c r="J9" s="23">
        <f t="shared" si="0"/>
        <v>-8.4531964470295549</v>
      </c>
      <c r="K9" s="24">
        <f t="shared" si="0"/>
        <v>-12.182799402916524</v>
      </c>
    </row>
    <row r="10" spans="1:21" ht="12.75" customHeight="1">
      <c r="A10" s="15" t="s">
        <v>22</v>
      </c>
      <c r="B10" s="16">
        <v>48978</v>
      </c>
      <c r="C10" s="16">
        <v>40014</v>
      </c>
      <c r="D10" s="18">
        <v>49111</v>
      </c>
      <c r="E10" s="18">
        <v>63936</v>
      </c>
      <c r="F10" s="19">
        <v>66378</v>
      </c>
      <c r="G10" s="22">
        <v>53.801224682053693</v>
      </c>
      <c r="H10" s="22">
        <f t="shared" si="0"/>
        <v>-18.302094818081589</v>
      </c>
      <c r="I10" s="23">
        <f t="shared" si="0"/>
        <v>22.734542909981506</v>
      </c>
      <c r="J10" s="23">
        <f t="shared" si="0"/>
        <v>30.186719879456742</v>
      </c>
      <c r="K10" s="24">
        <f t="shared" si="0"/>
        <v>3.8194444444444446</v>
      </c>
    </row>
    <row r="11" spans="1:21" ht="12.75" customHeight="1">
      <c r="A11" s="15" t="s">
        <v>17</v>
      </c>
      <c r="B11" s="16">
        <v>103824</v>
      </c>
      <c r="C11" s="16">
        <v>89292</v>
      </c>
      <c r="D11" s="18">
        <v>89596</v>
      </c>
      <c r="E11" s="18">
        <v>83088</v>
      </c>
      <c r="F11" s="19">
        <v>62782</v>
      </c>
      <c r="G11" s="22">
        <v>-11.44772529553247</v>
      </c>
      <c r="H11" s="22">
        <f t="shared" si="0"/>
        <v>-13.996763754045308</v>
      </c>
      <c r="I11" s="23">
        <f t="shared" si="0"/>
        <v>0.34045603189535456</v>
      </c>
      <c r="J11" s="23">
        <f t="shared" si="0"/>
        <v>-7.2637171302290273</v>
      </c>
      <c r="K11" s="24">
        <f t="shared" si="0"/>
        <v>-24.439148854226843</v>
      </c>
    </row>
    <row r="12" spans="1:21" ht="12.75" customHeight="1">
      <c r="A12" s="15" t="s">
        <v>11</v>
      </c>
      <c r="B12" s="16">
        <v>48100</v>
      </c>
      <c r="C12" s="16">
        <v>50373</v>
      </c>
      <c r="D12" s="18">
        <v>54789</v>
      </c>
      <c r="E12" s="18">
        <v>59694</v>
      </c>
      <c r="F12" s="19">
        <v>56775</v>
      </c>
      <c r="G12" s="22">
        <v>6.1786715525043601</v>
      </c>
      <c r="H12" s="22">
        <f t="shared" si="0"/>
        <v>4.7255717255717258</v>
      </c>
      <c r="I12" s="23">
        <f t="shared" si="0"/>
        <v>8.766601155380858</v>
      </c>
      <c r="J12" s="23">
        <f t="shared" si="0"/>
        <v>8.9525269670919343</v>
      </c>
      <c r="K12" s="24">
        <f t="shared" si="0"/>
        <v>-4.889938687305257</v>
      </c>
    </row>
    <row r="13" spans="1:21" ht="12.75" customHeight="1">
      <c r="A13" s="15" t="s">
        <v>36</v>
      </c>
      <c r="B13" s="16">
        <v>38193</v>
      </c>
      <c r="C13" s="16">
        <v>36641</v>
      </c>
      <c r="D13" s="18">
        <v>38791</v>
      </c>
      <c r="E13" s="18">
        <v>35782</v>
      </c>
      <c r="F13" s="19">
        <v>36438</v>
      </c>
      <c r="G13" s="22">
        <v>-7.120449405413293</v>
      </c>
      <c r="H13" s="22">
        <f t="shared" si="0"/>
        <v>-4.063571858717566</v>
      </c>
      <c r="I13" s="23">
        <f t="shared" si="0"/>
        <v>5.8677437842853637</v>
      </c>
      <c r="J13" s="23">
        <f t="shared" si="0"/>
        <v>-7.7569539326132348</v>
      </c>
      <c r="K13" s="24">
        <f t="shared" si="0"/>
        <v>1.8333240176625119</v>
      </c>
    </row>
    <row r="14" spans="1:21" ht="12.75" customHeight="1">
      <c r="A14" s="15" t="s">
        <v>27</v>
      </c>
      <c r="B14" s="16">
        <v>26983</v>
      </c>
      <c r="C14" s="16">
        <v>26783</v>
      </c>
      <c r="D14" s="18">
        <v>27766</v>
      </c>
      <c r="E14" s="18">
        <v>32504</v>
      </c>
      <c r="F14" s="19">
        <v>35457</v>
      </c>
      <c r="G14" s="22">
        <v>3.0554176373983117</v>
      </c>
      <c r="H14" s="22">
        <f t="shared" si="0"/>
        <v>-0.74120742689841757</v>
      </c>
      <c r="I14" s="23">
        <f t="shared" si="0"/>
        <v>3.6702385841765301</v>
      </c>
      <c r="J14" s="23">
        <f t="shared" si="0"/>
        <v>17.064035150903983</v>
      </c>
      <c r="K14" s="24">
        <f t="shared" si="0"/>
        <v>9.0850356879153349</v>
      </c>
    </row>
    <row r="15" spans="1:21" ht="12.75" customHeight="1">
      <c r="A15" s="15" t="s">
        <v>34</v>
      </c>
      <c r="B15" s="16">
        <v>16663</v>
      </c>
      <c r="C15" s="16">
        <v>15850</v>
      </c>
      <c r="D15" s="18">
        <v>25756</v>
      </c>
      <c r="E15" s="18">
        <v>30978</v>
      </c>
      <c r="F15" s="19">
        <v>31721</v>
      </c>
      <c r="G15" s="22">
        <v>-3.832169446528539</v>
      </c>
      <c r="H15" s="22">
        <f t="shared" si="0"/>
        <v>-4.8790733961471524</v>
      </c>
      <c r="I15" s="23">
        <f t="shared" si="0"/>
        <v>62.498422712933753</v>
      </c>
      <c r="J15" s="23">
        <f t="shared" si="0"/>
        <v>20.274887404876534</v>
      </c>
      <c r="K15" s="24">
        <f t="shared" si="0"/>
        <v>2.3984763380463554</v>
      </c>
    </row>
    <row r="16" spans="1:21" ht="12.75" customHeight="1">
      <c r="A16" s="15" t="s">
        <v>37</v>
      </c>
      <c r="B16" s="16">
        <v>20934</v>
      </c>
      <c r="C16" s="16">
        <v>16135</v>
      </c>
      <c r="D16" s="18">
        <v>24808</v>
      </c>
      <c r="E16" s="18">
        <v>25285</v>
      </c>
      <c r="F16" s="19">
        <v>23933</v>
      </c>
      <c r="G16" s="22">
        <v>-0.20022883295194507</v>
      </c>
      <c r="H16" s="22">
        <f t="shared" si="0"/>
        <v>-22.92442915830706</v>
      </c>
      <c r="I16" s="23">
        <f t="shared" si="0"/>
        <v>53.752711496746208</v>
      </c>
      <c r="J16" s="23">
        <f t="shared" si="0"/>
        <v>1.9227668494034182</v>
      </c>
      <c r="K16" s="24">
        <f t="shared" si="0"/>
        <v>-5.3470437017994854</v>
      </c>
    </row>
    <row r="17" spans="1:15" ht="12.75" customHeight="1">
      <c r="A17" s="25" t="s">
        <v>31</v>
      </c>
      <c r="B17" s="26">
        <v>9482</v>
      </c>
      <c r="C17" s="26">
        <v>9476</v>
      </c>
      <c r="D17" s="27">
        <v>10220</v>
      </c>
      <c r="E17" s="27">
        <v>12088</v>
      </c>
      <c r="F17" s="28">
        <v>18612</v>
      </c>
      <c r="G17" s="29">
        <v>16.272225628448805</v>
      </c>
      <c r="H17" s="29">
        <f t="shared" si="0"/>
        <v>-6.3277789495886944E-2</v>
      </c>
      <c r="I17" s="30">
        <f t="shared" si="0"/>
        <v>7.8514140987758552</v>
      </c>
      <c r="J17" s="30">
        <f t="shared" si="0"/>
        <v>18.277886497064578</v>
      </c>
      <c r="K17" s="31">
        <f t="shared" si="0"/>
        <v>53.970880211780283</v>
      </c>
    </row>
    <row r="18" spans="1:15" ht="12.75" customHeight="1">
      <c r="A18" s="25" t="s">
        <v>6</v>
      </c>
      <c r="B18" s="26">
        <v>13462</v>
      </c>
      <c r="C18" s="26">
        <v>13274</v>
      </c>
      <c r="D18" s="27">
        <v>14944</v>
      </c>
      <c r="E18" s="27">
        <v>16655</v>
      </c>
      <c r="F18" s="28">
        <v>18164</v>
      </c>
      <c r="G18" s="29">
        <v>-1.5431873034447401</v>
      </c>
      <c r="H18" s="29">
        <f t="shared" si="0"/>
        <v>-1.3965235477640767</v>
      </c>
      <c r="I18" s="30">
        <f t="shared" si="0"/>
        <v>12.580985384963087</v>
      </c>
      <c r="J18" s="30">
        <f t="shared" si="0"/>
        <v>11.44941113490364</v>
      </c>
      <c r="K18" s="31">
        <f t="shared" si="0"/>
        <v>9.0603422395676976</v>
      </c>
    </row>
    <row r="19" spans="1:15" ht="12.75" customHeight="1">
      <c r="A19" s="25" t="s">
        <v>50</v>
      </c>
      <c r="B19" s="26">
        <v>8853</v>
      </c>
      <c r="C19" s="26">
        <v>9438</v>
      </c>
      <c r="D19" s="27">
        <v>11482</v>
      </c>
      <c r="E19" s="27">
        <v>14490</v>
      </c>
      <c r="F19" s="28">
        <v>16049</v>
      </c>
      <c r="G19" s="29">
        <v>-5.2952503209242625</v>
      </c>
      <c r="H19" s="29">
        <f t="shared" si="0"/>
        <v>6.607929515418502</v>
      </c>
      <c r="I19" s="30">
        <f t="shared" si="0"/>
        <v>21.657130748039837</v>
      </c>
      <c r="J19" s="30">
        <f t="shared" si="0"/>
        <v>26.197526563316497</v>
      </c>
      <c r="K19" s="31">
        <f t="shared" si="0"/>
        <v>10.759144237405106</v>
      </c>
    </row>
    <row r="20" spans="1:15" ht="12.75" customHeight="1">
      <c r="A20" s="25" t="s">
        <v>52</v>
      </c>
      <c r="B20" s="26">
        <v>9368</v>
      </c>
      <c r="C20" s="26">
        <v>7392</v>
      </c>
      <c r="D20" s="27">
        <v>9622</v>
      </c>
      <c r="E20" s="27">
        <v>12778</v>
      </c>
      <c r="F20" s="28">
        <v>15208</v>
      </c>
      <c r="G20" s="29">
        <v>-0.40399744843716773</v>
      </c>
      <c r="H20" s="29">
        <f t="shared" si="0"/>
        <v>-21.093082835183605</v>
      </c>
      <c r="I20" s="30">
        <f t="shared" si="0"/>
        <v>30.167748917748916</v>
      </c>
      <c r="J20" s="30">
        <f t="shared" si="0"/>
        <v>32.799833714404492</v>
      </c>
      <c r="K20" s="31">
        <f t="shared" si="0"/>
        <v>19.017060572859602</v>
      </c>
    </row>
    <row r="21" spans="1:15" ht="12.75" customHeight="1">
      <c r="A21" s="25" t="s">
        <v>41</v>
      </c>
      <c r="B21" s="26">
        <v>4956</v>
      </c>
      <c r="C21" s="26">
        <v>5214</v>
      </c>
      <c r="D21" s="27">
        <v>5332</v>
      </c>
      <c r="E21" s="27">
        <v>7990</v>
      </c>
      <c r="F21" s="28">
        <v>9625</v>
      </c>
      <c r="G21" s="29">
        <v>11.220825852782765</v>
      </c>
      <c r="H21" s="29">
        <f t="shared" si="0"/>
        <v>5.2058111380145284</v>
      </c>
      <c r="I21" s="30">
        <f t="shared" si="0"/>
        <v>2.263137706175681</v>
      </c>
      <c r="J21" s="30">
        <f t="shared" si="0"/>
        <v>49.849962490622659</v>
      </c>
      <c r="K21" s="31">
        <f t="shared" si="0"/>
        <v>20.463078848560702</v>
      </c>
    </row>
    <row r="22" spans="1:15" ht="12.75" customHeight="1">
      <c r="A22" s="25" t="s">
        <v>42</v>
      </c>
      <c r="B22" s="26">
        <v>9752</v>
      </c>
      <c r="C22" s="26">
        <v>7833</v>
      </c>
      <c r="D22" s="27">
        <v>7872</v>
      </c>
      <c r="E22" s="27">
        <v>9670</v>
      </c>
      <c r="F22" s="28">
        <v>8860</v>
      </c>
      <c r="G22" s="29">
        <v>1.015123264967889</v>
      </c>
      <c r="H22" s="29">
        <f t="shared" si="0"/>
        <v>-19.678014766201805</v>
      </c>
      <c r="I22" s="30">
        <f t="shared" si="0"/>
        <v>0.49789352738414405</v>
      </c>
      <c r="J22" s="30">
        <f t="shared" si="0"/>
        <v>22.840447154471544</v>
      </c>
      <c r="K22" s="31">
        <f t="shared" si="0"/>
        <v>-8.3764219234746644</v>
      </c>
    </row>
    <row r="23" spans="1:15" ht="12.75" customHeight="1">
      <c r="A23" s="25" t="s">
        <v>25</v>
      </c>
      <c r="B23" s="26">
        <v>8217</v>
      </c>
      <c r="C23" s="26">
        <v>7279</v>
      </c>
      <c r="D23" s="27">
        <v>8912</v>
      </c>
      <c r="E23" s="27">
        <v>9710</v>
      </c>
      <c r="F23" s="28">
        <v>8824</v>
      </c>
      <c r="G23" s="29">
        <v>-6.6037735849056602</v>
      </c>
      <c r="H23" s="29">
        <f t="shared" si="0"/>
        <v>-11.415358403310211</v>
      </c>
      <c r="I23" s="30">
        <f t="shared" si="0"/>
        <v>22.434400329715622</v>
      </c>
      <c r="J23" s="30">
        <f t="shared" si="0"/>
        <v>8.9542190305206457</v>
      </c>
      <c r="K23" s="31">
        <f t="shared" si="0"/>
        <v>-9.1246138002059727</v>
      </c>
      <c r="O23" s="14" t="s">
        <v>82</v>
      </c>
    </row>
    <row r="24" spans="1:15" ht="12.75" customHeight="1">
      <c r="A24" s="25" t="s">
        <v>29</v>
      </c>
      <c r="B24" s="26">
        <v>5399</v>
      </c>
      <c r="C24" s="26">
        <v>4643</v>
      </c>
      <c r="D24" s="27">
        <v>5445</v>
      </c>
      <c r="E24" s="27">
        <v>6729</v>
      </c>
      <c r="F24" s="28">
        <v>8044</v>
      </c>
      <c r="G24" s="29">
        <v>52.299012693935119</v>
      </c>
      <c r="H24" s="29">
        <f t="shared" si="0"/>
        <v>-14.002593072791258</v>
      </c>
      <c r="I24" s="30">
        <f t="shared" si="0"/>
        <v>17.273314667241007</v>
      </c>
      <c r="J24" s="30">
        <f t="shared" si="0"/>
        <v>23.581267217630856</v>
      </c>
      <c r="K24" s="31">
        <f t="shared" si="0"/>
        <v>19.542279684945758</v>
      </c>
    </row>
    <row r="25" spans="1:15" ht="12.75" customHeight="1">
      <c r="A25" s="25" t="s">
        <v>57</v>
      </c>
      <c r="B25" s="26">
        <v>2747</v>
      </c>
      <c r="C25" s="26">
        <v>3036</v>
      </c>
      <c r="D25" s="27">
        <v>4040</v>
      </c>
      <c r="E25" s="27">
        <v>5005</v>
      </c>
      <c r="F25" s="28">
        <v>7263</v>
      </c>
      <c r="G25" s="29">
        <v>41.597938144329902</v>
      </c>
      <c r="H25" s="29">
        <f t="shared" si="0"/>
        <v>10.520567892246087</v>
      </c>
      <c r="I25" s="30">
        <f t="shared" si="0"/>
        <v>33.06982872200264</v>
      </c>
      <c r="J25" s="30">
        <f t="shared" si="0"/>
        <v>23.886138613861384</v>
      </c>
      <c r="K25" s="31">
        <f t="shared" si="0"/>
        <v>45.114885114885119</v>
      </c>
    </row>
    <row r="26" spans="1:15" ht="12.75" customHeight="1">
      <c r="A26" s="25" t="s">
        <v>44</v>
      </c>
      <c r="B26" s="26">
        <v>3952</v>
      </c>
      <c r="C26" s="26">
        <v>3813</v>
      </c>
      <c r="D26" s="27">
        <v>5397</v>
      </c>
      <c r="E26" s="27">
        <v>6214</v>
      </c>
      <c r="F26" s="28">
        <v>6896</v>
      </c>
      <c r="G26" s="29">
        <v>7.8897078897078892</v>
      </c>
      <c r="H26" s="29">
        <f t="shared" si="0"/>
        <v>-3.5172064777327936</v>
      </c>
      <c r="I26" s="30">
        <f t="shared" si="0"/>
        <v>41.542092840283239</v>
      </c>
      <c r="J26" s="30">
        <f t="shared" si="0"/>
        <v>15.138039651658328</v>
      </c>
      <c r="K26" s="31">
        <f t="shared" si="0"/>
        <v>10.975217251367878</v>
      </c>
    </row>
    <row r="27" spans="1:15" ht="12.75" customHeight="1">
      <c r="A27" s="25" t="s">
        <v>38</v>
      </c>
      <c r="B27" s="26">
        <v>3137</v>
      </c>
      <c r="C27" s="26">
        <v>3139</v>
      </c>
      <c r="D27" s="27">
        <v>3894</v>
      </c>
      <c r="E27" s="27">
        <v>6055</v>
      </c>
      <c r="F27" s="28">
        <v>6766</v>
      </c>
      <c r="G27" s="29">
        <v>4.6015338446148721</v>
      </c>
      <c r="H27" s="29">
        <f t="shared" si="0"/>
        <v>6.3755180108383797E-2</v>
      </c>
      <c r="I27" s="30">
        <f t="shared" si="0"/>
        <v>24.052245938196879</v>
      </c>
      <c r="J27" s="30">
        <f t="shared" si="0"/>
        <v>55.495634309193633</v>
      </c>
      <c r="K27" s="31">
        <f t="shared" si="0"/>
        <v>11.742361684558217</v>
      </c>
    </row>
    <row r="28" spans="1:15" ht="12.75" customHeight="1">
      <c r="A28" s="25" t="s">
        <v>18</v>
      </c>
      <c r="B28" s="26">
        <v>5595</v>
      </c>
      <c r="C28" s="26">
        <v>5355</v>
      </c>
      <c r="D28" s="27">
        <v>5682</v>
      </c>
      <c r="E28" s="27">
        <v>5693</v>
      </c>
      <c r="F28" s="28">
        <v>6077</v>
      </c>
      <c r="G28" s="29">
        <v>-13.644080876678499</v>
      </c>
      <c r="H28" s="29">
        <f t="shared" si="0"/>
        <v>-4.2895442359249332</v>
      </c>
      <c r="I28" s="30">
        <f t="shared" si="0"/>
        <v>6.1064425770308119</v>
      </c>
      <c r="J28" s="30">
        <f t="shared" si="0"/>
        <v>0.19359380499824005</v>
      </c>
      <c r="K28" s="31">
        <f t="shared" si="0"/>
        <v>6.745125592833304</v>
      </c>
    </row>
    <row r="29" spans="1:15" ht="12.75" customHeight="1">
      <c r="A29" s="25" t="s">
        <v>59</v>
      </c>
      <c r="B29" s="26">
        <v>2585</v>
      </c>
      <c r="C29" s="26">
        <v>2744</v>
      </c>
      <c r="D29" s="27">
        <v>3336</v>
      </c>
      <c r="E29" s="27">
        <v>4130</v>
      </c>
      <c r="F29" s="28">
        <v>5880</v>
      </c>
      <c r="G29" s="29">
        <v>26.777832270720943</v>
      </c>
      <c r="H29" s="29">
        <f t="shared" si="0"/>
        <v>6.1508704061895552</v>
      </c>
      <c r="I29" s="30">
        <f t="shared" si="0"/>
        <v>21.574344023323615</v>
      </c>
      <c r="J29" s="30">
        <f t="shared" si="0"/>
        <v>23.800959232613909</v>
      </c>
      <c r="K29" s="31">
        <f t="shared" si="0"/>
        <v>42.372881355932201</v>
      </c>
    </row>
    <row r="30" spans="1:15" ht="12.75" customHeight="1">
      <c r="A30" s="25" t="s">
        <v>8</v>
      </c>
      <c r="B30" s="26">
        <v>3811</v>
      </c>
      <c r="C30" s="26">
        <v>3851</v>
      </c>
      <c r="D30" s="27">
        <v>5137</v>
      </c>
      <c r="E30" s="27">
        <v>6471</v>
      </c>
      <c r="F30" s="28">
        <v>5588</v>
      </c>
      <c r="G30" s="29">
        <v>37.780187997107738</v>
      </c>
      <c r="H30" s="29">
        <f t="shared" si="0"/>
        <v>1.0495932826029915</v>
      </c>
      <c r="I30" s="30">
        <f t="shared" si="0"/>
        <v>33.393923656193195</v>
      </c>
      <c r="J30" s="30">
        <f t="shared" si="0"/>
        <v>25.968464084095778</v>
      </c>
      <c r="K30" s="31">
        <f t="shared" si="0"/>
        <v>-13.645495286663575</v>
      </c>
    </row>
    <row r="31" spans="1:15" ht="12.75" customHeight="1">
      <c r="A31" s="25" t="s">
        <v>28</v>
      </c>
      <c r="B31" s="26">
        <v>3235</v>
      </c>
      <c r="C31" s="26">
        <v>2758</v>
      </c>
      <c r="D31" s="27">
        <v>4637</v>
      </c>
      <c r="E31" s="27">
        <v>4542</v>
      </c>
      <c r="F31" s="28">
        <v>5416</v>
      </c>
      <c r="G31" s="29">
        <v>32.473382473382472</v>
      </c>
      <c r="H31" s="29">
        <f t="shared" si="0"/>
        <v>-14.744976816074187</v>
      </c>
      <c r="I31" s="30">
        <f t="shared" si="0"/>
        <v>68.129079042784625</v>
      </c>
      <c r="J31" s="30">
        <f t="shared" si="0"/>
        <v>-2.0487384084537417</v>
      </c>
      <c r="K31" s="31">
        <f t="shared" si="0"/>
        <v>19.242624394539849</v>
      </c>
    </row>
    <row r="32" spans="1:15" ht="12.75" customHeight="1">
      <c r="A32" s="25" t="s">
        <v>26</v>
      </c>
      <c r="B32" s="26">
        <v>3542</v>
      </c>
      <c r="C32" s="26">
        <v>3165</v>
      </c>
      <c r="D32" s="27">
        <v>3638</v>
      </c>
      <c r="E32" s="27">
        <v>4896</v>
      </c>
      <c r="F32" s="28">
        <v>5230</v>
      </c>
      <c r="G32" s="29">
        <v>64.820846905537451</v>
      </c>
      <c r="H32" s="29">
        <f t="shared" si="0"/>
        <v>-10.643704121964992</v>
      </c>
      <c r="I32" s="30">
        <f t="shared" si="0"/>
        <v>14.944707740916272</v>
      </c>
      <c r="J32" s="30">
        <f t="shared" si="0"/>
        <v>34.579439252336449</v>
      </c>
      <c r="K32" s="31">
        <f t="shared" si="0"/>
        <v>6.8218954248366011</v>
      </c>
    </row>
    <row r="33" spans="1:14" ht="12.75" customHeight="1">
      <c r="A33" s="25" t="s">
        <v>49</v>
      </c>
      <c r="B33" s="26">
        <v>2966</v>
      </c>
      <c r="C33" s="26">
        <v>3043</v>
      </c>
      <c r="D33" s="27">
        <v>3815</v>
      </c>
      <c r="E33" s="27">
        <v>4690</v>
      </c>
      <c r="F33" s="28">
        <v>5070</v>
      </c>
      <c r="G33" s="29">
        <v>4.0336723956506493</v>
      </c>
      <c r="H33" s="29">
        <f t="shared" si="0"/>
        <v>2.5960890087660147</v>
      </c>
      <c r="I33" s="30">
        <f t="shared" si="0"/>
        <v>25.369700953006902</v>
      </c>
      <c r="J33" s="30">
        <f t="shared" si="0"/>
        <v>22.935779816513762</v>
      </c>
      <c r="K33" s="31">
        <f t="shared" si="0"/>
        <v>8.1023454157782524</v>
      </c>
    </row>
    <row r="34" spans="1:14" ht="12.75" customHeight="1">
      <c r="A34" s="25" t="s">
        <v>43</v>
      </c>
      <c r="B34" s="26">
        <v>2233</v>
      </c>
      <c r="C34" s="26">
        <v>1975</v>
      </c>
      <c r="D34" s="27">
        <v>3831</v>
      </c>
      <c r="E34" s="27">
        <v>5305</v>
      </c>
      <c r="F34" s="28">
        <v>4430</v>
      </c>
      <c r="G34" s="29">
        <v>10.654112983151636</v>
      </c>
      <c r="H34" s="29">
        <f t="shared" si="0"/>
        <v>-11.553963278101209</v>
      </c>
      <c r="I34" s="30">
        <f t="shared" si="0"/>
        <v>93.974683544303801</v>
      </c>
      <c r="J34" s="30">
        <f t="shared" si="0"/>
        <v>38.475593839728525</v>
      </c>
      <c r="K34" s="31">
        <f t="shared" si="0"/>
        <v>-16.493873704052781</v>
      </c>
    </row>
    <row r="35" spans="1:14" ht="12.75" customHeight="1">
      <c r="A35" s="25" t="s">
        <v>58</v>
      </c>
      <c r="B35" s="26">
        <v>1394</v>
      </c>
      <c r="C35" s="26">
        <v>1580</v>
      </c>
      <c r="D35" s="27">
        <v>1699</v>
      </c>
      <c r="E35" s="27">
        <v>2292</v>
      </c>
      <c r="F35" s="28">
        <v>4047</v>
      </c>
      <c r="G35" s="29">
        <v>72.738537794299873</v>
      </c>
      <c r="H35" s="29">
        <f t="shared" si="0"/>
        <v>13.342898134863701</v>
      </c>
      <c r="I35" s="30">
        <f t="shared" si="0"/>
        <v>7.5316455696202533</v>
      </c>
      <c r="J35" s="30">
        <f t="shared" si="0"/>
        <v>34.90288404944085</v>
      </c>
      <c r="K35" s="31">
        <f t="shared" si="0"/>
        <v>76.570680628272243</v>
      </c>
    </row>
    <row r="36" spans="1:14" ht="12.75" customHeight="1">
      <c r="A36" s="25" t="s">
        <v>46</v>
      </c>
      <c r="B36" s="26">
        <v>3732</v>
      </c>
      <c r="C36" s="26">
        <v>2975</v>
      </c>
      <c r="D36" s="27">
        <v>3157</v>
      </c>
      <c r="E36" s="27">
        <v>3684</v>
      </c>
      <c r="F36" s="28">
        <v>3967</v>
      </c>
      <c r="G36" s="29">
        <v>13.331308836926814</v>
      </c>
      <c r="H36" s="29">
        <f t="shared" si="0"/>
        <v>-20.284030010718112</v>
      </c>
      <c r="I36" s="30">
        <f t="shared" si="0"/>
        <v>6.1176470588235299</v>
      </c>
      <c r="J36" s="30">
        <f t="shared" si="0"/>
        <v>16.69306303452645</v>
      </c>
      <c r="K36" s="31">
        <f t="shared" si="0"/>
        <v>7.681867535287731</v>
      </c>
    </row>
    <row r="37" spans="1:14" ht="12.75" customHeight="1">
      <c r="A37" s="25" t="s">
        <v>20</v>
      </c>
      <c r="B37" s="26">
        <v>3325</v>
      </c>
      <c r="C37" s="26">
        <v>3357</v>
      </c>
      <c r="D37" s="27">
        <v>3795</v>
      </c>
      <c r="E37" s="27">
        <v>4158</v>
      </c>
      <c r="F37" s="28">
        <v>3918</v>
      </c>
      <c r="G37" s="29">
        <v>25.047010154193305</v>
      </c>
      <c r="H37" s="29">
        <f t="shared" si="0"/>
        <v>0.96240601503759393</v>
      </c>
      <c r="I37" s="30">
        <f t="shared" si="0"/>
        <v>13.047363717605004</v>
      </c>
      <c r="J37" s="30">
        <f t="shared" si="0"/>
        <v>9.5652173913043477</v>
      </c>
      <c r="K37" s="31">
        <f t="shared" si="0"/>
        <v>-5.7720057720057723</v>
      </c>
    </row>
    <row r="38" spans="1:14" ht="12.75" customHeight="1">
      <c r="A38" s="25" t="s">
        <v>21</v>
      </c>
      <c r="B38" s="26">
        <v>4150</v>
      </c>
      <c r="C38" s="26">
        <v>4822</v>
      </c>
      <c r="D38" s="27">
        <v>4555</v>
      </c>
      <c r="E38" s="27">
        <v>4434</v>
      </c>
      <c r="F38" s="28">
        <v>3660</v>
      </c>
      <c r="G38" s="29">
        <v>-0.90735434574976126</v>
      </c>
      <c r="H38" s="29">
        <f t="shared" si="0"/>
        <v>16.192771084337348</v>
      </c>
      <c r="I38" s="30">
        <f t="shared" si="0"/>
        <v>-5.5371215263376188</v>
      </c>
      <c r="J38" s="30">
        <f t="shared" si="0"/>
        <v>-2.6564215148188803</v>
      </c>
      <c r="K38" s="31">
        <f t="shared" si="0"/>
        <v>-17.456021650879567</v>
      </c>
    </row>
    <row r="39" spans="1:14" ht="12.75" customHeight="1">
      <c r="A39" s="25" t="s">
        <v>9</v>
      </c>
      <c r="B39" s="26">
        <v>1834</v>
      </c>
      <c r="C39" s="26">
        <v>1722</v>
      </c>
      <c r="D39" s="27">
        <v>2422</v>
      </c>
      <c r="E39" s="27">
        <v>3173</v>
      </c>
      <c r="F39" s="28">
        <v>3493</v>
      </c>
      <c r="G39" s="29">
        <v>0.82462891698735563</v>
      </c>
      <c r="H39" s="29">
        <f t="shared" ref="H39:K60" si="1">(C39-B39)/B39*100</f>
        <v>-6.1068702290076331</v>
      </c>
      <c r="I39" s="30">
        <f t="shared" si="1"/>
        <v>40.650406504065039</v>
      </c>
      <c r="J39" s="30">
        <f t="shared" si="1"/>
        <v>31.007431874483899</v>
      </c>
      <c r="K39" s="31">
        <f t="shared" si="1"/>
        <v>10.085092971950834</v>
      </c>
    </row>
    <row r="40" spans="1:14" ht="12.75" customHeight="1">
      <c r="A40" s="25" t="s">
        <v>47</v>
      </c>
      <c r="B40" s="26">
        <v>1962</v>
      </c>
      <c r="C40" s="26">
        <v>2059</v>
      </c>
      <c r="D40" s="27">
        <v>2471</v>
      </c>
      <c r="E40" s="27">
        <v>2781</v>
      </c>
      <c r="F40" s="28">
        <v>3128</v>
      </c>
      <c r="G40" s="29">
        <v>26.336123631680618</v>
      </c>
      <c r="H40" s="29">
        <f t="shared" si="1"/>
        <v>4.9439347604485224</v>
      </c>
      <c r="I40" s="30">
        <f t="shared" si="1"/>
        <v>20.009713453132587</v>
      </c>
      <c r="J40" s="30">
        <f t="shared" si="1"/>
        <v>12.545528126264671</v>
      </c>
      <c r="K40" s="31">
        <f t="shared" si="1"/>
        <v>12.47752606975908</v>
      </c>
    </row>
    <row r="41" spans="1:14" ht="12.75" customHeight="1">
      <c r="A41" s="25" t="s">
        <v>48</v>
      </c>
      <c r="B41" s="26">
        <v>1327</v>
      </c>
      <c r="C41" s="26">
        <v>1304</v>
      </c>
      <c r="D41" s="27">
        <v>1761</v>
      </c>
      <c r="E41" s="27">
        <v>2342</v>
      </c>
      <c r="F41" s="28">
        <v>3061</v>
      </c>
      <c r="G41" s="29">
        <v>87.429378531073439</v>
      </c>
      <c r="H41" s="29">
        <f t="shared" si="1"/>
        <v>-1.7332328560663148</v>
      </c>
      <c r="I41" s="30">
        <f t="shared" si="1"/>
        <v>35.04601226993865</v>
      </c>
      <c r="J41" s="30">
        <f t="shared" si="1"/>
        <v>32.992617830777967</v>
      </c>
      <c r="K41" s="31">
        <f t="shared" si="1"/>
        <v>30.700256191289498</v>
      </c>
    </row>
    <row r="42" spans="1:14" ht="12.75" customHeight="1">
      <c r="A42" s="25" t="s">
        <v>55</v>
      </c>
      <c r="B42" s="26">
        <v>1340</v>
      </c>
      <c r="C42" s="26">
        <v>1181</v>
      </c>
      <c r="D42" s="27">
        <v>1409</v>
      </c>
      <c r="E42" s="27">
        <v>1797</v>
      </c>
      <c r="F42" s="28">
        <v>2987</v>
      </c>
      <c r="G42" s="29">
        <v>33.466135458167329</v>
      </c>
      <c r="H42" s="29">
        <f t="shared" si="1"/>
        <v>-11.865671641791046</v>
      </c>
      <c r="I42" s="30">
        <f t="shared" si="1"/>
        <v>19.30567315834039</v>
      </c>
      <c r="J42" s="30">
        <f t="shared" si="1"/>
        <v>27.537260468417319</v>
      </c>
      <c r="K42" s="31">
        <f t="shared" si="1"/>
        <v>66.221480244852543</v>
      </c>
    </row>
    <row r="43" spans="1:14" ht="12.75" customHeight="1">
      <c r="A43" s="25" t="s">
        <v>19</v>
      </c>
      <c r="B43" s="26">
        <v>2596</v>
      </c>
      <c r="C43" s="26">
        <v>2120</v>
      </c>
      <c r="D43" s="27">
        <v>2153</v>
      </c>
      <c r="E43" s="27">
        <v>2775</v>
      </c>
      <c r="F43" s="28">
        <v>2902</v>
      </c>
      <c r="G43" s="29">
        <v>43.584070796460175</v>
      </c>
      <c r="H43" s="29">
        <f t="shared" si="1"/>
        <v>-18.335901386748844</v>
      </c>
      <c r="I43" s="30">
        <f t="shared" si="1"/>
        <v>1.5566037735849056</v>
      </c>
      <c r="J43" s="30">
        <f t="shared" si="1"/>
        <v>28.889921040408733</v>
      </c>
      <c r="K43" s="31">
        <f t="shared" si="1"/>
        <v>4.576576576576576</v>
      </c>
    </row>
    <row r="44" spans="1:14" ht="12.75" customHeight="1">
      <c r="A44" s="25" t="s">
        <v>23</v>
      </c>
      <c r="B44" s="26">
        <v>1916</v>
      </c>
      <c r="C44" s="26">
        <v>1970</v>
      </c>
      <c r="D44" s="27">
        <v>2348</v>
      </c>
      <c r="E44" s="27">
        <v>2822</v>
      </c>
      <c r="F44" s="28">
        <v>2636</v>
      </c>
      <c r="G44" s="29">
        <v>30.428863172226006</v>
      </c>
      <c r="H44" s="29">
        <f t="shared" si="1"/>
        <v>2.8183716075156577</v>
      </c>
      <c r="I44" s="30">
        <f t="shared" si="1"/>
        <v>19.18781725888325</v>
      </c>
      <c r="J44" s="30">
        <f t="shared" si="1"/>
        <v>20.187393526405451</v>
      </c>
      <c r="K44" s="31">
        <f t="shared" si="1"/>
        <v>-6.5910701630049608</v>
      </c>
    </row>
    <row r="45" spans="1:14" ht="12.75" customHeight="1">
      <c r="A45" s="25" t="s">
        <v>51</v>
      </c>
      <c r="B45" s="26">
        <v>1334</v>
      </c>
      <c r="C45" s="26">
        <v>1374</v>
      </c>
      <c r="D45" s="27">
        <v>1543</v>
      </c>
      <c r="E45" s="27">
        <v>2132</v>
      </c>
      <c r="F45" s="28">
        <v>2594</v>
      </c>
      <c r="G45" s="29">
        <v>3.3307513555383426</v>
      </c>
      <c r="H45" s="29">
        <f t="shared" si="1"/>
        <v>2.9985007496251872</v>
      </c>
      <c r="I45" s="30">
        <f t="shared" si="1"/>
        <v>12.299854439592432</v>
      </c>
      <c r="J45" s="30">
        <f t="shared" si="1"/>
        <v>38.172391445236556</v>
      </c>
      <c r="K45" s="31">
        <f t="shared" si="1"/>
        <v>21.669793621013135</v>
      </c>
      <c r="N45" s="14" t="s">
        <v>83</v>
      </c>
    </row>
    <row r="46" spans="1:14" ht="12" customHeight="1">
      <c r="A46" s="25" t="s">
        <v>16</v>
      </c>
      <c r="B46" s="26">
        <v>1588</v>
      </c>
      <c r="C46" s="26">
        <v>1380</v>
      </c>
      <c r="D46" s="27">
        <v>2113</v>
      </c>
      <c r="E46" s="27">
        <v>2433</v>
      </c>
      <c r="F46" s="28">
        <v>2569</v>
      </c>
      <c r="G46" s="29">
        <v>21.406727828746178</v>
      </c>
      <c r="H46" s="29">
        <f t="shared" si="1"/>
        <v>-13.09823677581864</v>
      </c>
      <c r="I46" s="30">
        <f t="shared" si="1"/>
        <v>53.115942028985508</v>
      </c>
      <c r="J46" s="30">
        <f t="shared" si="1"/>
        <v>15.144344533838144</v>
      </c>
      <c r="K46" s="31">
        <f t="shared" si="1"/>
        <v>5.589806822852446</v>
      </c>
    </row>
    <row r="47" spans="1:14" ht="12.75" customHeight="1">
      <c r="A47" s="25" t="s">
        <v>15</v>
      </c>
      <c r="B47" s="26">
        <v>2884</v>
      </c>
      <c r="C47" s="26">
        <v>2420</v>
      </c>
      <c r="D47" s="27">
        <v>2514</v>
      </c>
      <c r="E47" s="27">
        <v>2444</v>
      </c>
      <c r="F47" s="28">
        <v>2483</v>
      </c>
      <c r="G47" s="29">
        <v>-8.3862770012706473</v>
      </c>
      <c r="H47" s="29">
        <f t="shared" si="1"/>
        <v>-16.08876560332871</v>
      </c>
      <c r="I47" s="30">
        <f t="shared" si="1"/>
        <v>3.884297520661157</v>
      </c>
      <c r="J47" s="30">
        <f t="shared" si="1"/>
        <v>-2.7844073190135243</v>
      </c>
      <c r="K47" s="31">
        <f t="shared" si="1"/>
        <v>1.5957446808510638</v>
      </c>
    </row>
    <row r="48" spans="1:14" ht="12.75" customHeight="1">
      <c r="A48" s="25" t="s">
        <v>14</v>
      </c>
      <c r="B48" s="26">
        <v>2052</v>
      </c>
      <c r="C48" s="26">
        <v>1848</v>
      </c>
      <c r="D48" s="27">
        <v>2434</v>
      </c>
      <c r="E48" s="27">
        <v>2596</v>
      </c>
      <c r="F48" s="28">
        <v>2408</v>
      </c>
      <c r="G48" s="29">
        <v>-20.093457943925234</v>
      </c>
      <c r="H48" s="29">
        <f t="shared" si="1"/>
        <v>-9.9415204678362574</v>
      </c>
      <c r="I48" s="30">
        <f t="shared" si="1"/>
        <v>31.70995670995671</v>
      </c>
      <c r="J48" s="30">
        <f t="shared" si="1"/>
        <v>6.6557107641741986</v>
      </c>
      <c r="K48" s="31">
        <f t="shared" si="1"/>
        <v>-7.2419106317411401</v>
      </c>
    </row>
    <row r="49" spans="1:11" ht="12.75" customHeight="1">
      <c r="A49" s="25" t="s">
        <v>45</v>
      </c>
      <c r="B49" s="26">
        <v>1065</v>
      </c>
      <c r="C49" s="26">
        <v>1182</v>
      </c>
      <c r="D49" s="27">
        <v>1575</v>
      </c>
      <c r="E49" s="27">
        <v>2485</v>
      </c>
      <c r="F49" s="28">
        <v>2345</v>
      </c>
      <c r="G49" s="29">
        <v>-45.412608918503331</v>
      </c>
      <c r="H49" s="29">
        <f t="shared" si="1"/>
        <v>10.985915492957748</v>
      </c>
      <c r="I49" s="30">
        <f t="shared" si="1"/>
        <v>33.248730964467008</v>
      </c>
      <c r="J49" s="30">
        <f t="shared" si="1"/>
        <v>57.777777777777771</v>
      </c>
      <c r="K49" s="31">
        <f t="shared" si="1"/>
        <v>-5.6338028169014089</v>
      </c>
    </row>
    <row r="50" spans="1:11" ht="12.75" customHeight="1">
      <c r="A50" s="25" t="s">
        <v>40</v>
      </c>
      <c r="B50" s="26">
        <v>871</v>
      </c>
      <c r="C50" s="26">
        <v>979</v>
      </c>
      <c r="D50" s="27">
        <v>1066</v>
      </c>
      <c r="E50" s="27">
        <v>1652</v>
      </c>
      <c r="F50" s="28">
        <v>2265</v>
      </c>
      <c r="G50" s="29">
        <v>-11.303462321792262</v>
      </c>
      <c r="H50" s="29">
        <f t="shared" si="1"/>
        <v>12.399540757749714</v>
      </c>
      <c r="I50" s="30">
        <f t="shared" si="1"/>
        <v>8.88661899897855</v>
      </c>
      <c r="J50" s="30">
        <f t="shared" si="1"/>
        <v>54.971857410881796</v>
      </c>
      <c r="K50" s="31">
        <f t="shared" si="1"/>
        <v>37.106537530266344</v>
      </c>
    </row>
    <row r="51" spans="1:11" ht="12.75" customHeight="1">
      <c r="A51" s="25" t="s">
        <v>13</v>
      </c>
      <c r="B51" s="26">
        <v>4926</v>
      </c>
      <c r="C51" s="26">
        <v>5406</v>
      </c>
      <c r="D51" s="27">
        <v>4630</v>
      </c>
      <c r="E51" s="27">
        <v>3009</v>
      </c>
      <c r="F51" s="28">
        <v>2058</v>
      </c>
      <c r="G51" s="29">
        <v>1.5670103092783505</v>
      </c>
      <c r="H51" s="29">
        <f t="shared" si="1"/>
        <v>9.7442143727161987</v>
      </c>
      <c r="I51" s="30">
        <f t="shared" si="1"/>
        <v>-14.354421013688496</v>
      </c>
      <c r="J51" s="30">
        <f t="shared" si="1"/>
        <v>-35.010799136069117</v>
      </c>
      <c r="K51" s="31">
        <f t="shared" si="1"/>
        <v>-31.605184446660019</v>
      </c>
    </row>
    <row r="52" spans="1:11" ht="12.75" customHeight="1">
      <c r="A52" s="25" t="s">
        <v>39</v>
      </c>
      <c r="B52" s="26">
        <v>1191</v>
      </c>
      <c r="C52" s="26">
        <v>1046</v>
      </c>
      <c r="D52" s="27">
        <v>1256</v>
      </c>
      <c r="E52" s="27">
        <v>1842</v>
      </c>
      <c r="F52" s="28">
        <v>1857</v>
      </c>
      <c r="G52" s="29">
        <v>17.5715695952616</v>
      </c>
      <c r="H52" s="29">
        <f t="shared" si="1"/>
        <v>-12.174643157010916</v>
      </c>
      <c r="I52" s="30">
        <f t="shared" si="1"/>
        <v>20.076481835564053</v>
      </c>
      <c r="J52" s="30">
        <f t="shared" si="1"/>
        <v>46.656050955414017</v>
      </c>
      <c r="K52" s="31">
        <f t="shared" si="1"/>
        <v>0.81433224755700329</v>
      </c>
    </row>
    <row r="53" spans="1:11" ht="12.75" customHeight="1">
      <c r="A53" s="25" t="s">
        <v>35</v>
      </c>
      <c r="B53" s="26">
        <v>581</v>
      </c>
      <c r="C53" s="26">
        <v>677</v>
      </c>
      <c r="D53" s="27">
        <v>818</v>
      </c>
      <c r="E53" s="27">
        <v>1283</v>
      </c>
      <c r="F53" s="28">
        <v>1772</v>
      </c>
      <c r="G53" s="29">
        <v>-38.388123011664902</v>
      </c>
      <c r="H53" s="29">
        <f t="shared" si="1"/>
        <v>16.523235800344235</v>
      </c>
      <c r="I53" s="30">
        <f t="shared" si="1"/>
        <v>20.827178729689809</v>
      </c>
      <c r="J53" s="30">
        <f t="shared" si="1"/>
        <v>56.845965770171148</v>
      </c>
      <c r="K53" s="31">
        <f t="shared" si="1"/>
        <v>38.113795791114576</v>
      </c>
    </row>
    <row r="54" spans="1:11" ht="12.75" customHeight="1">
      <c r="A54" s="25" t="s">
        <v>56</v>
      </c>
      <c r="B54" s="26">
        <v>1139</v>
      </c>
      <c r="C54" s="26">
        <v>984</v>
      </c>
      <c r="D54" s="27">
        <v>1145</v>
      </c>
      <c r="E54" s="27">
        <v>1346</v>
      </c>
      <c r="F54" s="28">
        <v>1666</v>
      </c>
      <c r="G54" s="29">
        <v>72.575757575757578</v>
      </c>
      <c r="H54" s="29">
        <f t="shared" si="1"/>
        <v>-13.608428446005268</v>
      </c>
      <c r="I54" s="30">
        <f t="shared" si="1"/>
        <v>16.361788617886177</v>
      </c>
      <c r="J54" s="30">
        <f t="shared" si="1"/>
        <v>17.554585152838428</v>
      </c>
      <c r="K54" s="31">
        <f t="shared" si="1"/>
        <v>23.774145616641899</v>
      </c>
    </row>
    <row r="55" spans="1:11" ht="12.75" customHeight="1">
      <c r="A55" s="25" t="s">
        <v>53</v>
      </c>
      <c r="B55" s="26">
        <v>1184</v>
      </c>
      <c r="C55" s="26">
        <v>991</v>
      </c>
      <c r="D55" s="27">
        <v>1103</v>
      </c>
      <c r="E55" s="27">
        <v>1390</v>
      </c>
      <c r="F55" s="28">
        <v>1579</v>
      </c>
      <c r="G55" s="29">
        <v>3.6777583187390541</v>
      </c>
      <c r="H55" s="29">
        <f t="shared" si="1"/>
        <v>-16.300675675675674</v>
      </c>
      <c r="I55" s="30">
        <f t="shared" si="1"/>
        <v>11.301715438950556</v>
      </c>
      <c r="J55" s="30">
        <f t="shared" si="1"/>
        <v>26.019945602901178</v>
      </c>
      <c r="K55" s="31">
        <f t="shared" si="1"/>
        <v>13.597122302158274</v>
      </c>
    </row>
    <row r="56" spans="1:11" ht="12.75" customHeight="1">
      <c r="A56" s="25" t="s">
        <v>7</v>
      </c>
      <c r="B56" s="26">
        <v>3368</v>
      </c>
      <c r="C56" s="26">
        <v>3437</v>
      </c>
      <c r="D56" s="27">
        <v>4386</v>
      </c>
      <c r="E56" s="27">
        <v>5738</v>
      </c>
      <c r="F56" s="28">
        <v>1509</v>
      </c>
      <c r="G56" s="29">
        <v>-5.1801801801801801</v>
      </c>
      <c r="H56" s="29">
        <f t="shared" si="1"/>
        <v>2.0486935866983371</v>
      </c>
      <c r="I56" s="30">
        <f t="shared" si="1"/>
        <v>27.611288914751235</v>
      </c>
      <c r="J56" s="30">
        <f t="shared" si="1"/>
        <v>30.825353397172822</v>
      </c>
      <c r="K56" s="31">
        <f t="shared" si="1"/>
        <v>-73.701638201463922</v>
      </c>
    </row>
    <row r="57" spans="1:11" ht="12.75" customHeight="1">
      <c r="A57" s="25" t="s">
        <v>10</v>
      </c>
      <c r="B57" s="26">
        <v>865</v>
      </c>
      <c r="C57" s="26">
        <v>1088</v>
      </c>
      <c r="D57" s="27">
        <v>1281</v>
      </c>
      <c r="E57" s="27">
        <v>1535</v>
      </c>
      <c r="F57" s="28">
        <v>1402</v>
      </c>
      <c r="G57" s="29">
        <v>9.6324461343472745</v>
      </c>
      <c r="H57" s="29">
        <f t="shared" si="1"/>
        <v>25.780346820809246</v>
      </c>
      <c r="I57" s="30">
        <f t="shared" si="1"/>
        <v>17.738970588235293</v>
      </c>
      <c r="J57" s="30">
        <f t="shared" si="1"/>
        <v>19.828259172521467</v>
      </c>
      <c r="K57" s="31">
        <f t="shared" si="1"/>
        <v>-8.664495114006515</v>
      </c>
    </row>
    <row r="58" spans="1:11" ht="12.75" customHeight="1">
      <c r="A58" s="25" t="s">
        <v>24</v>
      </c>
      <c r="B58" s="26">
        <v>1372</v>
      </c>
      <c r="C58" s="26">
        <v>1324</v>
      </c>
      <c r="D58" s="27">
        <v>1647</v>
      </c>
      <c r="E58" s="27">
        <v>1609</v>
      </c>
      <c r="F58" s="28">
        <v>1295</v>
      </c>
      <c r="G58" s="29">
        <v>13.953488372093023</v>
      </c>
      <c r="H58" s="29">
        <f t="shared" si="1"/>
        <v>-3.4985422740524781</v>
      </c>
      <c r="I58" s="30">
        <f t="shared" si="1"/>
        <v>24.395770392749245</v>
      </c>
      <c r="J58" s="30">
        <f t="shared" si="1"/>
        <v>-2.3072252580449302</v>
      </c>
      <c r="K58" s="31">
        <f t="shared" si="1"/>
        <v>-19.515226848974518</v>
      </c>
    </row>
    <row r="59" spans="1:11" ht="12.75" customHeight="1">
      <c r="A59" s="25" t="s">
        <v>32</v>
      </c>
      <c r="B59" s="26">
        <v>455</v>
      </c>
      <c r="C59" s="26">
        <v>388</v>
      </c>
      <c r="D59" s="27">
        <v>525</v>
      </c>
      <c r="E59" s="27">
        <v>1496</v>
      </c>
      <c r="F59" s="28">
        <v>1221</v>
      </c>
      <c r="G59" s="29">
        <v>-64.563862928348911</v>
      </c>
      <c r="H59" s="29">
        <f t="shared" si="1"/>
        <v>-14.725274725274726</v>
      </c>
      <c r="I59" s="30">
        <f t="shared" si="1"/>
        <v>35.309278350515463</v>
      </c>
      <c r="J59" s="30">
        <f t="shared" si="1"/>
        <v>184.95238095238096</v>
      </c>
      <c r="K59" s="31">
        <f t="shared" si="1"/>
        <v>-18.382352941176471</v>
      </c>
    </row>
    <row r="60" spans="1:11" ht="12.75" customHeight="1">
      <c r="A60" s="32" t="s">
        <v>54</v>
      </c>
      <c r="B60" s="33">
        <v>22</v>
      </c>
      <c r="C60" s="33">
        <v>21</v>
      </c>
      <c r="D60" s="34">
        <v>31</v>
      </c>
      <c r="E60" s="34">
        <v>27</v>
      </c>
      <c r="F60" s="35">
        <v>39</v>
      </c>
      <c r="G60" s="36">
        <v>-80.530973451327441</v>
      </c>
      <c r="H60" s="36">
        <f t="shared" si="1"/>
        <v>-4.5454545454545459</v>
      </c>
      <c r="I60" s="37">
        <f t="shared" si="1"/>
        <v>47.619047619047613</v>
      </c>
      <c r="J60" s="37">
        <f t="shared" si="1"/>
        <v>-12.903225806451612</v>
      </c>
      <c r="K60" s="38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39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39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Z25"/>
  <sheetViews>
    <sheetView tabSelected="1" zoomScaleNormal="100" workbookViewId="0">
      <selection activeCell="T1" sqref="T1:X1048576"/>
    </sheetView>
  </sheetViews>
  <sheetFormatPr defaultColWidth="9.140625" defaultRowHeight="12.75"/>
  <cols>
    <col min="1" max="1" width="19.7109375" style="11" customWidth="1"/>
    <col min="2" max="16" width="9.28515625" style="11" customWidth="1"/>
    <col min="17" max="17" width="18.28515625" style="11" customWidth="1"/>
    <col min="18" max="18" width="9.140625" style="11"/>
    <col min="19" max="69" width="17" style="11" customWidth="1"/>
    <col min="70" max="75" width="9.140625" style="11"/>
    <col min="76" max="76" width="19.42578125" style="40" customWidth="1"/>
    <col min="77" max="16384" width="9.140625" style="11"/>
  </cols>
  <sheetData>
    <row r="1" spans="1:77" ht="19.5"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</row>
    <row r="2" spans="1:77" ht="18">
      <c r="A2" s="78" t="s">
        <v>88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43"/>
      <c r="BY2" s="41"/>
    </row>
    <row r="3" spans="1:77" ht="15">
      <c r="A3" s="79" t="s">
        <v>87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</row>
    <row r="4" spans="1:77" ht="5.25" customHeight="1"/>
    <row r="5" spans="1:77" ht="16.5" customHeight="1">
      <c r="A5" s="44" t="s">
        <v>0</v>
      </c>
      <c r="B5" s="80" t="s">
        <v>2</v>
      </c>
      <c r="C5" s="80"/>
      <c r="D5" s="80"/>
      <c r="E5" s="80"/>
      <c r="F5" s="81"/>
      <c r="G5" s="82" t="s">
        <v>1</v>
      </c>
      <c r="H5" s="80"/>
      <c r="I5" s="80"/>
      <c r="J5" s="80"/>
      <c r="K5" s="81"/>
      <c r="L5" s="82" t="s">
        <v>65</v>
      </c>
      <c r="M5" s="80"/>
      <c r="N5" s="80"/>
      <c r="O5" s="80"/>
      <c r="P5" s="80"/>
      <c r="Q5" s="45" t="s">
        <v>73</v>
      </c>
    </row>
    <row r="6" spans="1:77" ht="18.75">
      <c r="A6" s="46" t="s">
        <v>84</v>
      </c>
      <c r="B6" s="46">
        <v>2011</v>
      </c>
      <c r="C6" s="46">
        <v>2012</v>
      </c>
      <c r="D6" s="47">
        <v>2013</v>
      </c>
      <c r="E6" s="47">
        <v>2014</v>
      </c>
      <c r="F6" s="48">
        <v>2015</v>
      </c>
      <c r="G6" s="49">
        <v>2011</v>
      </c>
      <c r="H6" s="46">
        <v>2012</v>
      </c>
      <c r="I6" s="47">
        <v>2013</v>
      </c>
      <c r="J6" s="47">
        <v>2014</v>
      </c>
      <c r="K6" s="48">
        <v>2015</v>
      </c>
      <c r="L6" s="49">
        <v>2011</v>
      </c>
      <c r="M6" s="46">
        <v>2012</v>
      </c>
      <c r="N6" s="46">
        <v>2013</v>
      </c>
      <c r="O6" s="47">
        <v>2014</v>
      </c>
      <c r="P6" s="47">
        <v>2015</v>
      </c>
      <c r="Q6" s="50" t="s">
        <v>78</v>
      </c>
    </row>
    <row r="7" spans="1:77" ht="22.15" customHeight="1">
      <c r="A7" s="51" t="s">
        <v>66</v>
      </c>
      <c r="B7" s="52">
        <v>74</v>
      </c>
      <c r="C7" s="52">
        <v>73</v>
      </c>
      <c r="D7" s="52">
        <v>76</v>
      </c>
      <c r="E7" s="52">
        <v>75</v>
      </c>
      <c r="F7" s="61">
        <v>77</v>
      </c>
      <c r="G7" s="53">
        <v>47</v>
      </c>
      <c r="H7" s="52">
        <v>50</v>
      </c>
      <c r="I7" s="52">
        <v>49</v>
      </c>
      <c r="J7" s="52">
        <v>48</v>
      </c>
      <c r="K7" s="61">
        <v>49</v>
      </c>
      <c r="L7" s="53">
        <v>43</v>
      </c>
      <c r="M7" s="52">
        <v>45</v>
      </c>
      <c r="N7" s="52">
        <v>45</v>
      </c>
      <c r="O7" s="52">
        <v>45</v>
      </c>
      <c r="P7" s="52">
        <v>46</v>
      </c>
      <c r="Q7" s="54" t="s">
        <v>70</v>
      </c>
    </row>
    <row r="8" spans="1:77" ht="22.15" customHeight="1">
      <c r="A8" s="51" t="s">
        <v>67</v>
      </c>
      <c r="B8" s="52">
        <v>15</v>
      </c>
      <c r="C8" s="52">
        <v>19</v>
      </c>
      <c r="D8" s="52">
        <v>18</v>
      </c>
      <c r="E8" s="52">
        <v>19</v>
      </c>
      <c r="F8" s="61">
        <v>20</v>
      </c>
      <c r="G8" s="53">
        <v>17</v>
      </c>
      <c r="H8" s="52">
        <v>20</v>
      </c>
      <c r="I8" s="52">
        <v>19</v>
      </c>
      <c r="J8" s="52">
        <v>20</v>
      </c>
      <c r="K8" s="61">
        <v>21</v>
      </c>
      <c r="L8" s="53">
        <v>17</v>
      </c>
      <c r="M8" s="52">
        <v>18</v>
      </c>
      <c r="N8" s="52">
        <v>18</v>
      </c>
      <c r="O8" s="52">
        <v>19</v>
      </c>
      <c r="P8" s="52">
        <v>19</v>
      </c>
      <c r="Q8" s="54" t="s">
        <v>72</v>
      </c>
    </row>
    <row r="9" spans="1:77" ht="22.15" customHeight="1">
      <c r="A9" s="51" t="s">
        <v>68</v>
      </c>
      <c r="B9" s="52">
        <v>12</v>
      </c>
      <c r="C9" s="52">
        <v>13</v>
      </c>
      <c r="D9" s="52">
        <v>15</v>
      </c>
      <c r="E9" s="52">
        <v>17</v>
      </c>
      <c r="F9" s="61">
        <v>18</v>
      </c>
      <c r="G9" s="53">
        <v>37</v>
      </c>
      <c r="H9" s="52">
        <v>35</v>
      </c>
      <c r="I9" s="52">
        <v>41</v>
      </c>
      <c r="J9" s="52">
        <v>43</v>
      </c>
      <c r="K9" s="61">
        <v>45</v>
      </c>
      <c r="L9" s="53">
        <v>41</v>
      </c>
      <c r="M9" s="52">
        <v>42</v>
      </c>
      <c r="N9" s="52">
        <v>46</v>
      </c>
      <c r="O9" s="52">
        <v>47</v>
      </c>
      <c r="P9" s="52">
        <v>50</v>
      </c>
      <c r="Q9" s="54" t="s">
        <v>71</v>
      </c>
    </row>
    <row r="10" spans="1:77" ht="22.15" customHeight="1">
      <c r="A10" s="55" t="s">
        <v>69</v>
      </c>
      <c r="B10" s="46">
        <v>101</v>
      </c>
      <c r="C10" s="46">
        <f>SUM(C7:C9)</f>
        <v>105</v>
      </c>
      <c r="D10" s="46">
        <f>SUM(D7:D9)</f>
        <v>109</v>
      </c>
      <c r="E10" s="46">
        <f>SUM(E7:E9)</f>
        <v>111</v>
      </c>
      <c r="F10" s="56">
        <f>SUM(F7:F9)</f>
        <v>115</v>
      </c>
      <c r="G10" s="49">
        <v>101</v>
      </c>
      <c r="H10" s="46">
        <f>SUM(H7:H9)</f>
        <v>105</v>
      </c>
      <c r="I10" s="46">
        <f>SUM(I7:I9)</f>
        <v>109</v>
      </c>
      <c r="J10" s="46">
        <f>SUM(J7:J9)</f>
        <v>111</v>
      </c>
      <c r="K10" s="56">
        <f>SUM(K7:K9)</f>
        <v>115</v>
      </c>
      <c r="L10" s="49">
        <v>101</v>
      </c>
      <c r="M10" s="46">
        <f>SUM(M7:M9)</f>
        <v>105</v>
      </c>
      <c r="N10" s="46">
        <f>SUM(N7:N9)</f>
        <v>109</v>
      </c>
      <c r="O10" s="46">
        <f>SUM(O7:O9)</f>
        <v>111</v>
      </c>
      <c r="P10" s="46">
        <f>SUM(P7:P9)</f>
        <v>115</v>
      </c>
      <c r="Q10" s="57" t="s">
        <v>60</v>
      </c>
    </row>
    <row r="11" spans="1:77" ht="15">
      <c r="A11" s="10" t="s">
        <v>85</v>
      </c>
      <c r="Q11" s="8" t="s">
        <v>86</v>
      </c>
    </row>
    <row r="22" spans="75:78">
      <c r="BX22" s="11" t="s">
        <v>2</v>
      </c>
      <c r="BY22" s="11" t="s">
        <v>1</v>
      </c>
      <c r="BZ22" s="11" t="s">
        <v>65</v>
      </c>
    </row>
    <row r="23" spans="75:78">
      <c r="BW23" s="58" t="s">
        <v>66</v>
      </c>
      <c r="BX23" s="59">
        <f>F7</f>
        <v>77</v>
      </c>
      <c r="BY23" s="59">
        <f>K7</f>
        <v>49</v>
      </c>
      <c r="BZ23" s="59">
        <f>P7</f>
        <v>46</v>
      </c>
    </row>
    <row r="24" spans="75:78">
      <c r="BW24" s="60" t="s">
        <v>67</v>
      </c>
      <c r="BX24" s="59">
        <f>F8</f>
        <v>20</v>
      </c>
      <c r="BY24" s="59">
        <f t="shared" ref="BY24:BY25" si="0">K8</f>
        <v>21</v>
      </c>
      <c r="BZ24" s="59">
        <f t="shared" ref="BZ24:BZ25" si="1">P8</f>
        <v>19</v>
      </c>
    </row>
    <row r="25" spans="75:78">
      <c r="BW25" s="60" t="s">
        <v>68</v>
      </c>
      <c r="BX25" s="59">
        <f>F9</f>
        <v>18</v>
      </c>
      <c r="BY25" s="59">
        <f t="shared" si="0"/>
        <v>45</v>
      </c>
      <c r="BZ25" s="59">
        <f t="shared" si="1"/>
        <v>50</v>
      </c>
    </row>
  </sheetData>
  <mergeCells count="5">
    <mergeCell ref="A2:Q2"/>
    <mergeCell ref="A3:Q3"/>
    <mergeCell ref="B5:F5"/>
    <mergeCell ref="G5:K5"/>
    <mergeCell ref="L5:P5"/>
  </mergeCells>
  <pageMargins left="0.26" right="0.18" top="0.47" bottom="0.75" header="0.3" footer="0.3"/>
  <pageSetup paperSize="9" scale="82" orientation="landscape" r:id="rId1"/>
  <colBreaks count="1" manualBreakCount="1">
    <brk id="7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10.4</vt:lpstr>
      <vt:lpstr>'10.4'!Print_Area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2016-07-18T08:02:26Z</cp:lastPrinted>
  <dcterms:created xsi:type="dcterms:W3CDTF">2007-02-07T06:41:32Z</dcterms:created>
  <dcterms:modified xsi:type="dcterms:W3CDTF">2016-07-18T08:02:37Z</dcterms:modified>
</cp:coreProperties>
</file>