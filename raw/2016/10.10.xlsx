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490" windowHeight="7905" tabRatio="810" firstSheet="1" activeTab="1"/>
  </bookViews>
  <sheets>
    <sheet name="10.1 figures workings" sheetId="44" state="hidden" r:id="rId1"/>
    <sheet name="10.10 " sheetId="43" r:id="rId2"/>
  </sheets>
  <externalReferences>
    <externalReference r:id="rId3"/>
    <externalReference r:id="rId4"/>
    <externalReference r:id="rId5"/>
    <externalReference r:id="rId6"/>
  </externalReferences>
  <definedNames>
    <definedName name="\a">[1]TCARR2000!#REF!</definedName>
    <definedName name="_xlnm._FilterDatabase" localSheetId="1" hidden="1">'10.10 '!$A$5:$S$143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'10.10 '!$A$1:$O$143</definedName>
    <definedName name="Print_Area_MI">#REF!</definedName>
    <definedName name="_xlnm.Print_Titles" localSheetId="1">'10.10 '!$2:$5</definedName>
    <definedName name="ttttt">#REF!</definedName>
  </definedNames>
  <calcPr calcId="144525"/>
</workbook>
</file>

<file path=xl/calcChain.xml><?xml version="1.0" encoding="utf-8"?>
<calcChain xmlns="http://schemas.openxmlformats.org/spreadsheetml/2006/main">
  <c r="O6" i="43" l="1"/>
  <c r="N138" i="43"/>
  <c r="M138" i="43"/>
  <c r="L138" i="43"/>
  <c r="K138" i="43"/>
  <c r="J138" i="43"/>
  <c r="I138" i="43"/>
  <c r="H138" i="43"/>
  <c r="G138" i="43"/>
  <c r="F138" i="43"/>
  <c r="N134" i="43"/>
  <c r="M134" i="43"/>
  <c r="L134" i="43"/>
  <c r="K134" i="43"/>
  <c r="J134" i="43"/>
  <c r="N129" i="43"/>
  <c r="M129" i="43"/>
  <c r="L129" i="43"/>
  <c r="K129" i="43"/>
  <c r="J129" i="43"/>
  <c r="I129" i="43"/>
  <c r="H129" i="43"/>
  <c r="N127" i="43"/>
  <c r="M127" i="43"/>
  <c r="L127" i="43"/>
  <c r="K127" i="43"/>
  <c r="J127" i="43"/>
  <c r="N125" i="43"/>
  <c r="M125" i="43"/>
  <c r="L125" i="43"/>
  <c r="N120" i="43"/>
  <c r="M120" i="43"/>
  <c r="L120" i="43"/>
  <c r="K120" i="43"/>
  <c r="J120" i="43"/>
  <c r="I120" i="43"/>
  <c r="H120" i="43"/>
  <c r="G120" i="43"/>
  <c r="F120" i="43"/>
  <c r="N118" i="43"/>
  <c r="M118" i="43"/>
  <c r="L118" i="43"/>
  <c r="K118" i="43"/>
  <c r="J118" i="43"/>
  <c r="I118" i="43"/>
  <c r="H118" i="43"/>
  <c r="G118" i="43"/>
  <c r="F118" i="43"/>
  <c r="N115" i="43"/>
  <c r="M115" i="43"/>
  <c r="L115" i="43"/>
  <c r="K115" i="43"/>
  <c r="J115" i="43"/>
  <c r="I115" i="43"/>
  <c r="H115" i="43"/>
  <c r="G115" i="43"/>
  <c r="F115" i="43"/>
  <c r="N112" i="43"/>
  <c r="M112" i="43"/>
  <c r="L112" i="43"/>
  <c r="K112" i="43"/>
  <c r="J112" i="43"/>
  <c r="I112" i="43"/>
  <c r="H112" i="43"/>
  <c r="G112" i="43"/>
  <c r="F112" i="43"/>
  <c r="N94" i="43"/>
  <c r="M94" i="43"/>
  <c r="L94" i="43"/>
  <c r="K94" i="43"/>
  <c r="J94" i="43"/>
  <c r="I94" i="43"/>
  <c r="H94" i="43"/>
  <c r="G94" i="43"/>
  <c r="F94" i="43"/>
  <c r="N80" i="43"/>
  <c r="M80" i="43"/>
  <c r="L80" i="43"/>
  <c r="K80" i="43"/>
  <c r="J80" i="43"/>
  <c r="I80" i="43"/>
  <c r="H80" i="43"/>
  <c r="G80" i="43"/>
  <c r="F80" i="43"/>
  <c r="N36" i="43"/>
  <c r="M36" i="43"/>
  <c r="L36" i="43"/>
  <c r="K36" i="43"/>
  <c r="J36" i="43"/>
  <c r="I36" i="43"/>
  <c r="H36" i="43"/>
  <c r="G36" i="43"/>
  <c r="F36" i="43"/>
  <c r="N30" i="43"/>
  <c r="M30" i="43"/>
  <c r="L30" i="43"/>
  <c r="K30" i="43"/>
  <c r="J30" i="43"/>
  <c r="I30" i="43"/>
  <c r="H30" i="43"/>
  <c r="H6" i="43" s="1"/>
  <c r="G30" i="43"/>
  <c r="F30" i="43"/>
  <c r="N21" i="43"/>
  <c r="M21" i="43"/>
  <c r="L21" i="43"/>
  <c r="K21" i="43"/>
  <c r="J21" i="43"/>
  <c r="I21" i="43"/>
  <c r="I6" i="43" s="1"/>
  <c r="H21" i="43"/>
  <c r="G21" i="43"/>
  <c r="F21" i="43"/>
  <c r="N18" i="43"/>
  <c r="M18" i="43"/>
  <c r="L18" i="43"/>
  <c r="K18" i="43"/>
  <c r="J18" i="43"/>
  <c r="I18" i="43"/>
  <c r="H18" i="43"/>
  <c r="G18" i="43"/>
  <c r="F18" i="43"/>
  <c r="N13" i="43"/>
  <c r="M13" i="43"/>
  <c r="L13" i="43"/>
  <c r="K13" i="43"/>
  <c r="J13" i="43"/>
  <c r="I13" i="43"/>
  <c r="H13" i="43"/>
  <c r="G13" i="43"/>
  <c r="F13" i="43"/>
  <c r="N11" i="43"/>
  <c r="M11" i="43"/>
  <c r="L11" i="43"/>
  <c r="L6" i="43" s="1"/>
  <c r="K11" i="43"/>
  <c r="J11" i="43"/>
  <c r="I11" i="43"/>
  <c r="H11" i="43"/>
  <c r="G11" i="43"/>
  <c r="F11" i="43"/>
  <c r="N7" i="43"/>
  <c r="M7" i="43"/>
  <c r="L7" i="43"/>
  <c r="K7" i="43"/>
  <c r="J7" i="43"/>
  <c r="I7" i="43"/>
  <c r="H7" i="43"/>
  <c r="G7" i="43"/>
  <c r="F7" i="43"/>
  <c r="J6" i="43"/>
  <c r="K6" i="43" l="1"/>
  <c r="G6" i="43"/>
  <c r="F6" i="43"/>
  <c r="M6" i="43"/>
  <c r="N6" i="43"/>
  <c r="O30" i="43" s="1"/>
  <c r="O115" i="43" l="1"/>
  <c r="O80" i="43"/>
  <c r="O131" i="43"/>
  <c r="O119" i="43"/>
  <c r="O112" i="43"/>
  <c r="O85" i="43"/>
  <c r="O33" i="43"/>
  <c r="O18" i="43"/>
  <c r="O11" i="43"/>
  <c r="O28" i="43"/>
  <c r="O136" i="43"/>
  <c r="O122" i="43"/>
  <c r="O108" i="43"/>
  <c r="O104" i="43"/>
  <c r="O100" i="43"/>
  <c r="O96" i="43"/>
  <c r="O77" i="43"/>
  <c r="O73" i="43"/>
  <c r="O69" i="43"/>
  <c r="O65" i="43"/>
  <c r="O61" i="43"/>
  <c r="O57" i="43"/>
  <c r="O53" i="43"/>
  <c r="O49" i="43"/>
  <c r="O44" i="43"/>
  <c r="O40" i="43"/>
  <c r="O29" i="43"/>
  <c r="O25" i="43"/>
  <c r="O14" i="43"/>
  <c r="O139" i="43"/>
  <c r="O130" i="43"/>
  <c r="O92" i="43"/>
  <c r="O88" i="43"/>
  <c r="O84" i="43"/>
  <c r="O32" i="43"/>
  <c r="O17" i="43"/>
  <c r="O135" i="43"/>
  <c r="O121" i="43"/>
  <c r="O111" i="43"/>
  <c r="O107" i="43"/>
  <c r="O103" i="43"/>
  <c r="O99" i="43"/>
  <c r="O95" i="43"/>
  <c r="O76" i="43"/>
  <c r="O72" i="43"/>
  <c r="O68" i="43"/>
  <c r="O64" i="43"/>
  <c r="O60" i="43"/>
  <c r="O56" i="43"/>
  <c r="O52" i="43"/>
  <c r="O48" i="43"/>
  <c r="O43" i="43"/>
  <c r="O39" i="43"/>
  <c r="O13" i="43"/>
  <c r="O138" i="43"/>
  <c r="O133" i="43"/>
  <c r="O129" i="43"/>
  <c r="O114" i="43"/>
  <c r="O91" i="43"/>
  <c r="O87" i="43"/>
  <c r="O83" i="43"/>
  <c r="O35" i="43"/>
  <c r="O31" i="43"/>
  <c r="O20" i="43"/>
  <c r="O134" i="43"/>
  <c r="O128" i="43"/>
  <c r="O124" i="43"/>
  <c r="O120" i="43"/>
  <c r="O117" i="43"/>
  <c r="O110" i="43"/>
  <c r="O106" i="43"/>
  <c r="O102" i="43"/>
  <c r="O98" i="43"/>
  <c r="O94" i="43"/>
  <c r="O79" i="43"/>
  <c r="O75" i="43"/>
  <c r="O71" i="43"/>
  <c r="O67" i="43"/>
  <c r="O63" i="43"/>
  <c r="O59" i="43"/>
  <c r="O55" i="43"/>
  <c r="O51" i="43"/>
  <c r="O47" i="43"/>
  <c r="O42" i="43"/>
  <c r="O38" i="43"/>
  <c r="O27" i="43"/>
  <c r="O23" i="43"/>
  <c r="O16" i="43"/>
  <c r="O9" i="43"/>
  <c r="O10" i="43"/>
  <c r="O132" i="43"/>
  <c r="O126" i="43"/>
  <c r="O113" i="43"/>
  <c r="O90" i="43"/>
  <c r="O86" i="43"/>
  <c r="O82" i="43"/>
  <c r="O34" i="43"/>
  <c r="O19" i="43"/>
  <c r="O12" i="43"/>
  <c r="O24" i="43"/>
  <c r="O137" i="43"/>
  <c r="O123" i="43"/>
  <c r="O116" i="43"/>
  <c r="O109" i="43"/>
  <c r="O105" i="43"/>
  <c r="O101" i="43"/>
  <c r="O97" i="43"/>
  <c r="O78" i="43"/>
  <c r="O74" i="43"/>
  <c r="O70" i="43"/>
  <c r="O66" i="43"/>
  <c r="O62" i="43"/>
  <c r="O58" i="43"/>
  <c r="O54" i="43"/>
  <c r="O50" i="43"/>
  <c r="O45" i="43"/>
  <c r="O41" i="43"/>
  <c r="O37" i="43"/>
  <c r="O26" i="43"/>
  <c r="O22" i="43"/>
  <c r="O15" i="43"/>
  <c r="O8" i="43"/>
  <c r="O140" i="43"/>
  <c r="O125" i="43"/>
  <c r="O93" i="43"/>
  <c r="O89" i="43"/>
  <c r="O81" i="43"/>
  <c r="O21" i="43"/>
  <c r="O7" i="43"/>
  <c r="O118" i="43"/>
  <c r="O36" i="43"/>
  <c r="O127" i="43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comments1.xml><?xml version="1.0" encoding="utf-8"?>
<comments xmlns="http://schemas.openxmlformats.org/spreadsheetml/2006/main">
  <authors>
    <author>Mariyam Sharmeela</author>
  </authors>
  <commentList>
    <comment ref="L46" authorId="0">
      <text>
        <r>
          <rPr>
            <b/>
            <sz val="9"/>
            <color indexed="81"/>
            <rFont val="Tahoma"/>
            <family val="2"/>
          </rPr>
          <t>Mariyam Sharmeela:</t>
        </r>
        <r>
          <rPr>
            <sz val="9"/>
            <color indexed="81"/>
            <rFont val="Tahoma"/>
            <family val="2"/>
          </rPr>
          <t xml:space="preserve">
resort liscence cancelled from May 2013. </t>
        </r>
      </text>
    </comment>
  </commentList>
</comments>
</file>

<file path=xl/sharedStrings.xml><?xml version="1.0" encoding="utf-8"?>
<sst xmlns="http://schemas.openxmlformats.org/spreadsheetml/2006/main" count="464" uniqueCount="246">
  <si>
    <t>2006</t>
  </si>
  <si>
    <t>Resorts</t>
  </si>
  <si>
    <t>-</t>
  </si>
  <si>
    <t xml:space="preserve">Year of Initial </t>
  </si>
  <si>
    <t>Initial Bed</t>
  </si>
  <si>
    <t>Distance from</t>
  </si>
  <si>
    <t xml:space="preserve">% Share </t>
  </si>
  <si>
    <t>Operation</t>
  </si>
  <si>
    <t>Capacity</t>
  </si>
  <si>
    <t>Airport (in Km)</t>
  </si>
  <si>
    <t>All Resorts</t>
  </si>
  <si>
    <t>North Maalhosmadulu (R)</t>
  </si>
  <si>
    <t>South Maalhosmadulu (B)</t>
  </si>
  <si>
    <t>1999</t>
  </si>
  <si>
    <t xml:space="preserve">     1983</t>
  </si>
  <si>
    <t>Faadhippolhu (Lh)</t>
  </si>
  <si>
    <t xml:space="preserve">     1978</t>
  </si>
  <si>
    <t>Male' Atoll (K)</t>
  </si>
  <si>
    <t xml:space="preserve">     1981</t>
  </si>
  <si>
    <t xml:space="preserve">     1972</t>
  </si>
  <si>
    <t xml:space="preserve">     1977</t>
  </si>
  <si>
    <t xml:space="preserve">     1973</t>
  </si>
  <si>
    <t xml:space="preserve">     1982</t>
  </si>
  <si>
    <t xml:space="preserve">     1979</t>
  </si>
  <si>
    <t xml:space="preserve">     1980</t>
  </si>
  <si>
    <t>1977</t>
  </si>
  <si>
    <t xml:space="preserve">     1985</t>
  </si>
  <si>
    <t xml:space="preserve">     1991</t>
  </si>
  <si>
    <t xml:space="preserve">     1974</t>
  </si>
  <si>
    <t>North Ari Atoll (AA)</t>
  </si>
  <si>
    <t xml:space="preserve">     1987</t>
  </si>
  <si>
    <t xml:space="preserve">     1989</t>
  </si>
  <si>
    <t xml:space="preserve">     1984</t>
  </si>
  <si>
    <t>South Ari Atoll (ADh)</t>
  </si>
  <si>
    <t xml:space="preserve">     1990</t>
  </si>
  <si>
    <t xml:space="preserve">  1992</t>
  </si>
  <si>
    <t>Felidhu Atoll (V)</t>
  </si>
  <si>
    <t xml:space="preserve">     1975</t>
  </si>
  <si>
    <t>Mulakatholhu (M)</t>
  </si>
  <si>
    <t>North Nilandhe Atoll (F)</t>
  </si>
  <si>
    <t>South Nilandhe Atoll (D)</t>
  </si>
  <si>
    <t>* Resorts beds include marinas</t>
  </si>
  <si>
    <t>2008</t>
  </si>
  <si>
    <t>Addu Atoll (S)</t>
  </si>
  <si>
    <t>North Thiladhunmathi Atoll (HA)</t>
  </si>
  <si>
    <t>South Miladhunmadulu Atoll (N)</t>
  </si>
  <si>
    <t>udwdwA egcnirevurutwf</t>
  </si>
  <si>
    <t>2009</t>
  </si>
  <si>
    <t>Four Seasons Resort Maldives at Landaa Giraavaru</t>
  </si>
  <si>
    <t>Kihaadhuffaru Resort</t>
  </si>
  <si>
    <t>Reethi Beach Resort</t>
  </si>
  <si>
    <t>Royal Island Resort &amp; Spa</t>
  </si>
  <si>
    <t>Soneva Fushi By Six Senses</t>
  </si>
  <si>
    <t>Komandoo Maldive Island Resort</t>
  </si>
  <si>
    <t>Adaaran Select Meedhupparu</t>
  </si>
  <si>
    <t>One &amp; Only Kanuhura, Maldives</t>
  </si>
  <si>
    <t>Kuredhdhoo Island Resort</t>
  </si>
  <si>
    <t>Palm Beach Island</t>
  </si>
  <si>
    <t>Adaaran Club Rannalhi</t>
  </si>
  <si>
    <t>Adaaran Select Hudhuranfushi (Lhohifushi  Tourist Resort)</t>
  </si>
  <si>
    <t>Anantara Resort &amp; Spa Maldives (Dhigufinolhu)</t>
  </si>
  <si>
    <t xml:space="preserve">Angsana Resort &amp; Spa Maldives, Ihuru </t>
  </si>
  <si>
    <t>Banyan Tree Maldives Vabbinfaru</t>
  </si>
  <si>
    <t>Baros Holiday Resort</t>
  </si>
  <si>
    <t>Biyaadhoo Island Resort</t>
  </si>
  <si>
    <t>Club Faru, K. Farukolhufushi</t>
  </si>
  <si>
    <t>Coco Palm Boduhithi</t>
  </si>
  <si>
    <t>Cocoa Island</t>
  </si>
  <si>
    <t xml:space="preserve">Embudhoo Village </t>
  </si>
  <si>
    <t>Eriyadhoo Island Resort</t>
  </si>
  <si>
    <t>Fihaalhohi Island Resort</t>
  </si>
  <si>
    <t>Four Seasons Resort Maldives at Kuda Huraa</t>
  </si>
  <si>
    <t>Fun Island Resort</t>
  </si>
  <si>
    <t>Huvafenfushi</t>
  </si>
  <si>
    <t>Club Med Kanifinolhu</t>
  </si>
  <si>
    <t>Kurumba Maldives</t>
  </si>
  <si>
    <t>Velassaru Maldives (Laguna Maldives)</t>
  </si>
  <si>
    <t>Makunudu Island</t>
  </si>
  <si>
    <t>Meeru Island Resort</t>
  </si>
  <si>
    <t>Olhuveli Beach &amp; Spa Resort</t>
  </si>
  <si>
    <t>One and Only Reethi Rah, Maldives(One &amp; Only Maldives at Reethi Rah)</t>
  </si>
  <si>
    <t>Naladhu (Palm Tree Island)</t>
  </si>
  <si>
    <t>Paradise Island Resort &amp; Spa</t>
  </si>
  <si>
    <t>Rihiveli Beach Resort</t>
  </si>
  <si>
    <t>Soneva Gili by Six Senses</t>
  </si>
  <si>
    <t>Vivanta by Taj - Coral Reef, Maldives</t>
  </si>
  <si>
    <t>Taj Exortica Resort &amp; Spa Maldives</t>
  </si>
  <si>
    <t>Thulhaagiri Island Resort</t>
  </si>
  <si>
    <t>Adaaran Prestige Vaadhu (Vaadhu Island Resort)</t>
  </si>
  <si>
    <t>Bathala Island Resort (Adaaran Club Bathala)</t>
  </si>
  <si>
    <t>Gangehi Island Resort</t>
  </si>
  <si>
    <t>Constance Halaveli Resort  (Halaveli Holiday Village)</t>
  </si>
  <si>
    <t>Kuramathi Tourist Resort</t>
  </si>
  <si>
    <t>Maayafushi Tourist Resort</t>
  </si>
  <si>
    <t>Madoogali Resort</t>
  </si>
  <si>
    <t>Nika Island Resort</t>
  </si>
  <si>
    <t>Velidhu Island Resort</t>
  </si>
  <si>
    <t>Veligandu Island</t>
  </si>
  <si>
    <t>W. Retreat and Spa Maldives Fesdhu</t>
  </si>
  <si>
    <t>Angaaga Island Resort and Spa</t>
  </si>
  <si>
    <t>Athurugau Island Resort</t>
  </si>
  <si>
    <t>Conrad Maldives, Rangali Island (Hilton Maldives Resort &amp; Spa)</t>
  </si>
  <si>
    <t>Holiday Island</t>
  </si>
  <si>
    <t>Kudarah Island Resort</t>
  </si>
  <si>
    <t>Lily Beach Resort</t>
  </si>
  <si>
    <t>Centara Grand Island Resort &amp; Spa Maldives (Machchafushi Island Resort)</t>
  </si>
  <si>
    <t>Mirihi Island Resort</t>
  </si>
  <si>
    <t>Ranveli Village</t>
  </si>
  <si>
    <t>Sun Island Resort &amp; Spa</t>
  </si>
  <si>
    <t>Thundufushi Island Resort</t>
  </si>
  <si>
    <t>Twin Island Resort</t>
  </si>
  <si>
    <t>Vakarufalhi Island Resort</t>
  </si>
  <si>
    <t>Vilamendhoo Island Resort</t>
  </si>
  <si>
    <t>Diva Maldives (White Sands)</t>
  </si>
  <si>
    <t>Alimatha Aquatic Resort</t>
  </si>
  <si>
    <t>Dhiggiri Tourist Resort</t>
  </si>
  <si>
    <t>Medhufushi Island Resort</t>
  </si>
  <si>
    <t xml:space="preserve">Filitheyo Island Resort </t>
  </si>
  <si>
    <t>Angsana Resort &amp; Spa Maldives - Velavaru</t>
  </si>
  <si>
    <t>Vilu Reef Beach &amp; Spa Resort</t>
  </si>
  <si>
    <t>Island Hideaway at Dhonakulhi Maldives, Spa Resort &amp; Marina</t>
  </si>
  <si>
    <t>Beach House Maldives, The Waldorf Astoria Collection (The Beach House at Manafaru Maldives)</t>
  </si>
  <si>
    <t>Hilton Maldives - Irufushi Resort &amp; Spa (Medhafushi)</t>
  </si>
  <si>
    <t>Zitahli Resort &amp; Spa, Kudafunafaru</t>
  </si>
  <si>
    <t>North Huvadhu Atoll (GA)</t>
  </si>
  <si>
    <t>Alila Villas Hadahaa</t>
  </si>
  <si>
    <t xml:space="preserve">                                    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</si>
  <si>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</si>
  <si>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</si>
  <si>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</si>
  <si>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</si>
  <si>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</si>
  <si>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</si>
  <si>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</si>
  <si>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</si>
  <si>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</si>
  <si>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</si>
  <si>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</si>
  <si>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</si>
  <si>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</si>
  <si>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</si>
  <si>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</si>
  <si>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</si>
  <si>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</si>
  <si>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</si>
  <si>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</si>
  <si>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</si>
  <si>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</si>
  <si>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</si>
  <si>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</si>
  <si>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</si>
  <si>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</si>
  <si>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</si>
  <si>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</si>
  <si>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</si>
  <si>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</si>
  <si>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</si>
  <si>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</si>
  <si>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</si>
  <si>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</si>
  <si>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</si>
  <si>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</si>
  <si>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</si>
  <si>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</si>
  <si>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</si>
  <si>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</si>
  <si>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</si>
  <si>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</si>
  <si>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</si>
  <si>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</si>
  <si>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</si>
  <si>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</si>
  <si>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</si>
  <si>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</si>
  <si>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</si>
  <si>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</si>
  <si>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</si>
  <si>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</si>
  <si>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</si>
  <si>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</si>
  <si>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</si>
  <si>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</si>
  <si>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Asdhu Sun Island</t>
  </si>
  <si>
    <t>1984</t>
  </si>
  <si>
    <t xml:space="preserve">Holiday Inn Resort Kandooma Maldives </t>
  </si>
  <si>
    <t>Coco Palm Dhuni Kolhu</t>
  </si>
  <si>
    <t>Jumeirah Vittaveli Island Resort at Bolifushi (Island of Bolifushi)</t>
  </si>
  <si>
    <t>Constance Moofushi Resort (Moofushi Island Resort)</t>
  </si>
  <si>
    <t>Alidhoo Island Resort (Cinnamon Island Alidhoo)</t>
  </si>
  <si>
    <t>Sheraton Maldives Full Moon Resort &amp; Spa (Fullmoon Beach Resort)</t>
  </si>
  <si>
    <t>No. of Tourists</t>
  </si>
  <si>
    <t>% change over previous year</t>
  </si>
  <si>
    <t>2011</t>
  </si>
  <si>
    <t xml:space="preserve">Anantara Kihava Villas, Maldives </t>
  </si>
  <si>
    <t>Jumeirah Dhevanafushi (Meradhoo)</t>
  </si>
  <si>
    <t>South Huvadhu Atoll (GDh)</t>
  </si>
  <si>
    <t>Ayada Maldives(Magudhuva)</t>
  </si>
  <si>
    <t>Six Sensese Laamu Atoll (L.Olhuveli)</t>
  </si>
  <si>
    <t>Laamu Atoll (L)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</si>
  <si>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</si>
  <si>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</si>
  <si>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</si>
  <si>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</si>
  <si>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Niyama (Olhuveli &amp; Embudhufushi)</t>
  </si>
  <si>
    <t>Viceroy Maldives (Vagaru)</t>
  </si>
  <si>
    <t>North Miladhunmadulu Atoll (Sh)</t>
  </si>
  <si>
    <t>Dusit Thani Maldives (Mudhdhoo)</t>
  </si>
  <si>
    <t>Coco Privé Kuda Hithi Island (Coco Palm Kudahithi)</t>
  </si>
  <si>
    <t>The Residence Maldives (Falhumaafushi)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</si>
  <si>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</si>
  <si>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</si>
  <si>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</si>
  <si>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</si>
  <si>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</si>
  <si>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2013</t>
  </si>
  <si>
    <t>Cheval Blanc randheli</t>
  </si>
  <si>
    <t xml:space="preserve">Velaa Private Island </t>
  </si>
  <si>
    <t xml:space="preserve">Atmosphere Kanifushi Maldives </t>
  </si>
  <si>
    <t>Source: Ministry of Tourism</t>
  </si>
  <si>
    <t>Thaa Atoll (Th)</t>
  </si>
  <si>
    <t>Maalifushi By Como (Male'fushi)</t>
  </si>
  <si>
    <t>2014</t>
  </si>
  <si>
    <t>Loama Resort Maldives at Maamigili (Maamigili)</t>
  </si>
  <si>
    <t>Kandholhu Island Maldives</t>
  </si>
  <si>
    <t>Safari Island (Mushimasmigili)</t>
  </si>
  <si>
    <t>in 2015</t>
  </si>
  <si>
    <t>Table 10.10   BED CAPACITY OF TOURIST RESORTS AND THE DISTANCE FROM MALE' INTERNATIONAL AIRPORT, 2007 - 2015</t>
  </si>
  <si>
    <t>ތާވަލު 10.10: ރިސޯޓްތަކުގެ އެނދުގެ ޖާގައާއި ބައިނަލްއަޤަވާމީ ވައިގެ ބަނދަރާއިހުރި ދުރުމިން،  2007 - 2015</t>
  </si>
  <si>
    <t>Drift Thelu Veliga Retreat (Theluveliga)</t>
  </si>
  <si>
    <t>Amari Havodda Maldives (Havodda)</t>
  </si>
  <si>
    <t>Outrigger Konotta Maldives Resort</t>
  </si>
  <si>
    <t>AaaVeee Nature's Paradise  (Dhoores)</t>
  </si>
  <si>
    <t>Robinson Club Maldives (Funamauddua)</t>
  </si>
  <si>
    <t>Oblu By Atmosphere at Helengeli (Helengeli)</t>
  </si>
  <si>
    <t>Centara Ras Fushi Resort &amp; Spa (Giraavaru)</t>
  </si>
  <si>
    <t>Cinnamon Dhonveli Maldives (Tari Village)</t>
  </si>
  <si>
    <t>Club Med Finolhu Villas (Gasfinolhu Island Resort)</t>
  </si>
  <si>
    <t>Bandos Maldives (Bandos Island Resort and Spa)</t>
  </si>
  <si>
    <t>Summer Island Maldives (Summer Island Village)</t>
  </si>
  <si>
    <t>Dream Island Maldives, The bona fide choice…. Villivaru</t>
  </si>
  <si>
    <t>Ellaidhoo Maldives By Cinnamon (Ellaidhoo Tourist Resort)</t>
  </si>
  <si>
    <t>Cinnamon Hakuraa Huraa Maldives (Chaaya Logoon Hakuraa Huraa)</t>
  </si>
  <si>
    <t>Canareef Resort Maldives (Herethere Island Resort)</t>
  </si>
  <si>
    <t>Shangri - La's Villingili Resort &amp; Spa, Maldives (Shangri - La )</t>
  </si>
  <si>
    <t>Bed Capacity  (end year)*</t>
  </si>
  <si>
    <t xml:space="preserve">Note: 2010 &amp; 2013 revised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</si>
</sst>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</borders>
  <cellStyleXfs count="1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8" fontId="3" fillId="0" borderId="0"/>
    <xf numFmtId="0" fontId="2" fillId="0" borderId="0"/>
    <xf numFmtId="1" fontId="10" fillId="0" borderId="1" applyNumberFormat="0"/>
    <xf numFmtId="0" fontId="2" fillId="0" borderId="0"/>
    <xf numFmtId="0" fontId="13" fillId="0" borderId="0"/>
    <xf numFmtId="0" fontId="11" fillId="0" borderId="0"/>
    <xf numFmtId="0" fontId="2" fillId="0" borderId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</cellStyleXfs>
  <cellXfs count="154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8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49" fontId="19" fillId="2" borderId="0" xfId="2" applyNumberFormat="1" applyFont="1" applyFill="1" applyBorder="1" applyAlignment="1" applyProtection="1">
      <alignment horizontal="right" vertical="center"/>
    </xf>
    <xf numFmtId="3" fontId="24" fillId="2" borderId="0" xfId="4" applyNumberFormat="1" applyFont="1" applyFill="1" applyBorder="1" applyAlignment="1">
      <alignment horizontal="right" vertical="center"/>
    </xf>
    <xf numFmtId="3" fontId="19" fillId="2" borderId="0" xfId="4" applyNumberFormat="1" applyFont="1" applyFill="1" applyBorder="1" applyAlignment="1">
      <alignment horizontal="right" vertical="center"/>
    </xf>
    <xf numFmtId="0" fontId="23" fillId="2" borderId="0" xfId="4" applyFont="1" applyFill="1" applyBorder="1" applyAlignment="1">
      <alignment horizontal="right" vertical="center"/>
    </xf>
    <xf numFmtId="3" fontId="23" fillId="2" borderId="0" xfId="4" applyNumberFormat="1" applyFont="1" applyFill="1" applyBorder="1" applyAlignment="1">
      <alignment horizontal="right" vertical="center"/>
    </xf>
    <xf numFmtId="0" fontId="24" fillId="2" borderId="5" xfId="4" applyFont="1" applyFill="1" applyBorder="1" applyAlignment="1" applyProtection="1">
      <alignment horizontal="right" vertical="center"/>
    </xf>
    <xf numFmtId="0" fontId="24" fillId="2" borderId="2" xfId="4" applyFont="1" applyFill="1" applyBorder="1" applyAlignment="1" applyProtection="1">
      <alignment horizontal="right" vertical="center"/>
    </xf>
    <xf numFmtId="49" fontId="19" fillId="2" borderId="0" xfId="4" applyNumberFormat="1" applyFont="1" applyFill="1" applyBorder="1" applyAlignment="1" applyProtection="1">
      <alignment horizontal="right" vertical="center"/>
    </xf>
    <xf numFmtId="3" fontId="19" fillId="2" borderId="0" xfId="4" applyNumberFormat="1" applyFont="1" applyFill="1" applyBorder="1" applyAlignment="1" applyProtection="1">
      <alignment horizontal="right" vertical="center"/>
      <protection locked="0"/>
    </xf>
    <xf numFmtId="3" fontId="23" fillId="2" borderId="0" xfId="4" applyNumberFormat="1" applyFont="1" applyFill="1" applyBorder="1" applyAlignment="1" applyProtection="1">
      <alignment horizontal="right" vertical="center"/>
      <protection locked="0"/>
    </xf>
    <xf numFmtId="1" fontId="19" fillId="2" borderId="0" xfId="4" applyNumberFormat="1" applyFont="1" applyFill="1" applyBorder="1" applyAlignment="1" applyProtection="1">
      <alignment horizontal="right" vertical="center"/>
    </xf>
    <xf numFmtId="1" fontId="19" fillId="2" borderId="0" xfId="4" applyNumberFormat="1" applyFont="1" applyFill="1" applyBorder="1" applyAlignment="1" applyProtection="1">
      <alignment horizontal="right" vertical="center"/>
      <protection locked="0"/>
    </xf>
    <xf numFmtId="3" fontId="19" fillId="2" borderId="0" xfId="4" applyNumberFormat="1" applyFont="1" applyFill="1" applyBorder="1" applyAlignment="1" applyProtection="1">
      <alignment horizontal="right" vertical="center"/>
    </xf>
    <xf numFmtId="3" fontId="24" fillId="2" borderId="0" xfId="4" applyNumberFormat="1" applyFont="1" applyFill="1" applyBorder="1" applyAlignment="1" applyProtection="1">
      <alignment horizontal="right" vertical="center"/>
      <protection locked="0"/>
    </xf>
    <xf numFmtId="0" fontId="19" fillId="2" borderId="0" xfId="4" applyFont="1" applyFill="1" applyBorder="1" applyAlignment="1" applyProtection="1">
      <alignment horizontal="right" vertical="center"/>
    </xf>
    <xf numFmtId="3" fontId="19" fillId="2" borderId="2" xfId="4" applyNumberFormat="1" applyFont="1" applyFill="1" applyBorder="1" applyAlignment="1" applyProtection="1">
      <alignment horizontal="right" vertical="center"/>
      <protection locked="0"/>
    </xf>
    <xf numFmtId="0" fontId="25" fillId="2" borderId="0" xfId="4" applyFont="1" applyFill="1"/>
    <xf numFmtId="0" fontId="25" fillId="2" borderId="0" xfId="4" applyFont="1" applyFill="1" applyAlignment="1">
      <alignment horizontal="right" vertical="center"/>
    </xf>
    <xf numFmtId="1" fontId="20" fillId="2" borderId="0" xfId="4" applyNumberFormat="1" applyFont="1" applyFill="1" applyBorder="1" applyAlignment="1" applyProtection="1">
      <alignment horizontal="right" vertical="center"/>
    </xf>
    <xf numFmtId="3" fontId="20" fillId="2" borderId="0" xfId="4" applyNumberFormat="1" applyFont="1" applyFill="1" applyBorder="1" applyAlignment="1" applyProtection="1">
      <alignment horizontal="right" vertical="center"/>
      <protection locked="0"/>
    </xf>
    <xf numFmtId="165" fontId="20" fillId="2" borderId="0" xfId="4" applyNumberFormat="1" applyFont="1" applyFill="1" applyBorder="1" applyAlignment="1" applyProtection="1">
      <alignment horizontal="right" vertical="center"/>
      <protection locked="0"/>
    </xf>
    <xf numFmtId="0" fontId="26" fillId="2" borderId="0" xfId="4" applyFont="1" applyFill="1" applyBorder="1" applyAlignment="1" applyProtection="1">
      <alignment horizontal="left" vertical="center"/>
    </xf>
    <xf numFmtId="0" fontId="26" fillId="2" borderId="0" xfId="4" applyFont="1" applyFill="1" applyBorder="1" applyAlignment="1" applyProtection="1">
      <alignment horizontal="right" vertical="center"/>
    </xf>
    <xf numFmtId="166" fontId="20" fillId="2" borderId="0" xfId="4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49" fontId="19" fillId="2" borderId="2" xfId="4" applyNumberFormat="1" applyFont="1" applyFill="1" applyBorder="1" applyAlignment="1" applyProtection="1">
      <alignment horizontal="right" vertical="center"/>
    </xf>
    <xf numFmtId="49" fontId="19" fillId="2" borderId="18" xfId="4" applyNumberFormat="1" applyFont="1" applyFill="1" applyBorder="1" applyAlignment="1" applyProtection="1">
      <alignment horizontal="right" vertical="center"/>
    </xf>
    <xf numFmtId="1" fontId="19" fillId="2" borderId="18" xfId="4" applyNumberFormat="1" applyFont="1" applyFill="1" applyBorder="1" applyAlignment="1" applyProtection="1">
      <alignment horizontal="right" vertical="center"/>
      <protection locked="0"/>
    </xf>
    <xf numFmtId="3" fontId="19" fillId="2" borderId="18" xfId="4" applyNumberFormat="1" applyFont="1" applyFill="1" applyBorder="1" applyAlignment="1" applyProtection="1">
      <alignment horizontal="right" vertical="center"/>
      <protection locked="0"/>
    </xf>
    <xf numFmtId="3" fontId="19" fillId="2" borderId="18" xfId="4" applyNumberFormat="1" applyFont="1" applyFill="1" applyBorder="1" applyAlignment="1" applyProtection="1">
      <alignment horizontal="right" vertical="center"/>
    </xf>
    <xf numFmtId="1" fontId="19" fillId="2" borderId="18" xfId="4" applyNumberFormat="1" applyFont="1" applyFill="1" applyBorder="1" applyAlignment="1" applyProtection="1">
      <alignment horizontal="right" vertical="center"/>
    </xf>
    <xf numFmtId="49" fontId="19" fillId="2" borderId="18" xfId="2" applyNumberFormat="1" applyFont="1" applyFill="1" applyBorder="1" applyAlignment="1" applyProtection="1">
      <alignment horizontal="right" vertical="center"/>
    </xf>
    <xf numFmtId="0" fontId="19" fillId="2" borderId="18" xfId="4" applyFont="1" applyFill="1" applyBorder="1" applyAlignment="1">
      <alignment horizontal="right" vertical="center"/>
    </xf>
    <xf numFmtId="0" fontId="19" fillId="2" borderId="18" xfId="4" applyFont="1" applyFill="1" applyBorder="1" applyAlignment="1" applyProtection="1">
      <alignment horizontal="right" vertical="center"/>
    </xf>
    <xf numFmtId="1" fontId="24" fillId="2" borderId="2" xfId="4" applyNumberFormat="1" applyFont="1" applyFill="1" applyBorder="1" applyAlignment="1">
      <alignment horizontal="right" vertical="center"/>
    </xf>
    <xf numFmtId="0" fontId="24" fillId="2" borderId="0" xfId="4" applyFont="1" applyFill="1" applyBorder="1" applyAlignment="1" applyProtection="1">
      <alignment horizontal="left" vertical="center" wrapText="1"/>
    </xf>
    <xf numFmtId="0" fontId="24" fillId="2" borderId="0" xfId="4" applyFont="1" applyFill="1" applyBorder="1" applyAlignment="1">
      <alignment horizontal="left" vertical="center" wrapText="1"/>
    </xf>
    <xf numFmtId="0" fontId="24" fillId="2" borderId="0" xfId="4" applyFont="1" applyFill="1" applyAlignment="1">
      <alignment horizontal="left" vertical="center" wrapText="1"/>
    </xf>
    <xf numFmtId="3" fontId="19" fillId="2" borderId="18" xfId="4" applyNumberFormat="1" applyFont="1" applyFill="1" applyBorder="1" applyAlignment="1">
      <alignment horizontal="right" vertical="center"/>
    </xf>
    <xf numFmtId="49" fontId="16" fillId="3" borderId="14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10" xfId="2" applyNumberFormat="1" applyFont="1" applyFill="1" applyBorder="1" applyAlignment="1" applyProtection="1">
      <alignment horizontal="left" vertical="center"/>
    </xf>
    <xf numFmtId="170" fontId="17" fillId="4" borderId="11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8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7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8" xfId="0" applyNumberFormat="1" applyFont="1" applyFill="1" applyBorder="1" applyAlignment="1">
      <alignment vertical="center"/>
    </xf>
    <xf numFmtId="169" fontId="17" fillId="2" borderId="10" xfId="2" applyNumberFormat="1" applyFont="1" applyFill="1" applyBorder="1" applyAlignment="1" applyProtection="1">
      <alignment horizontal="left" vertical="center"/>
    </xf>
    <xf numFmtId="170" fontId="17" fillId="2" borderId="11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8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8" xfId="0" applyNumberFormat="1" applyFont="1" applyFill="1" applyBorder="1" applyAlignment="1">
      <alignment vertical="center"/>
    </xf>
    <xf numFmtId="169" fontId="17" fillId="2" borderId="12" xfId="2" applyNumberFormat="1" applyFont="1" applyFill="1" applyBorder="1" applyAlignment="1" applyProtection="1">
      <alignment horizontal="left" vertical="center"/>
    </xf>
    <xf numFmtId="170" fontId="17" fillId="2" borderId="13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7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7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7" fillId="2" borderId="0" xfId="4" applyFont="1" applyFill="1" applyBorder="1" applyAlignment="1" applyProtection="1">
      <alignment horizontal="center" vertical="center"/>
    </xf>
    <xf numFmtId="0" fontId="27" fillId="2" borderId="0" xfId="4" applyFont="1" applyFill="1" applyAlignment="1">
      <alignment vertical="center"/>
    </xf>
    <xf numFmtId="0" fontId="23" fillId="2" borderId="0" xfId="4" applyFont="1" applyFill="1" applyAlignment="1">
      <alignment vertical="center"/>
    </xf>
    <xf numFmtId="0" fontId="20" fillId="2" borderId="0" xfId="4" applyFont="1" applyFill="1"/>
    <xf numFmtId="3" fontId="19" fillId="2" borderId="9" xfId="4" applyNumberFormat="1" applyFont="1" applyFill="1" applyBorder="1" applyAlignment="1" applyProtection="1">
      <alignment horizontal="right" vertical="center"/>
      <protection locked="0"/>
    </xf>
    <xf numFmtId="3" fontId="19" fillId="2" borderId="9" xfId="4" applyNumberFormat="1" applyFont="1" applyFill="1" applyBorder="1" applyAlignment="1">
      <alignment horizontal="right" vertical="center"/>
    </xf>
    <xf numFmtId="0" fontId="25" fillId="2" borderId="0" xfId="4" applyFont="1" applyFill="1" applyAlignment="1">
      <alignment horizontal="center" vertical="center"/>
    </xf>
    <xf numFmtId="0" fontId="21" fillId="2" borderId="5" xfId="4" applyFont="1" applyFill="1" applyBorder="1" applyAlignment="1">
      <alignment horizontal="center" vertical="center"/>
    </xf>
    <xf numFmtId="0" fontId="24" fillId="2" borderId="2" xfId="4" applyFont="1" applyFill="1" applyBorder="1" applyAlignment="1">
      <alignment horizontal="center" vertical="center"/>
    </xf>
    <xf numFmtId="3" fontId="24" fillId="2" borderId="0" xfId="4" applyNumberFormat="1" applyFont="1" applyFill="1" applyBorder="1" applyAlignment="1">
      <alignment horizontal="center" vertical="center"/>
    </xf>
    <xf numFmtId="165" fontId="24" fillId="2" borderId="0" xfId="4" applyNumberFormat="1" applyFont="1" applyFill="1" applyBorder="1" applyAlignment="1">
      <alignment horizontal="center" vertical="center"/>
    </xf>
    <xf numFmtId="165" fontId="24" fillId="2" borderId="6" xfId="4" applyNumberFormat="1" applyFont="1" applyFill="1" applyBorder="1" applyAlignment="1">
      <alignment horizontal="center" vertical="center"/>
    </xf>
    <xf numFmtId="3" fontId="23" fillId="2" borderId="0" xfId="4" applyNumberFormat="1" applyFont="1" applyFill="1" applyBorder="1" applyAlignment="1">
      <alignment horizontal="center" vertical="center"/>
    </xf>
    <xf numFmtId="0" fontId="26" fillId="2" borderId="0" xfId="4" applyFont="1" applyFill="1" applyBorder="1" applyAlignment="1" applyProtection="1">
      <alignment horizontal="center" vertical="center"/>
    </xf>
    <xf numFmtId="165" fontId="19" fillId="2" borderId="0" xfId="4" applyNumberFormat="1" applyFont="1" applyFill="1" applyBorder="1" applyAlignment="1">
      <alignment horizontal="center" vertical="center"/>
    </xf>
    <xf numFmtId="165" fontId="19" fillId="2" borderId="2" xfId="4" applyNumberFormat="1" applyFont="1" applyFill="1" applyBorder="1" applyAlignment="1">
      <alignment horizontal="center" vertical="center"/>
    </xf>
    <xf numFmtId="165" fontId="19" fillId="2" borderId="9" xfId="4" applyNumberFormat="1" applyFont="1" applyFill="1" applyBorder="1" applyAlignment="1">
      <alignment horizontal="center" vertical="center"/>
    </xf>
    <xf numFmtId="165" fontId="19" fillId="2" borderId="18" xfId="4" applyNumberFormat="1" applyFont="1" applyFill="1" applyBorder="1" applyAlignment="1">
      <alignment horizontal="center" vertical="center"/>
    </xf>
    <xf numFmtId="0" fontId="24" fillId="2" borderId="6" xfId="4" applyFont="1" applyFill="1" applyBorder="1" applyAlignment="1" applyProtection="1">
      <alignment horizontal="left" vertical="center" wrapText="1"/>
    </xf>
    <xf numFmtId="3" fontId="24" fillId="2" borderId="6" xfId="4" applyNumberFormat="1" applyFont="1" applyFill="1" applyBorder="1" applyAlignment="1">
      <alignment horizontal="right" vertical="center"/>
    </xf>
    <xf numFmtId="0" fontId="25" fillId="2" borderId="0" xfId="4" applyFont="1" applyFill="1" applyBorder="1"/>
    <xf numFmtId="3" fontId="24" fillId="2" borderId="9" xfId="4" applyNumberFormat="1" applyFont="1" applyFill="1" applyBorder="1" applyAlignment="1" applyProtection="1">
      <alignment horizontal="right" vertical="center"/>
      <protection locked="0"/>
    </xf>
    <xf numFmtId="1" fontId="19" fillId="2" borderId="9" xfId="4" applyNumberFormat="1" applyFont="1" applyFill="1" applyBorder="1" applyAlignment="1" applyProtection="1">
      <alignment horizontal="right" vertical="center"/>
    </xf>
    <xf numFmtId="3" fontId="19" fillId="2" borderId="9" xfId="4" applyNumberFormat="1" applyFont="1" applyFill="1" applyBorder="1" applyAlignment="1" applyProtection="1">
      <alignment horizontal="right" vertical="center"/>
    </xf>
    <xf numFmtId="0" fontId="19" fillId="2" borderId="9" xfId="4" applyFont="1" applyFill="1" applyBorder="1" applyAlignment="1">
      <alignment horizontal="right" vertical="center"/>
    </xf>
    <xf numFmtId="3" fontId="20" fillId="2" borderId="0" xfId="4" applyNumberFormat="1" applyFont="1" applyFill="1" applyBorder="1" applyAlignment="1">
      <alignment horizontal="right" vertical="center"/>
    </xf>
    <xf numFmtId="0" fontId="19" fillId="2" borderId="0" xfId="4" applyFont="1" applyFill="1" applyBorder="1" applyAlignment="1" applyProtection="1">
      <alignment horizontal="left" vertical="center" wrapText="1"/>
    </xf>
    <xf numFmtId="0" fontId="19" fillId="2" borderId="18" xfId="4" applyFont="1" applyFill="1" applyBorder="1" applyAlignment="1" applyProtection="1">
      <alignment horizontal="left" vertical="center" wrapText="1"/>
    </xf>
    <xf numFmtId="0" fontId="19" fillId="2" borderId="18" xfId="4" applyFont="1" applyFill="1" applyBorder="1" applyAlignment="1">
      <alignment horizontal="left" vertical="center" wrapText="1"/>
    </xf>
    <xf numFmtId="0" fontId="19" fillId="2" borderId="2" xfId="4" applyFont="1" applyFill="1" applyBorder="1" applyAlignment="1" applyProtection="1">
      <alignment horizontal="left" vertical="center" wrapText="1"/>
    </xf>
    <xf numFmtId="0" fontId="28" fillId="2" borderId="0" xfId="4" applyFont="1" applyFill="1" applyBorder="1" applyAlignment="1" applyProtection="1">
      <alignment horizontal="left" vertical="center" wrapText="1"/>
    </xf>
    <xf numFmtId="0" fontId="28" fillId="2" borderId="0" xfId="4" applyFont="1" applyFill="1" applyAlignment="1" applyProtection="1">
      <alignment horizontal="left" vertical="center" wrapText="1"/>
    </xf>
    <xf numFmtId="0" fontId="19" fillId="2" borderId="0" xfId="4" applyFont="1" applyFill="1" applyAlignment="1">
      <alignment wrapText="1"/>
    </xf>
    <xf numFmtId="165" fontId="19" fillId="2" borderId="0" xfId="4" applyNumberFormat="1" applyFont="1" applyFill="1" applyBorder="1" applyAlignment="1" applyProtection="1">
      <alignment horizontal="right" vertical="center" wrapText="1"/>
      <protection locked="0"/>
    </xf>
    <xf numFmtId="0" fontId="25" fillId="2" borderId="0" xfId="4" applyFont="1" applyFill="1" applyAlignment="1">
      <alignment wrapText="1"/>
    </xf>
    <xf numFmtId="0" fontId="20" fillId="2" borderId="0" xfId="4" applyFont="1" applyFill="1" applyBorder="1" applyAlignment="1" applyProtection="1">
      <alignment horizontal="left" vertical="center" wrapText="1"/>
    </xf>
    <xf numFmtId="0" fontId="22" fillId="2" borderId="0" xfId="4" applyFont="1" applyFill="1" applyBorder="1" applyAlignment="1">
      <alignment horizontal="center" vertical="center"/>
    </xf>
    <xf numFmtId="0" fontId="19" fillId="2" borderId="9" xfId="4" applyFont="1" applyFill="1" applyBorder="1" applyAlignment="1" applyProtection="1">
      <alignment horizontal="left" vertical="center" wrapText="1"/>
    </xf>
    <xf numFmtId="0" fontId="19" fillId="2" borderId="0" xfId="4" applyFont="1" applyFill="1" applyBorder="1" applyAlignment="1">
      <alignment horizontal="right" vertical="center"/>
    </xf>
    <xf numFmtId="0" fontId="19" fillId="2" borderId="0" xfId="4" applyFont="1" applyFill="1" applyBorder="1" applyAlignment="1">
      <alignment horizontal="left" vertical="center" wrapText="1"/>
    </xf>
    <xf numFmtId="0" fontId="22" fillId="2" borderId="9" xfId="4" applyFont="1" applyFill="1" applyBorder="1" applyAlignment="1">
      <alignment horizontal="center" vertical="center"/>
    </xf>
    <xf numFmtId="0" fontId="22" fillId="2" borderId="2" xfId="4" applyFont="1" applyFill="1" applyBorder="1" applyAlignment="1">
      <alignment horizontal="center" vertical="center"/>
    </xf>
    <xf numFmtId="0" fontId="27" fillId="2" borderId="0" xfId="4" applyFont="1" applyFill="1" applyBorder="1" applyAlignment="1">
      <alignment vertical="center"/>
    </xf>
    <xf numFmtId="3" fontId="27" fillId="2" borderId="0" xfId="4" applyNumberFormat="1" applyFont="1" applyFill="1" applyAlignment="1">
      <alignment vertical="center"/>
    </xf>
    <xf numFmtId="0" fontId="23" fillId="2" borderId="0" xfId="4" applyFont="1" applyFill="1" applyBorder="1" applyAlignment="1">
      <alignment vertical="center"/>
    </xf>
    <xf numFmtId="0" fontId="20" fillId="2" borderId="0" xfId="4" applyFont="1" applyFill="1" applyBorder="1"/>
    <xf numFmtId="0" fontId="23" fillId="2" borderId="0" xfId="4" applyFont="1" applyFill="1"/>
    <xf numFmtId="0" fontId="27" fillId="2" borderId="0" xfId="4" applyFont="1" applyFill="1"/>
    <xf numFmtId="0" fontId="19" fillId="2" borderId="0" xfId="0" applyFont="1" applyFill="1" applyBorder="1" applyAlignment="1" applyProtection="1">
      <alignment horizontal="left"/>
    </xf>
    <xf numFmtId="0" fontId="20" fillId="2" borderId="0" xfId="4" applyFont="1" applyFill="1" applyAlignment="1">
      <alignment vertical="center"/>
    </xf>
    <xf numFmtId="0" fontId="25" fillId="2" borderId="0" xfId="4" applyFont="1" applyFill="1" applyBorder="1" applyAlignment="1">
      <alignment horizontal="center" vertical="center"/>
    </xf>
    <xf numFmtId="0" fontId="25" fillId="2" borderId="5" xfId="4" applyFont="1" applyFill="1" applyBorder="1" applyAlignment="1">
      <alignment horizontal="center" vertical="center"/>
    </xf>
    <xf numFmtId="0" fontId="25" fillId="2" borderId="2" xfId="4" applyFont="1" applyFill="1" applyBorder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0" fontId="19" fillId="2" borderId="9" xfId="0" applyFont="1" applyFill="1" applyBorder="1" applyAlignment="1" applyProtection="1">
      <alignment horizontal="left"/>
    </xf>
    <xf numFmtId="0" fontId="16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6" xfId="0" applyFill="1" applyBorder="1"/>
    <xf numFmtId="0" fontId="9" fillId="2" borderId="1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24" fillId="2" borderId="5" xfId="4" applyFont="1" applyFill="1" applyBorder="1" applyAlignment="1" applyProtection="1">
      <alignment horizontal="left" vertical="center" wrapText="1"/>
    </xf>
    <xf numFmtId="0" fontId="24" fillId="2" borderId="2" xfId="4" applyFont="1" applyFill="1" applyBorder="1" applyAlignment="1" applyProtection="1">
      <alignment horizontal="left" vertical="center" wrapText="1"/>
    </xf>
    <xf numFmtId="0" fontId="29" fillId="2" borderId="0" xfId="4" applyFont="1" applyFill="1" applyBorder="1" applyAlignment="1" applyProtection="1">
      <alignment horizontal="center" vertical="center" wrapText="1"/>
    </xf>
    <xf numFmtId="0" fontId="14" fillId="2" borderId="0" xfId="4" applyFont="1" applyFill="1" applyBorder="1" applyAlignment="1" applyProtection="1">
      <alignment horizontal="center" vertical="center"/>
    </xf>
    <xf numFmtId="0" fontId="24" fillId="2" borderId="15" xfId="4" applyFont="1" applyFill="1" applyBorder="1" applyAlignment="1">
      <alignment horizontal="center" vertical="center" wrapText="1"/>
    </xf>
    <xf numFmtId="0" fontId="25" fillId="2" borderId="0" xfId="4" applyFont="1" applyFill="1" applyBorder="1" applyAlignment="1">
      <alignment wrapText="1"/>
    </xf>
    <xf numFmtId="0" fontId="25" fillId="2" borderId="0" xfId="4" applyFont="1" applyFill="1" applyBorder="1" applyAlignment="1">
      <alignment horizontal="right" vertical="center"/>
    </xf>
    <xf numFmtId="0" fontId="22" fillId="2" borderId="6" xfId="4" applyFont="1" applyFill="1" applyBorder="1" applyAlignment="1">
      <alignment horizontal="center" vertical="center"/>
    </xf>
    <xf numFmtId="0" fontId="20" fillId="2" borderId="0" xfId="4" applyFont="1" applyFill="1" applyBorder="1" applyAlignment="1">
      <alignment horizontal="center" vertical="center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" xfId="12"/>
    <cellStyle name="Normal 4 2" xfId="7"/>
    <cellStyle name="Normal 4 2 2" xfId="13"/>
    <cellStyle name="Normal 5" xfId="8"/>
    <cellStyle name="Normal 5 2" xfId="9"/>
    <cellStyle name="Normal 6" xfId="14"/>
    <cellStyle name="Normal 7" xfId="15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E7FFFF"/>
      <color rgb="FF81FFFF"/>
      <color rgb="FF33CCCC"/>
      <color rgb="FF1C706E"/>
      <color rgb="FF8AE4E2"/>
      <color rgb="FFABFFFF"/>
      <color rgb="FFFF3333"/>
      <color rgb="FF9C00EA"/>
      <color rgb="FFFF4B4B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21632"/>
        <c:axId val="140276096"/>
      </c:barChart>
      <c:catAx>
        <c:axId val="139221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276096"/>
        <c:crosses val="autoZero"/>
        <c:auto val="1"/>
        <c:lblAlgn val="ctr"/>
        <c:lblOffset val="100"/>
        <c:noMultiLvlLbl val="0"/>
      </c:catAx>
      <c:valAx>
        <c:axId val="140276096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9221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355840"/>
        <c:axId val="140412032"/>
      </c:barChart>
      <c:catAx>
        <c:axId val="14035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412032"/>
        <c:crosses val="autoZero"/>
        <c:auto val="1"/>
        <c:lblAlgn val="ctr"/>
        <c:lblOffset val="100"/>
        <c:noMultiLvlLbl val="0"/>
      </c:catAx>
      <c:valAx>
        <c:axId val="140412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0355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S\CARRIER\Carmon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s\sharu\AppData\Local\Microsoft\Windows\Temporary%20Internet%20Files\Content.Outlook\D1OR6BR1\10%20%20Tourism__Min%20of%20Tourism%20updated%20shahuda%20checked%20with%20new%20graph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10%20%20TOURISM-%20Min%20of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ights"/>
      <sheetName val="carmon2000"/>
      <sheetName val="TCARR2000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carmon2001"/>
      <sheetName val="TCARR2001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10.1"/>
      <sheetName val="10.1 (2)fig"/>
      <sheetName val="10.2&amp;fig10.1- 10.2"/>
      <sheetName val="10.3&amp;fig10.3"/>
      <sheetName val="10.4&amp;fig10.4-10.5."/>
      <sheetName val="10.5 (2)graph"/>
      <sheetName val="10.5"/>
      <sheetName val="10.6"/>
      <sheetName val="10.7"/>
      <sheetName val="10.8fig"/>
      <sheetName val="10.9 cd (2)fig"/>
      <sheetName val="10.9 cd"/>
      <sheetName val="10.10 cd"/>
      <sheetName val="10.11 cd"/>
      <sheetName val="10.12 new"/>
      <sheetName val="10.13 new"/>
      <sheetName val="10.14new"/>
    </sheetNames>
    <sheetDataSet>
      <sheetData sheetId="0" refreshError="1"/>
      <sheetData sheetId="1" refreshError="1"/>
      <sheetData sheetId="2">
        <row r="1">
          <cell r="M1" t="str">
            <v>2008</v>
          </cell>
          <cell r="N1" t="str">
            <v>2009</v>
          </cell>
          <cell r="O1" t="str">
            <v>2010</v>
          </cell>
          <cell r="P1" t="str">
            <v>2011</v>
          </cell>
          <cell r="Q1" t="str">
            <v>2012</v>
          </cell>
        </row>
        <row r="4">
          <cell r="M4">
            <v>41511</v>
          </cell>
          <cell r="N4">
            <v>60666</v>
          </cell>
          <cell r="O4">
            <v>118961</v>
          </cell>
          <cell r="P4">
            <v>198655</v>
          </cell>
          <cell r="Q4">
            <v>229551</v>
          </cell>
        </row>
      </sheetData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0.1"/>
      <sheetName val="10.1 figures workings"/>
      <sheetName val="10.2"/>
      <sheetName val="10.3"/>
      <sheetName val="10.4"/>
      <sheetName val="10.5"/>
      <sheetName val="10.7"/>
      <sheetName val="10.8"/>
      <sheetName val="10.9 "/>
      <sheetName val="10.10 "/>
      <sheetName val="10.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W18" t="str">
            <v>Jan</v>
          </cell>
          <cell r="X18" t="str">
            <v>Feb</v>
          </cell>
          <cell r="Y18" t="str">
            <v>Mar</v>
          </cell>
          <cell r="Z18" t="str">
            <v>Apr</v>
          </cell>
          <cell r="AA18" t="str">
            <v>May</v>
          </cell>
          <cell r="AB18" t="str">
            <v>Jun</v>
          </cell>
          <cell r="AC18" t="str">
            <v>Jul</v>
          </cell>
          <cell r="AD18" t="str">
            <v>Aug</v>
          </cell>
          <cell r="AE18" t="str">
            <v>Sep</v>
          </cell>
          <cell r="AF18" t="str">
            <v>Oct</v>
          </cell>
          <cell r="AG18" t="str">
            <v>Nov</v>
          </cell>
          <cell r="AH18" t="str">
            <v>Dec</v>
          </cell>
        </row>
        <row r="19">
          <cell r="V19" t="str">
            <v>Europe</v>
          </cell>
          <cell r="W19">
            <v>52321</v>
          </cell>
          <cell r="X19">
            <v>54095</v>
          </cell>
          <cell r="Y19">
            <v>61204</v>
          </cell>
          <cell r="Z19">
            <v>48978</v>
          </cell>
          <cell r="AA19">
            <v>35167</v>
          </cell>
          <cell r="AB19">
            <v>24238</v>
          </cell>
          <cell r="AC19">
            <v>32701</v>
          </cell>
          <cell r="AD19">
            <v>36640</v>
          </cell>
          <cell r="AE19">
            <v>35574</v>
          </cell>
          <cell r="AF19">
            <v>46530</v>
          </cell>
          <cell r="AG19">
            <v>45894</v>
          </cell>
          <cell r="AH19">
            <v>53932</v>
          </cell>
        </row>
        <row r="20">
          <cell r="V20" t="str">
            <v>Asia</v>
          </cell>
          <cell r="W20">
            <v>29774</v>
          </cell>
          <cell r="X20">
            <v>44791</v>
          </cell>
          <cell r="Y20">
            <v>30647</v>
          </cell>
          <cell r="Z20">
            <v>33903</v>
          </cell>
          <cell r="AA20">
            <v>37946</v>
          </cell>
          <cell r="AB20">
            <v>42613</v>
          </cell>
          <cell r="AC20">
            <v>49319</v>
          </cell>
          <cell r="AD20">
            <v>51450</v>
          </cell>
          <cell r="AE20">
            <v>49179</v>
          </cell>
          <cell r="AF20">
            <v>51598</v>
          </cell>
          <cell r="AG20">
            <v>42348</v>
          </cell>
          <cell r="AH20">
            <v>42185</v>
          </cell>
        </row>
        <row r="21">
          <cell r="V21" t="str">
            <v>Other continents</v>
          </cell>
          <cell r="W21">
            <v>6774</v>
          </cell>
          <cell r="X21">
            <v>5859</v>
          </cell>
          <cell r="Y21">
            <v>7647</v>
          </cell>
          <cell r="Z21">
            <v>7755</v>
          </cell>
          <cell r="AA21">
            <v>6313</v>
          </cell>
          <cell r="AB21">
            <v>9642</v>
          </cell>
          <cell r="AC21">
            <v>5952</v>
          </cell>
          <cell r="AD21">
            <v>10248</v>
          </cell>
          <cell r="AE21">
            <v>7522</v>
          </cell>
          <cell r="AF21">
            <v>9168</v>
          </cell>
          <cell r="AG21">
            <v>6320</v>
          </cell>
          <cell r="AH21">
            <v>8852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30" t="s">
        <v>201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M1" s="2" t="s">
        <v>42</v>
      </c>
      <c r="N1" s="2" t="s">
        <v>47</v>
      </c>
      <c r="O1" s="2" t="s">
        <v>181</v>
      </c>
      <c r="P1" s="2" t="s">
        <v>192</v>
      </c>
      <c r="Q1" s="46" t="s">
        <v>200</v>
      </c>
      <c r="S1" s="47">
        <f>Q2/M2</f>
        <v>5.5298836452988356</v>
      </c>
      <c r="T1" s="48" t="s">
        <v>209</v>
      </c>
      <c r="U1" s="48"/>
    </row>
    <row r="2" spans="1:21" ht="9.75" customHeight="1">
      <c r="A2" s="131" t="s">
        <v>202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49" t="s">
        <v>154</v>
      </c>
      <c r="M2" s="50">
        <f>M4/1000</f>
        <v>41.511000000000003</v>
      </c>
      <c r="N2" s="50">
        <f>N4/1000</f>
        <v>60.665999999999997</v>
      </c>
      <c r="O2" s="50">
        <f>O4/1000</f>
        <v>118.961</v>
      </c>
      <c r="P2" s="50">
        <f>P4/1000</f>
        <v>198.655</v>
      </c>
      <c r="Q2" s="50">
        <f>Q4/1000</f>
        <v>229.55099999999999</v>
      </c>
      <c r="R2" s="51" t="s">
        <v>210</v>
      </c>
    </row>
    <row r="3" spans="1:21" ht="3.7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21" ht="21" customHeight="1">
      <c r="A4" s="132" t="s">
        <v>211</v>
      </c>
      <c r="B4" s="135" t="s">
        <v>46</v>
      </c>
      <c r="C4" s="136"/>
      <c r="D4" s="136"/>
      <c r="E4" s="136"/>
      <c r="F4" s="137"/>
      <c r="G4" s="138" t="s">
        <v>199</v>
      </c>
      <c r="H4" s="139"/>
      <c r="I4" s="139"/>
      <c r="J4" s="139"/>
      <c r="K4" s="140"/>
      <c r="L4" s="49" t="s">
        <v>154</v>
      </c>
      <c r="M4" s="50">
        <v>41511</v>
      </c>
      <c r="N4" s="50">
        <v>60666</v>
      </c>
      <c r="O4" s="52">
        <v>118961</v>
      </c>
      <c r="P4" s="52">
        <v>198655</v>
      </c>
      <c r="Q4" s="53">
        <v>229551</v>
      </c>
    </row>
    <row r="5" spans="1:21" ht="13.5" customHeight="1">
      <c r="A5" s="133"/>
      <c r="B5" s="129" t="s">
        <v>190</v>
      </c>
      <c r="C5" s="129"/>
      <c r="D5" s="129"/>
      <c r="E5" s="129"/>
      <c r="F5" s="141"/>
      <c r="G5" s="142" t="s">
        <v>191</v>
      </c>
      <c r="H5" s="143"/>
      <c r="I5" s="143"/>
      <c r="J5" s="143"/>
      <c r="K5" s="144"/>
    </row>
    <row r="6" spans="1:21" ht="15" customHeight="1">
      <c r="A6" s="134"/>
      <c r="B6" s="2" t="s">
        <v>42</v>
      </c>
      <c r="C6" s="2" t="s">
        <v>47</v>
      </c>
      <c r="D6" s="2" t="s">
        <v>181</v>
      </c>
      <c r="E6" s="2" t="s">
        <v>192</v>
      </c>
      <c r="F6" s="46" t="s">
        <v>200</v>
      </c>
      <c r="G6" s="54">
        <v>2008</v>
      </c>
      <c r="H6" s="3">
        <v>2009</v>
      </c>
      <c r="I6" s="3">
        <v>2010</v>
      </c>
      <c r="J6" s="3">
        <v>2011</v>
      </c>
      <c r="K6" s="55">
        <v>2012</v>
      </c>
    </row>
    <row r="7" spans="1:21" ht="12.75" customHeight="1">
      <c r="A7" s="49" t="s">
        <v>154</v>
      </c>
      <c r="B7" s="50">
        <v>41511</v>
      </c>
      <c r="C7" s="50">
        <v>60666</v>
      </c>
      <c r="D7" s="52">
        <v>118961</v>
      </c>
      <c r="E7" s="52">
        <v>198655</v>
      </c>
      <c r="F7" s="53">
        <v>229551</v>
      </c>
      <c r="G7" s="56">
        <v>15.385256837891928</v>
      </c>
      <c r="H7" s="56">
        <f t="shared" ref="H7:K38" si="0">(C7-B7)/B7*100</f>
        <v>46.144395461443956</v>
      </c>
      <c r="I7" s="57">
        <f t="shared" si="0"/>
        <v>96.091715293574651</v>
      </c>
      <c r="J7" s="57">
        <f t="shared" si="0"/>
        <v>66.991703163221558</v>
      </c>
      <c r="K7" s="58">
        <f t="shared" si="0"/>
        <v>15.552591175656289</v>
      </c>
    </row>
    <row r="8" spans="1:21" ht="12.75" customHeight="1">
      <c r="A8" s="49" t="s">
        <v>133</v>
      </c>
      <c r="B8" s="50">
        <v>69240</v>
      </c>
      <c r="C8" s="50">
        <v>69085</v>
      </c>
      <c r="D8" s="52">
        <v>77108</v>
      </c>
      <c r="E8" s="52">
        <v>90517</v>
      </c>
      <c r="F8" s="53">
        <v>98351</v>
      </c>
      <c r="G8" s="56">
        <v>-4.1912853367280576</v>
      </c>
      <c r="H8" s="56">
        <f t="shared" si="0"/>
        <v>-0.2238590410167533</v>
      </c>
      <c r="I8" s="57">
        <f t="shared" si="0"/>
        <v>11.613230078888325</v>
      </c>
      <c r="J8" s="57">
        <f t="shared" si="0"/>
        <v>17.389894693157647</v>
      </c>
      <c r="K8" s="58">
        <f t="shared" si="0"/>
        <v>8.654727841179005</v>
      </c>
    </row>
    <row r="9" spans="1:21" ht="12.75" customHeight="1">
      <c r="A9" s="49" t="s">
        <v>151</v>
      </c>
      <c r="B9" s="50">
        <v>116821</v>
      </c>
      <c r="C9" s="50">
        <v>105950</v>
      </c>
      <c r="D9" s="52">
        <v>114158</v>
      </c>
      <c r="E9" s="52">
        <v>104508</v>
      </c>
      <c r="F9" s="53">
        <v>91776</v>
      </c>
      <c r="G9" s="56">
        <v>-6.6611802681410701</v>
      </c>
      <c r="H9" s="56">
        <f t="shared" si="0"/>
        <v>-9.3056899016443957</v>
      </c>
      <c r="I9" s="57">
        <f t="shared" si="0"/>
        <v>7.7470504955167536</v>
      </c>
      <c r="J9" s="57">
        <f t="shared" si="0"/>
        <v>-8.4531964470295549</v>
      </c>
      <c r="K9" s="58">
        <f t="shared" si="0"/>
        <v>-12.182799402916524</v>
      </c>
    </row>
    <row r="10" spans="1:21" ht="12.75" customHeight="1">
      <c r="A10" s="49" t="s">
        <v>143</v>
      </c>
      <c r="B10" s="50">
        <v>48978</v>
      </c>
      <c r="C10" s="50">
        <v>40014</v>
      </c>
      <c r="D10" s="52">
        <v>49111</v>
      </c>
      <c r="E10" s="52">
        <v>63936</v>
      </c>
      <c r="F10" s="53">
        <v>66378</v>
      </c>
      <c r="G10" s="56">
        <v>53.801224682053693</v>
      </c>
      <c r="H10" s="56">
        <f t="shared" si="0"/>
        <v>-18.302094818081589</v>
      </c>
      <c r="I10" s="57">
        <f t="shared" si="0"/>
        <v>22.734542909981506</v>
      </c>
      <c r="J10" s="57">
        <f t="shared" si="0"/>
        <v>30.186719879456742</v>
      </c>
      <c r="K10" s="58">
        <f t="shared" si="0"/>
        <v>3.8194444444444446</v>
      </c>
    </row>
    <row r="11" spans="1:21" ht="12.75" customHeight="1">
      <c r="A11" s="49" t="s">
        <v>138</v>
      </c>
      <c r="B11" s="50">
        <v>103824</v>
      </c>
      <c r="C11" s="50">
        <v>89292</v>
      </c>
      <c r="D11" s="52">
        <v>89596</v>
      </c>
      <c r="E11" s="52">
        <v>83088</v>
      </c>
      <c r="F11" s="53">
        <v>62782</v>
      </c>
      <c r="G11" s="56">
        <v>-11.44772529553247</v>
      </c>
      <c r="H11" s="56">
        <f t="shared" si="0"/>
        <v>-13.996763754045308</v>
      </c>
      <c r="I11" s="57">
        <f t="shared" si="0"/>
        <v>0.34045603189535456</v>
      </c>
      <c r="J11" s="57">
        <f t="shared" si="0"/>
        <v>-7.2637171302290273</v>
      </c>
      <c r="K11" s="58">
        <f t="shared" si="0"/>
        <v>-24.439148854226843</v>
      </c>
    </row>
    <row r="12" spans="1:21" ht="12.75" customHeight="1">
      <c r="A12" s="49" t="s">
        <v>132</v>
      </c>
      <c r="B12" s="50">
        <v>48100</v>
      </c>
      <c r="C12" s="50">
        <v>50373</v>
      </c>
      <c r="D12" s="52">
        <v>54789</v>
      </c>
      <c r="E12" s="52">
        <v>59694</v>
      </c>
      <c r="F12" s="53">
        <v>56775</v>
      </c>
      <c r="G12" s="56">
        <v>6.1786715525043601</v>
      </c>
      <c r="H12" s="56">
        <f t="shared" si="0"/>
        <v>4.7255717255717258</v>
      </c>
      <c r="I12" s="57">
        <f t="shared" si="0"/>
        <v>8.766601155380858</v>
      </c>
      <c r="J12" s="57">
        <f t="shared" si="0"/>
        <v>8.9525269670919343</v>
      </c>
      <c r="K12" s="58">
        <f t="shared" si="0"/>
        <v>-4.889938687305257</v>
      </c>
    </row>
    <row r="13" spans="1:21" ht="12.75" customHeight="1">
      <c r="A13" s="49" t="s">
        <v>157</v>
      </c>
      <c r="B13" s="50">
        <v>38193</v>
      </c>
      <c r="C13" s="50">
        <v>36641</v>
      </c>
      <c r="D13" s="52">
        <v>38791</v>
      </c>
      <c r="E13" s="52">
        <v>35782</v>
      </c>
      <c r="F13" s="53">
        <v>36438</v>
      </c>
      <c r="G13" s="56">
        <v>-7.120449405413293</v>
      </c>
      <c r="H13" s="56">
        <f t="shared" si="0"/>
        <v>-4.063571858717566</v>
      </c>
      <c r="I13" s="57">
        <f t="shared" si="0"/>
        <v>5.8677437842853637</v>
      </c>
      <c r="J13" s="57">
        <f t="shared" si="0"/>
        <v>-7.7569539326132348</v>
      </c>
      <c r="K13" s="58">
        <f t="shared" si="0"/>
        <v>1.8333240176625119</v>
      </c>
    </row>
    <row r="14" spans="1:21" ht="12.75" customHeight="1">
      <c r="A14" s="49" t="s">
        <v>148</v>
      </c>
      <c r="B14" s="50">
        <v>26983</v>
      </c>
      <c r="C14" s="50">
        <v>26783</v>
      </c>
      <c r="D14" s="52">
        <v>27766</v>
      </c>
      <c r="E14" s="52">
        <v>32504</v>
      </c>
      <c r="F14" s="53">
        <v>35457</v>
      </c>
      <c r="G14" s="56">
        <v>3.0554176373983117</v>
      </c>
      <c r="H14" s="56">
        <f t="shared" si="0"/>
        <v>-0.74120742689841757</v>
      </c>
      <c r="I14" s="57">
        <f t="shared" si="0"/>
        <v>3.6702385841765301</v>
      </c>
      <c r="J14" s="57">
        <f t="shared" si="0"/>
        <v>17.064035150903983</v>
      </c>
      <c r="K14" s="58">
        <f t="shared" si="0"/>
        <v>9.0850356879153349</v>
      </c>
    </row>
    <row r="15" spans="1:21" ht="12.75" customHeight="1">
      <c r="A15" s="49" t="s">
        <v>155</v>
      </c>
      <c r="B15" s="50">
        <v>16663</v>
      </c>
      <c r="C15" s="50">
        <v>15850</v>
      </c>
      <c r="D15" s="52">
        <v>25756</v>
      </c>
      <c r="E15" s="52">
        <v>30978</v>
      </c>
      <c r="F15" s="53">
        <v>31721</v>
      </c>
      <c r="G15" s="56">
        <v>-3.832169446528539</v>
      </c>
      <c r="H15" s="56">
        <f t="shared" si="0"/>
        <v>-4.8790733961471524</v>
      </c>
      <c r="I15" s="57">
        <f t="shared" si="0"/>
        <v>62.498422712933753</v>
      </c>
      <c r="J15" s="57">
        <f t="shared" si="0"/>
        <v>20.274887404876534</v>
      </c>
      <c r="K15" s="58">
        <f t="shared" si="0"/>
        <v>2.3984763380463554</v>
      </c>
    </row>
    <row r="16" spans="1:21" ht="12.75" customHeight="1">
      <c r="A16" s="49" t="s">
        <v>158</v>
      </c>
      <c r="B16" s="50">
        <v>20934</v>
      </c>
      <c r="C16" s="50">
        <v>16135</v>
      </c>
      <c r="D16" s="52">
        <v>24808</v>
      </c>
      <c r="E16" s="52">
        <v>25285</v>
      </c>
      <c r="F16" s="53">
        <v>23933</v>
      </c>
      <c r="G16" s="56">
        <v>-0.20022883295194507</v>
      </c>
      <c r="H16" s="56">
        <f t="shared" si="0"/>
        <v>-22.92442915830706</v>
      </c>
      <c r="I16" s="57">
        <f t="shared" si="0"/>
        <v>53.752711496746208</v>
      </c>
      <c r="J16" s="57">
        <f t="shared" si="0"/>
        <v>1.9227668494034182</v>
      </c>
      <c r="K16" s="58">
        <f t="shared" si="0"/>
        <v>-5.3470437017994854</v>
      </c>
    </row>
    <row r="17" spans="1:15" ht="12.75" customHeight="1">
      <c r="A17" s="59" t="s">
        <v>152</v>
      </c>
      <c r="B17" s="60">
        <v>9482</v>
      </c>
      <c r="C17" s="60">
        <v>9476</v>
      </c>
      <c r="D17" s="61">
        <v>10220</v>
      </c>
      <c r="E17" s="61">
        <v>12088</v>
      </c>
      <c r="F17" s="62">
        <v>18612</v>
      </c>
      <c r="G17" s="63">
        <v>16.272225628448805</v>
      </c>
      <c r="H17" s="63">
        <f t="shared" si="0"/>
        <v>-6.3277789495886944E-2</v>
      </c>
      <c r="I17" s="64">
        <f t="shared" si="0"/>
        <v>7.8514140987758552</v>
      </c>
      <c r="J17" s="64">
        <f t="shared" si="0"/>
        <v>18.277886497064578</v>
      </c>
      <c r="K17" s="65">
        <f t="shared" si="0"/>
        <v>53.970880211780283</v>
      </c>
    </row>
    <row r="18" spans="1:15" ht="12.75" customHeight="1">
      <c r="A18" s="59" t="s">
        <v>127</v>
      </c>
      <c r="B18" s="60">
        <v>13462</v>
      </c>
      <c r="C18" s="60">
        <v>13274</v>
      </c>
      <c r="D18" s="61">
        <v>14944</v>
      </c>
      <c r="E18" s="61">
        <v>16655</v>
      </c>
      <c r="F18" s="62">
        <v>18164</v>
      </c>
      <c r="G18" s="63">
        <v>-1.5431873034447401</v>
      </c>
      <c r="H18" s="63">
        <f t="shared" si="0"/>
        <v>-1.3965235477640767</v>
      </c>
      <c r="I18" s="64">
        <f t="shared" si="0"/>
        <v>12.580985384963087</v>
      </c>
      <c r="J18" s="64">
        <f t="shared" si="0"/>
        <v>11.44941113490364</v>
      </c>
      <c r="K18" s="65">
        <f t="shared" si="0"/>
        <v>9.0603422395676976</v>
      </c>
    </row>
    <row r="19" spans="1:15" ht="12.75" customHeight="1">
      <c r="A19" s="59" t="s">
        <v>171</v>
      </c>
      <c r="B19" s="60">
        <v>8853</v>
      </c>
      <c r="C19" s="60">
        <v>9438</v>
      </c>
      <c r="D19" s="61">
        <v>11482</v>
      </c>
      <c r="E19" s="61">
        <v>14490</v>
      </c>
      <c r="F19" s="62">
        <v>16049</v>
      </c>
      <c r="G19" s="63">
        <v>-5.2952503209242625</v>
      </c>
      <c r="H19" s="63">
        <f t="shared" si="0"/>
        <v>6.607929515418502</v>
      </c>
      <c r="I19" s="64">
        <f t="shared" si="0"/>
        <v>21.657130748039837</v>
      </c>
      <c r="J19" s="64">
        <f t="shared" si="0"/>
        <v>26.197526563316497</v>
      </c>
      <c r="K19" s="65">
        <f t="shared" si="0"/>
        <v>10.759144237405106</v>
      </c>
    </row>
    <row r="20" spans="1:15" ht="12.75" customHeight="1">
      <c r="A20" s="59" t="s">
        <v>173</v>
      </c>
      <c r="B20" s="60">
        <v>9368</v>
      </c>
      <c r="C20" s="60">
        <v>7392</v>
      </c>
      <c r="D20" s="61">
        <v>9622</v>
      </c>
      <c r="E20" s="61">
        <v>12778</v>
      </c>
      <c r="F20" s="62">
        <v>15208</v>
      </c>
      <c r="G20" s="63">
        <v>-0.40399744843716773</v>
      </c>
      <c r="H20" s="63">
        <f t="shared" si="0"/>
        <v>-21.093082835183605</v>
      </c>
      <c r="I20" s="64">
        <f t="shared" si="0"/>
        <v>30.167748917748916</v>
      </c>
      <c r="J20" s="64">
        <f t="shared" si="0"/>
        <v>32.799833714404492</v>
      </c>
      <c r="K20" s="65">
        <f t="shared" si="0"/>
        <v>19.017060572859602</v>
      </c>
    </row>
    <row r="21" spans="1:15" ht="12.75" customHeight="1">
      <c r="A21" s="59" t="s">
        <v>162</v>
      </c>
      <c r="B21" s="60">
        <v>4956</v>
      </c>
      <c r="C21" s="60">
        <v>5214</v>
      </c>
      <c r="D21" s="61">
        <v>5332</v>
      </c>
      <c r="E21" s="61">
        <v>7990</v>
      </c>
      <c r="F21" s="62">
        <v>9625</v>
      </c>
      <c r="G21" s="63">
        <v>11.220825852782765</v>
      </c>
      <c r="H21" s="63">
        <f t="shared" si="0"/>
        <v>5.2058111380145284</v>
      </c>
      <c r="I21" s="64">
        <f t="shared" si="0"/>
        <v>2.263137706175681</v>
      </c>
      <c r="J21" s="64">
        <f t="shared" si="0"/>
        <v>49.849962490622659</v>
      </c>
      <c r="K21" s="65">
        <f t="shared" si="0"/>
        <v>20.463078848560702</v>
      </c>
    </row>
    <row r="22" spans="1:15" ht="12.75" customHeight="1">
      <c r="A22" s="59" t="s">
        <v>163</v>
      </c>
      <c r="B22" s="60">
        <v>9752</v>
      </c>
      <c r="C22" s="60">
        <v>7833</v>
      </c>
      <c r="D22" s="61">
        <v>7872</v>
      </c>
      <c r="E22" s="61">
        <v>9670</v>
      </c>
      <c r="F22" s="62">
        <v>8860</v>
      </c>
      <c r="G22" s="63">
        <v>1.015123264967889</v>
      </c>
      <c r="H22" s="63">
        <f t="shared" si="0"/>
        <v>-19.678014766201805</v>
      </c>
      <c r="I22" s="64">
        <f t="shared" si="0"/>
        <v>0.49789352738414405</v>
      </c>
      <c r="J22" s="64">
        <f t="shared" si="0"/>
        <v>22.840447154471544</v>
      </c>
      <c r="K22" s="65">
        <f t="shared" si="0"/>
        <v>-8.3764219234746644</v>
      </c>
    </row>
    <row r="23" spans="1:15" ht="12.75" customHeight="1">
      <c r="A23" s="59" t="s">
        <v>146</v>
      </c>
      <c r="B23" s="60">
        <v>8217</v>
      </c>
      <c r="C23" s="60">
        <v>7279</v>
      </c>
      <c r="D23" s="61">
        <v>8912</v>
      </c>
      <c r="E23" s="61">
        <v>9710</v>
      </c>
      <c r="F23" s="62">
        <v>8824</v>
      </c>
      <c r="G23" s="63">
        <v>-6.6037735849056602</v>
      </c>
      <c r="H23" s="63">
        <f t="shared" si="0"/>
        <v>-11.415358403310211</v>
      </c>
      <c r="I23" s="64">
        <f t="shared" si="0"/>
        <v>22.434400329715622</v>
      </c>
      <c r="J23" s="64">
        <f t="shared" si="0"/>
        <v>8.9542190305206457</v>
      </c>
      <c r="K23" s="65">
        <f t="shared" si="0"/>
        <v>-9.1246138002059727</v>
      </c>
      <c r="O23" s="48" t="s">
        <v>212</v>
      </c>
    </row>
    <row r="24" spans="1:15" ht="12.75" customHeight="1">
      <c r="A24" s="59" t="s">
        <v>150</v>
      </c>
      <c r="B24" s="60">
        <v>5399</v>
      </c>
      <c r="C24" s="60">
        <v>4643</v>
      </c>
      <c r="D24" s="61">
        <v>5445</v>
      </c>
      <c r="E24" s="61">
        <v>6729</v>
      </c>
      <c r="F24" s="62">
        <v>8044</v>
      </c>
      <c r="G24" s="63">
        <v>52.299012693935119</v>
      </c>
      <c r="H24" s="63">
        <f t="shared" si="0"/>
        <v>-14.002593072791258</v>
      </c>
      <c r="I24" s="64">
        <f t="shared" si="0"/>
        <v>17.273314667241007</v>
      </c>
      <c r="J24" s="64">
        <f t="shared" si="0"/>
        <v>23.581267217630856</v>
      </c>
      <c r="K24" s="65">
        <f t="shared" si="0"/>
        <v>19.542279684945758</v>
      </c>
    </row>
    <row r="25" spans="1:15" ht="12.75" customHeight="1">
      <c r="A25" s="59" t="s">
        <v>178</v>
      </c>
      <c r="B25" s="60">
        <v>2747</v>
      </c>
      <c r="C25" s="60">
        <v>3036</v>
      </c>
      <c r="D25" s="61">
        <v>4040</v>
      </c>
      <c r="E25" s="61">
        <v>5005</v>
      </c>
      <c r="F25" s="62">
        <v>7263</v>
      </c>
      <c r="G25" s="63">
        <v>41.597938144329902</v>
      </c>
      <c r="H25" s="63">
        <f t="shared" si="0"/>
        <v>10.520567892246087</v>
      </c>
      <c r="I25" s="64">
        <f t="shared" si="0"/>
        <v>33.06982872200264</v>
      </c>
      <c r="J25" s="64">
        <f t="shared" si="0"/>
        <v>23.886138613861384</v>
      </c>
      <c r="K25" s="65">
        <f t="shared" si="0"/>
        <v>45.114885114885119</v>
      </c>
    </row>
    <row r="26" spans="1:15" ht="12.75" customHeight="1">
      <c r="A26" s="59" t="s">
        <v>165</v>
      </c>
      <c r="B26" s="60">
        <v>3952</v>
      </c>
      <c r="C26" s="60">
        <v>3813</v>
      </c>
      <c r="D26" s="61">
        <v>5397</v>
      </c>
      <c r="E26" s="61">
        <v>6214</v>
      </c>
      <c r="F26" s="62">
        <v>6896</v>
      </c>
      <c r="G26" s="63">
        <v>7.8897078897078892</v>
      </c>
      <c r="H26" s="63">
        <f t="shared" si="0"/>
        <v>-3.5172064777327936</v>
      </c>
      <c r="I26" s="64">
        <f t="shared" si="0"/>
        <v>41.542092840283239</v>
      </c>
      <c r="J26" s="64">
        <f t="shared" si="0"/>
        <v>15.138039651658328</v>
      </c>
      <c r="K26" s="65">
        <f t="shared" si="0"/>
        <v>10.975217251367878</v>
      </c>
    </row>
    <row r="27" spans="1:15" ht="12.75" customHeight="1">
      <c r="A27" s="59" t="s">
        <v>159</v>
      </c>
      <c r="B27" s="60">
        <v>3137</v>
      </c>
      <c r="C27" s="60">
        <v>3139</v>
      </c>
      <c r="D27" s="61">
        <v>3894</v>
      </c>
      <c r="E27" s="61">
        <v>6055</v>
      </c>
      <c r="F27" s="62">
        <v>6766</v>
      </c>
      <c r="G27" s="63">
        <v>4.6015338446148721</v>
      </c>
      <c r="H27" s="63">
        <f t="shared" si="0"/>
        <v>6.3755180108383797E-2</v>
      </c>
      <c r="I27" s="64">
        <f t="shared" si="0"/>
        <v>24.052245938196879</v>
      </c>
      <c r="J27" s="64">
        <f t="shared" si="0"/>
        <v>55.495634309193633</v>
      </c>
      <c r="K27" s="65">
        <f t="shared" si="0"/>
        <v>11.742361684558217</v>
      </c>
    </row>
    <row r="28" spans="1:15" ht="12.75" customHeight="1">
      <c r="A28" s="59" t="s">
        <v>139</v>
      </c>
      <c r="B28" s="60">
        <v>5595</v>
      </c>
      <c r="C28" s="60">
        <v>5355</v>
      </c>
      <c r="D28" s="61">
        <v>5682</v>
      </c>
      <c r="E28" s="61">
        <v>5693</v>
      </c>
      <c r="F28" s="62">
        <v>6077</v>
      </c>
      <c r="G28" s="63">
        <v>-13.644080876678499</v>
      </c>
      <c r="H28" s="63">
        <f t="shared" si="0"/>
        <v>-4.2895442359249332</v>
      </c>
      <c r="I28" s="64">
        <f t="shared" si="0"/>
        <v>6.1064425770308119</v>
      </c>
      <c r="J28" s="64">
        <f t="shared" si="0"/>
        <v>0.19359380499824005</v>
      </c>
      <c r="K28" s="65">
        <f t="shared" si="0"/>
        <v>6.745125592833304</v>
      </c>
    </row>
    <row r="29" spans="1:15" ht="12.75" customHeight="1">
      <c r="A29" s="59" t="s">
        <v>180</v>
      </c>
      <c r="B29" s="60">
        <v>2585</v>
      </c>
      <c r="C29" s="60">
        <v>2744</v>
      </c>
      <c r="D29" s="61">
        <v>3336</v>
      </c>
      <c r="E29" s="61">
        <v>4130</v>
      </c>
      <c r="F29" s="62">
        <v>5880</v>
      </c>
      <c r="G29" s="63">
        <v>26.777832270720943</v>
      </c>
      <c r="H29" s="63">
        <f t="shared" si="0"/>
        <v>6.1508704061895552</v>
      </c>
      <c r="I29" s="64">
        <f t="shared" si="0"/>
        <v>21.574344023323615</v>
      </c>
      <c r="J29" s="64">
        <f t="shared" si="0"/>
        <v>23.800959232613909</v>
      </c>
      <c r="K29" s="65">
        <f t="shared" si="0"/>
        <v>42.372881355932201</v>
      </c>
    </row>
    <row r="30" spans="1:15" ht="12.75" customHeight="1">
      <c r="A30" s="59" t="s">
        <v>129</v>
      </c>
      <c r="B30" s="60">
        <v>3811</v>
      </c>
      <c r="C30" s="60">
        <v>3851</v>
      </c>
      <c r="D30" s="61">
        <v>5137</v>
      </c>
      <c r="E30" s="61">
        <v>6471</v>
      </c>
      <c r="F30" s="62">
        <v>5588</v>
      </c>
      <c r="G30" s="63">
        <v>37.780187997107738</v>
      </c>
      <c r="H30" s="63">
        <f t="shared" si="0"/>
        <v>1.0495932826029915</v>
      </c>
      <c r="I30" s="64">
        <f t="shared" si="0"/>
        <v>33.393923656193195</v>
      </c>
      <c r="J30" s="64">
        <f t="shared" si="0"/>
        <v>25.968464084095778</v>
      </c>
      <c r="K30" s="65">
        <f t="shared" si="0"/>
        <v>-13.645495286663575</v>
      </c>
    </row>
    <row r="31" spans="1:15" ht="12.75" customHeight="1">
      <c r="A31" s="59" t="s">
        <v>149</v>
      </c>
      <c r="B31" s="60">
        <v>3235</v>
      </c>
      <c r="C31" s="60">
        <v>2758</v>
      </c>
      <c r="D31" s="61">
        <v>4637</v>
      </c>
      <c r="E31" s="61">
        <v>4542</v>
      </c>
      <c r="F31" s="62">
        <v>5416</v>
      </c>
      <c r="G31" s="63">
        <v>32.473382473382472</v>
      </c>
      <c r="H31" s="63">
        <f t="shared" si="0"/>
        <v>-14.744976816074187</v>
      </c>
      <c r="I31" s="64">
        <f t="shared" si="0"/>
        <v>68.129079042784625</v>
      </c>
      <c r="J31" s="64">
        <f t="shared" si="0"/>
        <v>-2.0487384084537417</v>
      </c>
      <c r="K31" s="65">
        <f t="shared" si="0"/>
        <v>19.242624394539849</v>
      </c>
    </row>
    <row r="32" spans="1:15" ht="12.75" customHeight="1">
      <c r="A32" s="59" t="s">
        <v>147</v>
      </c>
      <c r="B32" s="60">
        <v>3542</v>
      </c>
      <c r="C32" s="60">
        <v>3165</v>
      </c>
      <c r="D32" s="61">
        <v>3638</v>
      </c>
      <c r="E32" s="61">
        <v>4896</v>
      </c>
      <c r="F32" s="62">
        <v>5230</v>
      </c>
      <c r="G32" s="63">
        <v>64.820846905537451</v>
      </c>
      <c r="H32" s="63">
        <f t="shared" si="0"/>
        <v>-10.643704121964992</v>
      </c>
      <c r="I32" s="64">
        <f t="shared" si="0"/>
        <v>14.944707740916272</v>
      </c>
      <c r="J32" s="64">
        <f t="shared" si="0"/>
        <v>34.579439252336449</v>
      </c>
      <c r="K32" s="65">
        <f t="shared" si="0"/>
        <v>6.8218954248366011</v>
      </c>
    </row>
    <row r="33" spans="1:14" ht="12.75" customHeight="1">
      <c r="A33" s="59" t="s">
        <v>170</v>
      </c>
      <c r="B33" s="60">
        <v>2966</v>
      </c>
      <c r="C33" s="60">
        <v>3043</v>
      </c>
      <c r="D33" s="61">
        <v>3815</v>
      </c>
      <c r="E33" s="61">
        <v>4690</v>
      </c>
      <c r="F33" s="62">
        <v>5070</v>
      </c>
      <c r="G33" s="63">
        <v>4.0336723956506493</v>
      </c>
      <c r="H33" s="63">
        <f t="shared" si="0"/>
        <v>2.5960890087660147</v>
      </c>
      <c r="I33" s="64">
        <f t="shared" si="0"/>
        <v>25.369700953006902</v>
      </c>
      <c r="J33" s="64">
        <f t="shared" si="0"/>
        <v>22.935779816513762</v>
      </c>
      <c r="K33" s="65">
        <f t="shared" si="0"/>
        <v>8.1023454157782524</v>
      </c>
    </row>
    <row r="34" spans="1:14" ht="12.75" customHeight="1">
      <c r="A34" s="59" t="s">
        <v>164</v>
      </c>
      <c r="B34" s="60">
        <v>2233</v>
      </c>
      <c r="C34" s="60">
        <v>1975</v>
      </c>
      <c r="D34" s="61">
        <v>3831</v>
      </c>
      <c r="E34" s="61">
        <v>5305</v>
      </c>
      <c r="F34" s="62">
        <v>4430</v>
      </c>
      <c r="G34" s="63">
        <v>10.654112983151636</v>
      </c>
      <c r="H34" s="63">
        <f t="shared" si="0"/>
        <v>-11.553963278101209</v>
      </c>
      <c r="I34" s="64">
        <f t="shared" si="0"/>
        <v>93.974683544303801</v>
      </c>
      <c r="J34" s="64">
        <f t="shared" si="0"/>
        <v>38.475593839728525</v>
      </c>
      <c r="K34" s="65">
        <f t="shared" si="0"/>
        <v>-16.493873704052781</v>
      </c>
    </row>
    <row r="35" spans="1:14" ht="12.75" customHeight="1">
      <c r="A35" s="59" t="s">
        <v>179</v>
      </c>
      <c r="B35" s="60">
        <v>1394</v>
      </c>
      <c r="C35" s="60">
        <v>1580</v>
      </c>
      <c r="D35" s="61">
        <v>1699</v>
      </c>
      <c r="E35" s="61">
        <v>2292</v>
      </c>
      <c r="F35" s="62">
        <v>4047</v>
      </c>
      <c r="G35" s="63">
        <v>72.738537794299873</v>
      </c>
      <c r="H35" s="63">
        <f t="shared" si="0"/>
        <v>13.342898134863701</v>
      </c>
      <c r="I35" s="64">
        <f t="shared" si="0"/>
        <v>7.5316455696202533</v>
      </c>
      <c r="J35" s="64">
        <f t="shared" si="0"/>
        <v>34.90288404944085</v>
      </c>
      <c r="K35" s="65">
        <f t="shared" si="0"/>
        <v>76.570680628272243</v>
      </c>
    </row>
    <row r="36" spans="1:14" ht="12.75" customHeight="1">
      <c r="A36" s="59" t="s">
        <v>167</v>
      </c>
      <c r="B36" s="60">
        <v>3732</v>
      </c>
      <c r="C36" s="60">
        <v>2975</v>
      </c>
      <c r="D36" s="61">
        <v>3157</v>
      </c>
      <c r="E36" s="61">
        <v>3684</v>
      </c>
      <c r="F36" s="62">
        <v>3967</v>
      </c>
      <c r="G36" s="63">
        <v>13.331308836926814</v>
      </c>
      <c r="H36" s="63">
        <f t="shared" si="0"/>
        <v>-20.284030010718112</v>
      </c>
      <c r="I36" s="64">
        <f t="shared" si="0"/>
        <v>6.1176470588235299</v>
      </c>
      <c r="J36" s="64">
        <f t="shared" si="0"/>
        <v>16.69306303452645</v>
      </c>
      <c r="K36" s="65">
        <f t="shared" si="0"/>
        <v>7.681867535287731</v>
      </c>
    </row>
    <row r="37" spans="1:14" ht="12.75" customHeight="1">
      <c r="A37" s="59" t="s">
        <v>141</v>
      </c>
      <c r="B37" s="60">
        <v>3325</v>
      </c>
      <c r="C37" s="60">
        <v>3357</v>
      </c>
      <c r="D37" s="61">
        <v>3795</v>
      </c>
      <c r="E37" s="61">
        <v>4158</v>
      </c>
      <c r="F37" s="62">
        <v>3918</v>
      </c>
      <c r="G37" s="63">
        <v>25.047010154193305</v>
      </c>
      <c r="H37" s="63">
        <f t="shared" si="0"/>
        <v>0.96240601503759393</v>
      </c>
      <c r="I37" s="64">
        <f t="shared" si="0"/>
        <v>13.047363717605004</v>
      </c>
      <c r="J37" s="64">
        <f t="shared" si="0"/>
        <v>9.5652173913043477</v>
      </c>
      <c r="K37" s="65">
        <f t="shared" si="0"/>
        <v>-5.7720057720057723</v>
      </c>
    </row>
    <row r="38" spans="1:14" ht="12.75" customHeight="1">
      <c r="A38" s="59" t="s">
        <v>142</v>
      </c>
      <c r="B38" s="60">
        <v>4150</v>
      </c>
      <c r="C38" s="60">
        <v>4822</v>
      </c>
      <c r="D38" s="61">
        <v>4555</v>
      </c>
      <c r="E38" s="61">
        <v>4434</v>
      </c>
      <c r="F38" s="62">
        <v>3660</v>
      </c>
      <c r="G38" s="63">
        <v>-0.90735434574976126</v>
      </c>
      <c r="H38" s="63">
        <f t="shared" si="0"/>
        <v>16.192771084337348</v>
      </c>
      <c r="I38" s="64">
        <f t="shared" si="0"/>
        <v>-5.5371215263376188</v>
      </c>
      <c r="J38" s="64">
        <f t="shared" si="0"/>
        <v>-2.6564215148188803</v>
      </c>
      <c r="K38" s="65">
        <f t="shared" si="0"/>
        <v>-17.456021650879567</v>
      </c>
    </row>
    <row r="39" spans="1:14" ht="12.75" customHeight="1">
      <c r="A39" s="59" t="s">
        <v>130</v>
      </c>
      <c r="B39" s="60">
        <v>1834</v>
      </c>
      <c r="C39" s="60">
        <v>1722</v>
      </c>
      <c r="D39" s="61">
        <v>2422</v>
      </c>
      <c r="E39" s="61">
        <v>3173</v>
      </c>
      <c r="F39" s="62">
        <v>3493</v>
      </c>
      <c r="G39" s="63">
        <v>0.82462891698735563</v>
      </c>
      <c r="H39" s="63">
        <f t="shared" ref="H39:K60" si="1">(C39-B39)/B39*100</f>
        <v>-6.1068702290076331</v>
      </c>
      <c r="I39" s="64">
        <f t="shared" si="1"/>
        <v>40.650406504065039</v>
      </c>
      <c r="J39" s="64">
        <f t="shared" si="1"/>
        <v>31.007431874483899</v>
      </c>
      <c r="K39" s="65">
        <f t="shared" si="1"/>
        <v>10.085092971950834</v>
      </c>
    </row>
    <row r="40" spans="1:14" ht="12.75" customHeight="1">
      <c r="A40" s="59" t="s">
        <v>168</v>
      </c>
      <c r="B40" s="60">
        <v>1962</v>
      </c>
      <c r="C40" s="60">
        <v>2059</v>
      </c>
      <c r="D40" s="61">
        <v>2471</v>
      </c>
      <c r="E40" s="61">
        <v>2781</v>
      </c>
      <c r="F40" s="62">
        <v>3128</v>
      </c>
      <c r="G40" s="63">
        <v>26.336123631680618</v>
      </c>
      <c r="H40" s="63">
        <f t="shared" si="1"/>
        <v>4.9439347604485224</v>
      </c>
      <c r="I40" s="64">
        <f t="shared" si="1"/>
        <v>20.009713453132587</v>
      </c>
      <c r="J40" s="64">
        <f t="shared" si="1"/>
        <v>12.545528126264671</v>
      </c>
      <c r="K40" s="65">
        <f t="shared" si="1"/>
        <v>12.47752606975908</v>
      </c>
    </row>
    <row r="41" spans="1:14" ht="12.75" customHeight="1">
      <c r="A41" s="59" t="s">
        <v>169</v>
      </c>
      <c r="B41" s="60">
        <v>1327</v>
      </c>
      <c r="C41" s="60">
        <v>1304</v>
      </c>
      <c r="D41" s="61">
        <v>1761</v>
      </c>
      <c r="E41" s="61">
        <v>2342</v>
      </c>
      <c r="F41" s="62">
        <v>3061</v>
      </c>
      <c r="G41" s="63">
        <v>87.429378531073439</v>
      </c>
      <c r="H41" s="63">
        <f t="shared" si="1"/>
        <v>-1.7332328560663148</v>
      </c>
      <c r="I41" s="64">
        <f t="shared" si="1"/>
        <v>35.04601226993865</v>
      </c>
      <c r="J41" s="64">
        <f t="shared" si="1"/>
        <v>32.992617830777967</v>
      </c>
      <c r="K41" s="65">
        <f t="shared" si="1"/>
        <v>30.700256191289498</v>
      </c>
    </row>
    <row r="42" spans="1:14" ht="12.75" customHeight="1">
      <c r="A42" s="59" t="s">
        <v>176</v>
      </c>
      <c r="B42" s="60">
        <v>1340</v>
      </c>
      <c r="C42" s="60">
        <v>1181</v>
      </c>
      <c r="D42" s="61">
        <v>1409</v>
      </c>
      <c r="E42" s="61">
        <v>1797</v>
      </c>
      <c r="F42" s="62">
        <v>2987</v>
      </c>
      <c r="G42" s="63">
        <v>33.466135458167329</v>
      </c>
      <c r="H42" s="63">
        <f t="shared" si="1"/>
        <v>-11.865671641791046</v>
      </c>
      <c r="I42" s="64">
        <f t="shared" si="1"/>
        <v>19.30567315834039</v>
      </c>
      <c r="J42" s="64">
        <f t="shared" si="1"/>
        <v>27.537260468417319</v>
      </c>
      <c r="K42" s="65">
        <f t="shared" si="1"/>
        <v>66.221480244852543</v>
      </c>
    </row>
    <row r="43" spans="1:14" ht="12.75" customHeight="1">
      <c r="A43" s="59" t="s">
        <v>140</v>
      </c>
      <c r="B43" s="60">
        <v>2596</v>
      </c>
      <c r="C43" s="60">
        <v>2120</v>
      </c>
      <c r="D43" s="61">
        <v>2153</v>
      </c>
      <c r="E43" s="61">
        <v>2775</v>
      </c>
      <c r="F43" s="62">
        <v>2902</v>
      </c>
      <c r="G43" s="63">
        <v>43.584070796460175</v>
      </c>
      <c r="H43" s="63">
        <f t="shared" si="1"/>
        <v>-18.335901386748844</v>
      </c>
      <c r="I43" s="64">
        <f t="shared" si="1"/>
        <v>1.5566037735849056</v>
      </c>
      <c r="J43" s="64">
        <f t="shared" si="1"/>
        <v>28.889921040408733</v>
      </c>
      <c r="K43" s="65">
        <f t="shared" si="1"/>
        <v>4.576576576576576</v>
      </c>
    </row>
    <row r="44" spans="1:14" ht="12.75" customHeight="1">
      <c r="A44" s="59" t="s">
        <v>144</v>
      </c>
      <c r="B44" s="60">
        <v>1916</v>
      </c>
      <c r="C44" s="60">
        <v>1970</v>
      </c>
      <c r="D44" s="61">
        <v>2348</v>
      </c>
      <c r="E44" s="61">
        <v>2822</v>
      </c>
      <c r="F44" s="62">
        <v>2636</v>
      </c>
      <c r="G44" s="63">
        <v>30.428863172226006</v>
      </c>
      <c r="H44" s="63">
        <f t="shared" si="1"/>
        <v>2.8183716075156577</v>
      </c>
      <c r="I44" s="64">
        <f t="shared" si="1"/>
        <v>19.18781725888325</v>
      </c>
      <c r="J44" s="64">
        <f t="shared" si="1"/>
        <v>20.187393526405451</v>
      </c>
      <c r="K44" s="65">
        <f t="shared" si="1"/>
        <v>-6.5910701630049608</v>
      </c>
    </row>
    <row r="45" spans="1:14" ht="12.75" customHeight="1">
      <c r="A45" s="59" t="s">
        <v>172</v>
      </c>
      <c r="B45" s="60">
        <v>1334</v>
      </c>
      <c r="C45" s="60">
        <v>1374</v>
      </c>
      <c r="D45" s="61">
        <v>1543</v>
      </c>
      <c r="E45" s="61">
        <v>2132</v>
      </c>
      <c r="F45" s="62">
        <v>2594</v>
      </c>
      <c r="G45" s="63">
        <v>3.3307513555383426</v>
      </c>
      <c r="H45" s="63">
        <f t="shared" si="1"/>
        <v>2.9985007496251872</v>
      </c>
      <c r="I45" s="64">
        <f t="shared" si="1"/>
        <v>12.299854439592432</v>
      </c>
      <c r="J45" s="64">
        <f t="shared" si="1"/>
        <v>38.172391445236556</v>
      </c>
      <c r="K45" s="65">
        <f t="shared" si="1"/>
        <v>21.669793621013135</v>
      </c>
      <c r="N45" s="48" t="s">
        <v>213</v>
      </c>
    </row>
    <row r="46" spans="1:14" ht="12" customHeight="1">
      <c r="A46" s="59" t="s">
        <v>137</v>
      </c>
      <c r="B46" s="60">
        <v>1588</v>
      </c>
      <c r="C46" s="60">
        <v>1380</v>
      </c>
      <c r="D46" s="61">
        <v>2113</v>
      </c>
      <c r="E46" s="61">
        <v>2433</v>
      </c>
      <c r="F46" s="62">
        <v>2569</v>
      </c>
      <c r="G46" s="63">
        <v>21.406727828746178</v>
      </c>
      <c r="H46" s="63">
        <f t="shared" si="1"/>
        <v>-13.09823677581864</v>
      </c>
      <c r="I46" s="64">
        <f t="shared" si="1"/>
        <v>53.115942028985508</v>
      </c>
      <c r="J46" s="64">
        <f t="shared" si="1"/>
        <v>15.144344533838144</v>
      </c>
      <c r="K46" s="65">
        <f t="shared" si="1"/>
        <v>5.589806822852446</v>
      </c>
    </row>
    <row r="47" spans="1:14" ht="12.75" customHeight="1">
      <c r="A47" s="59" t="s">
        <v>136</v>
      </c>
      <c r="B47" s="60">
        <v>2884</v>
      </c>
      <c r="C47" s="60">
        <v>2420</v>
      </c>
      <c r="D47" s="61">
        <v>2514</v>
      </c>
      <c r="E47" s="61">
        <v>2444</v>
      </c>
      <c r="F47" s="62">
        <v>2483</v>
      </c>
      <c r="G47" s="63">
        <v>-8.3862770012706473</v>
      </c>
      <c r="H47" s="63">
        <f t="shared" si="1"/>
        <v>-16.08876560332871</v>
      </c>
      <c r="I47" s="64">
        <f t="shared" si="1"/>
        <v>3.884297520661157</v>
      </c>
      <c r="J47" s="64">
        <f t="shared" si="1"/>
        <v>-2.7844073190135243</v>
      </c>
      <c r="K47" s="65">
        <f t="shared" si="1"/>
        <v>1.5957446808510638</v>
      </c>
    </row>
    <row r="48" spans="1:14" ht="12.75" customHeight="1">
      <c r="A48" s="59" t="s">
        <v>135</v>
      </c>
      <c r="B48" s="60">
        <v>2052</v>
      </c>
      <c r="C48" s="60">
        <v>1848</v>
      </c>
      <c r="D48" s="61">
        <v>2434</v>
      </c>
      <c r="E48" s="61">
        <v>2596</v>
      </c>
      <c r="F48" s="62">
        <v>2408</v>
      </c>
      <c r="G48" s="63">
        <v>-20.093457943925234</v>
      </c>
      <c r="H48" s="63">
        <f t="shared" si="1"/>
        <v>-9.9415204678362574</v>
      </c>
      <c r="I48" s="64">
        <f t="shared" si="1"/>
        <v>31.70995670995671</v>
      </c>
      <c r="J48" s="64">
        <f t="shared" si="1"/>
        <v>6.6557107641741986</v>
      </c>
      <c r="K48" s="65">
        <f t="shared" si="1"/>
        <v>-7.2419106317411401</v>
      </c>
    </row>
    <row r="49" spans="1:11" ht="12.75" customHeight="1">
      <c r="A49" s="59" t="s">
        <v>166</v>
      </c>
      <c r="B49" s="60">
        <v>1065</v>
      </c>
      <c r="C49" s="60">
        <v>1182</v>
      </c>
      <c r="D49" s="61">
        <v>1575</v>
      </c>
      <c r="E49" s="61">
        <v>2485</v>
      </c>
      <c r="F49" s="62">
        <v>2345</v>
      </c>
      <c r="G49" s="63">
        <v>-45.412608918503331</v>
      </c>
      <c r="H49" s="63">
        <f t="shared" si="1"/>
        <v>10.985915492957748</v>
      </c>
      <c r="I49" s="64">
        <f t="shared" si="1"/>
        <v>33.248730964467008</v>
      </c>
      <c r="J49" s="64">
        <f t="shared" si="1"/>
        <v>57.777777777777771</v>
      </c>
      <c r="K49" s="65">
        <f t="shared" si="1"/>
        <v>-5.6338028169014089</v>
      </c>
    </row>
    <row r="50" spans="1:11" ht="12.75" customHeight="1">
      <c r="A50" s="59" t="s">
        <v>161</v>
      </c>
      <c r="B50" s="60">
        <v>871</v>
      </c>
      <c r="C50" s="60">
        <v>979</v>
      </c>
      <c r="D50" s="61">
        <v>1066</v>
      </c>
      <c r="E50" s="61">
        <v>1652</v>
      </c>
      <c r="F50" s="62">
        <v>2265</v>
      </c>
      <c r="G50" s="63">
        <v>-11.303462321792262</v>
      </c>
      <c r="H50" s="63">
        <f t="shared" si="1"/>
        <v>12.399540757749714</v>
      </c>
      <c r="I50" s="64">
        <f t="shared" si="1"/>
        <v>8.88661899897855</v>
      </c>
      <c r="J50" s="64">
        <f t="shared" si="1"/>
        <v>54.971857410881796</v>
      </c>
      <c r="K50" s="65">
        <f t="shared" si="1"/>
        <v>37.106537530266344</v>
      </c>
    </row>
    <row r="51" spans="1:11" ht="12.75" customHeight="1">
      <c r="A51" s="59" t="s">
        <v>134</v>
      </c>
      <c r="B51" s="60">
        <v>4926</v>
      </c>
      <c r="C51" s="60">
        <v>5406</v>
      </c>
      <c r="D51" s="61">
        <v>4630</v>
      </c>
      <c r="E51" s="61">
        <v>3009</v>
      </c>
      <c r="F51" s="62">
        <v>2058</v>
      </c>
      <c r="G51" s="63">
        <v>1.5670103092783505</v>
      </c>
      <c r="H51" s="63">
        <f t="shared" si="1"/>
        <v>9.7442143727161987</v>
      </c>
      <c r="I51" s="64">
        <f t="shared" si="1"/>
        <v>-14.354421013688496</v>
      </c>
      <c r="J51" s="64">
        <f t="shared" si="1"/>
        <v>-35.010799136069117</v>
      </c>
      <c r="K51" s="65">
        <f t="shared" si="1"/>
        <v>-31.605184446660019</v>
      </c>
    </row>
    <row r="52" spans="1:11" ht="12.75" customHeight="1">
      <c r="A52" s="59" t="s">
        <v>160</v>
      </c>
      <c r="B52" s="60">
        <v>1191</v>
      </c>
      <c r="C52" s="60">
        <v>1046</v>
      </c>
      <c r="D52" s="61">
        <v>1256</v>
      </c>
      <c r="E52" s="61">
        <v>1842</v>
      </c>
      <c r="F52" s="62">
        <v>1857</v>
      </c>
      <c r="G52" s="63">
        <v>17.5715695952616</v>
      </c>
      <c r="H52" s="63">
        <f t="shared" si="1"/>
        <v>-12.174643157010916</v>
      </c>
      <c r="I52" s="64">
        <f t="shared" si="1"/>
        <v>20.076481835564053</v>
      </c>
      <c r="J52" s="64">
        <f t="shared" si="1"/>
        <v>46.656050955414017</v>
      </c>
      <c r="K52" s="65">
        <f t="shared" si="1"/>
        <v>0.81433224755700329</v>
      </c>
    </row>
    <row r="53" spans="1:11" ht="12.75" customHeight="1">
      <c r="A53" s="59" t="s">
        <v>156</v>
      </c>
      <c r="B53" s="60">
        <v>581</v>
      </c>
      <c r="C53" s="60">
        <v>677</v>
      </c>
      <c r="D53" s="61">
        <v>818</v>
      </c>
      <c r="E53" s="61">
        <v>1283</v>
      </c>
      <c r="F53" s="62">
        <v>1772</v>
      </c>
      <c r="G53" s="63">
        <v>-38.388123011664902</v>
      </c>
      <c r="H53" s="63">
        <f t="shared" si="1"/>
        <v>16.523235800344235</v>
      </c>
      <c r="I53" s="64">
        <f t="shared" si="1"/>
        <v>20.827178729689809</v>
      </c>
      <c r="J53" s="64">
        <f t="shared" si="1"/>
        <v>56.845965770171148</v>
      </c>
      <c r="K53" s="65">
        <f t="shared" si="1"/>
        <v>38.113795791114576</v>
      </c>
    </row>
    <row r="54" spans="1:11" ht="12.75" customHeight="1">
      <c r="A54" s="59" t="s">
        <v>177</v>
      </c>
      <c r="B54" s="60">
        <v>1139</v>
      </c>
      <c r="C54" s="60">
        <v>984</v>
      </c>
      <c r="D54" s="61">
        <v>1145</v>
      </c>
      <c r="E54" s="61">
        <v>1346</v>
      </c>
      <c r="F54" s="62">
        <v>1666</v>
      </c>
      <c r="G54" s="63">
        <v>72.575757575757578</v>
      </c>
      <c r="H54" s="63">
        <f t="shared" si="1"/>
        <v>-13.608428446005268</v>
      </c>
      <c r="I54" s="64">
        <f t="shared" si="1"/>
        <v>16.361788617886177</v>
      </c>
      <c r="J54" s="64">
        <f t="shared" si="1"/>
        <v>17.554585152838428</v>
      </c>
      <c r="K54" s="65">
        <f t="shared" si="1"/>
        <v>23.774145616641899</v>
      </c>
    </row>
    <row r="55" spans="1:11" ht="12.75" customHeight="1">
      <c r="A55" s="59" t="s">
        <v>174</v>
      </c>
      <c r="B55" s="60">
        <v>1184</v>
      </c>
      <c r="C55" s="60">
        <v>991</v>
      </c>
      <c r="D55" s="61">
        <v>1103</v>
      </c>
      <c r="E55" s="61">
        <v>1390</v>
      </c>
      <c r="F55" s="62">
        <v>1579</v>
      </c>
      <c r="G55" s="63">
        <v>3.6777583187390541</v>
      </c>
      <c r="H55" s="63">
        <f t="shared" si="1"/>
        <v>-16.300675675675674</v>
      </c>
      <c r="I55" s="64">
        <f t="shared" si="1"/>
        <v>11.301715438950556</v>
      </c>
      <c r="J55" s="64">
        <f t="shared" si="1"/>
        <v>26.019945602901178</v>
      </c>
      <c r="K55" s="65">
        <f t="shared" si="1"/>
        <v>13.597122302158274</v>
      </c>
    </row>
    <row r="56" spans="1:11" ht="12.75" customHeight="1">
      <c r="A56" s="59" t="s">
        <v>128</v>
      </c>
      <c r="B56" s="60">
        <v>3368</v>
      </c>
      <c r="C56" s="60">
        <v>3437</v>
      </c>
      <c r="D56" s="61">
        <v>4386</v>
      </c>
      <c r="E56" s="61">
        <v>5738</v>
      </c>
      <c r="F56" s="62">
        <v>1509</v>
      </c>
      <c r="G56" s="63">
        <v>-5.1801801801801801</v>
      </c>
      <c r="H56" s="63">
        <f t="shared" si="1"/>
        <v>2.0486935866983371</v>
      </c>
      <c r="I56" s="64">
        <f t="shared" si="1"/>
        <v>27.611288914751235</v>
      </c>
      <c r="J56" s="64">
        <f t="shared" si="1"/>
        <v>30.825353397172822</v>
      </c>
      <c r="K56" s="65">
        <f t="shared" si="1"/>
        <v>-73.701638201463922</v>
      </c>
    </row>
    <row r="57" spans="1:11" ht="12.75" customHeight="1">
      <c r="A57" s="59" t="s">
        <v>131</v>
      </c>
      <c r="B57" s="60">
        <v>865</v>
      </c>
      <c r="C57" s="60">
        <v>1088</v>
      </c>
      <c r="D57" s="61">
        <v>1281</v>
      </c>
      <c r="E57" s="61">
        <v>1535</v>
      </c>
      <c r="F57" s="62">
        <v>1402</v>
      </c>
      <c r="G57" s="63">
        <v>9.6324461343472745</v>
      </c>
      <c r="H57" s="63">
        <f t="shared" si="1"/>
        <v>25.780346820809246</v>
      </c>
      <c r="I57" s="64">
        <f t="shared" si="1"/>
        <v>17.738970588235293</v>
      </c>
      <c r="J57" s="64">
        <f t="shared" si="1"/>
        <v>19.828259172521467</v>
      </c>
      <c r="K57" s="65">
        <f t="shared" si="1"/>
        <v>-8.664495114006515</v>
      </c>
    </row>
    <row r="58" spans="1:11" ht="12.75" customHeight="1">
      <c r="A58" s="59" t="s">
        <v>145</v>
      </c>
      <c r="B58" s="60">
        <v>1372</v>
      </c>
      <c r="C58" s="60">
        <v>1324</v>
      </c>
      <c r="D58" s="61">
        <v>1647</v>
      </c>
      <c r="E58" s="61">
        <v>1609</v>
      </c>
      <c r="F58" s="62">
        <v>1295</v>
      </c>
      <c r="G58" s="63">
        <v>13.953488372093023</v>
      </c>
      <c r="H58" s="63">
        <f t="shared" si="1"/>
        <v>-3.4985422740524781</v>
      </c>
      <c r="I58" s="64">
        <f t="shared" si="1"/>
        <v>24.395770392749245</v>
      </c>
      <c r="J58" s="64">
        <f t="shared" si="1"/>
        <v>-2.3072252580449302</v>
      </c>
      <c r="K58" s="65">
        <f t="shared" si="1"/>
        <v>-19.515226848974518</v>
      </c>
    </row>
    <row r="59" spans="1:11" ht="12.75" customHeight="1">
      <c r="A59" s="59" t="s">
        <v>153</v>
      </c>
      <c r="B59" s="60">
        <v>455</v>
      </c>
      <c r="C59" s="60">
        <v>388</v>
      </c>
      <c r="D59" s="61">
        <v>525</v>
      </c>
      <c r="E59" s="61">
        <v>1496</v>
      </c>
      <c r="F59" s="62">
        <v>1221</v>
      </c>
      <c r="G59" s="63">
        <v>-64.563862928348911</v>
      </c>
      <c r="H59" s="63">
        <f t="shared" si="1"/>
        <v>-14.725274725274726</v>
      </c>
      <c r="I59" s="64">
        <f t="shared" si="1"/>
        <v>35.309278350515463</v>
      </c>
      <c r="J59" s="64">
        <f t="shared" si="1"/>
        <v>184.95238095238096</v>
      </c>
      <c r="K59" s="65">
        <f t="shared" si="1"/>
        <v>-18.382352941176471</v>
      </c>
    </row>
    <row r="60" spans="1:11" ht="12.75" customHeight="1">
      <c r="A60" s="66" t="s">
        <v>175</v>
      </c>
      <c r="B60" s="67">
        <v>22</v>
      </c>
      <c r="C60" s="67">
        <v>21</v>
      </c>
      <c r="D60" s="68">
        <v>31</v>
      </c>
      <c r="E60" s="68">
        <v>27</v>
      </c>
      <c r="F60" s="69">
        <v>39</v>
      </c>
      <c r="G60" s="70">
        <v>-80.530973451327441</v>
      </c>
      <c r="H60" s="70">
        <f t="shared" si="1"/>
        <v>-4.5454545454545459</v>
      </c>
      <c r="I60" s="71">
        <f t="shared" si="1"/>
        <v>47.619047619047613</v>
      </c>
      <c r="J60" s="71">
        <f t="shared" si="1"/>
        <v>-12.903225806451612</v>
      </c>
      <c r="K60" s="72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73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73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268"/>
  <sheetViews>
    <sheetView showGridLines="0" tabSelected="1" zoomScaleNormal="100" zoomScaleSheetLayoutView="55" workbookViewId="0">
      <selection activeCell="D26" sqref="D26"/>
    </sheetView>
  </sheetViews>
  <sheetFormatPr defaultColWidth="9.140625" defaultRowHeight="12.75"/>
  <cols>
    <col min="1" max="1" width="3.42578125" style="80" customWidth="1"/>
    <col min="2" max="2" width="46.28515625" style="108" customWidth="1"/>
    <col min="3" max="3" width="12.42578125" style="24" customWidth="1"/>
    <col min="4" max="4" width="9.28515625" style="24" customWidth="1"/>
    <col min="5" max="5" width="14" style="24" customWidth="1"/>
    <col min="6" max="14" width="8" style="24" customWidth="1"/>
    <col min="15" max="15" width="11.7109375" style="80" customWidth="1"/>
    <col min="16" max="16" width="5.85546875" style="23" customWidth="1"/>
    <col min="17" max="17" width="7.5703125" style="23" customWidth="1"/>
    <col min="18" max="16384" width="9.140625" style="23"/>
  </cols>
  <sheetData>
    <row r="1" spans="1:18" s="94" customFormat="1" ht="21" customHeight="1">
      <c r="A1" s="124"/>
      <c r="B1" s="147" t="s">
        <v>227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74"/>
      <c r="Q1" s="74"/>
      <c r="R1" s="116"/>
    </row>
    <row r="2" spans="1:18" ht="15.75" customHeight="1">
      <c r="A2" s="124"/>
      <c r="B2" s="148" t="s">
        <v>226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74"/>
      <c r="Q2" s="74"/>
      <c r="R2" s="75"/>
    </row>
    <row r="3" spans="1:18" ht="4.5" customHeight="1">
      <c r="A3" s="124"/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24"/>
    </row>
    <row r="4" spans="1:18" ht="13.5" customHeight="1">
      <c r="A4" s="125"/>
      <c r="B4" s="145" t="s">
        <v>1</v>
      </c>
      <c r="C4" s="12" t="s">
        <v>3</v>
      </c>
      <c r="D4" s="12" t="s">
        <v>4</v>
      </c>
      <c r="E4" s="12" t="s">
        <v>5</v>
      </c>
      <c r="F4" s="149" t="s">
        <v>244</v>
      </c>
      <c r="G4" s="149"/>
      <c r="H4" s="149"/>
      <c r="I4" s="149"/>
      <c r="J4" s="149"/>
      <c r="K4" s="149"/>
      <c r="L4" s="149"/>
      <c r="M4" s="149"/>
      <c r="N4" s="149"/>
      <c r="O4" s="81" t="s">
        <v>6</v>
      </c>
      <c r="P4" s="10"/>
      <c r="Q4" s="10"/>
      <c r="R4" s="75"/>
    </row>
    <row r="5" spans="1:18" ht="13.5" customHeight="1">
      <c r="A5" s="126"/>
      <c r="B5" s="146"/>
      <c r="C5" s="13" t="s">
        <v>7</v>
      </c>
      <c r="D5" s="13" t="s">
        <v>8</v>
      </c>
      <c r="E5" s="13" t="s">
        <v>9</v>
      </c>
      <c r="F5" s="41">
        <v>2007</v>
      </c>
      <c r="G5" s="41">
        <v>2008</v>
      </c>
      <c r="H5" s="41">
        <v>2009</v>
      </c>
      <c r="I5" s="41">
        <v>2010</v>
      </c>
      <c r="J5" s="41">
        <v>2011</v>
      </c>
      <c r="K5" s="41">
        <v>2012</v>
      </c>
      <c r="L5" s="41">
        <v>2013</v>
      </c>
      <c r="M5" s="41">
        <v>2014</v>
      </c>
      <c r="N5" s="41">
        <v>2015</v>
      </c>
      <c r="O5" s="82" t="s">
        <v>225</v>
      </c>
      <c r="P5" s="10"/>
      <c r="Q5" s="10"/>
      <c r="R5" s="75"/>
    </row>
    <row r="6" spans="1:18" ht="15.95" customHeight="1">
      <c r="A6" s="124"/>
      <c r="B6" s="42" t="s">
        <v>10</v>
      </c>
      <c r="C6" s="20" t="s">
        <v>2</v>
      </c>
      <c r="D6" s="20" t="s">
        <v>2</v>
      </c>
      <c r="E6" s="20" t="s">
        <v>2</v>
      </c>
      <c r="F6" s="8">
        <f>F18+F21+F30+F36+F80+F94+F112+F115+F118+F120+F7+F138</f>
        <v>19028</v>
      </c>
      <c r="G6" s="8">
        <f>G18+G21+G30+G36+G80+G94+G112+G115+G118+G120+G7+G138+G13</f>
        <v>19860</v>
      </c>
      <c r="H6" s="8">
        <f>H18+H21+H30+H36+H80+H94+H112+H115+H118+H120+H7+H138+H13+H129</f>
        <v>20942</v>
      </c>
      <c r="I6" s="8">
        <f>I18+I21+I30+I36+I80+I94+I112+I115+I118+I120+I7+I138+I13+I129</f>
        <v>21350</v>
      </c>
      <c r="J6" s="8">
        <f>J18+J21+J30+J36+J80+J94+J112+J115+J118+J120+J7+J138+J13+J129+J127+J134</f>
        <v>22120</v>
      </c>
      <c r="K6" s="8">
        <f>K18+K21+K30+K36+K80+K94+K112+K115+K118+K120+K7+K138+K13+K129+K127+K134+K11</f>
        <v>22889</v>
      </c>
      <c r="L6" s="8">
        <f>L7+L11+L13+L18+L21+L30+L36+L80+L94+L112+L115+L118+L120+L127+L129+L134+L138+L125</f>
        <v>23791</v>
      </c>
      <c r="M6" s="8">
        <f>M7+M11+M13+M18+M21+M30+M36+M80+M94+M112+M115+M118+M120+M127+M129+M134+M138+M125</f>
        <v>24031</v>
      </c>
      <c r="N6" s="8">
        <f>N7+N11+N13+N18+N21+N30+N36+N80+N94+N112+N115+N118+N120+N127+N129+N134+N138+N125</f>
        <v>24877</v>
      </c>
      <c r="O6" s="83">
        <f t="shared" ref="O6:O45" si="0">N6/N$6*100</f>
        <v>100</v>
      </c>
      <c r="P6" s="11"/>
      <c r="Q6" s="11"/>
      <c r="R6" s="117"/>
    </row>
    <row r="7" spans="1:18" ht="15.95" customHeight="1">
      <c r="A7" s="124"/>
      <c r="B7" s="43" t="s">
        <v>44</v>
      </c>
      <c r="C7" s="20" t="s">
        <v>2</v>
      </c>
      <c r="D7" s="20" t="s">
        <v>2</v>
      </c>
      <c r="E7" s="20" t="s">
        <v>2</v>
      </c>
      <c r="F7" s="8">
        <f t="shared" ref="F7:L7" si="1">SUM(F8:F10)</f>
        <v>390</v>
      </c>
      <c r="G7" s="8">
        <f t="shared" si="1"/>
        <v>432</v>
      </c>
      <c r="H7" s="8">
        <f t="shared" si="1"/>
        <v>432</v>
      </c>
      <c r="I7" s="8">
        <f t="shared" si="1"/>
        <v>456</v>
      </c>
      <c r="J7" s="8">
        <f t="shared" si="1"/>
        <v>456</v>
      </c>
      <c r="K7" s="8">
        <f t="shared" si="1"/>
        <v>456</v>
      </c>
      <c r="L7" s="8">
        <f t="shared" si="1"/>
        <v>456</v>
      </c>
      <c r="M7" s="8">
        <f>SUM(M8:M10)</f>
        <v>464</v>
      </c>
      <c r="N7" s="8">
        <f>SUM(N8:N10)</f>
        <v>464</v>
      </c>
      <c r="O7" s="84">
        <f t="shared" si="0"/>
        <v>1.8651766692125256</v>
      </c>
      <c r="P7" s="11"/>
      <c r="Q7" s="11"/>
      <c r="R7" s="75"/>
    </row>
    <row r="8" spans="1:18" s="77" customFormat="1" ht="25.5" customHeight="1">
      <c r="A8" s="110">
        <v>1</v>
      </c>
      <c r="B8" s="100" t="s">
        <v>120</v>
      </c>
      <c r="C8" s="14">
        <v>2005</v>
      </c>
      <c r="D8" s="15">
        <v>50</v>
      </c>
      <c r="E8" s="15">
        <v>250</v>
      </c>
      <c r="F8" s="15">
        <v>90</v>
      </c>
      <c r="G8" s="15">
        <v>90</v>
      </c>
      <c r="H8" s="15">
        <v>90</v>
      </c>
      <c r="I8" s="15">
        <v>90</v>
      </c>
      <c r="J8" s="15">
        <v>90</v>
      </c>
      <c r="K8" s="15">
        <v>90</v>
      </c>
      <c r="L8" s="15">
        <v>90</v>
      </c>
      <c r="M8" s="15">
        <v>90</v>
      </c>
      <c r="N8" s="15">
        <v>90</v>
      </c>
      <c r="O8" s="88">
        <f t="shared" si="0"/>
        <v>0.36177995739036056</v>
      </c>
      <c r="P8" s="99"/>
      <c r="Q8" s="99"/>
      <c r="R8" s="76"/>
    </row>
    <row r="9" spans="1:18" s="77" customFormat="1" ht="15.95" customHeight="1">
      <c r="A9" s="110">
        <v>2</v>
      </c>
      <c r="B9" s="100" t="s">
        <v>188</v>
      </c>
      <c r="C9" s="14">
        <v>2007</v>
      </c>
      <c r="D9" s="15">
        <v>66</v>
      </c>
      <c r="E9" s="15">
        <v>300</v>
      </c>
      <c r="F9" s="15">
        <v>200</v>
      </c>
      <c r="G9" s="15">
        <v>200</v>
      </c>
      <c r="H9" s="15">
        <v>200</v>
      </c>
      <c r="I9" s="15">
        <v>200</v>
      </c>
      <c r="J9" s="15">
        <v>200</v>
      </c>
      <c r="K9" s="15">
        <v>200</v>
      </c>
      <c r="L9" s="15">
        <v>200</v>
      </c>
      <c r="M9" s="15">
        <v>200</v>
      </c>
      <c r="N9" s="15">
        <v>200</v>
      </c>
      <c r="O9" s="88">
        <f t="shared" si="0"/>
        <v>0.80395546086746794</v>
      </c>
      <c r="P9" s="16"/>
      <c r="Q9" s="16"/>
      <c r="R9" s="76"/>
    </row>
    <row r="10" spans="1:18" s="77" customFormat="1" ht="25.5">
      <c r="A10" s="114">
        <v>3</v>
      </c>
      <c r="B10" s="101" t="s">
        <v>121</v>
      </c>
      <c r="C10" s="33">
        <v>2007</v>
      </c>
      <c r="D10" s="35">
        <v>100</v>
      </c>
      <c r="E10" s="35">
        <v>337</v>
      </c>
      <c r="F10" s="35">
        <v>100</v>
      </c>
      <c r="G10" s="35">
        <v>142</v>
      </c>
      <c r="H10" s="35">
        <v>142</v>
      </c>
      <c r="I10" s="35">
        <v>166</v>
      </c>
      <c r="J10" s="35">
        <v>166</v>
      </c>
      <c r="K10" s="35">
        <v>166</v>
      </c>
      <c r="L10" s="78">
        <v>166</v>
      </c>
      <c r="M10" s="78">
        <v>174</v>
      </c>
      <c r="N10" s="78">
        <v>174</v>
      </c>
      <c r="O10" s="91">
        <f t="shared" si="0"/>
        <v>0.69944125095469711</v>
      </c>
      <c r="P10" s="16"/>
      <c r="Q10" s="16"/>
      <c r="R10" s="76"/>
    </row>
    <row r="11" spans="1:18" s="77" customFormat="1" ht="15.95" customHeight="1">
      <c r="A11" s="110"/>
      <c r="B11" s="43" t="s">
        <v>205</v>
      </c>
      <c r="C11" s="20" t="s">
        <v>2</v>
      </c>
      <c r="D11" s="20" t="s">
        <v>2</v>
      </c>
      <c r="E11" s="20" t="s">
        <v>2</v>
      </c>
      <c r="F11" s="8">
        <f t="shared" ref="F11:K11" si="2">SUM(F12)</f>
        <v>0</v>
      </c>
      <c r="G11" s="8">
        <f t="shared" si="2"/>
        <v>0</v>
      </c>
      <c r="H11" s="8">
        <f t="shared" si="2"/>
        <v>0</v>
      </c>
      <c r="I11" s="8">
        <f t="shared" si="2"/>
        <v>0</v>
      </c>
      <c r="J11" s="8">
        <f t="shared" si="2"/>
        <v>0</v>
      </c>
      <c r="K11" s="8">
        <f t="shared" si="2"/>
        <v>97</v>
      </c>
      <c r="L11" s="8">
        <f>SUM(L12)</f>
        <v>159</v>
      </c>
      <c r="M11" s="8">
        <f>SUM(M12)</f>
        <v>159</v>
      </c>
      <c r="N11" s="8">
        <f>SUM(N12)</f>
        <v>159</v>
      </c>
      <c r="O11" s="84">
        <f t="shared" si="0"/>
        <v>0.63914459138963697</v>
      </c>
      <c r="P11" s="99"/>
      <c r="Q11" s="99"/>
      <c r="R11" s="76"/>
    </row>
    <row r="12" spans="1:18" s="77" customFormat="1" ht="15.95" customHeight="1">
      <c r="A12" s="114">
        <v>4</v>
      </c>
      <c r="B12" s="101" t="s">
        <v>204</v>
      </c>
      <c r="C12" s="37">
        <v>2012</v>
      </c>
      <c r="D12" s="34">
        <v>97</v>
      </c>
      <c r="E12" s="35" t="s">
        <v>2</v>
      </c>
      <c r="F12" s="34" t="s">
        <v>2</v>
      </c>
      <c r="G12" s="34" t="s">
        <v>2</v>
      </c>
      <c r="H12" s="34" t="s">
        <v>2</v>
      </c>
      <c r="I12" s="34" t="s">
        <v>2</v>
      </c>
      <c r="J12" s="34" t="s">
        <v>2</v>
      </c>
      <c r="K12" s="36">
        <v>97</v>
      </c>
      <c r="L12" s="78">
        <v>159</v>
      </c>
      <c r="M12" s="78">
        <v>159</v>
      </c>
      <c r="N12" s="78">
        <v>159</v>
      </c>
      <c r="O12" s="91">
        <f t="shared" si="0"/>
        <v>0.63914459138963697</v>
      </c>
      <c r="P12" s="99"/>
      <c r="Q12" s="99"/>
      <c r="R12" s="76"/>
    </row>
    <row r="13" spans="1:18" ht="15.95" customHeight="1">
      <c r="A13" s="110"/>
      <c r="B13" s="43" t="s">
        <v>45</v>
      </c>
      <c r="C13" s="20" t="s">
        <v>2</v>
      </c>
      <c r="D13" s="20" t="s">
        <v>2</v>
      </c>
      <c r="E13" s="20" t="s">
        <v>2</v>
      </c>
      <c r="F13" s="8">
        <f t="shared" ref="F13:K13" si="3">SUM(F15:F17)</f>
        <v>0</v>
      </c>
      <c r="G13" s="8">
        <f t="shared" si="3"/>
        <v>400</v>
      </c>
      <c r="H13" s="8">
        <f t="shared" si="3"/>
        <v>490</v>
      </c>
      <c r="I13" s="8">
        <f t="shared" si="3"/>
        <v>542</v>
      </c>
      <c r="J13" s="8">
        <f t="shared" si="3"/>
        <v>542</v>
      </c>
      <c r="K13" s="8">
        <f t="shared" si="3"/>
        <v>542</v>
      </c>
      <c r="L13" s="8">
        <f>SUM(L14:L17)</f>
        <v>796</v>
      </c>
      <c r="M13" s="8">
        <f>SUM(M14:M17)</f>
        <v>796</v>
      </c>
      <c r="N13" s="8">
        <f>SUM(N14:N17)</f>
        <v>796</v>
      </c>
      <c r="O13" s="84">
        <f t="shared" si="0"/>
        <v>3.1997427342525224</v>
      </c>
      <c r="P13" s="99"/>
      <c r="Q13" s="99"/>
      <c r="R13" s="75"/>
    </row>
    <row r="14" spans="1:18" ht="15.95" customHeight="1">
      <c r="A14" s="110">
        <v>5</v>
      </c>
      <c r="B14" s="100" t="s">
        <v>215</v>
      </c>
      <c r="C14" s="18">
        <v>2013</v>
      </c>
      <c r="D14" s="18">
        <v>120</v>
      </c>
      <c r="E14" s="18">
        <v>169</v>
      </c>
      <c r="F14" s="18" t="s">
        <v>2</v>
      </c>
      <c r="G14" s="18" t="s">
        <v>2</v>
      </c>
      <c r="H14" s="18" t="s">
        <v>2</v>
      </c>
      <c r="I14" s="18" t="s">
        <v>2</v>
      </c>
      <c r="J14" s="18" t="s">
        <v>2</v>
      </c>
      <c r="K14" s="18" t="s">
        <v>2</v>
      </c>
      <c r="L14" s="15">
        <v>120</v>
      </c>
      <c r="M14" s="15">
        <v>120</v>
      </c>
      <c r="N14" s="15">
        <v>120</v>
      </c>
      <c r="O14" s="88">
        <f t="shared" si="0"/>
        <v>0.48237327652048073</v>
      </c>
      <c r="P14" s="99"/>
      <c r="Q14" s="99"/>
      <c r="R14" s="75"/>
    </row>
    <row r="15" spans="1:18" ht="15.95" customHeight="1">
      <c r="A15" s="110">
        <v>6</v>
      </c>
      <c r="B15" s="100" t="s">
        <v>122</v>
      </c>
      <c r="C15" s="17">
        <v>2008</v>
      </c>
      <c r="D15" s="15">
        <v>200</v>
      </c>
      <c r="E15" s="15">
        <v>238</v>
      </c>
      <c r="F15" s="15" t="s">
        <v>2</v>
      </c>
      <c r="G15" s="15">
        <v>300</v>
      </c>
      <c r="H15" s="15">
        <v>390</v>
      </c>
      <c r="I15" s="15">
        <v>442</v>
      </c>
      <c r="J15" s="15">
        <v>442</v>
      </c>
      <c r="K15" s="15">
        <v>442</v>
      </c>
      <c r="L15" s="15">
        <v>442</v>
      </c>
      <c r="M15" s="15">
        <v>442</v>
      </c>
      <c r="N15" s="15">
        <v>442</v>
      </c>
      <c r="O15" s="88">
        <f t="shared" si="0"/>
        <v>1.7767415685171044</v>
      </c>
      <c r="P15" s="99"/>
      <c r="Q15" s="99"/>
      <c r="R15" s="75"/>
    </row>
    <row r="16" spans="1:18" ht="15.95" customHeight="1">
      <c r="A16" s="110">
        <v>7</v>
      </c>
      <c r="B16" s="100" t="s">
        <v>216</v>
      </c>
      <c r="C16" s="18">
        <v>2013</v>
      </c>
      <c r="D16" s="18">
        <v>100</v>
      </c>
      <c r="E16" s="18">
        <v>186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15">
        <v>134</v>
      </c>
      <c r="M16" s="15">
        <v>134</v>
      </c>
      <c r="N16" s="15">
        <v>134</v>
      </c>
      <c r="O16" s="88">
        <f t="shared" si="0"/>
        <v>0.53865015878120348</v>
      </c>
      <c r="P16" s="99"/>
      <c r="Q16" s="99"/>
      <c r="R16" s="75"/>
    </row>
    <row r="17" spans="1:18" s="77" customFormat="1" ht="15.95" customHeight="1">
      <c r="A17" s="110">
        <v>8</v>
      </c>
      <c r="B17" s="100" t="s">
        <v>123</v>
      </c>
      <c r="C17" s="96">
        <v>2008</v>
      </c>
      <c r="D17" s="78">
        <v>100</v>
      </c>
      <c r="E17" s="78">
        <v>180</v>
      </c>
      <c r="F17" s="78" t="s">
        <v>2</v>
      </c>
      <c r="G17" s="15">
        <v>100</v>
      </c>
      <c r="H17" s="15">
        <v>100</v>
      </c>
      <c r="I17" s="15">
        <v>100</v>
      </c>
      <c r="J17" s="15">
        <v>100</v>
      </c>
      <c r="K17" s="15">
        <v>100</v>
      </c>
      <c r="L17" s="15">
        <v>100</v>
      </c>
      <c r="M17" s="15">
        <v>100</v>
      </c>
      <c r="N17" s="15">
        <v>100</v>
      </c>
      <c r="O17" s="88">
        <f t="shared" si="0"/>
        <v>0.40197773043373397</v>
      </c>
      <c r="P17" s="99"/>
      <c r="Q17" s="99"/>
      <c r="R17" s="76"/>
    </row>
    <row r="18" spans="1:18" s="77" customFormat="1" ht="15.95" customHeight="1">
      <c r="A18" s="152"/>
      <c r="B18" s="92" t="s">
        <v>11</v>
      </c>
      <c r="C18" s="20" t="s">
        <v>2</v>
      </c>
      <c r="D18" s="20" t="s">
        <v>2</v>
      </c>
      <c r="E18" s="20" t="s">
        <v>2</v>
      </c>
      <c r="F18" s="93">
        <f t="shared" ref="F18:K18" si="4">SUM(F19)</f>
        <v>470</v>
      </c>
      <c r="G18" s="93">
        <f t="shared" si="4"/>
        <v>470</v>
      </c>
      <c r="H18" s="93">
        <f t="shared" si="4"/>
        <v>470</v>
      </c>
      <c r="I18" s="93">
        <f t="shared" si="4"/>
        <v>470</v>
      </c>
      <c r="J18" s="93">
        <f t="shared" si="4"/>
        <v>470</v>
      </c>
      <c r="K18" s="93">
        <f t="shared" si="4"/>
        <v>470</v>
      </c>
      <c r="L18" s="93">
        <f>SUM(L19)</f>
        <v>470</v>
      </c>
      <c r="M18" s="93">
        <f>SUM(M19:M20)</f>
        <v>656</v>
      </c>
      <c r="N18" s="93">
        <f>SUM(N19:N20)</f>
        <v>680</v>
      </c>
      <c r="O18" s="85">
        <f t="shared" si="0"/>
        <v>2.7334485669493911</v>
      </c>
      <c r="P18" s="99"/>
      <c r="Q18" s="99"/>
      <c r="R18" s="76"/>
    </row>
    <row r="19" spans="1:18" s="77" customFormat="1" ht="15.95" customHeight="1">
      <c r="A19" s="110">
        <v>9</v>
      </c>
      <c r="B19" s="100" t="s">
        <v>54</v>
      </c>
      <c r="C19" s="17">
        <v>2000</v>
      </c>
      <c r="D19" s="18">
        <v>430</v>
      </c>
      <c r="E19" s="15">
        <v>130.30000000000001</v>
      </c>
      <c r="F19" s="19">
        <v>470</v>
      </c>
      <c r="G19" s="19">
        <v>470</v>
      </c>
      <c r="H19" s="19">
        <v>470</v>
      </c>
      <c r="I19" s="19">
        <v>470</v>
      </c>
      <c r="J19" s="19">
        <v>470</v>
      </c>
      <c r="K19" s="19">
        <v>470</v>
      </c>
      <c r="L19" s="19">
        <v>470</v>
      </c>
      <c r="M19" s="19">
        <v>470</v>
      </c>
      <c r="N19" s="19">
        <v>470</v>
      </c>
      <c r="O19" s="88">
        <f t="shared" si="0"/>
        <v>1.8892953330385498</v>
      </c>
      <c r="P19" s="99"/>
      <c r="Q19" s="99"/>
      <c r="R19" s="76"/>
    </row>
    <row r="20" spans="1:18" s="77" customFormat="1" ht="15.95" customHeight="1">
      <c r="A20" s="114">
        <v>10</v>
      </c>
      <c r="B20" s="111" t="s">
        <v>222</v>
      </c>
      <c r="C20" s="95" t="s">
        <v>2</v>
      </c>
      <c r="D20" s="95" t="s">
        <v>2</v>
      </c>
      <c r="E20" s="95" t="s">
        <v>2</v>
      </c>
      <c r="F20" s="95" t="s">
        <v>2</v>
      </c>
      <c r="G20" s="95" t="s">
        <v>2</v>
      </c>
      <c r="H20" s="95" t="s">
        <v>2</v>
      </c>
      <c r="I20" s="95" t="s">
        <v>2</v>
      </c>
      <c r="J20" s="95" t="s">
        <v>2</v>
      </c>
      <c r="K20" s="95" t="s">
        <v>2</v>
      </c>
      <c r="L20" s="95" t="s">
        <v>2</v>
      </c>
      <c r="M20" s="97">
        <v>186</v>
      </c>
      <c r="N20" s="97">
        <v>210</v>
      </c>
      <c r="O20" s="90">
        <f t="shared" si="0"/>
        <v>0.84415323391084129</v>
      </c>
      <c r="P20" s="99"/>
      <c r="Q20" s="99"/>
      <c r="R20" s="76"/>
    </row>
    <row r="21" spans="1:18" s="77" customFormat="1" ht="15.95" customHeight="1">
      <c r="A21" s="110"/>
      <c r="B21" s="42" t="s">
        <v>12</v>
      </c>
      <c r="C21" s="20" t="s">
        <v>2</v>
      </c>
      <c r="D21" s="20" t="s">
        <v>2</v>
      </c>
      <c r="E21" s="20" t="s">
        <v>2</v>
      </c>
      <c r="F21" s="20">
        <f t="shared" ref="F21:N21" si="5">SUM(F22:F29)</f>
        <v>1240</v>
      </c>
      <c r="G21" s="20">
        <f t="shared" si="5"/>
        <v>1240</v>
      </c>
      <c r="H21" s="20">
        <f t="shared" si="5"/>
        <v>1240</v>
      </c>
      <c r="I21" s="20">
        <f t="shared" si="5"/>
        <v>1398</v>
      </c>
      <c r="J21" s="20">
        <f t="shared" si="5"/>
        <v>1398</v>
      </c>
      <c r="K21" s="20">
        <f t="shared" si="5"/>
        <v>1660</v>
      </c>
      <c r="L21" s="20">
        <f t="shared" si="5"/>
        <v>1704</v>
      </c>
      <c r="M21" s="20">
        <f t="shared" si="5"/>
        <v>1704</v>
      </c>
      <c r="N21" s="20">
        <f t="shared" si="5"/>
        <v>1700</v>
      </c>
      <c r="O21" s="84">
        <f t="shared" si="0"/>
        <v>6.8336214173734771</v>
      </c>
      <c r="P21" s="99"/>
      <c r="Q21" s="99"/>
      <c r="R21" s="76"/>
    </row>
    <row r="22" spans="1:18" s="77" customFormat="1" ht="15.95" customHeight="1">
      <c r="A22" s="110">
        <v>11</v>
      </c>
      <c r="B22" s="100" t="s">
        <v>193</v>
      </c>
      <c r="C22" s="17">
        <v>2010</v>
      </c>
      <c r="D22" s="18">
        <v>110</v>
      </c>
      <c r="E22" s="15">
        <v>125</v>
      </c>
      <c r="F22" s="15" t="s">
        <v>2</v>
      </c>
      <c r="G22" s="15" t="s">
        <v>2</v>
      </c>
      <c r="H22" s="15" t="s">
        <v>2</v>
      </c>
      <c r="I22" s="15">
        <v>110</v>
      </c>
      <c r="J22" s="15">
        <v>110</v>
      </c>
      <c r="K22" s="15">
        <v>164</v>
      </c>
      <c r="L22" s="15">
        <v>172</v>
      </c>
      <c r="M22" s="15">
        <v>172</v>
      </c>
      <c r="N22" s="15">
        <v>172</v>
      </c>
      <c r="O22" s="88">
        <f t="shared" si="0"/>
        <v>0.69140169634602244</v>
      </c>
      <c r="P22" s="16"/>
      <c r="Q22" s="16"/>
      <c r="R22" s="76"/>
    </row>
    <row r="23" spans="1:18" s="77" customFormat="1" ht="15.95" customHeight="1">
      <c r="A23" s="110">
        <v>12</v>
      </c>
      <c r="B23" s="100" t="s">
        <v>185</v>
      </c>
      <c r="C23" s="7">
        <v>1998</v>
      </c>
      <c r="D23" s="18">
        <v>192</v>
      </c>
      <c r="E23" s="15">
        <v>124</v>
      </c>
      <c r="F23" s="9">
        <v>200</v>
      </c>
      <c r="G23" s="9">
        <v>200</v>
      </c>
      <c r="H23" s="9">
        <v>200</v>
      </c>
      <c r="I23" s="9">
        <v>200</v>
      </c>
      <c r="J23" s="9">
        <v>200</v>
      </c>
      <c r="K23" s="9">
        <v>200</v>
      </c>
      <c r="L23" s="9">
        <v>200</v>
      </c>
      <c r="M23" s="9">
        <v>200</v>
      </c>
      <c r="N23" s="9">
        <v>196</v>
      </c>
      <c r="O23" s="88">
        <f t="shared" si="0"/>
        <v>0.7878763516501186</v>
      </c>
      <c r="P23" s="99"/>
      <c r="Q23" s="99"/>
      <c r="R23" s="76"/>
    </row>
    <row r="24" spans="1:18" s="77" customFormat="1" ht="15.95" customHeight="1">
      <c r="A24" s="110">
        <v>13</v>
      </c>
      <c r="B24" s="100" t="s">
        <v>206</v>
      </c>
      <c r="C24" s="7" t="s">
        <v>200</v>
      </c>
      <c r="D24" s="18">
        <v>20</v>
      </c>
      <c r="E24" s="15" t="s">
        <v>2</v>
      </c>
      <c r="F24" s="18" t="s">
        <v>2</v>
      </c>
      <c r="G24" s="18" t="s">
        <v>2</v>
      </c>
      <c r="H24" s="18" t="s">
        <v>2</v>
      </c>
      <c r="I24" s="18" t="s">
        <v>2</v>
      </c>
      <c r="J24" s="18" t="s">
        <v>2</v>
      </c>
      <c r="K24" s="9">
        <v>208</v>
      </c>
      <c r="L24" s="9">
        <v>208</v>
      </c>
      <c r="M24" s="9">
        <v>208</v>
      </c>
      <c r="N24" s="9">
        <v>208</v>
      </c>
      <c r="O24" s="88">
        <f t="shared" si="0"/>
        <v>0.83611367930216673</v>
      </c>
      <c r="P24" s="99"/>
      <c r="Q24" s="99"/>
      <c r="R24" s="76"/>
    </row>
    <row r="25" spans="1:18" s="77" customFormat="1" ht="15.95" customHeight="1">
      <c r="A25" s="110">
        <v>14</v>
      </c>
      <c r="B25" s="100" t="s">
        <v>48</v>
      </c>
      <c r="C25" s="7" t="s">
        <v>0</v>
      </c>
      <c r="D25" s="18">
        <v>206</v>
      </c>
      <c r="E25" s="15">
        <v>120</v>
      </c>
      <c r="F25" s="9">
        <v>206</v>
      </c>
      <c r="G25" s="9">
        <v>206</v>
      </c>
      <c r="H25" s="9">
        <v>206</v>
      </c>
      <c r="I25" s="9">
        <v>206</v>
      </c>
      <c r="J25" s="9">
        <v>206</v>
      </c>
      <c r="K25" s="9">
        <v>206</v>
      </c>
      <c r="L25" s="9">
        <v>206</v>
      </c>
      <c r="M25" s="9">
        <v>206</v>
      </c>
      <c r="N25" s="9">
        <v>206</v>
      </c>
      <c r="O25" s="88">
        <f t="shared" si="0"/>
        <v>0.82807412469349195</v>
      </c>
      <c r="P25" s="99"/>
      <c r="Q25" s="99"/>
      <c r="R25" s="76"/>
    </row>
    <row r="26" spans="1:18" s="77" customFormat="1" ht="15.95" customHeight="1">
      <c r="A26" s="110">
        <v>15</v>
      </c>
      <c r="B26" s="100" t="s">
        <v>49</v>
      </c>
      <c r="C26" s="14" t="s">
        <v>13</v>
      </c>
      <c r="D26" s="18">
        <v>200</v>
      </c>
      <c r="E26" s="15">
        <v>104.6</v>
      </c>
      <c r="F26" s="9">
        <v>200</v>
      </c>
      <c r="G26" s="9">
        <v>200</v>
      </c>
      <c r="H26" s="9">
        <v>200</v>
      </c>
      <c r="I26" s="9">
        <v>200</v>
      </c>
      <c r="J26" s="9">
        <v>200</v>
      </c>
      <c r="K26" s="9">
        <v>200</v>
      </c>
      <c r="L26" s="9">
        <v>236</v>
      </c>
      <c r="M26" s="9">
        <v>236</v>
      </c>
      <c r="N26" s="9">
        <v>236</v>
      </c>
      <c r="O26" s="88">
        <f t="shared" si="0"/>
        <v>0.94866744382361212</v>
      </c>
      <c r="P26" s="99"/>
      <c r="Q26" s="99"/>
      <c r="R26" s="76"/>
    </row>
    <row r="27" spans="1:18" s="77" customFormat="1" ht="15.95" customHeight="1">
      <c r="A27" s="110">
        <v>16</v>
      </c>
      <c r="B27" s="100" t="s">
        <v>50</v>
      </c>
      <c r="C27" s="14">
        <v>1998</v>
      </c>
      <c r="D27" s="18">
        <v>200</v>
      </c>
      <c r="E27" s="15">
        <v>104.6</v>
      </c>
      <c r="F27" s="9">
        <v>200</v>
      </c>
      <c r="G27" s="9">
        <v>200</v>
      </c>
      <c r="H27" s="9">
        <v>200</v>
      </c>
      <c r="I27" s="9">
        <v>248</v>
      </c>
      <c r="J27" s="9">
        <v>248</v>
      </c>
      <c r="K27" s="9">
        <v>248</v>
      </c>
      <c r="L27" s="9">
        <v>248</v>
      </c>
      <c r="M27" s="9">
        <v>248</v>
      </c>
      <c r="N27" s="9">
        <v>248</v>
      </c>
      <c r="O27" s="88">
        <f t="shared" si="0"/>
        <v>0.99690477147566026</v>
      </c>
      <c r="P27" s="99"/>
      <c r="Q27" s="99"/>
      <c r="R27" s="76"/>
    </row>
    <row r="28" spans="1:18" s="77" customFormat="1" ht="15.95" customHeight="1">
      <c r="A28" s="110">
        <v>17</v>
      </c>
      <c r="B28" s="100" t="s">
        <v>51</v>
      </c>
      <c r="C28" s="17">
        <v>2001</v>
      </c>
      <c r="D28" s="18">
        <v>304</v>
      </c>
      <c r="E28" s="15">
        <v>110</v>
      </c>
      <c r="F28" s="9">
        <v>304</v>
      </c>
      <c r="G28" s="9">
        <v>304</v>
      </c>
      <c r="H28" s="9">
        <v>304</v>
      </c>
      <c r="I28" s="9">
        <v>304</v>
      </c>
      <c r="J28" s="9">
        <v>304</v>
      </c>
      <c r="K28" s="9">
        <v>304</v>
      </c>
      <c r="L28" s="9">
        <v>304</v>
      </c>
      <c r="M28" s="9">
        <v>304</v>
      </c>
      <c r="N28" s="9">
        <v>304</v>
      </c>
      <c r="O28" s="88">
        <f t="shared" si="0"/>
        <v>1.2220123005185513</v>
      </c>
      <c r="P28" s="16"/>
      <c r="Q28" s="16"/>
      <c r="R28" s="76"/>
    </row>
    <row r="29" spans="1:18" ht="15.95" customHeight="1">
      <c r="A29" s="114">
        <v>18</v>
      </c>
      <c r="B29" s="101" t="s">
        <v>52</v>
      </c>
      <c r="C29" s="36" t="s">
        <v>14</v>
      </c>
      <c r="D29" s="34">
        <v>50</v>
      </c>
      <c r="E29" s="35">
        <v>104.6</v>
      </c>
      <c r="F29" s="36">
        <v>130</v>
      </c>
      <c r="G29" s="36">
        <v>130</v>
      </c>
      <c r="H29" s="36">
        <v>130</v>
      </c>
      <c r="I29" s="36">
        <v>130</v>
      </c>
      <c r="J29" s="36">
        <v>130</v>
      </c>
      <c r="K29" s="36">
        <v>130</v>
      </c>
      <c r="L29" s="36">
        <v>130</v>
      </c>
      <c r="M29" s="36">
        <v>130</v>
      </c>
      <c r="N29" s="36">
        <v>130</v>
      </c>
      <c r="O29" s="91">
        <f t="shared" si="0"/>
        <v>0.52257104956385414</v>
      </c>
      <c r="P29" s="99"/>
      <c r="Q29" s="99"/>
      <c r="R29" s="75"/>
    </row>
    <row r="30" spans="1:18" s="77" customFormat="1" ht="15.95" customHeight="1">
      <c r="A30" s="153"/>
      <c r="B30" s="42" t="s">
        <v>15</v>
      </c>
      <c r="C30" s="20" t="s">
        <v>2</v>
      </c>
      <c r="D30" s="20" t="s">
        <v>2</v>
      </c>
      <c r="E30" s="20" t="s">
        <v>2</v>
      </c>
      <c r="F30" s="20">
        <f t="shared" ref="F30:K30" si="6">SUM(F32:F35)</f>
        <v>1276</v>
      </c>
      <c r="G30" s="20">
        <f t="shared" si="6"/>
        <v>1294</v>
      </c>
      <c r="H30" s="20">
        <f t="shared" si="6"/>
        <v>1336</v>
      </c>
      <c r="I30" s="20">
        <f t="shared" si="6"/>
        <v>1336</v>
      </c>
      <c r="J30" s="20">
        <f t="shared" si="6"/>
        <v>1336</v>
      </c>
      <c r="K30" s="20">
        <f t="shared" si="6"/>
        <v>1336</v>
      </c>
      <c r="L30" s="20">
        <f>SUM(L31:L35)</f>
        <v>1476</v>
      </c>
      <c r="M30" s="20">
        <f>SUM(M31:M35)</f>
        <v>1636</v>
      </c>
      <c r="N30" s="20">
        <f>SUM(N31:N35)</f>
        <v>1636</v>
      </c>
      <c r="O30" s="84">
        <f t="shared" si="0"/>
        <v>6.5763556698958876</v>
      </c>
      <c r="P30" s="99"/>
      <c r="Q30" s="99"/>
      <c r="R30" s="76"/>
    </row>
    <row r="31" spans="1:18" s="77" customFormat="1" ht="15.95" customHeight="1">
      <c r="A31" s="110">
        <v>19</v>
      </c>
      <c r="B31" s="100" t="s">
        <v>217</v>
      </c>
      <c r="C31" s="15">
        <v>2013</v>
      </c>
      <c r="D31" s="15">
        <v>140</v>
      </c>
      <c r="E31" s="15">
        <v>133</v>
      </c>
      <c r="F31" s="15" t="s">
        <v>2</v>
      </c>
      <c r="G31" s="15" t="s">
        <v>2</v>
      </c>
      <c r="H31" s="15" t="s">
        <v>2</v>
      </c>
      <c r="I31" s="15" t="s">
        <v>2</v>
      </c>
      <c r="J31" s="15" t="s">
        <v>2</v>
      </c>
      <c r="K31" s="15" t="s">
        <v>2</v>
      </c>
      <c r="L31" s="9">
        <v>140</v>
      </c>
      <c r="M31" s="9">
        <v>300</v>
      </c>
      <c r="N31" s="9">
        <v>300</v>
      </c>
      <c r="O31" s="88">
        <f t="shared" si="0"/>
        <v>1.2059331913012019</v>
      </c>
      <c r="P31" s="99"/>
      <c r="Q31" s="99"/>
      <c r="R31" s="76"/>
    </row>
    <row r="32" spans="1:18" s="94" customFormat="1" ht="15.95" customHeight="1">
      <c r="A32" s="110">
        <v>20</v>
      </c>
      <c r="B32" s="100" t="s">
        <v>55</v>
      </c>
      <c r="C32" s="14" t="s">
        <v>13</v>
      </c>
      <c r="D32" s="18">
        <v>200</v>
      </c>
      <c r="E32" s="15">
        <v>125.5</v>
      </c>
      <c r="F32" s="15">
        <v>200</v>
      </c>
      <c r="G32" s="15">
        <v>200</v>
      </c>
      <c r="H32" s="15">
        <v>200</v>
      </c>
      <c r="I32" s="15">
        <v>200</v>
      </c>
      <c r="J32" s="15">
        <v>200</v>
      </c>
      <c r="K32" s="15">
        <v>200</v>
      </c>
      <c r="L32" s="9">
        <v>200</v>
      </c>
      <c r="M32" s="9">
        <v>200</v>
      </c>
      <c r="N32" s="9">
        <v>200</v>
      </c>
      <c r="O32" s="88">
        <f t="shared" si="0"/>
        <v>0.80395546086746794</v>
      </c>
      <c r="P32" s="99"/>
      <c r="Q32" s="99"/>
      <c r="R32" s="116"/>
    </row>
    <row r="33" spans="1:22" s="119" customFormat="1" ht="15.95" customHeight="1">
      <c r="A33" s="110">
        <v>21</v>
      </c>
      <c r="B33" s="100" t="s">
        <v>53</v>
      </c>
      <c r="C33" s="14">
        <v>1998</v>
      </c>
      <c r="D33" s="18">
        <v>90</v>
      </c>
      <c r="E33" s="15">
        <v>128.69999999999999</v>
      </c>
      <c r="F33" s="15">
        <v>120</v>
      </c>
      <c r="G33" s="15">
        <v>120</v>
      </c>
      <c r="H33" s="15">
        <v>120</v>
      </c>
      <c r="I33" s="15">
        <v>120</v>
      </c>
      <c r="J33" s="15">
        <v>120</v>
      </c>
      <c r="K33" s="15">
        <v>120</v>
      </c>
      <c r="L33" s="9">
        <v>120</v>
      </c>
      <c r="M33" s="9">
        <v>120</v>
      </c>
      <c r="N33" s="9">
        <v>120</v>
      </c>
      <c r="O33" s="88">
        <f t="shared" si="0"/>
        <v>0.48237327652048073</v>
      </c>
      <c r="P33" s="99"/>
      <c r="Q33" s="99"/>
      <c r="R33" s="118"/>
    </row>
    <row r="34" spans="1:22" ht="15.95" customHeight="1">
      <c r="A34" s="110">
        <v>22</v>
      </c>
      <c r="B34" s="100" t="s">
        <v>56</v>
      </c>
      <c r="C34" s="19" t="s">
        <v>16</v>
      </c>
      <c r="D34" s="18">
        <v>18</v>
      </c>
      <c r="E34" s="15">
        <v>128.69999999999999</v>
      </c>
      <c r="F34" s="15">
        <v>740</v>
      </c>
      <c r="G34" s="15">
        <v>746</v>
      </c>
      <c r="H34" s="15">
        <v>768</v>
      </c>
      <c r="I34" s="15">
        <v>768</v>
      </c>
      <c r="J34" s="15">
        <v>768</v>
      </c>
      <c r="K34" s="15">
        <v>768</v>
      </c>
      <c r="L34" s="9">
        <v>768</v>
      </c>
      <c r="M34" s="9">
        <v>768</v>
      </c>
      <c r="N34" s="9">
        <v>768</v>
      </c>
      <c r="O34" s="88">
        <f t="shared" si="0"/>
        <v>3.0871889697310766</v>
      </c>
      <c r="P34" s="99"/>
      <c r="Q34" s="99"/>
      <c r="R34" s="99"/>
    </row>
    <row r="35" spans="1:22" ht="15.95" customHeight="1">
      <c r="A35" s="114">
        <v>23</v>
      </c>
      <c r="B35" s="101" t="s">
        <v>57</v>
      </c>
      <c r="C35" s="37">
        <v>1999</v>
      </c>
      <c r="D35" s="34">
        <v>200</v>
      </c>
      <c r="E35" s="35">
        <v>128.69999999999999</v>
      </c>
      <c r="F35" s="35">
        <v>216</v>
      </c>
      <c r="G35" s="35">
        <v>228</v>
      </c>
      <c r="H35" s="35">
        <v>248</v>
      </c>
      <c r="I35" s="35">
        <v>248</v>
      </c>
      <c r="J35" s="35">
        <v>248</v>
      </c>
      <c r="K35" s="35">
        <v>248</v>
      </c>
      <c r="L35" s="79">
        <v>248</v>
      </c>
      <c r="M35" s="79">
        <v>248</v>
      </c>
      <c r="N35" s="79">
        <v>248</v>
      </c>
      <c r="O35" s="91">
        <f t="shared" si="0"/>
        <v>0.99690477147566026</v>
      </c>
      <c r="P35" s="99"/>
      <c r="Q35" s="99"/>
      <c r="R35" s="99"/>
    </row>
    <row r="36" spans="1:22" s="77" customFormat="1" ht="15.95" customHeight="1">
      <c r="A36" s="110"/>
      <c r="B36" s="42" t="s">
        <v>17</v>
      </c>
      <c r="C36" s="20" t="s">
        <v>2</v>
      </c>
      <c r="D36" s="20" t="s">
        <v>2</v>
      </c>
      <c r="E36" s="20" t="s">
        <v>2</v>
      </c>
      <c r="F36" s="20">
        <f t="shared" ref="F36:N36" si="7">SUM(F37:F79)</f>
        <v>8724</v>
      </c>
      <c r="G36" s="20">
        <f t="shared" si="7"/>
        <v>8914</v>
      </c>
      <c r="H36" s="20">
        <f t="shared" si="7"/>
        <v>8982</v>
      </c>
      <c r="I36" s="20">
        <f t="shared" si="7"/>
        <v>9058</v>
      </c>
      <c r="J36" s="20">
        <f t="shared" si="7"/>
        <v>9128</v>
      </c>
      <c r="K36" s="20">
        <f t="shared" si="7"/>
        <v>9132</v>
      </c>
      <c r="L36" s="20">
        <f t="shared" si="7"/>
        <v>9268</v>
      </c>
      <c r="M36" s="20">
        <f t="shared" si="7"/>
        <v>8968</v>
      </c>
      <c r="N36" s="20">
        <f t="shared" si="7"/>
        <v>9088</v>
      </c>
      <c r="O36" s="84">
        <f t="shared" si="0"/>
        <v>36.531736141817746</v>
      </c>
      <c r="P36" s="99"/>
      <c r="Q36" s="99"/>
      <c r="R36" s="99"/>
    </row>
    <row r="37" spans="1:22" ht="15.95" customHeight="1">
      <c r="A37" s="110">
        <v>24</v>
      </c>
      <c r="B37" s="100" t="s">
        <v>58</v>
      </c>
      <c r="C37" s="7">
        <v>1978</v>
      </c>
      <c r="D37" s="18">
        <v>34</v>
      </c>
      <c r="E37" s="15">
        <v>34</v>
      </c>
      <c r="F37" s="15">
        <v>232</v>
      </c>
      <c r="G37" s="15">
        <v>256</v>
      </c>
      <c r="H37" s="15">
        <v>256</v>
      </c>
      <c r="I37" s="15">
        <v>256</v>
      </c>
      <c r="J37" s="15">
        <v>256</v>
      </c>
      <c r="K37" s="15">
        <v>256</v>
      </c>
      <c r="L37" s="15">
        <v>256</v>
      </c>
      <c r="M37" s="15">
        <v>256</v>
      </c>
      <c r="N37" s="15">
        <v>256</v>
      </c>
      <c r="O37" s="88">
        <f t="shared" si="0"/>
        <v>1.0290629899103589</v>
      </c>
      <c r="P37" s="99"/>
      <c r="Q37" s="99"/>
      <c r="R37" s="99"/>
    </row>
    <row r="38" spans="1:22" ht="24.75" customHeight="1">
      <c r="A38" s="110">
        <v>25</v>
      </c>
      <c r="B38" s="100" t="s">
        <v>59</v>
      </c>
      <c r="C38" s="19" t="s">
        <v>23</v>
      </c>
      <c r="D38" s="18">
        <v>40</v>
      </c>
      <c r="E38" s="15">
        <v>22.5</v>
      </c>
      <c r="F38" s="15">
        <v>354</v>
      </c>
      <c r="G38" s="15">
        <v>354</v>
      </c>
      <c r="H38" s="15">
        <v>354</v>
      </c>
      <c r="I38" s="15">
        <v>354</v>
      </c>
      <c r="J38" s="15">
        <v>354</v>
      </c>
      <c r="K38" s="15">
        <v>354</v>
      </c>
      <c r="L38" s="15">
        <v>354</v>
      </c>
      <c r="M38" s="15">
        <v>354</v>
      </c>
      <c r="N38" s="15">
        <v>354</v>
      </c>
      <c r="O38" s="88">
        <f t="shared" si="0"/>
        <v>1.4230011657354182</v>
      </c>
      <c r="P38" s="99"/>
      <c r="Q38" s="99"/>
      <c r="R38" s="99"/>
    </row>
    <row r="39" spans="1:22" ht="15.95" customHeight="1">
      <c r="A39" s="110">
        <v>26</v>
      </c>
      <c r="B39" s="100" t="s">
        <v>60</v>
      </c>
      <c r="C39" s="7" t="s">
        <v>24</v>
      </c>
      <c r="D39" s="18">
        <v>24</v>
      </c>
      <c r="E39" s="15">
        <v>40</v>
      </c>
      <c r="F39" s="15">
        <v>220</v>
      </c>
      <c r="G39" s="15">
        <v>220</v>
      </c>
      <c r="H39" s="15">
        <v>220</v>
      </c>
      <c r="I39" s="15">
        <v>220</v>
      </c>
      <c r="J39" s="15">
        <v>220</v>
      </c>
      <c r="K39" s="15">
        <v>220</v>
      </c>
      <c r="L39" s="15">
        <v>220</v>
      </c>
      <c r="M39" s="15">
        <v>220</v>
      </c>
      <c r="N39" s="15">
        <v>220</v>
      </c>
      <c r="O39" s="88">
        <f t="shared" si="0"/>
        <v>0.88435100695421465</v>
      </c>
      <c r="P39" s="99"/>
      <c r="Q39" s="99"/>
      <c r="R39" s="99"/>
    </row>
    <row r="40" spans="1:22" ht="15.95" customHeight="1">
      <c r="A40" s="110">
        <v>27</v>
      </c>
      <c r="B40" s="100" t="s">
        <v>61</v>
      </c>
      <c r="C40" s="14" t="s">
        <v>16</v>
      </c>
      <c r="D40" s="18">
        <v>20</v>
      </c>
      <c r="E40" s="15">
        <v>17</v>
      </c>
      <c r="F40" s="15">
        <v>90</v>
      </c>
      <c r="G40" s="15">
        <v>90</v>
      </c>
      <c r="H40" s="15">
        <v>90</v>
      </c>
      <c r="I40" s="15">
        <v>90</v>
      </c>
      <c r="J40" s="15">
        <v>90</v>
      </c>
      <c r="K40" s="15">
        <v>90</v>
      </c>
      <c r="L40" s="15">
        <v>90</v>
      </c>
      <c r="M40" s="15">
        <v>90</v>
      </c>
      <c r="N40" s="15">
        <v>90</v>
      </c>
      <c r="O40" s="88">
        <f t="shared" si="0"/>
        <v>0.36177995739036056</v>
      </c>
      <c r="P40" s="99"/>
      <c r="Q40" s="99"/>
      <c r="R40" s="99"/>
    </row>
    <row r="41" spans="1:22" s="77" customFormat="1" ht="15.95" customHeight="1">
      <c r="A41" s="110">
        <v>28</v>
      </c>
      <c r="B41" s="100" t="s">
        <v>182</v>
      </c>
      <c r="C41" s="7" t="s">
        <v>18</v>
      </c>
      <c r="D41" s="18">
        <v>36</v>
      </c>
      <c r="E41" s="15">
        <v>32</v>
      </c>
      <c r="F41" s="15">
        <v>60</v>
      </c>
      <c r="G41" s="15">
        <v>60</v>
      </c>
      <c r="H41" s="15">
        <v>60</v>
      </c>
      <c r="I41" s="15">
        <v>60</v>
      </c>
      <c r="J41" s="15">
        <v>60</v>
      </c>
      <c r="K41" s="15">
        <v>60</v>
      </c>
      <c r="L41" s="15">
        <v>60</v>
      </c>
      <c r="M41" s="15">
        <v>60</v>
      </c>
      <c r="N41" s="15">
        <v>60</v>
      </c>
      <c r="O41" s="88">
        <f t="shared" si="0"/>
        <v>0.24118663826024037</v>
      </c>
      <c r="P41" s="99"/>
      <c r="Q41" s="99"/>
      <c r="R41" s="99"/>
    </row>
    <row r="42" spans="1:22" ht="15.95" customHeight="1">
      <c r="A42" s="110">
        <v>29</v>
      </c>
      <c r="B42" s="100" t="s">
        <v>237</v>
      </c>
      <c r="C42" s="7" t="s">
        <v>19</v>
      </c>
      <c r="D42" s="18">
        <v>220</v>
      </c>
      <c r="E42" s="15">
        <v>8</v>
      </c>
      <c r="F42" s="15">
        <v>450</v>
      </c>
      <c r="G42" s="15">
        <v>450</v>
      </c>
      <c r="H42" s="15">
        <v>450</v>
      </c>
      <c r="I42" s="15">
        <v>450</v>
      </c>
      <c r="J42" s="15">
        <v>450</v>
      </c>
      <c r="K42" s="15">
        <v>450</v>
      </c>
      <c r="L42" s="15">
        <v>450</v>
      </c>
      <c r="M42" s="15">
        <v>430</v>
      </c>
      <c r="N42" s="15">
        <v>430</v>
      </c>
      <c r="O42" s="88">
        <f t="shared" si="0"/>
        <v>1.7285042408650562</v>
      </c>
      <c r="P42" s="99"/>
      <c r="Q42" s="99"/>
      <c r="R42" s="99"/>
    </row>
    <row r="43" spans="1:22" s="77" customFormat="1" ht="15.95" customHeight="1">
      <c r="A43" s="110">
        <v>30</v>
      </c>
      <c r="B43" s="100" t="s">
        <v>62</v>
      </c>
      <c r="C43" s="19" t="s">
        <v>20</v>
      </c>
      <c r="D43" s="18">
        <v>24</v>
      </c>
      <c r="E43" s="15">
        <v>12</v>
      </c>
      <c r="F43" s="15">
        <v>96</v>
      </c>
      <c r="G43" s="15">
        <v>96</v>
      </c>
      <c r="H43" s="15">
        <v>96</v>
      </c>
      <c r="I43" s="15">
        <v>96</v>
      </c>
      <c r="J43" s="15">
        <v>96</v>
      </c>
      <c r="K43" s="15">
        <v>96</v>
      </c>
      <c r="L43" s="15">
        <v>96</v>
      </c>
      <c r="M43" s="15">
        <v>96</v>
      </c>
      <c r="N43" s="15">
        <v>96</v>
      </c>
      <c r="O43" s="88">
        <f t="shared" si="0"/>
        <v>0.38589862121638457</v>
      </c>
      <c r="P43" s="99"/>
      <c r="Q43" s="99"/>
      <c r="R43" s="99"/>
      <c r="S43" s="26"/>
      <c r="T43" s="26"/>
      <c r="U43" s="99"/>
      <c r="V43" s="76"/>
    </row>
    <row r="44" spans="1:22" s="77" customFormat="1" ht="15.95" customHeight="1">
      <c r="A44" s="110">
        <v>31</v>
      </c>
      <c r="B44" s="100" t="s">
        <v>63</v>
      </c>
      <c r="C44" s="7" t="s">
        <v>21</v>
      </c>
      <c r="D44" s="18">
        <v>56</v>
      </c>
      <c r="E44" s="15">
        <v>16</v>
      </c>
      <c r="F44" s="15">
        <v>150</v>
      </c>
      <c r="G44" s="15">
        <v>150</v>
      </c>
      <c r="H44" s="15">
        <v>150</v>
      </c>
      <c r="I44" s="15">
        <v>150</v>
      </c>
      <c r="J44" s="15">
        <v>150</v>
      </c>
      <c r="K44" s="15">
        <v>150</v>
      </c>
      <c r="L44" s="15">
        <v>150</v>
      </c>
      <c r="M44" s="15">
        <v>150</v>
      </c>
      <c r="N44" s="15">
        <v>150</v>
      </c>
      <c r="O44" s="88">
        <f t="shared" si="0"/>
        <v>0.60296659565060096</v>
      </c>
      <c r="P44" s="99"/>
      <c r="Q44" s="99"/>
      <c r="R44" s="99"/>
    </row>
    <row r="45" spans="1:22" ht="15.95" customHeight="1">
      <c r="A45" s="110">
        <v>32</v>
      </c>
      <c r="B45" s="100" t="s">
        <v>64</v>
      </c>
      <c r="C45" s="7" t="s">
        <v>22</v>
      </c>
      <c r="D45" s="18">
        <v>192</v>
      </c>
      <c r="E45" s="15">
        <v>18</v>
      </c>
      <c r="F45" s="15">
        <v>192</v>
      </c>
      <c r="G45" s="15">
        <v>192</v>
      </c>
      <c r="H45" s="15">
        <v>192</v>
      </c>
      <c r="I45" s="15">
        <v>192</v>
      </c>
      <c r="J45" s="15">
        <v>192</v>
      </c>
      <c r="K45" s="15">
        <v>192</v>
      </c>
      <c r="L45" s="15">
        <v>192</v>
      </c>
      <c r="M45" s="15">
        <v>192</v>
      </c>
      <c r="N45" s="15">
        <v>192</v>
      </c>
      <c r="O45" s="88">
        <f t="shared" si="0"/>
        <v>0.77179724243276915</v>
      </c>
      <c r="P45" s="99"/>
      <c r="Q45" s="99"/>
      <c r="R45" s="99"/>
    </row>
    <row r="46" spans="1:22" s="77" customFormat="1" ht="15.95" customHeight="1">
      <c r="A46" s="110">
        <v>33</v>
      </c>
      <c r="B46" s="100" t="s">
        <v>65</v>
      </c>
      <c r="C46" s="7">
        <v>1973</v>
      </c>
      <c r="D46" s="18">
        <v>112</v>
      </c>
      <c r="E46" s="15">
        <v>2</v>
      </c>
      <c r="F46" s="15">
        <v>304</v>
      </c>
      <c r="G46" s="15">
        <v>304</v>
      </c>
      <c r="H46" s="15">
        <v>304</v>
      </c>
      <c r="I46" s="15">
        <v>304</v>
      </c>
      <c r="J46" s="15">
        <v>304</v>
      </c>
      <c r="K46" s="15">
        <v>304</v>
      </c>
      <c r="L46" s="15">
        <v>304</v>
      </c>
      <c r="M46" s="15" t="s">
        <v>2</v>
      </c>
      <c r="N46" s="15" t="s">
        <v>2</v>
      </c>
      <c r="O46" s="88" t="s">
        <v>2</v>
      </c>
      <c r="P46" s="99"/>
      <c r="Q46" s="99"/>
      <c r="R46" s="99"/>
    </row>
    <row r="47" spans="1:22" s="119" customFormat="1" ht="15.95" customHeight="1">
      <c r="A47" s="110">
        <v>34</v>
      </c>
      <c r="B47" s="100" t="s">
        <v>66</v>
      </c>
      <c r="C47" s="7" t="s">
        <v>23</v>
      </c>
      <c r="D47" s="18">
        <v>50</v>
      </c>
      <c r="E47" s="15">
        <v>29</v>
      </c>
      <c r="F47" s="15">
        <v>206</v>
      </c>
      <c r="G47" s="15">
        <v>206</v>
      </c>
      <c r="H47" s="15">
        <v>206</v>
      </c>
      <c r="I47" s="15">
        <v>206</v>
      </c>
      <c r="J47" s="15">
        <v>206</v>
      </c>
      <c r="K47" s="15">
        <v>206</v>
      </c>
      <c r="L47" s="15">
        <v>206</v>
      </c>
      <c r="M47" s="15">
        <v>206</v>
      </c>
      <c r="N47" s="15">
        <v>206</v>
      </c>
      <c r="O47" s="88">
        <f t="shared" ref="O47:O78" si="8">N47/N$6*100</f>
        <v>0.82807412469349195</v>
      </c>
      <c r="P47" s="99"/>
      <c r="Q47" s="99"/>
      <c r="R47" s="99"/>
    </row>
    <row r="48" spans="1:22" s="119" customFormat="1" ht="15.95" customHeight="1">
      <c r="A48" s="110">
        <v>35</v>
      </c>
      <c r="B48" s="100" t="s">
        <v>207</v>
      </c>
      <c r="C48" s="14" t="s">
        <v>183</v>
      </c>
      <c r="D48" s="18">
        <v>12</v>
      </c>
      <c r="E48" s="15">
        <v>27.4</v>
      </c>
      <c r="F48" s="15">
        <v>14</v>
      </c>
      <c r="G48" s="15">
        <v>14</v>
      </c>
      <c r="H48" s="15">
        <v>14</v>
      </c>
      <c r="I48" s="15">
        <v>14</v>
      </c>
      <c r="J48" s="15">
        <v>14</v>
      </c>
      <c r="K48" s="15">
        <v>14</v>
      </c>
      <c r="L48" s="15">
        <v>14</v>
      </c>
      <c r="M48" s="15">
        <v>14</v>
      </c>
      <c r="N48" s="15">
        <v>14</v>
      </c>
      <c r="O48" s="88">
        <f t="shared" si="8"/>
        <v>5.6276882260722749E-2</v>
      </c>
      <c r="P48" s="99"/>
      <c r="Q48" s="99"/>
      <c r="R48" s="99"/>
    </row>
    <row r="49" spans="1:18" s="119" customFormat="1" ht="15.95" customHeight="1">
      <c r="A49" s="110">
        <v>36</v>
      </c>
      <c r="B49" s="100" t="s">
        <v>67</v>
      </c>
      <c r="C49" s="7">
        <v>1981</v>
      </c>
      <c r="D49" s="18">
        <v>12</v>
      </c>
      <c r="E49" s="15">
        <v>30</v>
      </c>
      <c r="F49" s="15">
        <v>70</v>
      </c>
      <c r="G49" s="15">
        <v>70</v>
      </c>
      <c r="H49" s="15">
        <v>70</v>
      </c>
      <c r="I49" s="15">
        <v>70</v>
      </c>
      <c r="J49" s="15">
        <v>70</v>
      </c>
      <c r="K49" s="15">
        <v>70</v>
      </c>
      <c r="L49" s="15">
        <v>70</v>
      </c>
      <c r="M49" s="15">
        <v>70</v>
      </c>
      <c r="N49" s="15">
        <v>70</v>
      </c>
      <c r="O49" s="88">
        <f t="shared" si="8"/>
        <v>0.2813844113036138</v>
      </c>
      <c r="P49" s="99"/>
      <c r="Q49" s="99"/>
      <c r="R49" s="99"/>
    </row>
    <row r="50" spans="1:18" s="77" customFormat="1" ht="15.95" customHeight="1">
      <c r="A50" s="110">
        <v>37</v>
      </c>
      <c r="B50" s="100" t="s">
        <v>235</v>
      </c>
      <c r="C50" s="19" t="s">
        <v>18</v>
      </c>
      <c r="D50" s="18">
        <v>20</v>
      </c>
      <c r="E50" s="15">
        <v>13</v>
      </c>
      <c r="F50" s="15">
        <v>292</v>
      </c>
      <c r="G50" s="15">
        <v>292</v>
      </c>
      <c r="H50" s="15">
        <v>296</v>
      </c>
      <c r="I50" s="15">
        <v>296</v>
      </c>
      <c r="J50" s="15">
        <v>296</v>
      </c>
      <c r="K50" s="15">
        <v>296</v>
      </c>
      <c r="L50" s="15">
        <v>296</v>
      </c>
      <c r="M50" s="15">
        <v>296</v>
      </c>
      <c r="N50" s="15">
        <v>296</v>
      </c>
      <c r="O50" s="88">
        <f t="shared" si="8"/>
        <v>1.1898540820838526</v>
      </c>
      <c r="P50" s="99"/>
      <c r="Q50" s="99"/>
      <c r="R50" s="99"/>
    </row>
    <row r="51" spans="1:18" s="77" customFormat="1" ht="15.95" customHeight="1">
      <c r="A51" s="110">
        <v>38</v>
      </c>
      <c r="B51" s="100" t="s">
        <v>239</v>
      </c>
      <c r="C51" s="19" t="s">
        <v>18</v>
      </c>
      <c r="D51" s="18">
        <v>120</v>
      </c>
      <c r="E51" s="15">
        <v>29</v>
      </c>
      <c r="F51" s="15">
        <v>120</v>
      </c>
      <c r="G51" s="15">
        <v>120</v>
      </c>
      <c r="H51" s="15">
        <v>120</v>
      </c>
      <c r="I51" s="15">
        <v>120</v>
      </c>
      <c r="J51" s="15">
        <v>120</v>
      </c>
      <c r="K51" s="15">
        <v>120</v>
      </c>
      <c r="L51" s="15">
        <v>120</v>
      </c>
      <c r="M51" s="15">
        <v>120</v>
      </c>
      <c r="N51" s="15">
        <v>120</v>
      </c>
      <c r="O51" s="88">
        <f t="shared" si="8"/>
        <v>0.48237327652048073</v>
      </c>
      <c r="P51" s="99"/>
      <c r="Q51" s="99"/>
      <c r="R51" s="99"/>
    </row>
    <row r="52" spans="1:18" s="77" customFormat="1" ht="15.95" customHeight="1">
      <c r="A52" s="110">
        <v>39</v>
      </c>
      <c r="B52" s="100" t="s">
        <v>68</v>
      </c>
      <c r="C52" s="14" t="s">
        <v>23</v>
      </c>
      <c r="D52" s="18">
        <v>44</v>
      </c>
      <c r="E52" s="15">
        <v>8</v>
      </c>
      <c r="F52" s="15">
        <v>236</v>
      </c>
      <c r="G52" s="15">
        <v>236</v>
      </c>
      <c r="H52" s="15">
        <v>236</v>
      </c>
      <c r="I52" s="15">
        <v>236</v>
      </c>
      <c r="J52" s="15">
        <v>236</v>
      </c>
      <c r="K52" s="15">
        <v>236</v>
      </c>
      <c r="L52" s="15">
        <v>236</v>
      </c>
      <c r="M52" s="15">
        <v>236</v>
      </c>
      <c r="N52" s="15">
        <v>236</v>
      </c>
      <c r="O52" s="88">
        <f t="shared" si="8"/>
        <v>0.94866744382361212</v>
      </c>
      <c r="P52" s="99"/>
      <c r="Q52" s="99"/>
      <c r="R52" s="99"/>
    </row>
    <row r="53" spans="1:18" s="77" customFormat="1" ht="15.95" customHeight="1">
      <c r="A53" s="110">
        <v>40</v>
      </c>
      <c r="B53" s="100" t="s">
        <v>69</v>
      </c>
      <c r="C53" s="14" t="s">
        <v>22</v>
      </c>
      <c r="D53" s="18">
        <v>40</v>
      </c>
      <c r="E53" s="15">
        <v>40</v>
      </c>
      <c r="F53" s="15">
        <v>114</v>
      </c>
      <c r="G53" s="15">
        <v>114</v>
      </c>
      <c r="H53" s="15">
        <v>114</v>
      </c>
      <c r="I53" s="15">
        <v>114</v>
      </c>
      <c r="J53" s="15">
        <v>114</v>
      </c>
      <c r="K53" s="15">
        <v>114</v>
      </c>
      <c r="L53" s="15">
        <v>114</v>
      </c>
      <c r="M53" s="15">
        <v>114</v>
      </c>
      <c r="N53" s="15">
        <v>114</v>
      </c>
      <c r="O53" s="88">
        <f t="shared" si="8"/>
        <v>0.45825461269445678</v>
      </c>
      <c r="P53" s="99"/>
      <c r="Q53" s="99"/>
      <c r="R53" s="99"/>
    </row>
    <row r="54" spans="1:18" s="77" customFormat="1" ht="15.95" customHeight="1">
      <c r="A54" s="110">
        <v>41</v>
      </c>
      <c r="B54" s="100" t="s">
        <v>70</v>
      </c>
      <c r="C54" s="14" t="s">
        <v>18</v>
      </c>
      <c r="D54" s="18">
        <v>90</v>
      </c>
      <c r="E54" s="15">
        <v>28</v>
      </c>
      <c r="F54" s="15">
        <v>300</v>
      </c>
      <c r="G54" s="15">
        <v>300</v>
      </c>
      <c r="H54" s="15">
        <v>300</v>
      </c>
      <c r="I54" s="15">
        <v>300</v>
      </c>
      <c r="J54" s="15">
        <v>300</v>
      </c>
      <c r="K54" s="15">
        <v>300</v>
      </c>
      <c r="L54" s="15">
        <v>300</v>
      </c>
      <c r="M54" s="15">
        <v>300</v>
      </c>
      <c r="N54" s="15">
        <v>300</v>
      </c>
      <c r="O54" s="88">
        <f t="shared" si="8"/>
        <v>1.2059331913012019</v>
      </c>
      <c r="P54" s="99"/>
      <c r="Q54" s="99"/>
      <c r="R54" s="99"/>
    </row>
    <row r="55" spans="1:18" ht="15.95" customHeight="1">
      <c r="A55" s="110">
        <v>42</v>
      </c>
      <c r="B55" s="100" t="s">
        <v>71</v>
      </c>
      <c r="C55" s="14" t="s">
        <v>25</v>
      </c>
      <c r="D55" s="18">
        <v>32</v>
      </c>
      <c r="E55" s="15">
        <v>12.9</v>
      </c>
      <c r="F55" s="15">
        <v>212</v>
      </c>
      <c r="G55" s="15">
        <v>212</v>
      </c>
      <c r="H55" s="15">
        <v>212</v>
      </c>
      <c r="I55" s="15">
        <v>212</v>
      </c>
      <c r="J55" s="15">
        <v>212</v>
      </c>
      <c r="K55" s="15">
        <v>212</v>
      </c>
      <c r="L55" s="15">
        <v>212</v>
      </c>
      <c r="M55" s="15">
        <v>212</v>
      </c>
      <c r="N55" s="15">
        <v>212</v>
      </c>
      <c r="O55" s="88">
        <f t="shared" si="8"/>
        <v>0.85219278851951608</v>
      </c>
      <c r="P55" s="99"/>
      <c r="Q55" s="99"/>
      <c r="R55" s="99"/>
    </row>
    <row r="56" spans="1:18" s="77" customFormat="1" ht="27.75" customHeight="1">
      <c r="A56" s="110">
        <v>43</v>
      </c>
      <c r="B56" s="100" t="s">
        <v>189</v>
      </c>
      <c r="C56" s="14">
        <v>1973</v>
      </c>
      <c r="D56" s="18">
        <v>112</v>
      </c>
      <c r="E56" s="15">
        <v>5.6</v>
      </c>
      <c r="F56" s="15">
        <v>312</v>
      </c>
      <c r="G56" s="15">
        <v>312</v>
      </c>
      <c r="H56" s="15">
        <v>312</v>
      </c>
      <c r="I56" s="15">
        <v>312</v>
      </c>
      <c r="J56" s="15">
        <v>312</v>
      </c>
      <c r="K56" s="15">
        <v>312</v>
      </c>
      <c r="L56" s="15">
        <v>312</v>
      </c>
      <c r="M56" s="15">
        <v>312</v>
      </c>
      <c r="N56" s="15">
        <v>312</v>
      </c>
      <c r="O56" s="88">
        <f t="shared" si="8"/>
        <v>1.2541705189532499</v>
      </c>
      <c r="P56" s="99"/>
      <c r="Q56" s="99"/>
      <c r="R56" s="99"/>
    </row>
    <row r="57" spans="1:18" s="77" customFormat="1" ht="15.95" customHeight="1">
      <c r="A57" s="110">
        <v>44</v>
      </c>
      <c r="B57" s="100" t="s">
        <v>72</v>
      </c>
      <c r="C57" s="14" t="s">
        <v>24</v>
      </c>
      <c r="D57" s="18">
        <v>44</v>
      </c>
      <c r="E57" s="15">
        <v>38</v>
      </c>
      <c r="F57" s="15">
        <v>200</v>
      </c>
      <c r="G57" s="15">
        <v>200</v>
      </c>
      <c r="H57" s="15">
        <v>200</v>
      </c>
      <c r="I57" s="15">
        <v>200</v>
      </c>
      <c r="J57" s="15">
        <v>200</v>
      </c>
      <c r="K57" s="15">
        <v>200</v>
      </c>
      <c r="L57" s="15">
        <v>200</v>
      </c>
      <c r="M57" s="15">
        <v>200</v>
      </c>
      <c r="N57" s="15">
        <v>200</v>
      </c>
      <c r="O57" s="88">
        <f t="shared" si="8"/>
        <v>0.80395546086746794</v>
      </c>
      <c r="P57" s="99"/>
      <c r="Q57" s="99"/>
      <c r="R57" s="99"/>
    </row>
    <row r="58" spans="1:18" s="77" customFormat="1" ht="15.95" customHeight="1">
      <c r="A58" s="110">
        <v>45</v>
      </c>
      <c r="B58" s="100" t="s">
        <v>236</v>
      </c>
      <c r="C58" s="14" t="s">
        <v>24</v>
      </c>
      <c r="D58" s="18">
        <v>18</v>
      </c>
      <c r="E58" s="15">
        <v>23</v>
      </c>
      <c r="F58" s="15">
        <v>80</v>
      </c>
      <c r="G58" s="15">
        <v>80</v>
      </c>
      <c r="H58" s="15">
        <v>80</v>
      </c>
      <c r="I58" s="15">
        <v>80</v>
      </c>
      <c r="J58" s="15">
        <v>80</v>
      </c>
      <c r="K58" s="15">
        <v>80</v>
      </c>
      <c r="L58" s="15">
        <v>80</v>
      </c>
      <c r="M58" s="15">
        <v>104</v>
      </c>
      <c r="N58" s="15">
        <v>104</v>
      </c>
      <c r="O58" s="88">
        <f t="shared" si="8"/>
        <v>0.41805683965108337</v>
      </c>
      <c r="P58" s="99"/>
      <c r="Q58" s="99"/>
      <c r="R58" s="99"/>
    </row>
    <row r="59" spans="1:18" s="77" customFormat="1" ht="15.95" customHeight="1">
      <c r="A59" s="110">
        <v>46</v>
      </c>
      <c r="B59" s="100" t="s">
        <v>234</v>
      </c>
      <c r="C59" s="14" t="s">
        <v>24</v>
      </c>
      <c r="D59" s="18">
        <v>40</v>
      </c>
      <c r="E59" s="15">
        <v>11.3</v>
      </c>
      <c r="F59" s="15">
        <v>132</v>
      </c>
      <c r="G59" s="15">
        <v>132</v>
      </c>
      <c r="H59" s="15">
        <v>132</v>
      </c>
      <c r="I59" s="15">
        <v>132</v>
      </c>
      <c r="J59" s="15">
        <v>132</v>
      </c>
      <c r="K59" s="15">
        <v>132</v>
      </c>
      <c r="L59" s="15">
        <v>220</v>
      </c>
      <c r="M59" s="15">
        <v>220</v>
      </c>
      <c r="N59" s="15">
        <v>220</v>
      </c>
      <c r="O59" s="88">
        <f t="shared" si="8"/>
        <v>0.88435100695421465</v>
      </c>
      <c r="P59" s="99"/>
      <c r="Q59" s="99"/>
      <c r="R59" s="99"/>
    </row>
    <row r="60" spans="1:18" s="77" customFormat="1" ht="18" customHeight="1">
      <c r="A60" s="110">
        <v>47</v>
      </c>
      <c r="B60" s="100" t="s">
        <v>233</v>
      </c>
      <c r="C60" s="14" t="s">
        <v>23</v>
      </c>
      <c r="D60" s="18">
        <v>20</v>
      </c>
      <c r="E60" s="15">
        <v>46.7</v>
      </c>
      <c r="F60" s="15">
        <v>100</v>
      </c>
      <c r="G60" s="15">
        <v>100</v>
      </c>
      <c r="H60" s="15">
        <v>100</v>
      </c>
      <c r="I60" s="15">
        <v>100</v>
      </c>
      <c r="J60" s="15">
        <v>100</v>
      </c>
      <c r="K60" s="15">
        <v>100</v>
      </c>
      <c r="L60" s="15">
        <v>100</v>
      </c>
      <c r="M60" s="15">
        <v>100</v>
      </c>
      <c r="N60" s="15">
        <v>220</v>
      </c>
      <c r="O60" s="88">
        <f t="shared" si="8"/>
        <v>0.88435100695421465</v>
      </c>
      <c r="P60" s="99"/>
      <c r="Q60" s="99"/>
      <c r="R60" s="99"/>
    </row>
    <row r="61" spans="1:18" s="77" customFormat="1" ht="15.95" customHeight="1">
      <c r="A61" s="110">
        <v>48</v>
      </c>
      <c r="B61" s="100" t="s">
        <v>73</v>
      </c>
      <c r="C61" s="19" t="s">
        <v>23</v>
      </c>
      <c r="D61" s="18">
        <v>80</v>
      </c>
      <c r="E61" s="15">
        <v>25.7</v>
      </c>
      <c r="F61" s="15">
        <v>102</v>
      </c>
      <c r="G61" s="15">
        <v>102</v>
      </c>
      <c r="H61" s="15">
        <v>102</v>
      </c>
      <c r="I61" s="15">
        <v>102</v>
      </c>
      <c r="J61" s="15">
        <v>102</v>
      </c>
      <c r="K61" s="15">
        <v>102</v>
      </c>
      <c r="L61" s="15">
        <v>102</v>
      </c>
      <c r="M61" s="15">
        <v>102</v>
      </c>
      <c r="N61" s="15">
        <v>102</v>
      </c>
      <c r="O61" s="88">
        <f t="shared" si="8"/>
        <v>0.41001728504240864</v>
      </c>
      <c r="P61" s="99"/>
      <c r="Q61" s="99"/>
      <c r="R61" s="99"/>
    </row>
    <row r="62" spans="1:18" s="119" customFormat="1" ht="25.5" customHeight="1">
      <c r="A62" s="110">
        <v>49</v>
      </c>
      <c r="B62" s="100" t="s">
        <v>186</v>
      </c>
      <c r="C62" s="7" t="s">
        <v>22</v>
      </c>
      <c r="D62" s="18">
        <v>64</v>
      </c>
      <c r="E62" s="15">
        <v>12</v>
      </c>
      <c r="F62" s="15">
        <v>110</v>
      </c>
      <c r="G62" s="15">
        <v>110</v>
      </c>
      <c r="H62" s="15">
        <v>110</v>
      </c>
      <c r="I62" s="15">
        <v>110</v>
      </c>
      <c r="J62" s="15">
        <v>174</v>
      </c>
      <c r="K62" s="15">
        <v>178</v>
      </c>
      <c r="L62" s="15">
        <v>178</v>
      </c>
      <c r="M62" s="15">
        <v>178</v>
      </c>
      <c r="N62" s="15">
        <v>178</v>
      </c>
      <c r="O62" s="88">
        <f t="shared" si="8"/>
        <v>0.71552036017204645</v>
      </c>
      <c r="P62" s="99"/>
      <c r="Q62" s="99"/>
      <c r="R62" s="99"/>
    </row>
    <row r="63" spans="1:18" s="77" customFormat="1" ht="15.95" customHeight="1">
      <c r="A63" s="110">
        <v>50</v>
      </c>
      <c r="B63" s="100" t="s">
        <v>184</v>
      </c>
      <c r="C63" s="14" t="s">
        <v>26</v>
      </c>
      <c r="D63" s="18">
        <v>98</v>
      </c>
      <c r="E63" s="15">
        <v>27.4</v>
      </c>
      <c r="F63" s="15">
        <v>204</v>
      </c>
      <c r="G63" s="15">
        <v>322</v>
      </c>
      <c r="H63" s="15">
        <v>322</v>
      </c>
      <c r="I63" s="15">
        <v>322</v>
      </c>
      <c r="J63" s="15">
        <v>322</v>
      </c>
      <c r="K63" s="15">
        <v>322</v>
      </c>
      <c r="L63" s="15">
        <v>322</v>
      </c>
      <c r="M63" s="15">
        <v>322</v>
      </c>
      <c r="N63" s="15">
        <v>322</v>
      </c>
      <c r="O63" s="88">
        <f t="shared" si="8"/>
        <v>1.2943682919966233</v>
      </c>
      <c r="P63" s="99"/>
      <c r="Q63" s="99"/>
      <c r="R63" s="99"/>
    </row>
    <row r="64" spans="1:18" s="77" customFormat="1" ht="15.95" customHeight="1">
      <c r="A64" s="110">
        <v>51</v>
      </c>
      <c r="B64" s="100" t="s">
        <v>74</v>
      </c>
      <c r="C64" s="14" t="s">
        <v>16</v>
      </c>
      <c r="D64" s="18">
        <v>18</v>
      </c>
      <c r="E64" s="15">
        <v>19.3</v>
      </c>
      <c r="F64" s="15">
        <v>444</v>
      </c>
      <c r="G64" s="15">
        <v>444</v>
      </c>
      <c r="H64" s="15">
        <v>444</v>
      </c>
      <c r="I64" s="15">
        <v>456</v>
      </c>
      <c r="J64" s="15">
        <v>448</v>
      </c>
      <c r="K64" s="15">
        <v>448</v>
      </c>
      <c r="L64" s="15">
        <v>492</v>
      </c>
      <c r="M64" s="15">
        <v>492</v>
      </c>
      <c r="N64" s="15">
        <v>492</v>
      </c>
      <c r="O64" s="88">
        <f t="shared" si="8"/>
        <v>1.9777304337339712</v>
      </c>
      <c r="P64" s="99"/>
      <c r="Q64" s="99"/>
      <c r="R64" s="99"/>
    </row>
    <row r="65" spans="1:18" s="77" customFormat="1" ht="15.95" customHeight="1">
      <c r="A65" s="110">
        <v>52</v>
      </c>
      <c r="B65" s="100" t="s">
        <v>75</v>
      </c>
      <c r="C65" s="19" t="s">
        <v>19</v>
      </c>
      <c r="D65" s="18">
        <v>60</v>
      </c>
      <c r="E65" s="15">
        <v>3.2</v>
      </c>
      <c r="F65" s="15">
        <v>362</v>
      </c>
      <c r="G65" s="15">
        <v>362</v>
      </c>
      <c r="H65" s="15">
        <v>362</v>
      </c>
      <c r="I65" s="15">
        <v>362</v>
      </c>
      <c r="J65" s="15">
        <v>362</v>
      </c>
      <c r="K65" s="15">
        <v>362</v>
      </c>
      <c r="L65" s="15">
        <v>362</v>
      </c>
      <c r="M65" s="15">
        <v>362</v>
      </c>
      <c r="N65" s="15">
        <v>362</v>
      </c>
      <c r="O65" s="88">
        <f t="shared" si="8"/>
        <v>1.4551593841701171</v>
      </c>
      <c r="P65" s="99"/>
      <c r="Q65" s="99"/>
      <c r="R65" s="99"/>
    </row>
    <row r="66" spans="1:18" s="77" customFormat="1" ht="15.95" customHeight="1">
      <c r="A66" s="110">
        <v>53</v>
      </c>
      <c r="B66" s="100" t="s">
        <v>76</v>
      </c>
      <c r="C66" s="19" t="s">
        <v>28</v>
      </c>
      <c r="D66" s="18">
        <v>90</v>
      </c>
      <c r="E66" s="15">
        <v>11.3</v>
      </c>
      <c r="F66" s="15">
        <v>258</v>
      </c>
      <c r="G66" s="15">
        <v>258</v>
      </c>
      <c r="H66" s="15">
        <v>258</v>
      </c>
      <c r="I66" s="15">
        <v>258</v>
      </c>
      <c r="J66" s="15">
        <v>258</v>
      </c>
      <c r="K66" s="15">
        <v>258</v>
      </c>
      <c r="L66" s="15">
        <v>258</v>
      </c>
      <c r="M66" s="15">
        <v>258</v>
      </c>
      <c r="N66" s="15">
        <v>258</v>
      </c>
      <c r="O66" s="88">
        <f t="shared" si="8"/>
        <v>1.0371025445190336</v>
      </c>
      <c r="P66" s="99"/>
      <c r="Q66" s="99"/>
      <c r="R66" s="99"/>
    </row>
    <row r="67" spans="1:18" s="77" customFormat="1" ht="15.95" customHeight="1">
      <c r="A67" s="110">
        <v>54</v>
      </c>
      <c r="B67" s="100" t="s">
        <v>77</v>
      </c>
      <c r="C67" s="19" t="s">
        <v>14</v>
      </c>
      <c r="D67" s="18">
        <v>58</v>
      </c>
      <c r="E67" s="15">
        <v>38.6</v>
      </c>
      <c r="F67" s="15">
        <v>74</v>
      </c>
      <c r="G67" s="15">
        <v>74</v>
      </c>
      <c r="H67" s="15">
        <v>74</v>
      </c>
      <c r="I67" s="15">
        <v>74</v>
      </c>
      <c r="J67" s="15">
        <v>74</v>
      </c>
      <c r="K67" s="15">
        <v>74</v>
      </c>
      <c r="L67" s="15">
        <v>74</v>
      </c>
      <c r="M67" s="15">
        <v>74</v>
      </c>
      <c r="N67" s="15">
        <v>74</v>
      </c>
      <c r="O67" s="88">
        <f t="shared" si="8"/>
        <v>0.29746352052096314</v>
      </c>
      <c r="P67" s="99"/>
      <c r="Q67" s="99"/>
      <c r="R67" s="99"/>
    </row>
    <row r="68" spans="1:18" s="119" customFormat="1" ht="15.95" customHeight="1">
      <c r="A68" s="110">
        <v>55</v>
      </c>
      <c r="B68" s="100" t="s">
        <v>78</v>
      </c>
      <c r="C68" s="19" t="s">
        <v>16</v>
      </c>
      <c r="D68" s="18">
        <v>128</v>
      </c>
      <c r="E68" s="15">
        <v>37</v>
      </c>
      <c r="F68" s="15">
        <v>570</v>
      </c>
      <c r="G68" s="15">
        <v>570</v>
      </c>
      <c r="H68" s="15">
        <v>570</v>
      </c>
      <c r="I68" s="15">
        <v>570</v>
      </c>
      <c r="J68" s="15">
        <v>570</v>
      </c>
      <c r="K68" s="15">
        <v>570</v>
      </c>
      <c r="L68" s="15">
        <v>570</v>
      </c>
      <c r="M68" s="15">
        <v>570</v>
      </c>
      <c r="N68" s="15">
        <v>570</v>
      </c>
      <c r="O68" s="88">
        <f t="shared" si="8"/>
        <v>2.2912730634722838</v>
      </c>
      <c r="P68" s="99"/>
      <c r="Q68" s="99"/>
      <c r="R68" s="99"/>
    </row>
    <row r="69" spans="1:18" s="119" customFormat="1" ht="15.95" customHeight="1">
      <c r="A69" s="110">
        <v>56</v>
      </c>
      <c r="B69" s="100" t="s">
        <v>79</v>
      </c>
      <c r="C69" s="19" t="s">
        <v>23</v>
      </c>
      <c r="D69" s="18">
        <v>36</v>
      </c>
      <c r="E69" s="15">
        <v>51.5</v>
      </c>
      <c r="F69" s="15">
        <v>268</v>
      </c>
      <c r="G69" s="15">
        <v>268</v>
      </c>
      <c r="H69" s="15">
        <v>268</v>
      </c>
      <c r="I69" s="15">
        <v>332</v>
      </c>
      <c r="J69" s="15">
        <v>332</v>
      </c>
      <c r="K69" s="15">
        <v>332</v>
      </c>
      <c r="L69" s="15">
        <v>332</v>
      </c>
      <c r="M69" s="15">
        <v>332</v>
      </c>
      <c r="N69" s="15">
        <v>332</v>
      </c>
      <c r="O69" s="88">
        <f t="shared" si="8"/>
        <v>1.3345660650399966</v>
      </c>
      <c r="P69" s="99"/>
      <c r="Q69" s="99"/>
      <c r="R69" s="99"/>
    </row>
    <row r="70" spans="1:18" s="119" customFormat="1" ht="27" customHeight="1">
      <c r="A70" s="110">
        <v>57</v>
      </c>
      <c r="B70" s="100" t="s">
        <v>80</v>
      </c>
      <c r="C70" s="19" t="s">
        <v>23</v>
      </c>
      <c r="D70" s="18">
        <v>24</v>
      </c>
      <c r="E70" s="15">
        <v>64.400000000000006</v>
      </c>
      <c r="F70" s="15">
        <v>264</v>
      </c>
      <c r="G70" s="15">
        <v>264</v>
      </c>
      <c r="H70" s="15">
        <v>268</v>
      </c>
      <c r="I70" s="15">
        <v>268</v>
      </c>
      <c r="J70" s="15">
        <v>268</v>
      </c>
      <c r="K70" s="15">
        <v>268</v>
      </c>
      <c r="L70" s="15">
        <v>268</v>
      </c>
      <c r="M70" s="15">
        <v>268</v>
      </c>
      <c r="N70" s="15">
        <v>268</v>
      </c>
      <c r="O70" s="88">
        <f t="shared" si="8"/>
        <v>1.077300317562407</v>
      </c>
      <c r="P70" s="99"/>
      <c r="Q70" s="99"/>
      <c r="R70" s="99"/>
    </row>
    <row r="71" spans="1:18" s="77" customFormat="1" ht="15.95" customHeight="1">
      <c r="A71" s="110">
        <v>58</v>
      </c>
      <c r="B71" s="100" t="s">
        <v>81</v>
      </c>
      <c r="C71" s="17">
        <v>1986</v>
      </c>
      <c r="D71" s="18">
        <v>32</v>
      </c>
      <c r="E71" s="15">
        <v>27</v>
      </c>
      <c r="F71" s="15">
        <v>138</v>
      </c>
      <c r="G71" s="15">
        <v>138</v>
      </c>
      <c r="H71" s="15">
        <v>138</v>
      </c>
      <c r="I71" s="15">
        <v>138</v>
      </c>
      <c r="J71" s="15">
        <v>138</v>
      </c>
      <c r="K71" s="15">
        <v>138</v>
      </c>
      <c r="L71" s="15">
        <v>138</v>
      </c>
      <c r="M71" s="15">
        <v>138</v>
      </c>
      <c r="N71" s="15">
        <v>138</v>
      </c>
      <c r="O71" s="88">
        <f t="shared" si="8"/>
        <v>0.55472926799855282</v>
      </c>
      <c r="P71" s="99"/>
      <c r="Q71" s="99"/>
      <c r="R71" s="99"/>
    </row>
    <row r="72" spans="1:18" s="77" customFormat="1" ht="15.95" customHeight="1">
      <c r="A72" s="110">
        <v>59</v>
      </c>
      <c r="B72" s="100" t="s">
        <v>82</v>
      </c>
      <c r="C72" s="19" t="s">
        <v>23</v>
      </c>
      <c r="D72" s="18">
        <v>24</v>
      </c>
      <c r="E72" s="15">
        <v>9.6</v>
      </c>
      <c r="F72" s="15">
        <v>520</v>
      </c>
      <c r="G72" s="15">
        <v>568</v>
      </c>
      <c r="H72" s="15">
        <v>568</v>
      </c>
      <c r="I72" s="15">
        <v>568</v>
      </c>
      <c r="J72" s="15">
        <v>568</v>
      </c>
      <c r="K72" s="15">
        <v>568</v>
      </c>
      <c r="L72" s="15">
        <v>568</v>
      </c>
      <c r="M72" s="15">
        <v>568</v>
      </c>
      <c r="N72" s="15">
        <v>568</v>
      </c>
      <c r="O72" s="88">
        <f t="shared" si="8"/>
        <v>2.2832335088636091</v>
      </c>
      <c r="P72" s="99"/>
      <c r="Q72" s="99"/>
      <c r="R72" s="99"/>
    </row>
    <row r="73" spans="1:18" s="77" customFormat="1" ht="15.95" customHeight="1">
      <c r="A73" s="110">
        <v>60</v>
      </c>
      <c r="B73" s="100" t="s">
        <v>83</v>
      </c>
      <c r="C73" s="19" t="s">
        <v>24</v>
      </c>
      <c r="D73" s="18">
        <v>40</v>
      </c>
      <c r="E73" s="15">
        <v>40.200000000000003</v>
      </c>
      <c r="F73" s="15">
        <v>100</v>
      </c>
      <c r="G73" s="15">
        <v>100</v>
      </c>
      <c r="H73" s="15">
        <v>100</v>
      </c>
      <c r="I73" s="15">
        <v>100</v>
      </c>
      <c r="J73" s="15">
        <v>100</v>
      </c>
      <c r="K73" s="15">
        <v>100</v>
      </c>
      <c r="L73" s="15">
        <v>100</v>
      </c>
      <c r="M73" s="15">
        <v>100</v>
      </c>
      <c r="N73" s="15">
        <v>100</v>
      </c>
      <c r="O73" s="88">
        <f t="shared" si="8"/>
        <v>0.40197773043373397</v>
      </c>
      <c r="P73" s="99"/>
      <c r="Q73" s="99"/>
      <c r="R73" s="99"/>
    </row>
    <row r="74" spans="1:18" ht="15.95" customHeight="1">
      <c r="A74" s="110">
        <v>61</v>
      </c>
      <c r="B74" s="100" t="s">
        <v>84</v>
      </c>
      <c r="C74" s="14" t="s">
        <v>24</v>
      </c>
      <c r="D74" s="18">
        <v>12</v>
      </c>
      <c r="E74" s="15">
        <v>9.6999999999999993</v>
      </c>
      <c r="F74" s="15">
        <v>94</v>
      </c>
      <c r="G74" s="15">
        <v>94</v>
      </c>
      <c r="H74" s="15">
        <v>94</v>
      </c>
      <c r="I74" s="15">
        <v>94</v>
      </c>
      <c r="J74" s="15">
        <v>94</v>
      </c>
      <c r="K74" s="15">
        <v>94</v>
      </c>
      <c r="L74" s="15">
        <v>94</v>
      </c>
      <c r="M74" s="15">
        <v>94</v>
      </c>
      <c r="N74" s="15">
        <v>94</v>
      </c>
      <c r="O74" s="88">
        <f t="shared" si="8"/>
        <v>0.37785906660770996</v>
      </c>
      <c r="P74" s="99"/>
      <c r="Q74" s="99"/>
      <c r="R74" s="99"/>
    </row>
    <row r="75" spans="1:18" ht="15.95" customHeight="1">
      <c r="A75" s="110">
        <v>62</v>
      </c>
      <c r="B75" s="100" t="s">
        <v>238</v>
      </c>
      <c r="C75" s="17">
        <v>1983</v>
      </c>
      <c r="D75" s="18">
        <v>58</v>
      </c>
      <c r="E75" s="15">
        <v>35</v>
      </c>
      <c r="F75" s="15">
        <v>216</v>
      </c>
      <c r="G75" s="15">
        <v>216</v>
      </c>
      <c r="H75" s="15">
        <v>216</v>
      </c>
      <c r="I75" s="15">
        <v>216</v>
      </c>
      <c r="J75" s="15">
        <v>230</v>
      </c>
      <c r="K75" s="15">
        <v>230</v>
      </c>
      <c r="L75" s="15">
        <v>230</v>
      </c>
      <c r="M75" s="15">
        <v>230</v>
      </c>
      <c r="N75" s="15">
        <v>230</v>
      </c>
      <c r="O75" s="88">
        <f t="shared" si="8"/>
        <v>0.92454877999758811</v>
      </c>
      <c r="P75" s="99"/>
      <c r="Q75" s="99"/>
      <c r="R75" s="99"/>
    </row>
    <row r="76" spans="1:18" s="77" customFormat="1" ht="15.95" customHeight="1">
      <c r="A76" s="110">
        <v>63</v>
      </c>
      <c r="B76" s="100" t="s">
        <v>85</v>
      </c>
      <c r="C76" s="17">
        <v>1982</v>
      </c>
      <c r="D76" s="18">
        <v>68</v>
      </c>
      <c r="E76" s="15">
        <v>32.200000000000003</v>
      </c>
      <c r="F76" s="15">
        <v>132</v>
      </c>
      <c r="G76" s="15">
        <v>132</v>
      </c>
      <c r="H76" s="15">
        <v>124</v>
      </c>
      <c r="I76" s="15">
        <v>124</v>
      </c>
      <c r="J76" s="15">
        <v>124</v>
      </c>
      <c r="K76" s="15">
        <v>124</v>
      </c>
      <c r="L76" s="15">
        <v>128</v>
      </c>
      <c r="M76" s="15">
        <v>128</v>
      </c>
      <c r="N76" s="15">
        <v>128</v>
      </c>
      <c r="O76" s="88">
        <f t="shared" si="8"/>
        <v>0.51453149495517947</v>
      </c>
      <c r="P76" s="99"/>
      <c r="Q76" s="99"/>
      <c r="R76" s="99"/>
    </row>
    <row r="77" spans="1:18" s="77" customFormat="1" ht="15.95" customHeight="1">
      <c r="A77" s="110">
        <v>64</v>
      </c>
      <c r="B77" s="100" t="s">
        <v>86</v>
      </c>
      <c r="C77" s="17">
        <v>1983</v>
      </c>
      <c r="D77" s="18">
        <v>20</v>
      </c>
      <c r="E77" s="15">
        <v>12.9</v>
      </c>
      <c r="F77" s="15">
        <v>128</v>
      </c>
      <c r="G77" s="15">
        <v>128</v>
      </c>
      <c r="H77" s="15">
        <v>128</v>
      </c>
      <c r="I77" s="15">
        <v>128</v>
      </c>
      <c r="J77" s="15">
        <v>128</v>
      </c>
      <c r="K77" s="15">
        <v>128</v>
      </c>
      <c r="L77" s="15">
        <v>128</v>
      </c>
      <c r="M77" s="15">
        <v>128</v>
      </c>
      <c r="N77" s="15">
        <v>128</v>
      </c>
      <c r="O77" s="88">
        <f t="shared" si="8"/>
        <v>0.51453149495517947</v>
      </c>
      <c r="P77" s="99"/>
      <c r="Q77" s="99"/>
      <c r="R77" s="99"/>
    </row>
    <row r="78" spans="1:18" s="77" customFormat="1" ht="15.95" customHeight="1">
      <c r="A78" s="110">
        <v>65</v>
      </c>
      <c r="B78" s="100" t="s">
        <v>87</v>
      </c>
      <c r="C78" s="19" t="s">
        <v>24</v>
      </c>
      <c r="D78" s="18">
        <v>44</v>
      </c>
      <c r="E78" s="15">
        <v>11</v>
      </c>
      <c r="F78" s="15">
        <v>138</v>
      </c>
      <c r="G78" s="15">
        <v>138</v>
      </c>
      <c r="H78" s="15">
        <v>172</v>
      </c>
      <c r="I78" s="15">
        <v>172</v>
      </c>
      <c r="J78" s="15">
        <v>172</v>
      </c>
      <c r="K78" s="15">
        <v>172</v>
      </c>
      <c r="L78" s="15">
        <v>172</v>
      </c>
      <c r="M78" s="15">
        <v>172</v>
      </c>
      <c r="N78" s="15">
        <v>172</v>
      </c>
      <c r="O78" s="88">
        <f t="shared" si="8"/>
        <v>0.69140169634602244</v>
      </c>
      <c r="P78" s="99"/>
      <c r="Q78" s="99"/>
      <c r="R78" s="99"/>
    </row>
    <row r="79" spans="1:18" s="77" customFormat="1" ht="15.95" customHeight="1">
      <c r="A79" s="114">
        <v>66</v>
      </c>
      <c r="B79" s="101" t="s">
        <v>88</v>
      </c>
      <c r="C79" s="36" t="s">
        <v>16</v>
      </c>
      <c r="D79" s="34">
        <v>18</v>
      </c>
      <c r="E79" s="35">
        <v>8</v>
      </c>
      <c r="F79" s="35">
        <v>66</v>
      </c>
      <c r="G79" s="35">
        <v>66</v>
      </c>
      <c r="H79" s="35">
        <v>100</v>
      </c>
      <c r="I79" s="35">
        <v>100</v>
      </c>
      <c r="J79" s="35">
        <v>100</v>
      </c>
      <c r="K79" s="35">
        <v>100</v>
      </c>
      <c r="L79" s="78">
        <v>100</v>
      </c>
      <c r="M79" s="78">
        <v>100</v>
      </c>
      <c r="N79" s="78">
        <v>100</v>
      </c>
      <c r="O79" s="90">
        <f t="shared" ref="O79:O110" si="9">N79/N$6*100</f>
        <v>0.40197773043373397</v>
      </c>
      <c r="P79" s="99"/>
      <c r="Q79" s="99"/>
      <c r="R79" s="99"/>
    </row>
    <row r="80" spans="1:18" s="77" customFormat="1" ht="15.95" customHeight="1">
      <c r="A80" s="127"/>
      <c r="B80" s="42" t="s">
        <v>29</v>
      </c>
      <c r="C80" s="20" t="s">
        <v>2</v>
      </c>
      <c r="D80" s="20" t="s">
        <v>2</v>
      </c>
      <c r="E80" s="20" t="s">
        <v>2</v>
      </c>
      <c r="F80" s="20">
        <f t="shared" ref="F80:M80" si="10">SUM(F81:F93)</f>
        <v>1858</v>
      </c>
      <c r="G80" s="20">
        <f t="shared" si="10"/>
        <v>1928</v>
      </c>
      <c r="H80" s="20">
        <f t="shared" si="10"/>
        <v>1988</v>
      </c>
      <c r="I80" s="20">
        <f t="shared" si="10"/>
        <v>1988</v>
      </c>
      <c r="J80" s="20">
        <f t="shared" si="10"/>
        <v>1988</v>
      </c>
      <c r="K80" s="20">
        <f t="shared" si="10"/>
        <v>1988</v>
      </c>
      <c r="L80" s="20">
        <f t="shared" si="10"/>
        <v>2156</v>
      </c>
      <c r="M80" s="20">
        <f t="shared" si="10"/>
        <v>2216</v>
      </c>
      <c r="N80" s="20">
        <f t="shared" ref="N80" si="11">SUM(N81:N93)</f>
        <v>2244</v>
      </c>
      <c r="O80" s="84">
        <f t="shared" si="9"/>
        <v>9.0203802709329892</v>
      </c>
      <c r="P80" s="99"/>
      <c r="Q80" s="99"/>
      <c r="R80" s="99"/>
    </row>
    <row r="81" spans="1:18" s="77" customFormat="1" ht="15.95" customHeight="1">
      <c r="A81" s="110">
        <v>67</v>
      </c>
      <c r="B81" s="100" t="s">
        <v>89</v>
      </c>
      <c r="C81" s="7" t="s">
        <v>14</v>
      </c>
      <c r="D81" s="18">
        <v>20</v>
      </c>
      <c r="E81" s="15">
        <v>48.3</v>
      </c>
      <c r="F81" s="15">
        <v>90</v>
      </c>
      <c r="G81" s="15">
        <v>90</v>
      </c>
      <c r="H81" s="15">
        <v>90</v>
      </c>
      <c r="I81" s="15">
        <v>90</v>
      </c>
      <c r="J81" s="15">
        <v>90</v>
      </c>
      <c r="K81" s="15">
        <v>90</v>
      </c>
      <c r="L81" s="15">
        <v>90</v>
      </c>
      <c r="M81" s="15">
        <v>90</v>
      </c>
      <c r="N81" s="15">
        <v>90</v>
      </c>
      <c r="O81" s="88">
        <f t="shared" si="9"/>
        <v>0.36177995739036056</v>
      </c>
      <c r="P81" s="99"/>
      <c r="Q81" s="99"/>
      <c r="R81" s="99"/>
    </row>
    <row r="82" spans="1:18" s="77" customFormat="1" ht="20.25" customHeight="1">
      <c r="A82" s="110">
        <v>68</v>
      </c>
      <c r="B82" s="100" t="s">
        <v>240</v>
      </c>
      <c r="C82" s="7" t="s">
        <v>26</v>
      </c>
      <c r="D82" s="18">
        <v>32</v>
      </c>
      <c r="E82" s="15">
        <v>54</v>
      </c>
      <c r="F82" s="15">
        <v>176</v>
      </c>
      <c r="G82" s="15">
        <v>224</v>
      </c>
      <c r="H82" s="15">
        <v>224</v>
      </c>
      <c r="I82" s="15">
        <v>224</v>
      </c>
      <c r="J82" s="15">
        <v>224</v>
      </c>
      <c r="K82" s="15">
        <v>224</v>
      </c>
      <c r="L82" s="15">
        <v>224</v>
      </c>
      <c r="M82" s="15">
        <v>224</v>
      </c>
      <c r="N82" s="15">
        <v>224</v>
      </c>
      <c r="O82" s="88">
        <f t="shared" si="9"/>
        <v>0.90043011617156399</v>
      </c>
      <c r="P82" s="99"/>
      <c r="Q82" s="99"/>
      <c r="R82" s="99"/>
    </row>
    <row r="83" spans="1:18" s="119" customFormat="1" ht="15.95" customHeight="1">
      <c r="A83" s="110">
        <v>69</v>
      </c>
      <c r="B83" s="100" t="s">
        <v>90</v>
      </c>
      <c r="C83" s="14" t="s">
        <v>30</v>
      </c>
      <c r="D83" s="18">
        <v>50</v>
      </c>
      <c r="E83" s="15">
        <v>77.2</v>
      </c>
      <c r="F83" s="15">
        <v>50</v>
      </c>
      <c r="G83" s="15">
        <v>72</v>
      </c>
      <c r="H83" s="15">
        <v>72</v>
      </c>
      <c r="I83" s="15">
        <v>72</v>
      </c>
      <c r="J83" s="15">
        <v>72</v>
      </c>
      <c r="K83" s="15">
        <v>72</v>
      </c>
      <c r="L83" s="15">
        <v>72</v>
      </c>
      <c r="M83" s="15">
        <v>72</v>
      </c>
      <c r="N83" s="15">
        <v>72</v>
      </c>
      <c r="O83" s="88">
        <f t="shared" si="9"/>
        <v>0.28942396591228847</v>
      </c>
      <c r="P83" s="99"/>
      <c r="Q83" s="99"/>
      <c r="R83" s="99"/>
    </row>
    <row r="84" spans="1:18" s="77" customFormat="1" ht="15.95" customHeight="1">
      <c r="A84" s="110">
        <v>70</v>
      </c>
      <c r="B84" s="100" t="s">
        <v>91</v>
      </c>
      <c r="C84" s="14" t="s">
        <v>22</v>
      </c>
      <c r="D84" s="18">
        <v>30</v>
      </c>
      <c r="E84" s="15">
        <v>36</v>
      </c>
      <c r="F84" s="15">
        <v>112</v>
      </c>
      <c r="G84" s="15">
        <v>112</v>
      </c>
      <c r="H84" s="15">
        <v>172</v>
      </c>
      <c r="I84" s="15">
        <v>172</v>
      </c>
      <c r="J84" s="15">
        <v>172</v>
      </c>
      <c r="K84" s="15">
        <v>172</v>
      </c>
      <c r="L84" s="15">
        <v>172</v>
      </c>
      <c r="M84" s="15">
        <v>172</v>
      </c>
      <c r="N84" s="15">
        <v>172</v>
      </c>
      <c r="O84" s="88">
        <f t="shared" si="9"/>
        <v>0.69140169634602244</v>
      </c>
      <c r="P84" s="99"/>
      <c r="Q84" s="99"/>
      <c r="R84" s="99"/>
    </row>
    <row r="85" spans="1:18" s="77" customFormat="1" ht="15.95" customHeight="1">
      <c r="A85" s="110">
        <v>71</v>
      </c>
      <c r="B85" s="100" t="s">
        <v>223</v>
      </c>
      <c r="C85" s="14" t="s">
        <v>221</v>
      </c>
      <c r="D85" s="18">
        <v>60</v>
      </c>
      <c r="E85" s="15" t="s">
        <v>2</v>
      </c>
      <c r="F85" s="15" t="s">
        <v>2</v>
      </c>
      <c r="G85" s="15" t="s">
        <v>2</v>
      </c>
      <c r="H85" s="15" t="s">
        <v>2</v>
      </c>
      <c r="I85" s="15" t="s">
        <v>2</v>
      </c>
      <c r="J85" s="15" t="s">
        <v>2</v>
      </c>
      <c r="K85" s="15" t="s">
        <v>2</v>
      </c>
      <c r="L85" s="15" t="s">
        <v>2</v>
      </c>
      <c r="M85" s="15">
        <v>60</v>
      </c>
      <c r="N85" s="15">
        <v>60</v>
      </c>
      <c r="O85" s="88">
        <f t="shared" si="9"/>
        <v>0.24118663826024037</v>
      </c>
      <c r="P85" s="99"/>
      <c r="Q85" s="99"/>
      <c r="R85" s="99"/>
    </row>
    <row r="86" spans="1:18" s="77" customFormat="1" ht="15.95" customHeight="1">
      <c r="A86" s="110">
        <v>72</v>
      </c>
      <c r="B86" s="100" t="s">
        <v>92</v>
      </c>
      <c r="C86" s="19" t="s">
        <v>20</v>
      </c>
      <c r="D86" s="18">
        <v>48</v>
      </c>
      <c r="E86" s="15">
        <v>56.3</v>
      </c>
      <c r="F86" s="15">
        <v>580</v>
      </c>
      <c r="G86" s="15">
        <v>580</v>
      </c>
      <c r="H86" s="15">
        <v>580</v>
      </c>
      <c r="I86" s="15">
        <v>580</v>
      </c>
      <c r="J86" s="15">
        <v>580</v>
      </c>
      <c r="K86" s="15">
        <v>580</v>
      </c>
      <c r="L86" s="15">
        <v>580</v>
      </c>
      <c r="M86" s="15">
        <v>580</v>
      </c>
      <c r="N86" s="15">
        <v>580</v>
      </c>
      <c r="O86" s="88">
        <f t="shared" si="9"/>
        <v>2.3314708365156571</v>
      </c>
      <c r="P86" s="99"/>
      <c r="Q86" s="99"/>
      <c r="R86" s="99"/>
    </row>
    <row r="87" spans="1:18" ht="15.95" customHeight="1">
      <c r="A87" s="110">
        <v>73</v>
      </c>
      <c r="B87" s="100" t="s">
        <v>93</v>
      </c>
      <c r="C87" s="19" t="s">
        <v>14</v>
      </c>
      <c r="D87" s="18">
        <v>48</v>
      </c>
      <c r="E87" s="15">
        <v>63</v>
      </c>
      <c r="F87" s="15">
        <v>150</v>
      </c>
      <c r="G87" s="15">
        <v>150</v>
      </c>
      <c r="H87" s="15">
        <v>150</v>
      </c>
      <c r="I87" s="15">
        <v>150</v>
      </c>
      <c r="J87" s="15">
        <v>150</v>
      </c>
      <c r="K87" s="15">
        <v>150</v>
      </c>
      <c r="L87" s="15">
        <v>150</v>
      </c>
      <c r="M87" s="15">
        <v>150</v>
      </c>
      <c r="N87" s="15">
        <v>150</v>
      </c>
      <c r="O87" s="88">
        <f t="shared" si="9"/>
        <v>0.60296659565060096</v>
      </c>
      <c r="P87" s="99"/>
      <c r="Q87" s="99"/>
      <c r="R87" s="99"/>
    </row>
    <row r="88" spans="1:18" ht="15.95" customHeight="1">
      <c r="A88" s="110">
        <v>74</v>
      </c>
      <c r="B88" s="100" t="s">
        <v>94</v>
      </c>
      <c r="C88" s="19" t="s">
        <v>31</v>
      </c>
      <c r="D88" s="18">
        <v>70</v>
      </c>
      <c r="E88" s="15">
        <v>77.2</v>
      </c>
      <c r="F88" s="15">
        <v>112</v>
      </c>
      <c r="G88" s="15">
        <v>112</v>
      </c>
      <c r="H88" s="15">
        <v>112</v>
      </c>
      <c r="I88" s="15">
        <v>112</v>
      </c>
      <c r="J88" s="15">
        <v>112</v>
      </c>
      <c r="K88" s="15">
        <v>112</v>
      </c>
      <c r="L88" s="15">
        <v>112</v>
      </c>
      <c r="M88" s="15">
        <v>112</v>
      </c>
      <c r="N88" s="15">
        <v>112</v>
      </c>
      <c r="O88" s="88">
        <f t="shared" si="9"/>
        <v>0.45021505808578199</v>
      </c>
      <c r="P88" s="99"/>
      <c r="Q88" s="99"/>
      <c r="R88" s="99"/>
    </row>
    <row r="89" spans="1:18" ht="15.95" customHeight="1">
      <c r="A89" s="110">
        <v>75</v>
      </c>
      <c r="B89" s="100" t="s">
        <v>95</v>
      </c>
      <c r="C89" s="19" t="s">
        <v>14</v>
      </c>
      <c r="D89" s="18">
        <v>30</v>
      </c>
      <c r="E89" s="15">
        <v>69.2</v>
      </c>
      <c r="F89" s="15">
        <v>76</v>
      </c>
      <c r="G89" s="15">
        <v>76</v>
      </c>
      <c r="H89" s="15">
        <v>76</v>
      </c>
      <c r="I89" s="15">
        <v>76</v>
      </c>
      <c r="J89" s="15">
        <v>76</v>
      </c>
      <c r="K89" s="15">
        <v>76</v>
      </c>
      <c r="L89" s="15">
        <v>76</v>
      </c>
      <c r="M89" s="15">
        <v>76</v>
      </c>
      <c r="N89" s="15">
        <v>104</v>
      </c>
      <c r="O89" s="88">
        <f t="shared" si="9"/>
        <v>0.41805683965108337</v>
      </c>
      <c r="P89" s="99"/>
      <c r="Q89" s="99"/>
      <c r="R89" s="99"/>
    </row>
    <row r="90" spans="1:18" ht="15.95" customHeight="1">
      <c r="A90" s="110">
        <v>76</v>
      </c>
      <c r="B90" s="100" t="s">
        <v>224</v>
      </c>
      <c r="C90" s="14">
        <v>2014</v>
      </c>
      <c r="D90" s="18">
        <v>168</v>
      </c>
      <c r="E90" s="15" t="s">
        <v>2</v>
      </c>
      <c r="F90" s="15" t="s">
        <v>2</v>
      </c>
      <c r="G90" s="15" t="s">
        <v>2</v>
      </c>
      <c r="H90" s="15" t="s">
        <v>2</v>
      </c>
      <c r="I90" s="15" t="s">
        <v>2</v>
      </c>
      <c r="J90" s="15" t="s">
        <v>2</v>
      </c>
      <c r="K90" s="15" t="s">
        <v>2</v>
      </c>
      <c r="L90" s="15">
        <v>168</v>
      </c>
      <c r="M90" s="15">
        <v>168</v>
      </c>
      <c r="N90" s="15">
        <v>168</v>
      </c>
      <c r="O90" s="88">
        <f t="shared" si="9"/>
        <v>0.6753225871286731</v>
      </c>
      <c r="P90" s="99"/>
      <c r="Q90" s="99"/>
      <c r="R90" s="99"/>
    </row>
    <row r="91" spans="1:18" s="77" customFormat="1" ht="15.95" customHeight="1">
      <c r="A91" s="110">
        <v>77</v>
      </c>
      <c r="B91" s="100" t="s">
        <v>96</v>
      </c>
      <c r="C91" s="17">
        <v>1989</v>
      </c>
      <c r="D91" s="18">
        <v>22</v>
      </c>
      <c r="E91" s="15">
        <v>80.5</v>
      </c>
      <c r="F91" s="15">
        <v>200</v>
      </c>
      <c r="G91" s="15">
        <v>200</v>
      </c>
      <c r="H91" s="15">
        <v>200</v>
      </c>
      <c r="I91" s="15">
        <v>200</v>
      </c>
      <c r="J91" s="15">
        <v>200</v>
      </c>
      <c r="K91" s="15">
        <v>200</v>
      </c>
      <c r="L91" s="15">
        <v>200</v>
      </c>
      <c r="M91" s="15">
        <v>200</v>
      </c>
      <c r="N91" s="15">
        <v>200</v>
      </c>
      <c r="O91" s="88">
        <f t="shared" si="9"/>
        <v>0.80395546086746794</v>
      </c>
      <c r="P91" s="99"/>
      <c r="Q91" s="99"/>
      <c r="R91" s="99"/>
    </row>
    <row r="92" spans="1:18" s="119" customFormat="1" ht="15.95" customHeight="1">
      <c r="A92" s="110">
        <v>78</v>
      </c>
      <c r="B92" s="100" t="s">
        <v>97</v>
      </c>
      <c r="C92" s="19" t="s">
        <v>32</v>
      </c>
      <c r="D92" s="18">
        <v>34</v>
      </c>
      <c r="E92" s="15">
        <v>51</v>
      </c>
      <c r="F92" s="15">
        <v>148</v>
      </c>
      <c r="G92" s="15">
        <v>148</v>
      </c>
      <c r="H92" s="15">
        <v>148</v>
      </c>
      <c r="I92" s="15">
        <v>148</v>
      </c>
      <c r="J92" s="15">
        <v>148</v>
      </c>
      <c r="K92" s="15">
        <v>148</v>
      </c>
      <c r="L92" s="15">
        <v>148</v>
      </c>
      <c r="M92" s="15">
        <v>148</v>
      </c>
      <c r="N92" s="15">
        <v>148</v>
      </c>
      <c r="O92" s="88">
        <f t="shared" si="9"/>
        <v>0.59492704104192629</v>
      </c>
      <c r="P92" s="99"/>
      <c r="Q92" s="99"/>
      <c r="R92" s="99"/>
    </row>
    <row r="93" spans="1:18" s="119" customFormat="1" ht="15.95" customHeight="1">
      <c r="A93" s="114">
        <v>79</v>
      </c>
      <c r="B93" s="101" t="s">
        <v>98</v>
      </c>
      <c r="C93" s="33" t="s">
        <v>22</v>
      </c>
      <c r="D93" s="34">
        <v>90</v>
      </c>
      <c r="E93" s="35">
        <v>72.400000000000006</v>
      </c>
      <c r="F93" s="35">
        <v>164</v>
      </c>
      <c r="G93" s="35">
        <v>164</v>
      </c>
      <c r="H93" s="35">
        <v>164</v>
      </c>
      <c r="I93" s="35">
        <v>164</v>
      </c>
      <c r="J93" s="35">
        <v>164</v>
      </c>
      <c r="K93" s="35">
        <v>164</v>
      </c>
      <c r="L93" s="35">
        <v>164</v>
      </c>
      <c r="M93" s="35">
        <v>164</v>
      </c>
      <c r="N93" s="35">
        <v>164</v>
      </c>
      <c r="O93" s="88">
        <f t="shared" si="9"/>
        <v>0.65924347791132365</v>
      </c>
      <c r="P93" s="99"/>
      <c r="Q93" s="99"/>
      <c r="R93" s="99"/>
    </row>
    <row r="94" spans="1:18" s="119" customFormat="1" ht="15.95" customHeight="1">
      <c r="A94" s="110"/>
      <c r="B94" s="42" t="s">
        <v>33</v>
      </c>
      <c r="C94" s="20" t="s">
        <v>2</v>
      </c>
      <c r="D94" s="20" t="s">
        <v>2</v>
      </c>
      <c r="E94" s="20" t="s">
        <v>2</v>
      </c>
      <c r="F94" s="20">
        <f t="shared" ref="F94:L94" si="12">SUM(F95:F111)</f>
        <v>3200</v>
      </c>
      <c r="G94" s="20">
        <f t="shared" si="12"/>
        <v>3312</v>
      </c>
      <c r="H94" s="20">
        <f t="shared" si="12"/>
        <v>3538</v>
      </c>
      <c r="I94" s="20">
        <f t="shared" si="12"/>
        <v>3586</v>
      </c>
      <c r="J94" s="20">
        <f t="shared" si="12"/>
        <v>3818</v>
      </c>
      <c r="K94" s="20">
        <f t="shared" si="12"/>
        <v>3818</v>
      </c>
      <c r="L94" s="20">
        <f t="shared" si="12"/>
        <v>3818</v>
      </c>
      <c r="M94" s="20">
        <f t="shared" ref="M94:N94" si="13">SUM(M95:M111)</f>
        <v>3862</v>
      </c>
      <c r="N94" s="20">
        <f t="shared" si="13"/>
        <v>3982</v>
      </c>
      <c r="O94" s="85">
        <f t="shared" si="9"/>
        <v>16.006753225871286</v>
      </c>
      <c r="P94" s="99"/>
      <c r="Q94" s="99"/>
      <c r="R94" s="99"/>
    </row>
    <row r="95" spans="1:18" s="119" customFormat="1" ht="15.95" customHeight="1">
      <c r="A95" s="110">
        <v>80</v>
      </c>
      <c r="B95" s="100" t="s">
        <v>99</v>
      </c>
      <c r="C95" s="7" t="s">
        <v>31</v>
      </c>
      <c r="D95" s="18">
        <v>100</v>
      </c>
      <c r="E95" s="15">
        <v>85</v>
      </c>
      <c r="F95" s="15">
        <v>140</v>
      </c>
      <c r="G95" s="15">
        <v>140</v>
      </c>
      <c r="H95" s="15">
        <v>140</v>
      </c>
      <c r="I95" s="15">
        <v>140</v>
      </c>
      <c r="J95" s="15">
        <v>140</v>
      </c>
      <c r="K95" s="15">
        <v>140</v>
      </c>
      <c r="L95" s="15">
        <v>140</v>
      </c>
      <c r="M95" s="15">
        <v>180</v>
      </c>
      <c r="N95" s="15">
        <v>180</v>
      </c>
      <c r="O95" s="88">
        <f t="shared" si="9"/>
        <v>0.72355991478072113</v>
      </c>
      <c r="P95" s="99"/>
      <c r="Q95" s="99"/>
      <c r="R95" s="99"/>
    </row>
    <row r="96" spans="1:18" s="77" customFormat="1" ht="15.95" customHeight="1">
      <c r="A96" s="110">
        <v>81</v>
      </c>
      <c r="B96" s="100" t="s">
        <v>100</v>
      </c>
      <c r="C96" s="7" t="s">
        <v>34</v>
      </c>
      <c r="D96" s="18">
        <v>79</v>
      </c>
      <c r="E96" s="15">
        <v>90</v>
      </c>
      <c r="F96" s="15">
        <v>98</v>
      </c>
      <c r="G96" s="15">
        <v>98</v>
      </c>
      <c r="H96" s="15">
        <v>98</v>
      </c>
      <c r="I96" s="15">
        <v>146</v>
      </c>
      <c r="J96" s="15">
        <v>146</v>
      </c>
      <c r="K96" s="15">
        <v>146</v>
      </c>
      <c r="L96" s="15">
        <v>146</v>
      </c>
      <c r="M96" s="15">
        <v>146</v>
      </c>
      <c r="N96" s="15">
        <v>146</v>
      </c>
      <c r="O96" s="88">
        <f t="shared" si="9"/>
        <v>0.58688748643325162</v>
      </c>
      <c r="P96" s="99"/>
      <c r="Q96" s="99"/>
      <c r="R96" s="99"/>
    </row>
    <row r="97" spans="1:18" s="77" customFormat="1" ht="25.5" customHeight="1">
      <c r="A97" s="110">
        <v>82</v>
      </c>
      <c r="B97" s="100" t="s">
        <v>101</v>
      </c>
      <c r="C97" s="17">
        <v>1992</v>
      </c>
      <c r="D97" s="18">
        <v>80</v>
      </c>
      <c r="E97" s="15">
        <v>96.6</v>
      </c>
      <c r="F97" s="15">
        <v>304</v>
      </c>
      <c r="G97" s="15">
        <v>304</v>
      </c>
      <c r="H97" s="15">
        <v>304</v>
      </c>
      <c r="I97" s="15">
        <v>304</v>
      </c>
      <c r="J97" s="15">
        <v>304</v>
      </c>
      <c r="K97" s="15">
        <v>304</v>
      </c>
      <c r="L97" s="15">
        <v>304</v>
      </c>
      <c r="M97" s="15">
        <v>304</v>
      </c>
      <c r="N97" s="15">
        <v>304</v>
      </c>
      <c r="O97" s="88">
        <f t="shared" si="9"/>
        <v>1.2220123005185513</v>
      </c>
      <c r="P97" s="99"/>
      <c r="Q97" s="99"/>
      <c r="R97" s="99"/>
    </row>
    <row r="98" spans="1:18" s="77" customFormat="1" ht="25.5" customHeight="1">
      <c r="A98" s="110">
        <v>83</v>
      </c>
      <c r="B98" s="100" t="s">
        <v>228</v>
      </c>
      <c r="C98" s="17">
        <v>2015</v>
      </c>
      <c r="D98" s="18">
        <v>60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60</v>
      </c>
      <c r="O98" s="88">
        <f t="shared" si="9"/>
        <v>0.24118663826024037</v>
      </c>
      <c r="P98" s="99"/>
      <c r="Q98" s="99"/>
      <c r="R98" s="99"/>
    </row>
    <row r="99" spans="1:18" s="77" customFormat="1" ht="15.95" customHeight="1">
      <c r="A99" s="110">
        <v>84</v>
      </c>
      <c r="B99" s="100" t="s">
        <v>102</v>
      </c>
      <c r="C99" s="14">
        <v>1994</v>
      </c>
      <c r="D99" s="18">
        <v>284</v>
      </c>
      <c r="E99" s="15">
        <v>93</v>
      </c>
      <c r="F99" s="15">
        <v>284</v>
      </c>
      <c r="G99" s="15">
        <v>284</v>
      </c>
      <c r="H99" s="15">
        <v>284</v>
      </c>
      <c r="I99" s="15">
        <v>284</v>
      </c>
      <c r="J99" s="15">
        <v>284</v>
      </c>
      <c r="K99" s="15">
        <v>284</v>
      </c>
      <c r="L99" s="15">
        <v>284</v>
      </c>
      <c r="M99" s="15">
        <v>284</v>
      </c>
      <c r="N99" s="15">
        <v>284</v>
      </c>
      <c r="O99" s="88">
        <f t="shared" si="9"/>
        <v>1.1416167544318045</v>
      </c>
      <c r="P99" s="99"/>
      <c r="Q99" s="99"/>
      <c r="R99" s="99"/>
    </row>
    <row r="100" spans="1:18" s="77" customFormat="1" ht="15.95" customHeight="1">
      <c r="A100" s="110">
        <v>85</v>
      </c>
      <c r="B100" s="100" t="s">
        <v>103</v>
      </c>
      <c r="C100" s="14">
        <v>1991</v>
      </c>
      <c r="D100" s="18">
        <v>50</v>
      </c>
      <c r="E100" s="15">
        <v>88.5</v>
      </c>
      <c r="F100" s="15">
        <v>60</v>
      </c>
      <c r="G100" s="15">
        <v>60</v>
      </c>
      <c r="H100" s="15">
        <v>60</v>
      </c>
      <c r="I100" s="15">
        <v>60</v>
      </c>
      <c r="J100" s="15">
        <v>60</v>
      </c>
      <c r="K100" s="15">
        <v>60</v>
      </c>
      <c r="L100" s="15">
        <v>60</v>
      </c>
      <c r="M100" s="15">
        <v>60</v>
      </c>
      <c r="N100" s="15">
        <v>120</v>
      </c>
      <c r="O100" s="88">
        <f t="shared" si="9"/>
        <v>0.48237327652048073</v>
      </c>
      <c r="P100" s="99"/>
      <c r="Q100" s="99"/>
      <c r="R100" s="99"/>
    </row>
    <row r="101" spans="1:18" s="77" customFormat="1" ht="15.95" customHeight="1">
      <c r="A101" s="110">
        <v>86</v>
      </c>
      <c r="B101" s="100" t="s">
        <v>104</v>
      </c>
      <c r="C101" s="17">
        <v>1994</v>
      </c>
      <c r="D101" s="18">
        <v>168</v>
      </c>
      <c r="E101" s="15">
        <v>85</v>
      </c>
      <c r="F101" s="15">
        <v>170</v>
      </c>
      <c r="G101" s="15">
        <v>170</v>
      </c>
      <c r="H101" s="15">
        <v>250</v>
      </c>
      <c r="I101" s="15">
        <v>250</v>
      </c>
      <c r="J101" s="15">
        <v>250</v>
      </c>
      <c r="K101" s="15">
        <v>250</v>
      </c>
      <c r="L101" s="15">
        <v>250</v>
      </c>
      <c r="M101" s="15">
        <v>250</v>
      </c>
      <c r="N101" s="15">
        <v>250</v>
      </c>
      <c r="O101" s="88">
        <f t="shared" si="9"/>
        <v>1.0049443260843349</v>
      </c>
      <c r="P101" s="99"/>
      <c r="Q101" s="99"/>
      <c r="R101" s="99"/>
    </row>
    <row r="102" spans="1:18" s="77" customFormat="1" ht="29.25" customHeight="1">
      <c r="A102" s="110">
        <v>87</v>
      </c>
      <c r="B102" s="100" t="s">
        <v>105</v>
      </c>
      <c r="C102" s="19" t="s">
        <v>35</v>
      </c>
      <c r="D102" s="18">
        <v>96</v>
      </c>
      <c r="E102" s="15">
        <v>95</v>
      </c>
      <c r="F102" s="15">
        <v>128</v>
      </c>
      <c r="G102" s="15">
        <v>128</v>
      </c>
      <c r="H102" s="15">
        <v>224</v>
      </c>
      <c r="I102" s="15">
        <v>224</v>
      </c>
      <c r="J102" s="15">
        <v>224</v>
      </c>
      <c r="K102" s="15">
        <v>224</v>
      </c>
      <c r="L102" s="15">
        <v>224</v>
      </c>
      <c r="M102" s="15">
        <v>224</v>
      </c>
      <c r="N102" s="15">
        <v>224</v>
      </c>
      <c r="O102" s="88">
        <f t="shared" si="9"/>
        <v>0.90043011617156399</v>
      </c>
      <c r="P102" s="99"/>
      <c r="Q102" s="99"/>
      <c r="R102" s="99"/>
    </row>
    <row r="103" spans="1:18" s="77" customFormat="1" ht="15.95" customHeight="1">
      <c r="A103" s="110">
        <v>88</v>
      </c>
      <c r="B103" s="100" t="s">
        <v>106</v>
      </c>
      <c r="C103" s="19" t="s">
        <v>31</v>
      </c>
      <c r="D103" s="18">
        <v>36</v>
      </c>
      <c r="E103" s="15">
        <v>112.6</v>
      </c>
      <c r="F103" s="15">
        <v>72</v>
      </c>
      <c r="G103" s="15">
        <v>72</v>
      </c>
      <c r="H103" s="15">
        <v>72</v>
      </c>
      <c r="I103" s="15">
        <v>72</v>
      </c>
      <c r="J103" s="15">
        <v>72</v>
      </c>
      <c r="K103" s="15">
        <v>72</v>
      </c>
      <c r="L103" s="15">
        <v>72</v>
      </c>
      <c r="M103" s="15">
        <v>76</v>
      </c>
      <c r="N103" s="15">
        <v>76</v>
      </c>
      <c r="O103" s="88">
        <f t="shared" si="9"/>
        <v>0.30550307512963781</v>
      </c>
      <c r="P103" s="99"/>
      <c r="Q103" s="99"/>
      <c r="R103" s="99"/>
    </row>
    <row r="104" spans="1:18" ht="15.95" customHeight="1">
      <c r="A104" s="110">
        <v>89</v>
      </c>
      <c r="B104" s="100" t="s">
        <v>187</v>
      </c>
      <c r="C104" s="19" t="s">
        <v>34</v>
      </c>
      <c r="D104" s="15">
        <v>84</v>
      </c>
      <c r="E104" s="15">
        <v>80</v>
      </c>
      <c r="F104" s="15">
        <v>124</v>
      </c>
      <c r="G104" s="15">
        <v>124</v>
      </c>
      <c r="H104" s="15">
        <v>124</v>
      </c>
      <c r="I104" s="15">
        <v>124</v>
      </c>
      <c r="J104" s="15">
        <v>220</v>
      </c>
      <c r="K104" s="15">
        <v>220</v>
      </c>
      <c r="L104" s="15">
        <v>220</v>
      </c>
      <c r="M104" s="15">
        <v>220</v>
      </c>
      <c r="N104" s="15">
        <v>220</v>
      </c>
      <c r="O104" s="88">
        <f t="shared" si="9"/>
        <v>0.88435100695421465</v>
      </c>
      <c r="P104" s="99"/>
      <c r="Q104" s="99"/>
      <c r="R104" s="99"/>
    </row>
    <row r="105" spans="1:18" ht="15.95" customHeight="1">
      <c r="A105" s="110">
        <v>90</v>
      </c>
      <c r="B105" s="100" t="s">
        <v>107</v>
      </c>
      <c r="C105" s="17">
        <v>1991</v>
      </c>
      <c r="D105" s="18">
        <v>112</v>
      </c>
      <c r="E105" s="15">
        <v>77</v>
      </c>
      <c r="F105" s="15">
        <v>112</v>
      </c>
      <c r="G105" s="15">
        <v>112</v>
      </c>
      <c r="H105" s="15">
        <v>112</v>
      </c>
      <c r="I105" s="15">
        <v>112</v>
      </c>
      <c r="J105" s="15">
        <v>112</v>
      </c>
      <c r="K105" s="15">
        <v>112</v>
      </c>
      <c r="L105" s="15">
        <v>112</v>
      </c>
      <c r="M105" s="15">
        <v>112</v>
      </c>
      <c r="N105" s="15">
        <v>112</v>
      </c>
      <c r="O105" s="88">
        <f t="shared" si="9"/>
        <v>0.45021505808578199</v>
      </c>
      <c r="P105" s="99"/>
      <c r="Q105" s="99"/>
      <c r="R105" s="99"/>
    </row>
    <row r="106" spans="1:18" ht="15.95" customHeight="1">
      <c r="A106" s="110">
        <v>91</v>
      </c>
      <c r="B106" s="100" t="s">
        <v>108</v>
      </c>
      <c r="C106" s="17">
        <v>1998</v>
      </c>
      <c r="D106" s="15">
        <v>700</v>
      </c>
      <c r="E106" s="15">
        <v>99.8</v>
      </c>
      <c r="F106" s="15">
        <v>852</v>
      </c>
      <c r="G106" s="15">
        <v>852</v>
      </c>
      <c r="H106" s="15">
        <v>852</v>
      </c>
      <c r="I106" s="15">
        <v>852</v>
      </c>
      <c r="J106" s="15">
        <v>852</v>
      </c>
      <c r="K106" s="15">
        <v>852</v>
      </c>
      <c r="L106" s="15">
        <v>852</v>
      </c>
      <c r="M106" s="15">
        <v>852</v>
      </c>
      <c r="N106" s="15">
        <v>852</v>
      </c>
      <c r="O106" s="88">
        <f t="shared" si="9"/>
        <v>3.4248502632954132</v>
      </c>
      <c r="P106" s="99"/>
      <c r="Q106" s="99"/>
      <c r="R106" s="99"/>
    </row>
    <row r="107" spans="1:18" ht="15.95" customHeight="1">
      <c r="A107" s="110">
        <v>92</v>
      </c>
      <c r="B107" s="100" t="s">
        <v>109</v>
      </c>
      <c r="C107" s="19" t="s">
        <v>34</v>
      </c>
      <c r="D107" s="15">
        <v>74</v>
      </c>
      <c r="E107" s="15">
        <v>80.5</v>
      </c>
      <c r="F107" s="15">
        <v>94</v>
      </c>
      <c r="G107" s="15">
        <v>94</v>
      </c>
      <c r="H107" s="15">
        <v>94</v>
      </c>
      <c r="I107" s="15">
        <v>94</v>
      </c>
      <c r="J107" s="15">
        <v>144</v>
      </c>
      <c r="K107" s="15">
        <v>144</v>
      </c>
      <c r="L107" s="15">
        <v>144</v>
      </c>
      <c r="M107" s="15">
        <v>144</v>
      </c>
      <c r="N107" s="15">
        <v>144</v>
      </c>
      <c r="O107" s="88">
        <f t="shared" si="9"/>
        <v>0.57884793182457694</v>
      </c>
      <c r="P107" s="99"/>
      <c r="Q107" s="99"/>
      <c r="R107" s="99"/>
    </row>
    <row r="108" spans="1:18" ht="15.95" customHeight="1">
      <c r="A108" s="110">
        <v>93</v>
      </c>
      <c r="B108" s="100" t="s">
        <v>110</v>
      </c>
      <c r="C108" s="19" t="s">
        <v>27</v>
      </c>
      <c r="D108" s="15">
        <v>60</v>
      </c>
      <c r="E108" s="15">
        <v>54.7</v>
      </c>
      <c r="F108" s="15">
        <v>98</v>
      </c>
      <c r="G108" s="15">
        <v>98</v>
      </c>
      <c r="H108" s="15">
        <v>98</v>
      </c>
      <c r="I108" s="15">
        <v>98</v>
      </c>
      <c r="J108" s="15">
        <v>98</v>
      </c>
      <c r="K108" s="15">
        <v>98</v>
      </c>
      <c r="L108" s="15">
        <v>98</v>
      </c>
      <c r="M108" s="15">
        <v>98</v>
      </c>
      <c r="N108" s="15">
        <v>98</v>
      </c>
      <c r="O108" s="88">
        <f t="shared" si="9"/>
        <v>0.3939381758250593</v>
      </c>
      <c r="P108" s="99"/>
      <c r="Q108" s="99"/>
      <c r="R108" s="99"/>
    </row>
    <row r="109" spans="1:18" s="77" customFormat="1" ht="15.95" customHeight="1">
      <c r="A109" s="110">
        <v>94</v>
      </c>
      <c r="B109" s="100" t="s">
        <v>111</v>
      </c>
      <c r="C109" s="17">
        <v>1994</v>
      </c>
      <c r="D109" s="15">
        <v>100</v>
      </c>
      <c r="E109" s="15">
        <v>90</v>
      </c>
      <c r="F109" s="15">
        <v>100</v>
      </c>
      <c r="G109" s="15">
        <v>100</v>
      </c>
      <c r="H109" s="15">
        <v>150</v>
      </c>
      <c r="I109" s="15">
        <v>150</v>
      </c>
      <c r="J109" s="15">
        <v>150</v>
      </c>
      <c r="K109" s="15">
        <v>150</v>
      </c>
      <c r="L109" s="15">
        <v>150</v>
      </c>
      <c r="M109" s="15">
        <v>150</v>
      </c>
      <c r="N109" s="15">
        <v>150</v>
      </c>
      <c r="O109" s="88">
        <f t="shared" si="9"/>
        <v>0.60296659565060096</v>
      </c>
      <c r="P109" s="99"/>
      <c r="Q109" s="99"/>
      <c r="R109" s="99"/>
    </row>
    <row r="110" spans="1:18" s="77" customFormat="1" ht="15.95" customHeight="1">
      <c r="A110" s="110">
        <v>95</v>
      </c>
      <c r="B110" s="100" t="s">
        <v>112</v>
      </c>
      <c r="C110" s="17">
        <v>1994</v>
      </c>
      <c r="D110" s="15">
        <v>200</v>
      </c>
      <c r="E110" s="15">
        <v>48.3</v>
      </c>
      <c r="F110" s="15">
        <v>282</v>
      </c>
      <c r="G110" s="15">
        <v>282</v>
      </c>
      <c r="H110" s="15">
        <v>282</v>
      </c>
      <c r="I110" s="15">
        <v>282</v>
      </c>
      <c r="J110" s="15">
        <v>368</v>
      </c>
      <c r="K110" s="15">
        <v>368</v>
      </c>
      <c r="L110" s="15">
        <v>368</v>
      </c>
      <c r="M110" s="15">
        <v>368</v>
      </c>
      <c r="N110" s="15">
        <v>368</v>
      </c>
      <c r="O110" s="88">
        <f t="shared" si="9"/>
        <v>1.4792780479961409</v>
      </c>
      <c r="P110" s="99"/>
      <c r="Q110" s="99"/>
      <c r="R110" s="99"/>
    </row>
    <row r="111" spans="1:18" ht="15.95" customHeight="1">
      <c r="A111" s="114">
        <v>96</v>
      </c>
      <c r="B111" s="101" t="s">
        <v>113</v>
      </c>
      <c r="C111" s="38">
        <v>1988</v>
      </c>
      <c r="D111" s="34">
        <v>180</v>
      </c>
      <c r="E111" s="35">
        <v>104</v>
      </c>
      <c r="F111" s="35">
        <v>282</v>
      </c>
      <c r="G111" s="35">
        <v>394</v>
      </c>
      <c r="H111" s="35">
        <v>394</v>
      </c>
      <c r="I111" s="35">
        <v>394</v>
      </c>
      <c r="J111" s="35">
        <v>394</v>
      </c>
      <c r="K111" s="35">
        <v>394</v>
      </c>
      <c r="L111" s="35">
        <v>394</v>
      </c>
      <c r="M111" s="35">
        <v>394</v>
      </c>
      <c r="N111" s="35">
        <v>394</v>
      </c>
      <c r="O111" s="90">
        <f t="shared" ref="O111:O140" si="14">N111/N$6*100</f>
        <v>1.5837922579089119</v>
      </c>
      <c r="P111" s="99"/>
      <c r="Q111" s="99"/>
      <c r="R111" s="99"/>
    </row>
    <row r="112" spans="1:18" s="77" customFormat="1" ht="15.95" customHeight="1">
      <c r="A112" s="110"/>
      <c r="B112" s="42" t="s">
        <v>36</v>
      </c>
      <c r="C112" s="20" t="s">
        <v>2</v>
      </c>
      <c r="D112" s="20" t="s">
        <v>2</v>
      </c>
      <c r="E112" s="20" t="s">
        <v>2</v>
      </c>
      <c r="F112" s="8">
        <f t="shared" ref="F112:N112" si="15">SUM(F113:F114)</f>
        <v>350</v>
      </c>
      <c r="G112" s="8">
        <f t="shared" si="15"/>
        <v>350</v>
      </c>
      <c r="H112" s="8">
        <f t="shared" si="15"/>
        <v>350</v>
      </c>
      <c r="I112" s="8">
        <f t="shared" si="15"/>
        <v>350</v>
      </c>
      <c r="J112" s="8">
        <f t="shared" si="15"/>
        <v>350</v>
      </c>
      <c r="K112" s="8">
        <f t="shared" si="15"/>
        <v>402</v>
      </c>
      <c r="L112" s="8">
        <f t="shared" si="15"/>
        <v>402</v>
      </c>
      <c r="M112" s="8">
        <f t="shared" si="15"/>
        <v>402</v>
      </c>
      <c r="N112" s="8">
        <f t="shared" si="15"/>
        <v>402</v>
      </c>
      <c r="O112" s="85">
        <f t="shared" si="14"/>
        <v>1.6159504763436103</v>
      </c>
      <c r="P112" s="99"/>
      <c r="Q112" s="99"/>
      <c r="R112" s="99"/>
    </row>
    <row r="113" spans="1:18" ht="15.95" customHeight="1">
      <c r="A113" s="110">
        <v>97</v>
      </c>
      <c r="B113" s="100" t="s">
        <v>114</v>
      </c>
      <c r="C113" s="7" t="s">
        <v>37</v>
      </c>
      <c r="D113" s="15">
        <v>20</v>
      </c>
      <c r="E113" s="15">
        <v>48</v>
      </c>
      <c r="F113" s="15">
        <v>260</v>
      </c>
      <c r="G113" s="15">
        <v>260</v>
      </c>
      <c r="H113" s="15">
        <v>260</v>
      </c>
      <c r="I113" s="15">
        <v>260</v>
      </c>
      <c r="J113" s="15">
        <v>260</v>
      </c>
      <c r="K113" s="15">
        <v>312</v>
      </c>
      <c r="L113" s="15">
        <v>312</v>
      </c>
      <c r="M113" s="15">
        <v>312</v>
      </c>
      <c r="N113" s="15">
        <v>312</v>
      </c>
      <c r="O113" s="88">
        <f t="shared" si="14"/>
        <v>1.2541705189532499</v>
      </c>
      <c r="P113" s="99"/>
      <c r="Q113" s="99"/>
      <c r="R113" s="99"/>
    </row>
    <row r="114" spans="1:18" s="77" customFormat="1" ht="15" customHeight="1">
      <c r="A114" s="114">
        <v>98</v>
      </c>
      <c r="B114" s="101" t="s">
        <v>115</v>
      </c>
      <c r="C114" s="38" t="s">
        <v>22</v>
      </c>
      <c r="D114" s="35">
        <v>50</v>
      </c>
      <c r="E114" s="35">
        <v>32</v>
      </c>
      <c r="F114" s="35">
        <v>90</v>
      </c>
      <c r="G114" s="35">
        <v>90</v>
      </c>
      <c r="H114" s="35">
        <v>90</v>
      </c>
      <c r="I114" s="35">
        <v>90</v>
      </c>
      <c r="J114" s="35">
        <v>90</v>
      </c>
      <c r="K114" s="35">
        <v>90</v>
      </c>
      <c r="L114" s="35">
        <v>90</v>
      </c>
      <c r="M114" s="35">
        <v>90</v>
      </c>
      <c r="N114" s="35">
        <v>90</v>
      </c>
      <c r="O114" s="90">
        <f t="shared" si="14"/>
        <v>0.36177995739036056</v>
      </c>
      <c r="P114" s="99"/>
      <c r="Q114" s="99"/>
      <c r="R114" s="99"/>
    </row>
    <row r="115" spans="1:18" s="77" customFormat="1" ht="15.95" customHeight="1">
      <c r="A115" s="110"/>
      <c r="B115" s="43" t="s">
        <v>38</v>
      </c>
      <c r="C115" s="20" t="s">
        <v>2</v>
      </c>
      <c r="D115" s="20" t="s">
        <v>2</v>
      </c>
      <c r="E115" s="20" t="s">
        <v>2</v>
      </c>
      <c r="F115" s="8">
        <f t="shared" ref="F115:N115" si="16">SUM(F116:F117)</f>
        <v>400</v>
      </c>
      <c r="G115" s="8">
        <f t="shared" si="16"/>
        <v>400</v>
      </c>
      <c r="H115" s="8">
        <f t="shared" si="16"/>
        <v>400</v>
      </c>
      <c r="I115" s="8">
        <f t="shared" si="16"/>
        <v>400</v>
      </c>
      <c r="J115" s="8">
        <f t="shared" si="16"/>
        <v>400</v>
      </c>
      <c r="K115" s="8">
        <f t="shared" si="16"/>
        <v>400</v>
      </c>
      <c r="L115" s="8">
        <f t="shared" si="16"/>
        <v>400</v>
      </c>
      <c r="M115" s="8">
        <f t="shared" si="16"/>
        <v>400</v>
      </c>
      <c r="N115" s="8">
        <f t="shared" si="16"/>
        <v>400</v>
      </c>
      <c r="O115" s="85">
        <f t="shared" si="14"/>
        <v>1.6079109217349359</v>
      </c>
      <c r="P115" s="99"/>
      <c r="Q115" s="99"/>
      <c r="R115" s="99"/>
    </row>
    <row r="116" spans="1:18" ht="21.75" customHeight="1">
      <c r="A116" s="110">
        <v>99</v>
      </c>
      <c r="B116" s="100" t="s">
        <v>241</v>
      </c>
      <c r="C116" s="14" t="s">
        <v>13</v>
      </c>
      <c r="D116" s="15">
        <v>72</v>
      </c>
      <c r="E116" s="15">
        <v>128.69999999999999</v>
      </c>
      <c r="F116" s="15">
        <v>160</v>
      </c>
      <c r="G116" s="15">
        <v>160</v>
      </c>
      <c r="H116" s="15">
        <v>160</v>
      </c>
      <c r="I116" s="15">
        <v>160</v>
      </c>
      <c r="J116" s="15">
        <v>160</v>
      </c>
      <c r="K116" s="15">
        <v>160</v>
      </c>
      <c r="L116" s="15">
        <v>160</v>
      </c>
      <c r="M116" s="15">
        <v>160</v>
      </c>
      <c r="N116" s="15">
        <v>160</v>
      </c>
      <c r="O116" s="88">
        <f t="shared" si="14"/>
        <v>0.64316436869397442</v>
      </c>
      <c r="P116" s="99"/>
      <c r="Q116" s="99"/>
      <c r="R116" s="99"/>
    </row>
    <row r="117" spans="1:18" s="77" customFormat="1" ht="15.95" customHeight="1">
      <c r="A117" s="114">
        <v>100</v>
      </c>
      <c r="B117" s="102" t="s">
        <v>116</v>
      </c>
      <c r="C117" s="39">
        <v>2000</v>
      </c>
      <c r="D117" s="39">
        <v>240</v>
      </c>
      <c r="E117" s="45">
        <v>128.69999999999999</v>
      </c>
      <c r="F117" s="39">
        <v>240</v>
      </c>
      <c r="G117" s="39">
        <v>240</v>
      </c>
      <c r="H117" s="39">
        <v>240</v>
      </c>
      <c r="I117" s="39">
        <v>240</v>
      </c>
      <c r="J117" s="39">
        <v>240</v>
      </c>
      <c r="K117" s="39">
        <v>240</v>
      </c>
      <c r="L117" s="39">
        <v>240</v>
      </c>
      <c r="M117" s="39">
        <v>240</v>
      </c>
      <c r="N117" s="39">
        <v>240</v>
      </c>
      <c r="O117" s="90">
        <f t="shared" si="14"/>
        <v>0.96474655304096146</v>
      </c>
      <c r="P117" s="99"/>
      <c r="Q117" s="99"/>
      <c r="R117" s="99"/>
    </row>
    <row r="118" spans="1:18" s="77" customFormat="1" ht="15.95" customHeight="1">
      <c r="A118" s="110"/>
      <c r="B118" s="43" t="s">
        <v>39</v>
      </c>
      <c r="C118" s="20" t="s">
        <v>2</v>
      </c>
      <c r="D118" s="20" t="s">
        <v>2</v>
      </c>
      <c r="E118" s="20" t="s">
        <v>2</v>
      </c>
      <c r="F118" s="8">
        <f t="shared" ref="F118:N118" si="17">SUM(F119)</f>
        <v>250</v>
      </c>
      <c r="G118" s="8">
        <f t="shared" si="17"/>
        <v>250</v>
      </c>
      <c r="H118" s="8">
        <f t="shared" si="17"/>
        <v>250</v>
      </c>
      <c r="I118" s="8">
        <f t="shared" si="17"/>
        <v>250</v>
      </c>
      <c r="J118" s="8">
        <f t="shared" si="17"/>
        <v>250</v>
      </c>
      <c r="K118" s="8">
        <f t="shared" si="17"/>
        <v>250</v>
      </c>
      <c r="L118" s="8">
        <f t="shared" si="17"/>
        <v>250</v>
      </c>
      <c r="M118" s="8">
        <f t="shared" si="17"/>
        <v>250</v>
      </c>
      <c r="N118" s="8">
        <f t="shared" si="17"/>
        <v>250</v>
      </c>
      <c r="O118" s="85">
        <f t="shared" si="14"/>
        <v>1.0049443260843349</v>
      </c>
      <c r="P118" s="99"/>
      <c r="Q118" s="99"/>
      <c r="R118" s="99"/>
    </row>
    <row r="119" spans="1:18" s="77" customFormat="1" ht="15.95" customHeight="1">
      <c r="A119" s="114">
        <v>101</v>
      </c>
      <c r="B119" s="101" t="s">
        <v>117</v>
      </c>
      <c r="C119" s="33" t="s">
        <v>13</v>
      </c>
      <c r="D119" s="35">
        <v>250</v>
      </c>
      <c r="E119" s="35">
        <v>120.7</v>
      </c>
      <c r="F119" s="35">
        <v>250</v>
      </c>
      <c r="G119" s="35">
        <v>250</v>
      </c>
      <c r="H119" s="35">
        <v>250</v>
      </c>
      <c r="I119" s="35">
        <v>250</v>
      </c>
      <c r="J119" s="35">
        <v>250</v>
      </c>
      <c r="K119" s="35">
        <v>250</v>
      </c>
      <c r="L119" s="39">
        <v>250</v>
      </c>
      <c r="M119" s="39">
        <v>250</v>
      </c>
      <c r="N119" s="39">
        <v>250</v>
      </c>
      <c r="O119" s="90">
        <f t="shared" si="14"/>
        <v>1.0049443260843349</v>
      </c>
      <c r="P119" s="99"/>
      <c r="Q119" s="99"/>
      <c r="R119" s="99"/>
    </row>
    <row r="120" spans="1:18" s="120" customFormat="1" ht="15.95" customHeight="1">
      <c r="A120" s="110"/>
      <c r="B120" s="43" t="s">
        <v>40</v>
      </c>
      <c r="C120" s="20" t="s">
        <v>2</v>
      </c>
      <c r="D120" s="20" t="s">
        <v>2</v>
      </c>
      <c r="E120" s="20" t="s">
        <v>2</v>
      </c>
      <c r="F120" s="8">
        <f>SUM(F121:F124)</f>
        <v>324</v>
      </c>
      <c r="G120" s="8">
        <f t="shared" ref="G120:N120" si="18">SUM(G121:G124)</f>
        <v>324</v>
      </c>
      <c r="H120" s="8">
        <f t="shared" si="18"/>
        <v>436</v>
      </c>
      <c r="I120" s="8">
        <f t="shared" si="18"/>
        <v>436</v>
      </c>
      <c r="J120" s="8">
        <f t="shared" si="18"/>
        <v>436</v>
      </c>
      <c r="K120" s="8">
        <f t="shared" si="18"/>
        <v>590</v>
      </c>
      <c r="L120" s="8">
        <f t="shared" si="18"/>
        <v>590</v>
      </c>
      <c r="M120" s="8">
        <f t="shared" si="18"/>
        <v>590</v>
      </c>
      <c r="N120" s="8">
        <f t="shared" si="18"/>
        <v>778</v>
      </c>
      <c r="O120" s="84">
        <f t="shared" si="14"/>
        <v>3.1273867427744504</v>
      </c>
      <c r="P120" s="99"/>
      <c r="Q120" s="99"/>
      <c r="R120" s="99"/>
    </row>
    <row r="121" spans="1:18" s="77" customFormat="1" ht="15.95" customHeight="1">
      <c r="A121" s="110">
        <v>102</v>
      </c>
      <c r="B121" s="100" t="s">
        <v>231</v>
      </c>
      <c r="C121" s="17">
        <v>2015</v>
      </c>
      <c r="D121" s="15">
        <v>66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66</v>
      </c>
      <c r="O121" s="88">
        <f t="shared" si="14"/>
        <v>0.26530530208626446</v>
      </c>
      <c r="P121" s="99"/>
      <c r="Q121" s="99"/>
      <c r="R121" s="99"/>
    </row>
    <row r="122" spans="1:18" s="77" customFormat="1" ht="15.95" customHeight="1">
      <c r="A122" s="110">
        <v>103</v>
      </c>
      <c r="B122" s="100" t="s">
        <v>118</v>
      </c>
      <c r="C122" s="17">
        <v>1998</v>
      </c>
      <c r="D122" s="15">
        <v>50</v>
      </c>
      <c r="E122" s="15">
        <v>125</v>
      </c>
      <c r="F122" s="15">
        <v>168</v>
      </c>
      <c r="G122" s="15">
        <v>168</v>
      </c>
      <c r="H122" s="15">
        <v>236</v>
      </c>
      <c r="I122" s="15">
        <v>236</v>
      </c>
      <c r="J122" s="15">
        <v>236</v>
      </c>
      <c r="K122" s="15">
        <v>236</v>
      </c>
      <c r="L122" s="15">
        <v>236</v>
      </c>
      <c r="M122" s="15">
        <v>236</v>
      </c>
      <c r="N122" s="15">
        <v>238</v>
      </c>
      <c r="O122" s="88">
        <f t="shared" si="14"/>
        <v>0.9567069984322869</v>
      </c>
      <c r="P122" s="99"/>
      <c r="Q122" s="99"/>
      <c r="R122" s="99"/>
    </row>
    <row r="123" spans="1:18" s="77" customFormat="1" ht="15.95" customHeight="1">
      <c r="A123" s="110">
        <v>104</v>
      </c>
      <c r="B123" s="100" t="s">
        <v>203</v>
      </c>
      <c r="C123" s="17">
        <v>2012</v>
      </c>
      <c r="D123" s="15">
        <v>56</v>
      </c>
      <c r="E123" s="15" t="s">
        <v>2</v>
      </c>
      <c r="F123" s="15" t="s">
        <v>2</v>
      </c>
      <c r="G123" s="15" t="s">
        <v>2</v>
      </c>
      <c r="H123" s="15" t="s">
        <v>2</v>
      </c>
      <c r="I123" s="15" t="s">
        <v>2</v>
      </c>
      <c r="J123" s="15" t="s">
        <v>2</v>
      </c>
      <c r="K123" s="15">
        <v>154</v>
      </c>
      <c r="L123" s="15">
        <v>154</v>
      </c>
      <c r="M123" s="15">
        <v>154</v>
      </c>
      <c r="N123" s="15">
        <v>274</v>
      </c>
      <c r="O123" s="88">
        <f t="shared" si="14"/>
        <v>1.1014189813884312</v>
      </c>
      <c r="P123" s="99"/>
      <c r="Q123" s="99"/>
      <c r="R123" s="99"/>
    </row>
    <row r="124" spans="1:18" ht="15.95" customHeight="1">
      <c r="A124" s="114">
        <v>105</v>
      </c>
      <c r="B124" s="101" t="s">
        <v>119</v>
      </c>
      <c r="C124" s="33">
        <v>1998</v>
      </c>
      <c r="D124" s="35">
        <v>136</v>
      </c>
      <c r="E124" s="35">
        <v>128.69999999999999</v>
      </c>
      <c r="F124" s="35">
        <v>156</v>
      </c>
      <c r="G124" s="35">
        <v>156</v>
      </c>
      <c r="H124" s="35">
        <v>200</v>
      </c>
      <c r="I124" s="35">
        <v>200</v>
      </c>
      <c r="J124" s="35">
        <v>200</v>
      </c>
      <c r="K124" s="35">
        <v>200</v>
      </c>
      <c r="L124" s="35">
        <v>200</v>
      </c>
      <c r="M124" s="35">
        <v>200</v>
      </c>
      <c r="N124" s="35">
        <v>200</v>
      </c>
      <c r="O124" s="88">
        <f t="shared" si="14"/>
        <v>0.80395546086746794</v>
      </c>
      <c r="P124" s="99"/>
      <c r="Q124" s="99"/>
      <c r="R124" s="99"/>
    </row>
    <row r="125" spans="1:18" s="77" customFormat="1" ht="15.95" customHeight="1">
      <c r="A125" s="110"/>
      <c r="B125" s="42" t="s">
        <v>219</v>
      </c>
      <c r="C125" s="20" t="s">
        <v>2</v>
      </c>
      <c r="D125" s="20" t="s">
        <v>2</v>
      </c>
      <c r="E125" s="20" t="s">
        <v>2</v>
      </c>
      <c r="F125" s="20" t="s">
        <v>2</v>
      </c>
      <c r="G125" s="20" t="s">
        <v>2</v>
      </c>
      <c r="H125" s="20" t="s">
        <v>2</v>
      </c>
      <c r="I125" s="20" t="s">
        <v>2</v>
      </c>
      <c r="J125" s="20" t="s">
        <v>2</v>
      </c>
      <c r="K125" s="20" t="s">
        <v>2</v>
      </c>
      <c r="L125" s="20">
        <f>SUM(L126)</f>
        <v>46</v>
      </c>
      <c r="M125" s="20">
        <f>SUM(M126)</f>
        <v>132</v>
      </c>
      <c r="N125" s="20">
        <f>SUM(N126)</f>
        <v>152</v>
      </c>
      <c r="O125" s="85">
        <f t="shared" si="14"/>
        <v>0.61100615025927563</v>
      </c>
      <c r="P125" s="99"/>
      <c r="Q125" s="99"/>
      <c r="R125" s="99"/>
    </row>
    <row r="126" spans="1:18" s="77" customFormat="1" ht="15.95" customHeight="1">
      <c r="A126" s="114">
        <v>106</v>
      </c>
      <c r="B126" s="101" t="s">
        <v>220</v>
      </c>
      <c r="C126" s="33" t="s">
        <v>214</v>
      </c>
      <c r="D126" s="35">
        <v>66</v>
      </c>
      <c r="E126" s="35">
        <v>260</v>
      </c>
      <c r="F126" s="35" t="s">
        <v>2</v>
      </c>
      <c r="G126" s="35" t="s">
        <v>2</v>
      </c>
      <c r="H126" s="35" t="s">
        <v>2</v>
      </c>
      <c r="I126" s="35" t="s">
        <v>2</v>
      </c>
      <c r="J126" s="35" t="s">
        <v>2</v>
      </c>
      <c r="K126" s="35" t="s">
        <v>2</v>
      </c>
      <c r="L126" s="35">
        <v>46</v>
      </c>
      <c r="M126" s="35">
        <v>132</v>
      </c>
      <c r="N126" s="35">
        <v>152</v>
      </c>
      <c r="O126" s="90">
        <f t="shared" si="14"/>
        <v>0.61100615025927563</v>
      </c>
      <c r="P126" s="99"/>
      <c r="Q126" s="99"/>
      <c r="R126" s="99"/>
    </row>
    <row r="127" spans="1:18" s="77" customFormat="1" ht="15.95" customHeight="1">
      <c r="A127" s="110"/>
      <c r="B127" s="42" t="s">
        <v>198</v>
      </c>
      <c r="C127" s="20" t="s">
        <v>2</v>
      </c>
      <c r="D127" s="20" t="s">
        <v>2</v>
      </c>
      <c r="E127" s="20" t="s">
        <v>2</v>
      </c>
      <c r="F127" s="20" t="s">
        <v>2</v>
      </c>
      <c r="G127" s="20" t="s">
        <v>2</v>
      </c>
      <c r="H127" s="20" t="s">
        <v>2</v>
      </c>
      <c r="I127" s="20" t="s">
        <v>2</v>
      </c>
      <c r="J127" s="20">
        <f>SUM(J128)</f>
        <v>194</v>
      </c>
      <c r="K127" s="20">
        <f>SUM(K128)</f>
        <v>194</v>
      </c>
      <c r="L127" s="20">
        <f>SUM(L128)</f>
        <v>194</v>
      </c>
      <c r="M127" s="20">
        <f>SUM(M128)</f>
        <v>194</v>
      </c>
      <c r="N127" s="20">
        <f>SUM(N128)</f>
        <v>194</v>
      </c>
      <c r="O127" s="85">
        <f t="shared" si="14"/>
        <v>0.77983679704144393</v>
      </c>
      <c r="P127" s="99"/>
      <c r="Q127" s="99"/>
      <c r="R127" s="99"/>
    </row>
    <row r="128" spans="1:18" s="77" customFormat="1" ht="15.95" customHeight="1">
      <c r="A128" s="114">
        <v>107</v>
      </c>
      <c r="B128" s="101" t="s">
        <v>197</v>
      </c>
      <c r="C128" s="33">
        <v>2011</v>
      </c>
      <c r="D128" s="35">
        <v>66</v>
      </c>
      <c r="E128" s="35">
        <v>260</v>
      </c>
      <c r="F128" s="35" t="s">
        <v>2</v>
      </c>
      <c r="G128" s="35" t="s">
        <v>2</v>
      </c>
      <c r="H128" s="35" t="s">
        <v>2</v>
      </c>
      <c r="I128" s="35" t="s">
        <v>2</v>
      </c>
      <c r="J128" s="35">
        <v>194</v>
      </c>
      <c r="K128" s="35">
        <v>194</v>
      </c>
      <c r="L128" s="35">
        <v>194</v>
      </c>
      <c r="M128" s="35">
        <v>194</v>
      </c>
      <c r="N128" s="35">
        <v>194</v>
      </c>
      <c r="O128" s="90">
        <f t="shared" si="14"/>
        <v>0.77983679704144393</v>
      </c>
      <c r="P128" s="99"/>
      <c r="Q128" s="99"/>
      <c r="R128" s="99"/>
    </row>
    <row r="129" spans="1:18" s="94" customFormat="1">
      <c r="A129" s="110"/>
      <c r="B129" s="43" t="s">
        <v>124</v>
      </c>
      <c r="C129" s="20" t="s">
        <v>2</v>
      </c>
      <c r="D129" s="20" t="s">
        <v>2</v>
      </c>
      <c r="E129" s="20" t="s">
        <v>2</v>
      </c>
      <c r="F129" s="20" t="s">
        <v>2</v>
      </c>
      <c r="G129" s="20" t="s">
        <v>2</v>
      </c>
      <c r="H129" s="8">
        <f t="shared" ref="H129:L129" si="19">SUM(H130:H133)</f>
        <v>200</v>
      </c>
      <c r="I129" s="8">
        <f t="shared" si="19"/>
        <v>250</v>
      </c>
      <c r="J129" s="8">
        <f t="shared" si="19"/>
        <v>324</v>
      </c>
      <c r="K129" s="8">
        <f t="shared" si="19"/>
        <v>524</v>
      </c>
      <c r="L129" s="8">
        <f t="shared" si="19"/>
        <v>576</v>
      </c>
      <c r="M129" s="8">
        <f t="shared" ref="M129:N129" si="20">SUM(M130:M133)</f>
        <v>576</v>
      </c>
      <c r="N129" s="8">
        <f t="shared" si="20"/>
        <v>576</v>
      </c>
      <c r="O129" s="84">
        <f t="shared" si="14"/>
        <v>2.3153917272983078</v>
      </c>
      <c r="P129" s="99"/>
      <c r="Q129" s="99"/>
      <c r="R129" s="99"/>
    </row>
    <row r="130" spans="1:18">
      <c r="A130" s="110">
        <v>108</v>
      </c>
      <c r="B130" s="100" t="s">
        <v>125</v>
      </c>
      <c r="C130" s="17">
        <v>2009</v>
      </c>
      <c r="D130" s="15">
        <v>100</v>
      </c>
      <c r="E130" s="15">
        <v>405</v>
      </c>
      <c r="F130" s="15" t="s">
        <v>2</v>
      </c>
      <c r="G130" s="15" t="s">
        <v>2</v>
      </c>
      <c r="H130" s="15">
        <v>100</v>
      </c>
      <c r="I130" s="15">
        <v>100</v>
      </c>
      <c r="J130" s="15">
        <v>100</v>
      </c>
      <c r="K130" s="15">
        <v>100</v>
      </c>
      <c r="L130" s="15">
        <v>100</v>
      </c>
      <c r="M130" s="15">
        <v>100</v>
      </c>
      <c r="N130" s="15">
        <v>100</v>
      </c>
      <c r="O130" s="88">
        <f t="shared" si="14"/>
        <v>0.40197773043373397</v>
      </c>
      <c r="P130" s="99"/>
      <c r="Q130" s="99"/>
      <c r="R130" s="99"/>
    </row>
    <row r="131" spans="1:18">
      <c r="A131" s="110">
        <v>109</v>
      </c>
      <c r="B131" s="100" t="s">
        <v>232</v>
      </c>
      <c r="C131" s="17">
        <v>2009</v>
      </c>
      <c r="D131" s="15">
        <v>100</v>
      </c>
      <c r="E131" s="15">
        <v>400</v>
      </c>
      <c r="F131" s="15" t="s">
        <v>2</v>
      </c>
      <c r="G131" s="15" t="s">
        <v>2</v>
      </c>
      <c r="H131" s="15">
        <v>100</v>
      </c>
      <c r="I131" s="15">
        <v>150</v>
      </c>
      <c r="J131" s="15">
        <v>150</v>
      </c>
      <c r="K131" s="15">
        <v>150</v>
      </c>
      <c r="L131" s="15">
        <v>202</v>
      </c>
      <c r="M131" s="15">
        <v>202</v>
      </c>
      <c r="N131" s="15">
        <v>202</v>
      </c>
      <c r="O131" s="88">
        <f t="shared" si="14"/>
        <v>0.81199501547614261</v>
      </c>
      <c r="P131" s="99"/>
      <c r="Q131" s="99"/>
      <c r="R131" s="99"/>
    </row>
    <row r="132" spans="1:18" s="119" customFormat="1" ht="18" customHeight="1">
      <c r="A132" s="110">
        <v>110</v>
      </c>
      <c r="B132" s="100" t="s">
        <v>194</v>
      </c>
      <c r="C132" s="21">
        <v>2011</v>
      </c>
      <c r="D132" s="21">
        <v>74</v>
      </c>
      <c r="E132" s="15">
        <v>400</v>
      </c>
      <c r="F132" s="15" t="s">
        <v>2</v>
      </c>
      <c r="G132" s="15" t="s">
        <v>2</v>
      </c>
      <c r="H132" s="15" t="s">
        <v>2</v>
      </c>
      <c r="I132" s="15" t="s">
        <v>2</v>
      </c>
      <c r="J132" s="15">
        <v>74</v>
      </c>
      <c r="K132" s="15">
        <v>74</v>
      </c>
      <c r="L132" s="15">
        <v>74</v>
      </c>
      <c r="M132" s="15">
        <v>74</v>
      </c>
      <c r="N132" s="15">
        <v>74</v>
      </c>
      <c r="O132" s="88">
        <f t="shared" si="14"/>
        <v>0.29746352052096314</v>
      </c>
      <c r="P132" s="99"/>
      <c r="Q132" s="99"/>
      <c r="R132" s="99"/>
    </row>
    <row r="133" spans="1:18" s="119" customFormat="1" ht="18" customHeight="1">
      <c r="A133" s="114">
        <v>111</v>
      </c>
      <c r="B133" s="101" t="s">
        <v>208</v>
      </c>
      <c r="C133" s="40">
        <v>2012</v>
      </c>
      <c r="D133" s="40">
        <v>108</v>
      </c>
      <c r="E133" s="35">
        <v>405</v>
      </c>
      <c r="F133" s="35" t="s">
        <v>2</v>
      </c>
      <c r="G133" s="35" t="s">
        <v>2</v>
      </c>
      <c r="H133" s="35" t="s">
        <v>2</v>
      </c>
      <c r="I133" s="35" t="s">
        <v>2</v>
      </c>
      <c r="J133" s="35" t="s">
        <v>2</v>
      </c>
      <c r="K133" s="35">
        <v>200</v>
      </c>
      <c r="L133" s="35">
        <v>200</v>
      </c>
      <c r="M133" s="35">
        <v>200</v>
      </c>
      <c r="N133" s="35">
        <v>200</v>
      </c>
      <c r="O133" s="88">
        <f t="shared" si="14"/>
        <v>0.80395546086746794</v>
      </c>
      <c r="P133" s="99"/>
      <c r="Q133" s="99"/>
      <c r="R133" s="99"/>
    </row>
    <row r="134" spans="1:18" s="121" customFormat="1">
      <c r="A134" s="110"/>
      <c r="B134" s="44" t="s">
        <v>195</v>
      </c>
      <c r="C134" s="20" t="s">
        <v>2</v>
      </c>
      <c r="D134" s="20" t="s">
        <v>2</v>
      </c>
      <c r="E134" s="20" t="s">
        <v>2</v>
      </c>
      <c r="F134" s="20" t="s">
        <v>2</v>
      </c>
      <c r="G134" s="20" t="s">
        <v>2</v>
      </c>
      <c r="H134" s="20" t="s">
        <v>2</v>
      </c>
      <c r="I134" s="20" t="s">
        <v>2</v>
      </c>
      <c r="J134" s="8">
        <f>SUM(J135:J137)</f>
        <v>200</v>
      </c>
      <c r="K134" s="8">
        <f t="shared" ref="K134:N134" si="21">SUM(K135:K137)</f>
        <v>200</v>
      </c>
      <c r="L134" s="8">
        <f t="shared" si="21"/>
        <v>200</v>
      </c>
      <c r="M134" s="8">
        <f t="shared" si="21"/>
        <v>200</v>
      </c>
      <c r="N134" s="8">
        <f t="shared" si="21"/>
        <v>550</v>
      </c>
      <c r="O134" s="85">
        <f t="shared" si="14"/>
        <v>2.2108775173855366</v>
      </c>
      <c r="P134" s="99"/>
      <c r="Q134" s="99"/>
      <c r="R134" s="99"/>
    </row>
    <row r="135" spans="1:18" s="121" customFormat="1">
      <c r="A135" s="110">
        <v>112</v>
      </c>
      <c r="B135" s="122" t="s">
        <v>229</v>
      </c>
      <c r="C135" s="112">
        <v>2015</v>
      </c>
      <c r="D135" s="112">
        <v>240</v>
      </c>
      <c r="E135" s="15">
        <v>240</v>
      </c>
      <c r="F135" s="15"/>
      <c r="G135" s="15"/>
      <c r="H135" s="15"/>
      <c r="I135" s="15"/>
      <c r="J135" s="15"/>
      <c r="K135" s="15"/>
      <c r="L135" s="15"/>
      <c r="M135" s="15"/>
      <c r="N135" s="15">
        <v>240</v>
      </c>
      <c r="O135" s="88">
        <f t="shared" si="14"/>
        <v>0.96474655304096146</v>
      </c>
      <c r="P135" s="99"/>
      <c r="Q135" s="99"/>
      <c r="R135" s="99"/>
    </row>
    <row r="136" spans="1:18" s="121" customFormat="1">
      <c r="A136" s="110">
        <v>113</v>
      </c>
      <c r="B136" s="113" t="s">
        <v>196</v>
      </c>
      <c r="C136" s="112">
        <v>2011</v>
      </c>
      <c r="D136" s="112">
        <v>200</v>
      </c>
      <c r="E136" s="15">
        <v>420</v>
      </c>
      <c r="F136" s="15" t="s">
        <v>2</v>
      </c>
      <c r="G136" s="15" t="s">
        <v>2</v>
      </c>
      <c r="H136" s="15" t="s">
        <v>2</v>
      </c>
      <c r="I136" s="15" t="s">
        <v>2</v>
      </c>
      <c r="J136" s="15">
        <v>200</v>
      </c>
      <c r="K136" s="15">
        <v>200</v>
      </c>
      <c r="L136" s="15">
        <v>200</v>
      </c>
      <c r="M136" s="15">
        <v>200</v>
      </c>
      <c r="N136" s="15">
        <v>200</v>
      </c>
      <c r="O136" s="88">
        <f t="shared" si="14"/>
        <v>0.80395546086746794</v>
      </c>
      <c r="P136" s="99"/>
      <c r="Q136" s="99"/>
      <c r="R136" s="99"/>
    </row>
    <row r="137" spans="1:18" s="121" customFormat="1">
      <c r="A137" s="114">
        <v>114</v>
      </c>
      <c r="B137" s="128" t="s">
        <v>230</v>
      </c>
      <c r="C137" s="98">
        <v>2015</v>
      </c>
      <c r="D137" s="98">
        <v>110</v>
      </c>
      <c r="E137" s="78">
        <v>110</v>
      </c>
      <c r="F137" s="78"/>
      <c r="G137" s="78"/>
      <c r="H137" s="78"/>
      <c r="I137" s="78"/>
      <c r="J137" s="78"/>
      <c r="K137" s="78"/>
      <c r="L137" s="78"/>
      <c r="M137" s="78"/>
      <c r="N137" s="78">
        <v>110</v>
      </c>
      <c r="O137" s="90">
        <f t="shared" si="14"/>
        <v>0.44217550347710732</v>
      </c>
      <c r="P137" s="99"/>
      <c r="Q137" s="99"/>
      <c r="R137" s="99"/>
    </row>
    <row r="138" spans="1:18" s="121" customFormat="1" ht="15.95" customHeight="1">
      <c r="A138" s="110"/>
      <c r="B138" s="43" t="s">
        <v>43</v>
      </c>
      <c r="C138" s="20" t="s">
        <v>2</v>
      </c>
      <c r="D138" s="20" t="s">
        <v>2</v>
      </c>
      <c r="E138" s="20" t="s">
        <v>2</v>
      </c>
      <c r="F138" s="8">
        <f>SUM(F139)</f>
        <v>546</v>
      </c>
      <c r="G138" s="8">
        <f>SUM(G139)</f>
        <v>546</v>
      </c>
      <c r="H138" s="8">
        <f t="shared" ref="H138:M138" si="22">SUM(H139:H140)</f>
        <v>830</v>
      </c>
      <c r="I138" s="8">
        <f t="shared" si="22"/>
        <v>830</v>
      </c>
      <c r="J138" s="8">
        <f t="shared" si="22"/>
        <v>830</v>
      </c>
      <c r="K138" s="8">
        <f t="shared" si="22"/>
        <v>830</v>
      </c>
      <c r="L138" s="8">
        <f t="shared" si="22"/>
        <v>830</v>
      </c>
      <c r="M138" s="8">
        <f t="shared" si="22"/>
        <v>826</v>
      </c>
      <c r="N138" s="8">
        <f t="shared" ref="N138" si="23">SUM(N139:N140)</f>
        <v>826</v>
      </c>
      <c r="O138" s="84">
        <f t="shared" si="14"/>
        <v>3.3203360533826429</v>
      </c>
      <c r="P138" s="99"/>
      <c r="Q138" s="99"/>
      <c r="R138" s="99"/>
    </row>
    <row r="139" spans="1:18" s="77" customFormat="1" ht="15" customHeight="1">
      <c r="A139" s="110">
        <v>115</v>
      </c>
      <c r="B139" s="100" t="s">
        <v>242</v>
      </c>
      <c r="C139" s="14">
        <v>2007</v>
      </c>
      <c r="D139" s="15">
        <v>106</v>
      </c>
      <c r="E139" s="15">
        <v>480</v>
      </c>
      <c r="F139" s="15">
        <v>546</v>
      </c>
      <c r="G139" s="15">
        <v>546</v>
      </c>
      <c r="H139" s="15">
        <v>546</v>
      </c>
      <c r="I139" s="15">
        <v>546</v>
      </c>
      <c r="J139" s="15">
        <v>546</v>
      </c>
      <c r="K139" s="15">
        <v>546</v>
      </c>
      <c r="L139" s="15">
        <v>546</v>
      </c>
      <c r="M139" s="15">
        <v>542</v>
      </c>
      <c r="N139" s="15">
        <v>542</v>
      </c>
      <c r="O139" s="88">
        <f t="shared" si="14"/>
        <v>2.1787192989508384</v>
      </c>
      <c r="P139" s="99"/>
      <c r="Q139" s="99"/>
      <c r="R139" s="99"/>
    </row>
    <row r="140" spans="1:18" s="77" customFormat="1" ht="25.5">
      <c r="A140" s="115">
        <v>116</v>
      </c>
      <c r="B140" s="103" t="s">
        <v>243</v>
      </c>
      <c r="C140" s="32" t="s">
        <v>47</v>
      </c>
      <c r="D140" s="22">
        <v>284</v>
      </c>
      <c r="E140" s="22">
        <v>478</v>
      </c>
      <c r="F140" s="22" t="s">
        <v>2</v>
      </c>
      <c r="G140" s="22" t="s">
        <v>2</v>
      </c>
      <c r="H140" s="22">
        <v>284</v>
      </c>
      <c r="I140" s="22">
        <v>284</v>
      </c>
      <c r="J140" s="22">
        <v>284</v>
      </c>
      <c r="K140" s="22">
        <v>284</v>
      </c>
      <c r="L140" s="22">
        <v>284</v>
      </c>
      <c r="M140" s="22">
        <v>284</v>
      </c>
      <c r="N140" s="22">
        <v>284</v>
      </c>
      <c r="O140" s="89">
        <f t="shared" si="14"/>
        <v>1.1416167544318045</v>
      </c>
      <c r="P140" s="99"/>
      <c r="Q140" s="99"/>
      <c r="R140" s="99"/>
    </row>
    <row r="141" spans="1:18" s="77" customFormat="1" ht="15.95" customHeight="1">
      <c r="A141" s="80"/>
      <c r="B141" s="104" t="s">
        <v>245</v>
      </c>
      <c r="C141" s="25"/>
      <c r="D141" s="26"/>
      <c r="E141" s="27"/>
      <c r="F141" s="26"/>
      <c r="G141" s="26"/>
      <c r="H141" s="26"/>
      <c r="I141" s="26"/>
      <c r="J141" s="26"/>
      <c r="K141" s="26"/>
      <c r="L141" s="26"/>
      <c r="M141" s="26"/>
      <c r="N141" s="26"/>
      <c r="O141" s="86"/>
      <c r="P141" s="99"/>
      <c r="Q141" s="99"/>
      <c r="R141" s="99"/>
    </row>
    <row r="142" spans="1:18" s="77" customFormat="1" ht="15.95" customHeight="1">
      <c r="A142" s="80"/>
      <c r="B142" s="104" t="s">
        <v>41</v>
      </c>
      <c r="C142" s="25"/>
      <c r="D142" s="26"/>
      <c r="E142" s="27"/>
      <c r="F142" s="26"/>
      <c r="G142" s="26"/>
      <c r="H142" s="26"/>
      <c r="I142" s="26"/>
      <c r="J142" s="26"/>
      <c r="K142" s="26"/>
      <c r="L142" s="26"/>
      <c r="M142" s="26"/>
      <c r="N142" s="26"/>
      <c r="O142" s="86"/>
      <c r="P142" s="99"/>
      <c r="Q142" s="99"/>
      <c r="R142" s="99"/>
    </row>
    <row r="143" spans="1:18" s="77" customFormat="1" ht="11.25" customHeight="1">
      <c r="A143" s="127"/>
      <c r="B143" s="105" t="s">
        <v>218</v>
      </c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87"/>
      <c r="P143" s="28"/>
      <c r="Q143" s="28"/>
      <c r="R143" s="123"/>
    </row>
    <row r="144" spans="1:18">
      <c r="B144" s="106"/>
    </row>
    <row r="145" spans="2:2">
      <c r="B145" s="106"/>
    </row>
    <row r="147" spans="2:2">
      <c r="B147" s="107"/>
    </row>
    <row r="149" spans="2:2">
      <c r="B149" s="107"/>
    </row>
    <row r="261" spans="2:15">
      <c r="O261" s="83"/>
    </row>
    <row r="262" spans="2:15">
      <c r="B262" s="109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83"/>
    </row>
    <row r="263" spans="2:15">
      <c r="O263" s="83"/>
    </row>
    <row r="264" spans="2:15">
      <c r="O264" s="83"/>
    </row>
    <row r="265" spans="2:15">
      <c r="H265" s="24" t="s">
        <v>126</v>
      </c>
      <c r="O265" s="83"/>
    </row>
    <row r="266" spans="2:15">
      <c r="O266" s="83"/>
    </row>
    <row r="267" spans="2:15">
      <c r="O267" s="83"/>
    </row>
    <row r="268" spans="2:15">
      <c r="O268" s="83"/>
    </row>
  </sheetData>
  <mergeCells count="4">
    <mergeCell ref="B4:B5"/>
    <mergeCell ref="B1:O1"/>
    <mergeCell ref="B2:O2"/>
    <mergeCell ref="F4:N4"/>
  </mergeCells>
  <printOptions horizontalCentered="1"/>
  <pageMargins left="0.17" right="0.16" top="0.23622047244094499" bottom="0.23622047244094499" header="0.196850393700787" footer="0.196850393700787"/>
  <pageSetup paperSize="9" scale="61" orientation="portrait" r:id="rId1"/>
  <headerFooter alignWithMargins="0"/>
  <rowBreaks count="1" manualBreakCount="1">
    <brk id="79" max="1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10.10 </vt:lpstr>
      <vt:lpstr>'10.10 '!Print_Area</vt:lpstr>
      <vt:lpstr>'10.10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2016-07-18T08:22:16Z</cp:lastPrinted>
  <dcterms:created xsi:type="dcterms:W3CDTF">2007-02-07T06:41:32Z</dcterms:created>
  <dcterms:modified xsi:type="dcterms:W3CDTF">2016-07-18T08:22:25Z</dcterms:modified>
</cp:coreProperties>
</file>