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8" sheetId="4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'10.8'!$A$1:$K$63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H5" i="41" l="1"/>
  <c r="G5" i="41"/>
  <c r="F5" i="41"/>
  <c r="E5" i="41"/>
  <c r="D5" i="41"/>
  <c r="C5" i="41"/>
  <c r="B5" i="41"/>
  <c r="AF44" i="41" l="1"/>
  <c r="I13" i="41" l="1"/>
  <c r="I21" i="41" l="1"/>
  <c r="I16" i="41"/>
  <c r="I20" i="41"/>
  <c r="I15" i="41"/>
  <c r="I6" i="41"/>
  <c r="I17" i="41"/>
  <c r="I12" i="41"/>
  <c r="I7" i="41"/>
  <c r="I10" i="41"/>
  <c r="I11" i="41"/>
  <c r="I23" i="41"/>
  <c r="I19" i="41"/>
  <c r="I9" i="41"/>
  <c r="I14" i="41"/>
  <c r="I5" i="41"/>
  <c r="I22" i="41"/>
  <c r="I18" i="41"/>
  <c r="I8" i="41"/>
  <c r="AC27" i="41" l="1"/>
  <c r="AC28" i="41"/>
  <c r="AC29" i="41"/>
  <c r="AC30" i="41"/>
  <c r="AC31" i="41"/>
  <c r="AC32" i="41"/>
  <c r="AC33" i="41"/>
  <c r="AC34" i="41"/>
  <c r="AC35" i="41"/>
  <c r="AC36" i="41"/>
  <c r="AC37" i="41"/>
  <c r="AC38" i="41"/>
  <c r="AC39" i="41"/>
  <c r="AC40" i="41"/>
  <c r="AC41" i="41"/>
  <c r="AC42" i="41"/>
  <c r="AC43" i="41"/>
  <c r="AC26" i="4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<sst xmlns="http://schemas.openxmlformats.org/spreadsheetml/2006/main" count="147" uniqueCount="140">
  <si>
    <t>Resorts</t>
  </si>
  <si>
    <t xml:space="preserve">% Share 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</si>
  <si>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</si>
  <si>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</si>
  <si>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</si>
  <si>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</si>
  <si>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</si>
  <si>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</si>
  <si>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</si>
  <si>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</si>
  <si>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</si>
  <si>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</si>
  <si>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2008</t>
  </si>
  <si>
    <t>Addu Atoll (S)</t>
  </si>
  <si>
    <t>North Thiladhunmathi Atoll (HA)</t>
  </si>
  <si>
    <t>South Miladhunmadulu Atoll (N)</t>
  </si>
  <si>
    <t>udwdwA egcnirevurutwf</t>
  </si>
  <si>
    <t>Sh</t>
  </si>
  <si>
    <t>N</t>
  </si>
  <si>
    <t>R</t>
  </si>
  <si>
    <t>Lh</t>
  </si>
  <si>
    <t>K</t>
  </si>
  <si>
    <t>L</t>
  </si>
  <si>
    <t>M</t>
  </si>
  <si>
    <t>S</t>
  </si>
  <si>
    <t>B</t>
  </si>
  <si>
    <t>2009</t>
  </si>
  <si>
    <t>North Huvadhu Atoll (GA)</t>
  </si>
  <si>
    <t>V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</si>
  <si>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</si>
  <si>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</si>
  <si>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</si>
  <si>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</si>
  <si>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</si>
  <si>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</si>
  <si>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</si>
  <si>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</si>
  <si>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</si>
  <si>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</si>
  <si>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</si>
  <si>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</si>
  <si>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</si>
  <si>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</si>
  <si>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</si>
  <si>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</si>
  <si>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</si>
  <si>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</si>
  <si>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</si>
  <si>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</si>
  <si>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</si>
  <si>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</si>
  <si>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</si>
  <si>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</si>
  <si>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</si>
  <si>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</si>
  <si>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</si>
  <si>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</si>
  <si>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</si>
  <si>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</si>
  <si>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</si>
  <si>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</si>
  <si>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</si>
  <si>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</si>
  <si>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</si>
  <si>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</si>
  <si>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</si>
  <si>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</si>
  <si>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</si>
  <si>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</si>
  <si>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</si>
  <si>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</si>
  <si>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</si>
  <si>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</si>
  <si>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</si>
  <si>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</si>
  <si>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</si>
  <si>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</si>
  <si>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</si>
  <si>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</si>
  <si>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</si>
  <si>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</si>
  <si>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</si>
  <si>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</si>
  <si>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ޖުމްލަ</t>
  </si>
  <si>
    <t>2010</t>
  </si>
  <si>
    <t>No. of Tourists</t>
  </si>
  <si>
    <t>% change over previous year</t>
  </si>
  <si>
    <t>މާޅޮސްމަޑުލު އުތުރުބުރި (ރ)</t>
  </si>
  <si>
    <t>މާޅޮސްމަޑުލު ދެކުނުބުރި (ބ)</t>
  </si>
  <si>
    <t>ފާދިއްޕޮޅު (ޅ)</t>
  </si>
  <si>
    <t>މާލެ އަތޮޅު (ކ)</t>
  </si>
  <si>
    <t>އަރިއަތޮޅު ދެކުނުބުރި (އދ)</t>
  </si>
  <si>
    <t>ފެލިދެ އަތޮޅު (ވ)</t>
  </si>
  <si>
    <t>އަތޮޅުތައް</t>
  </si>
  <si>
    <t>މުލަކަތޮޅު (މ)</t>
  </si>
  <si>
    <t>ނިލަންދެ އަތޮޅު އުތުރުބުރި (ފ)</t>
  </si>
  <si>
    <t>ނިލަންދެ އަތޮޅު ދެކުނުބުރި (ދ)</t>
  </si>
  <si>
    <t>ތިލަދުންމަތި އުތުރުބުރި (ހއ)</t>
  </si>
  <si>
    <t>އައްޑު އަތޮޅު (ސ)</t>
  </si>
  <si>
    <t>މިލަދުންމަޑޫލު ދެކުނުބުރި (ނ)</t>
  </si>
  <si>
    <t>ހުވަދު އަތޮޅު އުތުރުބުރި (ގއ)</t>
  </si>
  <si>
    <t>އަރިއަތޮޅު އުތުރުބުރި (އއ)</t>
  </si>
  <si>
    <t>2011</t>
  </si>
  <si>
    <t>South Huvadhu Atoll (GDh)</t>
  </si>
  <si>
    <t>Laamu Atoll (L)</t>
  </si>
  <si>
    <t>އިތުރުވި މިންވަރު</t>
  </si>
  <si>
    <t>ހައްދުންމަތި (ލ)</t>
  </si>
  <si>
    <t>ހުވަދު އަތޮޅު ދެކުނުބުރި (ގދ)</t>
  </si>
  <si>
    <t>2012</t>
  </si>
  <si>
    <t>2012 - 2008 ,udwdwA egcnirevurutwf iawaejcaWr cnutogegukwtumuawq : 10.1 ulwvWt</t>
  </si>
  <si>
    <t>Table 10.1 :   FLOW OF TOURISTS BY NATIONALITY, 2008 -  2012</t>
  </si>
  <si>
    <t>North Miladhunmadulu Atoll (Sh)</t>
  </si>
  <si>
    <t>މިލަދުންމަޑޫލު އުތުރުބުރި (ށ)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</si>
  <si>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</si>
  <si>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</si>
  <si>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</si>
  <si>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</si>
  <si>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</si>
  <si>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All Resorts ( include marinas)</t>
  </si>
  <si>
    <t>HA</t>
  </si>
  <si>
    <t>AA</t>
  </si>
  <si>
    <t>F</t>
  </si>
  <si>
    <t>D</t>
  </si>
  <si>
    <t>GA</t>
  </si>
  <si>
    <t>GDh</t>
  </si>
  <si>
    <t>ADh</t>
  </si>
  <si>
    <t>Source: Ministry of Tourism</t>
  </si>
  <si>
    <t>cmwzirUT cfoa  IrcTcsinim :ctWrwf ivcaed utWmUluAwm</t>
  </si>
  <si>
    <t>Thaa Atoll (Th)</t>
  </si>
  <si>
    <t>ކޮޅުމަޑުލު (ތ)</t>
  </si>
  <si>
    <t>Th</t>
  </si>
  <si>
    <t>in 2015</t>
  </si>
  <si>
    <t>Table 10.8 :   BED CAPACITY OF TOURIST RESORTS BY ATOLL, 2009 - 2015</t>
  </si>
  <si>
    <t>ތާވަލު 10.8: ރިސޯޓުތަކުގެ އެނދުގެ ޖާގަ އަތޮޅުތަކަށް ބެހިފައިވާ ގޮތް، 2009 - 2015</t>
  </si>
  <si>
    <t>2014*</t>
  </si>
  <si>
    <t>Bed Capacity</t>
  </si>
  <si>
    <t>2010*</t>
  </si>
  <si>
    <t>2013*</t>
  </si>
  <si>
    <t xml:space="preserve">Note: * 2010 , 2013,  2014 figures are revised </t>
  </si>
  <si>
    <t xml:space="preserve">ނޯޓް: 2010، 2013 އަދި 2014 ގެ މައުލޫމާތު އިސްލާޙްކުރެވިފައި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</si>
</sst>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Randhoo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4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29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20" fillId="2" borderId="0" xfId="0" applyFont="1" applyFill="1"/>
    <xf numFmtId="0" fontId="21" fillId="2" borderId="0" xfId="0" applyFont="1" applyFill="1" applyBorder="1" applyAlignment="1">
      <alignment horizontal="right" vertical="center"/>
    </xf>
    <xf numFmtId="0" fontId="22" fillId="2" borderId="18" xfId="4" applyFont="1" applyFill="1" applyBorder="1" applyAlignment="1">
      <alignment horizontal="center" vertical="center"/>
    </xf>
    <xf numFmtId="0" fontId="19" fillId="2" borderId="18" xfId="4" applyFont="1" applyFill="1" applyBorder="1" applyAlignment="1">
      <alignment horizontal="right"/>
    </xf>
    <xf numFmtId="1" fontId="22" fillId="2" borderId="19" xfId="4" applyNumberFormat="1" applyFont="1" applyFill="1" applyBorder="1" applyAlignment="1">
      <alignment horizontal="right" vertical="center"/>
    </xf>
    <xf numFmtId="0" fontId="23" fillId="2" borderId="20" xfId="4" applyFont="1" applyFill="1" applyBorder="1" applyAlignment="1" applyProtection="1">
      <alignment horizontal="right" vertical="center"/>
    </xf>
    <xf numFmtId="0" fontId="22" fillId="2" borderId="17" xfId="4" applyFont="1" applyFill="1" applyBorder="1" applyAlignment="1" applyProtection="1">
      <alignment horizontal="left" vertical="center"/>
    </xf>
    <xf numFmtId="3" fontId="22" fillId="2" borderId="17" xfId="4" applyNumberFormat="1" applyFont="1" applyFill="1" applyBorder="1" applyAlignment="1">
      <alignment horizontal="right" vertical="center"/>
    </xf>
    <xf numFmtId="0" fontId="23" fillId="2" borderId="17" xfId="4" applyFont="1" applyFill="1" applyBorder="1" applyAlignment="1" applyProtection="1">
      <alignment horizontal="right" vertical="center"/>
    </xf>
    <xf numFmtId="3" fontId="19" fillId="2" borderId="15" xfId="4" applyNumberFormat="1" applyFont="1" applyFill="1" applyBorder="1" applyAlignment="1">
      <alignment horizontal="right" vertical="center"/>
    </xf>
    <xf numFmtId="0" fontId="24" fillId="2" borderId="15" xfId="4" applyFont="1" applyFill="1" applyBorder="1" applyAlignment="1">
      <alignment horizontal="right" vertical="center"/>
    </xf>
    <xf numFmtId="0" fontId="24" fillId="2" borderId="15" xfId="4" applyFont="1" applyFill="1" applyBorder="1" applyAlignment="1" applyProtection="1">
      <alignment horizontal="right" vertical="center"/>
    </xf>
    <xf numFmtId="0" fontId="19" fillId="2" borderId="15" xfId="4" applyFont="1" applyFill="1" applyBorder="1" applyAlignment="1" applyProtection="1">
      <alignment horizontal="left" vertical="center"/>
    </xf>
    <xf numFmtId="3" fontId="19" fillId="2" borderId="15" xfId="4" applyNumberFormat="1" applyFont="1" applyFill="1" applyBorder="1" applyAlignment="1" applyProtection="1">
      <alignment horizontal="right" vertical="center"/>
      <protection locked="0"/>
    </xf>
    <xf numFmtId="3" fontId="19" fillId="2" borderId="16" xfId="4" applyNumberFormat="1" applyFont="1" applyFill="1" applyBorder="1" applyAlignment="1">
      <alignment horizontal="right" vertical="center"/>
    </xf>
    <xf numFmtId="0" fontId="24" fillId="2" borderId="16" xfId="4" applyFont="1" applyFill="1" applyBorder="1" applyAlignment="1" applyProtection="1">
      <alignment horizontal="right" vertical="center"/>
    </xf>
    <xf numFmtId="3" fontId="19" fillId="2" borderId="0" xfId="4" applyNumberFormat="1" applyFont="1" applyFill="1" applyBorder="1" applyAlignment="1">
      <alignment horizontal="right" vertical="center"/>
    </xf>
    <xf numFmtId="0" fontId="24" fillId="2" borderId="0" xfId="4" applyFont="1" applyFill="1" applyBorder="1" applyAlignment="1" applyProtection="1">
      <alignment horizontal="right" vertical="center"/>
    </xf>
    <xf numFmtId="3" fontId="19" fillId="2" borderId="17" xfId="4" applyNumberFormat="1" applyFont="1" applyFill="1" applyBorder="1" applyAlignment="1">
      <alignment horizontal="right" vertical="center"/>
    </xf>
    <xf numFmtId="0" fontId="24" fillId="2" borderId="17" xfId="4" applyFont="1" applyFill="1" applyBorder="1" applyAlignment="1" applyProtection="1">
      <alignment horizontal="right" vertical="center"/>
    </xf>
    <xf numFmtId="3" fontId="19" fillId="2" borderId="20" xfId="4" applyNumberFormat="1" applyFont="1" applyFill="1" applyBorder="1" applyAlignment="1">
      <alignment horizontal="right" vertical="center"/>
    </xf>
    <xf numFmtId="0" fontId="24" fillId="2" borderId="20" xfId="4" applyFont="1" applyFill="1" applyBorder="1" applyAlignment="1">
      <alignment horizontal="right" vertical="center"/>
    </xf>
    <xf numFmtId="0" fontId="25" fillId="2" borderId="15" xfId="4" applyFont="1" applyFill="1" applyBorder="1"/>
    <xf numFmtId="0" fontId="26" fillId="2" borderId="15" xfId="4" applyFont="1" applyFill="1" applyBorder="1" applyAlignment="1" applyProtection="1">
      <alignment horizontal="left" vertical="center"/>
    </xf>
    <xf numFmtId="3" fontId="25" fillId="2" borderId="15" xfId="4" applyNumberFormat="1" applyFont="1" applyFill="1" applyBorder="1"/>
    <xf numFmtId="3" fontId="19" fillId="2" borderId="0" xfId="4" applyNumberFormat="1" applyFont="1" applyFill="1" applyBorder="1" applyAlignment="1" applyProtection="1">
      <alignment horizontal="right" vertical="center"/>
      <protection locked="0"/>
    </xf>
    <xf numFmtId="0" fontId="4" fillId="2" borderId="0" xfId="0" applyFont="1" applyFill="1" applyBorder="1" applyAlignment="1" applyProtection="1">
      <alignment horizontal="center" vertical="center"/>
    </xf>
    <xf numFmtId="0" fontId="27" fillId="2" borderId="15" xfId="4" applyFont="1" applyFill="1" applyBorder="1" applyAlignment="1" applyProtection="1">
      <alignment horizontal="left" vertical="center"/>
    </xf>
    <xf numFmtId="0" fontId="28" fillId="2" borderId="15" xfId="4" applyFont="1" applyFill="1" applyBorder="1"/>
    <xf numFmtId="0" fontId="19" fillId="2" borderId="15" xfId="4" applyFont="1" applyFill="1" applyBorder="1" applyAlignment="1">
      <alignment horizontal="left" vertical="center"/>
    </xf>
    <xf numFmtId="0" fontId="19" fillId="2" borderId="16" xfId="4" applyFont="1" applyFill="1" applyBorder="1" applyAlignment="1">
      <alignment horizontal="left" vertical="center"/>
    </xf>
    <xf numFmtId="0" fontId="19" fillId="2" borderId="0" xfId="4" applyFont="1" applyFill="1" applyBorder="1" applyAlignment="1">
      <alignment horizontal="left" vertical="center"/>
    </xf>
    <xf numFmtId="0" fontId="19" fillId="2" borderId="17" xfId="4" applyFont="1" applyFill="1" applyBorder="1" applyAlignment="1">
      <alignment horizontal="left" vertical="center"/>
    </xf>
    <xf numFmtId="0" fontId="19" fillId="2" borderId="20" xfId="4" applyFont="1" applyFill="1" applyBorder="1" applyAlignment="1">
      <alignment horizontal="left" vertical="center"/>
    </xf>
    <xf numFmtId="49" fontId="16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8" xfId="2" applyNumberFormat="1" applyFont="1" applyFill="1" applyBorder="1" applyAlignment="1" applyProtection="1">
      <alignment horizontal="left" vertical="center"/>
    </xf>
    <xf numFmtId="170" fontId="17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7" xfId="2" applyNumberFormat="1" applyFont="1" applyFill="1" applyBorder="1" applyAlignment="1">
      <alignment vertical="center"/>
    </xf>
    <xf numFmtId="0" fontId="16" fillId="2" borderId="4" xfId="0" applyFont="1" applyFill="1" applyBorder="1" applyAlignment="1" applyProtection="1">
      <alignment horizontal="right" vertical="center"/>
    </xf>
    <xf numFmtId="0" fontId="16" fillId="3" borderId="6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7" xfId="0" applyNumberFormat="1" applyFont="1" applyFill="1" applyBorder="1" applyAlignment="1">
      <alignment vertical="center"/>
    </xf>
    <xf numFmtId="169" fontId="17" fillId="2" borderId="8" xfId="2" applyNumberFormat="1" applyFont="1" applyFill="1" applyBorder="1" applyAlignment="1" applyProtection="1">
      <alignment horizontal="left" vertical="center"/>
    </xf>
    <xf numFmtId="170" fontId="17" fillId="2" borderId="9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7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7" xfId="0" applyNumberFormat="1" applyFont="1" applyFill="1" applyBorder="1" applyAlignment="1">
      <alignment vertical="center"/>
    </xf>
    <xf numFmtId="169" fontId="17" fillId="2" borderId="10" xfId="2" applyNumberFormat="1" applyFont="1" applyFill="1" applyBorder="1" applyAlignment="1" applyProtection="1">
      <alignment horizontal="left" vertical="center"/>
    </xf>
    <xf numFmtId="170" fontId="17" fillId="2" borderId="11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6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37" fontId="20" fillId="2" borderId="0" xfId="0" applyNumberFormat="1" applyFont="1" applyFill="1" applyAlignment="1" applyProtection="1">
      <alignment horizontal="right" vertical="center"/>
    </xf>
    <xf numFmtId="0" fontId="26" fillId="2" borderId="17" xfId="4" applyFont="1" applyFill="1" applyBorder="1" applyAlignment="1" applyProtection="1">
      <alignment horizontal="left" vertical="center"/>
    </xf>
    <xf numFmtId="0" fontId="19" fillId="2" borderId="15" xfId="4" applyFont="1" applyFill="1" applyBorder="1" applyAlignment="1">
      <alignment vertical="center"/>
    </xf>
    <xf numFmtId="0" fontId="19" fillId="2" borderId="16" xfId="4" applyFont="1" applyFill="1" applyBorder="1" applyAlignment="1">
      <alignment vertical="center"/>
    </xf>
    <xf numFmtId="0" fontId="19" fillId="2" borderId="0" xfId="4" applyFont="1" applyFill="1" applyBorder="1" applyAlignment="1">
      <alignment vertical="center"/>
    </xf>
    <xf numFmtId="0" fontId="19" fillId="2" borderId="17" xfId="4" applyFont="1" applyFill="1" applyBorder="1" applyAlignment="1">
      <alignment vertical="center"/>
    </xf>
    <xf numFmtId="0" fontId="19" fillId="2" borderId="20" xfId="4" applyFont="1" applyFill="1" applyBorder="1" applyAlignment="1">
      <alignment vertical="center"/>
    </xf>
    <xf numFmtId="0" fontId="25" fillId="2" borderId="24" xfId="4" applyFont="1" applyFill="1" applyBorder="1"/>
    <xf numFmtId="1" fontId="25" fillId="2" borderId="24" xfId="4" applyNumberFormat="1" applyFont="1" applyFill="1" applyBorder="1"/>
    <xf numFmtId="0" fontId="25" fillId="2" borderId="16" xfId="4" applyFont="1" applyFill="1" applyBorder="1"/>
    <xf numFmtId="0" fontId="25" fillId="2" borderId="0" xfId="4" applyFont="1" applyFill="1" applyBorder="1"/>
    <xf numFmtId="0" fontId="19" fillId="2" borderId="0" xfId="4" applyFont="1" applyFill="1" applyBorder="1" applyAlignment="1" applyProtection="1">
      <alignment horizontal="left" vertical="center"/>
    </xf>
    <xf numFmtId="0" fontId="25" fillId="2" borderId="22" xfId="4" applyFont="1" applyFill="1" applyBorder="1"/>
    <xf numFmtId="0" fontId="25" fillId="2" borderId="15" xfId="4" applyFont="1" applyFill="1" applyBorder="1" applyAlignment="1">
      <alignment vertical="center"/>
    </xf>
    <xf numFmtId="0" fontId="25" fillId="2" borderId="22" xfId="4" applyFont="1" applyFill="1" applyBorder="1" applyAlignment="1">
      <alignment vertical="center"/>
    </xf>
    <xf numFmtId="0" fontId="25" fillId="2" borderId="0" xfId="4" applyFont="1" applyFill="1" applyBorder="1" applyAlignment="1">
      <alignment vertical="center"/>
    </xf>
    <xf numFmtId="3" fontId="25" fillId="2" borderId="0" xfId="4" applyNumberFormat="1" applyFont="1" applyFill="1" applyBorder="1" applyAlignment="1">
      <alignment vertical="center"/>
    </xf>
    <xf numFmtId="0" fontId="20" fillId="2" borderId="15" xfId="4" applyFont="1" applyFill="1" applyBorder="1" applyAlignment="1">
      <alignment vertical="center"/>
    </xf>
    <xf numFmtId="0" fontId="20" fillId="2" borderId="22" xfId="4" applyFont="1" applyFill="1" applyBorder="1" applyAlignment="1">
      <alignment vertical="center"/>
    </xf>
    <xf numFmtId="0" fontId="20" fillId="2" borderId="0" xfId="4" applyFont="1" applyFill="1" applyBorder="1" applyAlignment="1">
      <alignment vertical="center"/>
    </xf>
    <xf numFmtId="0" fontId="25" fillId="2" borderId="16" xfId="4" applyFont="1" applyFill="1" applyBorder="1" applyAlignment="1">
      <alignment vertical="center"/>
    </xf>
    <xf numFmtId="0" fontId="25" fillId="2" borderId="25" xfId="4" applyFont="1" applyFill="1" applyBorder="1" applyAlignment="1">
      <alignment vertical="center"/>
    </xf>
    <xf numFmtId="0" fontId="25" fillId="2" borderId="17" xfId="4" applyFont="1" applyFill="1" applyBorder="1" applyAlignment="1">
      <alignment vertical="center"/>
    </xf>
    <xf numFmtId="0" fontId="25" fillId="2" borderId="26" xfId="4" applyFont="1" applyFill="1" applyBorder="1" applyAlignment="1">
      <alignment vertical="center"/>
    </xf>
    <xf numFmtId="0" fontId="31" fillId="2" borderId="0" xfId="0" applyFont="1" applyFill="1"/>
    <xf numFmtId="169" fontId="25" fillId="2" borderId="0" xfId="2" applyNumberFormat="1" applyFont="1" applyFill="1"/>
    <xf numFmtId="0" fontId="25" fillId="0" borderId="0" xfId="0" applyFont="1"/>
    <xf numFmtId="3" fontId="31" fillId="2" borderId="0" xfId="0" applyNumberFormat="1" applyFont="1" applyFill="1" applyBorder="1"/>
    <xf numFmtId="0" fontId="28" fillId="2" borderId="0" xfId="0" applyFont="1" applyFill="1" applyAlignment="1" applyProtection="1">
      <alignment horizontal="left" vertical="center"/>
    </xf>
    <xf numFmtId="3" fontId="20" fillId="2" borderId="0" xfId="4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22" fillId="2" borderId="20" xfId="4" applyFont="1" applyFill="1" applyBorder="1" applyAlignment="1">
      <alignment horizontal="center" vertical="center"/>
    </xf>
    <xf numFmtId="3" fontId="22" fillId="2" borderId="17" xfId="4" applyNumberFormat="1" applyFont="1" applyFill="1" applyBorder="1" applyAlignment="1">
      <alignment horizontal="center" vertical="center"/>
    </xf>
    <xf numFmtId="3" fontId="19" fillId="2" borderId="15" xfId="4" applyNumberFormat="1" applyFont="1" applyFill="1" applyBorder="1" applyAlignment="1">
      <alignment horizontal="center" vertical="center"/>
    </xf>
    <xf numFmtId="3" fontId="19" fillId="2" borderId="20" xfId="4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9" fillId="2" borderId="1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30" fillId="2" borderId="16" xfId="4" applyFont="1" applyFill="1" applyBorder="1" applyAlignment="1" applyProtection="1">
      <alignment horizontal="center" vertical="center" wrapText="1"/>
    </xf>
    <xf numFmtId="0" fontId="22" fillId="2" borderId="21" xfId="4" applyFont="1" applyFill="1" applyBorder="1" applyAlignment="1" applyProtection="1">
      <alignment horizontal="center" vertical="center"/>
    </xf>
    <xf numFmtId="0" fontId="22" fillId="2" borderId="19" xfId="4" applyFont="1" applyFill="1" applyBorder="1" applyAlignment="1" applyProtection="1">
      <alignment horizontal="center" vertical="center"/>
    </xf>
    <xf numFmtId="0" fontId="29" fillId="2" borderId="22" xfId="4" applyFont="1" applyFill="1" applyBorder="1" applyAlignment="1">
      <alignment horizontal="center"/>
    </xf>
    <xf numFmtId="0" fontId="29" fillId="2" borderId="23" xfId="4" applyFont="1" applyFill="1" applyBorder="1" applyAlignment="1">
      <alignment horizontal="center"/>
    </xf>
    <xf numFmtId="0" fontId="29" fillId="2" borderId="24" xfId="4" applyFont="1" applyFill="1" applyBorder="1" applyAlignment="1">
      <alignment horizontal="center"/>
    </xf>
    <xf numFmtId="0" fontId="22" fillId="2" borderId="27" xfId="4" applyFont="1" applyFill="1" applyBorder="1" applyAlignment="1">
      <alignment horizontal="center" vertical="center" wrapText="1"/>
    </xf>
    <xf numFmtId="0" fontId="22" fillId="2" borderId="28" xfId="4" applyFont="1" applyFill="1" applyBorder="1" applyAlignment="1">
      <alignment horizontal="center" vertical="center" wrapText="1"/>
    </xf>
    <xf numFmtId="0" fontId="22" fillId="2" borderId="29" xfId="4" applyFont="1" applyFill="1" applyBorder="1" applyAlignment="1">
      <alignment horizontal="center" vertical="center" wrapText="1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33CCCC"/>
      <color rgb="FFE7FFFF"/>
      <color rgb="FF81FFFF"/>
      <color rgb="FF1C706E"/>
      <color rgb="FF8AE4E2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852224"/>
        <c:axId val="138853760"/>
      </c:barChart>
      <c:catAx>
        <c:axId val="13885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853760"/>
        <c:crosses val="autoZero"/>
        <c:auto val="1"/>
        <c:lblAlgn val="ctr"/>
        <c:lblOffset val="100"/>
        <c:noMultiLvlLbl val="0"/>
      </c:catAx>
      <c:valAx>
        <c:axId val="138853760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38852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45280"/>
        <c:axId val="138946816"/>
      </c:barChart>
      <c:catAx>
        <c:axId val="13894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946816"/>
        <c:crosses val="autoZero"/>
        <c:auto val="1"/>
        <c:lblAlgn val="ctr"/>
        <c:lblOffset val="100"/>
        <c:noMultiLvlLbl val="0"/>
      </c:catAx>
      <c:valAx>
        <c:axId val="138946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8945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200">
                <a:latin typeface="Candara" pitchFamily="34" charset="0"/>
                <a:cs typeface="Consolas" pitchFamily="49" charset="0"/>
              </a:rPr>
              <a:t>Figure 10.12: Number of resorts by Atoll, 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462472525179492"/>
          <c:y val="0.15104465600336545"/>
          <c:w val="0.8706422847921651"/>
          <c:h val="0.69089778411844871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33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'10.8'!$AB$26:$AB$43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'10.8'!$AD$26:$AD$43</c:f>
              <c:numCache>
                <c:formatCode>General</c:formatCode>
                <c:ptCount val="18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  <c:pt idx="5">
                  <c:v>5</c:v>
                </c:pt>
                <c:pt idx="6">
                  <c:v>43</c:v>
                </c:pt>
                <c:pt idx="7">
                  <c:v>13</c:v>
                </c:pt>
                <c:pt idx="8">
                  <c:v>16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40235136"/>
        <c:axId val="140236672"/>
      </c:barChart>
      <c:catAx>
        <c:axId val="1402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0236672"/>
        <c:crosses val="autoZero"/>
        <c:auto val="1"/>
        <c:lblAlgn val="ctr"/>
        <c:lblOffset val="100"/>
        <c:noMultiLvlLbl val="0"/>
      </c:catAx>
      <c:valAx>
        <c:axId val="14023667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7213056972832878E-3"/>
              <c:y val="0.342565616797900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4023513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rgbClr val="E7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050" b="1" i="0" baseline="0">
                <a:latin typeface="Candara" pitchFamily="34" charset="0"/>
                <a:cs typeface="Consolas" pitchFamily="49" charset="0"/>
              </a:rPr>
              <a:t>Figure 10.13: Number of beds of tourist resorts by Atolls, 2015  </a:t>
            </a:r>
            <a:endParaRPr lang="en-US" sz="1050">
              <a:latin typeface="Candara" pitchFamily="34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24900702165334454"/>
          <c:y val="2.4751239428404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17392297867033"/>
          <c:y val="0.1600313294171562"/>
          <c:w val="0.83663217717620009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1.8885741265344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Humanst521 Lt BT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'10.8'!$AB$26:$AB$43</c:f>
              <c:strCache>
                <c:ptCount val="18"/>
                <c:pt idx="0">
                  <c:v>HA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f>'10.8'!$AC$26:$AC$43</c:f>
              <c:numCache>
                <c:formatCode>_(* #,##0_);_(* \(#,##0\);_(* "-"??_);_(@_)</c:formatCode>
                <c:ptCount val="18"/>
                <c:pt idx="0">
                  <c:v>464</c:v>
                </c:pt>
                <c:pt idx="1">
                  <c:v>159</c:v>
                </c:pt>
                <c:pt idx="2">
                  <c:v>796</c:v>
                </c:pt>
                <c:pt idx="3">
                  <c:v>656</c:v>
                </c:pt>
                <c:pt idx="4">
                  <c:v>1704</c:v>
                </c:pt>
                <c:pt idx="5">
                  <c:v>1636</c:v>
                </c:pt>
                <c:pt idx="6">
                  <c:v>8968</c:v>
                </c:pt>
                <c:pt idx="7">
                  <c:v>2216</c:v>
                </c:pt>
                <c:pt idx="8">
                  <c:v>3862</c:v>
                </c:pt>
                <c:pt idx="9">
                  <c:v>402</c:v>
                </c:pt>
                <c:pt idx="10">
                  <c:v>400</c:v>
                </c:pt>
                <c:pt idx="11">
                  <c:v>250</c:v>
                </c:pt>
                <c:pt idx="12">
                  <c:v>590</c:v>
                </c:pt>
                <c:pt idx="13">
                  <c:v>132</c:v>
                </c:pt>
                <c:pt idx="14">
                  <c:v>194</c:v>
                </c:pt>
                <c:pt idx="15">
                  <c:v>576</c:v>
                </c:pt>
                <c:pt idx="16">
                  <c:v>200</c:v>
                </c:pt>
                <c:pt idx="17">
                  <c:v>826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40262016"/>
        <c:axId val="140276096"/>
      </c:barChart>
      <c:catAx>
        <c:axId val="14026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40276096"/>
        <c:crosses val="autoZero"/>
        <c:auto val="1"/>
        <c:lblAlgn val="ctr"/>
        <c:lblOffset val="100"/>
        <c:noMultiLvlLbl val="0"/>
      </c:catAx>
      <c:valAx>
        <c:axId val="140276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4026201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rgbClr val="E7FFFF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1571625</xdr:colOff>
      <xdr:row>25</xdr:row>
      <xdr:rowOff>76200</xdr:rowOff>
    </xdr:from>
    <xdr:to>
      <xdr:col>9</xdr:col>
      <xdr:colOff>790575</xdr:colOff>
      <xdr:row>41</xdr:row>
      <xdr:rowOff>76200</xdr:rowOff>
    </xdr:to>
    <xdr:graphicFrame macro="">
      <xdr:nvGraphicFramePr>
        <xdr:cNvPr id="23164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1560195</xdr:colOff>
      <xdr:row>42</xdr:row>
      <xdr:rowOff>95249</xdr:rowOff>
    </xdr:from>
    <xdr:to>
      <xdr:col>9</xdr:col>
      <xdr:colOff>771525</xdr:colOff>
      <xdr:row>61</xdr:row>
      <xdr:rowOff>19049</xdr:rowOff>
    </xdr:to>
    <xdr:graphicFrame macro="">
      <xdr:nvGraphicFramePr>
        <xdr:cNvPr id="23164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46</xdr:row>
      <xdr:rowOff>114300</xdr:rowOff>
    </xdr:from>
    <xdr:to>
      <xdr:col>8</xdr:col>
      <xdr:colOff>1038225</xdr:colOff>
      <xdr:row>49</xdr:row>
      <xdr:rowOff>38100</xdr:rowOff>
    </xdr:to>
    <xdr:sp macro="" textlink="">
      <xdr:nvSpPr>
        <xdr:cNvPr id="4" name="TextBox 3"/>
        <xdr:cNvSpPr txBox="1"/>
      </xdr:nvSpPr>
      <xdr:spPr>
        <a:xfrm>
          <a:off x="4796790" y="9467850"/>
          <a:ext cx="2185035" cy="40957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900" b="0" i="1" u="none" strike="noStrike">
              <a:ln>
                <a:solidFill>
                  <a:srgbClr val="1C706E"/>
                </a:solidFill>
              </a:ln>
              <a:solidFill>
                <a:srgbClr val="33CCCC"/>
              </a:solidFill>
              <a:latin typeface="Segoe Print" pitchFamily="2" charset="0"/>
              <a:ea typeface="+mn-ea"/>
              <a:cs typeface="+mn-cs"/>
            </a:rPr>
            <a:t>High concentration of tourist beds near the capital Male</a:t>
          </a:r>
          <a:r>
            <a:rPr lang="en-US" sz="900" b="0" i="1" u="none" strike="noStrike">
              <a:ln>
                <a:solidFill>
                  <a:srgbClr val="1C706E"/>
                </a:solidFill>
              </a:ln>
              <a:solidFill>
                <a:srgbClr val="33CCCC"/>
              </a:solidFill>
              <a:latin typeface="Humanst521 Lt BT" pitchFamily="34" charset="0"/>
              <a:ea typeface="+mn-ea"/>
              <a:cs typeface="+mn-cs"/>
            </a:rPr>
            <a:t>'</a:t>
          </a:r>
          <a:r>
            <a:rPr lang="en-US" sz="900" i="1">
              <a:ln>
                <a:solidFill>
                  <a:srgbClr val="1C706E"/>
                </a:solidFill>
              </a:ln>
              <a:solidFill>
                <a:srgbClr val="33CCCC"/>
              </a:solidFill>
              <a:latin typeface="Humanst521 Lt BT" pitchFamily="34" charset="0"/>
            </a:rPr>
            <a:t> </a:t>
          </a:r>
        </a:p>
      </xdr:txBody>
    </xdr:sp>
    <xdr:clientData/>
  </xdr:twoCellAnchor>
  <xdr:twoCellAnchor>
    <xdr:from>
      <xdr:col>3</xdr:col>
      <xdr:colOff>373380</xdr:colOff>
      <xdr:row>43</xdr:row>
      <xdr:rowOff>99060</xdr:rowOff>
    </xdr:from>
    <xdr:to>
      <xdr:col>5</xdr:col>
      <xdr:colOff>144780</xdr:colOff>
      <xdr:row>44</xdr:row>
      <xdr:rowOff>15240</xdr:rowOff>
    </xdr:to>
    <xdr:sp macro="" textlink="">
      <xdr:nvSpPr>
        <xdr:cNvPr id="5" name="Left Arrow 4"/>
        <xdr:cNvSpPr/>
      </xdr:nvSpPr>
      <xdr:spPr bwMode="auto">
        <a:xfrm>
          <a:off x="3489960" y="9174480"/>
          <a:ext cx="960120" cy="83820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260985</xdr:colOff>
      <xdr:row>47</xdr:row>
      <xdr:rowOff>68580</xdr:rowOff>
    </xdr:from>
    <xdr:to>
      <xdr:col>5</xdr:col>
      <xdr:colOff>499110</xdr:colOff>
      <xdr:row>48</xdr:row>
      <xdr:rowOff>38100</xdr:rowOff>
    </xdr:to>
    <xdr:sp macro="" textlink="">
      <xdr:nvSpPr>
        <xdr:cNvPr id="7" name="Left Arrow 6"/>
        <xdr:cNvSpPr/>
      </xdr:nvSpPr>
      <xdr:spPr bwMode="auto">
        <a:xfrm>
          <a:off x="4461510" y="9584055"/>
          <a:ext cx="238125" cy="131445"/>
        </a:xfrm>
        <a:prstGeom prst="leftArrow">
          <a:avLst/>
        </a:prstGeom>
        <a:solidFill>
          <a:srgbClr val="8AE4E2"/>
        </a:solidFill>
        <a:ln w="9525" cap="flat" cmpd="sng" algn="ctr">
          <a:solidFill>
            <a:schemeClr val="accent4">
              <a:lumMod val="40000"/>
              <a:lumOff val="6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19050</xdr:colOff>
      <xdr:row>44</xdr:row>
      <xdr:rowOff>47625</xdr:rowOff>
    </xdr:from>
    <xdr:to>
      <xdr:col>8</xdr:col>
      <xdr:colOff>790575</xdr:colOff>
      <xdr:row>44</xdr:row>
      <xdr:rowOff>47625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3057525" y="9077325"/>
          <a:ext cx="36766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3</xdr:col>
      <xdr:colOff>161925</xdr:colOff>
      <xdr:row>26</xdr:row>
      <xdr:rowOff>57150</xdr:rowOff>
    </xdr:from>
    <xdr:to>
      <xdr:col>8</xdr:col>
      <xdr:colOff>323849</xdr:colOff>
      <xdr:row>26</xdr:row>
      <xdr:rowOff>57150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3200400" y="6172200"/>
          <a:ext cx="3067049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10%20%20TOURISM_min%20of%20tourism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05" t="s">
        <v>109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M1" s="2" t="s">
        <v>12</v>
      </c>
      <c r="N1" s="2" t="s">
        <v>26</v>
      </c>
      <c r="O1" s="2" t="s">
        <v>84</v>
      </c>
      <c r="P1" s="2" t="s">
        <v>102</v>
      </c>
      <c r="Q1" s="41" t="s">
        <v>108</v>
      </c>
      <c r="S1" s="42">
        <f>Q2/M2</f>
        <v>5.5298836452988356</v>
      </c>
      <c r="T1" s="43" t="s">
        <v>113</v>
      </c>
      <c r="U1" s="43"/>
    </row>
    <row r="2" spans="1:21" ht="9.75" customHeight="1">
      <c r="A2" s="106" t="s">
        <v>110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44" t="s">
        <v>56</v>
      </c>
      <c r="M2" s="45">
        <f>M4/1000</f>
        <v>41.511000000000003</v>
      </c>
      <c r="N2" s="45">
        <f>N4/1000</f>
        <v>60.665999999999997</v>
      </c>
      <c r="O2" s="45">
        <f>O4/1000</f>
        <v>118.961</v>
      </c>
      <c r="P2" s="45">
        <f>P4/1000</f>
        <v>198.655</v>
      </c>
      <c r="Q2" s="45">
        <f>Q4/1000</f>
        <v>229.55099999999999</v>
      </c>
      <c r="R2" s="46" t="s">
        <v>114</v>
      </c>
    </row>
    <row r="3" spans="1:21" ht="3.7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21" ht="21" customHeight="1">
      <c r="A4" s="107" t="s">
        <v>115</v>
      </c>
      <c r="B4" s="110" t="s">
        <v>16</v>
      </c>
      <c r="C4" s="111"/>
      <c r="D4" s="111"/>
      <c r="E4" s="111"/>
      <c r="F4" s="112"/>
      <c r="G4" s="113" t="s">
        <v>105</v>
      </c>
      <c r="H4" s="114"/>
      <c r="I4" s="114"/>
      <c r="J4" s="114"/>
      <c r="K4" s="115"/>
      <c r="L4" s="44" t="s">
        <v>56</v>
      </c>
      <c r="M4" s="45">
        <v>41511</v>
      </c>
      <c r="N4" s="45">
        <v>60666</v>
      </c>
      <c r="O4" s="47">
        <v>118961</v>
      </c>
      <c r="P4" s="47">
        <v>198655</v>
      </c>
      <c r="Q4" s="48">
        <v>229551</v>
      </c>
    </row>
    <row r="5" spans="1:21" ht="13.5" customHeight="1">
      <c r="A5" s="108"/>
      <c r="B5" s="104" t="s">
        <v>85</v>
      </c>
      <c r="C5" s="104"/>
      <c r="D5" s="104"/>
      <c r="E5" s="104"/>
      <c r="F5" s="116"/>
      <c r="G5" s="117" t="s">
        <v>86</v>
      </c>
      <c r="H5" s="118"/>
      <c r="I5" s="118"/>
      <c r="J5" s="118"/>
      <c r="K5" s="119"/>
    </row>
    <row r="6" spans="1:21" ht="15" customHeight="1">
      <c r="A6" s="109"/>
      <c r="B6" s="2" t="s">
        <v>12</v>
      </c>
      <c r="C6" s="2" t="s">
        <v>26</v>
      </c>
      <c r="D6" s="2" t="s">
        <v>84</v>
      </c>
      <c r="E6" s="2" t="s">
        <v>102</v>
      </c>
      <c r="F6" s="41" t="s">
        <v>108</v>
      </c>
      <c r="G6" s="49">
        <v>2008</v>
      </c>
      <c r="H6" s="3">
        <v>2009</v>
      </c>
      <c r="I6" s="3">
        <v>2010</v>
      </c>
      <c r="J6" s="3">
        <v>2011</v>
      </c>
      <c r="K6" s="50">
        <v>2012</v>
      </c>
    </row>
    <row r="7" spans="1:21" ht="12.75" customHeight="1">
      <c r="A7" s="44" t="s">
        <v>56</v>
      </c>
      <c r="B7" s="45">
        <v>41511</v>
      </c>
      <c r="C7" s="45">
        <v>60666</v>
      </c>
      <c r="D7" s="47">
        <v>118961</v>
      </c>
      <c r="E7" s="47">
        <v>198655</v>
      </c>
      <c r="F7" s="48">
        <v>229551</v>
      </c>
      <c r="G7" s="51">
        <v>15.385256837891928</v>
      </c>
      <c r="H7" s="51">
        <f t="shared" ref="H7:K38" si="0">(C7-B7)/B7*100</f>
        <v>46.144395461443956</v>
      </c>
      <c r="I7" s="52">
        <f t="shared" si="0"/>
        <v>96.091715293574651</v>
      </c>
      <c r="J7" s="52">
        <f t="shared" si="0"/>
        <v>66.991703163221558</v>
      </c>
      <c r="K7" s="53">
        <f t="shared" si="0"/>
        <v>15.552591175656289</v>
      </c>
    </row>
    <row r="8" spans="1:21" ht="12.75" customHeight="1">
      <c r="A8" s="44" t="s">
        <v>35</v>
      </c>
      <c r="B8" s="45">
        <v>69240</v>
      </c>
      <c r="C8" s="45">
        <v>69085</v>
      </c>
      <c r="D8" s="47">
        <v>77108</v>
      </c>
      <c r="E8" s="47">
        <v>90517</v>
      </c>
      <c r="F8" s="48">
        <v>98351</v>
      </c>
      <c r="G8" s="51">
        <v>-4.1912853367280576</v>
      </c>
      <c r="H8" s="51">
        <f t="shared" si="0"/>
        <v>-0.2238590410167533</v>
      </c>
      <c r="I8" s="52">
        <f t="shared" si="0"/>
        <v>11.613230078888325</v>
      </c>
      <c r="J8" s="52">
        <f t="shared" si="0"/>
        <v>17.389894693157647</v>
      </c>
      <c r="K8" s="53">
        <f t="shared" si="0"/>
        <v>8.654727841179005</v>
      </c>
    </row>
    <row r="9" spans="1:21" ht="12.75" customHeight="1">
      <c r="A9" s="44" t="s">
        <v>53</v>
      </c>
      <c r="B9" s="45">
        <v>116821</v>
      </c>
      <c r="C9" s="45">
        <v>105950</v>
      </c>
      <c r="D9" s="47">
        <v>114158</v>
      </c>
      <c r="E9" s="47">
        <v>104508</v>
      </c>
      <c r="F9" s="48">
        <v>91776</v>
      </c>
      <c r="G9" s="51">
        <v>-6.6611802681410701</v>
      </c>
      <c r="H9" s="51">
        <f t="shared" si="0"/>
        <v>-9.3056899016443957</v>
      </c>
      <c r="I9" s="52">
        <f t="shared" si="0"/>
        <v>7.7470504955167536</v>
      </c>
      <c r="J9" s="52">
        <f t="shared" si="0"/>
        <v>-8.4531964470295549</v>
      </c>
      <c r="K9" s="53">
        <f t="shared" si="0"/>
        <v>-12.182799402916524</v>
      </c>
    </row>
    <row r="10" spans="1:21" ht="12.75" customHeight="1">
      <c r="A10" s="44" t="s">
        <v>45</v>
      </c>
      <c r="B10" s="45">
        <v>48978</v>
      </c>
      <c r="C10" s="45">
        <v>40014</v>
      </c>
      <c r="D10" s="47">
        <v>49111</v>
      </c>
      <c r="E10" s="47">
        <v>63936</v>
      </c>
      <c r="F10" s="48">
        <v>66378</v>
      </c>
      <c r="G10" s="51">
        <v>53.801224682053693</v>
      </c>
      <c r="H10" s="51">
        <f t="shared" si="0"/>
        <v>-18.302094818081589</v>
      </c>
      <c r="I10" s="52">
        <f t="shared" si="0"/>
        <v>22.734542909981506</v>
      </c>
      <c r="J10" s="52">
        <f t="shared" si="0"/>
        <v>30.186719879456742</v>
      </c>
      <c r="K10" s="53">
        <f t="shared" si="0"/>
        <v>3.8194444444444446</v>
      </c>
    </row>
    <row r="11" spans="1:21" ht="12.75" customHeight="1">
      <c r="A11" s="44" t="s">
        <v>40</v>
      </c>
      <c r="B11" s="45">
        <v>103824</v>
      </c>
      <c r="C11" s="45">
        <v>89292</v>
      </c>
      <c r="D11" s="47">
        <v>89596</v>
      </c>
      <c r="E11" s="47">
        <v>83088</v>
      </c>
      <c r="F11" s="48">
        <v>62782</v>
      </c>
      <c r="G11" s="51">
        <v>-11.44772529553247</v>
      </c>
      <c r="H11" s="51">
        <f t="shared" si="0"/>
        <v>-13.996763754045308</v>
      </c>
      <c r="I11" s="52">
        <f t="shared" si="0"/>
        <v>0.34045603189535456</v>
      </c>
      <c r="J11" s="52">
        <f t="shared" si="0"/>
        <v>-7.2637171302290273</v>
      </c>
      <c r="K11" s="53">
        <f t="shared" si="0"/>
        <v>-24.439148854226843</v>
      </c>
    </row>
    <row r="12" spans="1:21" ht="12.75" customHeight="1">
      <c r="A12" s="44" t="s">
        <v>34</v>
      </c>
      <c r="B12" s="45">
        <v>48100</v>
      </c>
      <c r="C12" s="45">
        <v>50373</v>
      </c>
      <c r="D12" s="47">
        <v>54789</v>
      </c>
      <c r="E12" s="47">
        <v>59694</v>
      </c>
      <c r="F12" s="48">
        <v>56775</v>
      </c>
      <c r="G12" s="51">
        <v>6.1786715525043601</v>
      </c>
      <c r="H12" s="51">
        <f t="shared" si="0"/>
        <v>4.7255717255717258</v>
      </c>
      <c r="I12" s="52">
        <f t="shared" si="0"/>
        <v>8.766601155380858</v>
      </c>
      <c r="J12" s="52">
        <f t="shared" si="0"/>
        <v>8.9525269670919343</v>
      </c>
      <c r="K12" s="53">
        <f t="shared" si="0"/>
        <v>-4.889938687305257</v>
      </c>
    </row>
    <row r="13" spans="1:21" ht="12.75" customHeight="1">
      <c r="A13" s="44" t="s">
        <v>59</v>
      </c>
      <c r="B13" s="45">
        <v>38193</v>
      </c>
      <c r="C13" s="45">
        <v>36641</v>
      </c>
      <c r="D13" s="47">
        <v>38791</v>
      </c>
      <c r="E13" s="47">
        <v>35782</v>
      </c>
      <c r="F13" s="48">
        <v>36438</v>
      </c>
      <c r="G13" s="51">
        <v>-7.120449405413293</v>
      </c>
      <c r="H13" s="51">
        <f t="shared" si="0"/>
        <v>-4.063571858717566</v>
      </c>
      <c r="I13" s="52">
        <f t="shared" si="0"/>
        <v>5.8677437842853637</v>
      </c>
      <c r="J13" s="52">
        <f t="shared" si="0"/>
        <v>-7.7569539326132348</v>
      </c>
      <c r="K13" s="53">
        <f t="shared" si="0"/>
        <v>1.8333240176625119</v>
      </c>
    </row>
    <row r="14" spans="1:21" ht="12.75" customHeight="1">
      <c r="A14" s="44" t="s">
        <v>50</v>
      </c>
      <c r="B14" s="45">
        <v>26983</v>
      </c>
      <c r="C14" s="45">
        <v>26783</v>
      </c>
      <c r="D14" s="47">
        <v>27766</v>
      </c>
      <c r="E14" s="47">
        <v>32504</v>
      </c>
      <c r="F14" s="48">
        <v>35457</v>
      </c>
      <c r="G14" s="51">
        <v>3.0554176373983117</v>
      </c>
      <c r="H14" s="51">
        <f t="shared" si="0"/>
        <v>-0.74120742689841757</v>
      </c>
      <c r="I14" s="52">
        <f t="shared" si="0"/>
        <v>3.6702385841765301</v>
      </c>
      <c r="J14" s="52">
        <f t="shared" si="0"/>
        <v>17.064035150903983</v>
      </c>
      <c r="K14" s="53">
        <f t="shared" si="0"/>
        <v>9.0850356879153349</v>
      </c>
    </row>
    <row r="15" spans="1:21" ht="12.75" customHeight="1">
      <c r="A15" s="44" t="s">
        <v>57</v>
      </c>
      <c r="B15" s="45">
        <v>16663</v>
      </c>
      <c r="C15" s="45">
        <v>15850</v>
      </c>
      <c r="D15" s="47">
        <v>25756</v>
      </c>
      <c r="E15" s="47">
        <v>30978</v>
      </c>
      <c r="F15" s="48">
        <v>31721</v>
      </c>
      <c r="G15" s="51">
        <v>-3.832169446528539</v>
      </c>
      <c r="H15" s="51">
        <f t="shared" si="0"/>
        <v>-4.8790733961471524</v>
      </c>
      <c r="I15" s="52">
        <f t="shared" si="0"/>
        <v>62.498422712933753</v>
      </c>
      <c r="J15" s="52">
        <f t="shared" si="0"/>
        <v>20.274887404876534</v>
      </c>
      <c r="K15" s="53">
        <f t="shared" si="0"/>
        <v>2.3984763380463554</v>
      </c>
    </row>
    <row r="16" spans="1:21" ht="12.75" customHeight="1">
      <c r="A16" s="44" t="s">
        <v>60</v>
      </c>
      <c r="B16" s="45">
        <v>20934</v>
      </c>
      <c r="C16" s="45">
        <v>16135</v>
      </c>
      <c r="D16" s="47">
        <v>24808</v>
      </c>
      <c r="E16" s="47">
        <v>25285</v>
      </c>
      <c r="F16" s="48">
        <v>23933</v>
      </c>
      <c r="G16" s="51">
        <v>-0.20022883295194507</v>
      </c>
      <c r="H16" s="51">
        <f t="shared" si="0"/>
        <v>-22.92442915830706</v>
      </c>
      <c r="I16" s="52">
        <f t="shared" si="0"/>
        <v>53.752711496746208</v>
      </c>
      <c r="J16" s="52">
        <f t="shared" si="0"/>
        <v>1.9227668494034182</v>
      </c>
      <c r="K16" s="53">
        <f t="shared" si="0"/>
        <v>-5.3470437017994854</v>
      </c>
    </row>
    <row r="17" spans="1:15" ht="12.75" customHeight="1">
      <c r="A17" s="54" t="s">
        <v>54</v>
      </c>
      <c r="B17" s="55">
        <v>9482</v>
      </c>
      <c r="C17" s="55">
        <v>9476</v>
      </c>
      <c r="D17" s="56">
        <v>10220</v>
      </c>
      <c r="E17" s="56">
        <v>12088</v>
      </c>
      <c r="F17" s="57">
        <v>18612</v>
      </c>
      <c r="G17" s="58">
        <v>16.272225628448805</v>
      </c>
      <c r="H17" s="58">
        <f t="shared" si="0"/>
        <v>-6.3277789495886944E-2</v>
      </c>
      <c r="I17" s="59">
        <f t="shared" si="0"/>
        <v>7.8514140987758552</v>
      </c>
      <c r="J17" s="59">
        <f t="shared" si="0"/>
        <v>18.277886497064578</v>
      </c>
      <c r="K17" s="60">
        <f t="shared" si="0"/>
        <v>53.970880211780283</v>
      </c>
    </row>
    <row r="18" spans="1:15" ht="12.75" customHeight="1">
      <c r="A18" s="54" t="s">
        <v>29</v>
      </c>
      <c r="B18" s="55">
        <v>13462</v>
      </c>
      <c r="C18" s="55">
        <v>13274</v>
      </c>
      <c r="D18" s="56">
        <v>14944</v>
      </c>
      <c r="E18" s="56">
        <v>16655</v>
      </c>
      <c r="F18" s="57">
        <v>18164</v>
      </c>
      <c r="G18" s="58">
        <v>-1.5431873034447401</v>
      </c>
      <c r="H18" s="58">
        <f t="shared" si="0"/>
        <v>-1.3965235477640767</v>
      </c>
      <c r="I18" s="59">
        <f t="shared" si="0"/>
        <v>12.580985384963087</v>
      </c>
      <c r="J18" s="59">
        <f t="shared" si="0"/>
        <v>11.44941113490364</v>
      </c>
      <c r="K18" s="60">
        <f t="shared" si="0"/>
        <v>9.0603422395676976</v>
      </c>
    </row>
    <row r="19" spans="1:15" ht="12.75" customHeight="1">
      <c r="A19" s="54" t="s">
        <v>73</v>
      </c>
      <c r="B19" s="55">
        <v>8853</v>
      </c>
      <c r="C19" s="55">
        <v>9438</v>
      </c>
      <c r="D19" s="56">
        <v>11482</v>
      </c>
      <c r="E19" s="56">
        <v>14490</v>
      </c>
      <c r="F19" s="57">
        <v>16049</v>
      </c>
      <c r="G19" s="58">
        <v>-5.2952503209242625</v>
      </c>
      <c r="H19" s="58">
        <f t="shared" si="0"/>
        <v>6.607929515418502</v>
      </c>
      <c r="I19" s="59">
        <f t="shared" si="0"/>
        <v>21.657130748039837</v>
      </c>
      <c r="J19" s="59">
        <f t="shared" si="0"/>
        <v>26.197526563316497</v>
      </c>
      <c r="K19" s="60">
        <f t="shared" si="0"/>
        <v>10.759144237405106</v>
      </c>
    </row>
    <row r="20" spans="1:15" ht="12.75" customHeight="1">
      <c r="A20" s="54" t="s">
        <v>75</v>
      </c>
      <c r="B20" s="55">
        <v>9368</v>
      </c>
      <c r="C20" s="55">
        <v>7392</v>
      </c>
      <c r="D20" s="56">
        <v>9622</v>
      </c>
      <c r="E20" s="56">
        <v>12778</v>
      </c>
      <c r="F20" s="57">
        <v>15208</v>
      </c>
      <c r="G20" s="58">
        <v>-0.40399744843716773</v>
      </c>
      <c r="H20" s="58">
        <f t="shared" si="0"/>
        <v>-21.093082835183605</v>
      </c>
      <c r="I20" s="59">
        <f t="shared" si="0"/>
        <v>30.167748917748916</v>
      </c>
      <c r="J20" s="59">
        <f t="shared" si="0"/>
        <v>32.799833714404492</v>
      </c>
      <c r="K20" s="60">
        <f t="shared" si="0"/>
        <v>19.017060572859602</v>
      </c>
    </row>
    <row r="21" spans="1:15" ht="12.75" customHeight="1">
      <c r="A21" s="54" t="s">
        <v>64</v>
      </c>
      <c r="B21" s="55">
        <v>4956</v>
      </c>
      <c r="C21" s="55">
        <v>5214</v>
      </c>
      <c r="D21" s="56">
        <v>5332</v>
      </c>
      <c r="E21" s="56">
        <v>7990</v>
      </c>
      <c r="F21" s="57">
        <v>9625</v>
      </c>
      <c r="G21" s="58">
        <v>11.220825852782765</v>
      </c>
      <c r="H21" s="58">
        <f t="shared" si="0"/>
        <v>5.2058111380145284</v>
      </c>
      <c r="I21" s="59">
        <f t="shared" si="0"/>
        <v>2.263137706175681</v>
      </c>
      <c r="J21" s="59">
        <f t="shared" si="0"/>
        <v>49.849962490622659</v>
      </c>
      <c r="K21" s="60">
        <f t="shared" si="0"/>
        <v>20.463078848560702</v>
      </c>
    </row>
    <row r="22" spans="1:15" ht="12.75" customHeight="1">
      <c r="A22" s="54" t="s">
        <v>65</v>
      </c>
      <c r="B22" s="55">
        <v>9752</v>
      </c>
      <c r="C22" s="55">
        <v>7833</v>
      </c>
      <c r="D22" s="56">
        <v>7872</v>
      </c>
      <c r="E22" s="56">
        <v>9670</v>
      </c>
      <c r="F22" s="57">
        <v>8860</v>
      </c>
      <c r="G22" s="58">
        <v>1.015123264967889</v>
      </c>
      <c r="H22" s="58">
        <f t="shared" si="0"/>
        <v>-19.678014766201805</v>
      </c>
      <c r="I22" s="59">
        <f t="shared" si="0"/>
        <v>0.49789352738414405</v>
      </c>
      <c r="J22" s="59">
        <f t="shared" si="0"/>
        <v>22.840447154471544</v>
      </c>
      <c r="K22" s="60">
        <f t="shared" si="0"/>
        <v>-8.3764219234746644</v>
      </c>
    </row>
    <row r="23" spans="1:15" ht="12.75" customHeight="1">
      <c r="A23" s="54" t="s">
        <v>48</v>
      </c>
      <c r="B23" s="55">
        <v>8217</v>
      </c>
      <c r="C23" s="55">
        <v>7279</v>
      </c>
      <c r="D23" s="56">
        <v>8912</v>
      </c>
      <c r="E23" s="56">
        <v>9710</v>
      </c>
      <c r="F23" s="57">
        <v>8824</v>
      </c>
      <c r="G23" s="58">
        <v>-6.6037735849056602</v>
      </c>
      <c r="H23" s="58">
        <f t="shared" si="0"/>
        <v>-11.415358403310211</v>
      </c>
      <c r="I23" s="59">
        <f t="shared" si="0"/>
        <v>22.434400329715622</v>
      </c>
      <c r="J23" s="59">
        <f t="shared" si="0"/>
        <v>8.9542190305206457</v>
      </c>
      <c r="K23" s="60">
        <f t="shared" si="0"/>
        <v>-9.1246138002059727</v>
      </c>
      <c r="O23" s="43" t="s">
        <v>116</v>
      </c>
    </row>
    <row r="24" spans="1:15" ht="12.75" customHeight="1">
      <c r="A24" s="54" t="s">
        <v>52</v>
      </c>
      <c r="B24" s="55">
        <v>5399</v>
      </c>
      <c r="C24" s="55">
        <v>4643</v>
      </c>
      <c r="D24" s="56">
        <v>5445</v>
      </c>
      <c r="E24" s="56">
        <v>6729</v>
      </c>
      <c r="F24" s="57">
        <v>8044</v>
      </c>
      <c r="G24" s="58">
        <v>52.299012693935119</v>
      </c>
      <c r="H24" s="58">
        <f t="shared" si="0"/>
        <v>-14.002593072791258</v>
      </c>
      <c r="I24" s="59">
        <f t="shared" si="0"/>
        <v>17.273314667241007</v>
      </c>
      <c r="J24" s="59">
        <f t="shared" si="0"/>
        <v>23.581267217630856</v>
      </c>
      <c r="K24" s="60">
        <f t="shared" si="0"/>
        <v>19.542279684945758</v>
      </c>
    </row>
    <row r="25" spans="1:15" ht="12.75" customHeight="1">
      <c r="A25" s="54" t="s">
        <v>80</v>
      </c>
      <c r="B25" s="55">
        <v>2747</v>
      </c>
      <c r="C25" s="55">
        <v>3036</v>
      </c>
      <c r="D25" s="56">
        <v>4040</v>
      </c>
      <c r="E25" s="56">
        <v>5005</v>
      </c>
      <c r="F25" s="57">
        <v>7263</v>
      </c>
      <c r="G25" s="58">
        <v>41.597938144329902</v>
      </c>
      <c r="H25" s="58">
        <f t="shared" si="0"/>
        <v>10.520567892246087</v>
      </c>
      <c r="I25" s="59">
        <f t="shared" si="0"/>
        <v>33.06982872200264</v>
      </c>
      <c r="J25" s="59">
        <f t="shared" si="0"/>
        <v>23.886138613861384</v>
      </c>
      <c r="K25" s="60">
        <f t="shared" si="0"/>
        <v>45.114885114885119</v>
      </c>
    </row>
    <row r="26" spans="1:15" ht="12.75" customHeight="1">
      <c r="A26" s="54" t="s">
        <v>67</v>
      </c>
      <c r="B26" s="55">
        <v>3952</v>
      </c>
      <c r="C26" s="55">
        <v>3813</v>
      </c>
      <c r="D26" s="56">
        <v>5397</v>
      </c>
      <c r="E26" s="56">
        <v>6214</v>
      </c>
      <c r="F26" s="57">
        <v>6896</v>
      </c>
      <c r="G26" s="58">
        <v>7.8897078897078892</v>
      </c>
      <c r="H26" s="58">
        <f t="shared" si="0"/>
        <v>-3.5172064777327936</v>
      </c>
      <c r="I26" s="59">
        <f t="shared" si="0"/>
        <v>41.542092840283239</v>
      </c>
      <c r="J26" s="59">
        <f t="shared" si="0"/>
        <v>15.138039651658328</v>
      </c>
      <c r="K26" s="60">
        <f t="shared" si="0"/>
        <v>10.975217251367878</v>
      </c>
    </row>
    <row r="27" spans="1:15" ht="12.75" customHeight="1">
      <c r="A27" s="54" t="s">
        <v>61</v>
      </c>
      <c r="B27" s="55">
        <v>3137</v>
      </c>
      <c r="C27" s="55">
        <v>3139</v>
      </c>
      <c r="D27" s="56">
        <v>3894</v>
      </c>
      <c r="E27" s="56">
        <v>6055</v>
      </c>
      <c r="F27" s="57">
        <v>6766</v>
      </c>
      <c r="G27" s="58">
        <v>4.6015338446148721</v>
      </c>
      <c r="H27" s="58">
        <f t="shared" si="0"/>
        <v>6.3755180108383797E-2</v>
      </c>
      <c r="I27" s="59">
        <f t="shared" si="0"/>
        <v>24.052245938196879</v>
      </c>
      <c r="J27" s="59">
        <f t="shared" si="0"/>
        <v>55.495634309193633</v>
      </c>
      <c r="K27" s="60">
        <f t="shared" si="0"/>
        <v>11.742361684558217</v>
      </c>
    </row>
    <row r="28" spans="1:15" ht="12.75" customHeight="1">
      <c r="A28" s="54" t="s">
        <v>41</v>
      </c>
      <c r="B28" s="55">
        <v>5595</v>
      </c>
      <c r="C28" s="55">
        <v>5355</v>
      </c>
      <c r="D28" s="56">
        <v>5682</v>
      </c>
      <c r="E28" s="56">
        <v>5693</v>
      </c>
      <c r="F28" s="57">
        <v>6077</v>
      </c>
      <c r="G28" s="58">
        <v>-13.644080876678499</v>
      </c>
      <c r="H28" s="58">
        <f t="shared" si="0"/>
        <v>-4.2895442359249332</v>
      </c>
      <c r="I28" s="59">
        <f t="shared" si="0"/>
        <v>6.1064425770308119</v>
      </c>
      <c r="J28" s="59">
        <f t="shared" si="0"/>
        <v>0.19359380499824005</v>
      </c>
      <c r="K28" s="60">
        <f t="shared" si="0"/>
        <v>6.745125592833304</v>
      </c>
    </row>
    <row r="29" spans="1:15" ht="12.75" customHeight="1">
      <c r="A29" s="54" t="s">
        <v>82</v>
      </c>
      <c r="B29" s="55">
        <v>2585</v>
      </c>
      <c r="C29" s="55">
        <v>2744</v>
      </c>
      <c r="D29" s="56">
        <v>3336</v>
      </c>
      <c r="E29" s="56">
        <v>4130</v>
      </c>
      <c r="F29" s="57">
        <v>5880</v>
      </c>
      <c r="G29" s="58">
        <v>26.777832270720943</v>
      </c>
      <c r="H29" s="58">
        <f t="shared" si="0"/>
        <v>6.1508704061895552</v>
      </c>
      <c r="I29" s="59">
        <f t="shared" si="0"/>
        <v>21.574344023323615</v>
      </c>
      <c r="J29" s="59">
        <f t="shared" si="0"/>
        <v>23.800959232613909</v>
      </c>
      <c r="K29" s="60">
        <f t="shared" si="0"/>
        <v>42.372881355932201</v>
      </c>
    </row>
    <row r="30" spans="1:15" ht="12.75" customHeight="1">
      <c r="A30" s="54" t="s">
        <v>31</v>
      </c>
      <c r="B30" s="55">
        <v>3811</v>
      </c>
      <c r="C30" s="55">
        <v>3851</v>
      </c>
      <c r="D30" s="56">
        <v>5137</v>
      </c>
      <c r="E30" s="56">
        <v>6471</v>
      </c>
      <c r="F30" s="57">
        <v>5588</v>
      </c>
      <c r="G30" s="58">
        <v>37.780187997107738</v>
      </c>
      <c r="H30" s="58">
        <f t="shared" si="0"/>
        <v>1.0495932826029915</v>
      </c>
      <c r="I30" s="59">
        <f t="shared" si="0"/>
        <v>33.393923656193195</v>
      </c>
      <c r="J30" s="59">
        <f t="shared" si="0"/>
        <v>25.968464084095778</v>
      </c>
      <c r="K30" s="60">
        <f t="shared" si="0"/>
        <v>-13.645495286663575</v>
      </c>
    </row>
    <row r="31" spans="1:15" ht="12.75" customHeight="1">
      <c r="A31" s="54" t="s">
        <v>51</v>
      </c>
      <c r="B31" s="55">
        <v>3235</v>
      </c>
      <c r="C31" s="55">
        <v>2758</v>
      </c>
      <c r="D31" s="56">
        <v>4637</v>
      </c>
      <c r="E31" s="56">
        <v>4542</v>
      </c>
      <c r="F31" s="57">
        <v>5416</v>
      </c>
      <c r="G31" s="58">
        <v>32.473382473382472</v>
      </c>
      <c r="H31" s="58">
        <f t="shared" si="0"/>
        <v>-14.744976816074187</v>
      </c>
      <c r="I31" s="59">
        <f t="shared" si="0"/>
        <v>68.129079042784625</v>
      </c>
      <c r="J31" s="59">
        <f t="shared" si="0"/>
        <v>-2.0487384084537417</v>
      </c>
      <c r="K31" s="60">
        <f t="shared" si="0"/>
        <v>19.242624394539849</v>
      </c>
    </row>
    <row r="32" spans="1:15" ht="12.75" customHeight="1">
      <c r="A32" s="54" t="s">
        <v>49</v>
      </c>
      <c r="B32" s="55">
        <v>3542</v>
      </c>
      <c r="C32" s="55">
        <v>3165</v>
      </c>
      <c r="D32" s="56">
        <v>3638</v>
      </c>
      <c r="E32" s="56">
        <v>4896</v>
      </c>
      <c r="F32" s="57">
        <v>5230</v>
      </c>
      <c r="G32" s="58">
        <v>64.820846905537451</v>
      </c>
      <c r="H32" s="58">
        <f t="shared" si="0"/>
        <v>-10.643704121964992</v>
      </c>
      <c r="I32" s="59">
        <f t="shared" si="0"/>
        <v>14.944707740916272</v>
      </c>
      <c r="J32" s="59">
        <f t="shared" si="0"/>
        <v>34.579439252336449</v>
      </c>
      <c r="K32" s="60">
        <f t="shared" si="0"/>
        <v>6.8218954248366011</v>
      </c>
    </row>
    <row r="33" spans="1:14" ht="12.75" customHeight="1">
      <c r="A33" s="54" t="s">
        <v>72</v>
      </c>
      <c r="B33" s="55">
        <v>2966</v>
      </c>
      <c r="C33" s="55">
        <v>3043</v>
      </c>
      <c r="D33" s="56">
        <v>3815</v>
      </c>
      <c r="E33" s="56">
        <v>4690</v>
      </c>
      <c r="F33" s="57">
        <v>5070</v>
      </c>
      <c r="G33" s="58">
        <v>4.0336723956506493</v>
      </c>
      <c r="H33" s="58">
        <f t="shared" si="0"/>
        <v>2.5960890087660147</v>
      </c>
      <c r="I33" s="59">
        <f t="shared" si="0"/>
        <v>25.369700953006902</v>
      </c>
      <c r="J33" s="59">
        <f t="shared" si="0"/>
        <v>22.935779816513762</v>
      </c>
      <c r="K33" s="60">
        <f t="shared" si="0"/>
        <v>8.1023454157782524</v>
      </c>
    </row>
    <row r="34" spans="1:14" ht="12.75" customHeight="1">
      <c r="A34" s="54" t="s">
        <v>66</v>
      </c>
      <c r="B34" s="55">
        <v>2233</v>
      </c>
      <c r="C34" s="55">
        <v>1975</v>
      </c>
      <c r="D34" s="56">
        <v>3831</v>
      </c>
      <c r="E34" s="56">
        <v>5305</v>
      </c>
      <c r="F34" s="57">
        <v>4430</v>
      </c>
      <c r="G34" s="58">
        <v>10.654112983151636</v>
      </c>
      <c r="H34" s="58">
        <f t="shared" si="0"/>
        <v>-11.553963278101209</v>
      </c>
      <c r="I34" s="59">
        <f t="shared" si="0"/>
        <v>93.974683544303801</v>
      </c>
      <c r="J34" s="59">
        <f t="shared" si="0"/>
        <v>38.475593839728525</v>
      </c>
      <c r="K34" s="60">
        <f t="shared" si="0"/>
        <v>-16.493873704052781</v>
      </c>
    </row>
    <row r="35" spans="1:14" ht="12.75" customHeight="1">
      <c r="A35" s="54" t="s">
        <v>81</v>
      </c>
      <c r="B35" s="55">
        <v>1394</v>
      </c>
      <c r="C35" s="55">
        <v>1580</v>
      </c>
      <c r="D35" s="56">
        <v>1699</v>
      </c>
      <c r="E35" s="56">
        <v>2292</v>
      </c>
      <c r="F35" s="57">
        <v>4047</v>
      </c>
      <c r="G35" s="58">
        <v>72.738537794299873</v>
      </c>
      <c r="H35" s="58">
        <f t="shared" si="0"/>
        <v>13.342898134863701</v>
      </c>
      <c r="I35" s="59">
        <f t="shared" si="0"/>
        <v>7.5316455696202533</v>
      </c>
      <c r="J35" s="59">
        <f t="shared" si="0"/>
        <v>34.90288404944085</v>
      </c>
      <c r="K35" s="60">
        <f t="shared" si="0"/>
        <v>76.570680628272243</v>
      </c>
    </row>
    <row r="36" spans="1:14" ht="12.75" customHeight="1">
      <c r="A36" s="54" t="s">
        <v>69</v>
      </c>
      <c r="B36" s="55">
        <v>3732</v>
      </c>
      <c r="C36" s="55">
        <v>2975</v>
      </c>
      <c r="D36" s="56">
        <v>3157</v>
      </c>
      <c r="E36" s="56">
        <v>3684</v>
      </c>
      <c r="F36" s="57">
        <v>3967</v>
      </c>
      <c r="G36" s="58">
        <v>13.331308836926814</v>
      </c>
      <c r="H36" s="58">
        <f t="shared" si="0"/>
        <v>-20.284030010718112</v>
      </c>
      <c r="I36" s="59">
        <f t="shared" si="0"/>
        <v>6.1176470588235299</v>
      </c>
      <c r="J36" s="59">
        <f t="shared" si="0"/>
        <v>16.69306303452645</v>
      </c>
      <c r="K36" s="60">
        <f t="shared" si="0"/>
        <v>7.681867535287731</v>
      </c>
    </row>
    <row r="37" spans="1:14" ht="12.75" customHeight="1">
      <c r="A37" s="54" t="s">
        <v>43</v>
      </c>
      <c r="B37" s="55">
        <v>3325</v>
      </c>
      <c r="C37" s="55">
        <v>3357</v>
      </c>
      <c r="D37" s="56">
        <v>3795</v>
      </c>
      <c r="E37" s="56">
        <v>4158</v>
      </c>
      <c r="F37" s="57">
        <v>3918</v>
      </c>
      <c r="G37" s="58">
        <v>25.047010154193305</v>
      </c>
      <c r="H37" s="58">
        <f t="shared" si="0"/>
        <v>0.96240601503759393</v>
      </c>
      <c r="I37" s="59">
        <f t="shared" si="0"/>
        <v>13.047363717605004</v>
      </c>
      <c r="J37" s="59">
        <f t="shared" si="0"/>
        <v>9.5652173913043477</v>
      </c>
      <c r="K37" s="60">
        <f t="shared" si="0"/>
        <v>-5.7720057720057723</v>
      </c>
    </row>
    <row r="38" spans="1:14" ht="12.75" customHeight="1">
      <c r="A38" s="54" t="s">
        <v>44</v>
      </c>
      <c r="B38" s="55">
        <v>4150</v>
      </c>
      <c r="C38" s="55">
        <v>4822</v>
      </c>
      <c r="D38" s="56">
        <v>4555</v>
      </c>
      <c r="E38" s="56">
        <v>4434</v>
      </c>
      <c r="F38" s="57">
        <v>3660</v>
      </c>
      <c r="G38" s="58">
        <v>-0.90735434574976126</v>
      </c>
      <c r="H38" s="58">
        <f t="shared" si="0"/>
        <v>16.192771084337348</v>
      </c>
      <c r="I38" s="59">
        <f t="shared" si="0"/>
        <v>-5.5371215263376188</v>
      </c>
      <c r="J38" s="59">
        <f t="shared" si="0"/>
        <v>-2.6564215148188803</v>
      </c>
      <c r="K38" s="60">
        <f t="shared" si="0"/>
        <v>-17.456021650879567</v>
      </c>
    </row>
    <row r="39" spans="1:14" ht="12.75" customHeight="1">
      <c r="A39" s="54" t="s">
        <v>32</v>
      </c>
      <c r="B39" s="55">
        <v>1834</v>
      </c>
      <c r="C39" s="55">
        <v>1722</v>
      </c>
      <c r="D39" s="56">
        <v>2422</v>
      </c>
      <c r="E39" s="56">
        <v>3173</v>
      </c>
      <c r="F39" s="57">
        <v>3493</v>
      </c>
      <c r="G39" s="58">
        <v>0.82462891698735563</v>
      </c>
      <c r="H39" s="58">
        <f t="shared" ref="H39:K60" si="1">(C39-B39)/B39*100</f>
        <v>-6.1068702290076331</v>
      </c>
      <c r="I39" s="59">
        <f t="shared" si="1"/>
        <v>40.650406504065039</v>
      </c>
      <c r="J39" s="59">
        <f t="shared" si="1"/>
        <v>31.007431874483899</v>
      </c>
      <c r="K39" s="60">
        <f t="shared" si="1"/>
        <v>10.085092971950834</v>
      </c>
    </row>
    <row r="40" spans="1:14" ht="12.75" customHeight="1">
      <c r="A40" s="54" t="s">
        <v>70</v>
      </c>
      <c r="B40" s="55">
        <v>1962</v>
      </c>
      <c r="C40" s="55">
        <v>2059</v>
      </c>
      <c r="D40" s="56">
        <v>2471</v>
      </c>
      <c r="E40" s="56">
        <v>2781</v>
      </c>
      <c r="F40" s="57">
        <v>3128</v>
      </c>
      <c r="G40" s="58">
        <v>26.336123631680618</v>
      </c>
      <c r="H40" s="58">
        <f t="shared" si="1"/>
        <v>4.9439347604485224</v>
      </c>
      <c r="I40" s="59">
        <f t="shared" si="1"/>
        <v>20.009713453132587</v>
      </c>
      <c r="J40" s="59">
        <f t="shared" si="1"/>
        <v>12.545528126264671</v>
      </c>
      <c r="K40" s="60">
        <f t="shared" si="1"/>
        <v>12.47752606975908</v>
      </c>
    </row>
    <row r="41" spans="1:14" ht="12.75" customHeight="1">
      <c r="A41" s="54" t="s">
        <v>71</v>
      </c>
      <c r="B41" s="55">
        <v>1327</v>
      </c>
      <c r="C41" s="55">
        <v>1304</v>
      </c>
      <c r="D41" s="56">
        <v>1761</v>
      </c>
      <c r="E41" s="56">
        <v>2342</v>
      </c>
      <c r="F41" s="57">
        <v>3061</v>
      </c>
      <c r="G41" s="58">
        <v>87.429378531073439</v>
      </c>
      <c r="H41" s="58">
        <f t="shared" si="1"/>
        <v>-1.7332328560663148</v>
      </c>
      <c r="I41" s="59">
        <f t="shared" si="1"/>
        <v>35.04601226993865</v>
      </c>
      <c r="J41" s="59">
        <f t="shared" si="1"/>
        <v>32.992617830777967</v>
      </c>
      <c r="K41" s="60">
        <f t="shared" si="1"/>
        <v>30.700256191289498</v>
      </c>
    </row>
    <row r="42" spans="1:14" ht="12.75" customHeight="1">
      <c r="A42" s="54" t="s">
        <v>78</v>
      </c>
      <c r="B42" s="55">
        <v>1340</v>
      </c>
      <c r="C42" s="55">
        <v>1181</v>
      </c>
      <c r="D42" s="56">
        <v>1409</v>
      </c>
      <c r="E42" s="56">
        <v>1797</v>
      </c>
      <c r="F42" s="57">
        <v>2987</v>
      </c>
      <c r="G42" s="58">
        <v>33.466135458167329</v>
      </c>
      <c r="H42" s="58">
        <f t="shared" si="1"/>
        <v>-11.865671641791046</v>
      </c>
      <c r="I42" s="59">
        <f t="shared" si="1"/>
        <v>19.30567315834039</v>
      </c>
      <c r="J42" s="59">
        <f t="shared" si="1"/>
        <v>27.537260468417319</v>
      </c>
      <c r="K42" s="60">
        <f t="shared" si="1"/>
        <v>66.221480244852543</v>
      </c>
    </row>
    <row r="43" spans="1:14" ht="12.75" customHeight="1">
      <c r="A43" s="54" t="s">
        <v>42</v>
      </c>
      <c r="B43" s="55">
        <v>2596</v>
      </c>
      <c r="C43" s="55">
        <v>2120</v>
      </c>
      <c r="D43" s="56">
        <v>2153</v>
      </c>
      <c r="E43" s="56">
        <v>2775</v>
      </c>
      <c r="F43" s="57">
        <v>2902</v>
      </c>
      <c r="G43" s="58">
        <v>43.584070796460175</v>
      </c>
      <c r="H43" s="58">
        <f t="shared" si="1"/>
        <v>-18.335901386748844</v>
      </c>
      <c r="I43" s="59">
        <f t="shared" si="1"/>
        <v>1.5566037735849056</v>
      </c>
      <c r="J43" s="59">
        <f t="shared" si="1"/>
        <v>28.889921040408733</v>
      </c>
      <c r="K43" s="60">
        <f t="shared" si="1"/>
        <v>4.576576576576576</v>
      </c>
    </row>
    <row r="44" spans="1:14" ht="12.75" customHeight="1">
      <c r="A44" s="54" t="s">
        <v>46</v>
      </c>
      <c r="B44" s="55">
        <v>1916</v>
      </c>
      <c r="C44" s="55">
        <v>1970</v>
      </c>
      <c r="D44" s="56">
        <v>2348</v>
      </c>
      <c r="E44" s="56">
        <v>2822</v>
      </c>
      <c r="F44" s="57">
        <v>2636</v>
      </c>
      <c r="G44" s="58">
        <v>30.428863172226006</v>
      </c>
      <c r="H44" s="58">
        <f t="shared" si="1"/>
        <v>2.8183716075156577</v>
      </c>
      <c r="I44" s="59">
        <f t="shared" si="1"/>
        <v>19.18781725888325</v>
      </c>
      <c r="J44" s="59">
        <f t="shared" si="1"/>
        <v>20.187393526405451</v>
      </c>
      <c r="K44" s="60">
        <f t="shared" si="1"/>
        <v>-6.5910701630049608</v>
      </c>
    </row>
    <row r="45" spans="1:14" ht="12.75" customHeight="1">
      <c r="A45" s="54" t="s">
        <v>74</v>
      </c>
      <c r="B45" s="55">
        <v>1334</v>
      </c>
      <c r="C45" s="55">
        <v>1374</v>
      </c>
      <c r="D45" s="56">
        <v>1543</v>
      </c>
      <c r="E45" s="56">
        <v>2132</v>
      </c>
      <c r="F45" s="57">
        <v>2594</v>
      </c>
      <c r="G45" s="58">
        <v>3.3307513555383426</v>
      </c>
      <c r="H45" s="58">
        <f t="shared" si="1"/>
        <v>2.9985007496251872</v>
      </c>
      <c r="I45" s="59">
        <f t="shared" si="1"/>
        <v>12.299854439592432</v>
      </c>
      <c r="J45" s="59">
        <f t="shared" si="1"/>
        <v>38.172391445236556</v>
      </c>
      <c r="K45" s="60">
        <f t="shared" si="1"/>
        <v>21.669793621013135</v>
      </c>
      <c r="N45" s="43" t="s">
        <v>117</v>
      </c>
    </row>
    <row r="46" spans="1:14" ht="12" customHeight="1">
      <c r="A46" s="54" t="s">
        <v>39</v>
      </c>
      <c r="B46" s="55">
        <v>1588</v>
      </c>
      <c r="C46" s="55">
        <v>1380</v>
      </c>
      <c r="D46" s="56">
        <v>2113</v>
      </c>
      <c r="E46" s="56">
        <v>2433</v>
      </c>
      <c r="F46" s="57">
        <v>2569</v>
      </c>
      <c r="G46" s="58">
        <v>21.406727828746178</v>
      </c>
      <c r="H46" s="58">
        <f t="shared" si="1"/>
        <v>-13.09823677581864</v>
      </c>
      <c r="I46" s="59">
        <f t="shared" si="1"/>
        <v>53.115942028985508</v>
      </c>
      <c r="J46" s="59">
        <f t="shared" si="1"/>
        <v>15.144344533838144</v>
      </c>
      <c r="K46" s="60">
        <f t="shared" si="1"/>
        <v>5.589806822852446</v>
      </c>
    </row>
    <row r="47" spans="1:14" ht="12.75" customHeight="1">
      <c r="A47" s="54" t="s">
        <v>38</v>
      </c>
      <c r="B47" s="55">
        <v>2884</v>
      </c>
      <c r="C47" s="55">
        <v>2420</v>
      </c>
      <c r="D47" s="56">
        <v>2514</v>
      </c>
      <c r="E47" s="56">
        <v>2444</v>
      </c>
      <c r="F47" s="57">
        <v>2483</v>
      </c>
      <c r="G47" s="58">
        <v>-8.3862770012706473</v>
      </c>
      <c r="H47" s="58">
        <f t="shared" si="1"/>
        <v>-16.08876560332871</v>
      </c>
      <c r="I47" s="59">
        <f t="shared" si="1"/>
        <v>3.884297520661157</v>
      </c>
      <c r="J47" s="59">
        <f t="shared" si="1"/>
        <v>-2.7844073190135243</v>
      </c>
      <c r="K47" s="60">
        <f t="shared" si="1"/>
        <v>1.5957446808510638</v>
      </c>
    </row>
    <row r="48" spans="1:14" ht="12.75" customHeight="1">
      <c r="A48" s="54" t="s">
        <v>37</v>
      </c>
      <c r="B48" s="55">
        <v>2052</v>
      </c>
      <c r="C48" s="55">
        <v>1848</v>
      </c>
      <c r="D48" s="56">
        <v>2434</v>
      </c>
      <c r="E48" s="56">
        <v>2596</v>
      </c>
      <c r="F48" s="57">
        <v>2408</v>
      </c>
      <c r="G48" s="58">
        <v>-20.093457943925234</v>
      </c>
      <c r="H48" s="58">
        <f t="shared" si="1"/>
        <v>-9.9415204678362574</v>
      </c>
      <c r="I48" s="59">
        <f t="shared" si="1"/>
        <v>31.70995670995671</v>
      </c>
      <c r="J48" s="59">
        <f t="shared" si="1"/>
        <v>6.6557107641741986</v>
      </c>
      <c r="K48" s="60">
        <f t="shared" si="1"/>
        <v>-7.2419106317411401</v>
      </c>
    </row>
    <row r="49" spans="1:11" ht="12.75" customHeight="1">
      <c r="A49" s="54" t="s">
        <v>68</v>
      </c>
      <c r="B49" s="55">
        <v>1065</v>
      </c>
      <c r="C49" s="55">
        <v>1182</v>
      </c>
      <c r="D49" s="56">
        <v>1575</v>
      </c>
      <c r="E49" s="56">
        <v>2485</v>
      </c>
      <c r="F49" s="57">
        <v>2345</v>
      </c>
      <c r="G49" s="58">
        <v>-45.412608918503331</v>
      </c>
      <c r="H49" s="58">
        <f t="shared" si="1"/>
        <v>10.985915492957748</v>
      </c>
      <c r="I49" s="59">
        <f t="shared" si="1"/>
        <v>33.248730964467008</v>
      </c>
      <c r="J49" s="59">
        <f t="shared" si="1"/>
        <v>57.777777777777771</v>
      </c>
      <c r="K49" s="60">
        <f t="shared" si="1"/>
        <v>-5.6338028169014089</v>
      </c>
    </row>
    <row r="50" spans="1:11" ht="12.75" customHeight="1">
      <c r="A50" s="54" t="s">
        <v>63</v>
      </c>
      <c r="B50" s="55">
        <v>871</v>
      </c>
      <c r="C50" s="55">
        <v>979</v>
      </c>
      <c r="D50" s="56">
        <v>1066</v>
      </c>
      <c r="E50" s="56">
        <v>1652</v>
      </c>
      <c r="F50" s="57">
        <v>2265</v>
      </c>
      <c r="G50" s="58">
        <v>-11.303462321792262</v>
      </c>
      <c r="H50" s="58">
        <f t="shared" si="1"/>
        <v>12.399540757749714</v>
      </c>
      <c r="I50" s="59">
        <f t="shared" si="1"/>
        <v>8.88661899897855</v>
      </c>
      <c r="J50" s="59">
        <f t="shared" si="1"/>
        <v>54.971857410881796</v>
      </c>
      <c r="K50" s="60">
        <f t="shared" si="1"/>
        <v>37.106537530266344</v>
      </c>
    </row>
    <row r="51" spans="1:11" ht="12.75" customHeight="1">
      <c r="A51" s="54" t="s">
        <v>36</v>
      </c>
      <c r="B51" s="55">
        <v>4926</v>
      </c>
      <c r="C51" s="55">
        <v>5406</v>
      </c>
      <c r="D51" s="56">
        <v>4630</v>
      </c>
      <c r="E51" s="56">
        <v>3009</v>
      </c>
      <c r="F51" s="57">
        <v>2058</v>
      </c>
      <c r="G51" s="58">
        <v>1.5670103092783505</v>
      </c>
      <c r="H51" s="58">
        <f t="shared" si="1"/>
        <v>9.7442143727161987</v>
      </c>
      <c r="I51" s="59">
        <f t="shared" si="1"/>
        <v>-14.354421013688496</v>
      </c>
      <c r="J51" s="59">
        <f t="shared" si="1"/>
        <v>-35.010799136069117</v>
      </c>
      <c r="K51" s="60">
        <f t="shared" si="1"/>
        <v>-31.605184446660019</v>
      </c>
    </row>
    <row r="52" spans="1:11" ht="12.75" customHeight="1">
      <c r="A52" s="54" t="s">
        <v>62</v>
      </c>
      <c r="B52" s="55">
        <v>1191</v>
      </c>
      <c r="C52" s="55">
        <v>1046</v>
      </c>
      <c r="D52" s="56">
        <v>1256</v>
      </c>
      <c r="E52" s="56">
        <v>1842</v>
      </c>
      <c r="F52" s="57">
        <v>1857</v>
      </c>
      <c r="G52" s="58">
        <v>17.5715695952616</v>
      </c>
      <c r="H52" s="58">
        <f t="shared" si="1"/>
        <v>-12.174643157010916</v>
      </c>
      <c r="I52" s="59">
        <f t="shared" si="1"/>
        <v>20.076481835564053</v>
      </c>
      <c r="J52" s="59">
        <f t="shared" si="1"/>
        <v>46.656050955414017</v>
      </c>
      <c r="K52" s="60">
        <f t="shared" si="1"/>
        <v>0.81433224755700329</v>
      </c>
    </row>
    <row r="53" spans="1:11" ht="12.75" customHeight="1">
      <c r="A53" s="54" t="s">
        <v>58</v>
      </c>
      <c r="B53" s="55">
        <v>581</v>
      </c>
      <c r="C53" s="55">
        <v>677</v>
      </c>
      <c r="D53" s="56">
        <v>818</v>
      </c>
      <c r="E53" s="56">
        <v>1283</v>
      </c>
      <c r="F53" s="57">
        <v>1772</v>
      </c>
      <c r="G53" s="58">
        <v>-38.388123011664902</v>
      </c>
      <c r="H53" s="58">
        <f t="shared" si="1"/>
        <v>16.523235800344235</v>
      </c>
      <c r="I53" s="59">
        <f t="shared" si="1"/>
        <v>20.827178729689809</v>
      </c>
      <c r="J53" s="59">
        <f t="shared" si="1"/>
        <v>56.845965770171148</v>
      </c>
      <c r="K53" s="60">
        <f t="shared" si="1"/>
        <v>38.113795791114576</v>
      </c>
    </row>
    <row r="54" spans="1:11" ht="12.75" customHeight="1">
      <c r="A54" s="54" t="s">
        <v>79</v>
      </c>
      <c r="B54" s="55">
        <v>1139</v>
      </c>
      <c r="C54" s="55">
        <v>984</v>
      </c>
      <c r="D54" s="56">
        <v>1145</v>
      </c>
      <c r="E54" s="56">
        <v>1346</v>
      </c>
      <c r="F54" s="57">
        <v>1666</v>
      </c>
      <c r="G54" s="58">
        <v>72.575757575757578</v>
      </c>
      <c r="H54" s="58">
        <f t="shared" si="1"/>
        <v>-13.608428446005268</v>
      </c>
      <c r="I54" s="59">
        <f t="shared" si="1"/>
        <v>16.361788617886177</v>
      </c>
      <c r="J54" s="59">
        <f t="shared" si="1"/>
        <v>17.554585152838428</v>
      </c>
      <c r="K54" s="60">
        <f t="shared" si="1"/>
        <v>23.774145616641899</v>
      </c>
    </row>
    <row r="55" spans="1:11" ht="12.75" customHeight="1">
      <c r="A55" s="54" t="s">
        <v>76</v>
      </c>
      <c r="B55" s="55">
        <v>1184</v>
      </c>
      <c r="C55" s="55">
        <v>991</v>
      </c>
      <c r="D55" s="56">
        <v>1103</v>
      </c>
      <c r="E55" s="56">
        <v>1390</v>
      </c>
      <c r="F55" s="57">
        <v>1579</v>
      </c>
      <c r="G55" s="58">
        <v>3.6777583187390541</v>
      </c>
      <c r="H55" s="58">
        <f t="shared" si="1"/>
        <v>-16.300675675675674</v>
      </c>
      <c r="I55" s="59">
        <f t="shared" si="1"/>
        <v>11.301715438950556</v>
      </c>
      <c r="J55" s="59">
        <f t="shared" si="1"/>
        <v>26.019945602901178</v>
      </c>
      <c r="K55" s="60">
        <f t="shared" si="1"/>
        <v>13.597122302158274</v>
      </c>
    </row>
    <row r="56" spans="1:11" ht="12.75" customHeight="1">
      <c r="A56" s="54" t="s">
        <v>30</v>
      </c>
      <c r="B56" s="55">
        <v>3368</v>
      </c>
      <c r="C56" s="55">
        <v>3437</v>
      </c>
      <c r="D56" s="56">
        <v>4386</v>
      </c>
      <c r="E56" s="56">
        <v>5738</v>
      </c>
      <c r="F56" s="57">
        <v>1509</v>
      </c>
      <c r="G56" s="58">
        <v>-5.1801801801801801</v>
      </c>
      <c r="H56" s="58">
        <f t="shared" si="1"/>
        <v>2.0486935866983371</v>
      </c>
      <c r="I56" s="59">
        <f t="shared" si="1"/>
        <v>27.611288914751235</v>
      </c>
      <c r="J56" s="59">
        <f t="shared" si="1"/>
        <v>30.825353397172822</v>
      </c>
      <c r="K56" s="60">
        <f t="shared" si="1"/>
        <v>-73.701638201463922</v>
      </c>
    </row>
    <row r="57" spans="1:11" ht="12.75" customHeight="1">
      <c r="A57" s="54" t="s">
        <v>33</v>
      </c>
      <c r="B57" s="55">
        <v>865</v>
      </c>
      <c r="C57" s="55">
        <v>1088</v>
      </c>
      <c r="D57" s="56">
        <v>1281</v>
      </c>
      <c r="E57" s="56">
        <v>1535</v>
      </c>
      <c r="F57" s="57">
        <v>1402</v>
      </c>
      <c r="G57" s="58">
        <v>9.6324461343472745</v>
      </c>
      <c r="H57" s="58">
        <f t="shared" si="1"/>
        <v>25.780346820809246</v>
      </c>
      <c r="I57" s="59">
        <f t="shared" si="1"/>
        <v>17.738970588235293</v>
      </c>
      <c r="J57" s="59">
        <f t="shared" si="1"/>
        <v>19.828259172521467</v>
      </c>
      <c r="K57" s="60">
        <f t="shared" si="1"/>
        <v>-8.664495114006515</v>
      </c>
    </row>
    <row r="58" spans="1:11" ht="12.75" customHeight="1">
      <c r="A58" s="54" t="s">
        <v>47</v>
      </c>
      <c r="B58" s="55">
        <v>1372</v>
      </c>
      <c r="C58" s="55">
        <v>1324</v>
      </c>
      <c r="D58" s="56">
        <v>1647</v>
      </c>
      <c r="E58" s="56">
        <v>1609</v>
      </c>
      <c r="F58" s="57">
        <v>1295</v>
      </c>
      <c r="G58" s="58">
        <v>13.953488372093023</v>
      </c>
      <c r="H58" s="58">
        <f t="shared" si="1"/>
        <v>-3.4985422740524781</v>
      </c>
      <c r="I58" s="59">
        <f t="shared" si="1"/>
        <v>24.395770392749245</v>
      </c>
      <c r="J58" s="59">
        <f t="shared" si="1"/>
        <v>-2.3072252580449302</v>
      </c>
      <c r="K58" s="60">
        <f t="shared" si="1"/>
        <v>-19.515226848974518</v>
      </c>
    </row>
    <row r="59" spans="1:11" ht="12.75" customHeight="1">
      <c r="A59" s="54" t="s">
        <v>55</v>
      </c>
      <c r="B59" s="55">
        <v>455</v>
      </c>
      <c r="C59" s="55">
        <v>388</v>
      </c>
      <c r="D59" s="56">
        <v>525</v>
      </c>
      <c r="E59" s="56">
        <v>1496</v>
      </c>
      <c r="F59" s="57">
        <v>1221</v>
      </c>
      <c r="G59" s="58">
        <v>-64.563862928348911</v>
      </c>
      <c r="H59" s="58">
        <f t="shared" si="1"/>
        <v>-14.725274725274726</v>
      </c>
      <c r="I59" s="59">
        <f t="shared" si="1"/>
        <v>35.309278350515463</v>
      </c>
      <c r="J59" s="59">
        <f t="shared" si="1"/>
        <v>184.95238095238096</v>
      </c>
      <c r="K59" s="60">
        <f t="shared" si="1"/>
        <v>-18.382352941176471</v>
      </c>
    </row>
    <row r="60" spans="1:11" ht="12.75" customHeight="1">
      <c r="A60" s="61" t="s">
        <v>77</v>
      </c>
      <c r="B60" s="62">
        <v>22</v>
      </c>
      <c r="C60" s="62">
        <v>21</v>
      </c>
      <c r="D60" s="63">
        <v>31</v>
      </c>
      <c r="E60" s="63">
        <v>27</v>
      </c>
      <c r="F60" s="64">
        <v>39</v>
      </c>
      <c r="G60" s="65">
        <v>-80.530973451327441</v>
      </c>
      <c r="H60" s="65">
        <f t="shared" si="1"/>
        <v>-4.5454545454545459</v>
      </c>
      <c r="I60" s="66">
        <f t="shared" si="1"/>
        <v>47.619047619047613</v>
      </c>
      <c r="J60" s="66">
        <f t="shared" si="1"/>
        <v>-12.903225806451612</v>
      </c>
      <c r="K60" s="67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8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8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9"/>
  <sheetViews>
    <sheetView tabSelected="1" zoomScaleNormal="100" zoomScaleSheetLayoutView="67" workbookViewId="0">
      <selection activeCell="Q18" sqref="Q18"/>
    </sheetView>
  </sheetViews>
  <sheetFormatPr defaultColWidth="9.140625" defaultRowHeight="12.75"/>
  <cols>
    <col min="1" max="1" width="28.140625" style="29" customWidth="1"/>
    <col min="2" max="8" width="8.7109375" style="29" customWidth="1"/>
    <col min="9" max="9" width="17" style="29" customWidth="1"/>
    <col min="10" max="10" width="23.28515625" style="29" customWidth="1"/>
    <col min="11" max="11" width="2" style="29" customWidth="1"/>
    <col min="12" max="28" width="9.140625" style="29"/>
    <col min="29" max="29" width="9.42578125" style="29" bestFit="1" customWidth="1"/>
    <col min="30" max="16384" width="9.140625" style="29"/>
  </cols>
  <sheetData>
    <row r="1" spans="1:33" ht="18.75" customHeight="1">
      <c r="A1" s="123" t="s">
        <v>133</v>
      </c>
      <c r="B1" s="124"/>
      <c r="C1" s="124"/>
      <c r="D1" s="124"/>
      <c r="E1" s="124"/>
      <c r="F1" s="124"/>
      <c r="G1" s="124"/>
      <c r="H1" s="124"/>
      <c r="I1" s="124"/>
      <c r="J1" s="125"/>
    </row>
    <row r="2" spans="1:33" ht="18.75" customHeight="1">
      <c r="A2" s="120" t="s">
        <v>132</v>
      </c>
      <c r="B2" s="120"/>
      <c r="C2" s="120"/>
      <c r="D2" s="120"/>
      <c r="E2" s="120"/>
      <c r="F2" s="120"/>
      <c r="G2" s="120"/>
      <c r="H2" s="120"/>
      <c r="I2" s="120"/>
      <c r="J2" s="120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</row>
    <row r="3" spans="1:33" ht="13.5" customHeight="1">
      <c r="A3" s="121" t="s">
        <v>0</v>
      </c>
      <c r="B3" s="126" t="s">
        <v>135</v>
      </c>
      <c r="C3" s="127"/>
      <c r="D3" s="127"/>
      <c r="E3" s="127"/>
      <c r="F3" s="127"/>
      <c r="G3" s="127"/>
      <c r="H3" s="128"/>
      <c r="I3" s="9" t="s">
        <v>1</v>
      </c>
      <c r="J3" s="10"/>
      <c r="L3" s="81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6"/>
    </row>
    <row r="4" spans="1:33" ht="15.95" customHeight="1">
      <c r="A4" s="122"/>
      <c r="B4" s="11">
        <v>2009</v>
      </c>
      <c r="C4" s="11" t="s">
        <v>136</v>
      </c>
      <c r="D4" s="11">
        <v>2011</v>
      </c>
      <c r="E4" s="11">
        <v>2012</v>
      </c>
      <c r="F4" s="11" t="s">
        <v>137</v>
      </c>
      <c r="G4" s="11" t="s">
        <v>134</v>
      </c>
      <c r="H4" s="11">
        <v>2015</v>
      </c>
      <c r="I4" s="100" t="s">
        <v>131</v>
      </c>
      <c r="J4" s="12" t="s">
        <v>93</v>
      </c>
      <c r="L4" s="81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6"/>
    </row>
    <row r="5" spans="1:33" s="82" customFormat="1" ht="17.25" customHeight="1">
      <c r="A5" s="13" t="s">
        <v>118</v>
      </c>
      <c r="B5" s="14">
        <f t="shared" ref="B5:E5" si="0">SUM(B6:B23)</f>
        <v>20942</v>
      </c>
      <c r="C5" s="14">
        <f t="shared" si="0"/>
        <v>21350</v>
      </c>
      <c r="D5" s="14">
        <f>SUM(D6:D23)</f>
        <v>22120</v>
      </c>
      <c r="E5" s="14">
        <f t="shared" si="0"/>
        <v>22889</v>
      </c>
      <c r="F5" s="14">
        <f>SUM(F6:F23)</f>
        <v>23791</v>
      </c>
      <c r="G5" s="14">
        <f>SUM(G6:G23)</f>
        <v>24031</v>
      </c>
      <c r="H5" s="14">
        <f>SUM(H6:H23)</f>
        <v>24877</v>
      </c>
      <c r="I5" s="101">
        <f>H5/H5*100</f>
        <v>100</v>
      </c>
      <c r="J5" s="15" t="s">
        <v>83</v>
      </c>
      <c r="L5" s="83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79"/>
      <c r="AC5" s="79"/>
      <c r="AD5" s="76"/>
      <c r="AE5" s="29"/>
      <c r="AF5" s="29"/>
      <c r="AG5" s="29"/>
    </row>
    <row r="6" spans="1:33" s="82" customFormat="1" ht="18.75" customHeight="1">
      <c r="A6" s="36" t="s">
        <v>14</v>
      </c>
      <c r="B6" s="16">
        <v>432</v>
      </c>
      <c r="C6" s="16">
        <v>456</v>
      </c>
      <c r="D6" s="16">
        <v>456</v>
      </c>
      <c r="E6" s="16">
        <v>456</v>
      </c>
      <c r="F6" s="16">
        <v>456</v>
      </c>
      <c r="G6" s="16">
        <v>464</v>
      </c>
      <c r="H6" s="16">
        <v>464</v>
      </c>
      <c r="I6" s="102">
        <f>(H6/$H$5)*100</f>
        <v>1.8651766692125256</v>
      </c>
      <c r="J6" s="17" t="s">
        <v>97</v>
      </c>
      <c r="L6" s="83"/>
      <c r="M6" s="79"/>
      <c r="N6" s="79"/>
      <c r="O6" s="79"/>
      <c r="P6" s="79"/>
      <c r="Q6" s="79"/>
      <c r="R6" s="79"/>
      <c r="S6" s="79"/>
      <c r="T6" s="79"/>
      <c r="U6" s="79"/>
      <c r="V6" s="85"/>
      <c r="W6" s="96"/>
      <c r="X6" s="84"/>
      <c r="Y6" s="85"/>
      <c r="Z6" s="84"/>
      <c r="AA6" s="84"/>
      <c r="AB6" s="73"/>
      <c r="AC6" s="23"/>
      <c r="AD6" s="77"/>
      <c r="AE6" s="29"/>
      <c r="AF6" s="29"/>
      <c r="AG6" s="29"/>
    </row>
    <row r="7" spans="1:33" s="82" customFormat="1" ht="18.75" customHeight="1">
      <c r="A7" s="36" t="s">
        <v>111</v>
      </c>
      <c r="B7" s="16">
        <v>0</v>
      </c>
      <c r="C7" s="16">
        <v>0</v>
      </c>
      <c r="D7" s="16">
        <v>0</v>
      </c>
      <c r="E7" s="16">
        <v>97</v>
      </c>
      <c r="F7" s="16">
        <v>159</v>
      </c>
      <c r="G7" s="16">
        <v>159</v>
      </c>
      <c r="H7" s="16">
        <v>159</v>
      </c>
      <c r="I7" s="102">
        <f>(H7/$H$5)*100</f>
        <v>0.63914459138963697</v>
      </c>
      <c r="J7" s="18" t="s">
        <v>112</v>
      </c>
      <c r="L7" s="83"/>
      <c r="M7" s="84"/>
      <c r="N7" s="84"/>
      <c r="O7" s="84"/>
      <c r="P7" s="84"/>
      <c r="Q7" s="84"/>
      <c r="R7" s="84"/>
      <c r="S7" s="84"/>
      <c r="T7" s="84"/>
      <c r="U7" s="84"/>
      <c r="V7" s="85"/>
      <c r="W7" s="96"/>
      <c r="X7" s="84"/>
      <c r="Y7" s="85"/>
      <c r="Z7" s="84"/>
      <c r="AA7" s="84"/>
      <c r="AB7" s="73"/>
      <c r="AC7" s="23"/>
      <c r="AD7" s="77"/>
      <c r="AE7" s="29"/>
      <c r="AF7" s="29"/>
      <c r="AG7" s="29"/>
    </row>
    <row r="8" spans="1:33" s="82" customFormat="1" ht="18.75" customHeight="1">
      <c r="A8" s="36" t="s">
        <v>15</v>
      </c>
      <c r="B8" s="16">
        <v>490</v>
      </c>
      <c r="C8" s="16">
        <v>542</v>
      </c>
      <c r="D8" s="16">
        <v>542</v>
      </c>
      <c r="E8" s="16">
        <v>542</v>
      </c>
      <c r="F8" s="16">
        <v>796</v>
      </c>
      <c r="G8" s="16">
        <v>796</v>
      </c>
      <c r="H8" s="16">
        <v>796</v>
      </c>
      <c r="I8" s="102">
        <f t="shared" ref="I8:I23" si="1">(H8/$H$5)*100</f>
        <v>3.1997427342525224</v>
      </c>
      <c r="J8" s="18" t="s">
        <v>99</v>
      </c>
      <c r="L8" s="83"/>
      <c r="M8" s="84"/>
      <c r="N8" s="84"/>
      <c r="O8" s="84"/>
      <c r="P8" s="84"/>
      <c r="Q8" s="84"/>
      <c r="R8" s="84"/>
      <c r="S8" s="84"/>
      <c r="T8" s="84"/>
      <c r="U8" s="84"/>
      <c r="V8" s="85"/>
      <c r="W8" s="96"/>
      <c r="X8" s="84"/>
      <c r="Y8" s="85"/>
      <c r="Z8" s="84"/>
      <c r="AA8" s="84"/>
      <c r="AB8" s="73"/>
      <c r="AC8" s="23"/>
      <c r="AD8" s="77"/>
      <c r="AE8" s="29"/>
      <c r="AF8" s="29"/>
      <c r="AG8" s="29"/>
    </row>
    <row r="9" spans="1:33" s="86" customFormat="1" ht="18.75" customHeight="1">
      <c r="A9" s="19" t="s">
        <v>2</v>
      </c>
      <c r="B9" s="16">
        <v>470</v>
      </c>
      <c r="C9" s="16">
        <v>470</v>
      </c>
      <c r="D9" s="16">
        <v>470</v>
      </c>
      <c r="E9" s="16">
        <v>470</v>
      </c>
      <c r="F9" s="16">
        <v>470</v>
      </c>
      <c r="G9" s="16">
        <v>656</v>
      </c>
      <c r="H9" s="16">
        <v>680</v>
      </c>
      <c r="I9" s="102">
        <f t="shared" si="1"/>
        <v>2.7334485669493911</v>
      </c>
      <c r="J9" s="18" t="s">
        <v>87</v>
      </c>
      <c r="L9" s="87"/>
      <c r="M9" s="84"/>
      <c r="N9" s="84"/>
      <c r="O9" s="84"/>
      <c r="P9" s="84"/>
      <c r="Q9" s="84"/>
      <c r="R9" s="84"/>
      <c r="S9" s="84"/>
      <c r="T9" s="84"/>
      <c r="U9" s="84"/>
      <c r="V9" s="85"/>
      <c r="W9" s="96"/>
      <c r="X9" s="88"/>
      <c r="Y9" s="85"/>
      <c r="Z9" s="88"/>
      <c r="AA9" s="88"/>
      <c r="AB9" s="80"/>
      <c r="AC9" s="23"/>
      <c r="AD9" s="77"/>
      <c r="AE9" s="29"/>
      <c r="AF9" s="29"/>
      <c r="AG9" s="29"/>
    </row>
    <row r="10" spans="1:33" s="86" customFormat="1" ht="18.75" customHeight="1">
      <c r="A10" s="19" t="s">
        <v>3</v>
      </c>
      <c r="B10" s="20">
        <v>1240</v>
      </c>
      <c r="C10" s="20">
        <v>1398</v>
      </c>
      <c r="D10" s="20">
        <v>1398</v>
      </c>
      <c r="E10" s="20">
        <v>1660</v>
      </c>
      <c r="F10" s="20">
        <v>1704</v>
      </c>
      <c r="G10" s="20">
        <v>1704</v>
      </c>
      <c r="H10" s="20">
        <v>1700</v>
      </c>
      <c r="I10" s="102">
        <f t="shared" si="1"/>
        <v>6.8336214173734771</v>
      </c>
      <c r="J10" s="18" t="s">
        <v>88</v>
      </c>
      <c r="L10" s="87"/>
      <c r="M10" s="84"/>
      <c r="N10" s="84"/>
      <c r="O10" s="84"/>
      <c r="P10" s="84"/>
      <c r="Q10" s="84"/>
      <c r="R10" s="84"/>
      <c r="S10" s="84"/>
      <c r="T10" s="84"/>
      <c r="U10" s="84"/>
      <c r="V10" s="85"/>
      <c r="W10" s="96"/>
      <c r="X10" s="88"/>
      <c r="Y10" s="85"/>
      <c r="Z10" s="88"/>
      <c r="AA10" s="88"/>
      <c r="AB10" s="80"/>
      <c r="AC10" s="32"/>
      <c r="AD10" s="77"/>
      <c r="AE10" s="29"/>
      <c r="AF10" s="29"/>
      <c r="AG10" s="29"/>
    </row>
    <row r="11" spans="1:33" s="86" customFormat="1" ht="18.75" customHeight="1">
      <c r="A11" s="19" t="s">
        <v>4</v>
      </c>
      <c r="B11" s="20">
        <v>1336</v>
      </c>
      <c r="C11" s="20">
        <v>1336</v>
      </c>
      <c r="D11" s="20">
        <v>1336</v>
      </c>
      <c r="E11" s="20">
        <v>1336</v>
      </c>
      <c r="F11" s="20">
        <v>1476</v>
      </c>
      <c r="G11" s="20">
        <v>1636</v>
      </c>
      <c r="H11" s="20">
        <v>1636</v>
      </c>
      <c r="I11" s="102">
        <f t="shared" si="1"/>
        <v>6.5763556698958876</v>
      </c>
      <c r="J11" s="18" t="s">
        <v>89</v>
      </c>
      <c r="L11" s="87"/>
      <c r="M11" s="88"/>
      <c r="N11" s="88"/>
      <c r="O11" s="88"/>
      <c r="P11" s="88"/>
      <c r="Q11" s="88"/>
      <c r="R11" s="88"/>
      <c r="S11" s="88"/>
      <c r="T11" s="88"/>
      <c r="U11" s="88"/>
      <c r="V11" s="85"/>
      <c r="W11" s="96"/>
      <c r="X11" s="88"/>
      <c r="Y11" s="85"/>
      <c r="Z11" s="88"/>
      <c r="AA11" s="88"/>
      <c r="AB11" s="80"/>
      <c r="AC11" s="32"/>
      <c r="AD11" s="77"/>
      <c r="AE11" s="29"/>
      <c r="AF11" s="29"/>
      <c r="AG11" s="29"/>
    </row>
    <row r="12" spans="1:33" s="86" customFormat="1" ht="18.75" customHeight="1">
      <c r="A12" s="19" t="s">
        <v>5</v>
      </c>
      <c r="B12" s="20">
        <v>8982</v>
      </c>
      <c r="C12" s="20">
        <v>9058</v>
      </c>
      <c r="D12" s="20">
        <v>9128</v>
      </c>
      <c r="E12" s="20">
        <v>9132</v>
      </c>
      <c r="F12" s="20">
        <v>9268</v>
      </c>
      <c r="G12" s="20">
        <v>8968</v>
      </c>
      <c r="H12" s="20">
        <v>9088</v>
      </c>
      <c r="I12" s="102">
        <f t="shared" si="1"/>
        <v>36.531736141817746</v>
      </c>
      <c r="J12" s="18" t="s">
        <v>90</v>
      </c>
      <c r="L12" s="87"/>
      <c r="M12" s="88"/>
      <c r="N12" s="88"/>
      <c r="O12" s="88"/>
      <c r="P12" s="88"/>
      <c r="Q12" s="88"/>
      <c r="R12" s="88"/>
      <c r="S12" s="88"/>
      <c r="T12" s="88"/>
      <c r="U12" s="88"/>
      <c r="V12" s="85"/>
      <c r="W12" s="96"/>
      <c r="X12" s="88"/>
      <c r="Y12" s="85"/>
      <c r="Z12" s="88"/>
      <c r="AA12" s="88"/>
      <c r="AB12" s="80"/>
      <c r="AC12" s="32"/>
      <c r="AD12" s="77"/>
      <c r="AE12" s="29"/>
      <c r="AF12" s="29"/>
      <c r="AG12" s="29"/>
    </row>
    <row r="13" spans="1:33" s="86" customFormat="1" ht="18.75" customHeight="1">
      <c r="A13" s="19" t="s">
        <v>6</v>
      </c>
      <c r="B13" s="20">
        <v>1988</v>
      </c>
      <c r="C13" s="20">
        <v>1988</v>
      </c>
      <c r="D13" s="20">
        <v>1988</v>
      </c>
      <c r="E13" s="20">
        <v>1988</v>
      </c>
      <c r="F13" s="20">
        <v>2156</v>
      </c>
      <c r="G13" s="20">
        <v>2216</v>
      </c>
      <c r="H13" s="20">
        <v>2244</v>
      </c>
      <c r="I13" s="102">
        <f t="shared" si="1"/>
        <v>9.0203802709329892</v>
      </c>
      <c r="J13" s="18" t="s">
        <v>101</v>
      </c>
      <c r="L13" s="87"/>
      <c r="M13" s="88"/>
      <c r="N13" s="88"/>
      <c r="O13" s="88"/>
      <c r="P13" s="88"/>
      <c r="Q13" s="88"/>
      <c r="R13" s="88"/>
      <c r="S13" s="88"/>
      <c r="T13" s="88"/>
      <c r="U13" s="88"/>
      <c r="V13" s="85"/>
      <c r="W13" s="96"/>
      <c r="X13" s="88"/>
      <c r="Y13" s="85"/>
      <c r="Z13" s="88"/>
      <c r="AA13" s="88"/>
      <c r="AB13" s="80"/>
      <c r="AC13" s="32"/>
      <c r="AD13" s="77"/>
      <c r="AE13" s="29"/>
      <c r="AF13" s="29"/>
      <c r="AG13" s="29"/>
    </row>
    <row r="14" spans="1:33" s="82" customFormat="1" ht="18.75" customHeight="1">
      <c r="A14" s="19" t="s">
        <v>7</v>
      </c>
      <c r="B14" s="20">
        <v>3538</v>
      </c>
      <c r="C14" s="20">
        <v>3586</v>
      </c>
      <c r="D14" s="20">
        <v>3818</v>
      </c>
      <c r="E14" s="20">
        <v>3818</v>
      </c>
      <c r="F14" s="20">
        <v>3818</v>
      </c>
      <c r="G14" s="20">
        <v>3862</v>
      </c>
      <c r="H14" s="20">
        <v>3982</v>
      </c>
      <c r="I14" s="102">
        <f t="shared" si="1"/>
        <v>16.006753225871286</v>
      </c>
      <c r="J14" s="18" t="s">
        <v>91</v>
      </c>
      <c r="L14" s="83"/>
      <c r="M14" s="88"/>
      <c r="N14" s="88"/>
      <c r="O14" s="88"/>
      <c r="P14" s="88"/>
      <c r="Q14" s="88"/>
      <c r="R14" s="88"/>
      <c r="S14" s="88"/>
      <c r="T14" s="88"/>
      <c r="U14" s="88"/>
      <c r="V14" s="85"/>
      <c r="W14" s="96"/>
      <c r="X14" s="84"/>
      <c r="Y14" s="85"/>
      <c r="Z14" s="84"/>
      <c r="AA14" s="84"/>
      <c r="AB14" s="80"/>
      <c r="AC14" s="32"/>
      <c r="AD14" s="77"/>
      <c r="AE14" s="29"/>
      <c r="AF14" s="29"/>
      <c r="AG14" s="29"/>
    </row>
    <row r="15" spans="1:33" s="82" customFormat="1" ht="18.75" customHeight="1">
      <c r="A15" s="19" t="s">
        <v>8</v>
      </c>
      <c r="B15" s="16">
        <v>350</v>
      </c>
      <c r="C15" s="16">
        <v>350</v>
      </c>
      <c r="D15" s="16">
        <v>350</v>
      </c>
      <c r="E15" s="16">
        <v>402</v>
      </c>
      <c r="F15" s="16">
        <v>402</v>
      </c>
      <c r="G15" s="16">
        <v>402</v>
      </c>
      <c r="H15" s="16">
        <v>402</v>
      </c>
      <c r="I15" s="102">
        <f t="shared" si="1"/>
        <v>1.6159504763436103</v>
      </c>
      <c r="J15" s="18" t="s">
        <v>92</v>
      </c>
      <c r="L15" s="83"/>
      <c r="M15" s="88"/>
      <c r="N15" s="88"/>
      <c r="O15" s="88"/>
      <c r="P15" s="88"/>
      <c r="Q15" s="88"/>
      <c r="R15" s="88"/>
      <c r="S15" s="88"/>
      <c r="T15" s="88"/>
      <c r="U15" s="88"/>
      <c r="V15" s="85"/>
      <c r="W15" s="96"/>
      <c r="X15" s="84"/>
      <c r="Y15" s="85"/>
      <c r="Z15" s="84"/>
      <c r="AA15" s="84"/>
      <c r="AB15" s="80"/>
      <c r="AC15" s="23"/>
      <c r="AD15" s="77"/>
      <c r="AE15" s="29"/>
      <c r="AF15" s="29"/>
      <c r="AG15" s="29"/>
    </row>
    <row r="16" spans="1:33" s="82" customFormat="1" ht="18.75" customHeight="1">
      <c r="A16" s="36" t="s">
        <v>9</v>
      </c>
      <c r="B16" s="16">
        <v>400</v>
      </c>
      <c r="C16" s="16">
        <v>400</v>
      </c>
      <c r="D16" s="16">
        <v>400</v>
      </c>
      <c r="E16" s="16">
        <v>400</v>
      </c>
      <c r="F16" s="16">
        <v>400</v>
      </c>
      <c r="G16" s="16">
        <v>400</v>
      </c>
      <c r="H16" s="16">
        <v>400</v>
      </c>
      <c r="I16" s="102">
        <f t="shared" si="1"/>
        <v>1.6079109217349359</v>
      </c>
      <c r="J16" s="17" t="s">
        <v>94</v>
      </c>
      <c r="L16" s="83"/>
      <c r="M16" s="84"/>
      <c r="N16" s="84"/>
      <c r="O16" s="84"/>
      <c r="P16" s="84"/>
      <c r="Q16" s="84"/>
      <c r="R16" s="84"/>
      <c r="S16" s="84"/>
      <c r="T16" s="84"/>
      <c r="U16" s="84"/>
      <c r="V16" s="85"/>
      <c r="W16" s="96"/>
      <c r="X16" s="84"/>
      <c r="Y16" s="85"/>
      <c r="Z16" s="84"/>
      <c r="AA16" s="84"/>
      <c r="AB16" s="73"/>
      <c r="AC16" s="23"/>
      <c r="AD16" s="77"/>
      <c r="AE16" s="29"/>
      <c r="AF16" s="29"/>
      <c r="AG16" s="29"/>
    </row>
    <row r="17" spans="1:33" s="82" customFormat="1" ht="18.75" customHeight="1">
      <c r="A17" s="36" t="s">
        <v>10</v>
      </c>
      <c r="B17" s="16">
        <v>250</v>
      </c>
      <c r="C17" s="16">
        <v>250</v>
      </c>
      <c r="D17" s="16">
        <v>250</v>
      </c>
      <c r="E17" s="16">
        <v>250</v>
      </c>
      <c r="F17" s="16">
        <v>250</v>
      </c>
      <c r="G17" s="16">
        <v>250</v>
      </c>
      <c r="H17" s="16">
        <v>250</v>
      </c>
      <c r="I17" s="102">
        <f t="shared" si="1"/>
        <v>1.0049443260843349</v>
      </c>
      <c r="J17" s="18" t="s">
        <v>95</v>
      </c>
      <c r="L17" s="83"/>
      <c r="M17" s="84"/>
      <c r="N17" s="84"/>
      <c r="O17" s="84"/>
      <c r="P17" s="84"/>
      <c r="Q17" s="84"/>
      <c r="R17" s="84"/>
      <c r="S17" s="84"/>
      <c r="T17" s="84"/>
      <c r="U17" s="84"/>
      <c r="V17" s="85"/>
      <c r="W17" s="96"/>
      <c r="X17" s="84"/>
      <c r="Y17" s="85"/>
      <c r="Z17" s="84"/>
      <c r="AA17" s="84"/>
      <c r="AB17" s="73"/>
      <c r="AC17" s="23"/>
      <c r="AD17" s="77"/>
      <c r="AE17" s="29"/>
      <c r="AF17" s="29"/>
      <c r="AG17" s="29"/>
    </row>
    <row r="18" spans="1:33" s="89" customFormat="1" ht="18.75" customHeight="1">
      <c r="A18" s="37" t="s">
        <v>11</v>
      </c>
      <c r="B18" s="21">
        <v>436</v>
      </c>
      <c r="C18" s="21">
        <v>436</v>
      </c>
      <c r="D18" s="21">
        <v>436</v>
      </c>
      <c r="E18" s="21">
        <v>590</v>
      </c>
      <c r="F18" s="21">
        <v>590</v>
      </c>
      <c r="G18" s="21">
        <v>590</v>
      </c>
      <c r="H18" s="21">
        <v>778</v>
      </c>
      <c r="I18" s="102">
        <f t="shared" si="1"/>
        <v>3.1273867427744504</v>
      </c>
      <c r="J18" s="22" t="s">
        <v>96</v>
      </c>
      <c r="L18" s="90"/>
      <c r="M18" s="84"/>
      <c r="N18" s="84"/>
      <c r="O18" s="84"/>
      <c r="P18" s="84"/>
      <c r="Q18" s="84"/>
      <c r="R18" s="84"/>
      <c r="S18" s="84"/>
      <c r="T18" s="84"/>
      <c r="U18" s="84"/>
      <c r="V18" s="85"/>
      <c r="W18" s="96"/>
      <c r="X18" s="84"/>
      <c r="Y18" s="85"/>
      <c r="Z18" s="84"/>
      <c r="AA18" s="84"/>
      <c r="AB18" s="73"/>
      <c r="AC18" s="23"/>
      <c r="AD18" s="77"/>
      <c r="AE18" s="29"/>
      <c r="AF18" s="29"/>
      <c r="AG18" s="29"/>
    </row>
    <row r="19" spans="1:33" s="84" customFormat="1" ht="18.75" customHeight="1">
      <c r="A19" s="38" t="s">
        <v>128</v>
      </c>
      <c r="B19" s="23">
        <v>0</v>
      </c>
      <c r="C19" s="23">
        <v>0</v>
      </c>
      <c r="D19" s="23">
        <v>0</v>
      </c>
      <c r="E19" s="23">
        <v>0</v>
      </c>
      <c r="F19" s="23">
        <v>46</v>
      </c>
      <c r="G19" s="23">
        <v>132</v>
      </c>
      <c r="H19" s="23">
        <v>152</v>
      </c>
      <c r="I19" s="102">
        <f t="shared" si="1"/>
        <v>0.61100615025927563</v>
      </c>
      <c r="J19" s="26" t="s">
        <v>129</v>
      </c>
      <c r="V19" s="85"/>
      <c r="W19" s="96"/>
      <c r="Y19" s="85"/>
      <c r="AB19" s="73"/>
      <c r="AC19" s="23"/>
      <c r="AD19" s="77"/>
      <c r="AE19" s="29"/>
      <c r="AF19" s="29"/>
      <c r="AG19" s="29"/>
    </row>
    <row r="20" spans="1:33" s="88" customFormat="1" ht="18.75" customHeight="1">
      <c r="A20" s="38" t="s">
        <v>104</v>
      </c>
      <c r="B20" s="23">
        <v>0</v>
      </c>
      <c r="C20" s="23">
        <v>0</v>
      </c>
      <c r="D20" s="23">
        <v>194</v>
      </c>
      <c r="E20" s="23">
        <v>194</v>
      </c>
      <c r="F20" s="23">
        <v>194</v>
      </c>
      <c r="G20" s="23">
        <v>194</v>
      </c>
      <c r="H20" s="23">
        <v>194</v>
      </c>
      <c r="I20" s="102">
        <f t="shared" si="1"/>
        <v>0.77983679704144393</v>
      </c>
      <c r="J20" s="24" t="s">
        <v>106</v>
      </c>
      <c r="M20" s="84"/>
      <c r="N20" s="84"/>
      <c r="O20" s="84"/>
      <c r="P20" s="84"/>
      <c r="Q20" s="84"/>
      <c r="R20" s="84"/>
      <c r="S20" s="84"/>
      <c r="T20" s="84"/>
      <c r="U20" s="84"/>
      <c r="V20" s="85"/>
      <c r="W20" s="96"/>
      <c r="Y20" s="85"/>
      <c r="AB20" s="73"/>
      <c r="AC20" s="23"/>
      <c r="AD20" s="77"/>
      <c r="AE20" s="29"/>
      <c r="AF20" s="29"/>
      <c r="AG20" s="29"/>
    </row>
    <row r="21" spans="1:33" s="91" customFormat="1" ht="18.75" customHeight="1">
      <c r="A21" s="39" t="s">
        <v>27</v>
      </c>
      <c r="B21" s="25">
        <v>200</v>
      </c>
      <c r="C21" s="25">
        <v>250</v>
      </c>
      <c r="D21" s="25">
        <v>324</v>
      </c>
      <c r="E21" s="25">
        <v>524</v>
      </c>
      <c r="F21" s="25">
        <v>576</v>
      </c>
      <c r="G21" s="25">
        <v>576</v>
      </c>
      <c r="H21" s="25">
        <v>576</v>
      </c>
      <c r="I21" s="102">
        <f t="shared" si="1"/>
        <v>2.3153917272983078</v>
      </c>
      <c r="J21" s="26" t="s">
        <v>100</v>
      </c>
      <c r="L21" s="92"/>
      <c r="M21" s="84"/>
      <c r="N21" s="84"/>
      <c r="O21" s="84"/>
      <c r="P21" s="84"/>
      <c r="Q21" s="84"/>
      <c r="R21" s="84"/>
      <c r="S21" s="84"/>
      <c r="T21" s="84"/>
      <c r="U21" s="84"/>
      <c r="V21" s="85"/>
      <c r="W21" s="96"/>
      <c r="X21" s="84"/>
      <c r="Y21" s="85"/>
      <c r="Z21" s="84"/>
      <c r="AA21" s="84"/>
      <c r="AB21" s="73"/>
      <c r="AC21" s="23"/>
      <c r="AD21" s="77"/>
      <c r="AE21" s="29"/>
      <c r="AF21" s="29"/>
      <c r="AG21" s="29"/>
    </row>
    <row r="22" spans="1:33" s="82" customFormat="1" ht="18.75" customHeight="1">
      <c r="A22" s="36" t="s">
        <v>103</v>
      </c>
      <c r="B22" s="16">
        <v>0</v>
      </c>
      <c r="C22" s="16">
        <v>0</v>
      </c>
      <c r="D22" s="16">
        <v>200</v>
      </c>
      <c r="E22" s="16">
        <v>200</v>
      </c>
      <c r="F22" s="16">
        <v>200</v>
      </c>
      <c r="G22" s="16">
        <v>200</v>
      </c>
      <c r="H22" s="16">
        <v>550</v>
      </c>
      <c r="I22" s="102">
        <f t="shared" si="1"/>
        <v>2.2108775173855366</v>
      </c>
      <c r="J22" s="26" t="s">
        <v>107</v>
      </c>
      <c r="L22" s="83"/>
      <c r="M22" s="84"/>
      <c r="N22" s="84"/>
      <c r="O22" s="84"/>
      <c r="P22" s="84"/>
      <c r="Q22" s="84"/>
      <c r="R22" s="84"/>
      <c r="S22" s="84"/>
      <c r="T22" s="84"/>
      <c r="U22" s="84"/>
      <c r="V22" s="85"/>
      <c r="W22" s="96"/>
      <c r="X22" s="84"/>
      <c r="Y22" s="85"/>
      <c r="Z22" s="84"/>
      <c r="AA22" s="84"/>
      <c r="AB22" s="73"/>
      <c r="AC22" s="23"/>
      <c r="AD22" s="77"/>
      <c r="AE22" s="29"/>
      <c r="AF22" s="29"/>
      <c r="AG22" s="29"/>
    </row>
    <row r="23" spans="1:33" s="82" customFormat="1" ht="18.75" customHeight="1">
      <c r="A23" s="40" t="s">
        <v>13</v>
      </c>
      <c r="B23" s="27">
        <v>830</v>
      </c>
      <c r="C23" s="27">
        <v>830</v>
      </c>
      <c r="D23" s="27">
        <v>830</v>
      </c>
      <c r="E23" s="27">
        <v>830</v>
      </c>
      <c r="F23" s="27">
        <v>830</v>
      </c>
      <c r="G23" s="27">
        <v>826</v>
      </c>
      <c r="H23" s="27">
        <v>826</v>
      </c>
      <c r="I23" s="103">
        <f t="shared" si="1"/>
        <v>3.3203360533826429</v>
      </c>
      <c r="J23" s="28" t="s">
        <v>98</v>
      </c>
      <c r="L23" s="83"/>
      <c r="M23" s="84"/>
      <c r="N23" s="84"/>
      <c r="O23" s="84"/>
      <c r="P23" s="84"/>
      <c r="Q23" s="84"/>
      <c r="R23" s="84"/>
      <c r="S23" s="84"/>
      <c r="T23" s="84"/>
      <c r="U23" s="84"/>
      <c r="V23" s="85"/>
      <c r="W23" s="96"/>
      <c r="X23" s="84"/>
      <c r="Y23" s="85"/>
      <c r="Z23" s="84"/>
      <c r="AA23" s="84"/>
      <c r="AB23" s="73"/>
      <c r="AC23" s="23"/>
      <c r="AD23" s="77"/>
      <c r="AE23" s="29"/>
      <c r="AF23" s="29"/>
      <c r="AG23" s="29"/>
    </row>
    <row r="24" spans="1:33" s="7" customFormat="1" ht="15.75" customHeight="1">
      <c r="A24" s="97" t="s">
        <v>138</v>
      </c>
      <c r="E24" s="69"/>
      <c r="F24" s="69"/>
      <c r="G24" s="69"/>
      <c r="H24" s="69"/>
      <c r="I24" s="69"/>
      <c r="J24" s="99" t="s">
        <v>139</v>
      </c>
      <c r="K24" s="69"/>
      <c r="L24" s="69"/>
    </row>
    <row r="25" spans="1:33" ht="20.25" customHeight="1">
      <c r="A25" s="34" t="s">
        <v>126</v>
      </c>
      <c r="B25" s="30"/>
      <c r="C25" s="30"/>
      <c r="D25" s="30"/>
      <c r="E25" s="30"/>
      <c r="F25" s="30"/>
      <c r="G25" s="30"/>
      <c r="H25" s="30"/>
      <c r="I25" s="70"/>
      <c r="J25" s="8" t="s">
        <v>127</v>
      </c>
      <c r="W25" s="93"/>
    </row>
    <row r="26" spans="1:33" ht="24" customHeight="1">
      <c r="W26" s="93"/>
      <c r="Y26" s="36"/>
      <c r="AB26" s="71" t="s">
        <v>119</v>
      </c>
      <c r="AC26" s="94">
        <f>G6</f>
        <v>464</v>
      </c>
      <c r="AD26" s="95">
        <v>3</v>
      </c>
      <c r="AE26" s="95">
        <v>3</v>
      </c>
      <c r="AF26" s="95">
        <v>3</v>
      </c>
    </row>
    <row r="27" spans="1:33">
      <c r="A27" s="35"/>
      <c r="W27" s="93"/>
      <c r="Y27" s="36"/>
      <c r="AB27" s="71" t="s">
        <v>17</v>
      </c>
      <c r="AC27" s="94">
        <f t="shared" ref="AC27:AC43" si="2">G7</f>
        <v>159</v>
      </c>
      <c r="AD27" s="95">
        <v>1</v>
      </c>
      <c r="AE27" s="95">
        <v>1</v>
      </c>
      <c r="AF27" s="95">
        <v>1</v>
      </c>
    </row>
    <row r="28" spans="1:33">
      <c r="A28" s="35"/>
      <c r="C28" s="31"/>
      <c r="D28" s="31"/>
      <c r="E28" s="31"/>
      <c r="F28" s="31"/>
      <c r="G28" s="31"/>
      <c r="H28" s="31"/>
      <c r="W28" s="93"/>
      <c r="Y28" s="36"/>
      <c r="AB28" s="71" t="s">
        <v>18</v>
      </c>
      <c r="AC28" s="94">
        <f t="shared" si="2"/>
        <v>796</v>
      </c>
      <c r="AD28" s="95">
        <v>4</v>
      </c>
      <c r="AE28" s="95">
        <v>4</v>
      </c>
      <c r="AF28" s="95">
        <v>4</v>
      </c>
    </row>
    <row r="29" spans="1:33">
      <c r="W29" s="93"/>
      <c r="Y29" s="19"/>
      <c r="AB29" s="19" t="s">
        <v>19</v>
      </c>
      <c r="AC29" s="94">
        <f t="shared" si="2"/>
        <v>656</v>
      </c>
      <c r="AD29" s="95">
        <v>2</v>
      </c>
      <c r="AE29" s="95">
        <v>2</v>
      </c>
      <c r="AF29" s="95">
        <v>2</v>
      </c>
    </row>
    <row r="30" spans="1:33">
      <c r="Y30" s="19"/>
      <c r="AB30" s="19" t="s">
        <v>25</v>
      </c>
      <c r="AC30" s="94">
        <f t="shared" si="2"/>
        <v>1704</v>
      </c>
      <c r="AD30" s="95">
        <v>8</v>
      </c>
      <c r="AE30" s="95">
        <v>8</v>
      </c>
      <c r="AF30" s="95">
        <v>8</v>
      </c>
    </row>
    <row r="31" spans="1:33">
      <c r="Y31" s="19"/>
      <c r="AB31" s="19" t="s">
        <v>20</v>
      </c>
      <c r="AC31" s="94">
        <f t="shared" si="2"/>
        <v>1636</v>
      </c>
      <c r="AD31" s="95">
        <v>5</v>
      </c>
      <c r="AE31" s="95">
        <v>5</v>
      </c>
      <c r="AF31" s="95">
        <v>5</v>
      </c>
    </row>
    <row r="32" spans="1:33">
      <c r="Y32" s="19"/>
      <c r="AB32" s="19" t="s">
        <v>21</v>
      </c>
      <c r="AC32" s="94">
        <f t="shared" si="2"/>
        <v>8968</v>
      </c>
      <c r="AD32" s="95">
        <v>43</v>
      </c>
      <c r="AE32" s="95">
        <v>43</v>
      </c>
      <c r="AF32" s="95">
        <v>43</v>
      </c>
    </row>
    <row r="33" spans="24:32">
      <c r="Y33" s="19"/>
      <c r="AB33" s="19" t="s">
        <v>120</v>
      </c>
      <c r="AC33" s="94">
        <f t="shared" si="2"/>
        <v>2216</v>
      </c>
      <c r="AD33" s="95">
        <v>13</v>
      </c>
      <c r="AE33" s="95">
        <v>13</v>
      </c>
      <c r="AF33" s="95">
        <v>13</v>
      </c>
    </row>
    <row r="34" spans="24:32">
      <c r="Y34" s="19"/>
      <c r="AB34" s="19" t="s">
        <v>125</v>
      </c>
      <c r="AC34" s="94">
        <f t="shared" si="2"/>
        <v>3862</v>
      </c>
      <c r="AD34" s="95">
        <v>16</v>
      </c>
      <c r="AE34" s="95">
        <v>16</v>
      </c>
      <c r="AF34" s="29">
        <v>17</v>
      </c>
    </row>
    <row r="35" spans="24:32">
      <c r="Y35" s="19"/>
      <c r="AB35" s="19" t="s">
        <v>28</v>
      </c>
      <c r="AC35" s="94">
        <f t="shared" si="2"/>
        <v>402</v>
      </c>
      <c r="AD35" s="95">
        <v>2</v>
      </c>
      <c r="AE35" s="95">
        <v>2</v>
      </c>
      <c r="AF35" s="95">
        <v>2</v>
      </c>
    </row>
    <row r="36" spans="24:32">
      <c r="Y36" s="36"/>
      <c r="AB36" s="71" t="s">
        <v>23</v>
      </c>
      <c r="AC36" s="94">
        <f t="shared" si="2"/>
        <v>400</v>
      </c>
      <c r="AD36" s="95">
        <v>2</v>
      </c>
      <c r="AE36" s="95">
        <v>2</v>
      </c>
      <c r="AF36" s="95">
        <v>2</v>
      </c>
    </row>
    <row r="37" spans="24:32">
      <c r="Y37" s="36"/>
      <c r="AB37" s="71" t="s">
        <v>121</v>
      </c>
      <c r="AC37" s="94">
        <f t="shared" si="2"/>
        <v>250</v>
      </c>
      <c r="AD37" s="95">
        <v>1</v>
      </c>
      <c r="AE37" s="95">
        <v>1</v>
      </c>
      <c r="AF37" s="95">
        <v>1</v>
      </c>
    </row>
    <row r="38" spans="24:32">
      <c r="Y38" s="37"/>
      <c r="AB38" s="72" t="s">
        <v>122</v>
      </c>
      <c r="AC38" s="94">
        <f t="shared" si="2"/>
        <v>590</v>
      </c>
      <c r="AD38" s="95">
        <v>3</v>
      </c>
      <c r="AE38" s="95">
        <v>3</v>
      </c>
      <c r="AF38" s="29">
        <v>4</v>
      </c>
    </row>
    <row r="39" spans="24:32">
      <c r="Y39" s="38"/>
      <c r="Z39" s="78"/>
      <c r="AB39" s="73" t="s">
        <v>130</v>
      </c>
      <c r="AC39" s="94">
        <f t="shared" si="2"/>
        <v>132</v>
      </c>
      <c r="AD39" s="95">
        <v>1</v>
      </c>
      <c r="AE39" s="95">
        <v>1</v>
      </c>
      <c r="AF39" s="98">
        <v>1</v>
      </c>
    </row>
    <row r="40" spans="24:32">
      <c r="X40" s="81"/>
      <c r="Y40" s="38"/>
      <c r="Z40" s="79"/>
      <c r="AA40" s="76"/>
      <c r="AB40" s="73" t="s">
        <v>22</v>
      </c>
      <c r="AC40" s="94">
        <f t="shared" si="2"/>
        <v>194</v>
      </c>
      <c r="AD40" s="95">
        <v>1</v>
      </c>
      <c r="AE40" s="95">
        <v>1</v>
      </c>
      <c r="AF40" s="98">
        <v>1</v>
      </c>
    </row>
    <row r="41" spans="24:32">
      <c r="X41" s="81"/>
      <c r="Y41" s="38"/>
      <c r="Z41" s="79"/>
      <c r="AA41" s="76"/>
      <c r="AB41" s="74" t="s">
        <v>123</v>
      </c>
      <c r="AC41" s="94">
        <f t="shared" si="2"/>
        <v>576</v>
      </c>
      <c r="AD41" s="95">
        <v>4</v>
      </c>
      <c r="AE41" s="95">
        <v>4</v>
      </c>
      <c r="AF41" s="98">
        <v>4</v>
      </c>
    </row>
    <row r="42" spans="24:32">
      <c r="X42" s="81"/>
      <c r="Y42" s="38"/>
      <c r="Z42" s="79"/>
      <c r="AA42" s="76"/>
      <c r="AB42" s="71" t="s">
        <v>124</v>
      </c>
      <c r="AC42" s="94">
        <f t="shared" si="2"/>
        <v>200</v>
      </c>
      <c r="AD42" s="95">
        <v>1</v>
      </c>
      <c r="AE42" s="95">
        <v>1</v>
      </c>
      <c r="AF42" s="98">
        <v>3</v>
      </c>
    </row>
    <row r="43" spans="24:32">
      <c r="X43" s="81"/>
      <c r="Y43" s="38"/>
      <c r="Z43" s="79"/>
      <c r="AA43" s="76"/>
      <c r="AB43" s="75" t="s">
        <v>24</v>
      </c>
      <c r="AC43" s="94">
        <f t="shared" si="2"/>
        <v>826</v>
      </c>
      <c r="AD43" s="95">
        <v>2</v>
      </c>
      <c r="AE43" s="95">
        <v>2</v>
      </c>
      <c r="AF43" s="98">
        <v>2</v>
      </c>
    </row>
    <row r="44" spans="24:32">
      <c r="X44" s="81"/>
      <c r="Y44" s="79"/>
      <c r="Z44" s="79"/>
      <c r="AA44" s="76"/>
      <c r="AF44" s="29">
        <f>SUM(AF26:AF43)</f>
        <v>116</v>
      </c>
    </row>
    <row r="45" spans="24:32">
      <c r="X45" s="81"/>
      <c r="Y45" s="79"/>
      <c r="Z45" s="79"/>
      <c r="AA45" s="76"/>
    </row>
    <row r="46" spans="24:32">
      <c r="X46" s="81"/>
      <c r="Y46" s="79"/>
      <c r="Z46" s="79"/>
      <c r="AA46" s="76"/>
    </row>
    <row r="47" spans="24:32">
      <c r="X47" s="81"/>
      <c r="Y47" s="79"/>
      <c r="Z47" s="79"/>
      <c r="AA47" s="76"/>
    </row>
    <row r="48" spans="24:32">
      <c r="X48" s="81"/>
      <c r="Y48" s="79"/>
      <c r="Z48" s="79"/>
      <c r="AA48" s="76"/>
    </row>
    <row r="49" spans="24:27">
      <c r="X49" s="81"/>
      <c r="Y49" s="79"/>
      <c r="Z49" s="79"/>
      <c r="AA49" s="76"/>
    </row>
  </sheetData>
  <mergeCells count="4">
    <mergeCell ref="A2:J2"/>
    <mergeCell ref="A3:A4"/>
    <mergeCell ref="A1:J1"/>
    <mergeCell ref="B3:H3"/>
  </mergeCells>
  <pageMargins left="0.7" right="0.7" top="0.51" bottom="0.75" header="0.3" footer="0.3"/>
  <pageSetup paperSize="9" scale="95" orientation="landscape" r:id="rId1"/>
  <rowBreaks count="1" manualBreakCount="1">
    <brk id="2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10.8</vt:lpstr>
      <vt:lpstr>'10.8'!Print_Area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2016-07-18T08:15:56Z</cp:lastPrinted>
  <dcterms:created xsi:type="dcterms:W3CDTF">2007-02-07T06:41:32Z</dcterms:created>
  <dcterms:modified xsi:type="dcterms:W3CDTF">2016-07-18T08:16:22Z</dcterms:modified>
</cp:coreProperties>
</file>