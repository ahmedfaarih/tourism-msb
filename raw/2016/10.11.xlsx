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11" sheetId="50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'10.11'!$A$1:$E$183</definedName>
    <definedName name="Print_Area_MI">#REF!</definedName>
    <definedName name="_xlnm.Print_Titles" localSheetId="1">'10.11'!$4:$4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D181" i="50" l="1"/>
  <c r="D174" i="50"/>
  <c r="D161" i="50"/>
  <c r="D154" i="50"/>
  <c r="D146" i="50"/>
  <c r="D137" i="50"/>
  <c r="D131" i="50"/>
  <c r="D125" i="50"/>
  <c r="D120" i="50"/>
  <c r="D115" i="50"/>
  <c r="D79" i="50"/>
  <c r="D76" i="50"/>
  <c r="D66" i="50"/>
  <c r="D53" i="50"/>
  <c r="D30" i="50"/>
  <c r="D17" i="50"/>
  <c r="D13" i="50"/>
  <c r="D8" i="50"/>
  <c r="D5" i="50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<sst xmlns="http://schemas.openxmlformats.org/spreadsheetml/2006/main" count="402" uniqueCount="256">
  <si>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</si>
  <si>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</si>
  <si>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</si>
  <si>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</si>
  <si>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</si>
  <si>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</si>
  <si>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</si>
  <si>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</si>
  <si>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</si>
  <si>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</si>
  <si>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</si>
  <si>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</si>
  <si>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</si>
  <si>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</si>
  <si>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</si>
  <si>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</si>
  <si>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</si>
  <si>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</si>
  <si>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</si>
  <si>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</si>
  <si>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</si>
  <si>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</si>
  <si>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</si>
  <si>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</si>
  <si>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</si>
  <si>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</si>
  <si>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</si>
  <si>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</si>
  <si>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</si>
  <si>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</si>
  <si>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</si>
  <si>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</si>
  <si>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</si>
  <si>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</si>
  <si>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</si>
  <si>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</si>
  <si>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</si>
  <si>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</si>
  <si>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</si>
  <si>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</si>
  <si>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</si>
  <si>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</si>
  <si>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</si>
  <si>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</si>
  <si>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</si>
  <si>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</si>
  <si>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</si>
  <si>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</si>
  <si>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</si>
  <si>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</si>
  <si>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</si>
  <si>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</si>
  <si>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</si>
  <si>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</si>
  <si>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</si>
  <si>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</si>
  <si>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</si>
  <si>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</si>
  <si>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</si>
  <si>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</si>
  <si>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</si>
  <si>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</si>
  <si>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</si>
  <si>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</si>
  <si>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</si>
  <si>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</si>
  <si>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</si>
  <si>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</si>
  <si>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</si>
  <si>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</si>
  <si>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_</t>
  </si>
  <si>
    <t>Source: Ministry of Tourism</t>
  </si>
  <si>
    <t>ތާވަލު 10.11:  އަލަށް ތަރައްޤީކުރުމަށް ކުއްޔަށްދޫކުރެވިފައިވާ ރިސޯޓް/ހޮޓެލްތަކާއި އަދި ހުޅުވުމަށް ގަސްދުކުރެވިފައިވާ ތާރީޚް</t>
  </si>
  <si>
    <t>Table 10.11 :NEW ISLANDS LEASED FOR RESORT/HOTEL DEVELOPMENT AND THEIR ESTIMATED OPENING DATE</t>
  </si>
  <si>
    <t>Island</t>
  </si>
  <si>
    <t>No. of Beds to be Developed</t>
  </si>
  <si>
    <t>Estimated Opening Date</t>
  </si>
  <si>
    <t xml:space="preserve">Haa Alif Atoll </t>
  </si>
  <si>
    <t xml:space="preserve">Haa Dhaal Atoll </t>
  </si>
  <si>
    <t xml:space="preserve">Shaviyani Atoll </t>
  </si>
  <si>
    <t xml:space="preserve">Noon Atoll </t>
  </si>
  <si>
    <t xml:space="preserve">Raa Atoll </t>
  </si>
  <si>
    <t xml:space="preserve">Baa Atoll </t>
  </si>
  <si>
    <t xml:space="preserve">Lhaviyani Atoll </t>
  </si>
  <si>
    <t>Male' (Capital)</t>
  </si>
  <si>
    <t xml:space="preserve">Kaaf Atoll </t>
  </si>
  <si>
    <t xml:space="preserve">Alif Alif Atoll </t>
  </si>
  <si>
    <t xml:space="preserve">Alif Dhaal Atoll </t>
  </si>
  <si>
    <t xml:space="preserve">Vaav Atoll </t>
  </si>
  <si>
    <t xml:space="preserve">Meem Atoll </t>
  </si>
  <si>
    <t xml:space="preserve">Faaf Atoll </t>
  </si>
  <si>
    <t xml:space="preserve">Dhaal Atoll </t>
  </si>
  <si>
    <t xml:space="preserve">Thaa Atoll </t>
  </si>
  <si>
    <t xml:space="preserve">Laam Atoll </t>
  </si>
  <si>
    <t xml:space="preserve">Gaaf Alif Atoll </t>
  </si>
  <si>
    <t xml:space="preserve">Gaaf Dhaal Atoll </t>
  </si>
  <si>
    <t xml:space="preserve">Seenu Atoll </t>
  </si>
  <si>
    <t>Berinmadhoo</t>
  </si>
  <si>
    <t>Vashafaru</t>
  </si>
  <si>
    <t>N/A</t>
  </si>
  <si>
    <t>Hondaafushi</t>
  </si>
  <si>
    <t>Naagoashi</t>
  </si>
  <si>
    <t>Nolhivaranfaru Trainning Facility</t>
  </si>
  <si>
    <t xml:space="preserve">Plot of Land in Nolhivaranfaru </t>
  </si>
  <si>
    <t>Dholhiyadhoo</t>
  </si>
  <si>
    <t>Gaakoshibee</t>
  </si>
  <si>
    <t>Kanbaalifaru</t>
  </si>
  <si>
    <t>Dhigurah</t>
  </si>
  <si>
    <t>Ehdhufaru</t>
  </si>
  <si>
    <t>Ekulhivaru</t>
  </si>
  <si>
    <t>Huivani</t>
  </si>
  <si>
    <t>Huvandhumaavattaru</t>
  </si>
  <si>
    <t>Kunnamelei</t>
  </si>
  <si>
    <t>Kuredivaru</t>
  </si>
  <si>
    <t>Maafaru Lagoon Plot (MARINA)</t>
  </si>
  <si>
    <t>Maavelaavaru</t>
  </si>
  <si>
    <t>Medhufaru</t>
  </si>
  <si>
    <t>Orivaru</t>
  </si>
  <si>
    <t>Raafushi</t>
  </si>
  <si>
    <t>Aarah</t>
  </si>
  <si>
    <t>Bodufaru Finolhu</t>
  </si>
  <si>
    <t xml:space="preserve">Bodufushi </t>
  </si>
  <si>
    <t>Dhigali</t>
  </si>
  <si>
    <t>Eththigili</t>
  </si>
  <si>
    <t>Faarufushi</t>
  </si>
  <si>
    <t>Fasmendhoo</t>
  </si>
  <si>
    <t>Filaidhoo</t>
  </si>
  <si>
    <t>Fuggiri</t>
  </si>
  <si>
    <t>Huruvalhi</t>
  </si>
  <si>
    <t>Ifuru Transit Hotel</t>
  </si>
  <si>
    <t>Kan'doogan'du and Veyvah</t>
  </si>
  <si>
    <t>Kothaifaru and Kuroshigili</t>
  </si>
  <si>
    <t>Kottafaru</t>
  </si>
  <si>
    <t>Kudafushi</t>
  </si>
  <si>
    <t>Kudakurathu</t>
  </si>
  <si>
    <t>Lundhufushi</t>
  </si>
  <si>
    <t>Maamunagau</t>
  </si>
  <si>
    <t>Maanenfushi</t>
  </si>
  <si>
    <t>Madivaafaru</t>
  </si>
  <si>
    <t>Muravandhoo</t>
  </si>
  <si>
    <t>Uthurumaafaru</t>
  </si>
  <si>
    <t>Dhandhoo</t>
  </si>
  <si>
    <t>Dhigudhefaru</t>
  </si>
  <si>
    <t>Dhigufaru Vinagandu</t>
  </si>
  <si>
    <t>Funadhoo- bodufushi swap- Madivafaru swap (Ifuru airport)</t>
  </si>
  <si>
    <t>NA</t>
  </si>
  <si>
    <t>Hirundhoo</t>
  </si>
  <si>
    <t>Maamaduvvari</t>
  </si>
  <si>
    <t>Mendhoo</t>
  </si>
  <si>
    <t>Milaidhoo</t>
  </si>
  <si>
    <t>Miriandhoo</t>
  </si>
  <si>
    <t>Muthaafushi</t>
  </si>
  <si>
    <t>Vakkaru</t>
  </si>
  <si>
    <t>Voavah</t>
  </si>
  <si>
    <t>Dherufinolhu</t>
  </si>
  <si>
    <t>Fushifaru</t>
  </si>
  <si>
    <t>Hudhufushi</t>
  </si>
  <si>
    <t>Huravalhi</t>
  </si>
  <si>
    <t>Innahuraa</t>
  </si>
  <si>
    <t>Kudadhoo</t>
  </si>
  <si>
    <t>Maabinhuraa</t>
  </si>
  <si>
    <t>Ookolhu Finolhu</t>
  </si>
  <si>
    <t>Veyvah</t>
  </si>
  <si>
    <t>Male'  Hotel</t>
  </si>
  <si>
    <t>Nasandhura Palace Hotel</t>
  </si>
  <si>
    <t>Akirifushi</t>
  </si>
  <si>
    <t>Bolidhuffaru &amp; Vaavedhdhi Faru</t>
  </si>
  <si>
    <t>Dhifushi Falhu</t>
  </si>
  <si>
    <t>Embudu Lagoon</t>
  </si>
  <si>
    <t>Huraa Guest House</t>
  </si>
  <si>
    <t>Kodhipparu Lagoon</t>
  </si>
  <si>
    <t>Kodhipparu Lagoon 4° 14'58.49"N 73°, 21'59.75"E,</t>
  </si>
  <si>
    <t>Kohdhipparu</t>
  </si>
  <si>
    <t>Kuda Bandos</t>
  </si>
  <si>
    <t>Kuda Villigili</t>
  </si>
  <si>
    <t>Lagoon (3°55'33.81" N 73°21'18.50"E)</t>
  </si>
  <si>
    <t>Lagoon (4°16'40.06" N 73°21'7.27"E)</t>
  </si>
  <si>
    <t>Lagoon 17 (The Ocean Flower)</t>
  </si>
  <si>
    <t>Lagoon 19 (white Lagoon)</t>
  </si>
  <si>
    <t>Lagoon 37 (Amillarah)</t>
  </si>
  <si>
    <t>Lagoon 7 (Green Star)</t>
  </si>
  <si>
    <t>Lagoon 9 (Golf Course)</t>
  </si>
  <si>
    <t>Maadhoo finolhu</t>
  </si>
  <si>
    <t>Male atoll Lagoon, coodinates 4'19'0.85"N73'20'43.59"E</t>
  </si>
  <si>
    <t>Olhahali</t>
  </si>
  <si>
    <t xml:space="preserve">Plot of lagoon (4°03’25.1”N, 73°23’16.2”E) </t>
  </si>
  <si>
    <t>Plot of Lagoon (3°49'30.32"N, 73°26'19.37"E)</t>
  </si>
  <si>
    <t>Plot of Lagoon</t>
  </si>
  <si>
    <t>Plot of Lagoon (4°40’49.9”N, 73°31’34.2”E)</t>
  </si>
  <si>
    <t>Plot of Lagoons (4°40’28.8”N, 73°32’02.2”E AND 4°40’18.4”N, 73°32’24.6”E) E’</t>
  </si>
  <si>
    <t xml:space="preserve">Plot of lagoon (4°37’28.1”N, 73°23’37.4”E) </t>
  </si>
  <si>
    <t>Plot of Lagoon 4°0'47.62" N 73°22'57.86"E</t>
  </si>
  <si>
    <t>Plot of Lagoon 4°15'58.82"N 73°25'18.90"E</t>
  </si>
  <si>
    <t>Plot of Lagoon 4°30'35.50" N 73°39'57.99"E
Lagoon 4°31'9.68"N 73°39'9.44"E
Lagoon 4°30'56.11"N 73°38'22.41"E</t>
  </si>
  <si>
    <t>Thanburudhoo</t>
  </si>
  <si>
    <t>Tholhi Maraa Huraa</t>
  </si>
  <si>
    <t>Nakacha Huraa (Lagoon)</t>
  </si>
  <si>
    <t>Maadhiggaru Falhu</t>
  </si>
  <si>
    <t xml:space="preserve">Madivaru </t>
  </si>
  <si>
    <t>Rah Falhu Huraa</t>
  </si>
  <si>
    <t>Etheremadivaru</t>
  </si>
  <si>
    <t>Maagaa</t>
  </si>
  <si>
    <t>Mathiveri Finolhu</t>
  </si>
  <si>
    <t xml:space="preserve">Rasdhoo Madivaru </t>
  </si>
  <si>
    <t>Bodufinolhu</t>
  </si>
  <si>
    <t>Dhidhoo</t>
  </si>
  <si>
    <t>Heenfaru</t>
  </si>
  <si>
    <t>Innafushi</t>
  </si>
  <si>
    <t>Ambara</t>
  </si>
  <si>
    <t>Foththeyo</t>
  </si>
  <si>
    <t>Kunaavashi</t>
  </si>
  <si>
    <t>Vashugiri</t>
  </si>
  <si>
    <t>Dhekunu Boduveli, Gasveli, Kudausfushi</t>
  </si>
  <si>
    <t>Madifushi</t>
  </si>
  <si>
    <t>Uthuruboduveli and Hurasveli/ Gasveli</t>
  </si>
  <si>
    <t xml:space="preserve">Himithi </t>
  </si>
  <si>
    <t>Maafushi &amp; Kendhigan'du</t>
  </si>
  <si>
    <t>Maagau</t>
  </si>
  <si>
    <t>Vommuli</t>
  </si>
  <si>
    <t>Aluvifushi</t>
  </si>
  <si>
    <t>Hiriyaafushi</t>
  </si>
  <si>
    <t>Kadinma</t>
  </si>
  <si>
    <t>Kendhigandu Bodufushi</t>
  </si>
  <si>
    <t>Kudahuvadhoo Lagoon Plot (MARINA)</t>
  </si>
  <si>
    <t>Ekuruffushifinolhu</t>
  </si>
  <si>
    <t>Elaa</t>
  </si>
  <si>
    <t>Kalhudhiyafushi</t>
  </si>
  <si>
    <t>Kalhufahalafushi</t>
  </si>
  <si>
    <t>Olhugiri</t>
  </si>
  <si>
    <t>Ruhthibirah</t>
  </si>
  <si>
    <t>Vanbadhi and Kani</t>
  </si>
  <si>
    <t>Baresdhoo</t>
  </si>
  <si>
    <t>Bodufinolhu &amp; Gasgandufinolhu</t>
  </si>
  <si>
    <t>Boduhuraa, fares and kudafares.</t>
  </si>
  <si>
    <t>Gan</t>
  </si>
  <si>
    <t>Gan Medical Resort</t>
  </si>
  <si>
    <t>Vadinolhu</t>
  </si>
  <si>
    <t>Maanagala</t>
  </si>
  <si>
    <t>Dhevvamaagala</t>
  </si>
  <si>
    <t>Keredhoo</t>
  </si>
  <si>
    <t>Kondeymatheelaabadhu</t>
  </si>
  <si>
    <t>Kooddoo Hotel</t>
  </si>
  <si>
    <t>Maamutaa</t>
  </si>
  <si>
    <t>Maarandhoo</t>
  </si>
  <si>
    <t>Maarehaa</t>
  </si>
  <si>
    <t>Mahadhdhoo</t>
  </si>
  <si>
    <t>Plot of Land in Kooddoo</t>
  </si>
  <si>
    <t>Vodamulaa</t>
  </si>
  <si>
    <t>Gazeera</t>
  </si>
  <si>
    <t>Kaishidhoo</t>
  </si>
  <si>
    <t>Lonudhuahuttaa</t>
  </si>
  <si>
    <t>Ufulandhoo</t>
  </si>
  <si>
    <t>Vaadhoo</t>
  </si>
  <si>
    <t>Vatavarrehaa</t>
  </si>
  <si>
    <t>Hankede</t>
  </si>
  <si>
    <t>Updated: 30 Jun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</si>
</sst>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  <numFmt numFmtId="172" formatCode="[$-409]mmm\-yyyy;@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8" fontId="4" fillId="0" borderId="0"/>
    <xf numFmtId="0" fontId="3" fillId="0" borderId="0"/>
    <xf numFmtId="1" fontId="13" fillId="0" borderId="1" applyNumberFormat="0"/>
    <xf numFmtId="0" fontId="3" fillId="0" borderId="0"/>
    <xf numFmtId="0" fontId="16" fillId="0" borderId="0"/>
    <xf numFmtId="0" fontId="14" fillId="0" borderId="0"/>
    <xf numFmtId="0" fontId="3" fillId="0" borderId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3" fillId="0" borderId="0"/>
  </cellStyleXfs>
  <cellXfs count="85">
    <xf numFmtId="0" fontId="0" fillId="0" borderId="0" xfId="0"/>
    <xf numFmtId="0" fontId="0" fillId="2" borderId="0" xfId="0" applyFill="1"/>
    <xf numFmtId="49" fontId="19" fillId="2" borderId="3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/>
    </xf>
    <xf numFmtId="37" fontId="7" fillId="2" borderId="0" xfId="0" applyNumberFormat="1" applyFont="1" applyFill="1" applyAlignment="1" applyProtection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Border="1" applyAlignment="1" applyProtection="1">
      <alignment horizontal="center" vertical="center"/>
    </xf>
    <xf numFmtId="49" fontId="19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0" fillId="4" borderId="10" xfId="2" applyNumberFormat="1" applyFont="1" applyFill="1" applyBorder="1" applyAlignment="1" applyProtection="1">
      <alignment horizontal="left" vertical="center"/>
    </xf>
    <xf numFmtId="170" fontId="20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20" fillId="4" borderId="0" xfId="2" applyNumberFormat="1" applyFont="1" applyFill="1" applyBorder="1" applyAlignment="1">
      <alignment vertical="center"/>
    </xf>
    <xf numFmtId="170" fontId="20" fillId="4" borderId="8" xfId="2" applyNumberFormat="1" applyFont="1" applyFill="1" applyBorder="1" applyAlignment="1">
      <alignment vertical="center"/>
    </xf>
    <xf numFmtId="0" fontId="19" fillId="2" borderId="4" xfId="0" applyFont="1" applyFill="1" applyBorder="1" applyAlignment="1" applyProtection="1">
      <alignment horizontal="right" vertical="center"/>
    </xf>
    <xf numFmtId="0" fontId="19" fillId="3" borderId="7" xfId="0" applyFont="1" applyFill="1" applyBorder="1" applyAlignment="1" applyProtection="1">
      <alignment horizontal="right" vertical="center"/>
    </xf>
    <xf numFmtId="167" fontId="20" fillId="4" borderId="0" xfId="0" applyNumberFormat="1" applyFont="1" applyFill="1" applyBorder="1" applyAlignment="1">
      <alignment vertical="center"/>
    </xf>
    <xf numFmtId="167" fontId="18" fillId="4" borderId="0" xfId="0" applyNumberFormat="1" applyFont="1" applyFill="1" applyBorder="1" applyAlignment="1">
      <alignment vertical="center"/>
    </xf>
    <xf numFmtId="167" fontId="18" fillId="4" borderId="8" xfId="0" applyNumberFormat="1" applyFont="1" applyFill="1" applyBorder="1" applyAlignment="1">
      <alignment vertical="center"/>
    </xf>
    <xf numFmtId="169" fontId="20" fillId="2" borderId="10" xfId="2" applyNumberFormat="1" applyFont="1" applyFill="1" applyBorder="1" applyAlignment="1" applyProtection="1">
      <alignment horizontal="left" vertical="center"/>
    </xf>
    <xf numFmtId="170" fontId="20" fillId="2" borderId="11" xfId="2" applyNumberFormat="1" applyFont="1" applyFill="1" applyBorder="1" applyAlignment="1">
      <alignment vertical="center"/>
    </xf>
    <xf numFmtId="170" fontId="20" fillId="2" borderId="0" xfId="2" applyNumberFormat="1" applyFont="1" applyFill="1" applyBorder="1" applyAlignment="1">
      <alignment vertical="center"/>
    </xf>
    <xf numFmtId="170" fontId="20" fillId="3" borderId="8" xfId="2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8" fillId="3" borderId="8" xfId="0" applyNumberFormat="1" applyFont="1" applyFill="1" applyBorder="1" applyAlignment="1">
      <alignment vertical="center"/>
    </xf>
    <xf numFmtId="169" fontId="20" fillId="2" borderId="12" xfId="2" applyNumberFormat="1" applyFont="1" applyFill="1" applyBorder="1" applyAlignment="1" applyProtection="1">
      <alignment horizontal="left" vertical="center"/>
    </xf>
    <xf numFmtId="170" fontId="20" fillId="2" borderId="13" xfId="2" applyNumberFormat="1" applyFont="1" applyFill="1" applyBorder="1" applyAlignment="1">
      <alignment vertical="center"/>
    </xf>
    <xf numFmtId="170" fontId="20" fillId="2" borderId="2" xfId="2" applyNumberFormat="1" applyFont="1" applyFill="1" applyBorder="1" applyAlignment="1">
      <alignment vertical="center"/>
    </xf>
    <xf numFmtId="170" fontId="20" fillId="3" borderId="7" xfId="2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8" fillId="3" borderId="7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0" fontId="17" fillId="2" borderId="3" xfId="4" applyFont="1" applyFill="1" applyBorder="1" applyAlignment="1">
      <alignment vertical="center" wrapText="1"/>
    </xf>
    <xf numFmtId="0" fontId="17" fillId="2" borderId="3" xfId="4" applyFont="1" applyFill="1" applyBorder="1" applyAlignment="1">
      <alignment horizontal="center" vertical="center" wrapText="1"/>
    </xf>
    <xf numFmtId="0" fontId="17" fillId="2" borderId="0" xfId="4" applyFont="1" applyFill="1" applyBorder="1" applyAlignment="1">
      <alignment vertical="center"/>
    </xf>
    <xf numFmtId="0" fontId="17" fillId="2" borderId="0" xfId="4" applyFont="1" applyFill="1" applyBorder="1" applyAlignment="1">
      <alignment vertical="center" wrapText="1"/>
    </xf>
    <xf numFmtId="3" fontId="17" fillId="2" borderId="0" xfId="4" applyNumberFormat="1" applyFont="1" applyFill="1" applyBorder="1" applyAlignment="1">
      <alignment horizontal="center" vertical="center" wrapText="1"/>
    </xf>
    <xf numFmtId="0" fontId="17" fillId="2" borderId="6" xfId="4" applyFont="1" applyFill="1" applyBorder="1" applyAlignment="1">
      <alignment vertical="center"/>
    </xf>
    <xf numFmtId="0" fontId="22" fillId="2" borderId="0" xfId="4" applyFont="1" applyFill="1" applyBorder="1"/>
    <xf numFmtId="0" fontId="1" fillId="2" borderId="0" xfId="0" applyFont="1" applyFill="1" applyBorder="1"/>
    <xf numFmtId="0" fontId="1" fillId="2" borderId="0" xfId="4" applyFont="1" applyFill="1" applyBorder="1"/>
    <xf numFmtId="0" fontId="1" fillId="2" borderId="0" xfId="4" applyFont="1" applyFill="1" applyBorder="1" applyAlignment="1">
      <alignment horizontal="center"/>
    </xf>
    <xf numFmtId="0" fontId="1" fillId="2" borderId="0" xfId="4" applyFont="1" applyFill="1" applyBorder="1" applyAlignment="1">
      <alignment vertical="center"/>
    </xf>
    <xf numFmtId="0" fontId="1" fillId="2" borderId="9" xfId="4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2" borderId="0" xfId="4" applyNumberFormat="1" applyFont="1" applyFill="1" applyBorder="1" applyAlignment="1">
      <alignment horizontal="center" vertical="center"/>
    </xf>
    <xf numFmtId="0" fontId="17" fillId="2" borderId="6" xfId="4" applyFont="1" applyFill="1" applyBorder="1" applyAlignment="1">
      <alignment vertical="center" wrapText="1"/>
    </xf>
    <xf numFmtId="3" fontId="17" fillId="2" borderId="6" xfId="4" applyNumberFormat="1" applyFont="1" applyFill="1" applyBorder="1" applyAlignment="1">
      <alignment horizontal="center" vertical="center" wrapText="1"/>
    </xf>
    <xf numFmtId="3" fontId="1" fillId="2" borderId="9" xfId="4" applyNumberFormat="1" applyFont="1" applyFill="1" applyBorder="1" applyAlignment="1">
      <alignment horizontal="center" vertical="center"/>
    </xf>
    <xf numFmtId="0" fontId="1" fillId="2" borderId="0" xfId="4" applyFont="1" applyFill="1" applyBorder="1" applyAlignment="1">
      <alignment horizontal="left" vertical="center" wrapText="1"/>
    </xf>
    <xf numFmtId="0" fontId="23" fillId="2" borderId="0" xfId="4" applyFont="1" applyFill="1" applyBorder="1" applyAlignment="1">
      <alignment horizontal="right" vertical="center"/>
    </xf>
    <xf numFmtId="0" fontId="1" fillId="2" borderId="0" xfId="4" applyFont="1" applyFill="1" applyBorder="1" applyAlignment="1">
      <alignment horizontal="right" vertical="center"/>
    </xf>
    <xf numFmtId="0" fontId="17" fillId="2" borderId="3" xfId="4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/>
    </xf>
    <xf numFmtId="172" fontId="17" fillId="2" borderId="0" xfId="4" applyNumberFormat="1" applyFont="1" applyFill="1" applyBorder="1" applyAlignment="1">
      <alignment horizontal="right" vertical="center" wrapText="1" indent="6"/>
    </xf>
    <xf numFmtId="172" fontId="1" fillId="2" borderId="0" xfId="4" applyNumberFormat="1" applyFont="1" applyFill="1" applyBorder="1" applyAlignment="1">
      <alignment horizontal="right" vertical="center" indent="6"/>
    </xf>
    <xf numFmtId="172" fontId="17" fillId="2" borderId="6" xfId="4" applyNumberFormat="1" applyFont="1" applyFill="1" applyBorder="1" applyAlignment="1">
      <alignment horizontal="right" vertical="center" wrapText="1" indent="6"/>
    </xf>
    <xf numFmtId="172" fontId="1" fillId="2" borderId="9" xfId="4" applyNumberFormat="1" applyFont="1" applyFill="1" applyBorder="1" applyAlignment="1">
      <alignment horizontal="right" vertical="center" indent="6"/>
    </xf>
    <xf numFmtId="172" fontId="1" fillId="2" borderId="9" xfId="4" quotePrefix="1" applyNumberFormat="1" applyFont="1" applyFill="1" applyBorder="1" applyAlignment="1">
      <alignment horizontal="right" vertical="center" indent="6"/>
    </xf>
    <xf numFmtId="172" fontId="1" fillId="2" borderId="0" xfId="4" quotePrefix="1" applyNumberFormat="1" applyFont="1" applyFill="1" applyBorder="1" applyAlignment="1">
      <alignment horizontal="right" vertical="center" indent="6"/>
    </xf>
    <xf numFmtId="0" fontId="1" fillId="2" borderId="2" xfId="4" applyFont="1" applyFill="1" applyBorder="1" applyAlignment="1">
      <alignment vertical="center"/>
    </xf>
    <xf numFmtId="3" fontId="1" fillId="2" borderId="2" xfId="4" applyNumberFormat="1" applyFont="1" applyFill="1" applyBorder="1" applyAlignment="1">
      <alignment horizontal="center" vertical="center"/>
    </xf>
    <xf numFmtId="172" fontId="1" fillId="2" borderId="2" xfId="4" applyNumberFormat="1" applyFont="1" applyFill="1" applyBorder="1" applyAlignment="1">
      <alignment horizontal="right" vertical="center" indent="6"/>
    </xf>
    <xf numFmtId="0" fontId="19" fillId="2" borderId="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5" xfId="0" applyFill="1" applyBorder="1"/>
    <xf numFmtId="0" fontId="12" fillId="2" borderId="1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/>
    </xf>
    <xf numFmtId="0" fontId="25" fillId="2" borderId="0" xfId="7" applyFont="1" applyFill="1" applyBorder="1" applyAlignment="1">
      <alignment horizontal="center" vertical="center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1FFFF"/>
      <color rgb="FF33CCCC"/>
      <color rgb="FF1C706E"/>
      <color rgb="FF8AE4E2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12608"/>
        <c:axId val="74251264"/>
      </c:barChart>
      <c:catAx>
        <c:axId val="5741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251264"/>
        <c:crosses val="autoZero"/>
        <c:auto val="1"/>
        <c:lblAlgn val="ctr"/>
        <c:lblOffset val="100"/>
        <c:noMultiLvlLbl val="0"/>
      </c:catAx>
      <c:valAx>
        <c:axId val="7425126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5741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78976"/>
        <c:axId val="103764352"/>
      </c:barChart>
      <c:catAx>
        <c:axId val="10087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764352"/>
        <c:crosses val="autoZero"/>
        <c:auto val="1"/>
        <c:lblAlgn val="ctr"/>
        <c:lblOffset val="100"/>
        <c:noMultiLvlLbl val="0"/>
      </c:catAx>
      <c:valAx>
        <c:axId val="103764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878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10%20%20TOURISM_min%20of%20tourism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>
        <row r="22">
          <cell r="Z22" t="str">
            <v>Lease Holder</v>
          </cell>
          <cell r="AA22" t="str">
            <v>Operator</v>
          </cell>
          <cell r="AB22" t="str">
            <v>Management</v>
          </cell>
        </row>
        <row r="23">
          <cell r="Y23" t="str">
            <v>Local (L)</v>
          </cell>
          <cell r="Z23">
            <v>77</v>
          </cell>
          <cell r="AA23">
            <v>49</v>
          </cell>
          <cell r="AB23">
            <v>46</v>
          </cell>
        </row>
        <row r="24">
          <cell r="Y24" t="str">
            <v>Joint Venture (JV)</v>
          </cell>
          <cell r="Z24">
            <v>20</v>
          </cell>
          <cell r="AA24">
            <v>21</v>
          </cell>
          <cell r="AB24">
            <v>19</v>
          </cell>
        </row>
        <row r="25">
          <cell r="Y25" t="str">
            <v>Foreign (F)</v>
          </cell>
          <cell r="Z25">
            <v>18</v>
          </cell>
          <cell r="AA25">
            <v>45</v>
          </cell>
          <cell r="AB25">
            <v>50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68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M1" s="2" t="s">
        <v>0</v>
      </c>
      <c r="N1" s="2" t="s">
        <v>2</v>
      </c>
      <c r="O1" s="2" t="s">
        <v>57</v>
      </c>
      <c r="P1" s="2" t="s">
        <v>60</v>
      </c>
      <c r="Q1" s="8" t="s">
        <v>62</v>
      </c>
      <c r="S1" s="9">
        <f>Q2/M2</f>
        <v>5.5298836452988356</v>
      </c>
      <c r="T1" s="10" t="s">
        <v>65</v>
      </c>
      <c r="U1" s="10"/>
    </row>
    <row r="2" spans="1:21" ht="9.75" customHeight="1">
      <c r="A2" s="69" t="s">
        <v>64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11" t="s">
        <v>30</v>
      </c>
      <c r="M2" s="12">
        <f>M4/1000</f>
        <v>41.511000000000003</v>
      </c>
      <c r="N2" s="12">
        <f>N4/1000</f>
        <v>60.665999999999997</v>
      </c>
      <c r="O2" s="12">
        <f>O4/1000</f>
        <v>118.961</v>
      </c>
      <c r="P2" s="12">
        <f>P4/1000</f>
        <v>198.655</v>
      </c>
      <c r="Q2" s="12">
        <f>Q4/1000</f>
        <v>229.55099999999999</v>
      </c>
      <c r="R2" s="13" t="s">
        <v>66</v>
      </c>
    </row>
    <row r="3" spans="1:21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21" customHeight="1">
      <c r="A4" s="70" t="s">
        <v>67</v>
      </c>
      <c r="B4" s="73" t="s">
        <v>1</v>
      </c>
      <c r="C4" s="74"/>
      <c r="D4" s="74"/>
      <c r="E4" s="74"/>
      <c r="F4" s="75"/>
      <c r="G4" s="76" t="s">
        <v>61</v>
      </c>
      <c r="H4" s="77"/>
      <c r="I4" s="77"/>
      <c r="J4" s="77"/>
      <c r="K4" s="78"/>
      <c r="L4" s="11" t="s">
        <v>30</v>
      </c>
      <c r="M4" s="12">
        <v>41511</v>
      </c>
      <c r="N4" s="12">
        <v>60666</v>
      </c>
      <c r="O4" s="14">
        <v>118961</v>
      </c>
      <c r="P4" s="14">
        <v>198655</v>
      </c>
      <c r="Q4" s="15">
        <v>229551</v>
      </c>
    </row>
    <row r="5" spans="1:21" ht="13.5" customHeight="1">
      <c r="A5" s="71"/>
      <c r="B5" s="67" t="s">
        <v>58</v>
      </c>
      <c r="C5" s="67"/>
      <c r="D5" s="67"/>
      <c r="E5" s="67"/>
      <c r="F5" s="79"/>
      <c r="G5" s="80" t="s">
        <v>59</v>
      </c>
      <c r="H5" s="81"/>
      <c r="I5" s="81"/>
      <c r="J5" s="81"/>
      <c r="K5" s="82"/>
    </row>
    <row r="6" spans="1:21" ht="15" customHeight="1">
      <c r="A6" s="72"/>
      <c r="B6" s="2" t="s">
        <v>0</v>
      </c>
      <c r="C6" s="2" t="s">
        <v>2</v>
      </c>
      <c r="D6" s="2" t="s">
        <v>57</v>
      </c>
      <c r="E6" s="2" t="s">
        <v>60</v>
      </c>
      <c r="F6" s="8" t="s">
        <v>62</v>
      </c>
      <c r="G6" s="16">
        <v>2008</v>
      </c>
      <c r="H6" s="3">
        <v>2009</v>
      </c>
      <c r="I6" s="3">
        <v>2010</v>
      </c>
      <c r="J6" s="3">
        <v>2011</v>
      </c>
      <c r="K6" s="17">
        <v>2012</v>
      </c>
    </row>
    <row r="7" spans="1:21" ht="12.75" customHeight="1">
      <c r="A7" s="11" t="s">
        <v>30</v>
      </c>
      <c r="B7" s="12">
        <v>41511</v>
      </c>
      <c r="C7" s="12">
        <v>60666</v>
      </c>
      <c r="D7" s="14">
        <v>118961</v>
      </c>
      <c r="E7" s="14">
        <v>198655</v>
      </c>
      <c r="F7" s="15">
        <v>229551</v>
      </c>
      <c r="G7" s="18">
        <v>15.385256837891928</v>
      </c>
      <c r="H7" s="18">
        <f t="shared" ref="H7:K38" si="0">(C7-B7)/B7*100</f>
        <v>46.144395461443956</v>
      </c>
      <c r="I7" s="19">
        <f t="shared" si="0"/>
        <v>96.091715293574651</v>
      </c>
      <c r="J7" s="19">
        <f t="shared" si="0"/>
        <v>66.991703163221558</v>
      </c>
      <c r="K7" s="20">
        <f t="shared" si="0"/>
        <v>15.552591175656289</v>
      </c>
    </row>
    <row r="8" spans="1:21" ht="12.75" customHeight="1">
      <c r="A8" s="11" t="s">
        <v>9</v>
      </c>
      <c r="B8" s="12">
        <v>69240</v>
      </c>
      <c r="C8" s="12">
        <v>69085</v>
      </c>
      <c r="D8" s="14">
        <v>77108</v>
      </c>
      <c r="E8" s="14">
        <v>90517</v>
      </c>
      <c r="F8" s="15">
        <v>98351</v>
      </c>
      <c r="G8" s="18">
        <v>-4.1912853367280576</v>
      </c>
      <c r="H8" s="18">
        <f t="shared" si="0"/>
        <v>-0.2238590410167533</v>
      </c>
      <c r="I8" s="19">
        <f t="shared" si="0"/>
        <v>11.613230078888325</v>
      </c>
      <c r="J8" s="19">
        <f t="shared" si="0"/>
        <v>17.389894693157647</v>
      </c>
      <c r="K8" s="20">
        <f t="shared" si="0"/>
        <v>8.654727841179005</v>
      </c>
    </row>
    <row r="9" spans="1:21" ht="12.75" customHeight="1">
      <c r="A9" s="11" t="s">
        <v>27</v>
      </c>
      <c r="B9" s="12">
        <v>116821</v>
      </c>
      <c r="C9" s="12">
        <v>105950</v>
      </c>
      <c r="D9" s="14">
        <v>114158</v>
      </c>
      <c r="E9" s="14">
        <v>104508</v>
      </c>
      <c r="F9" s="15">
        <v>91776</v>
      </c>
      <c r="G9" s="18">
        <v>-6.6611802681410701</v>
      </c>
      <c r="H9" s="18">
        <f t="shared" si="0"/>
        <v>-9.3056899016443957</v>
      </c>
      <c r="I9" s="19">
        <f t="shared" si="0"/>
        <v>7.7470504955167536</v>
      </c>
      <c r="J9" s="19">
        <f t="shared" si="0"/>
        <v>-8.4531964470295549</v>
      </c>
      <c r="K9" s="20">
        <f t="shared" si="0"/>
        <v>-12.182799402916524</v>
      </c>
    </row>
    <row r="10" spans="1:21" ht="12.75" customHeight="1">
      <c r="A10" s="11" t="s">
        <v>19</v>
      </c>
      <c r="B10" s="12">
        <v>48978</v>
      </c>
      <c r="C10" s="12">
        <v>40014</v>
      </c>
      <c r="D10" s="14">
        <v>49111</v>
      </c>
      <c r="E10" s="14">
        <v>63936</v>
      </c>
      <c r="F10" s="15">
        <v>66378</v>
      </c>
      <c r="G10" s="18">
        <v>53.801224682053693</v>
      </c>
      <c r="H10" s="18">
        <f t="shared" si="0"/>
        <v>-18.302094818081589</v>
      </c>
      <c r="I10" s="19">
        <f t="shared" si="0"/>
        <v>22.734542909981506</v>
      </c>
      <c r="J10" s="19">
        <f t="shared" si="0"/>
        <v>30.186719879456742</v>
      </c>
      <c r="K10" s="20">
        <f t="shared" si="0"/>
        <v>3.8194444444444446</v>
      </c>
    </row>
    <row r="11" spans="1:21" ht="12.75" customHeight="1">
      <c r="A11" s="11" t="s">
        <v>14</v>
      </c>
      <c r="B11" s="12">
        <v>103824</v>
      </c>
      <c r="C11" s="12">
        <v>89292</v>
      </c>
      <c r="D11" s="14">
        <v>89596</v>
      </c>
      <c r="E11" s="14">
        <v>83088</v>
      </c>
      <c r="F11" s="15">
        <v>62782</v>
      </c>
      <c r="G11" s="18">
        <v>-11.44772529553247</v>
      </c>
      <c r="H11" s="18">
        <f t="shared" si="0"/>
        <v>-13.996763754045308</v>
      </c>
      <c r="I11" s="19">
        <f t="shared" si="0"/>
        <v>0.34045603189535456</v>
      </c>
      <c r="J11" s="19">
        <f t="shared" si="0"/>
        <v>-7.2637171302290273</v>
      </c>
      <c r="K11" s="20">
        <f t="shared" si="0"/>
        <v>-24.439148854226843</v>
      </c>
    </row>
    <row r="12" spans="1:21" ht="12.75" customHeight="1">
      <c r="A12" s="11" t="s">
        <v>8</v>
      </c>
      <c r="B12" s="12">
        <v>48100</v>
      </c>
      <c r="C12" s="12">
        <v>50373</v>
      </c>
      <c r="D12" s="14">
        <v>54789</v>
      </c>
      <c r="E12" s="14">
        <v>59694</v>
      </c>
      <c r="F12" s="15">
        <v>56775</v>
      </c>
      <c r="G12" s="18">
        <v>6.1786715525043601</v>
      </c>
      <c r="H12" s="18">
        <f t="shared" si="0"/>
        <v>4.7255717255717258</v>
      </c>
      <c r="I12" s="19">
        <f t="shared" si="0"/>
        <v>8.766601155380858</v>
      </c>
      <c r="J12" s="19">
        <f t="shared" si="0"/>
        <v>8.9525269670919343</v>
      </c>
      <c r="K12" s="20">
        <f t="shared" si="0"/>
        <v>-4.889938687305257</v>
      </c>
    </row>
    <row r="13" spans="1:21" ht="12.75" customHeight="1">
      <c r="A13" s="11" t="s">
        <v>33</v>
      </c>
      <c r="B13" s="12">
        <v>38193</v>
      </c>
      <c r="C13" s="12">
        <v>36641</v>
      </c>
      <c r="D13" s="14">
        <v>38791</v>
      </c>
      <c r="E13" s="14">
        <v>35782</v>
      </c>
      <c r="F13" s="15">
        <v>36438</v>
      </c>
      <c r="G13" s="18">
        <v>-7.120449405413293</v>
      </c>
      <c r="H13" s="18">
        <f t="shared" si="0"/>
        <v>-4.063571858717566</v>
      </c>
      <c r="I13" s="19">
        <f t="shared" si="0"/>
        <v>5.8677437842853637</v>
      </c>
      <c r="J13" s="19">
        <f t="shared" si="0"/>
        <v>-7.7569539326132348</v>
      </c>
      <c r="K13" s="20">
        <f t="shared" si="0"/>
        <v>1.8333240176625119</v>
      </c>
    </row>
    <row r="14" spans="1:21" ht="12.75" customHeight="1">
      <c r="A14" s="11" t="s">
        <v>24</v>
      </c>
      <c r="B14" s="12">
        <v>26983</v>
      </c>
      <c r="C14" s="12">
        <v>26783</v>
      </c>
      <c r="D14" s="14">
        <v>27766</v>
      </c>
      <c r="E14" s="14">
        <v>32504</v>
      </c>
      <c r="F14" s="15">
        <v>35457</v>
      </c>
      <c r="G14" s="18">
        <v>3.0554176373983117</v>
      </c>
      <c r="H14" s="18">
        <f t="shared" si="0"/>
        <v>-0.74120742689841757</v>
      </c>
      <c r="I14" s="19">
        <f t="shared" si="0"/>
        <v>3.6702385841765301</v>
      </c>
      <c r="J14" s="19">
        <f t="shared" si="0"/>
        <v>17.064035150903983</v>
      </c>
      <c r="K14" s="20">
        <f t="shared" si="0"/>
        <v>9.0850356879153349</v>
      </c>
    </row>
    <row r="15" spans="1:21" ht="12.75" customHeight="1">
      <c r="A15" s="11" t="s">
        <v>31</v>
      </c>
      <c r="B15" s="12">
        <v>16663</v>
      </c>
      <c r="C15" s="12">
        <v>15850</v>
      </c>
      <c r="D15" s="14">
        <v>25756</v>
      </c>
      <c r="E15" s="14">
        <v>30978</v>
      </c>
      <c r="F15" s="15">
        <v>31721</v>
      </c>
      <c r="G15" s="18">
        <v>-3.832169446528539</v>
      </c>
      <c r="H15" s="18">
        <f t="shared" si="0"/>
        <v>-4.8790733961471524</v>
      </c>
      <c r="I15" s="19">
        <f t="shared" si="0"/>
        <v>62.498422712933753</v>
      </c>
      <c r="J15" s="19">
        <f t="shared" si="0"/>
        <v>20.274887404876534</v>
      </c>
      <c r="K15" s="20">
        <f t="shared" si="0"/>
        <v>2.3984763380463554</v>
      </c>
    </row>
    <row r="16" spans="1:21" ht="12.75" customHeight="1">
      <c r="A16" s="11" t="s">
        <v>34</v>
      </c>
      <c r="B16" s="12">
        <v>20934</v>
      </c>
      <c r="C16" s="12">
        <v>16135</v>
      </c>
      <c r="D16" s="14">
        <v>24808</v>
      </c>
      <c r="E16" s="14">
        <v>25285</v>
      </c>
      <c r="F16" s="15">
        <v>23933</v>
      </c>
      <c r="G16" s="18">
        <v>-0.20022883295194507</v>
      </c>
      <c r="H16" s="18">
        <f t="shared" si="0"/>
        <v>-22.92442915830706</v>
      </c>
      <c r="I16" s="19">
        <f t="shared" si="0"/>
        <v>53.752711496746208</v>
      </c>
      <c r="J16" s="19">
        <f t="shared" si="0"/>
        <v>1.9227668494034182</v>
      </c>
      <c r="K16" s="20">
        <f t="shared" si="0"/>
        <v>-5.3470437017994854</v>
      </c>
    </row>
    <row r="17" spans="1:15" ht="12.75" customHeight="1">
      <c r="A17" s="21" t="s">
        <v>28</v>
      </c>
      <c r="B17" s="22">
        <v>9482</v>
      </c>
      <c r="C17" s="22">
        <v>9476</v>
      </c>
      <c r="D17" s="23">
        <v>10220</v>
      </c>
      <c r="E17" s="23">
        <v>12088</v>
      </c>
      <c r="F17" s="24">
        <v>18612</v>
      </c>
      <c r="G17" s="25">
        <v>16.272225628448805</v>
      </c>
      <c r="H17" s="25">
        <f t="shared" si="0"/>
        <v>-6.3277789495886944E-2</v>
      </c>
      <c r="I17" s="26">
        <f t="shared" si="0"/>
        <v>7.8514140987758552</v>
      </c>
      <c r="J17" s="26">
        <f t="shared" si="0"/>
        <v>18.277886497064578</v>
      </c>
      <c r="K17" s="27">
        <f t="shared" si="0"/>
        <v>53.970880211780283</v>
      </c>
    </row>
    <row r="18" spans="1:15" ht="12.75" customHeight="1">
      <c r="A18" s="21" t="s">
        <v>3</v>
      </c>
      <c r="B18" s="22">
        <v>13462</v>
      </c>
      <c r="C18" s="22">
        <v>13274</v>
      </c>
      <c r="D18" s="23">
        <v>14944</v>
      </c>
      <c r="E18" s="23">
        <v>16655</v>
      </c>
      <c r="F18" s="24">
        <v>18164</v>
      </c>
      <c r="G18" s="25">
        <v>-1.5431873034447401</v>
      </c>
      <c r="H18" s="25">
        <f t="shared" si="0"/>
        <v>-1.3965235477640767</v>
      </c>
      <c r="I18" s="26">
        <f t="shared" si="0"/>
        <v>12.580985384963087</v>
      </c>
      <c r="J18" s="26">
        <f t="shared" si="0"/>
        <v>11.44941113490364</v>
      </c>
      <c r="K18" s="27">
        <f t="shared" si="0"/>
        <v>9.0603422395676976</v>
      </c>
    </row>
    <row r="19" spans="1:15" ht="12.75" customHeight="1">
      <c r="A19" s="21" t="s">
        <v>47</v>
      </c>
      <c r="B19" s="22">
        <v>8853</v>
      </c>
      <c r="C19" s="22">
        <v>9438</v>
      </c>
      <c r="D19" s="23">
        <v>11482</v>
      </c>
      <c r="E19" s="23">
        <v>14490</v>
      </c>
      <c r="F19" s="24">
        <v>16049</v>
      </c>
      <c r="G19" s="25">
        <v>-5.2952503209242625</v>
      </c>
      <c r="H19" s="25">
        <f t="shared" si="0"/>
        <v>6.607929515418502</v>
      </c>
      <c r="I19" s="26">
        <f t="shared" si="0"/>
        <v>21.657130748039837</v>
      </c>
      <c r="J19" s="26">
        <f t="shared" si="0"/>
        <v>26.197526563316497</v>
      </c>
      <c r="K19" s="27">
        <f t="shared" si="0"/>
        <v>10.759144237405106</v>
      </c>
    </row>
    <row r="20" spans="1:15" ht="12.75" customHeight="1">
      <c r="A20" s="21" t="s">
        <v>49</v>
      </c>
      <c r="B20" s="22">
        <v>9368</v>
      </c>
      <c r="C20" s="22">
        <v>7392</v>
      </c>
      <c r="D20" s="23">
        <v>9622</v>
      </c>
      <c r="E20" s="23">
        <v>12778</v>
      </c>
      <c r="F20" s="24">
        <v>15208</v>
      </c>
      <c r="G20" s="25">
        <v>-0.40399744843716773</v>
      </c>
      <c r="H20" s="25">
        <f t="shared" si="0"/>
        <v>-21.093082835183605</v>
      </c>
      <c r="I20" s="26">
        <f t="shared" si="0"/>
        <v>30.167748917748916</v>
      </c>
      <c r="J20" s="26">
        <f t="shared" si="0"/>
        <v>32.799833714404492</v>
      </c>
      <c r="K20" s="27">
        <f t="shared" si="0"/>
        <v>19.017060572859602</v>
      </c>
    </row>
    <row r="21" spans="1:15" ht="12.75" customHeight="1">
      <c r="A21" s="21" t="s">
        <v>38</v>
      </c>
      <c r="B21" s="22">
        <v>4956</v>
      </c>
      <c r="C21" s="22">
        <v>5214</v>
      </c>
      <c r="D21" s="23">
        <v>5332</v>
      </c>
      <c r="E21" s="23">
        <v>7990</v>
      </c>
      <c r="F21" s="24">
        <v>9625</v>
      </c>
      <c r="G21" s="25">
        <v>11.220825852782765</v>
      </c>
      <c r="H21" s="25">
        <f t="shared" si="0"/>
        <v>5.2058111380145284</v>
      </c>
      <c r="I21" s="26">
        <f t="shared" si="0"/>
        <v>2.263137706175681</v>
      </c>
      <c r="J21" s="26">
        <f t="shared" si="0"/>
        <v>49.849962490622659</v>
      </c>
      <c r="K21" s="27">
        <f t="shared" si="0"/>
        <v>20.463078848560702</v>
      </c>
    </row>
    <row r="22" spans="1:15" ht="12.75" customHeight="1">
      <c r="A22" s="21" t="s">
        <v>39</v>
      </c>
      <c r="B22" s="22">
        <v>9752</v>
      </c>
      <c r="C22" s="22">
        <v>7833</v>
      </c>
      <c r="D22" s="23">
        <v>7872</v>
      </c>
      <c r="E22" s="23">
        <v>9670</v>
      </c>
      <c r="F22" s="24">
        <v>8860</v>
      </c>
      <c r="G22" s="25">
        <v>1.015123264967889</v>
      </c>
      <c r="H22" s="25">
        <f t="shared" si="0"/>
        <v>-19.678014766201805</v>
      </c>
      <c r="I22" s="26">
        <f t="shared" si="0"/>
        <v>0.49789352738414405</v>
      </c>
      <c r="J22" s="26">
        <f t="shared" si="0"/>
        <v>22.840447154471544</v>
      </c>
      <c r="K22" s="27">
        <f t="shared" si="0"/>
        <v>-8.3764219234746644</v>
      </c>
    </row>
    <row r="23" spans="1:15" ht="12.75" customHeight="1">
      <c r="A23" s="21" t="s">
        <v>22</v>
      </c>
      <c r="B23" s="22">
        <v>8217</v>
      </c>
      <c r="C23" s="22">
        <v>7279</v>
      </c>
      <c r="D23" s="23">
        <v>8912</v>
      </c>
      <c r="E23" s="23">
        <v>9710</v>
      </c>
      <c r="F23" s="24">
        <v>8824</v>
      </c>
      <c r="G23" s="25">
        <v>-6.6037735849056602</v>
      </c>
      <c r="H23" s="25">
        <f t="shared" si="0"/>
        <v>-11.415358403310211</v>
      </c>
      <c r="I23" s="26">
        <f t="shared" si="0"/>
        <v>22.434400329715622</v>
      </c>
      <c r="J23" s="26">
        <f t="shared" si="0"/>
        <v>8.9542190305206457</v>
      </c>
      <c r="K23" s="27">
        <f t="shared" si="0"/>
        <v>-9.1246138002059727</v>
      </c>
      <c r="O23" s="10" t="s">
        <v>68</v>
      </c>
    </row>
    <row r="24" spans="1:15" ht="12.75" customHeight="1">
      <c r="A24" s="21" t="s">
        <v>26</v>
      </c>
      <c r="B24" s="22">
        <v>5399</v>
      </c>
      <c r="C24" s="22">
        <v>4643</v>
      </c>
      <c r="D24" s="23">
        <v>5445</v>
      </c>
      <c r="E24" s="23">
        <v>6729</v>
      </c>
      <c r="F24" s="24">
        <v>8044</v>
      </c>
      <c r="G24" s="25">
        <v>52.299012693935119</v>
      </c>
      <c r="H24" s="25">
        <f t="shared" si="0"/>
        <v>-14.002593072791258</v>
      </c>
      <c r="I24" s="26">
        <f t="shared" si="0"/>
        <v>17.273314667241007</v>
      </c>
      <c r="J24" s="26">
        <f t="shared" si="0"/>
        <v>23.581267217630856</v>
      </c>
      <c r="K24" s="27">
        <f t="shared" si="0"/>
        <v>19.542279684945758</v>
      </c>
    </row>
    <row r="25" spans="1:15" ht="12.75" customHeight="1">
      <c r="A25" s="21" t="s">
        <v>54</v>
      </c>
      <c r="B25" s="22">
        <v>2747</v>
      </c>
      <c r="C25" s="22">
        <v>3036</v>
      </c>
      <c r="D25" s="23">
        <v>4040</v>
      </c>
      <c r="E25" s="23">
        <v>5005</v>
      </c>
      <c r="F25" s="24">
        <v>7263</v>
      </c>
      <c r="G25" s="25">
        <v>41.597938144329902</v>
      </c>
      <c r="H25" s="25">
        <f t="shared" si="0"/>
        <v>10.520567892246087</v>
      </c>
      <c r="I25" s="26">
        <f t="shared" si="0"/>
        <v>33.06982872200264</v>
      </c>
      <c r="J25" s="26">
        <f t="shared" si="0"/>
        <v>23.886138613861384</v>
      </c>
      <c r="K25" s="27">
        <f t="shared" si="0"/>
        <v>45.114885114885119</v>
      </c>
    </row>
    <row r="26" spans="1:15" ht="12.75" customHeight="1">
      <c r="A26" s="21" t="s">
        <v>41</v>
      </c>
      <c r="B26" s="22">
        <v>3952</v>
      </c>
      <c r="C26" s="22">
        <v>3813</v>
      </c>
      <c r="D26" s="23">
        <v>5397</v>
      </c>
      <c r="E26" s="23">
        <v>6214</v>
      </c>
      <c r="F26" s="24">
        <v>6896</v>
      </c>
      <c r="G26" s="25">
        <v>7.8897078897078892</v>
      </c>
      <c r="H26" s="25">
        <f t="shared" si="0"/>
        <v>-3.5172064777327936</v>
      </c>
      <c r="I26" s="26">
        <f t="shared" si="0"/>
        <v>41.542092840283239</v>
      </c>
      <c r="J26" s="26">
        <f t="shared" si="0"/>
        <v>15.138039651658328</v>
      </c>
      <c r="K26" s="27">
        <f t="shared" si="0"/>
        <v>10.975217251367878</v>
      </c>
    </row>
    <row r="27" spans="1:15" ht="12.75" customHeight="1">
      <c r="A27" s="21" t="s">
        <v>35</v>
      </c>
      <c r="B27" s="22">
        <v>3137</v>
      </c>
      <c r="C27" s="22">
        <v>3139</v>
      </c>
      <c r="D27" s="23">
        <v>3894</v>
      </c>
      <c r="E27" s="23">
        <v>6055</v>
      </c>
      <c r="F27" s="24">
        <v>6766</v>
      </c>
      <c r="G27" s="25">
        <v>4.6015338446148721</v>
      </c>
      <c r="H27" s="25">
        <f t="shared" si="0"/>
        <v>6.3755180108383797E-2</v>
      </c>
      <c r="I27" s="26">
        <f t="shared" si="0"/>
        <v>24.052245938196879</v>
      </c>
      <c r="J27" s="26">
        <f t="shared" si="0"/>
        <v>55.495634309193633</v>
      </c>
      <c r="K27" s="27">
        <f t="shared" si="0"/>
        <v>11.742361684558217</v>
      </c>
    </row>
    <row r="28" spans="1:15" ht="12.75" customHeight="1">
      <c r="A28" s="21" t="s">
        <v>15</v>
      </c>
      <c r="B28" s="22">
        <v>5595</v>
      </c>
      <c r="C28" s="22">
        <v>5355</v>
      </c>
      <c r="D28" s="23">
        <v>5682</v>
      </c>
      <c r="E28" s="23">
        <v>5693</v>
      </c>
      <c r="F28" s="24">
        <v>6077</v>
      </c>
      <c r="G28" s="25">
        <v>-13.644080876678499</v>
      </c>
      <c r="H28" s="25">
        <f t="shared" si="0"/>
        <v>-4.2895442359249332</v>
      </c>
      <c r="I28" s="26">
        <f t="shared" si="0"/>
        <v>6.1064425770308119</v>
      </c>
      <c r="J28" s="26">
        <f t="shared" si="0"/>
        <v>0.19359380499824005</v>
      </c>
      <c r="K28" s="27">
        <f t="shared" si="0"/>
        <v>6.745125592833304</v>
      </c>
    </row>
    <row r="29" spans="1:15" ht="12.75" customHeight="1">
      <c r="A29" s="21" t="s">
        <v>56</v>
      </c>
      <c r="B29" s="22">
        <v>2585</v>
      </c>
      <c r="C29" s="22">
        <v>2744</v>
      </c>
      <c r="D29" s="23">
        <v>3336</v>
      </c>
      <c r="E29" s="23">
        <v>4130</v>
      </c>
      <c r="F29" s="24">
        <v>5880</v>
      </c>
      <c r="G29" s="25">
        <v>26.777832270720943</v>
      </c>
      <c r="H29" s="25">
        <f t="shared" si="0"/>
        <v>6.1508704061895552</v>
      </c>
      <c r="I29" s="26">
        <f t="shared" si="0"/>
        <v>21.574344023323615</v>
      </c>
      <c r="J29" s="26">
        <f t="shared" si="0"/>
        <v>23.800959232613909</v>
      </c>
      <c r="K29" s="27">
        <f t="shared" si="0"/>
        <v>42.372881355932201</v>
      </c>
    </row>
    <row r="30" spans="1:15" ht="12.75" customHeight="1">
      <c r="A30" s="21" t="s">
        <v>5</v>
      </c>
      <c r="B30" s="22">
        <v>3811</v>
      </c>
      <c r="C30" s="22">
        <v>3851</v>
      </c>
      <c r="D30" s="23">
        <v>5137</v>
      </c>
      <c r="E30" s="23">
        <v>6471</v>
      </c>
      <c r="F30" s="24">
        <v>5588</v>
      </c>
      <c r="G30" s="25">
        <v>37.780187997107738</v>
      </c>
      <c r="H30" s="25">
        <f t="shared" si="0"/>
        <v>1.0495932826029915</v>
      </c>
      <c r="I30" s="26">
        <f t="shared" si="0"/>
        <v>33.393923656193195</v>
      </c>
      <c r="J30" s="26">
        <f t="shared" si="0"/>
        <v>25.968464084095778</v>
      </c>
      <c r="K30" s="27">
        <f t="shared" si="0"/>
        <v>-13.645495286663575</v>
      </c>
    </row>
    <row r="31" spans="1:15" ht="12.75" customHeight="1">
      <c r="A31" s="21" t="s">
        <v>25</v>
      </c>
      <c r="B31" s="22">
        <v>3235</v>
      </c>
      <c r="C31" s="22">
        <v>2758</v>
      </c>
      <c r="D31" s="23">
        <v>4637</v>
      </c>
      <c r="E31" s="23">
        <v>4542</v>
      </c>
      <c r="F31" s="24">
        <v>5416</v>
      </c>
      <c r="G31" s="25">
        <v>32.473382473382472</v>
      </c>
      <c r="H31" s="25">
        <f t="shared" si="0"/>
        <v>-14.744976816074187</v>
      </c>
      <c r="I31" s="26">
        <f t="shared" si="0"/>
        <v>68.129079042784625</v>
      </c>
      <c r="J31" s="26">
        <f t="shared" si="0"/>
        <v>-2.0487384084537417</v>
      </c>
      <c r="K31" s="27">
        <f t="shared" si="0"/>
        <v>19.242624394539849</v>
      </c>
    </row>
    <row r="32" spans="1:15" ht="12.75" customHeight="1">
      <c r="A32" s="21" t="s">
        <v>23</v>
      </c>
      <c r="B32" s="22">
        <v>3542</v>
      </c>
      <c r="C32" s="22">
        <v>3165</v>
      </c>
      <c r="D32" s="23">
        <v>3638</v>
      </c>
      <c r="E32" s="23">
        <v>4896</v>
      </c>
      <c r="F32" s="24">
        <v>5230</v>
      </c>
      <c r="G32" s="25">
        <v>64.820846905537451</v>
      </c>
      <c r="H32" s="25">
        <f t="shared" si="0"/>
        <v>-10.643704121964992</v>
      </c>
      <c r="I32" s="26">
        <f t="shared" si="0"/>
        <v>14.944707740916272</v>
      </c>
      <c r="J32" s="26">
        <f t="shared" si="0"/>
        <v>34.579439252336449</v>
      </c>
      <c r="K32" s="27">
        <f t="shared" si="0"/>
        <v>6.8218954248366011</v>
      </c>
    </row>
    <row r="33" spans="1:14" ht="12.75" customHeight="1">
      <c r="A33" s="21" t="s">
        <v>46</v>
      </c>
      <c r="B33" s="22">
        <v>2966</v>
      </c>
      <c r="C33" s="22">
        <v>3043</v>
      </c>
      <c r="D33" s="23">
        <v>3815</v>
      </c>
      <c r="E33" s="23">
        <v>4690</v>
      </c>
      <c r="F33" s="24">
        <v>5070</v>
      </c>
      <c r="G33" s="25">
        <v>4.0336723956506493</v>
      </c>
      <c r="H33" s="25">
        <f t="shared" si="0"/>
        <v>2.5960890087660147</v>
      </c>
      <c r="I33" s="26">
        <f t="shared" si="0"/>
        <v>25.369700953006902</v>
      </c>
      <c r="J33" s="26">
        <f t="shared" si="0"/>
        <v>22.935779816513762</v>
      </c>
      <c r="K33" s="27">
        <f t="shared" si="0"/>
        <v>8.1023454157782524</v>
      </c>
    </row>
    <row r="34" spans="1:14" ht="12.75" customHeight="1">
      <c r="A34" s="21" t="s">
        <v>40</v>
      </c>
      <c r="B34" s="22">
        <v>2233</v>
      </c>
      <c r="C34" s="22">
        <v>1975</v>
      </c>
      <c r="D34" s="23">
        <v>3831</v>
      </c>
      <c r="E34" s="23">
        <v>5305</v>
      </c>
      <c r="F34" s="24">
        <v>4430</v>
      </c>
      <c r="G34" s="25">
        <v>10.654112983151636</v>
      </c>
      <c r="H34" s="25">
        <f t="shared" si="0"/>
        <v>-11.553963278101209</v>
      </c>
      <c r="I34" s="26">
        <f t="shared" si="0"/>
        <v>93.974683544303801</v>
      </c>
      <c r="J34" s="26">
        <f t="shared" si="0"/>
        <v>38.475593839728525</v>
      </c>
      <c r="K34" s="27">
        <f t="shared" si="0"/>
        <v>-16.493873704052781</v>
      </c>
    </row>
    <row r="35" spans="1:14" ht="12.75" customHeight="1">
      <c r="A35" s="21" t="s">
        <v>55</v>
      </c>
      <c r="B35" s="22">
        <v>1394</v>
      </c>
      <c r="C35" s="22">
        <v>1580</v>
      </c>
      <c r="D35" s="23">
        <v>1699</v>
      </c>
      <c r="E35" s="23">
        <v>2292</v>
      </c>
      <c r="F35" s="24">
        <v>4047</v>
      </c>
      <c r="G35" s="25">
        <v>72.738537794299873</v>
      </c>
      <c r="H35" s="25">
        <f t="shared" si="0"/>
        <v>13.342898134863701</v>
      </c>
      <c r="I35" s="26">
        <f t="shared" si="0"/>
        <v>7.5316455696202533</v>
      </c>
      <c r="J35" s="26">
        <f t="shared" si="0"/>
        <v>34.90288404944085</v>
      </c>
      <c r="K35" s="27">
        <f t="shared" si="0"/>
        <v>76.570680628272243</v>
      </c>
    </row>
    <row r="36" spans="1:14" ht="12.75" customHeight="1">
      <c r="A36" s="21" t="s">
        <v>43</v>
      </c>
      <c r="B36" s="22">
        <v>3732</v>
      </c>
      <c r="C36" s="22">
        <v>2975</v>
      </c>
      <c r="D36" s="23">
        <v>3157</v>
      </c>
      <c r="E36" s="23">
        <v>3684</v>
      </c>
      <c r="F36" s="24">
        <v>3967</v>
      </c>
      <c r="G36" s="25">
        <v>13.331308836926814</v>
      </c>
      <c r="H36" s="25">
        <f t="shared" si="0"/>
        <v>-20.284030010718112</v>
      </c>
      <c r="I36" s="26">
        <f t="shared" si="0"/>
        <v>6.1176470588235299</v>
      </c>
      <c r="J36" s="26">
        <f t="shared" si="0"/>
        <v>16.69306303452645</v>
      </c>
      <c r="K36" s="27">
        <f t="shared" si="0"/>
        <v>7.681867535287731</v>
      </c>
    </row>
    <row r="37" spans="1:14" ht="12.75" customHeight="1">
      <c r="A37" s="21" t="s">
        <v>17</v>
      </c>
      <c r="B37" s="22">
        <v>3325</v>
      </c>
      <c r="C37" s="22">
        <v>3357</v>
      </c>
      <c r="D37" s="23">
        <v>3795</v>
      </c>
      <c r="E37" s="23">
        <v>4158</v>
      </c>
      <c r="F37" s="24">
        <v>3918</v>
      </c>
      <c r="G37" s="25">
        <v>25.047010154193305</v>
      </c>
      <c r="H37" s="25">
        <f t="shared" si="0"/>
        <v>0.96240601503759393</v>
      </c>
      <c r="I37" s="26">
        <f t="shared" si="0"/>
        <v>13.047363717605004</v>
      </c>
      <c r="J37" s="26">
        <f t="shared" si="0"/>
        <v>9.5652173913043477</v>
      </c>
      <c r="K37" s="27">
        <f t="shared" si="0"/>
        <v>-5.7720057720057723</v>
      </c>
    </row>
    <row r="38" spans="1:14" ht="12.75" customHeight="1">
      <c r="A38" s="21" t="s">
        <v>18</v>
      </c>
      <c r="B38" s="22">
        <v>4150</v>
      </c>
      <c r="C38" s="22">
        <v>4822</v>
      </c>
      <c r="D38" s="23">
        <v>4555</v>
      </c>
      <c r="E38" s="23">
        <v>4434</v>
      </c>
      <c r="F38" s="24">
        <v>3660</v>
      </c>
      <c r="G38" s="25">
        <v>-0.90735434574976126</v>
      </c>
      <c r="H38" s="25">
        <f t="shared" si="0"/>
        <v>16.192771084337348</v>
      </c>
      <c r="I38" s="26">
        <f t="shared" si="0"/>
        <v>-5.5371215263376188</v>
      </c>
      <c r="J38" s="26">
        <f t="shared" si="0"/>
        <v>-2.6564215148188803</v>
      </c>
      <c r="K38" s="27">
        <f t="shared" si="0"/>
        <v>-17.456021650879567</v>
      </c>
    </row>
    <row r="39" spans="1:14" ht="12.75" customHeight="1">
      <c r="A39" s="21" t="s">
        <v>6</v>
      </c>
      <c r="B39" s="22">
        <v>1834</v>
      </c>
      <c r="C39" s="22">
        <v>1722</v>
      </c>
      <c r="D39" s="23">
        <v>2422</v>
      </c>
      <c r="E39" s="23">
        <v>3173</v>
      </c>
      <c r="F39" s="24">
        <v>3493</v>
      </c>
      <c r="G39" s="25">
        <v>0.82462891698735563</v>
      </c>
      <c r="H39" s="25">
        <f t="shared" ref="H39:K60" si="1">(C39-B39)/B39*100</f>
        <v>-6.1068702290076331</v>
      </c>
      <c r="I39" s="26">
        <f t="shared" si="1"/>
        <v>40.650406504065039</v>
      </c>
      <c r="J39" s="26">
        <f t="shared" si="1"/>
        <v>31.007431874483899</v>
      </c>
      <c r="K39" s="27">
        <f t="shared" si="1"/>
        <v>10.085092971950834</v>
      </c>
    </row>
    <row r="40" spans="1:14" ht="12.75" customHeight="1">
      <c r="A40" s="21" t="s">
        <v>44</v>
      </c>
      <c r="B40" s="22">
        <v>1962</v>
      </c>
      <c r="C40" s="22">
        <v>2059</v>
      </c>
      <c r="D40" s="23">
        <v>2471</v>
      </c>
      <c r="E40" s="23">
        <v>2781</v>
      </c>
      <c r="F40" s="24">
        <v>3128</v>
      </c>
      <c r="G40" s="25">
        <v>26.336123631680618</v>
      </c>
      <c r="H40" s="25">
        <f t="shared" si="1"/>
        <v>4.9439347604485224</v>
      </c>
      <c r="I40" s="26">
        <f t="shared" si="1"/>
        <v>20.009713453132587</v>
      </c>
      <c r="J40" s="26">
        <f t="shared" si="1"/>
        <v>12.545528126264671</v>
      </c>
      <c r="K40" s="27">
        <f t="shared" si="1"/>
        <v>12.47752606975908</v>
      </c>
    </row>
    <row r="41" spans="1:14" ht="12.75" customHeight="1">
      <c r="A41" s="21" t="s">
        <v>45</v>
      </c>
      <c r="B41" s="22">
        <v>1327</v>
      </c>
      <c r="C41" s="22">
        <v>1304</v>
      </c>
      <c r="D41" s="23">
        <v>1761</v>
      </c>
      <c r="E41" s="23">
        <v>2342</v>
      </c>
      <c r="F41" s="24">
        <v>3061</v>
      </c>
      <c r="G41" s="25">
        <v>87.429378531073439</v>
      </c>
      <c r="H41" s="25">
        <f t="shared" si="1"/>
        <v>-1.7332328560663148</v>
      </c>
      <c r="I41" s="26">
        <f t="shared" si="1"/>
        <v>35.04601226993865</v>
      </c>
      <c r="J41" s="26">
        <f t="shared" si="1"/>
        <v>32.992617830777967</v>
      </c>
      <c r="K41" s="27">
        <f t="shared" si="1"/>
        <v>30.700256191289498</v>
      </c>
    </row>
    <row r="42" spans="1:14" ht="12.75" customHeight="1">
      <c r="A42" s="21" t="s">
        <v>52</v>
      </c>
      <c r="B42" s="22">
        <v>1340</v>
      </c>
      <c r="C42" s="22">
        <v>1181</v>
      </c>
      <c r="D42" s="23">
        <v>1409</v>
      </c>
      <c r="E42" s="23">
        <v>1797</v>
      </c>
      <c r="F42" s="24">
        <v>2987</v>
      </c>
      <c r="G42" s="25">
        <v>33.466135458167329</v>
      </c>
      <c r="H42" s="25">
        <f t="shared" si="1"/>
        <v>-11.865671641791046</v>
      </c>
      <c r="I42" s="26">
        <f t="shared" si="1"/>
        <v>19.30567315834039</v>
      </c>
      <c r="J42" s="26">
        <f t="shared" si="1"/>
        <v>27.537260468417319</v>
      </c>
      <c r="K42" s="27">
        <f t="shared" si="1"/>
        <v>66.221480244852543</v>
      </c>
    </row>
    <row r="43" spans="1:14" ht="12.75" customHeight="1">
      <c r="A43" s="21" t="s">
        <v>16</v>
      </c>
      <c r="B43" s="22">
        <v>2596</v>
      </c>
      <c r="C43" s="22">
        <v>2120</v>
      </c>
      <c r="D43" s="23">
        <v>2153</v>
      </c>
      <c r="E43" s="23">
        <v>2775</v>
      </c>
      <c r="F43" s="24">
        <v>2902</v>
      </c>
      <c r="G43" s="25">
        <v>43.584070796460175</v>
      </c>
      <c r="H43" s="25">
        <f t="shared" si="1"/>
        <v>-18.335901386748844</v>
      </c>
      <c r="I43" s="26">
        <f t="shared" si="1"/>
        <v>1.5566037735849056</v>
      </c>
      <c r="J43" s="26">
        <f t="shared" si="1"/>
        <v>28.889921040408733</v>
      </c>
      <c r="K43" s="27">
        <f t="shared" si="1"/>
        <v>4.576576576576576</v>
      </c>
    </row>
    <row r="44" spans="1:14" ht="12.75" customHeight="1">
      <c r="A44" s="21" t="s">
        <v>20</v>
      </c>
      <c r="B44" s="22">
        <v>1916</v>
      </c>
      <c r="C44" s="22">
        <v>1970</v>
      </c>
      <c r="D44" s="23">
        <v>2348</v>
      </c>
      <c r="E44" s="23">
        <v>2822</v>
      </c>
      <c r="F44" s="24">
        <v>2636</v>
      </c>
      <c r="G44" s="25">
        <v>30.428863172226006</v>
      </c>
      <c r="H44" s="25">
        <f t="shared" si="1"/>
        <v>2.8183716075156577</v>
      </c>
      <c r="I44" s="26">
        <f t="shared" si="1"/>
        <v>19.18781725888325</v>
      </c>
      <c r="J44" s="26">
        <f t="shared" si="1"/>
        <v>20.187393526405451</v>
      </c>
      <c r="K44" s="27">
        <f t="shared" si="1"/>
        <v>-6.5910701630049608</v>
      </c>
    </row>
    <row r="45" spans="1:14" ht="12.75" customHeight="1">
      <c r="A45" s="21" t="s">
        <v>48</v>
      </c>
      <c r="B45" s="22">
        <v>1334</v>
      </c>
      <c r="C45" s="22">
        <v>1374</v>
      </c>
      <c r="D45" s="23">
        <v>1543</v>
      </c>
      <c r="E45" s="23">
        <v>2132</v>
      </c>
      <c r="F45" s="24">
        <v>2594</v>
      </c>
      <c r="G45" s="25">
        <v>3.3307513555383426</v>
      </c>
      <c r="H45" s="25">
        <f t="shared" si="1"/>
        <v>2.9985007496251872</v>
      </c>
      <c r="I45" s="26">
        <f t="shared" si="1"/>
        <v>12.299854439592432</v>
      </c>
      <c r="J45" s="26">
        <f t="shared" si="1"/>
        <v>38.172391445236556</v>
      </c>
      <c r="K45" s="27">
        <f t="shared" si="1"/>
        <v>21.669793621013135</v>
      </c>
      <c r="N45" s="10" t="s">
        <v>69</v>
      </c>
    </row>
    <row r="46" spans="1:14" ht="12" customHeight="1">
      <c r="A46" s="21" t="s">
        <v>13</v>
      </c>
      <c r="B46" s="22">
        <v>1588</v>
      </c>
      <c r="C46" s="22">
        <v>1380</v>
      </c>
      <c r="D46" s="23">
        <v>2113</v>
      </c>
      <c r="E46" s="23">
        <v>2433</v>
      </c>
      <c r="F46" s="24">
        <v>2569</v>
      </c>
      <c r="G46" s="25">
        <v>21.406727828746178</v>
      </c>
      <c r="H46" s="25">
        <f t="shared" si="1"/>
        <v>-13.09823677581864</v>
      </c>
      <c r="I46" s="26">
        <f t="shared" si="1"/>
        <v>53.115942028985508</v>
      </c>
      <c r="J46" s="26">
        <f t="shared" si="1"/>
        <v>15.144344533838144</v>
      </c>
      <c r="K46" s="27">
        <f t="shared" si="1"/>
        <v>5.589806822852446</v>
      </c>
    </row>
    <row r="47" spans="1:14" ht="12.75" customHeight="1">
      <c r="A47" s="21" t="s">
        <v>12</v>
      </c>
      <c r="B47" s="22">
        <v>2884</v>
      </c>
      <c r="C47" s="22">
        <v>2420</v>
      </c>
      <c r="D47" s="23">
        <v>2514</v>
      </c>
      <c r="E47" s="23">
        <v>2444</v>
      </c>
      <c r="F47" s="24">
        <v>2483</v>
      </c>
      <c r="G47" s="25">
        <v>-8.3862770012706473</v>
      </c>
      <c r="H47" s="25">
        <f t="shared" si="1"/>
        <v>-16.08876560332871</v>
      </c>
      <c r="I47" s="26">
        <f t="shared" si="1"/>
        <v>3.884297520661157</v>
      </c>
      <c r="J47" s="26">
        <f t="shared" si="1"/>
        <v>-2.7844073190135243</v>
      </c>
      <c r="K47" s="27">
        <f t="shared" si="1"/>
        <v>1.5957446808510638</v>
      </c>
    </row>
    <row r="48" spans="1:14" ht="12.75" customHeight="1">
      <c r="A48" s="21" t="s">
        <v>11</v>
      </c>
      <c r="B48" s="22">
        <v>2052</v>
      </c>
      <c r="C48" s="22">
        <v>1848</v>
      </c>
      <c r="D48" s="23">
        <v>2434</v>
      </c>
      <c r="E48" s="23">
        <v>2596</v>
      </c>
      <c r="F48" s="24">
        <v>2408</v>
      </c>
      <c r="G48" s="25">
        <v>-20.093457943925234</v>
      </c>
      <c r="H48" s="25">
        <f t="shared" si="1"/>
        <v>-9.9415204678362574</v>
      </c>
      <c r="I48" s="26">
        <f t="shared" si="1"/>
        <v>31.70995670995671</v>
      </c>
      <c r="J48" s="26">
        <f t="shared" si="1"/>
        <v>6.6557107641741986</v>
      </c>
      <c r="K48" s="27">
        <f t="shared" si="1"/>
        <v>-7.2419106317411401</v>
      </c>
    </row>
    <row r="49" spans="1:11" ht="12.75" customHeight="1">
      <c r="A49" s="21" t="s">
        <v>42</v>
      </c>
      <c r="B49" s="22">
        <v>1065</v>
      </c>
      <c r="C49" s="22">
        <v>1182</v>
      </c>
      <c r="D49" s="23">
        <v>1575</v>
      </c>
      <c r="E49" s="23">
        <v>2485</v>
      </c>
      <c r="F49" s="24">
        <v>2345</v>
      </c>
      <c r="G49" s="25">
        <v>-45.412608918503331</v>
      </c>
      <c r="H49" s="25">
        <f t="shared" si="1"/>
        <v>10.985915492957748</v>
      </c>
      <c r="I49" s="26">
        <f t="shared" si="1"/>
        <v>33.248730964467008</v>
      </c>
      <c r="J49" s="26">
        <f t="shared" si="1"/>
        <v>57.777777777777771</v>
      </c>
      <c r="K49" s="27">
        <f t="shared" si="1"/>
        <v>-5.6338028169014089</v>
      </c>
    </row>
    <row r="50" spans="1:11" ht="12.75" customHeight="1">
      <c r="A50" s="21" t="s">
        <v>37</v>
      </c>
      <c r="B50" s="22">
        <v>871</v>
      </c>
      <c r="C50" s="22">
        <v>979</v>
      </c>
      <c r="D50" s="23">
        <v>1066</v>
      </c>
      <c r="E50" s="23">
        <v>1652</v>
      </c>
      <c r="F50" s="24">
        <v>2265</v>
      </c>
      <c r="G50" s="25">
        <v>-11.303462321792262</v>
      </c>
      <c r="H50" s="25">
        <f t="shared" si="1"/>
        <v>12.399540757749714</v>
      </c>
      <c r="I50" s="26">
        <f t="shared" si="1"/>
        <v>8.88661899897855</v>
      </c>
      <c r="J50" s="26">
        <f t="shared" si="1"/>
        <v>54.971857410881796</v>
      </c>
      <c r="K50" s="27">
        <f t="shared" si="1"/>
        <v>37.106537530266344</v>
      </c>
    </row>
    <row r="51" spans="1:11" ht="12.75" customHeight="1">
      <c r="A51" s="21" t="s">
        <v>10</v>
      </c>
      <c r="B51" s="22">
        <v>4926</v>
      </c>
      <c r="C51" s="22">
        <v>5406</v>
      </c>
      <c r="D51" s="23">
        <v>4630</v>
      </c>
      <c r="E51" s="23">
        <v>3009</v>
      </c>
      <c r="F51" s="24">
        <v>2058</v>
      </c>
      <c r="G51" s="25">
        <v>1.5670103092783505</v>
      </c>
      <c r="H51" s="25">
        <f t="shared" si="1"/>
        <v>9.7442143727161987</v>
      </c>
      <c r="I51" s="26">
        <f t="shared" si="1"/>
        <v>-14.354421013688496</v>
      </c>
      <c r="J51" s="26">
        <f t="shared" si="1"/>
        <v>-35.010799136069117</v>
      </c>
      <c r="K51" s="27">
        <f t="shared" si="1"/>
        <v>-31.605184446660019</v>
      </c>
    </row>
    <row r="52" spans="1:11" ht="12.75" customHeight="1">
      <c r="A52" s="21" t="s">
        <v>36</v>
      </c>
      <c r="B52" s="22">
        <v>1191</v>
      </c>
      <c r="C52" s="22">
        <v>1046</v>
      </c>
      <c r="D52" s="23">
        <v>1256</v>
      </c>
      <c r="E52" s="23">
        <v>1842</v>
      </c>
      <c r="F52" s="24">
        <v>1857</v>
      </c>
      <c r="G52" s="25">
        <v>17.5715695952616</v>
      </c>
      <c r="H52" s="25">
        <f t="shared" si="1"/>
        <v>-12.174643157010916</v>
      </c>
      <c r="I52" s="26">
        <f t="shared" si="1"/>
        <v>20.076481835564053</v>
      </c>
      <c r="J52" s="26">
        <f t="shared" si="1"/>
        <v>46.656050955414017</v>
      </c>
      <c r="K52" s="27">
        <f t="shared" si="1"/>
        <v>0.81433224755700329</v>
      </c>
    </row>
    <row r="53" spans="1:11" ht="12.75" customHeight="1">
      <c r="A53" s="21" t="s">
        <v>32</v>
      </c>
      <c r="B53" s="22">
        <v>581</v>
      </c>
      <c r="C53" s="22">
        <v>677</v>
      </c>
      <c r="D53" s="23">
        <v>818</v>
      </c>
      <c r="E53" s="23">
        <v>1283</v>
      </c>
      <c r="F53" s="24">
        <v>1772</v>
      </c>
      <c r="G53" s="25">
        <v>-38.388123011664902</v>
      </c>
      <c r="H53" s="25">
        <f t="shared" si="1"/>
        <v>16.523235800344235</v>
      </c>
      <c r="I53" s="26">
        <f t="shared" si="1"/>
        <v>20.827178729689809</v>
      </c>
      <c r="J53" s="26">
        <f t="shared" si="1"/>
        <v>56.845965770171148</v>
      </c>
      <c r="K53" s="27">
        <f t="shared" si="1"/>
        <v>38.113795791114576</v>
      </c>
    </row>
    <row r="54" spans="1:11" ht="12.75" customHeight="1">
      <c r="A54" s="21" t="s">
        <v>53</v>
      </c>
      <c r="B54" s="22">
        <v>1139</v>
      </c>
      <c r="C54" s="22">
        <v>984</v>
      </c>
      <c r="D54" s="23">
        <v>1145</v>
      </c>
      <c r="E54" s="23">
        <v>1346</v>
      </c>
      <c r="F54" s="24">
        <v>1666</v>
      </c>
      <c r="G54" s="25">
        <v>72.575757575757578</v>
      </c>
      <c r="H54" s="25">
        <f t="shared" si="1"/>
        <v>-13.608428446005268</v>
      </c>
      <c r="I54" s="26">
        <f t="shared" si="1"/>
        <v>16.361788617886177</v>
      </c>
      <c r="J54" s="26">
        <f t="shared" si="1"/>
        <v>17.554585152838428</v>
      </c>
      <c r="K54" s="27">
        <f t="shared" si="1"/>
        <v>23.774145616641899</v>
      </c>
    </row>
    <row r="55" spans="1:11" ht="12.75" customHeight="1">
      <c r="A55" s="21" t="s">
        <v>50</v>
      </c>
      <c r="B55" s="22">
        <v>1184</v>
      </c>
      <c r="C55" s="22">
        <v>991</v>
      </c>
      <c r="D55" s="23">
        <v>1103</v>
      </c>
      <c r="E55" s="23">
        <v>1390</v>
      </c>
      <c r="F55" s="24">
        <v>1579</v>
      </c>
      <c r="G55" s="25">
        <v>3.6777583187390541</v>
      </c>
      <c r="H55" s="25">
        <f t="shared" si="1"/>
        <v>-16.300675675675674</v>
      </c>
      <c r="I55" s="26">
        <f t="shared" si="1"/>
        <v>11.301715438950556</v>
      </c>
      <c r="J55" s="26">
        <f t="shared" si="1"/>
        <v>26.019945602901178</v>
      </c>
      <c r="K55" s="27">
        <f t="shared" si="1"/>
        <v>13.597122302158274</v>
      </c>
    </row>
    <row r="56" spans="1:11" ht="12.75" customHeight="1">
      <c r="A56" s="21" t="s">
        <v>4</v>
      </c>
      <c r="B56" s="22">
        <v>3368</v>
      </c>
      <c r="C56" s="22">
        <v>3437</v>
      </c>
      <c r="D56" s="23">
        <v>4386</v>
      </c>
      <c r="E56" s="23">
        <v>5738</v>
      </c>
      <c r="F56" s="24">
        <v>1509</v>
      </c>
      <c r="G56" s="25">
        <v>-5.1801801801801801</v>
      </c>
      <c r="H56" s="25">
        <f t="shared" si="1"/>
        <v>2.0486935866983371</v>
      </c>
      <c r="I56" s="26">
        <f t="shared" si="1"/>
        <v>27.611288914751235</v>
      </c>
      <c r="J56" s="26">
        <f t="shared" si="1"/>
        <v>30.825353397172822</v>
      </c>
      <c r="K56" s="27">
        <f t="shared" si="1"/>
        <v>-73.701638201463922</v>
      </c>
    </row>
    <row r="57" spans="1:11" ht="12.75" customHeight="1">
      <c r="A57" s="21" t="s">
        <v>7</v>
      </c>
      <c r="B57" s="22">
        <v>865</v>
      </c>
      <c r="C57" s="22">
        <v>1088</v>
      </c>
      <c r="D57" s="23">
        <v>1281</v>
      </c>
      <c r="E57" s="23">
        <v>1535</v>
      </c>
      <c r="F57" s="24">
        <v>1402</v>
      </c>
      <c r="G57" s="25">
        <v>9.6324461343472745</v>
      </c>
      <c r="H57" s="25">
        <f t="shared" si="1"/>
        <v>25.780346820809246</v>
      </c>
      <c r="I57" s="26">
        <f t="shared" si="1"/>
        <v>17.738970588235293</v>
      </c>
      <c r="J57" s="26">
        <f t="shared" si="1"/>
        <v>19.828259172521467</v>
      </c>
      <c r="K57" s="27">
        <f t="shared" si="1"/>
        <v>-8.664495114006515</v>
      </c>
    </row>
    <row r="58" spans="1:11" ht="12.75" customHeight="1">
      <c r="A58" s="21" t="s">
        <v>21</v>
      </c>
      <c r="B58" s="22">
        <v>1372</v>
      </c>
      <c r="C58" s="22">
        <v>1324</v>
      </c>
      <c r="D58" s="23">
        <v>1647</v>
      </c>
      <c r="E58" s="23">
        <v>1609</v>
      </c>
      <c r="F58" s="24">
        <v>1295</v>
      </c>
      <c r="G58" s="25">
        <v>13.953488372093023</v>
      </c>
      <c r="H58" s="25">
        <f t="shared" si="1"/>
        <v>-3.4985422740524781</v>
      </c>
      <c r="I58" s="26">
        <f t="shared" si="1"/>
        <v>24.395770392749245</v>
      </c>
      <c r="J58" s="26">
        <f t="shared" si="1"/>
        <v>-2.3072252580449302</v>
      </c>
      <c r="K58" s="27">
        <f t="shared" si="1"/>
        <v>-19.515226848974518</v>
      </c>
    </row>
    <row r="59" spans="1:11" ht="12.75" customHeight="1">
      <c r="A59" s="21" t="s">
        <v>29</v>
      </c>
      <c r="B59" s="22">
        <v>455</v>
      </c>
      <c r="C59" s="22">
        <v>388</v>
      </c>
      <c r="D59" s="23">
        <v>525</v>
      </c>
      <c r="E59" s="23">
        <v>1496</v>
      </c>
      <c r="F59" s="24">
        <v>1221</v>
      </c>
      <c r="G59" s="25">
        <v>-64.563862928348911</v>
      </c>
      <c r="H59" s="25">
        <f t="shared" si="1"/>
        <v>-14.725274725274726</v>
      </c>
      <c r="I59" s="26">
        <f t="shared" si="1"/>
        <v>35.309278350515463</v>
      </c>
      <c r="J59" s="26">
        <f t="shared" si="1"/>
        <v>184.95238095238096</v>
      </c>
      <c r="K59" s="27">
        <f t="shared" si="1"/>
        <v>-18.382352941176471</v>
      </c>
    </row>
    <row r="60" spans="1:11" ht="12.75" customHeight="1">
      <c r="A60" s="28" t="s">
        <v>51</v>
      </c>
      <c r="B60" s="29">
        <v>22</v>
      </c>
      <c r="C60" s="29">
        <v>21</v>
      </c>
      <c r="D60" s="30">
        <v>31</v>
      </c>
      <c r="E60" s="30">
        <v>27</v>
      </c>
      <c r="F60" s="31">
        <v>39</v>
      </c>
      <c r="G60" s="32">
        <v>-80.530973451327441</v>
      </c>
      <c r="H60" s="32">
        <f t="shared" si="1"/>
        <v>-4.5454545454545459</v>
      </c>
      <c r="I60" s="33">
        <f t="shared" si="1"/>
        <v>47.619047619047613</v>
      </c>
      <c r="J60" s="33">
        <f t="shared" si="1"/>
        <v>-12.903225806451612</v>
      </c>
      <c r="K60" s="34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5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5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3"/>
  <sheetViews>
    <sheetView tabSelected="1" zoomScaleNormal="100" workbookViewId="0">
      <selection activeCell="O174" sqref="O174"/>
    </sheetView>
  </sheetViews>
  <sheetFormatPr defaultColWidth="9.140625" defaultRowHeight="15"/>
  <cols>
    <col min="1" max="1" width="6.28515625" style="43" customWidth="1"/>
    <col min="2" max="2" width="2" style="43" customWidth="1"/>
    <col min="3" max="3" width="67.140625" style="43" customWidth="1"/>
    <col min="4" max="4" width="18.85546875" style="43" customWidth="1"/>
    <col min="5" max="5" width="29.85546875" style="57" customWidth="1"/>
    <col min="6" max="16384" width="9.140625" style="43"/>
  </cols>
  <sheetData>
    <row r="1" spans="1:5" ht="21">
      <c r="A1" s="83" t="s">
        <v>72</v>
      </c>
      <c r="B1" s="83"/>
      <c r="C1" s="83"/>
      <c r="D1" s="83"/>
      <c r="E1" s="83"/>
    </row>
    <row r="2" spans="1:5" ht="15" customHeight="1">
      <c r="A2" s="84" t="s">
        <v>73</v>
      </c>
      <c r="B2" s="84"/>
      <c r="C2" s="84"/>
      <c r="D2" s="84"/>
      <c r="E2" s="84"/>
    </row>
    <row r="3" spans="1:5">
      <c r="A3" s="44"/>
      <c r="B3" s="44"/>
      <c r="C3" s="44"/>
      <c r="D3" s="45"/>
      <c r="E3" s="55"/>
    </row>
    <row r="4" spans="1:5" ht="30">
      <c r="A4" s="36"/>
      <c r="B4" s="36"/>
      <c r="C4" s="36" t="s">
        <v>74</v>
      </c>
      <c r="D4" s="37" t="s">
        <v>75</v>
      </c>
      <c r="E4" s="56" t="s">
        <v>76</v>
      </c>
    </row>
    <row r="5" spans="1:5">
      <c r="A5" s="38" t="s">
        <v>77</v>
      </c>
      <c r="B5" s="38"/>
      <c r="C5" s="39"/>
      <c r="D5" s="40">
        <f>SUM(D6:D7)</f>
        <v>358</v>
      </c>
      <c r="E5" s="58" t="s">
        <v>70</v>
      </c>
    </row>
    <row r="6" spans="1:5">
      <c r="A6" s="46">
        <v>1</v>
      </c>
      <c r="B6" s="46"/>
      <c r="C6" s="46" t="s">
        <v>97</v>
      </c>
      <c r="D6" s="49">
        <v>158</v>
      </c>
      <c r="E6" s="59">
        <v>42705</v>
      </c>
    </row>
    <row r="7" spans="1:5">
      <c r="A7" s="46">
        <v>2</v>
      </c>
      <c r="B7" s="46"/>
      <c r="C7" s="46" t="s">
        <v>98</v>
      </c>
      <c r="D7" s="49">
        <v>200</v>
      </c>
      <c r="E7" s="59" t="s">
        <v>99</v>
      </c>
    </row>
    <row r="8" spans="1:5">
      <c r="A8" s="41" t="s">
        <v>78</v>
      </c>
      <c r="B8" s="41"/>
      <c r="C8" s="50"/>
      <c r="D8" s="51">
        <f>SUM(D9:D12)</f>
        <v>1016</v>
      </c>
      <c r="E8" s="60" t="s">
        <v>70</v>
      </c>
    </row>
    <row r="9" spans="1:5">
      <c r="A9" s="46">
        <v>3</v>
      </c>
      <c r="B9" s="46"/>
      <c r="C9" s="46" t="s">
        <v>100</v>
      </c>
      <c r="D9" s="49">
        <v>200</v>
      </c>
      <c r="E9" s="59">
        <v>43040</v>
      </c>
    </row>
    <row r="10" spans="1:5">
      <c r="A10" s="46">
        <v>4</v>
      </c>
      <c r="B10" s="46"/>
      <c r="C10" s="46" t="s">
        <v>101</v>
      </c>
      <c r="D10" s="49">
        <v>600</v>
      </c>
      <c r="E10" s="59" t="s">
        <v>99</v>
      </c>
    </row>
    <row r="11" spans="1:5">
      <c r="A11" s="46">
        <v>5</v>
      </c>
      <c r="B11" s="46"/>
      <c r="C11" s="46" t="s">
        <v>102</v>
      </c>
      <c r="D11" s="49">
        <v>216</v>
      </c>
      <c r="E11" s="59">
        <v>42826</v>
      </c>
    </row>
    <row r="12" spans="1:5">
      <c r="A12" s="46">
        <v>6</v>
      </c>
      <c r="B12" s="46"/>
      <c r="C12" s="46" t="s">
        <v>103</v>
      </c>
      <c r="D12" s="49" t="s">
        <v>99</v>
      </c>
      <c r="E12" s="59" t="s">
        <v>99</v>
      </c>
    </row>
    <row r="13" spans="1:5">
      <c r="A13" s="41" t="s">
        <v>79</v>
      </c>
      <c r="B13" s="41"/>
      <c r="C13" s="50"/>
      <c r="D13" s="51">
        <f>SUM(D14:D16)</f>
        <v>600</v>
      </c>
      <c r="E13" s="60" t="s">
        <v>70</v>
      </c>
    </row>
    <row r="14" spans="1:5">
      <c r="A14" s="46">
        <v>7</v>
      </c>
      <c r="B14" s="46"/>
      <c r="C14" s="46" t="s">
        <v>104</v>
      </c>
      <c r="D14" s="49">
        <v>200</v>
      </c>
      <c r="E14" s="59">
        <v>43040</v>
      </c>
    </row>
    <row r="15" spans="1:5">
      <c r="A15" s="46">
        <v>8</v>
      </c>
      <c r="B15" s="46"/>
      <c r="C15" s="46" t="s">
        <v>105</v>
      </c>
      <c r="D15" s="49">
        <v>200</v>
      </c>
      <c r="E15" s="59">
        <v>43070</v>
      </c>
    </row>
    <row r="16" spans="1:5">
      <c r="A16" s="47">
        <v>9</v>
      </c>
      <c r="B16" s="47"/>
      <c r="C16" s="47" t="s">
        <v>106</v>
      </c>
      <c r="D16" s="52">
        <v>200</v>
      </c>
      <c r="E16" s="61">
        <v>42767</v>
      </c>
    </row>
    <row r="17" spans="1:5">
      <c r="A17" s="38" t="s">
        <v>80</v>
      </c>
      <c r="B17" s="38"/>
      <c r="C17" s="39"/>
      <c r="D17" s="40">
        <f>SUM(D18:D29)</f>
        <v>3341</v>
      </c>
      <c r="E17" s="58" t="s">
        <v>70</v>
      </c>
    </row>
    <row r="18" spans="1:5">
      <c r="A18" s="46">
        <v>10</v>
      </c>
      <c r="B18" s="46"/>
      <c r="C18" s="46" t="s">
        <v>107</v>
      </c>
      <c r="D18" s="49">
        <v>1018</v>
      </c>
      <c r="E18" s="59">
        <v>43405</v>
      </c>
    </row>
    <row r="19" spans="1:5">
      <c r="A19" s="46">
        <v>11</v>
      </c>
      <c r="B19" s="46"/>
      <c r="C19" s="46" t="s">
        <v>108</v>
      </c>
      <c r="D19" s="49">
        <v>200</v>
      </c>
      <c r="E19" s="59" t="s">
        <v>99</v>
      </c>
    </row>
    <row r="20" spans="1:5">
      <c r="A20" s="46">
        <v>12</v>
      </c>
      <c r="B20" s="46"/>
      <c r="C20" s="46" t="s">
        <v>109</v>
      </c>
      <c r="D20" s="49">
        <v>180</v>
      </c>
      <c r="E20" s="59" t="s">
        <v>99</v>
      </c>
    </row>
    <row r="21" spans="1:5">
      <c r="A21" s="46">
        <v>13</v>
      </c>
      <c r="B21" s="46"/>
      <c r="C21" s="46" t="s">
        <v>110</v>
      </c>
      <c r="D21" s="49">
        <v>400</v>
      </c>
      <c r="E21" s="59" t="s">
        <v>99</v>
      </c>
    </row>
    <row r="22" spans="1:5">
      <c r="A22" s="46">
        <v>14</v>
      </c>
      <c r="B22" s="46"/>
      <c r="C22" s="46" t="s">
        <v>111</v>
      </c>
      <c r="D22" s="49">
        <v>252</v>
      </c>
      <c r="E22" s="59">
        <v>42614</v>
      </c>
    </row>
    <row r="23" spans="1:5">
      <c r="A23" s="46">
        <v>15</v>
      </c>
      <c r="B23" s="46"/>
      <c r="C23" s="46" t="s">
        <v>112</v>
      </c>
      <c r="D23" s="49" t="s">
        <v>99</v>
      </c>
      <c r="E23" s="59">
        <v>43405</v>
      </c>
    </row>
    <row r="24" spans="1:5">
      <c r="A24" s="46">
        <v>16</v>
      </c>
      <c r="B24" s="46"/>
      <c r="C24" s="46" t="s">
        <v>113</v>
      </c>
      <c r="D24" s="49">
        <v>228</v>
      </c>
      <c r="E24" s="59">
        <v>43099</v>
      </c>
    </row>
    <row r="25" spans="1:5">
      <c r="A25" s="46">
        <v>17</v>
      </c>
      <c r="B25" s="46"/>
      <c r="C25" s="46" t="s">
        <v>114</v>
      </c>
      <c r="D25" s="49" t="s">
        <v>99</v>
      </c>
      <c r="E25" s="59" t="s">
        <v>99</v>
      </c>
    </row>
    <row r="26" spans="1:5">
      <c r="A26" s="46">
        <v>18</v>
      </c>
      <c r="B26" s="46"/>
      <c r="C26" s="46" t="s">
        <v>115</v>
      </c>
      <c r="D26" s="49">
        <v>228</v>
      </c>
      <c r="E26" s="59" t="s">
        <v>99</v>
      </c>
    </row>
    <row r="27" spans="1:5">
      <c r="A27" s="46">
        <v>19</v>
      </c>
      <c r="B27" s="46"/>
      <c r="C27" s="46" t="s">
        <v>116</v>
      </c>
      <c r="D27" s="49">
        <v>133</v>
      </c>
      <c r="E27" s="59">
        <v>43009</v>
      </c>
    </row>
    <row r="28" spans="1:5">
      <c r="A28" s="46">
        <v>20</v>
      </c>
      <c r="B28" s="46"/>
      <c r="C28" s="46" t="s">
        <v>117</v>
      </c>
      <c r="D28" s="49">
        <v>300</v>
      </c>
      <c r="E28" s="59">
        <v>43132</v>
      </c>
    </row>
    <row r="29" spans="1:5">
      <c r="A29" s="47">
        <v>21</v>
      </c>
      <c r="B29" s="47"/>
      <c r="C29" s="47" t="s">
        <v>118</v>
      </c>
      <c r="D29" s="52">
        <v>402</v>
      </c>
      <c r="E29" s="61">
        <v>43556</v>
      </c>
    </row>
    <row r="30" spans="1:5">
      <c r="A30" s="38" t="s">
        <v>81</v>
      </c>
      <c r="B30" s="38"/>
      <c r="C30" s="39"/>
      <c r="D30" s="40">
        <f>SUM(D31:D52)</f>
        <v>2815</v>
      </c>
      <c r="E30" s="58" t="s">
        <v>70</v>
      </c>
    </row>
    <row r="31" spans="1:5">
      <c r="A31" s="46">
        <v>22</v>
      </c>
      <c r="B31" s="46"/>
      <c r="C31" s="46" t="s">
        <v>119</v>
      </c>
      <c r="D31" s="49" t="s">
        <v>99</v>
      </c>
      <c r="E31" s="59">
        <v>43344</v>
      </c>
    </row>
    <row r="32" spans="1:5">
      <c r="A32" s="46">
        <v>23</v>
      </c>
      <c r="B32" s="46"/>
      <c r="C32" s="46" t="s">
        <v>120</v>
      </c>
      <c r="D32" s="49">
        <v>200</v>
      </c>
      <c r="E32" s="59">
        <v>43040</v>
      </c>
    </row>
    <row r="33" spans="1:5">
      <c r="A33" s="46">
        <v>24</v>
      </c>
      <c r="B33" s="46"/>
      <c r="C33" s="46" t="s">
        <v>121</v>
      </c>
      <c r="D33" s="49" t="s">
        <v>99</v>
      </c>
      <c r="E33" s="59">
        <v>43647</v>
      </c>
    </row>
    <row r="34" spans="1:5">
      <c r="A34" s="46">
        <v>25</v>
      </c>
      <c r="B34" s="46"/>
      <c r="C34" s="46" t="s">
        <v>122</v>
      </c>
      <c r="D34" s="49">
        <v>200</v>
      </c>
      <c r="E34" s="59">
        <v>42767</v>
      </c>
    </row>
    <row r="35" spans="1:5">
      <c r="A35" s="46">
        <v>26</v>
      </c>
      <c r="B35" s="46"/>
      <c r="C35" s="46" t="s">
        <v>123</v>
      </c>
      <c r="D35" s="49">
        <v>200</v>
      </c>
      <c r="E35" s="59" t="s">
        <v>99</v>
      </c>
    </row>
    <row r="36" spans="1:5">
      <c r="A36" s="46">
        <v>27</v>
      </c>
      <c r="B36" s="46"/>
      <c r="C36" s="46" t="s">
        <v>124</v>
      </c>
      <c r="D36" s="49" t="s">
        <v>99</v>
      </c>
      <c r="E36" s="59">
        <v>43040</v>
      </c>
    </row>
    <row r="37" spans="1:5">
      <c r="A37" s="46">
        <v>28</v>
      </c>
      <c r="B37" s="46"/>
      <c r="C37" s="46" t="s">
        <v>125</v>
      </c>
      <c r="D37" s="49" t="s">
        <v>99</v>
      </c>
      <c r="E37" s="59" t="s">
        <v>99</v>
      </c>
    </row>
    <row r="38" spans="1:5">
      <c r="A38" s="46">
        <v>29</v>
      </c>
      <c r="B38" s="46"/>
      <c r="C38" s="46" t="s">
        <v>126</v>
      </c>
      <c r="D38" s="49" t="s">
        <v>99</v>
      </c>
      <c r="E38" s="59">
        <v>43160</v>
      </c>
    </row>
    <row r="39" spans="1:5">
      <c r="A39" s="46">
        <v>30</v>
      </c>
      <c r="B39" s="46"/>
      <c r="C39" s="46" t="s">
        <v>127</v>
      </c>
      <c r="D39" s="49">
        <v>140</v>
      </c>
      <c r="E39" s="59">
        <v>43709</v>
      </c>
    </row>
    <row r="40" spans="1:5">
      <c r="A40" s="46">
        <v>31</v>
      </c>
      <c r="B40" s="46"/>
      <c r="C40" s="46" t="s">
        <v>128</v>
      </c>
      <c r="D40" s="49">
        <v>240</v>
      </c>
      <c r="E40" s="59">
        <v>43101</v>
      </c>
    </row>
    <row r="41" spans="1:5">
      <c r="A41" s="46">
        <v>32</v>
      </c>
      <c r="B41" s="46"/>
      <c r="C41" s="46" t="s">
        <v>129</v>
      </c>
      <c r="D41" s="49">
        <v>100</v>
      </c>
      <c r="E41" s="59">
        <v>43009</v>
      </c>
    </row>
    <row r="42" spans="1:5">
      <c r="A42" s="46">
        <v>33</v>
      </c>
      <c r="B42" s="46"/>
      <c r="C42" s="46" t="s">
        <v>130</v>
      </c>
      <c r="D42" s="49">
        <v>140</v>
      </c>
      <c r="E42" s="59">
        <v>43313</v>
      </c>
    </row>
    <row r="43" spans="1:5">
      <c r="A43" s="46">
        <v>34</v>
      </c>
      <c r="B43" s="46"/>
      <c r="C43" s="46" t="s">
        <v>131</v>
      </c>
      <c r="D43" s="49" t="s">
        <v>99</v>
      </c>
      <c r="E43" s="59">
        <v>43252</v>
      </c>
    </row>
    <row r="44" spans="1:5">
      <c r="A44" s="46">
        <v>35</v>
      </c>
      <c r="B44" s="46"/>
      <c r="C44" s="46" t="s">
        <v>132</v>
      </c>
      <c r="D44" s="49">
        <v>410</v>
      </c>
      <c r="E44" s="59">
        <v>43040</v>
      </c>
    </row>
    <row r="45" spans="1:5">
      <c r="A45" s="46">
        <v>36</v>
      </c>
      <c r="B45" s="46"/>
      <c r="C45" s="46" t="s">
        <v>133</v>
      </c>
      <c r="D45" s="49">
        <v>212</v>
      </c>
      <c r="E45" s="59">
        <v>42644</v>
      </c>
    </row>
    <row r="46" spans="1:5">
      <c r="A46" s="46">
        <v>37</v>
      </c>
      <c r="B46" s="46"/>
      <c r="C46" s="46" t="s">
        <v>134</v>
      </c>
      <c r="D46" s="49">
        <v>228</v>
      </c>
      <c r="E46" s="59">
        <v>43191</v>
      </c>
    </row>
    <row r="47" spans="1:5">
      <c r="A47" s="46">
        <v>38</v>
      </c>
      <c r="B47" s="46"/>
      <c r="C47" s="46" t="s">
        <v>135</v>
      </c>
      <c r="D47" s="49">
        <v>40</v>
      </c>
      <c r="E47" s="59">
        <v>42856</v>
      </c>
    </row>
    <row r="48" spans="1:5">
      <c r="A48" s="46">
        <v>39</v>
      </c>
      <c r="B48" s="46"/>
      <c r="C48" s="46" t="s">
        <v>136</v>
      </c>
      <c r="D48" s="49">
        <v>185</v>
      </c>
      <c r="E48" s="59">
        <v>43101</v>
      </c>
    </row>
    <row r="49" spans="1:5">
      <c r="A49" s="46">
        <v>40</v>
      </c>
      <c r="B49" s="46"/>
      <c r="C49" s="46" t="s">
        <v>137</v>
      </c>
      <c r="D49" s="49">
        <v>150</v>
      </c>
      <c r="E49" s="59">
        <v>43435</v>
      </c>
    </row>
    <row r="50" spans="1:5">
      <c r="A50" s="46">
        <v>41</v>
      </c>
      <c r="B50" s="46"/>
      <c r="C50" s="46" t="s">
        <v>138</v>
      </c>
      <c r="D50" s="49" t="s">
        <v>99</v>
      </c>
      <c r="E50" s="59">
        <v>43647</v>
      </c>
    </row>
    <row r="51" spans="1:5">
      <c r="A51" s="46">
        <v>42</v>
      </c>
      <c r="B51" s="46"/>
      <c r="C51" s="46" t="s">
        <v>139</v>
      </c>
      <c r="D51" s="49">
        <v>156</v>
      </c>
      <c r="E51" s="59">
        <v>42856</v>
      </c>
    </row>
    <row r="52" spans="1:5">
      <c r="A52" s="47">
        <v>43</v>
      </c>
      <c r="B52" s="47"/>
      <c r="C52" s="47" t="s">
        <v>140</v>
      </c>
      <c r="D52" s="52">
        <v>214</v>
      </c>
      <c r="E52" s="61">
        <v>43132</v>
      </c>
    </row>
    <row r="53" spans="1:5">
      <c r="A53" s="38" t="s">
        <v>82</v>
      </c>
      <c r="B53" s="38"/>
      <c r="C53" s="39"/>
      <c r="D53" s="40">
        <f>SUM(D54:D65)</f>
        <v>988</v>
      </c>
      <c r="E53" s="58" t="s">
        <v>70</v>
      </c>
    </row>
    <row r="54" spans="1:5">
      <c r="A54" s="46">
        <v>44</v>
      </c>
      <c r="B54" s="46"/>
      <c r="C54" s="46" t="s">
        <v>141</v>
      </c>
      <c r="D54" s="49" t="s">
        <v>99</v>
      </c>
      <c r="E54" s="59">
        <v>43221</v>
      </c>
    </row>
    <row r="55" spans="1:5">
      <c r="A55" s="46">
        <v>45</v>
      </c>
      <c r="B55" s="46"/>
      <c r="C55" s="46" t="s">
        <v>142</v>
      </c>
      <c r="D55" s="49">
        <v>148</v>
      </c>
      <c r="E55" s="59">
        <v>43586</v>
      </c>
    </row>
    <row r="56" spans="1:5">
      <c r="A56" s="46">
        <v>46</v>
      </c>
      <c r="B56" s="46"/>
      <c r="C56" s="46" t="s">
        <v>143</v>
      </c>
      <c r="D56" s="49">
        <v>100</v>
      </c>
      <c r="E56" s="59">
        <v>42583</v>
      </c>
    </row>
    <row r="57" spans="1:5">
      <c r="A57" s="46">
        <v>47</v>
      </c>
      <c r="B57" s="46"/>
      <c r="C57" s="46" t="s">
        <v>144</v>
      </c>
      <c r="D57" s="49" t="s">
        <v>145</v>
      </c>
      <c r="E57" s="59">
        <v>43497</v>
      </c>
    </row>
    <row r="58" spans="1:5">
      <c r="A58" s="46">
        <v>48</v>
      </c>
      <c r="B58" s="46"/>
      <c r="C58" s="46" t="s">
        <v>146</v>
      </c>
      <c r="D58" s="49">
        <v>190</v>
      </c>
      <c r="E58" s="59">
        <v>43344</v>
      </c>
    </row>
    <row r="59" spans="1:5">
      <c r="A59" s="46">
        <v>49</v>
      </c>
      <c r="B59" s="46"/>
      <c r="C59" s="46" t="s">
        <v>147</v>
      </c>
      <c r="D59" s="49" t="s">
        <v>99</v>
      </c>
      <c r="E59" s="59">
        <v>43497</v>
      </c>
    </row>
    <row r="60" spans="1:5">
      <c r="A60" s="46">
        <v>50</v>
      </c>
      <c r="B60" s="46"/>
      <c r="C60" s="46" t="s">
        <v>148</v>
      </c>
      <c r="D60" s="49" t="s">
        <v>99</v>
      </c>
      <c r="E60" s="59" t="s">
        <v>99</v>
      </c>
    </row>
    <row r="61" spans="1:5">
      <c r="A61" s="46">
        <v>51</v>
      </c>
      <c r="B61" s="46"/>
      <c r="C61" s="46" t="s">
        <v>149</v>
      </c>
      <c r="D61" s="49">
        <v>100</v>
      </c>
      <c r="E61" s="59">
        <v>42675</v>
      </c>
    </row>
    <row r="62" spans="1:5">
      <c r="A62" s="46">
        <v>52</v>
      </c>
      <c r="B62" s="46"/>
      <c r="C62" s="46" t="s">
        <v>150</v>
      </c>
      <c r="D62" s="49">
        <v>140</v>
      </c>
      <c r="E62" s="59">
        <v>43160</v>
      </c>
    </row>
    <row r="63" spans="1:5">
      <c r="A63" s="46">
        <v>53</v>
      </c>
      <c r="B63" s="46"/>
      <c r="C63" s="46" t="s">
        <v>151</v>
      </c>
      <c r="D63" s="49">
        <v>100</v>
      </c>
      <c r="E63" s="59">
        <v>43191</v>
      </c>
    </row>
    <row r="64" spans="1:5">
      <c r="A64" s="46">
        <v>54</v>
      </c>
      <c r="B64" s="46"/>
      <c r="C64" s="46" t="s">
        <v>152</v>
      </c>
      <c r="D64" s="49">
        <v>200</v>
      </c>
      <c r="E64" s="59">
        <v>43132</v>
      </c>
    </row>
    <row r="65" spans="1:5">
      <c r="A65" s="47">
        <v>55</v>
      </c>
      <c r="B65" s="47"/>
      <c r="C65" s="47" t="s">
        <v>153</v>
      </c>
      <c r="D65" s="52">
        <v>10</v>
      </c>
      <c r="E65" s="61" t="s">
        <v>99</v>
      </c>
    </row>
    <row r="66" spans="1:5">
      <c r="A66" s="38" t="s">
        <v>83</v>
      </c>
      <c r="B66" s="38"/>
      <c r="C66" s="39"/>
      <c r="D66" s="40">
        <f>SUM(D67:D75)</f>
        <v>840</v>
      </c>
      <c r="E66" s="58" t="s">
        <v>70</v>
      </c>
    </row>
    <row r="67" spans="1:5">
      <c r="A67" s="46">
        <v>56</v>
      </c>
      <c r="B67" s="46"/>
      <c r="C67" s="46" t="s">
        <v>154</v>
      </c>
      <c r="D67" s="49" t="s">
        <v>145</v>
      </c>
      <c r="E67" s="59">
        <v>42917</v>
      </c>
    </row>
    <row r="68" spans="1:5">
      <c r="A68" s="46">
        <v>57</v>
      </c>
      <c r="B68" s="46"/>
      <c r="C68" s="46" t="s">
        <v>155</v>
      </c>
      <c r="D68" s="49">
        <v>140</v>
      </c>
      <c r="E68" s="59">
        <v>43009</v>
      </c>
    </row>
    <row r="69" spans="1:5">
      <c r="A69" s="46">
        <v>58</v>
      </c>
      <c r="B69" s="46"/>
      <c r="C69" s="46" t="s">
        <v>156</v>
      </c>
      <c r="D69" s="49">
        <v>400</v>
      </c>
      <c r="E69" s="59">
        <v>42795</v>
      </c>
    </row>
    <row r="70" spans="1:5">
      <c r="A70" s="46">
        <v>59</v>
      </c>
      <c r="B70" s="46"/>
      <c r="C70" s="46" t="s">
        <v>157</v>
      </c>
      <c r="D70" s="49">
        <v>100</v>
      </c>
      <c r="E70" s="59">
        <v>42583</v>
      </c>
    </row>
    <row r="71" spans="1:5">
      <c r="A71" s="46">
        <v>60</v>
      </c>
      <c r="B71" s="46"/>
      <c r="C71" s="46" t="s">
        <v>158</v>
      </c>
      <c r="D71" s="49" t="s">
        <v>99</v>
      </c>
      <c r="E71" s="59">
        <v>42917</v>
      </c>
    </row>
    <row r="72" spans="1:5">
      <c r="A72" s="46">
        <v>61</v>
      </c>
      <c r="B72" s="46"/>
      <c r="C72" s="46" t="s">
        <v>159</v>
      </c>
      <c r="D72" s="49">
        <v>30</v>
      </c>
      <c r="E72" s="59">
        <v>43101</v>
      </c>
    </row>
    <row r="73" spans="1:5">
      <c r="A73" s="46">
        <v>62</v>
      </c>
      <c r="B73" s="46"/>
      <c r="C73" s="46" t="s">
        <v>160</v>
      </c>
      <c r="D73" s="49" t="s">
        <v>99</v>
      </c>
      <c r="E73" s="59">
        <v>42887</v>
      </c>
    </row>
    <row r="74" spans="1:5">
      <c r="A74" s="46">
        <v>63</v>
      </c>
      <c r="B74" s="46"/>
      <c r="C74" s="46" t="s">
        <v>161</v>
      </c>
      <c r="D74" s="49" t="s">
        <v>145</v>
      </c>
      <c r="E74" s="59">
        <v>42856</v>
      </c>
    </row>
    <row r="75" spans="1:5">
      <c r="A75" s="47">
        <v>64</v>
      </c>
      <c r="B75" s="47"/>
      <c r="C75" s="47" t="s">
        <v>162</v>
      </c>
      <c r="D75" s="52">
        <v>170</v>
      </c>
      <c r="E75" s="61">
        <v>43374</v>
      </c>
    </row>
    <row r="76" spans="1:5">
      <c r="A76" s="38" t="s">
        <v>84</v>
      </c>
      <c r="B76" s="38"/>
      <c r="C76" s="39"/>
      <c r="D76" s="40">
        <f>SUM(D77:D78)</f>
        <v>470</v>
      </c>
      <c r="E76" s="58" t="s">
        <v>70</v>
      </c>
    </row>
    <row r="77" spans="1:5">
      <c r="A77" s="46">
        <v>65</v>
      </c>
      <c r="B77" s="46"/>
      <c r="C77" s="46" t="s">
        <v>163</v>
      </c>
      <c r="D77" s="49">
        <v>200</v>
      </c>
      <c r="E77" s="59" t="s">
        <v>99</v>
      </c>
    </row>
    <row r="78" spans="1:5">
      <c r="A78" s="47">
        <v>66</v>
      </c>
      <c r="B78" s="47"/>
      <c r="C78" s="47" t="s">
        <v>164</v>
      </c>
      <c r="D78" s="52">
        <v>270</v>
      </c>
      <c r="E78" s="62">
        <v>43101</v>
      </c>
    </row>
    <row r="79" spans="1:5">
      <c r="A79" s="38" t="s">
        <v>85</v>
      </c>
      <c r="B79" s="38"/>
      <c r="C79" s="39"/>
      <c r="D79" s="40">
        <f>SUM(D80:D114)</f>
        <v>4080</v>
      </c>
      <c r="E79" s="58" t="s">
        <v>70</v>
      </c>
    </row>
    <row r="80" spans="1:5">
      <c r="A80" s="46">
        <v>67</v>
      </c>
      <c r="B80" s="46"/>
      <c r="C80" s="46" t="s">
        <v>165</v>
      </c>
      <c r="D80" s="49">
        <v>202</v>
      </c>
      <c r="E80" s="63" t="s">
        <v>99</v>
      </c>
    </row>
    <row r="81" spans="1:5">
      <c r="A81" s="46">
        <v>68</v>
      </c>
      <c r="B81" s="46"/>
      <c r="C81" s="46" t="s">
        <v>166</v>
      </c>
      <c r="D81" s="49" t="s">
        <v>99</v>
      </c>
      <c r="E81" s="59" t="s">
        <v>99</v>
      </c>
    </row>
    <row r="82" spans="1:5">
      <c r="A82" s="46">
        <v>69</v>
      </c>
      <c r="B82" s="46"/>
      <c r="C82" s="46" t="s">
        <v>167</v>
      </c>
      <c r="D82" s="49" t="s">
        <v>145</v>
      </c>
      <c r="E82" s="59" t="s">
        <v>99</v>
      </c>
    </row>
    <row r="83" spans="1:5">
      <c r="A83" s="46">
        <v>70</v>
      </c>
      <c r="B83" s="46"/>
      <c r="C83" s="46" t="s">
        <v>168</v>
      </c>
      <c r="D83" s="49" t="s">
        <v>99</v>
      </c>
      <c r="E83" s="59" t="s">
        <v>99</v>
      </c>
    </row>
    <row r="84" spans="1:5">
      <c r="A84" s="46">
        <v>71</v>
      </c>
      <c r="B84" s="46"/>
      <c r="C84" s="46" t="s">
        <v>169</v>
      </c>
      <c r="D84" s="49">
        <v>64</v>
      </c>
      <c r="E84" s="59" t="s">
        <v>99</v>
      </c>
    </row>
    <row r="85" spans="1:5">
      <c r="A85" s="46">
        <v>72</v>
      </c>
      <c r="B85" s="46"/>
      <c r="C85" s="46" t="s">
        <v>170</v>
      </c>
      <c r="D85" s="49" t="s">
        <v>99</v>
      </c>
      <c r="E85" s="59" t="s">
        <v>99</v>
      </c>
    </row>
    <row r="86" spans="1:5">
      <c r="A86" s="46">
        <v>73</v>
      </c>
      <c r="B86" s="46"/>
      <c r="C86" s="46" t="s">
        <v>171</v>
      </c>
      <c r="D86" s="49" t="s">
        <v>99</v>
      </c>
      <c r="E86" s="59" t="s">
        <v>99</v>
      </c>
    </row>
    <row r="87" spans="1:5">
      <c r="A87" s="46">
        <v>74</v>
      </c>
      <c r="B87" s="46"/>
      <c r="C87" s="46" t="s">
        <v>172</v>
      </c>
      <c r="D87" s="49">
        <v>250</v>
      </c>
      <c r="E87" s="59">
        <v>42614</v>
      </c>
    </row>
    <row r="88" spans="1:5">
      <c r="A88" s="46">
        <v>75</v>
      </c>
      <c r="B88" s="46"/>
      <c r="C88" s="46" t="s">
        <v>173</v>
      </c>
      <c r="D88" s="49">
        <v>200</v>
      </c>
      <c r="E88" s="59">
        <v>42583</v>
      </c>
    </row>
    <row r="89" spans="1:5">
      <c r="A89" s="46">
        <v>76</v>
      </c>
      <c r="B89" s="46"/>
      <c r="C89" s="46" t="s">
        <v>174</v>
      </c>
      <c r="D89" s="49">
        <v>300</v>
      </c>
      <c r="E89" s="59" t="s">
        <v>99</v>
      </c>
    </row>
    <row r="90" spans="1:5">
      <c r="A90" s="46">
        <v>77</v>
      </c>
      <c r="B90" s="46"/>
      <c r="C90" s="46" t="s">
        <v>175</v>
      </c>
      <c r="D90" s="49" t="s">
        <v>99</v>
      </c>
      <c r="E90" s="59">
        <v>44652</v>
      </c>
    </row>
    <row r="91" spans="1:5">
      <c r="A91" s="46">
        <v>78</v>
      </c>
      <c r="B91" s="46"/>
      <c r="C91" s="46" t="s">
        <v>176</v>
      </c>
      <c r="D91" s="49" t="s">
        <v>99</v>
      </c>
      <c r="E91" s="59">
        <v>44652</v>
      </c>
    </row>
    <row r="92" spans="1:5">
      <c r="A92" s="46">
        <v>79</v>
      </c>
      <c r="B92" s="46"/>
      <c r="C92" s="46" t="s">
        <v>177</v>
      </c>
      <c r="D92" s="49" t="s">
        <v>145</v>
      </c>
      <c r="E92" s="59" t="s">
        <v>99</v>
      </c>
    </row>
    <row r="93" spans="1:5">
      <c r="A93" s="46">
        <v>80</v>
      </c>
      <c r="B93" s="46"/>
      <c r="C93" s="46" t="s">
        <v>178</v>
      </c>
      <c r="D93" s="49" t="s">
        <v>145</v>
      </c>
      <c r="E93" s="59" t="s">
        <v>99</v>
      </c>
    </row>
    <row r="94" spans="1:5">
      <c r="A94" s="46">
        <v>81</v>
      </c>
      <c r="B94" s="46"/>
      <c r="C94" s="46" t="s">
        <v>179</v>
      </c>
      <c r="D94" s="49" t="s">
        <v>145</v>
      </c>
      <c r="E94" s="59" t="s">
        <v>99</v>
      </c>
    </row>
    <row r="95" spans="1:5">
      <c r="A95" s="46">
        <v>82</v>
      </c>
      <c r="B95" s="46"/>
      <c r="C95" s="46" t="s">
        <v>180</v>
      </c>
      <c r="D95" s="49" t="s">
        <v>145</v>
      </c>
      <c r="E95" s="59" t="s">
        <v>99</v>
      </c>
    </row>
    <row r="96" spans="1:5">
      <c r="A96" s="46">
        <v>83</v>
      </c>
      <c r="B96" s="46"/>
      <c r="C96" s="46" t="s">
        <v>181</v>
      </c>
      <c r="D96" s="49" t="s">
        <v>145</v>
      </c>
      <c r="E96" s="59" t="s">
        <v>99</v>
      </c>
    </row>
    <row r="97" spans="1:5">
      <c r="A97" s="46">
        <v>84</v>
      </c>
      <c r="B97" s="46"/>
      <c r="C97" s="46" t="s">
        <v>182</v>
      </c>
      <c r="D97" s="49">
        <v>200</v>
      </c>
      <c r="E97" s="59">
        <v>42644</v>
      </c>
    </row>
    <row r="98" spans="1:5">
      <c r="A98" s="46">
        <v>85</v>
      </c>
      <c r="B98" s="46"/>
      <c r="C98" s="46" t="s">
        <v>183</v>
      </c>
      <c r="D98" s="49" t="s">
        <v>99</v>
      </c>
      <c r="E98" s="59" t="s">
        <v>99</v>
      </c>
    </row>
    <row r="99" spans="1:5">
      <c r="A99" s="46">
        <v>86</v>
      </c>
      <c r="B99" s="46"/>
      <c r="C99" s="46" t="s">
        <v>184</v>
      </c>
      <c r="D99" s="49">
        <v>144</v>
      </c>
      <c r="E99" s="59">
        <v>43221</v>
      </c>
    </row>
    <row r="100" spans="1:5">
      <c r="A100" s="46">
        <v>87</v>
      </c>
      <c r="B100" s="46"/>
      <c r="C100" s="46" t="s">
        <v>185</v>
      </c>
      <c r="D100" s="49">
        <v>240</v>
      </c>
      <c r="E100" s="59" t="s">
        <v>99</v>
      </c>
    </row>
    <row r="101" spans="1:5">
      <c r="A101" s="46">
        <v>88</v>
      </c>
      <c r="B101" s="46"/>
      <c r="C101" s="46" t="s">
        <v>186</v>
      </c>
      <c r="D101" s="49" t="s">
        <v>99</v>
      </c>
      <c r="E101" s="59" t="s">
        <v>99</v>
      </c>
    </row>
    <row r="102" spans="1:5">
      <c r="A102" s="46">
        <v>89</v>
      </c>
      <c r="B102" s="46"/>
      <c r="C102" s="46" t="s">
        <v>187</v>
      </c>
      <c r="D102" s="49" t="s">
        <v>99</v>
      </c>
      <c r="E102" s="59" t="s">
        <v>99</v>
      </c>
    </row>
    <row r="103" spans="1:5">
      <c r="A103" s="46">
        <v>90</v>
      </c>
      <c r="B103" s="46"/>
      <c r="C103" s="46" t="s">
        <v>188</v>
      </c>
      <c r="D103" s="49" t="s">
        <v>99</v>
      </c>
      <c r="E103" s="59">
        <v>43709</v>
      </c>
    </row>
    <row r="104" spans="1:5">
      <c r="A104" s="46">
        <v>91</v>
      </c>
      <c r="B104" s="46"/>
      <c r="C104" s="46" t="s">
        <v>189</v>
      </c>
      <c r="D104" s="49" t="s">
        <v>99</v>
      </c>
      <c r="E104" s="59">
        <v>43709</v>
      </c>
    </row>
    <row r="105" spans="1:5">
      <c r="A105" s="46">
        <v>92</v>
      </c>
      <c r="B105" s="46"/>
      <c r="C105" s="46" t="s">
        <v>190</v>
      </c>
      <c r="D105" s="49">
        <v>1396</v>
      </c>
      <c r="E105" s="59" t="s">
        <v>99</v>
      </c>
    </row>
    <row r="106" spans="1:5">
      <c r="A106" s="46">
        <v>93</v>
      </c>
      <c r="B106" s="46"/>
      <c r="C106" s="46" t="s">
        <v>191</v>
      </c>
      <c r="D106" s="49">
        <v>340</v>
      </c>
      <c r="E106" s="59" t="s">
        <v>99</v>
      </c>
    </row>
    <row r="107" spans="1:5">
      <c r="A107" s="46">
        <v>94</v>
      </c>
      <c r="B107" s="46"/>
      <c r="C107" s="46" t="s">
        <v>192</v>
      </c>
      <c r="D107" s="49" t="s">
        <v>99</v>
      </c>
      <c r="E107" s="59" t="s">
        <v>99</v>
      </c>
    </row>
    <row r="108" spans="1:5" ht="45">
      <c r="A108" s="46">
        <v>95</v>
      </c>
      <c r="B108" s="46"/>
      <c r="C108" s="53" t="s">
        <v>193</v>
      </c>
      <c r="D108" s="49" t="s">
        <v>99</v>
      </c>
      <c r="E108" s="59" t="s">
        <v>99</v>
      </c>
    </row>
    <row r="109" spans="1:5">
      <c r="A109" s="46">
        <v>96</v>
      </c>
      <c r="B109" s="46"/>
      <c r="C109" s="46" t="s">
        <v>194</v>
      </c>
      <c r="D109" s="49">
        <v>200</v>
      </c>
      <c r="E109" s="59" t="s">
        <v>99</v>
      </c>
    </row>
    <row r="110" spans="1:5">
      <c r="A110" s="46">
        <v>97</v>
      </c>
      <c r="B110" s="46"/>
      <c r="C110" s="46" t="s">
        <v>195</v>
      </c>
      <c r="D110" s="49">
        <v>300</v>
      </c>
      <c r="E110" s="59" t="s">
        <v>99</v>
      </c>
    </row>
    <row r="111" spans="1:5">
      <c r="A111" s="46">
        <v>98</v>
      </c>
      <c r="B111" s="46"/>
      <c r="C111" s="46" t="s">
        <v>196</v>
      </c>
      <c r="D111" s="49" t="s">
        <v>99</v>
      </c>
      <c r="E111" s="59">
        <v>43009</v>
      </c>
    </row>
    <row r="112" spans="1:5">
      <c r="A112" s="46">
        <v>99</v>
      </c>
      <c r="B112" s="46"/>
      <c r="C112" s="46" t="s">
        <v>197</v>
      </c>
      <c r="D112" s="49" t="s">
        <v>99</v>
      </c>
      <c r="E112" s="59" t="s">
        <v>99</v>
      </c>
    </row>
    <row r="113" spans="1:40">
      <c r="A113" s="46">
        <v>100</v>
      </c>
      <c r="B113" s="46"/>
      <c r="C113" s="46" t="s">
        <v>198</v>
      </c>
      <c r="D113" s="49">
        <v>244</v>
      </c>
      <c r="E113" s="59">
        <v>42705</v>
      </c>
    </row>
    <row r="114" spans="1:40">
      <c r="A114" s="46">
        <v>101</v>
      </c>
      <c r="B114" s="46"/>
      <c r="C114" s="46" t="s">
        <v>199</v>
      </c>
      <c r="D114" s="49" t="s">
        <v>99</v>
      </c>
      <c r="E114" s="59">
        <v>43922</v>
      </c>
    </row>
    <row r="115" spans="1:40">
      <c r="A115" s="41" t="s">
        <v>86</v>
      </c>
      <c r="B115" s="41"/>
      <c r="C115" s="50"/>
      <c r="D115" s="51">
        <f>SUM(D116:D119)</f>
        <v>80</v>
      </c>
      <c r="E115" s="60" t="s">
        <v>70</v>
      </c>
      <c r="AH115" s="43">
        <v>38</v>
      </c>
      <c r="AI115" s="43">
        <v>73</v>
      </c>
      <c r="AN115" s="43">
        <v>47</v>
      </c>
    </row>
    <row r="116" spans="1:40">
      <c r="A116" s="46">
        <v>102</v>
      </c>
      <c r="B116" s="46"/>
      <c r="C116" s="46" t="s">
        <v>200</v>
      </c>
      <c r="D116" s="49" t="s">
        <v>99</v>
      </c>
      <c r="E116" s="59" t="s">
        <v>99</v>
      </c>
    </row>
    <row r="117" spans="1:40">
      <c r="A117" s="46">
        <v>103</v>
      </c>
      <c r="B117" s="46"/>
      <c r="C117" s="46" t="s">
        <v>201</v>
      </c>
      <c r="D117" s="49" t="s">
        <v>99</v>
      </c>
      <c r="E117" s="59" t="s">
        <v>99</v>
      </c>
    </row>
    <row r="118" spans="1:40">
      <c r="A118" s="46">
        <v>104</v>
      </c>
      <c r="B118" s="46"/>
      <c r="C118" s="46" t="s">
        <v>202</v>
      </c>
      <c r="D118" s="49">
        <v>80</v>
      </c>
      <c r="E118" s="59">
        <v>42917</v>
      </c>
    </row>
    <row r="119" spans="1:40">
      <c r="A119" s="46">
        <v>105</v>
      </c>
      <c r="B119" s="46"/>
      <c r="C119" s="46" t="s">
        <v>203</v>
      </c>
      <c r="D119" s="49" t="s">
        <v>99</v>
      </c>
      <c r="E119" s="59" t="s">
        <v>99</v>
      </c>
    </row>
    <row r="120" spans="1:40">
      <c r="A120" s="41" t="s">
        <v>87</v>
      </c>
      <c r="B120" s="41"/>
      <c r="C120" s="50"/>
      <c r="D120" s="51">
        <f>SUM(D121:D124)</f>
        <v>438</v>
      </c>
      <c r="E120" s="60" t="s">
        <v>70</v>
      </c>
    </row>
    <row r="121" spans="1:40">
      <c r="A121" s="46">
        <v>106</v>
      </c>
      <c r="B121" s="46"/>
      <c r="C121" s="46" t="s">
        <v>204</v>
      </c>
      <c r="D121" s="49">
        <v>200</v>
      </c>
      <c r="E121" s="59">
        <v>43252</v>
      </c>
    </row>
    <row r="122" spans="1:40">
      <c r="A122" s="46">
        <v>107</v>
      </c>
      <c r="B122" s="46"/>
      <c r="C122" s="46" t="s">
        <v>205</v>
      </c>
      <c r="D122" s="49">
        <v>150</v>
      </c>
      <c r="E122" s="59" t="s">
        <v>99</v>
      </c>
    </row>
    <row r="123" spans="1:40">
      <c r="A123" s="46">
        <v>108</v>
      </c>
      <c r="B123" s="46"/>
      <c r="C123" s="46" t="s">
        <v>206</v>
      </c>
      <c r="D123" s="49">
        <v>88</v>
      </c>
      <c r="E123" s="59">
        <v>43739</v>
      </c>
    </row>
    <row r="124" spans="1:40">
      <c r="A124" s="46">
        <v>109</v>
      </c>
      <c r="B124" s="46"/>
      <c r="C124" s="46" t="s">
        <v>207</v>
      </c>
      <c r="D124" s="49" t="s">
        <v>99</v>
      </c>
      <c r="E124" s="59">
        <v>43070</v>
      </c>
    </row>
    <row r="125" spans="1:40">
      <c r="A125" s="41" t="s">
        <v>88</v>
      </c>
      <c r="B125" s="41"/>
      <c r="C125" s="50"/>
      <c r="D125" s="51">
        <f>SUM(D126:D130)</f>
        <v>372</v>
      </c>
      <c r="E125" s="60" t="s">
        <v>70</v>
      </c>
    </row>
    <row r="126" spans="1:40">
      <c r="A126" s="46">
        <v>110</v>
      </c>
      <c r="B126" s="46"/>
      <c r="C126" s="46" t="s">
        <v>119</v>
      </c>
      <c r="D126" s="49" t="s">
        <v>145</v>
      </c>
      <c r="E126" s="59">
        <v>43344</v>
      </c>
    </row>
    <row r="127" spans="1:40">
      <c r="A127" s="46">
        <v>111</v>
      </c>
      <c r="B127" s="46"/>
      <c r="C127" s="46" t="s">
        <v>208</v>
      </c>
      <c r="D127" s="49" t="s">
        <v>145</v>
      </c>
      <c r="E127" s="59" t="s">
        <v>99</v>
      </c>
    </row>
    <row r="128" spans="1:40">
      <c r="A128" s="46">
        <v>112</v>
      </c>
      <c r="B128" s="46"/>
      <c r="C128" s="46" t="s">
        <v>209</v>
      </c>
      <c r="D128" s="49">
        <v>150</v>
      </c>
      <c r="E128" s="59">
        <v>44774</v>
      </c>
    </row>
    <row r="129" spans="1:5">
      <c r="A129" s="46">
        <v>113</v>
      </c>
      <c r="B129" s="46"/>
      <c r="C129" s="46" t="s">
        <v>210</v>
      </c>
      <c r="D129" s="49">
        <v>142</v>
      </c>
      <c r="E129" s="59">
        <v>43800</v>
      </c>
    </row>
    <row r="130" spans="1:5">
      <c r="A130" s="47">
        <v>114</v>
      </c>
      <c r="B130" s="47"/>
      <c r="C130" s="47" t="s">
        <v>211</v>
      </c>
      <c r="D130" s="52">
        <v>80</v>
      </c>
      <c r="E130" s="61">
        <v>43313</v>
      </c>
    </row>
    <row r="131" spans="1:5">
      <c r="A131" s="38" t="s">
        <v>89</v>
      </c>
      <c r="B131" s="38"/>
      <c r="C131" s="39"/>
      <c r="D131" s="40">
        <f>SUM(D132:D134)</f>
        <v>824</v>
      </c>
      <c r="E131" s="58" t="s">
        <v>70</v>
      </c>
    </row>
    <row r="132" spans="1:5">
      <c r="A132" s="46">
        <v>115</v>
      </c>
      <c r="B132" s="46"/>
      <c r="C132" s="46" t="s">
        <v>212</v>
      </c>
      <c r="D132" s="49">
        <v>200</v>
      </c>
      <c r="E132" s="59" t="s">
        <v>99</v>
      </c>
    </row>
    <row r="133" spans="1:5">
      <c r="A133" s="46">
        <v>116</v>
      </c>
      <c r="B133" s="46"/>
      <c r="C133" s="46" t="s">
        <v>213</v>
      </c>
      <c r="D133" s="49">
        <v>200</v>
      </c>
      <c r="E133" s="59" t="s">
        <v>99</v>
      </c>
    </row>
    <row r="134" spans="1:5">
      <c r="A134" s="47">
        <v>117</v>
      </c>
      <c r="B134" s="47"/>
      <c r="C134" s="47" t="s">
        <v>214</v>
      </c>
      <c r="D134" s="52">
        <v>424</v>
      </c>
      <c r="E134" s="61">
        <v>43405</v>
      </c>
    </row>
    <row r="135" spans="1:5">
      <c r="A135" s="38" t="s">
        <v>90</v>
      </c>
      <c r="B135" s="38"/>
      <c r="C135" s="39"/>
      <c r="D135" s="40">
        <v>0</v>
      </c>
      <c r="E135" s="58" t="s">
        <v>70</v>
      </c>
    </row>
    <row r="136" spans="1:5">
      <c r="A136" s="47">
        <v>118</v>
      </c>
      <c r="B136" s="47"/>
      <c r="C136" s="47" t="s">
        <v>215</v>
      </c>
      <c r="D136" s="52" t="s">
        <v>99</v>
      </c>
      <c r="E136" s="61" t="s">
        <v>99</v>
      </c>
    </row>
    <row r="137" spans="1:5">
      <c r="A137" s="38" t="s">
        <v>91</v>
      </c>
      <c r="B137" s="38"/>
      <c r="C137" s="39"/>
      <c r="D137" s="40">
        <f>SUM(D138:D145)</f>
        <v>1767</v>
      </c>
      <c r="E137" s="58" t="s">
        <v>70</v>
      </c>
    </row>
    <row r="138" spans="1:5">
      <c r="A138" s="46">
        <v>119</v>
      </c>
      <c r="B138" s="46"/>
      <c r="C138" s="46" t="s">
        <v>216</v>
      </c>
      <c r="D138" s="49">
        <v>600</v>
      </c>
      <c r="E138" s="59" t="s">
        <v>99</v>
      </c>
    </row>
    <row r="139" spans="1:5">
      <c r="A139" s="46">
        <v>120</v>
      </c>
      <c r="B139" s="46"/>
      <c r="C139" s="46" t="s">
        <v>217</v>
      </c>
      <c r="D139" s="49">
        <v>323</v>
      </c>
      <c r="E139" s="59">
        <v>42856</v>
      </c>
    </row>
    <row r="140" spans="1:5">
      <c r="A140" s="46">
        <v>121</v>
      </c>
      <c r="B140" s="46"/>
      <c r="C140" s="46" t="s">
        <v>218</v>
      </c>
      <c r="D140" s="49">
        <v>168</v>
      </c>
      <c r="E140" s="59">
        <v>42614</v>
      </c>
    </row>
    <row r="141" spans="1:5">
      <c r="A141" s="46">
        <v>122</v>
      </c>
      <c r="B141" s="46"/>
      <c r="C141" s="46" t="s">
        <v>219</v>
      </c>
      <c r="D141" s="49">
        <v>250</v>
      </c>
      <c r="E141" s="59" t="s">
        <v>99</v>
      </c>
    </row>
    <row r="142" spans="1:5">
      <c r="A142" s="46">
        <v>123</v>
      </c>
      <c r="B142" s="46"/>
      <c r="C142" s="46" t="s">
        <v>220</v>
      </c>
      <c r="D142" s="49">
        <v>136</v>
      </c>
      <c r="E142" s="59">
        <v>43405</v>
      </c>
    </row>
    <row r="143" spans="1:5">
      <c r="A143" s="46">
        <v>124</v>
      </c>
      <c r="B143" s="46"/>
      <c r="C143" s="46" t="s">
        <v>221</v>
      </c>
      <c r="D143" s="49">
        <v>290</v>
      </c>
      <c r="E143" s="59">
        <v>42705</v>
      </c>
    </row>
    <row r="144" spans="1:5">
      <c r="A144" s="46">
        <v>125</v>
      </c>
      <c r="B144" s="46"/>
      <c r="C144" s="46" t="s">
        <v>222</v>
      </c>
      <c r="D144" s="49" t="s">
        <v>145</v>
      </c>
      <c r="E144" s="59" t="s">
        <v>99</v>
      </c>
    </row>
    <row r="145" spans="1:5">
      <c r="A145" s="47">
        <v>126</v>
      </c>
      <c r="B145" s="47"/>
      <c r="C145" s="47" t="s">
        <v>223</v>
      </c>
      <c r="D145" s="52" t="s">
        <v>145</v>
      </c>
      <c r="E145" s="61">
        <v>43313</v>
      </c>
    </row>
    <row r="146" spans="1:5">
      <c r="A146" s="38" t="s">
        <v>92</v>
      </c>
      <c r="B146" s="38"/>
      <c r="C146" s="39"/>
      <c r="D146" s="40">
        <f>SUM(D147:D153)</f>
        <v>984</v>
      </c>
      <c r="E146" s="58" t="s">
        <v>70</v>
      </c>
    </row>
    <row r="147" spans="1:5">
      <c r="A147" s="46">
        <v>127</v>
      </c>
      <c r="B147" s="46"/>
      <c r="C147" s="46" t="s">
        <v>224</v>
      </c>
      <c r="D147" s="49" t="s">
        <v>145</v>
      </c>
      <c r="E147" s="59">
        <v>43282</v>
      </c>
    </row>
    <row r="148" spans="1:5">
      <c r="A148" s="46">
        <v>128</v>
      </c>
      <c r="B148" s="46"/>
      <c r="C148" s="46" t="s">
        <v>225</v>
      </c>
      <c r="D148" s="49">
        <v>280</v>
      </c>
      <c r="E148" s="59">
        <v>43435</v>
      </c>
    </row>
    <row r="149" spans="1:5">
      <c r="A149" s="46">
        <v>129</v>
      </c>
      <c r="B149" s="46"/>
      <c r="C149" s="46" t="s">
        <v>226</v>
      </c>
      <c r="D149" s="49">
        <v>200</v>
      </c>
      <c r="E149" s="59">
        <v>43313</v>
      </c>
    </row>
    <row r="150" spans="1:5">
      <c r="A150" s="46">
        <v>130</v>
      </c>
      <c r="B150" s="46"/>
      <c r="C150" s="46" t="s">
        <v>227</v>
      </c>
      <c r="D150" s="49">
        <v>200</v>
      </c>
      <c r="E150" s="59" t="s">
        <v>99</v>
      </c>
    </row>
    <row r="151" spans="1:5">
      <c r="A151" s="46">
        <v>131</v>
      </c>
      <c r="B151" s="46"/>
      <c r="C151" s="46" t="s">
        <v>228</v>
      </c>
      <c r="D151" s="49" t="s">
        <v>99</v>
      </c>
      <c r="E151" s="59">
        <v>43252</v>
      </c>
    </row>
    <row r="152" spans="1:5">
      <c r="A152" s="46">
        <v>132</v>
      </c>
      <c r="B152" s="46"/>
      <c r="C152" s="46" t="s">
        <v>229</v>
      </c>
      <c r="D152" s="49" t="s">
        <v>145</v>
      </c>
      <c r="E152" s="59" t="s">
        <v>99</v>
      </c>
    </row>
    <row r="153" spans="1:5">
      <c r="A153" s="47">
        <v>133</v>
      </c>
      <c r="B153" s="47"/>
      <c r="C153" s="47" t="s">
        <v>230</v>
      </c>
      <c r="D153" s="52">
        <v>304</v>
      </c>
      <c r="E153" s="61" t="s">
        <v>99</v>
      </c>
    </row>
    <row r="154" spans="1:5">
      <c r="A154" s="38" t="s">
        <v>93</v>
      </c>
      <c r="B154" s="38"/>
      <c r="C154" s="39"/>
      <c r="D154" s="40">
        <f>SUM(D155:D160)</f>
        <v>1620</v>
      </c>
      <c r="E154" s="58" t="s">
        <v>70</v>
      </c>
    </row>
    <row r="155" spans="1:5">
      <c r="A155" s="46">
        <v>134</v>
      </c>
      <c r="B155" s="46"/>
      <c r="C155" s="46" t="s">
        <v>231</v>
      </c>
      <c r="D155" s="49" t="s">
        <v>145</v>
      </c>
      <c r="E155" s="59">
        <v>43160</v>
      </c>
    </row>
    <row r="156" spans="1:5">
      <c r="A156" s="46">
        <v>135</v>
      </c>
      <c r="B156" s="46"/>
      <c r="C156" s="46" t="s">
        <v>232</v>
      </c>
      <c r="D156" s="49">
        <v>150</v>
      </c>
      <c r="E156" s="59" t="s">
        <v>99</v>
      </c>
    </row>
    <row r="157" spans="1:5">
      <c r="A157" s="46">
        <v>136</v>
      </c>
      <c r="B157" s="46"/>
      <c r="C157" s="46" t="s">
        <v>233</v>
      </c>
      <c r="D157" s="49">
        <v>1020</v>
      </c>
      <c r="E157" s="59">
        <v>43070</v>
      </c>
    </row>
    <row r="158" spans="1:5">
      <c r="A158" s="46">
        <v>137</v>
      </c>
      <c r="B158" s="46"/>
      <c r="C158" s="46" t="s">
        <v>234</v>
      </c>
      <c r="D158" s="49">
        <v>150</v>
      </c>
      <c r="E158" s="59" t="s">
        <v>99</v>
      </c>
    </row>
    <row r="159" spans="1:5">
      <c r="A159" s="46">
        <v>138</v>
      </c>
      <c r="B159" s="46"/>
      <c r="C159" s="46" t="s">
        <v>235</v>
      </c>
      <c r="D159" s="49">
        <v>200</v>
      </c>
      <c r="E159" s="59" t="s">
        <v>99</v>
      </c>
    </row>
    <row r="160" spans="1:5">
      <c r="A160" s="47">
        <v>139</v>
      </c>
      <c r="B160" s="47"/>
      <c r="C160" s="47" t="s">
        <v>236</v>
      </c>
      <c r="D160" s="52">
        <v>100</v>
      </c>
      <c r="E160" s="61">
        <v>43191</v>
      </c>
    </row>
    <row r="161" spans="1:5">
      <c r="A161" s="38" t="s">
        <v>94</v>
      </c>
      <c r="B161" s="38"/>
      <c r="C161" s="39"/>
      <c r="D161" s="40">
        <f>SUM(D162:D173)</f>
        <v>2750</v>
      </c>
      <c r="E161" s="58" t="s">
        <v>70</v>
      </c>
    </row>
    <row r="162" spans="1:5">
      <c r="A162" s="46">
        <v>140</v>
      </c>
      <c r="B162" s="46"/>
      <c r="C162" s="46" t="s">
        <v>237</v>
      </c>
      <c r="D162" s="49">
        <v>200</v>
      </c>
      <c r="E162" s="59" t="s">
        <v>99</v>
      </c>
    </row>
    <row r="163" spans="1:5">
      <c r="A163" s="46">
        <v>141</v>
      </c>
      <c r="B163" s="46"/>
      <c r="C163" s="46" t="s">
        <v>238</v>
      </c>
      <c r="D163" s="49">
        <v>182</v>
      </c>
      <c r="E163" s="59">
        <v>43101</v>
      </c>
    </row>
    <row r="164" spans="1:5">
      <c r="A164" s="46">
        <v>142</v>
      </c>
      <c r="B164" s="46"/>
      <c r="C164" s="46" t="s">
        <v>107</v>
      </c>
      <c r="D164" s="49">
        <v>346</v>
      </c>
      <c r="E164" s="59">
        <v>42948</v>
      </c>
    </row>
    <row r="165" spans="1:5">
      <c r="A165" s="46">
        <v>143</v>
      </c>
      <c r="B165" s="46"/>
      <c r="C165" s="46" t="s">
        <v>239</v>
      </c>
      <c r="D165" s="49">
        <v>332</v>
      </c>
      <c r="E165" s="59">
        <v>42795</v>
      </c>
    </row>
    <row r="166" spans="1:5">
      <c r="A166" s="46">
        <v>144</v>
      </c>
      <c r="B166" s="46"/>
      <c r="C166" s="46" t="s">
        <v>240</v>
      </c>
      <c r="D166" s="49">
        <v>100</v>
      </c>
      <c r="E166" s="59" t="s">
        <v>99</v>
      </c>
    </row>
    <row r="167" spans="1:5">
      <c r="A167" s="46">
        <v>145</v>
      </c>
      <c r="B167" s="46"/>
      <c r="C167" s="46" t="s">
        <v>241</v>
      </c>
      <c r="D167" s="49">
        <v>184</v>
      </c>
      <c r="E167" s="59">
        <v>42705</v>
      </c>
    </row>
    <row r="168" spans="1:5">
      <c r="A168" s="46">
        <v>146</v>
      </c>
      <c r="B168" s="46"/>
      <c r="C168" s="46" t="s">
        <v>242</v>
      </c>
      <c r="D168" s="49">
        <v>276</v>
      </c>
      <c r="E168" s="59">
        <v>43313</v>
      </c>
    </row>
    <row r="169" spans="1:5">
      <c r="A169" s="46">
        <v>147</v>
      </c>
      <c r="B169" s="46"/>
      <c r="C169" s="46" t="s">
        <v>243</v>
      </c>
      <c r="D169" s="49" t="s">
        <v>99</v>
      </c>
      <c r="E169" s="59" t="s">
        <v>99</v>
      </c>
    </row>
    <row r="170" spans="1:5">
      <c r="A170" s="46">
        <v>148</v>
      </c>
      <c r="B170" s="46"/>
      <c r="C170" s="46" t="s">
        <v>244</v>
      </c>
      <c r="D170" s="49">
        <v>300</v>
      </c>
      <c r="E170" s="59" t="s">
        <v>99</v>
      </c>
    </row>
    <row r="171" spans="1:5">
      <c r="A171" s="46">
        <v>149</v>
      </c>
      <c r="B171" s="46"/>
      <c r="C171" s="46" t="s">
        <v>245</v>
      </c>
      <c r="D171" s="49">
        <v>100</v>
      </c>
      <c r="E171" s="59" t="s">
        <v>99</v>
      </c>
    </row>
    <row r="172" spans="1:5">
      <c r="A172" s="46">
        <v>150</v>
      </c>
      <c r="B172" s="46"/>
      <c r="C172" s="46" t="s">
        <v>246</v>
      </c>
      <c r="D172" s="49">
        <v>68</v>
      </c>
      <c r="E172" s="59">
        <v>42583</v>
      </c>
    </row>
    <row r="173" spans="1:5">
      <c r="A173" s="47">
        <v>151</v>
      </c>
      <c r="B173" s="47"/>
      <c r="C173" s="47" t="s">
        <v>247</v>
      </c>
      <c r="D173" s="52">
        <v>662</v>
      </c>
      <c r="E173" s="61">
        <v>43374</v>
      </c>
    </row>
    <row r="174" spans="1:5">
      <c r="A174" s="38" t="s">
        <v>95</v>
      </c>
      <c r="B174" s="38"/>
      <c r="C174" s="39"/>
      <c r="D174" s="40">
        <f>SUM(D175:D180)</f>
        <v>510</v>
      </c>
      <c r="E174" s="58" t="s">
        <v>70</v>
      </c>
    </row>
    <row r="175" spans="1:5">
      <c r="A175" s="46">
        <v>152</v>
      </c>
      <c r="B175" s="46"/>
      <c r="C175" s="46" t="s">
        <v>248</v>
      </c>
      <c r="D175" s="49" t="s">
        <v>145</v>
      </c>
      <c r="E175" s="59" t="s">
        <v>99</v>
      </c>
    </row>
    <row r="176" spans="1:5">
      <c r="A176" s="46">
        <v>153</v>
      </c>
      <c r="B176" s="46"/>
      <c r="C176" s="46" t="s">
        <v>249</v>
      </c>
      <c r="D176" s="49">
        <v>60</v>
      </c>
      <c r="E176" s="59" t="s">
        <v>99</v>
      </c>
    </row>
    <row r="177" spans="1:6">
      <c r="A177" s="46">
        <v>154</v>
      </c>
      <c r="B177" s="46"/>
      <c r="C177" s="46" t="s">
        <v>250</v>
      </c>
      <c r="D177" s="49">
        <v>100</v>
      </c>
      <c r="E177" s="59">
        <v>42856</v>
      </c>
    </row>
    <row r="178" spans="1:6">
      <c r="A178" s="46">
        <v>155</v>
      </c>
      <c r="B178" s="46"/>
      <c r="C178" s="46" t="s">
        <v>251</v>
      </c>
      <c r="D178" s="49">
        <v>200</v>
      </c>
      <c r="E178" s="59" t="s">
        <v>99</v>
      </c>
    </row>
    <row r="179" spans="1:6">
      <c r="A179" s="46">
        <v>156</v>
      </c>
      <c r="B179" s="46"/>
      <c r="C179" s="46" t="s">
        <v>252</v>
      </c>
      <c r="D179" s="49" t="s">
        <v>99</v>
      </c>
      <c r="E179" s="59" t="s">
        <v>99</v>
      </c>
    </row>
    <row r="180" spans="1:6">
      <c r="A180" s="47">
        <v>157</v>
      </c>
      <c r="B180" s="47"/>
      <c r="C180" s="47" t="s">
        <v>253</v>
      </c>
      <c r="D180" s="52">
        <v>150</v>
      </c>
      <c r="E180" s="61">
        <v>42856</v>
      </c>
    </row>
    <row r="181" spans="1:6">
      <c r="A181" s="38" t="s">
        <v>96</v>
      </c>
      <c r="B181" s="38"/>
      <c r="C181" s="39"/>
      <c r="D181" s="40">
        <f>SUM(D182)</f>
        <v>200</v>
      </c>
      <c r="E181" s="58" t="s">
        <v>70</v>
      </c>
      <c r="F181" s="48"/>
    </row>
    <row r="182" spans="1:6">
      <c r="A182" s="64">
        <v>158</v>
      </c>
      <c r="B182" s="64"/>
      <c r="C182" s="64" t="s">
        <v>254</v>
      </c>
      <c r="D182" s="65">
        <v>200</v>
      </c>
      <c r="E182" s="66" t="s">
        <v>99</v>
      </c>
    </row>
    <row r="183" spans="1:6">
      <c r="A183" s="42" t="s">
        <v>71</v>
      </c>
      <c r="B183" s="44"/>
      <c r="C183" s="44"/>
      <c r="D183" s="45"/>
      <c r="E183" s="54" t="s">
        <v>255</v>
      </c>
    </row>
  </sheetData>
  <mergeCells count="2">
    <mergeCell ref="A1:E1"/>
    <mergeCell ref="A2:E2"/>
  </mergeCells>
  <pageMargins left="0.7" right="0.7" top="0.75" bottom="0.75" header="0.3" footer="0.3"/>
  <pageSetup scale="69" orientation="portrait" horizontalDpi="4294967295" verticalDpi="4294967295" r:id="rId1"/>
  <rowBreaks count="2" manualBreakCount="2">
    <brk id="65" max="4" man="1"/>
    <brk id="11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10.11</vt:lpstr>
      <vt:lpstr>'10.11'!Print_Area</vt:lpstr>
      <vt:lpstr>'10.11'!Print_Titles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2016-07-18T08:18:46Z</cp:lastPrinted>
  <dcterms:created xsi:type="dcterms:W3CDTF">2007-02-07T06:41:32Z</dcterms:created>
  <dcterms:modified xsi:type="dcterms:W3CDTF">2016-07-18T08:18:58Z</dcterms:modified>
</cp:coreProperties>
</file>