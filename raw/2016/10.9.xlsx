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9 " sheetId="42" r:id="rId2"/>
  </sheets>
  <externalReferences>
    <externalReference r:id="rId3"/>
    <externalReference r:id="rId4"/>
    <externalReference r:id="rId5"/>
    <externalReference r:id="rId6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'10.9 '!$A$1:$O$108</definedName>
    <definedName name="Print_Area_MI">#REF!</definedName>
    <definedName name="_xlnm.Print_Titles" localSheetId="1">'10.9 '!$4:$4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B85" i="42" l="1"/>
  <c r="B84" i="42"/>
  <c r="B83" i="42"/>
  <c r="B82" i="42"/>
  <c r="B81" i="42"/>
  <c r="B80" i="42"/>
  <c r="B79" i="42"/>
  <c r="N78" i="42"/>
  <c r="CH25" i="42" s="1"/>
  <c r="M78" i="42"/>
  <c r="CG25" i="42" s="1"/>
  <c r="L78" i="42"/>
  <c r="CF25" i="42" s="1"/>
  <c r="K78" i="42"/>
  <c r="CE25" i="42" s="1"/>
  <c r="J78" i="42"/>
  <c r="CD25" i="42" s="1"/>
  <c r="I78" i="42"/>
  <c r="CC25" i="42" s="1"/>
  <c r="H78" i="42"/>
  <c r="CB25" i="42" s="1"/>
  <c r="G78" i="42"/>
  <c r="CA25" i="42" s="1"/>
  <c r="F78" i="42"/>
  <c r="BZ25" i="42" s="1"/>
  <c r="E78" i="42"/>
  <c r="BY25" i="42" s="1"/>
  <c r="D78" i="42"/>
  <c r="C78" i="42"/>
  <c r="BW25" i="42" s="1"/>
  <c r="B77" i="42"/>
  <c r="B76" i="42"/>
  <c r="B75" i="42"/>
  <c r="N74" i="42"/>
  <c r="CH22" i="42" s="1"/>
  <c r="M74" i="42"/>
  <c r="CG22" i="42" s="1"/>
  <c r="L74" i="42"/>
  <c r="CF22" i="42" s="1"/>
  <c r="K74" i="42"/>
  <c r="CE22" i="42" s="1"/>
  <c r="J74" i="42"/>
  <c r="CD22" i="42" s="1"/>
  <c r="I74" i="42"/>
  <c r="CC22" i="42" s="1"/>
  <c r="H74" i="42"/>
  <c r="CB22" i="42" s="1"/>
  <c r="G74" i="42"/>
  <c r="CA22" i="42" s="1"/>
  <c r="F74" i="42"/>
  <c r="BZ22" i="42" s="1"/>
  <c r="E74" i="42"/>
  <c r="BY22" i="42" s="1"/>
  <c r="D74" i="42"/>
  <c r="BX22" i="42" s="1"/>
  <c r="C74" i="42"/>
  <c r="B73" i="42"/>
  <c r="B72" i="42"/>
  <c r="B71" i="42"/>
  <c r="B70" i="42"/>
  <c r="N69" i="42"/>
  <c r="CH24" i="42" s="1"/>
  <c r="M69" i="42"/>
  <c r="CG24" i="42" s="1"/>
  <c r="L69" i="42"/>
  <c r="CF24" i="42" s="1"/>
  <c r="K69" i="42"/>
  <c r="CE24" i="42" s="1"/>
  <c r="J69" i="42"/>
  <c r="CD24" i="42" s="1"/>
  <c r="I69" i="42"/>
  <c r="CC24" i="42" s="1"/>
  <c r="H69" i="42"/>
  <c r="CB24" i="42" s="1"/>
  <c r="G69" i="42"/>
  <c r="CA24" i="42" s="1"/>
  <c r="F69" i="42"/>
  <c r="BZ24" i="42" s="1"/>
  <c r="E69" i="42"/>
  <c r="BY24" i="42" s="1"/>
  <c r="D69" i="42"/>
  <c r="BX24" i="42" s="1"/>
  <c r="C69" i="42"/>
  <c r="B68" i="42"/>
  <c r="B67" i="42"/>
  <c r="N66" i="42"/>
  <c r="CH23" i="42" s="1"/>
  <c r="M66" i="42"/>
  <c r="CG23" i="42" s="1"/>
  <c r="L66" i="42"/>
  <c r="CF23" i="42" s="1"/>
  <c r="K66" i="42"/>
  <c r="CE23" i="42" s="1"/>
  <c r="J66" i="42"/>
  <c r="CD23" i="42" s="1"/>
  <c r="I66" i="42"/>
  <c r="CC23" i="42" s="1"/>
  <c r="H66" i="42"/>
  <c r="CB23" i="42" s="1"/>
  <c r="G66" i="42"/>
  <c r="CA23" i="42" s="1"/>
  <c r="F66" i="42"/>
  <c r="BZ23" i="42" s="1"/>
  <c r="E66" i="42"/>
  <c r="BY23" i="42" s="1"/>
  <c r="D66" i="42"/>
  <c r="BX23" i="42" s="1"/>
  <c r="C66" i="42"/>
  <c r="BW23" i="42" s="1"/>
  <c r="N60" i="42"/>
  <c r="B64" i="42"/>
  <c r="B63" i="42"/>
  <c r="B62" i="42"/>
  <c r="B61" i="42"/>
  <c r="M60" i="42"/>
  <c r="L60" i="42"/>
  <c r="K60" i="42"/>
  <c r="J60" i="42"/>
  <c r="I60" i="42"/>
  <c r="H60" i="42"/>
  <c r="G60" i="42"/>
  <c r="F60" i="42"/>
  <c r="E60" i="42"/>
  <c r="D60" i="42"/>
  <c r="C60" i="42"/>
  <c r="B59" i="42"/>
  <c r="B58" i="42"/>
  <c r="B57" i="42"/>
  <c r="B56" i="42"/>
  <c r="B55" i="42"/>
  <c r="B54" i="42"/>
  <c r="N53" i="42"/>
  <c r="M53" i="42"/>
  <c r="L53" i="42"/>
  <c r="K53" i="42"/>
  <c r="J53" i="42"/>
  <c r="I53" i="42"/>
  <c r="H53" i="42"/>
  <c r="G53" i="42"/>
  <c r="F53" i="42"/>
  <c r="E53" i="42"/>
  <c r="D53" i="42"/>
  <c r="C53" i="42"/>
  <c r="B52" i="42"/>
  <c r="B51" i="42"/>
  <c r="B50" i="42"/>
  <c r="B49" i="42"/>
  <c r="B48" i="42"/>
  <c r="N47" i="42"/>
  <c r="M47" i="42"/>
  <c r="L47" i="42"/>
  <c r="K47" i="42"/>
  <c r="J47" i="42"/>
  <c r="I47" i="42"/>
  <c r="H47" i="42"/>
  <c r="G47" i="42"/>
  <c r="F47" i="42"/>
  <c r="E47" i="42"/>
  <c r="D47" i="42"/>
  <c r="C47" i="42"/>
  <c r="B45" i="42"/>
  <c r="B44" i="42"/>
  <c r="B43" i="42"/>
  <c r="N42" i="42"/>
  <c r="M42" i="42"/>
  <c r="L42" i="42"/>
  <c r="K42" i="42"/>
  <c r="J42" i="42"/>
  <c r="I42" i="42"/>
  <c r="H42" i="42"/>
  <c r="G42" i="42"/>
  <c r="F42" i="42"/>
  <c r="E42" i="42"/>
  <c r="D42" i="42"/>
  <c r="C42" i="42"/>
  <c r="B41" i="42"/>
  <c r="B40" i="42"/>
  <c r="B39" i="42"/>
  <c r="B38" i="42"/>
  <c r="B37" i="42"/>
  <c r="B36" i="42"/>
  <c r="B35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3" i="42"/>
  <c r="B32" i="42"/>
  <c r="B31" i="42"/>
  <c r="B30" i="42"/>
  <c r="B29" i="42"/>
  <c r="B28" i="42"/>
  <c r="N27" i="42"/>
  <c r="M27" i="42"/>
  <c r="L27" i="42"/>
  <c r="K27" i="42"/>
  <c r="J27" i="42"/>
  <c r="I27" i="42"/>
  <c r="H27" i="42"/>
  <c r="G27" i="42"/>
  <c r="F27" i="42"/>
  <c r="E27" i="42"/>
  <c r="D27" i="42"/>
  <c r="C27" i="42"/>
  <c r="B26" i="42"/>
  <c r="B25" i="42"/>
  <c r="B24" i="42"/>
  <c r="B23" i="42"/>
  <c r="B22" i="42"/>
  <c r="B21" i="42"/>
  <c r="B20" i="42"/>
  <c r="N19" i="42"/>
  <c r="M19" i="42"/>
  <c r="L19" i="42"/>
  <c r="K19" i="42"/>
  <c r="J19" i="42"/>
  <c r="I19" i="42"/>
  <c r="H19" i="42"/>
  <c r="G19" i="42"/>
  <c r="F19" i="42"/>
  <c r="E19" i="42"/>
  <c r="D19" i="42"/>
  <c r="C19" i="42"/>
  <c r="B18" i="42"/>
  <c r="B17" i="42"/>
  <c r="B16" i="42"/>
  <c r="B15" i="42"/>
  <c r="B14" i="42"/>
  <c r="B13" i="42"/>
  <c r="B12" i="42"/>
  <c r="B11" i="42"/>
  <c r="B10" i="42"/>
  <c r="B9" i="42"/>
  <c r="B8" i="42"/>
  <c r="N7" i="42"/>
  <c r="M7" i="42"/>
  <c r="L7" i="42"/>
  <c r="K7" i="42"/>
  <c r="J7" i="42"/>
  <c r="I7" i="42"/>
  <c r="H7" i="42"/>
  <c r="G7" i="42"/>
  <c r="F7" i="42"/>
  <c r="E7" i="42"/>
  <c r="D7" i="42"/>
  <c r="C7" i="42"/>
  <c r="CB21" i="42" l="1"/>
  <c r="CA21" i="42"/>
  <c r="CE21" i="42"/>
  <c r="CF21" i="42"/>
  <c r="M46" i="42"/>
  <c r="CG20" i="42" s="1"/>
  <c r="E46" i="42"/>
  <c r="BY20" i="42" s="1"/>
  <c r="I46" i="42"/>
  <c r="CC20" i="42" s="1"/>
  <c r="F46" i="42"/>
  <c r="BZ20" i="42" s="1"/>
  <c r="F6" i="42"/>
  <c r="I6" i="42"/>
  <c r="M6" i="42"/>
  <c r="E6" i="42"/>
  <c r="BY19" i="42" s="1"/>
  <c r="N6" i="42"/>
  <c r="CH19" i="42" s="1"/>
  <c r="CC21" i="42"/>
  <c r="BZ21" i="42"/>
  <c r="CD21" i="42"/>
  <c r="CH21" i="42"/>
  <c r="BY21" i="42"/>
  <c r="CG21" i="42"/>
  <c r="J6" i="42"/>
  <c r="K6" i="42"/>
  <c r="CE19" i="42" s="1"/>
  <c r="D46" i="42"/>
  <c r="BX20" i="42" s="1"/>
  <c r="H46" i="42"/>
  <c r="CB20" i="42" s="1"/>
  <c r="L46" i="42"/>
  <c r="CF20" i="42" s="1"/>
  <c r="C46" i="42"/>
  <c r="BW20" i="42" s="1"/>
  <c r="G46" i="42"/>
  <c r="CA20" i="42" s="1"/>
  <c r="K46" i="42"/>
  <c r="CE20" i="42" s="1"/>
  <c r="B69" i="42"/>
  <c r="B74" i="42"/>
  <c r="B78" i="42"/>
  <c r="BW22" i="42"/>
  <c r="B42" i="42"/>
  <c r="J46" i="42"/>
  <c r="CD20" i="42" s="1"/>
  <c r="N46" i="42"/>
  <c r="CH20" i="42" s="1"/>
  <c r="BX25" i="42"/>
  <c r="BX21" i="42" s="1"/>
  <c r="B27" i="42"/>
  <c r="G6" i="42"/>
  <c r="CA19" i="42" s="1"/>
  <c r="BW24" i="42"/>
  <c r="D6" i="42"/>
  <c r="L6" i="42"/>
  <c r="B66" i="42"/>
  <c r="B34" i="42"/>
  <c r="H6" i="42"/>
  <c r="B47" i="42"/>
  <c r="B19" i="42"/>
  <c r="C6" i="42"/>
  <c r="C5" i="42" s="1"/>
  <c r="B7" i="42"/>
  <c r="B60" i="42"/>
  <c r="B65" i="42"/>
  <c r="B53" i="42"/>
  <c r="BW21" i="42" l="1"/>
  <c r="M5" i="42"/>
  <c r="I5" i="42"/>
  <c r="F5" i="42"/>
  <c r="B46" i="42"/>
  <c r="CC19" i="42"/>
  <c r="BZ19" i="42"/>
  <c r="CG19" i="42"/>
  <c r="E5" i="42"/>
  <c r="G5" i="42"/>
  <c r="N5" i="42"/>
  <c r="BW19" i="42"/>
  <c r="H5" i="42"/>
  <c r="CB19" i="42"/>
  <c r="L5" i="42"/>
  <c r="CF19" i="42"/>
  <c r="J5" i="42"/>
  <c r="CD19" i="42"/>
  <c r="BX19" i="42"/>
  <c r="D5" i="42"/>
  <c r="K5" i="42"/>
  <c r="B6" i="42"/>
  <c r="B5" i="42" l="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<sst xmlns="http://schemas.openxmlformats.org/spreadsheetml/2006/main" count="279" uniqueCount="231">
  <si>
    <t>Country of Nationality</t>
  </si>
  <si>
    <t>Total</t>
  </si>
  <si>
    <t>Europe</t>
  </si>
  <si>
    <t>Italy</t>
  </si>
  <si>
    <t>United Kingdom</t>
  </si>
  <si>
    <t>Germany</t>
  </si>
  <si>
    <t>France</t>
  </si>
  <si>
    <t>Switzerland</t>
  </si>
  <si>
    <t>Russia</t>
  </si>
  <si>
    <t>Austria</t>
  </si>
  <si>
    <t>Spain</t>
  </si>
  <si>
    <t>Portugal</t>
  </si>
  <si>
    <t>Belgium</t>
  </si>
  <si>
    <t>Sweden</t>
  </si>
  <si>
    <t>Denmark</t>
  </si>
  <si>
    <t>Asia</t>
  </si>
  <si>
    <t>Japan</t>
  </si>
  <si>
    <t>India</t>
  </si>
  <si>
    <t>Korea</t>
  </si>
  <si>
    <t>Sri Lanka</t>
  </si>
  <si>
    <t>Thailand</t>
  </si>
  <si>
    <t>Singapore</t>
  </si>
  <si>
    <t>Africa</t>
  </si>
  <si>
    <t>South Africa</t>
  </si>
  <si>
    <t>America</t>
  </si>
  <si>
    <t>Canada</t>
  </si>
  <si>
    <t>Oceania</t>
  </si>
  <si>
    <t>Australia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</si>
  <si>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</si>
  <si>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</si>
  <si>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</si>
  <si>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</si>
  <si>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</si>
  <si>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</si>
  <si>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</si>
  <si>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</si>
  <si>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</si>
  <si>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</si>
  <si>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</si>
  <si>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Sep</t>
  </si>
  <si>
    <t xml:space="preserve">   Total</t>
  </si>
  <si>
    <t>2008</t>
  </si>
  <si>
    <t>Middle East</t>
  </si>
  <si>
    <t>Kuwait</t>
  </si>
  <si>
    <t>Lebanon</t>
  </si>
  <si>
    <t>Saudi Arabia</t>
  </si>
  <si>
    <t>United Arab Emirates</t>
  </si>
  <si>
    <t>Others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</si>
  <si>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</si>
  <si>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</si>
  <si>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</si>
  <si>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</si>
  <si>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</si>
  <si>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</si>
  <si>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</si>
  <si>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</si>
  <si>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</si>
  <si>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</si>
  <si>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</si>
  <si>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</si>
  <si>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</si>
  <si>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</si>
  <si>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</si>
  <si>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</si>
  <si>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</si>
  <si>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</si>
  <si>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</si>
  <si>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</si>
  <si>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</si>
  <si>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</si>
  <si>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</si>
  <si>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</si>
  <si>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</si>
  <si>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</si>
  <si>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</si>
  <si>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</si>
  <si>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</si>
  <si>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</si>
  <si>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</si>
  <si>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</si>
  <si>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</si>
  <si>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</si>
  <si>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</si>
  <si>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</si>
  <si>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</si>
  <si>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</si>
  <si>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</si>
  <si>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</si>
  <si>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</si>
  <si>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</si>
  <si>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</si>
  <si>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</si>
  <si>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</si>
  <si>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</si>
  <si>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</si>
  <si>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</si>
  <si>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</si>
  <si>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</si>
  <si>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</si>
  <si>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</si>
  <si>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</si>
  <si>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</si>
  <si>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</si>
  <si>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</si>
  <si>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އޮސްޓްރިއާ</t>
  </si>
  <si>
    <t>ޖުމްލަ</t>
  </si>
  <si>
    <t>ޔޫރަޕް</t>
  </si>
  <si>
    <t>ބެލްޖިއަމް</t>
  </si>
  <si>
    <t>ފިންލޭންޑް</t>
  </si>
  <si>
    <t>ފްރާންސް</t>
  </si>
  <si>
    <t>ގްރީސް</t>
  </si>
  <si>
    <t>އިޓަލީ</t>
  </si>
  <si>
    <t>ޕޯޗުގަލް</t>
  </si>
  <si>
    <t>ރަޝިއާ</t>
  </si>
  <si>
    <t>ސްލޮވޭކިއާ</t>
  </si>
  <si>
    <t>ސްޕެއިން</t>
  </si>
  <si>
    <t>ޔުނައިޓެޑް ކިންގްޑަމް</t>
  </si>
  <si>
    <t>އެހެނިހެން</t>
  </si>
  <si>
    <t>އޭޝިއާ</t>
  </si>
  <si>
    <t>ޗައިނާ</t>
  </si>
  <si>
    <t>އިންޑޮނޭޝިއާ</t>
  </si>
  <si>
    <t>އިންޑިއާ</t>
  </si>
  <si>
    <t>ކޮރެއާ</t>
  </si>
  <si>
    <t>ޖަޕާން</t>
  </si>
  <si>
    <t>މެލޭޝިއާ</t>
  </si>
  <si>
    <t>ޕާކިސްތާން</t>
  </si>
  <si>
    <t>ޓައިވާން</t>
  </si>
  <si>
    <t>އެފްރިކާ</t>
  </si>
  <si>
    <t>ކެނެޑާ</t>
  </si>
  <si>
    <t>އޮސްޓްރޭލިއާ</t>
  </si>
  <si>
    <t>ކުވެއިތު</t>
  </si>
  <si>
    <t>2010</t>
  </si>
  <si>
    <t>Central/Eastern Europe</t>
  </si>
  <si>
    <t>Belarus</t>
  </si>
  <si>
    <t>Bulgaria</t>
  </si>
  <si>
    <t>Czech Republic</t>
  </si>
  <si>
    <t>Hungary</t>
  </si>
  <si>
    <t>Kazakhstan</t>
  </si>
  <si>
    <t>Poland</t>
  </si>
  <si>
    <t>Romania</t>
  </si>
  <si>
    <t>Slovakia</t>
  </si>
  <si>
    <t>Ukraine</t>
  </si>
  <si>
    <t>Northern Europe</t>
  </si>
  <si>
    <t>Finland</t>
  </si>
  <si>
    <t>Ireland</t>
  </si>
  <si>
    <t>Norway</t>
  </si>
  <si>
    <t>Southern Europe</t>
  </si>
  <si>
    <t>Greece</t>
  </si>
  <si>
    <t>Slovenia</t>
  </si>
  <si>
    <t>Western Europe</t>
  </si>
  <si>
    <t xml:space="preserve">Netherlands </t>
  </si>
  <si>
    <t>East/Mediterranean Europe</t>
  </si>
  <si>
    <t>Israel</t>
  </si>
  <si>
    <t>Turkey</t>
  </si>
  <si>
    <t>North East Asia</t>
  </si>
  <si>
    <t>China</t>
  </si>
  <si>
    <t>Taiwan</t>
  </si>
  <si>
    <t>South East Asia</t>
  </si>
  <si>
    <t>Indonesia</t>
  </si>
  <si>
    <t>Malaysia</t>
  </si>
  <si>
    <t>Philippines</t>
  </si>
  <si>
    <t>South Asia</t>
  </si>
  <si>
    <t>Bangladesh</t>
  </si>
  <si>
    <t>Pakistan</t>
  </si>
  <si>
    <t>Brazil</t>
  </si>
  <si>
    <t>United States</t>
  </si>
  <si>
    <t>New Zealand</t>
  </si>
  <si>
    <t>No. of Tourists</t>
  </si>
  <si>
    <t>% change over previous year</t>
  </si>
  <si>
    <t>އެމެރިކާ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</si>
  <si>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</si>
  <si>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</si>
  <si>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</si>
  <si>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</si>
  <si>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</si>
  <si>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 xml:space="preserve"> Department of Immigration &amp; Emigration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</si>
  <si>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</si>
  <si>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</si>
  <si>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</si>
  <si>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</si>
  <si>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</si>
  <si>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Other continents</t>
  </si>
  <si>
    <t>ވަޒަންވެރިވެފައިވާ ޤައުމު</t>
  </si>
  <si>
    <t>މެދު އިރުމަތީ ޔޫރަޕް</t>
  </si>
  <si>
    <t>ބެލަރުސް</t>
  </si>
  <si>
    <t>ބަލްގޭރިއާ</t>
  </si>
  <si>
    <t>ޗެކް ރިޕަބްލިކް</t>
  </si>
  <si>
    <t>ހަންގޭރީ</t>
  </si>
  <si>
    <t>ކަޒަކިސްތާން</t>
  </si>
  <si>
    <t>ޕޮލަންޑް</t>
  </si>
  <si>
    <t>ރޮމޭނިއާ</t>
  </si>
  <si>
    <t>ޔޫކްރެއިން</t>
  </si>
  <si>
    <t>އުތުރު ޔޫރަޕް</t>
  </si>
  <si>
    <t>ޑެންމާކް</t>
  </si>
  <si>
    <t>އަޔަލެންޑް</t>
  </si>
  <si>
    <t>ނޯވޭ</t>
  </si>
  <si>
    <t>ސްވިޑެން</t>
  </si>
  <si>
    <t>ދެކުނު ޔޫރަޕް</t>
  </si>
  <si>
    <t>ސްލޮވޭނިއާ</t>
  </si>
  <si>
    <t>ހުޅަނގު ޔޫރަޕް</t>
  </si>
  <si>
    <t>ޖަރުމަނީ</t>
  </si>
  <si>
    <t>ނެދަލެންޑްސް</t>
  </si>
  <si>
    <t>ސްވިޓްޒަލެންޑް</t>
  </si>
  <si>
    <t>އިރުމަތީ ޔޫރަޕް</t>
  </si>
  <si>
    <t>އިސްރާއީލް</t>
  </si>
  <si>
    <t>ތުރުކީ</t>
  </si>
  <si>
    <t>އިރު އުތުރު އޭޝިއާ</t>
  </si>
  <si>
    <t>އިރު ދެކުނު އޭޝިއާ</t>
  </si>
  <si>
    <t>ފިލިޕިންސް</t>
  </si>
  <si>
    <t>ސިންގަޕޯ</t>
  </si>
  <si>
    <t>ތައިލެންޑް</t>
  </si>
  <si>
    <t>ދެކުނު އޭޝިއާ</t>
  </si>
  <si>
    <t>ބަންގްލަދެޝް</t>
  </si>
  <si>
    <t>ސްރީ ލަންކާ</t>
  </si>
  <si>
    <t>ދެކުނު އެފްރިކާ</t>
  </si>
  <si>
    <t>ބްރެޒިލް</t>
  </si>
  <si>
    <t>ޔުނައިޓެޑް ސްޓޭޓްސް</t>
  </si>
  <si>
    <t>އޯޝިއާނާ</t>
  </si>
  <si>
    <t>ނިއުޒިލެންޑް</t>
  </si>
  <si>
    <t>މެދު އިރުމަތީ</t>
  </si>
  <si>
    <t>ލެބަނާން</t>
  </si>
  <si>
    <t>ސައުދީ އަރަބިއްޔާ</t>
  </si>
  <si>
    <t>ޔުނައިޓެޑް އަރަބް އެމަރެޓްސް</t>
  </si>
  <si>
    <t>UN Passpoert holders</t>
  </si>
  <si>
    <t xml:space="preserve">Others Not Stated </t>
  </si>
  <si>
    <t xml:space="preserve">ޔޫ އެން ޕާސްޕޯޓު ހޯލްޑަރސް </t>
  </si>
  <si>
    <t>Source: Ministry of Tourism</t>
  </si>
  <si>
    <t>cmwzirUT cfoa  IrcTcsinim :ctWrwf ivcaed utWmUluAwm</t>
  </si>
  <si>
    <t xml:space="preserve">                   ޑިޕާޓްމަންޓް އޮފް އިމިގްރޭޝަން އެންޑް އެމިގްރޭޝަން</t>
  </si>
  <si>
    <t>ތާވަލު 10.9: ޤައުމުތަކުގެ ގޮތުން ރާއްޖެއައި ފަތުރުވެރިންގެ ޢަދަދު، މަސްމަހުގެ ގޮތުން، 2015</t>
  </si>
  <si>
    <t>Table 10.9 :   MONTHLY DISTRIBUTION OF TOURIST ARRIVALS BY NATIONALITY,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</si>
</sst>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b/>
      <sz val="9"/>
      <name val="Faruma"/>
    </font>
    <font>
      <b/>
      <sz val="11"/>
      <name val="Faruma"/>
    </font>
    <font>
      <sz val="9"/>
      <name val="Faruma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1" fillId="0" borderId="1" applyNumberFormat="0"/>
    <xf numFmtId="0" fontId="2" fillId="0" borderId="0"/>
    <xf numFmtId="0" fontId="17" fillId="0" borderId="0"/>
    <xf numFmtId="0" fontId="12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06">
    <xf numFmtId="0" fontId="0" fillId="0" borderId="0" xfId="0"/>
    <xf numFmtId="0" fontId="0" fillId="2" borderId="0" xfId="0" applyFill="1"/>
    <xf numFmtId="49" fontId="19" fillId="2" borderId="3" xfId="0" applyNumberFormat="1" applyFont="1" applyFill="1" applyBorder="1" applyAlignment="1" applyProtection="1">
      <alignment horizontal="right" vertical="center"/>
    </xf>
    <xf numFmtId="0" fontId="19" fillId="2" borderId="2" xfId="0" applyFont="1" applyFill="1" applyBorder="1" applyAlignment="1" applyProtection="1">
      <alignment horizontal="right" vertical="center"/>
    </xf>
    <xf numFmtId="0" fontId="22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0" fontId="19" fillId="2" borderId="0" xfId="4" applyFont="1" applyFill="1" applyBorder="1" applyAlignment="1" applyProtection="1">
      <alignment horizontal="left" vertical="center"/>
    </xf>
    <xf numFmtId="0" fontId="21" fillId="2" borderId="0" xfId="4" applyFont="1" applyFill="1"/>
    <xf numFmtId="0" fontId="19" fillId="2" borderId="2" xfId="4" applyFont="1" applyFill="1" applyBorder="1" applyAlignment="1" applyProtection="1">
      <alignment horizontal="center" vertical="center"/>
    </xf>
    <xf numFmtId="0" fontId="21" fillId="2" borderId="0" xfId="4" applyFont="1" applyFill="1" applyBorder="1"/>
    <xf numFmtId="0" fontId="19" fillId="2" borderId="2" xfId="4" applyFont="1" applyFill="1" applyBorder="1" applyAlignment="1" applyProtection="1">
      <alignment horizontal="left" vertical="center"/>
    </xf>
    <xf numFmtId="0" fontId="19" fillId="2" borderId="2" xfId="4" applyFont="1" applyFill="1" applyBorder="1" applyAlignment="1" applyProtection="1">
      <alignment horizontal="right" vertical="center"/>
    </xf>
    <xf numFmtId="0" fontId="20" fillId="2" borderId="0" xfId="4" applyFont="1" applyFill="1" applyAlignment="1">
      <alignment vertical="center"/>
    </xf>
    <xf numFmtId="0" fontId="19" fillId="2" borderId="5" xfId="4" applyFont="1" applyFill="1" applyBorder="1" applyAlignment="1" applyProtection="1">
      <alignment horizontal="left" vertical="center"/>
    </xf>
    <xf numFmtId="169" fontId="19" fillId="2" borderId="5" xfId="2" applyNumberFormat="1" applyFont="1" applyFill="1" applyBorder="1" applyAlignment="1" applyProtection="1">
      <alignment horizontal="right" vertical="center"/>
    </xf>
    <xf numFmtId="0" fontId="20" fillId="2" borderId="0" xfId="4" applyFont="1" applyFill="1"/>
    <xf numFmtId="169" fontId="20" fillId="2" borderId="0" xfId="4" applyNumberFormat="1" applyFont="1" applyFill="1" applyAlignment="1">
      <alignment vertical="center"/>
    </xf>
    <xf numFmtId="17" fontId="19" fillId="2" borderId="0" xfId="9" applyNumberFormat="1" applyFont="1" applyFill="1" applyBorder="1" applyAlignment="1">
      <alignment horizontal="left" vertical="center" indent="1"/>
    </xf>
    <xf numFmtId="0" fontId="21" fillId="2" borderId="0" xfId="9" applyFont="1" applyFill="1" applyBorder="1" applyAlignment="1">
      <alignment horizontal="left" vertical="center" indent="2"/>
    </xf>
    <xf numFmtId="169" fontId="19" fillId="2" borderId="0" xfId="2" applyNumberFormat="1" applyFont="1" applyFill="1" applyBorder="1" applyAlignment="1">
      <alignment vertical="center"/>
    </xf>
    <xf numFmtId="169" fontId="21" fillId="2" borderId="0" xfId="2" applyNumberFormat="1" applyFont="1" applyFill="1" applyBorder="1" applyAlignment="1">
      <alignment vertical="center"/>
    </xf>
    <xf numFmtId="0" fontId="21" fillId="2" borderId="0" xfId="9" quotePrefix="1" applyFont="1" applyFill="1" applyBorder="1" applyAlignment="1">
      <alignment horizontal="left" vertical="center" indent="2"/>
    </xf>
    <xf numFmtId="169" fontId="19" fillId="2" borderId="0" xfId="2" applyNumberFormat="1" applyFont="1" applyFill="1" applyBorder="1" applyAlignment="1">
      <alignment horizontal="right" vertical="center"/>
    </xf>
    <xf numFmtId="17" fontId="19" fillId="2" borderId="0" xfId="9" applyNumberFormat="1" applyFont="1" applyFill="1" applyBorder="1" applyAlignment="1">
      <alignment horizontal="left" vertical="center" wrapText="1" indent="1"/>
    </xf>
    <xf numFmtId="0" fontId="21" fillId="2" borderId="2" xfId="9" applyFont="1" applyFill="1" applyBorder="1" applyAlignment="1">
      <alignment horizontal="left" vertical="center" indent="2"/>
    </xf>
    <xf numFmtId="169" fontId="19" fillId="2" borderId="2" xfId="2" applyNumberFormat="1" applyFont="1" applyFill="1" applyBorder="1" applyAlignment="1">
      <alignment vertical="center"/>
    </xf>
    <xf numFmtId="169" fontId="21" fillId="2" borderId="2" xfId="2" applyNumberFormat="1" applyFont="1" applyFill="1" applyBorder="1" applyAlignment="1">
      <alignment vertical="center"/>
    </xf>
    <xf numFmtId="0" fontId="21" fillId="2" borderId="0" xfId="9" applyFont="1" applyFill="1" applyBorder="1" applyAlignment="1">
      <alignment horizontal="left" vertical="center" indent="1"/>
    </xf>
    <xf numFmtId="0" fontId="21" fillId="2" borderId="2" xfId="9" applyFont="1" applyFill="1" applyBorder="1" applyAlignment="1">
      <alignment horizontal="left" vertical="center" indent="1"/>
    </xf>
    <xf numFmtId="0" fontId="22" fillId="2" borderId="0" xfId="4" applyFont="1" applyFill="1" applyAlignment="1" applyProtection="1">
      <alignment horizontal="left" vertical="center"/>
    </xf>
    <xf numFmtId="0" fontId="22" fillId="2" borderId="0" xfId="4" applyFont="1" applyFill="1" applyAlignment="1" applyProtection="1">
      <alignment horizontal="left" vertical="center" indent="3"/>
    </xf>
    <xf numFmtId="3" fontId="21" fillId="2" borderId="0" xfId="4" applyNumberFormat="1" applyFont="1" applyFill="1"/>
    <xf numFmtId="49" fontId="19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0" fillId="4" borderId="8" xfId="2" applyNumberFormat="1" applyFont="1" applyFill="1" applyBorder="1" applyAlignment="1" applyProtection="1">
      <alignment horizontal="left" vertical="center"/>
    </xf>
    <xf numFmtId="170" fontId="20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0" fillId="4" borderId="0" xfId="2" applyNumberFormat="1" applyFont="1" applyFill="1" applyBorder="1" applyAlignment="1">
      <alignment vertical="center"/>
    </xf>
    <xf numFmtId="170" fontId="20" fillId="4" borderId="7" xfId="2" applyNumberFormat="1" applyFont="1" applyFill="1" applyBorder="1" applyAlignment="1">
      <alignment vertical="center"/>
    </xf>
    <xf numFmtId="0" fontId="19" fillId="2" borderId="4" xfId="0" applyFont="1" applyFill="1" applyBorder="1" applyAlignment="1" applyProtection="1">
      <alignment horizontal="right" vertical="center"/>
    </xf>
    <xf numFmtId="0" fontId="19" fillId="3" borderId="6" xfId="0" applyFont="1" applyFill="1" applyBorder="1" applyAlignment="1" applyProtection="1">
      <alignment horizontal="right" vertical="center"/>
    </xf>
    <xf numFmtId="167" fontId="20" fillId="4" borderId="0" xfId="0" applyNumberFormat="1" applyFont="1" applyFill="1" applyBorder="1" applyAlignment="1">
      <alignment vertical="center"/>
    </xf>
    <xf numFmtId="167" fontId="18" fillId="4" borderId="0" xfId="0" applyNumberFormat="1" applyFont="1" applyFill="1" applyBorder="1" applyAlignment="1">
      <alignment vertical="center"/>
    </xf>
    <xf numFmtId="167" fontId="18" fillId="4" borderId="7" xfId="0" applyNumberFormat="1" applyFont="1" applyFill="1" applyBorder="1" applyAlignment="1">
      <alignment vertical="center"/>
    </xf>
    <xf numFmtId="169" fontId="20" fillId="2" borderId="8" xfId="2" applyNumberFormat="1" applyFont="1" applyFill="1" applyBorder="1" applyAlignment="1" applyProtection="1">
      <alignment horizontal="left" vertical="center"/>
    </xf>
    <xf numFmtId="170" fontId="20" fillId="2" borderId="9" xfId="2" applyNumberFormat="1" applyFont="1" applyFill="1" applyBorder="1" applyAlignment="1">
      <alignment vertical="center"/>
    </xf>
    <xf numFmtId="170" fontId="20" fillId="2" borderId="0" xfId="2" applyNumberFormat="1" applyFont="1" applyFill="1" applyBorder="1" applyAlignment="1">
      <alignment vertical="center"/>
    </xf>
    <xf numFmtId="170" fontId="20" fillId="3" borderId="7" xfId="2" applyNumberFormat="1" applyFont="1" applyFill="1" applyBorder="1" applyAlignment="1">
      <alignment vertical="center"/>
    </xf>
    <xf numFmtId="167" fontId="20" fillId="2" borderId="0" xfId="0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8" fillId="3" borderId="7" xfId="0" applyNumberFormat="1" applyFont="1" applyFill="1" applyBorder="1" applyAlignment="1">
      <alignment vertical="center"/>
    </xf>
    <xf numFmtId="169" fontId="20" fillId="2" borderId="10" xfId="2" applyNumberFormat="1" applyFont="1" applyFill="1" applyBorder="1" applyAlignment="1" applyProtection="1">
      <alignment horizontal="left" vertical="center"/>
    </xf>
    <xf numFmtId="170" fontId="20" fillId="2" borderId="11" xfId="2" applyNumberFormat="1" applyFont="1" applyFill="1" applyBorder="1" applyAlignment="1">
      <alignment vertical="center"/>
    </xf>
    <xf numFmtId="170" fontId="20" fillId="2" borderId="2" xfId="2" applyNumberFormat="1" applyFont="1" applyFill="1" applyBorder="1" applyAlignment="1">
      <alignment vertical="center"/>
    </xf>
    <xf numFmtId="170" fontId="20" fillId="3" borderId="6" xfId="2" applyNumberFormat="1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8" fillId="3" borderId="6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1" fillId="2" borderId="0" xfId="4" applyFont="1" applyFill="1" applyAlignment="1">
      <alignment vertical="center"/>
    </xf>
    <xf numFmtId="0" fontId="16" fillId="2" borderId="0" xfId="4" applyFont="1" applyFill="1"/>
    <xf numFmtId="0" fontId="22" fillId="2" borderId="5" xfId="4" applyFont="1" applyFill="1" applyBorder="1" applyAlignment="1" applyProtection="1">
      <alignment horizontal="left" vertical="center"/>
    </xf>
    <xf numFmtId="0" fontId="19" fillId="2" borderId="3" xfId="4" applyFont="1" applyFill="1" applyBorder="1" applyAlignment="1" applyProtection="1">
      <alignment horizontal="right" vertical="center"/>
    </xf>
    <xf numFmtId="0" fontId="14" fillId="2" borderId="3" xfId="4" applyFont="1" applyFill="1" applyBorder="1" applyAlignment="1">
      <alignment vertical="center"/>
    </xf>
    <xf numFmtId="0" fontId="14" fillId="2" borderId="5" xfId="4" applyFont="1" applyFill="1" applyBorder="1"/>
    <xf numFmtId="0" fontId="14" fillId="2" borderId="0" xfId="4" applyFont="1" applyFill="1"/>
    <xf numFmtId="0" fontId="10" fillId="2" borderId="0" xfId="4" applyFont="1" applyFill="1" applyBorder="1" applyAlignment="1">
      <alignment horizontal="right" vertical="center" indent="1"/>
    </xf>
    <xf numFmtId="0" fontId="14" fillId="2" borderId="0" xfId="4" applyFont="1" applyFill="1" applyAlignment="1">
      <alignment horizontal="right" indent="1"/>
    </xf>
    <xf numFmtId="0" fontId="16" fillId="2" borderId="0" xfId="4" applyFont="1" applyFill="1" applyAlignment="1">
      <alignment horizontal="right" indent="2"/>
    </xf>
    <xf numFmtId="0" fontId="14" fillId="2" borderId="0" xfId="4" applyFont="1" applyFill="1" applyAlignment="1">
      <alignment horizontal="right" indent="1" readingOrder="1"/>
    </xf>
    <xf numFmtId="0" fontId="16" fillId="2" borderId="0" xfId="4" applyFont="1" applyFill="1" applyBorder="1" applyAlignment="1">
      <alignment horizontal="right" indent="2"/>
    </xf>
    <xf numFmtId="0" fontId="16" fillId="2" borderId="0" xfId="4" applyFont="1" applyFill="1" applyAlignment="1">
      <alignment horizontal="right" indent="1"/>
    </xf>
    <xf numFmtId="169" fontId="20" fillId="2" borderId="0" xfId="4" applyNumberFormat="1" applyFont="1" applyFill="1"/>
    <xf numFmtId="0" fontId="14" fillId="2" borderId="0" xfId="4" applyFont="1" applyFill="1" applyBorder="1"/>
    <xf numFmtId="0" fontId="16" fillId="2" borderId="2" xfId="4" applyFont="1" applyFill="1" applyBorder="1" applyAlignment="1">
      <alignment horizontal="right" indent="2"/>
    </xf>
    <xf numFmtId="0" fontId="16" fillId="2" borderId="2" xfId="4" applyFont="1" applyFill="1" applyBorder="1" applyAlignment="1">
      <alignment horizontal="right" indent="1"/>
    </xf>
    <xf numFmtId="169" fontId="21" fillId="2" borderId="0" xfId="2" applyNumberFormat="1" applyFont="1" applyFill="1" applyBorder="1" applyAlignment="1">
      <alignment horizontal="right" vertical="center"/>
    </xf>
    <xf numFmtId="169" fontId="21" fillId="2" borderId="2" xfId="2" applyNumberFormat="1" applyFont="1" applyFill="1" applyBorder="1" applyAlignment="1">
      <alignment horizontal="right" vertical="center"/>
    </xf>
    <xf numFmtId="0" fontId="2" fillId="2" borderId="15" xfId="4" applyFont="1" applyFill="1" applyBorder="1"/>
    <xf numFmtId="169" fontId="19" fillId="2" borderId="0" xfId="2" applyNumberFormat="1" applyFont="1" applyFill="1" applyBorder="1" applyAlignment="1" applyProtection="1">
      <alignment horizontal="right" vertical="center"/>
    </xf>
    <xf numFmtId="169" fontId="19" fillId="2" borderId="2" xfId="2" applyNumberFormat="1" applyFont="1" applyFill="1" applyBorder="1" applyAlignment="1" applyProtection="1">
      <alignment horizontal="right" vertical="center"/>
    </xf>
    <xf numFmtId="0" fontId="19" fillId="2" borderId="0" xfId="4" applyFont="1" applyFill="1" applyBorder="1" applyAlignment="1" applyProtection="1">
      <alignment vertical="center"/>
    </xf>
    <xf numFmtId="0" fontId="19" fillId="2" borderId="2" xfId="4" applyFont="1" applyFill="1" applyBorder="1" applyAlignment="1" applyProtection="1">
      <alignment vertical="center"/>
    </xf>
    <xf numFmtId="169" fontId="19" fillId="2" borderId="2" xfId="4" applyNumberFormat="1" applyFont="1" applyFill="1" applyBorder="1" applyAlignment="1" applyProtection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left" vertical="center" wrapText="1"/>
    </xf>
    <xf numFmtId="0" fontId="19" fillId="2" borderId="0" xfId="0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0" fillId="2" borderId="1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3" fillId="2" borderId="0" xfId="4" applyFont="1" applyFill="1" applyBorder="1" applyAlignment="1" applyProtection="1">
      <alignment horizontal="center" vertical="center"/>
    </xf>
    <xf numFmtId="0" fontId="15" fillId="2" borderId="0" xfId="4" applyFont="1" applyFill="1" applyAlignment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E7FFFF"/>
      <color rgb="FF8AE4E2"/>
      <color rgb="FF1C706E"/>
      <color rgb="FF33CCCC"/>
      <color rgb="FF81FFFF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52800"/>
        <c:axId val="51854336"/>
      </c:barChart>
      <c:catAx>
        <c:axId val="5185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854336"/>
        <c:crosses val="autoZero"/>
        <c:auto val="1"/>
        <c:lblAlgn val="ctr"/>
        <c:lblOffset val="100"/>
        <c:noMultiLvlLbl val="0"/>
      </c:catAx>
      <c:valAx>
        <c:axId val="51854336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51852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76160"/>
        <c:axId val="81892096"/>
      </c:barChart>
      <c:catAx>
        <c:axId val="5407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892096"/>
        <c:crosses val="autoZero"/>
        <c:auto val="1"/>
        <c:lblAlgn val="ctr"/>
        <c:lblOffset val="100"/>
        <c:noMultiLvlLbl val="0"/>
      </c:catAx>
      <c:valAx>
        <c:axId val="81892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4076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>
                <a:latin typeface="Candara" pitchFamily="34" charset="0"/>
              </a:rPr>
              <a:t>Figure 10.14: Monthly tourist arrivals by continent, 2015</a:t>
            </a:r>
          </a:p>
        </c:rich>
      </c:tx>
      <c:layout>
        <c:manualLayout>
          <c:xMode val="edge"/>
          <c:yMode val="edge"/>
          <c:x val="0.3331716929559303"/>
          <c:y val="3.70368921276144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70996945819224E-2"/>
          <c:y val="0.14862277631962667"/>
          <c:w val="0.89444701570498131"/>
          <c:h val="0.71963692038495153"/>
        </c:manualLayout>
      </c:layout>
      <c:lineChart>
        <c:grouping val="standard"/>
        <c:varyColors val="0"/>
        <c:ser>
          <c:idx val="0"/>
          <c:order val="0"/>
          <c:tx>
            <c:strRef>
              <c:f>'[4]10.9 '!$V$19</c:f>
              <c:strCache>
                <c:ptCount val="1"/>
                <c:pt idx="0">
                  <c:v>Europe</c:v>
                </c:pt>
              </c:strCache>
            </c:strRef>
          </c:tx>
          <c:spPr>
            <a:ln>
              <a:solidFill>
                <a:srgbClr val="1C706E"/>
              </a:solidFill>
            </a:ln>
          </c:spPr>
          <c:marker>
            <c:symbol val="diamond"/>
            <c:size val="5"/>
            <c:spPr>
              <a:solidFill>
                <a:srgbClr val="81FFFF"/>
              </a:solidFill>
              <a:ln>
                <a:solidFill>
                  <a:schemeClr val="tx1">
                    <a:lumMod val="75000"/>
                    <a:lumOff val="25000"/>
                  </a:schemeClr>
                </a:solidFill>
              </a:ln>
            </c:spPr>
          </c:marker>
          <c:cat>
            <c:strRef>
              <c:f>'[4]10.9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'[4]10.9 '!$W$19:$AH$19</c:f>
              <c:numCache>
                <c:formatCode>General</c:formatCode>
                <c:ptCount val="12"/>
                <c:pt idx="0">
                  <c:v>52321</c:v>
                </c:pt>
                <c:pt idx="1">
                  <c:v>54095</c:v>
                </c:pt>
                <c:pt idx="2">
                  <c:v>61204</c:v>
                </c:pt>
                <c:pt idx="3">
                  <c:v>48978</c:v>
                </c:pt>
                <c:pt idx="4">
                  <c:v>35167</c:v>
                </c:pt>
                <c:pt idx="5">
                  <c:v>24238</c:v>
                </c:pt>
                <c:pt idx="6">
                  <c:v>32701</c:v>
                </c:pt>
                <c:pt idx="7">
                  <c:v>36640</c:v>
                </c:pt>
                <c:pt idx="8">
                  <c:v>35574</c:v>
                </c:pt>
                <c:pt idx="9">
                  <c:v>46530</c:v>
                </c:pt>
                <c:pt idx="10">
                  <c:v>45894</c:v>
                </c:pt>
                <c:pt idx="11">
                  <c:v>53932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'[4]10.9 '!$V$20</c:f>
              <c:strCache>
                <c:ptCount val="1"/>
                <c:pt idx="0">
                  <c:v>Asia</c:v>
                </c:pt>
              </c:strCache>
            </c:strRef>
          </c:tx>
          <c:spPr>
            <a:ln>
              <a:solidFill>
                <a:srgbClr val="81FFFF"/>
              </a:solidFill>
            </a:ln>
          </c:spPr>
          <c:marker>
            <c:symbol val="square"/>
            <c:size val="5"/>
            <c:spPr>
              <a:solidFill>
                <a:srgbClr val="1C706E"/>
              </a:solidFill>
              <a:ln>
                <a:solidFill>
                  <a:srgbClr val="4BACC6">
                    <a:lumMod val="75000"/>
                  </a:srgbClr>
                </a:solidFill>
              </a:ln>
            </c:spPr>
          </c:marker>
          <c:cat>
            <c:strRef>
              <c:f>'[4]10.9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'[4]10.9 '!$W$20:$AH$20</c:f>
              <c:numCache>
                <c:formatCode>General</c:formatCode>
                <c:ptCount val="12"/>
                <c:pt idx="0">
                  <c:v>29774</c:v>
                </c:pt>
                <c:pt idx="1">
                  <c:v>44791</c:v>
                </c:pt>
                <c:pt idx="2">
                  <c:v>30647</c:v>
                </c:pt>
                <c:pt idx="3">
                  <c:v>33903</c:v>
                </c:pt>
                <c:pt idx="4">
                  <c:v>37946</c:v>
                </c:pt>
                <c:pt idx="5">
                  <c:v>42613</c:v>
                </c:pt>
                <c:pt idx="6">
                  <c:v>49319</c:v>
                </c:pt>
                <c:pt idx="7">
                  <c:v>51450</c:v>
                </c:pt>
                <c:pt idx="8">
                  <c:v>49179</c:v>
                </c:pt>
                <c:pt idx="9">
                  <c:v>51598</c:v>
                </c:pt>
                <c:pt idx="10">
                  <c:v>42348</c:v>
                </c:pt>
                <c:pt idx="11">
                  <c:v>42185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'[4]10.9 '!$V$21</c:f>
              <c:strCache>
                <c:ptCount val="1"/>
                <c:pt idx="0">
                  <c:v>Other continents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pPr>
              <a:solidFill>
                <a:srgbClr val="E7FFFF"/>
              </a:solidFill>
              <a:ln>
                <a:solidFill>
                  <a:srgbClr val="1C706E"/>
                </a:solidFill>
              </a:ln>
            </c:spPr>
          </c:marker>
          <c:cat>
            <c:strRef>
              <c:f>'[4]10.9 '!$W$18:$AH$18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'[4]10.9 '!$W$21:$AH$21</c:f>
              <c:numCache>
                <c:formatCode>General</c:formatCode>
                <c:ptCount val="12"/>
                <c:pt idx="0">
                  <c:v>6774</c:v>
                </c:pt>
                <c:pt idx="1">
                  <c:v>5859</c:v>
                </c:pt>
                <c:pt idx="2">
                  <c:v>7647</c:v>
                </c:pt>
                <c:pt idx="3">
                  <c:v>7755</c:v>
                </c:pt>
                <c:pt idx="4">
                  <c:v>6313</c:v>
                </c:pt>
                <c:pt idx="5">
                  <c:v>9642</c:v>
                </c:pt>
                <c:pt idx="6">
                  <c:v>5952</c:v>
                </c:pt>
                <c:pt idx="7">
                  <c:v>10248</c:v>
                </c:pt>
                <c:pt idx="8">
                  <c:v>7522</c:v>
                </c:pt>
                <c:pt idx="9">
                  <c:v>9168</c:v>
                </c:pt>
                <c:pt idx="10">
                  <c:v>6320</c:v>
                </c:pt>
                <c:pt idx="11">
                  <c:v>8852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13088"/>
        <c:axId val="51915008"/>
      </c:lineChart>
      <c:catAx>
        <c:axId val="5191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1915008"/>
        <c:crosses val="autoZero"/>
        <c:auto val="1"/>
        <c:lblAlgn val="ctr"/>
        <c:lblOffset val="100"/>
        <c:noMultiLvlLbl val="0"/>
      </c:catAx>
      <c:valAx>
        <c:axId val="51915008"/>
        <c:scaling>
          <c:orientation val="minMax"/>
        </c:scaling>
        <c:delete val="0"/>
        <c:axPos val="l"/>
        <c:majorGridlines>
          <c:spPr>
            <a:ln>
              <a:solidFill>
                <a:srgbClr val="8AE4E2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519130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2041608213593203"/>
          <c:y val="0.16179150832705513"/>
          <c:w val="0.61132939197738667"/>
          <c:h val="9.9092613423321985E-2"/>
        </c:manualLayout>
      </c:layout>
      <c:overlay val="0"/>
    </c:legend>
    <c:plotVisOnly val="1"/>
    <c:dispBlanksAs val="zero"/>
    <c:showDLblsOverMax val="0"/>
  </c:chart>
  <c:spPr>
    <a:solidFill>
      <a:srgbClr val="E7FFFF"/>
    </a:solidFill>
  </c:spPr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425235</xdr:colOff>
      <xdr:row>88</xdr:row>
      <xdr:rowOff>0</xdr:rowOff>
    </xdr:from>
    <xdr:to>
      <xdr:col>12</xdr:col>
      <xdr:colOff>532755</xdr:colOff>
      <xdr:row>106</xdr:row>
      <xdr:rowOff>152400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95251</xdr:colOff>
      <xdr:row>90</xdr:row>
      <xdr:rowOff>19050</xdr:rowOff>
    </xdr:from>
    <xdr:to>
      <xdr:col>10</xdr:col>
      <xdr:colOff>133351</xdr:colOff>
      <xdr:row>90</xdr:row>
      <xdr:rowOff>19050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4324351" y="20840700"/>
          <a:ext cx="34671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0.0069</cdr:x>
      <cdr:y>0.04514</cdr:y>
    </cdr:from>
    <cdr:to>
      <cdr:x>0.12114</cdr:x>
      <cdr:y>0.09028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099" y="111357"/>
          <a:ext cx="647446" cy="1113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>
              <a:latin typeface="+mn-lt"/>
            </a:rPr>
            <a:t>Number</a:t>
          </a:r>
          <a:endParaRPr lang="en-US" sz="1100">
            <a:latin typeface="+mn-lt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89" t="s">
        <v>173</v>
      </c>
      <c r="B1" s="89"/>
      <c r="C1" s="89"/>
      <c r="D1" s="89"/>
      <c r="E1" s="89"/>
      <c r="F1" s="89"/>
      <c r="G1" s="89"/>
      <c r="H1" s="89"/>
      <c r="I1" s="89"/>
      <c r="J1" s="89"/>
      <c r="K1" s="89"/>
      <c r="M1" s="2" t="s">
        <v>41</v>
      </c>
      <c r="N1" s="2" t="s">
        <v>49</v>
      </c>
      <c r="O1" s="2" t="s">
        <v>131</v>
      </c>
      <c r="P1" s="2" t="s">
        <v>170</v>
      </c>
      <c r="Q1" s="35" t="s">
        <v>172</v>
      </c>
      <c r="S1" s="36">
        <f>Q2/M2</f>
        <v>5.5298836452988356</v>
      </c>
      <c r="T1" s="37" t="s">
        <v>176</v>
      </c>
      <c r="U1" s="37"/>
    </row>
    <row r="2" spans="1:21" ht="9.75" customHeight="1">
      <c r="A2" s="90" t="s">
        <v>174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38" t="s">
        <v>77</v>
      </c>
      <c r="M2" s="39">
        <f>M4/1000</f>
        <v>41.511000000000003</v>
      </c>
      <c r="N2" s="39">
        <f>N4/1000</f>
        <v>60.665999999999997</v>
      </c>
      <c r="O2" s="39">
        <f>O4/1000</f>
        <v>118.961</v>
      </c>
      <c r="P2" s="39">
        <f>P4/1000</f>
        <v>198.655</v>
      </c>
      <c r="Q2" s="39">
        <f>Q4/1000</f>
        <v>229.55099999999999</v>
      </c>
      <c r="R2" s="40" t="s">
        <v>177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91" t="s">
        <v>178</v>
      </c>
      <c r="B4" s="94" t="s">
        <v>48</v>
      </c>
      <c r="C4" s="95"/>
      <c r="D4" s="95"/>
      <c r="E4" s="95"/>
      <c r="F4" s="96"/>
      <c r="G4" s="97" t="s">
        <v>171</v>
      </c>
      <c r="H4" s="98"/>
      <c r="I4" s="98"/>
      <c r="J4" s="98"/>
      <c r="K4" s="99"/>
      <c r="L4" s="38" t="s">
        <v>77</v>
      </c>
      <c r="M4" s="39">
        <v>41511</v>
      </c>
      <c r="N4" s="39">
        <v>60666</v>
      </c>
      <c r="O4" s="41">
        <v>118961</v>
      </c>
      <c r="P4" s="41">
        <v>198655</v>
      </c>
      <c r="Q4" s="42">
        <v>229551</v>
      </c>
    </row>
    <row r="5" spans="1:21" ht="13.5" customHeight="1">
      <c r="A5" s="92"/>
      <c r="B5" s="88" t="s">
        <v>167</v>
      </c>
      <c r="C5" s="88"/>
      <c r="D5" s="88"/>
      <c r="E5" s="88"/>
      <c r="F5" s="100"/>
      <c r="G5" s="101" t="s">
        <v>168</v>
      </c>
      <c r="H5" s="102"/>
      <c r="I5" s="102"/>
      <c r="J5" s="102"/>
      <c r="K5" s="103"/>
    </row>
    <row r="6" spans="1:21" ht="15" customHeight="1">
      <c r="A6" s="93"/>
      <c r="B6" s="2" t="s">
        <v>41</v>
      </c>
      <c r="C6" s="2" t="s">
        <v>49</v>
      </c>
      <c r="D6" s="2" t="s">
        <v>131</v>
      </c>
      <c r="E6" s="2" t="s">
        <v>170</v>
      </c>
      <c r="F6" s="35" t="s">
        <v>172</v>
      </c>
      <c r="G6" s="43">
        <v>2008</v>
      </c>
      <c r="H6" s="3">
        <v>2009</v>
      </c>
      <c r="I6" s="3">
        <v>2010</v>
      </c>
      <c r="J6" s="3">
        <v>2011</v>
      </c>
      <c r="K6" s="44">
        <v>2012</v>
      </c>
    </row>
    <row r="7" spans="1:21" ht="12.75" customHeight="1">
      <c r="A7" s="38" t="s">
        <v>77</v>
      </c>
      <c r="B7" s="39">
        <v>41511</v>
      </c>
      <c r="C7" s="39">
        <v>60666</v>
      </c>
      <c r="D7" s="41">
        <v>118961</v>
      </c>
      <c r="E7" s="41">
        <v>198655</v>
      </c>
      <c r="F7" s="42">
        <v>229551</v>
      </c>
      <c r="G7" s="45">
        <v>15.385256837891928</v>
      </c>
      <c r="H7" s="45">
        <f t="shared" ref="H7:K38" si="0">(C7-B7)/B7*100</f>
        <v>46.144395461443956</v>
      </c>
      <c r="I7" s="46">
        <f t="shared" si="0"/>
        <v>96.091715293574651</v>
      </c>
      <c r="J7" s="46">
        <f t="shared" si="0"/>
        <v>66.991703163221558</v>
      </c>
      <c r="K7" s="47">
        <f t="shared" si="0"/>
        <v>15.552591175656289</v>
      </c>
    </row>
    <row r="8" spans="1:21" ht="12.75" customHeight="1">
      <c r="A8" s="38" t="s">
        <v>56</v>
      </c>
      <c r="B8" s="39">
        <v>69240</v>
      </c>
      <c r="C8" s="39">
        <v>69085</v>
      </c>
      <c r="D8" s="41">
        <v>77108</v>
      </c>
      <c r="E8" s="41">
        <v>90517</v>
      </c>
      <c r="F8" s="42">
        <v>98351</v>
      </c>
      <c r="G8" s="45">
        <v>-4.1912853367280576</v>
      </c>
      <c r="H8" s="45">
        <f t="shared" si="0"/>
        <v>-0.2238590410167533</v>
      </c>
      <c r="I8" s="46">
        <f t="shared" si="0"/>
        <v>11.613230078888325</v>
      </c>
      <c r="J8" s="46">
        <f t="shared" si="0"/>
        <v>17.389894693157647</v>
      </c>
      <c r="K8" s="47">
        <f t="shared" si="0"/>
        <v>8.654727841179005</v>
      </c>
    </row>
    <row r="9" spans="1:21" ht="12.75" customHeight="1">
      <c r="A9" s="38" t="s">
        <v>74</v>
      </c>
      <c r="B9" s="39">
        <v>116821</v>
      </c>
      <c r="C9" s="39">
        <v>105950</v>
      </c>
      <c r="D9" s="41">
        <v>114158</v>
      </c>
      <c r="E9" s="41">
        <v>104508</v>
      </c>
      <c r="F9" s="42">
        <v>91776</v>
      </c>
      <c r="G9" s="45">
        <v>-6.6611802681410701</v>
      </c>
      <c r="H9" s="45">
        <f t="shared" si="0"/>
        <v>-9.3056899016443957</v>
      </c>
      <c r="I9" s="46">
        <f t="shared" si="0"/>
        <v>7.7470504955167536</v>
      </c>
      <c r="J9" s="46">
        <f t="shared" si="0"/>
        <v>-8.4531964470295549</v>
      </c>
      <c r="K9" s="47">
        <f t="shared" si="0"/>
        <v>-12.182799402916524</v>
      </c>
    </row>
    <row r="10" spans="1:21" ht="12.75" customHeight="1">
      <c r="A10" s="38" t="s">
        <v>66</v>
      </c>
      <c r="B10" s="39">
        <v>48978</v>
      </c>
      <c r="C10" s="39">
        <v>40014</v>
      </c>
      <c r="D10" s="41">
        <v>49111</v>
      </c>
      <c r="E10" s="41">
        <v>63936</v>
      </c>
      <c r="F10" s="42">
        <v>66378</v>
      </c>
      <c r="G10" s="45">
        <v>53.801224682053693</v>
      </c>
      <c r="H10" s="45">
        <f t="shared" si="0"/>
        <v>-18.302094818081589</v>
      </c>
      <c r="I10" s="46">
        <f t="shared" si="0"/>
        <v>22.734542909981506</v>
      </c>
      <c r="J10" s="46">
        <f t="shared" si="0"/>
        <v>30.186719879456742</v>
      </c>
      <c r="K10" s="47">
        <f t="shared" si="0"/>
        <v>3.8194444444444446</v>
      </c>
    </row>
    <row r="11" spans="1:21" ht="12.75" customHeight="1">
      <c r="A11" s="38" t="s">
        <v>61</v>
      </c>
      <c r="B11" s="39">
        <v>103824</v>
      </c>
      <c r="C11" s="39">
        <v>89292</v>
      </c>
      <c r="D11" s="41">
        <v>89596</v>
      </c>
      <c r="E11" s="41">
        <v>83088</v>
      </c>
      <c r="F11" s="42">
        <v>62782</v>
      </c>
      <c r="G11" s="45">
        <v>-11.44772529553247</v>
      </c>
      <c r="H11" s="45">
        <f t="shared" si="0"/>
        <v>-13.996763754045308</v>
      </c>
      <c r="I11" s="46">
        <f t="shared" si="0"/>
        <v>0.34045603189535456</v>
      </c>
      <c r="J11" s="46">
        <f t="shared" si="0"/>
        <v>-7.2637171302290273</v>
      </c>
      <c r="K11" s="47">
        <f t="shared" si="0"/>
        <v>-24.439148854226843</v>
      </c>
    </row>
    <row r="12" spans="1:21" ht="12.75" customHeight="1">
      <c r="A12" s="38" t="s">
        <v>55</v>
      </c>
      <c r="B12" s="39">
        <v>48100</v>
      </c>
      <c r="C12" s="39">
        <v>50373</v>
      </c>
      <c r="D12" s="41">
        <v>54789</v>
      </c>
      <c r="E12" s="41">
        <v>59694</v>
      </c>
      <c r="F12" s="42">
        <v>56775</v>
      </c>
      <c r="G12" s="45">
        <v>6.1786715525043601</v>
      </c>
      <c r="H12" s="45">
        <f t="shared" si="0"/>
        <v>4.7255717255717258</v>
      </c>
      <c r="I12" s="46">
        <f t="shared" si="0"/>
        <v>8.766601155380858</v>
      </c>
      <c r="J12" s="46">
        <f t="shared" si="0"/>
        <v>8.9525269670919343</v>
      </c>
      <c r="K12" s="47">
        <f t="shared" si="0"/>
        <v>-4.889938687305257</v>
      </c>
    </row>
    <row r="13" spans="1:21" ht="12.75" customHeight="1">
      <c r="A13" s="38" t="s">
        <v>80</v>
      </c>
      <c r="B13" s="39">
        <v>38193</v>
      </c>
      <c r="C13" s="39">
        <v>36641</v>
      </c>
      <c r="D13" s="41">
        <v>38791</v>
      </c>
      <c r="E13" s="41">
        <v>35782</v>
      </c>
      <c r="F13" s="42">
        <v>36438</v>
      </c>
      <c r="G13" s="45">
        <v>-7.120449405413293</v>
      </c>
      <c r="H13" s="45">
        <f t="shared" si="0"/>
        <v>-4.063571858717566</v>
      </c>
      <c r="I13" s="46">
        <f t="shared" si="0"/>
        <v>5.8677437842853637</v>
      </c>
      <c r="J13" s="46">
        <f t="shared" si="0"/>
        <v>-7.7569539326132348</v>
      </c>
      <c r="K13" s="47">
        <f t="shared" si="0"/>
        <v>1.8333240176625119</v>
      </c>
    </row>
    <row r="14" spans="1:21" ht="12.75" customHeight="1">
      <c r="A14" s="38" t="s">
        <v>71</v>
      </c>
      <c r="B14" s="39">
        <v>26983</v>
      </c>
      <c r="C14" s="39">
        <v>26783</v>
      </c>
      <c r="D14" s="41">
        <v>27766</v>
      </c>
      <c r="E14" s="41">
        <v>32504</v>
      </c>
      <c r="F14" s="42">
        <v>35457</v>
      </c>
      <c r="G14" s="45">
        <v>3.0554176373983117</v>
      </c>
      <c r="H14" s="45">
        <f t="shared" si="0"/>
        <v>-0.74120742689841757</v>
      </c>
      <c r="I14" s="46">
        <f t="shared" si="0"/>
        <v>3.6702385841765301</v>
      </c>
      <c r="J14" s="46">
        <f t="shared" si="0"/>
        <v>17.064035150903983</v>
      </c>
      <c r="K14" s="47">
        <f t="shared" si="0"/>
        <v>9.0850356879153349</v>
      </c>
    </row>
    <row r="15" spans="1:21" ht="12.75" customHeight="1">
      <c r="A15" s="38" t="s">
        <v>78</v>
      </c>
      <c r="B15" s="39">
        <v>16663</v>
      </c>
      <c r="C15" s="39">
        <v>15850</v>
      </c>
      <c r="D15" s="41">
        <v>25756</v>
      </c>
      <c r="E15" s="41">
        <v>30978</v>
      </c>
      <c r="F15" s="42">
        <v>31721</v>
      </c>
      <c r="G15" s="45">
        <v>-3.832169446528539</v>
      </c>
      <c r="H15" s="45">
        <f t="shared" si="0"/>
        <v>-4.8790733961471524</v>
      </c>
      <c r="I15" s="46">
        <f t="shared" si="0"/>
        <v>62.498422712933753</v>
      </c>
      <c r="J15" s="46">
        <f t="shared" si="0"/>
        <v>20.274887404876534</v>
      </c>
      <c r="K15" s="47">
        <f t="shared" si="0"/>
        <v>2.3984763380463554</v>
      </c>
    </row>
    <row r="16" spans="1:21" ht="12.75" customHeight="1">
      <c r="A16" s="38" t="s">
        <v>81</v>
      </c>
      <c r="B16" s="39">
        <v>20934</v>
      </c>
      <c r="C16" s="39">
        <v>16135</v>
      </c>
      <c r="D16" s="41">
        <v>24808</v>
      </c>
      <c r="E16" s="41">
        <v>25285</v>
      </c>
      <c r="F16" s="42">
        <v>23933</v>
      </c>
      <c r="G16" s="45">
        <v>-0.20022883295194507</v>
      </c>
      <c r="H16" s="45">
        <f t="shared" si="0"/>
        <v>-22.92442915830706</v>
      </c>
      <c r="I16" s="46">
        <f t="shared" si="0"/>
        <v>53.752711496746208</v>
      </c>
      <c r="J16" s="46">
        <f t="shared" si="0"/>
        <v>1.9227668494034182</v>
      </c>
      <c r="K16" s="47">
        <f t="shared" si="0"/>
        <v>-5.3470437017994854</v>
      </c>
    </row>
    <row r="17" spans="1:15" ht="12.75" customHeight="1">
      <c r="A17" s="48" t="s">
        <v>75</v>
      </c>
      <c r="B17" s="49">
        <v>9482</v>
      </c>
      <c r="C17" s="49">
        <v>9476</v>
      </c>
      <c r="D17" s="50">
        <v>10220</v>
      </c>
      <c r="E17" s="50">
        <v>12088</v>
      </c>
      <c r="F17" s="51">
        <v>18612</v>
      </c>
      <c r="G17" s="52">
        <v>16.272225628448805</v>
      </c>
      <c r="H17" s="52">
        <f t="shared" si="0"/>
        <v>-6.3277789495886944E-2</v>
      </c>
      <c r="I17" s="53">
        <f t="shared" si="0"/>
        <v>7.8514140987758552</v>
      </c>
      <c r="J17" s="53">
        <f t="shared" si="0"/>
        <v>18.277886497064578</v>
      </c>
      <c r="K17" s="54">
        <f t="shared" si="0"/>
        <v>53.970880211780283</v>
      </c>
    </row>
    <row r="18" spans="1:15" ht="12.75" customHeight="1">
      <c r="A18" s="48" t="s">
        <v>50</v>
      </c>
      <c r="B18" s="49">
        <v>13462</v>
      </c>
      <c r="C18" s="49">
        <v>13274</v>
      </c>
      <c r="D18" s="50">
        <v>14944</v>
      </c>
      <c r="E18" s="50">
        <v>16655</v>
      </c>
      <c r="F18" s="51">
        <v>18164</v>
      </c>
      <c r="G18" s="52">
        <v>-1.5431873034447401</v>
      </c>
      <c r="H18" s="52">
        <f t="shared" si="0"/>
        <v>-1.3965235477640767</v>
      </c>
      <c r="I18" s="53">
        <f t="shared" si="0"/>
        <v>12.580985384963087</v>
      </c>
      <c r="J18" s="53">
        <f t="shared" si="0"/>
        <v>11.44941113490364</v>
      </c>
      <c r="K18" s="54">
        <f t="shared" si="0"/>
        <v>9.0603422395676976</v>
      </c>
    </row>
    <row r="19" spans="1:15" ht="12.75" customHeight="1">
      <c r="A19" s="48" t="s">
        <v>94</v>
      </c>
      <c r="B19" s="49">
        <v>8853</v>
      </c>
      <c r="C19" s="49">
        <v>9438</v>
      </c>
      <c r="D19" s="50">
        <v>11482</v>
      </c>
      <c r="E19" s="50">
        <v>14490</v>
      </c>
      <c r="F19" s="51">
        <v>16049</v>
      </c>
      <c r="G19" s="52">
        <v>-5.2952503209242625</v>
      </c>
      <c r="H19" s="52">
        <f t="shared" si="0"/>
        <v>6.607929515418502</v>
      </c>
      <c r="I19" s="53">
        <f t="shared" si="0"/>
        <v>21.657130748039837</v>
      </c>
      <c r="J19" s="53">
        <f t="shared" si="0"/>
        <v>26.197526563316497</v>
      </c>
      <c r="K19" s="54">
        <f t="shared" si="0"/>
        <v>10.759144237405106</v>
      </c>
    </row>
    <row r="20" spans="1:15" ht="12.75" customHeight="1">
      <c r="A20" s="48" t="s">
        <v>96</v>
      </c>
      <c r="B20" s="49">
        <v>9368</v>
      </c>
      <c r="C20" s="49">
        <v>7392</v>
      </c>
      <c r="D20" s="50">
        <v>9622</v>
      </c>
      <c r="E20" s="50">
        <v>12778</v>
      </c>
      <c r="F20" s="51">
        <v>15208</v>
      </c>
      <c r="G20" s="52">
        <v>-0.40399744843716773</v>
      </c>
      <c r="H20" s="52">
        <f t="shared" si="0"/>
        <v>-21.093082835183605</v>
      </c>
      <c r="I20" s="53">
        <f t="shared" si="0"/>
        <v>30.167748917748916</v>
      </c>
      <c r="J20" s="53">
        <f t="shared" si="0"/>
        <v>32.799833714404492</v>
      </c>
      <c r="K20" s="54">
        <f t="shared" si="0"/>
        <v>19.017060572859602</v>
      </c>
    </row>
    <row r="21" spans="1:15" ht="12.75" customHeight="1">
      <c r="A21" s="48" t="s">
        <v>85</v>
      </c>
      <c r="B21" s="49">
        <v>4956</v>
      </c>
      <c r="C21" s="49">
        <v>5214</v>
      </c>
      <c r="D21" s="50">
        <v>5332</v>
      </c>
      <c r="E21" s="50">
        <v>7990</v>
      </c>
      <c r="F21" s="51">
        <v>9625</v>
      </c>
      <c r="G21" s="52">
        <v>11.220825852782765</v>
      </c>
      <c r="H21" s="52">
        <f t="shared" si="0"/>
        <v>5.2058111380145284</v>
      </c>
      <c r="I21" s="53">
        <f t="shared" si="0"/>
        <v>2.263137706175681</v>
      </c>
      <c r="J21" s="53">
        <f t="shared" si="0"/>
        <v>49.849962490622659</v>
      </c>
      <c r="K21" s="54">
        <f t="shared" si="0"/>
        <v>20.463078848560702</v>
      </c>
    </row>
    <row r="22" spans="1:15" ht="12.75" customHeight="1">
      <c r="A22" s="48" t="s">
        <v>86</v>
      </c>
      <c r="B22" s="49">
        <v>9752</v>
      </c>
      <c r="C22" s="49">
        <v>7833</v>
      </c>
      <c r="D22" s="50">
        <v>7872</v>
      </c>
      <c r="E22" s="50">
        <v>9670</v>
      </c>
      <c r="F22" s="51">
        <v>8860</v>
      </c>
      <c r="G22" s="52">
        <v>1.015123264967889</v>
      </c>
      <c r="H22" s="52">
        <f t="shared" si="0"/>
        <v>-19.678014766201805</v>
      </c>
      <c r="I22" s="53">
        <f t="shared" si="0"/>
        <v>0.49789352738414405</v>
      </c>
      <c r="J22" s="53">
        <f t="shared" si="0"/>
        <v>22.840447154471544</v>
      </c>
      <c r="K22" s="54">
        <f t="shared" si="0"/>
        <v>-8.3764219234746644</v>
      </c>
    </row>
    <row r="23" spans="1:15" ht="12.75" customHeight="1">
      <c r="A23" s="48" t="s">
        <v>69</v>
      </c>
      <c r="B23" s="49">
        <v>8217</v>
      </c>
      <c r="C23" s="49">
        <v>7279</v>
      </c>
      <c r="D23" s="50">
        <v>8912</v>
      </c>
      <c r="E23" s="50">
        <v>9710</v>
      </c>
      <c r="F23" s="51">
        <v>8824</v>
      </c>
      <c r="G23" s="52">
        <v>-6.6037735849056602</v>
      </c>
      <c r="H23" s="52">
        <f t="shared" si="0"/>
        <v>-11.415358403310211</v>
      </c>
      <c r="I23" s="53">
        <f t="shared" si="0"/>
        <v>22.434400329715622</v>
      </c>
      <c r="J23" s="53">
        <f t="shared" si="0"/>
        <v>8.9542190305206457</v>
      </c>
      <c r="K23" s="54">
        <f t="shared" si="0"/>
        <v>-9.1246138002059727</v>
      </c>
      <c r="O23" s="37" t="s">
        <v>179</v>
      </c>
    </row>
    <row r="24" spans="1:15" ht="12.75" customHeight="1">
      <c r="A24" s="48" t="s">
        <v>73</v>
      </c>
      <c r="B24" s="49">
        <v>5399</v>
      </c>
      <c r="C24" s="49">
        <v>4643</v>
      </c>
      <c r="D24" s="50">
        <v>5445</v>
      </c>
      <c r="E24" s="50">
        <v>6729</v>
      </c>
      <c r="F24" s="51">
        <v>8044</v>
      </c>
      <c r="G24" s="52">
        <v>52.299012693935119</v>
      </c>
      <c r="H24" s="52">
        <f t="shared" si="0"/>
        <v>-14.002593072791258</v>
      </c>
      <c r="I24" s="53">
        <f t="shared" si="0"/>
        <v>17.273314667241007</v>
      </c>
      <c r="J24" s="53">
        <f t="shared" si="0"/>
        <v>23.581267217630856</v>
      </c>
      <c r="K24" s="54">
        <f t="shared" si="0"/>
        <v>19.542279684945758</v>
      </c>
    </row>
    <row r="25" spans="1:15" ht="12.75" customHeight="1">
      <c r="A25" s="48" t="s">
        <v>101</v>
      </c>
      <c r="B25" s="49">
        <v>2747</v>
      </c>
      <c r="C25" s="49">
        <v>3036</v>
      </c>
      <c r="D25" s="50">
        <v>4040</v>
      </c>
      <c r="E25" s="50">
        <v>5005</v>
      </c>
      <c r="F25" s="51">
        <v>7263</v>
      </c>
      <c r="G25" s="52">
        <v>41.597938144329902</v>
      </c>
      <c r="H25" s="52">
        <f t="shared" si="0"/>
        <v>10.520567892246087</v>
      </c>
      <c r="I25" s="53">
        <f t="shared" si="0"/>
        <v>33.06982872200264</v>
      </c>
      <c r="J25" s="53">
        <f t="shared" si="0"/>
        <v>23.886138613861384</v>
      </c>
      <c r="K25" s="54">
        <f t="shared" si="0"/>
        <v>45.114885114885119</v>
      </c>
    </row>
    <row r="26" spans="1:15" ht="12.75" customHeight="1">
      <c r="A26" s="48" t="s">
        <v>88</v>
      </c>
      <c r="B26" s="49">
        <v>3952</v>
      </c>
      <c r="C26" s="49">
        <v>3813</v>
      </c>
      <c r="D26" s="50">
        <v>5397</v>
      </c>
      <c r="E26" s="50">
        <v>6214</v>
      </c>
      <c r="F26" s="51">
        <v>6896</v>
      </c>
      <c r="G26" s="52">
        <v>7.8897078897078892</v>
      </c>
      <c r="H26" s="52">
        <f t="shared" si="0"/>
        <v>-3.5172064777327936</v>
      </c>
      <c r="I26" s="53">
        <f t="shared" si="0"/>
        <v>41.542092840283239</v>
      </c>
      <c r="J26" s="53">
        <f t="shared" si="0"/>
        <v>15.138039651658328</v>
      </c>
      <c r="K26" s="54">
        <f t="shared" si="0"/>
        <v>10.975217251367878</v>
      </c>
    </row>
    <row r="27" spans="1:15" ht="12.75" customHeight="1">
      <c r="A27" s="48" t="s">
        <v>82</v>
      </c>
      <c r="B27" s="49">
        <v>3137</v>
      </c>
      <c r="C27" s="49">
        <v>3139</v>
      </c>
      <c r="D27" s="50">
        <v>3894</v>
      </c>
      <c r="E27" s="50">
        <v>6055</v>
      </c>
      <c r="F27" s="51">
        <v>6766</v>
      </c>
      <c r="G27" s="52">
        <v>4.6015338446148721</v>
      </c>
      <c r="H27" s="52">
        <f t="shared" si="0"/>
        <v>6.3755180108383797E-2</v>
      </c>
      <c r="I27" s="53">
        <f t="shared" si="0"/>
        <v>24.052245938196879</v>
      </c>
      <c r="J27" s="53">
        <f t="shared" si="0"/>
        <v>55.495634309193633</v>
      </c>
      <c r="K27" s="54">
        <f t="shared" si="0"/>
        <v>11.742361684558217</v>
      </c>
    </row>
    <row r="28" spans="1:15" ht="12.75" customHeight="1">
      <c r="A28" s="48" t="s">
        <v>62</v>
      </c>
      <c r="B28" s="49">
        <v>5595</v>
      </c>
      <c r="C28" s="49">
        <v>5355</v>
      </c>
      <c r="D28" s="50">
        <v>5682</v>
      </c>
      <c r="E28" s="50">
        <v>5693</v>
      </c>
      <c r="F28" s="51">
        <v>6077</v>
      </c>
      <c r="G28" s="52">
        <v>-13.644080876678499</v>
      </c>
      <c r="H28" s="52">
        <f t="shared" si="0"/>
        <v>-4.2895442359249332</v>
      </c>
      <c r="I28" s="53">
        <f t="shared" si="0"/>
        <v>6.1064425770308119</v>
      </c>
      <c r="J28" s="53">
        <f t="shared" si="0"/>
        <v>0.19359380499824005</v>
      </c>
      <c r="K28" s="54">
        <f t="shared" si="0"/>
        <v>6.745125592833304</v>
      </c>
    </row>
    <row r="29" spans="1:15" ht="12.75" customHeight="1">
      <c r="A29" s="48" t="s">
        <v>103</v>
      </c>
      <c r="B29" s="49">
        <v>2585</v>
      </c>
      <c r="C29" s="49">
        <v>2744</v>
      </c>
      <c r="D29" s="50">
        <v>3336</v>
      </c>
      <c r="E29" s="50">
        <v>4130</v>
      </c>
      <c r="F29" s="51">
        <v>5880</v>
      </c>
      <c r="G29" s="52">
        <v>26.777832270720943</v>
      </c>
      <c r="H29" s="52">
        <f t="shared" si="0"/>
        <v>6.1508704061895552</v>
      </c>
      <c r="I29" s="53">
        <f t="shared" si="0"/>
        <v>21.574344023323615</v>
      </c>
      <c r="J29" s="53">
        <f t="shared" si="0"/>
        <v>23.800959232613909</v>
      </c>
      <c r="K29" s="54">
        <f t="shared" si="0"/>
        <v>42.372881355932201</v>
      </c>
    </row>
    <row r="30" spans="1:15" ht="12.75" customHeight="1">
      <c r="A30" s="48" t="s">
        <v>52</v>
      </c>
      <c r="B30" s="49">
        <v>3811</v>
      </c>
      <c r="C30" s="49">
        <v>3851</v>
      </c>
      <c r="D30" s="50">
        <v>5137</v>
      </c>
      <c r="E30" s="50">
        <v>6471</v>
      </c>
      <c r="F30" s="51">
        <v>5588</v>
      </c>
      <c r="G30" s="52">
        <v>37.780187997107738</v>
      </c>
      <c r="H30" s="52">
        <f t="shared" si="0"/>
        <v>1.0495932826029915</v>
      </c>
      <c r="I30" s="53">
        <f t="shared" si="0"/>
        <v>33.393923656193195</v>
      </c>
      <c r="J30" s="53">
        <f t="shared" si="0"/>
        <v>25.968464084095778</v>
      </c>
      <c r="K30" s="54">
        <f t="shared" si="0"/>
        <v>-13.645495286663575</v>
      </c>
    </row>
    <row r="31" spans="1:15" ht="12.75" customHeight="1">
      <c r="A31" s="48" t="s">
        <v>72</v>
      </c>
      <c r="B31" s="49">
        <v>3235</v>
      </c>
      <c r="C31" s="49">
        <v>2758</v>
      </c>
      <c r="D31" s="50">
        <v>4637</v>
      </c>
      <c r="E31" s="50">
        <v>4542</v>
      </c>
      <c r="F31" s="51">
        <v>5416</v>
      </c>
      <c r="G31" s="52">
        <v>32.473382473382472</v>
      </c>
      <c r="H31" s="52">
        <f t="shared" si="0"/>
        <v>-14.744976816074187</v>
      </c>
      <c r="I31" s="53">
        <f t="shared" si="0"/>
        <v>68.129079042784625</v>
      </c>
      <c r="J31" s="53">
        <f t="shared" si="0"/>
        <v>-2.0487384084537417</v>
      </c>
      <c r="K31" s="54">
        <f t="shared" si="0"/>
        <v>19.242624394539849</v>
      </c>
    </row>
    <row r="32" spans="1:15" ht="12.75" customHeight="1">
      <c r="A32" s="48" t="s">
        <v>70</v>
      </c>
      <c r="B32" s="49">
        <v>3542</v>
      </c>
      <c r="C32" s="49">
        <v>3165</v>
      </c>
      <c r="D32" s="50">
        <v>3638</v>
      </c>
      <c r="E32" s="50">
        <v>4896</v>
      </c>
      <c r="F32" s="51">
        <v>5230</v>
      </c>
      <c r="G32" s="52">
        <v>64.820846905537451</v>
      </c>
      <c r="H32" s="52">
        <f t="shared" si="0"/>
        <v>-10.643704121964992</v>
      </c>
      <c r="I32" s="53">
        <f t="shared" si="0"/>
        <v>14.944707740916272</v>
      </c>
      <c r="J32" s="53">
        <f t="shared" si="0"/>
        <v>34.579439252336449</v>
      </c>
      <c r="K32" s="54">
        <f t="shared" si="0"/>
        <v>6.8218954248366011</v>
      </c>
    </row>
    <row r="33" spans="1:14" ht="12.75" customHeight="1">
      <c r="A33" s="48" t="s">
        <v>93</v>
      </c>
      <c r="B33" s="49">
        <v>2966</v>
      </c>
      <c r="C33" s="49">
        <v>3043</v>
      </c>
      <c r="D33" s="50">
        <v>3815</v>
      </c>
      <c r="E33" s="50">
        <v>4690</v>
      </c>
      <c r="F33" s="51">
        <v>5070</v>
      </c>
      <c r="G33" s="52">
        <v>4.0336723956506493</v>
      </c>
      <c r="H33" s="52">
        <f t="shared" si="0"/>
        <v>2.5960890087660147</v>
      </c>
      <c r="I33" s="53">
        <f t="shared" si="0"/>
        <v>25.369700953006902</v>
      </c>
      <c r="J33" s="53">
        <f t="shared" si="0"/>
        <v>22.935779816513762</v>
      </c>
      <c r="K33" s="54">
        <f t="shared" si="0"/>
        <v>8.1023454157782524</v>
      </c>
    </row>
    <row r="34" spans="1:14" ht="12.75" customHeight="1">
      <c r="A34" s="48" t="s">
        <v>87</v>
      </c>
      <c r="B34" s="49">
        <v>2233</v>
      </c>
      <c r="C34" s="49">
        <v>1975</v>
      </c>
      <c r="D34" s="50">
        <v>3831</v>
      </c>
      <c r="E34" s="50">
        <v>5305</v>
      </c>
      <c r="F34" s="51">
        <v>4430</v>
      </c>
      <c r="G34" s="52">
        <v>10.654112983151636</v>
      </c>
      <c r="H34" s="52">
        <f t="shared" si="0"/>
        <v>-11.553963278101209</v>
      </c>
      <c r="I34" s="53">
        <f t="shared" si="0"/>
        <v>93.974683544303801</v>
      </c>
      <c r="J34" s="53">
        <f t="shared" si="0"/>
        <v>38.475593839728525</v>
      </c>
      <c r="K34" s="54">
        <f t="shared" si="0"/>
        <v>-16.493873704052781</v>
      </c>
    </row>
    <row r="35" spans="1:14" ht="12.75" customHeight="1">
      <c r="A35" s="48" t="s">
        <v>102</v>
      </c>
      <c r="B35" s="49">
        <v>1394</v>
      </c>
      <c r="C35" s="49">
        <v>1580</v>
      </c>
      <c r="D35" s="50">
        <v>1699</v>
      </c>
      <c r="E35" s="50">
        <v>2292</v>
      </c>
      <c r="F35" s="51">
        <v>4047</v>
      </c>
      <c r="G35" s="52">
        <v>72.738537794299873</v>
      </c>
      <c r="H35" s="52">
        <f t="shared" si="0"/>
        <v>13.342898134863701</v>
      </c>
      <c r="I35" s="53">
        <f t="shared" si="0"/>
        <v>7.5316455696202533</v>
      </c>
      <c r="J35" s="53">
        <f t="shared" si="0"/>
        <v>34.90288404944085</v>
      </c>
      <c r="K35" s="54">
        <f t="shared" si="0"/>
        <v>76.570680628272243</v>
      </c>
    </row>
    <row r="36" spans="1:14" ht="12.75" customHeight="1">
      <c r="A36" s="48" t="s">
        <v>90</v>
      </c>
      <c r="B36" s="49">
        <v>3732</v>
      </c>
      <c r="C36" s="49">
        <v>2975</v>
      </c>
      <c r="D36" s="50">
        <v>3157</v>
      </c>
      <c r="E36" s="50">
        <v>3684</v>
      </c>
      <c r="F36" s="51">
        <v>3967</v>
      </c>
      <c r="G36" s="52">
        <v>13.331308836926814</v>
      </c>
      <c r="H36" s="52">
        <f t="shared" si="0"/>
        <v>-20.284030010718112</v>
      </c>
      <c r="I36" s="53">
        <f t="shared" si="0"/>
        <v>6.1176470588235299</v>
      </c>
      <c r="J36" s="53">
        <f t="shared" si="0"/>
        <v>16.69306303452645</v>
      </c>
      <c r="K36" s="54">
        <f t="shared" si="0"/>
        <v>7.681867535287731</v>
      </c>
    </row>
    <row r="37" spans="1:14" ht="12.75" customHeight="1">
      <c r="A37" s="48" t="s">
        <v>64</v>
      </c>
      <c r="B37" s="49">
        <v>3325</v>
      </c>
      <c r="C37" s="49">
        <v>3357</v>
      </c>
      <c r="D37" s="50">
        <v>3795</v>
      </c>
      <c r="E37" s="50">
        <v>4158</v>
      </c>
      <c r="F37" s="51">
        <v>3918</v>
      </c>
      <c r="G37" s="52">
        <v>25.047010154193305</v>
      </c>
      <c r="H37" s="52">
        <f t="shared" si="0"/>
        <v>0.96240601503759393</v>
      </c>
      <c r="I37" s="53">
        <f t="shared" si="0"/>
        <v>13.047363717605004</v>
      </c>
      <c r="J37" s="53">
        <f t="shared" si="0"/>
        <v>9.5652173913043477</v>
      </c>
      <c r="K37" s="54">
        <f t="shared" si="0"/>
        <v>-5.7720057720057723</v>
      </c>
    </row>
    <row r="38" spans="1:14" ht="12.75" customHeight="1">
      <c r="A38" s="48" t="s">
        <v>65</v>
      </c>
      <c r="B38" s="49">
        <v>4150</v>
      </c>
      <c r="C38" s="49">
        <v>4822</v>
      </c>
      <c r="D38" s="50">
        <v>4555</v>
      </c>
      <c r="E38" s="50">
        <v>4434</v>
      </c>
      <c r="F38" s="51">
        <v>3660</v>
      </c>
      <c r="G38" s="52">
        <v>-0.90735434574976126</v>
      </c>
      <c r="H38" s="52">
        <f t="shared" si="0"/>
        <v>16.192771084337348</v>
      </c>
      <c r="I38" s="53">
        <f t="shared" si="0"/>
        <v>-5.5371215263376188</v>
      </c>
      <c r="J38" s="53">
        <f t="shared" si="0"/>
        <v>-2.6564215148188803</v>
      </c>
      <c r="K38" s="54">
        <f t="shared" si="0"/>
        <v>-17.456021650879567</v>
      </c>
    </row>
    <row r="39" spans="1:14" ht="12.75" customHeight="1">
      <c r="A39" s="48" t="s">
        <v>53</v>
      </c>
      <c r="B39" s="49">
        <v>1834</v>
      </c>
      <c r="C39" s="49">
        <v>1722</v>
      </c>
      <c r="D39" s="50">
        <v>2422</v>
      </c>
      <c r="E39" s="50">
        <v>3173</v>
      </c>
      <c r="F39" s="51">
        <v>3493</v>
      </c>
      <c r="G39" s="52">
        <v>0.82462891698735563</v>
      </c>
      <c r="H39" s="52">
        <f t="shared" ref="H39:K60" si="1">(C39-B39)/B39*100</f>
        <v>-6.1068702290076331</v>
      </c>
      <c r="I39" s="53">
        <f t="shared" si="1"/>
        <v>40.650406504065039</v>
      </c>
      <c r="J39" s="53">
        <f t="shared" si="1"/>
        <v>31.007431874483899</v>
      </c>
      <c r="K39" s="54">
        <f t="shared" si="1"/>
        <v>10.085092971950834</v>
      </c>
    </row>
    <row r="40" spans="1:14" ht="12.75" customHeight="1">
      <c r="A40" s="48" t="s">
        <v>91</v>
      </c>
      <c r="B40" s="49">
        <v>1962</v>
      </c>
      <c r="C40" s="49">
        <v>2059</v>
      </c>
      <c r="D40" s="50">
        <v>2471</v>
      </c>
      <c r="E40" s="50">
        <v>2781</v>
      </c>
      <c r="F40" s="51">
        <v>3128</v>
      </c>
      <c r="G40" s="52">
        <v>26.336123631680618</v>
      </c>
      <c r="H40" s="52">
        <f t="shared" si="1"/>
        <v>4.9439347604485224</v>
      </c>
      <c r="I40" s="53">
        <f t="shared" si="1"/>
        <v>20.009713453132587</v>
      </c>
      <c r="J40" s="53">
        <f t="shared" si="1"/>
        <v>12.545528126264671</v>
      </c>
      <c r="K40" s="54">
        <f t="shared" si="1"/>
        <v>12.47752606975908</v>
      </c>
    </row>
    <row r="41" spans="1:14" ht="12.75" customHeight="1">
      <c r="A41" s="48" t="s">
        <v>92</v>
      </c>
      <c r="B41" s="49">
        <v>1327</v>
      </c>
      <c r="C41" s="49">
        <v>1304</v>
      </c>
      <c r="D41" s="50">
        <v>1761</v>
      </c>
      <c r="E41" s="50">
        <v>2342</v>
      </c>
      <c r="F41" s="51">
        <v>3061</v>
      </c>
      <c r="G41" s="52">
        <v>87.429378531073439</v>
      </c>
      <c r="H41" s="52">
        <f t="shared" si="1"/>
        <v>-1.7332328560663148</v>
      </c>
      <c r="I41" s="53">
        <f t="shared" si="1"/>
        <v>35.04601226993865</v>
      </c>
      <c r="J41" s="53">
        <f t="shared" si="1"/>
        <v>32.992617830777967</v>
      </c>
      <c r="K41" s="54">
        <f t="shared" si="1"/>
        <v>30.700256191289498</v>
      </c>
    </row>
    <row r="42" spans="1:14" ht="12.75" customHeight="1">
      <c r="A42" s="48" t="s">
        <v>99</v>
      </c>
      <c r="B42" s="49">
        <v>1340</v>
      </c>
      <c r="C42" s="49">
        <v>1181</v>
      </c>
      <c r="D42" s="50">
        <v>1409</v>
      </c>
      <c r="E42" s="50">
        <v>1797</v>
      </c>
      <c r="F42" s="51">
        <v>2987</v>
      </c>
      <c r="G42" s="52">
        <v>33.466135458167329</v>
      </c>
      <c r="H42" s="52">
        <f t="shared" si="1"/>
        <v>-11.865671641791046</v>
      </c>
      <c r="I42" s="53">
        <f t="shared" si="1"/>
        <v>19.30567315834039</v>
      </c>
      <c r="J42" s="53">
        <f t="shared" si="1"/>
        <v>27.537260468417319</v>
      </c>
      <c r="K42" s="54">
        <f t="shared" si="1"/>
        <v>66.221480244852543</v>
      </c>
    </row>
    <row r="43" spans="1:14" ht="12.75" customHeight="1">
      <c r="A43" s="48" t="s">
        <v>63</v>
      </c>
      <c r="B43" s="49">
        <v>2596</v>
      </c>
      <c r="C43" s="49">
        <v>2120</v>
      </c>
      <c r="D43" s="50">
        <v>2153</v>
      </c>
      <c r="E43" s="50">
        <v>2775</v>
      </c>
      <c r="F43" s="51">
        <v>2902</v>
      </c>
      <c r="G43" s="52">
        <v>43.584070796460175</v>
      </c>
      <c r="H43" s="52">
        <f t="shared" si="1"/>
        <v>-18.335901386748844</v>
      </c>
      <c r="I43" s="53">
        <f t="shared" si="1"/>
        <v>1.5566037735849056</v>
      </c>
      <c r="J43" s="53">
        <f t="shared" si="1"/>
        <v>28.889921040408733</v>
      </c>
      <c r="K43" s="54">
        <f t="shared" si="1"/>
        <v>4.576576576576576</v>
      </c>
    </row>
    <row r="44" spans="1:14" ht="12.75" customHeight="1">
      <c r="A44" s="48" t="s">
        <v>67</v>
      </c>
      <c r="B44" s="49">
        <v>1916</v>
      </c>
      <c r="C44" s="49">
        <v>1970</v>
      </c>
      <c r="D44" s="50">
        <v>2348</v>
      </c>
      <c r="E44" s="50">
        <v>2822</v>
      </c>
      <c r="F44" s="51">
        <v>2636</v>
      </c>
      <c r="G44" s="52">
        <v>30.428863172226006</v>
      </c>
      <c r="H44" s="52">
        <f t="shared" si="1"/>
        <v>2.8183716075156577</v>
      </c>
      <c r="I44" s="53">
        <f t="shared" si="1"/>
        <v>19.18781725888325</v>
      </c>
      <c r="J44" s="53">
        <f t="shared" si="1"/>
        <v>20.187393526405451</v>
      </c>
      <c r="K44" s="54">
        <f t="shared" si="1"/>
        <v>-6.5910701630049608</v>
      </c>
    </row>
    <row r="45" spans="1:14" ht="12.75" customHeight="1">
      <c r="A45" s="48" t="s">
        <v>95</v>
      </c>
      <c r="B45" s="49">
        <v>1334</v>
      </c>
      <c r="C45" s="49">
        <v>1374</v>
      </c>
      <c r="D45" s="50">
        <v>1543</v>
      </c>
      <c r="E45" s="50">
        <v>2132</v>
      </c>
      <c r="F45" s="51">
        <v>2594</v>
      </c>
      <c r="G45" s="52">
        <v>3.3307513555383426</v>
      </c>
      <c r="H45" s="52">
        <f t="shared" si="1"/>
        <v>2.9985007496251872</v>
      </c>
      <c r="I45" s="53">
        <f t="shared" si="1"/>
        <v>12.299854439592432</v>
      </c>
      <c r="J45" s="53">
        <f t="shared" si="1"/>
        <v>38.172391445236556</v>
      </c>
      <c r="K45" s="54">
        <f t="shared" si="1"/>
        <v>21.669793621013135</v>
      </c>
      <c r="N45" s="37" t="s">
        <v>180</v>
      </c>
    </row>
    <row r="46" spans="1:14" ht="12" customHeight="1">
      <c r="A46" s="48" t="s">
        <v>60</v>
      </c>
      <c r="B46" s="49">
        <v>1588</v>
      </c>
      <c r="C46" s="49">
        <v>1380</v>
      </c>
      <c r="D46" s="50">
        <v>2113</v>
      </c>
      <c r="E46" s="50">
        <v>2433</v>
      </c>
      <c r="F46" s="51">
        <v>2569</v>
      </c>
      <c r="G46" s="52">
        <v>21.406727828746178</v>
      </c>
      <c r="H46" s="52">
        <f t="shared" si="1"/>
        <v>-13.09823677581864</v>
      </c>
      <c r="I46" s="53">
        <f t="shared" si="1"/>
        <v>53.115942028985508</v>
      </c>
      <c r="J46" s="53">
        <f t="shared" si="1"/>
        <v>15.144344533838144</v>
      </c>
      <c r="K46" s="54">
        <f t="shared" si="1"/>
        <v>5.589806822852446</v>
      </c>
    </row>
    <row r="47" spans="1:14" ht="12.75" customHeight="1">
      <c r="A47" s="48" t="s">
        <v>59</v>
      </c>
      <c r="B47" s="49">
        <v>2884</v>
      </c>
      <c r="C47" s="49">
        <v>2420</v>
      </c>
      <c r="D47" s="50">
        <v>2514</v>
      </c>
      <c r="E47" s="50">
        <v>2444</v>
      </c>
      <c r="F47" s="51">
        <v>2483</v>
      </c>
      <c r="G47" s="52">
        <v>-8.3862770012706473</v>
      </c>
      <c r="H47" s="52">
        <f t="shared" si="1"/>
        <v>-16.08876560332871</v>
      </c>
      <c r="I47" s="53">
        <f t="shared" si="1"/>
        <v>3.884297520661157</v>
      </c>
      <c r="J47" s="53">
        <f t="shared" si="1"/>
        <v>-2.7844073190135243</v>
      </c>
      <c r="K47" s="54">
        <f t="shared" si="1"/>
        <v>1.5957446808510638</v>
      </c>
    </row>
    <row r="48" spans="1:14" ht="12.75" customHeight="1">
      <c r="A48" s="48" t="s">
        <v>58</v>
      </c>
      <c r="B48" s="49">
        <v>2052</v>
      </c>
      <c r="C48" s="49">
        <v>1848</v>
      </c>
      <c r="D48" s="50">
        <v>2434</v>
      </c>
      <c r="E48" s="50">
        <v>2596</v>
      </c>
      <c r="F48" s="51">
        <v>2408</v>
      </c>
      <c r="G48" s="52">
        <v>-20.093457943925234</v>
      </c>
      <c r="H48" s="52">
        <f t="shared" si="1"/>
        <v>-9.9415204678362574</v>
      </c>
      <c r="I48" s="53">
        <f t="shared" si="1"/>
        <v>31.70995670995671</v>
      </c>
      <c r="J48" s="53">
        <f t="shared" si="1"/>
        <v>6.6557107641741986</v>
      </c>
      <c r="K48" s="54">
        <f t="shared" si="1"/>
        <v>-7.2419106317411401</v>
      </c>
    </row>
    <row r="49" spans="1:11" ht="12.75" customHeight="1">
      <c r="A49" s="48" t="s">
        <v>89</v>
      </c>
      <c r="B49" s="49">
        <v>1065</v>
      </c>
      <c r="C49" s="49">
        <v>1182</v>
      </c>
      <c r="D49" s="50">
        <v>1575</v>
      </c>
      <c r="E49" s="50">
        <v>2485</v>
      </c>
      <c r="F49" s="51">
        <v>2345</v>
      </c>
      <c r="G49" s="52">
        <v>-45.412608918503331</v>
      </c>
      <c r="H49" s="52">
        <f t="shared" si="1"/>
        <v>10.985915492957748</v>
      </c>
      <c r="I49" s="53">
        <f t="shared" si="1"/>
        <v>33.248730964467008</v>
      </c>
      <c r="J49" s="53">
        <f t="shared" si="1"/>
        <v>57.777777777777771</v>
      </c>
      <c r="K49" s="54">
        <f t="shared" si="1"/>
        <v>-5.6338028169014089</v>
      </c>
    </row>
    <row r="50" spans="1:11" ht="12.75" customHeight="1">
      <c r="A50" s="48" t="s">
        <v>84</v>
      </c>
      <c r="B50" s="49">
        <v>871</v>
      </c>
      <c r="C50" s="49">
        <v>979</v>
      </c>
      <c r="D50" s="50">
        <v>1066</v>
      </c>
      <c r="E50" s="50">
        <v>1652</v>
      </c>
      <c r="F50" s="51">
        <v>2265</v>
      </c>
      <c r="G50" s="52">
        <v>-11.303462321792262</v>
      </c>
      <c r="H50" s="52">
        <f t="shared" si="1"/>
        <v>12.399540757749714</v>
      </c>
      <c r="I50" s="53">
        <f t="shared" si="1"/>
        <v>8.88661899897855</v>
      </c>
      <c r="J50" s="53">
        <f t="shared" si="1"/>
        <v>54.971857410881796</v>
      </c>
      <c r="K50" s="54">
        <f t="shared" si="1"/>
        <v>37.106537530266344</v>
      </c>
    </row>
    <row r="51" spans="1:11" ht="12.75" customHeight="1">
      <c r="A51" s="48" t="s">
        <v>57</v>
      </c>
      <c r="B51" s="49">
        <v>4926</v>
      </c>
      <c r="C51" s="49">
        <v>5406</v>
      </c>
      <c r="D51" s="50">
        <v>4630</v>
      </c>
      <c r="E51" s="50">
        <v>3009</v>
      </c>
      <c r="F51" s="51">
        <v>2058</v>
      </c>
      <c r="G51" s="52">
        <v>1.5670103092783505</v>
      </c>
      <c r="H51" s="52">
        <f t="shared" si="1"/>
        <v>9.7442143727161987</v>
      </c>
      <c r="I51" s="53">
        <f t="shared" si="1"/>
        <v>-14.354421013688496</v>
      </c>
      <c r="J51" s="53">
        <f t="shared" si="1"/>
        <v>-35.010799136069117</v>
      </c>
      <c r="K51" s="54">
        <f t="shared" si="1"/>
        <v>-31.605184446660019</v>
      </c>
    </row>
    <row r="52" spans="1:11" ht="12.75" customHeight="1">
      <c r="A52" s="48" t="s">
        <v>83</v>
      </c>
      <c r="B52" s="49">
        <v>1191</v>
      </c>
      <c r="C52" s="49">
        <v>1046</v>
      </c>
      <c r="D52" s="50">
        <v>1256</v>
      </c>
      <c r="E52" s="50">
        <v>1842</v>
      </c>
      <c r="F52" s="51">
        <v>1857</v>
      </c>
      <c r="G52" s="52">
        <v>17.5715695952616</v>
      </c>
      <c r="H52" s="52">
        <f t="shared" si="1"/>
        <v>-12.174643157010916</v>
      </c>
      <c r="I52" s="53">
        <f t="shared" si="1"/>
        <v>20.076481835564053</v>
      </c>
      <c r="J52" s="53">
        <f t="shared" si="1"/>
        <v>46.656050955414017</v>
      </c>
      <c r="K52" s="54">
        <f t="shared" si="1"/>
        <v>0.81433224755700329</v>
      </c>
    </row>
    <row r="53" spans="1:11" ht="12.75" customHeight="1">
      <c r="A53" s="48" t="s">
        <v>79</v>
      </c>
      <c r="B53" s="49">
        <v>581</v>
      </c>
      <c r="C53" s="49">
        <v>677</v>
      </c>
      <c r="D53" s="50">
        <v>818</v>
      </c>
      <c r="E53" s="50">
        <v>1283</v>
      </c>
      <c r="F53" s="51">
        <v>1772</v>
      </c>
      <c r="G53" s="52">
        <v>-38.388123011664902</v>
      </c>
      <c r="H53" s="52">
        <f t="shared" si="1"/>
        <v>16.523235800344235</v>
      </c>
      <c r="I53" s="53">
        <f t="shared" si="1"/>
        <v>20.827178729689809</v>
      </c>
      <c r="J53" s="53">
        <f t="shared" si="1"/>
        <v>56.845965770171148</v>
      </c>
      <c r="K53" s="54">
        <f t="shared" si="1"/>
        <v>38.113795791114576</v>
      </c>
    </row>
    <row r="54" spans="1:11" ht="12.75" customHeight="1">
      <c r="A54" s="48" t="s">
        <v>100</v>
      </c>
      <c r="B54" s="49">
        <v>1139</v>
      </c>
      <c r="C54" s="49">
        <v>984</v>
      </c>
      <c r="D54" s="50">
        <v>1145</v>
      </c>
      <c r="E54" s="50">
        <v>1346</v>
      </c>
      <c r="F54" s="51">
        <v>1666</v>
      </c>
      <c r="G54" s="52">
        <v>72.575757575757578</v>
      </c>
      <c r="H54" s="52">
        <f t="shared" si="1"/>
        <v>-13.608428446005268</v>
      </c>
      <c r="I54" s="53">
        <f t="shared" si="1"/>
        <v>16.361788617886177</v>
      </c>
      <c r="J54" s="53">
        <f t="shared" si="1"/>
        <v>17.554585152838428</v>
      </c>
      <c r="K54" s="54">
        <f t="shared" si="1"/>
        <v>23.774145616641899</v>
      </c>
    </row>
    <row r="55" spans="1:11" ht="12.75" customHeight="1">
      <c r="A55" s="48" t="s">
        <v>97</v>
      </c>
      <c r="B55" s="49">
        <v>1184</v>
      </c>
      <c r="C55" s="49">
        <v>991</v>
      </c>
      <c r="D55" s="50">
        <v>1103</v>
      </c>
      <c r="E55" s="50">
        <v>1390</v>
      </c>
      <c r="F55" s="51">
        <v>1579</v>
      </c>
      <c r="G55" s="52">
        <v>3.6777583187390541</v>
      </c>
      <c r="H55" s="52">
        <f t="shared" si="1"/>
        <v>-16.300675675675674</v>
      </c>
      <c r="I55" s="53">
        <f t="shared" si="1"/>
        <v>11.301715438950556</v>
      </c>
      <c r="J55" s="53">
        <f t="shared" si="1"/>
        <v>26.019945602901178</v>
      </c>
      <c r="K55" s="54">
        <f t="shared" si="1"/>
        <v>13.597122302158274</v>
      </c>
    </row>
    <row r="56" spans="1:11" ht="12.75" customHeight="1">
      <c r="A56" s="48" t="s">
        <v>51</v>
      </c>
      <c r="B56" s="49">
        <v>3368</v>
      </c>
      <c r="C56" s="49">
        <v>3437</v>
      </c>
      <c r="D56" s="50">
        <v>4386</v>
      </c>
      <c r="E56" s="50">
        <v>5738</v>
      </c>
      <c r="F56" s="51">
        <v>1509</v>
      </c>
      <c r="G56" s="52">
        <v>-5.1801801801801801</v>
      </c>
      <c r="H56" s="52">
        <f t="shared" si="1"/>
        <v>2.0486935866983371</v>
      </c>
      <c r="I56" s="53">
        <f t="shared" si="1"/>
        <v>27.611288914751235</v>
      </c>
      <c r="J56" s="53">
        <f t="shared" si="1"/>
        <v>30.825353397172822</v>
      </c>
      <c r="K56" s="54">
        <f t="shared" si="1"/>
        <v>-73.701638201463922</v>
      </c>
    </row>
    <row r="57" spans="1:11" ht="12.75" customHeight="1">
      <c r="A57" s="48" t="s">
        <v>54</v>
      </c>
      <c r="B57" s="49">
        <v>865</v>
      </c>
      <c r="C57" s="49">
        <v>1088</v>
      </c>
      <c r="D57" s="50">
        <v>1281</v>
      </c>
      <c r="E57" s="50">
        <v>1535</v>
      </c>
      <c r="F57" s="51">
        <v>1402</v>
      </c>
      <c r="G57" s="52">
        <v>9.6324461343472745</v>
      </c>
      <c r="H57" s="52">
        <f t="shared" si="1"/>
        <v>25.780346820809246</v>
      </c>
      <c r="I57" s="53">
        <f t="shared" si="1"/>
        <v>17.738970588235293</v>
      </c>
      <c r="J57" s="53">
        <f t="shared" si="1"/>
        <v>19.828259172521467</v>
      </c>
      <c r="K57" s="54">
        <f t="shared" si="1"/>
        <v>-8.664495114006515</v>
      </c>
    </row>
    <row r="58" spans="1:11" ht="12.75" customHeight="1">
      <c r="A58" s="48" t="s">
        <v>68</v>
      </c>
      <c r="B58" s="49">
        <v>1372</v>
      </c>
      <c r="C58" s="49">
        <v>1324</v>
      </c>
      <c r="D58" s="50">
        <v>1647</v>
      </c>
      <c r="E58" s="50">
        <v>1609</v>
      </c>
      <c r="F58" s="51">
        <v>1295</v>
      </c>
      <c r="G58" s="52">
        <v>13.953488372093023</v>
      </c>
      <c r="H58" s="52">
        <f t="shared" si="1"/>
        <v>-3.4985422740524781</v>
      </c>
      <c r="I58" s="53">
        <f t="shared" si="1"/>
        <v>24.395770392749245</v>
      </c>
      <c r="J58" s="53">
        <f t="shared" si="1"/>
        <v>-2.3072252580449302</v>
      </c>
      <c r="K58" s="54">
        <f t="shared" si="1"/>
        <v>-19.515226848974518</v>
      </c>
    </row>
    <row r="59" spans="1:11" ht="12.75" customHeight="1">
      <c r="A59" s="48" t="s">
        <v>76</v>
      </c>
      <c r="B59" s="49">
        <v>455</v>
      </c>
      <c r="C59" s="49">
        <v>388</v>
      </c>
      <c r="D59" s="50">
        <v>525</v>
      </c>
      <c r="E59" s="50">
        <v>1496</v>
      </c>
      <c r="F59" s="51">
        <v>1221</v>
      </c>
      <c r="G59" s="52">
        <v>-64.563862928348911</v>
      </c>
      <c r="H59" s="52">
        <f t="shared" si="1"/>
        <v>-14.725274725274726</v>
      </c>
      <c r="I59" s="53">
        <f t="shared" si="1"/>
        <v>35.309278350515463</v>
      </c>
      <c r="J59" s="53">
        <f t="shared" si="1"/>
        <v>184.95238095238096</v>
      </c>
      <c r="K59" s="54">
        <f t="shared" si="1"/>
        <v>-18.382352941176471</v>
      </c>
    </row>
    <row r="60" spans="1:11" ht="12.75" customHeight="1">
      <c r="A60" s="55" t="s">
        <v>98</v>
      </c>
      <c r="B60" s="56">
        <v>22</v>
      </c>
      <c r="C60" s="56">
        <v>21</v>
      </c>
      <c r="D60" s="57">
        <v>31</v>
      </c>
      <c r="E60" s="57">
        <v>27</v>
      </c>
      <c r="F60" s="58">
        <v>39</v>
      </c>
      <c r="G60" s="59">
        <v>-80.530973451327441</v>
      </c>
      <c r="H60" s="59">
        <f t="shared" si="1"/>
        <v>-4.5454545454545459</v>
      </c>
      <c r="I60" s="60">
        <f t="shared" si="1"/>
        <v>47.619047619047613</v>
      </c>
      <c r="J60" s="60">
        <f t="shared" si="1"/>
        <v>-12.903225806451612</v>
      </c>
      <c r="K60" s="61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62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62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H90"/>
  <sheetViews>
    <sheetView showGridLines="0" tabSelected="1" zoomScaleNormal="100" workbookViewId="0">
      <selection activeCell="R1" sqref="R1:U1048576"/>
    </sheetView>
  </sheetViews>
  <sheetFormatPr defaultColWidth="9.140625" defaultRowHeight="12.75"/>
  <cols>
    <col min="1" max="1" width="21" style="10" customWidth="1"/>
    <col min="2" max="2" width="11.5703125" style="10" bestFit="1" customWidth="1"/>
    <col min="3" max="10" width="10.28515625" style="10" bestFit="1" customWidth="1"/>
    <col min="11" max="11" width="9.85546875" style="10" bestFit="1" customWidth="1"/>
    <col min="12" max="14" width="10.28515625" style="10" bestFit="1" customWidth="1"/>
    <col min="15" max="15" width="18.28515625" style="10" customWidth="1"/>
    <col min="16" max="16384" width="9.140625" style="10"/>
  </cols>
  <sheetData>
    <row r="1" spans="1:80" s="63" customFormat="1" ht="27" customHeight="1">
      <c r="A1" s="105" t="s">
        <v>229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80" ht="24" customHeight="1">
      <c r="A2" s="104" t="s">
        <v>230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80" s="12" customFormat="1" ht="12.75" customHeight="1">
      <c r="A3" s="11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4" spans="1:80" s="15" customFormat="1" ht="18.75" customHeight="1">
      <c r="A4" s="13" t="s">
        <v>0</v>
      </c>
      <c r="B4" s="14" t="s">
        <v>40</v>
      </c>
      <c r="C4" s="14" t="s">
        <v>28</v>
      </c>
      <c r="D4" s="14" t="s">
        <v>29</v>
      </c>
      <c r="E4" s="14" t="s">
        <v>30</v>
      </c>
      <c r="F4" s="14" t="s">
        <v>31</v>
      </c>
      <c r="G4" s="14" t="s">
        <v>32</v>
      </c>
      <c r="H4" s="14" t="s">
        <v>33</v>
      </c>
      <c r="I4" s="14" t="s">
        <v>34</v>
      </c>
      <c r="J4" s="14" t="s">
        <v>35</v>
      </c>
      <c r="K4" s="14" t="s">
        <v>39</v>
      </c>
      <c r="L4" s="14" t="s">
        <v>36</v>
      </c>
      <c r="M4" s="14" t="s">
        <v>37</v>
      </c>
      <c r="N4" s="66" t="s">
        <v>38</v>
      </c>
      <c r="O4" s="67" t="s">
        <v>182</v>
      </c>
    </row>
    <row r="5" spans="1:80" s="18" customFormat="1" ht="18" customHeight="1">
      <c r="A5" s="16" t="s">
        <v>1</v>
      </c>
      <c r="B5" s="17">
        <f>SUM(C5:N5)</f>
        <v>1234248</v>
      </c>
      <c r="C5" s="17">
        <f>C6+C46+C66+C69+C74+C78+C84+C85</f>
        <v>97073</v>
      </c>
      <c r="D5" s="17">
        <f>D6+D46+D66+D69+D74+D78+D84+D85</f>
        <v>120468</v>
      </c>
      <c r="E5" s="17">
        <f t="shared" ref="E5:K5" si="0">E6+E46+E66+E69+E74+E78+E84+E85</f>
        <v>112427</v>
      </c>
      <c r="F5" s="17">
        <f t="shared" si="0"/>
        <v>102242</v>
      </c>
      <c r="G5" s="17">
        <f t="shared" si="0"/>
        <v>95389</v>
      </c>
      <c r="H5" s="17">
        <f t="shared" si="0"/>
        <v>81506</v>
      </c>
      <c r="I5" s="17">
        <f t="shared" si="0"/>
        <v>104517</v>
      </c>
      <c r="J5" s="17">
        <f t="shared" si="0"/>
        <v>110144</v>
      </c>
      <c r="K5" s="17">
        <f t="shared" si="0"/>
        <v>95511</v>
      </c>
      <c r="L5" s="17">
        <f>L6+L46+L66+L69+L74+L78+L84+L85</f>
        <v>105498</v>
      </c>
      <c r="M5" s="17">
        <f t="shared" ref="M5:N5" si="1">M6+M46+M66+M69+M74+M78+M84+M85</f>
        <v>90218</v>
      </c>
      <c r="N5" s="17">
        <f t="shared" si="1"/>
        <v>119255</v>
      </c>
      <c r="O5" s="68" t="s">
        <v>105</v>
      </c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</row>
    <row r="6" spans="1:80" s="18" customFormat="1" ht="18" customHeight="1">
      <c r="A6" s="9" t="s">
        <v>2</v>
      </c>
      <c r="B6" s="83">
        <f>SUM(C6:N6)</f>
        <v>535962</v>
      </c>
      <c r="C6" s="83">
        <f>C7+C19+C27+C34+C42</f>
        <v>52545</v>
      </c>
      <c r="D6" s="83">
        <f t="shared" ref="D6:N6" si="2">D7+D19+D27+D34+D42</f>
        <v>54718</v>
      </c>
      <c r="E6" s="83">
        <f t="shared" si="2"/>
        <v>58918</v>
      </c>
      <c r="F6" s="83">
        <f t="shared" si="2"/>
        <v>47459</v>
      </c>
      <c r="G6" s="83">
        <f t="shared" si="2"/>
        <v>35403</v>
      </c>
      <c r="H6" s="83">
        <f>H7+H19+H27+H34+H42</f>
        <v>24274</v>
      </c>
      <c r="I6" s="83">
        <f t="shared" si="2"/>
        <v>34021</v>
      </c>
      <c r="J6" s="83">
        <f t="shared" si="2"/>
        <v>39881</v>
      </c>
      <c r="K6" s="83">
        <f t="shared" si="2"/>
        <v>34131</v>
      </c>
      <c r="L6" s="83">
        <f>L7+L19+L27+L34+L42</f>
        <v>47369</v>
      </c>
      <c r="M6" s="83">
        <f t="shared" si="2"/>
        <v>43178</v>
      </c>
      <c r="N6" s="83">
        <f t="shared" si="2"/>
        <v>64065</v>
      </c>
      <c r="O6" s="69" t="s">
        <v>106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</row>
    <row r="7" spans="1:80" s="18" customFormat="1" ht="18" customHeight="1">
      <c r="A7" s="20" t="s">
        <v>132</v>
      </c>
      <c r="B7" s="83">
        <f>SUM(C7:N7)</f>
        <v>92742</v>
      </c>
      <c r="C7" s="83">
        <f>SUM(C8:C18)</f>
        <v>11899</v>
      </c>
      <c r="D7" s="83">
        <f t="shared" ref="D7:N7" si="3">SUM(D8:D18)</f>
        <v>8558</v>
      </c>
      <c r="E7" s="83">
        <f t="shared" si="3"/>
        <v>9343</v>
      </c>
      <c r="F7" s="83">
        <f t="shared" si="3"/>
        <v>7852</v>
      </c>
      <c r="G7" s="83">
        <f t="shared" si="3"/>
        <v>5548</v>
      </c>
      <c r="H7" s="83">
        <f t="shared" si="3"/>
        <v>4319</v>
      </c>
      <c r="I7" s="83">
        <f t="shared" si="3"/>
        <v>5979</v>
      </c>
      <c r="J7" s="83">
        <f t="shared" si="3"/>
        <v>6066</v>
      </c>
      <c r="K7" s="83">
        <f t="shared" si="3"/>
        <v>4691</v>
      </c>
      <c r="L7" s="83">
        <f t="shared" si="3"/>
        <v>7842</v>
      </c>
      <c r="M7" s="83">
        <f t="shared" si="3"/>
        <v>8198</v>
      </c>
      <c r="N7" s="83">
        <f t="shared" si="3"/>
        <v>12447</v>
      </c>
      <c r="O7" s="70" t="s">
        <v>183</v>
      </c>
    </row>
    <row r="8" spans="1:80" s="18" customFormat="1" ht="18" customHeight="1">
      <c r="A8" s="21" t="s">
        <v>133</v>
      </c>
      <c r="B8" s="22">
        <f>SUM(C8:N8)</f>
        <v>1508</v>
      </c>
      <c r="C8" s="23">
        <v>187</v>
      </c>
      <c r="D8" s="23">
        <v>169</v>
      </c>
      <c r="E8" s="23">
        <v>190</v>
      </c>
      <c r="F8" s="23">
        <v>102</v>
      </c>
      <c r="G8" s="23">
        <v>84</v>
      </c>
      <c r="H8" s="23">
        <v>75</v>
      </c>
      <c r="I8" s="23">
        <v>106</v>
      </c>
      <c r="J8" s="23">
        <v>82</v>
      </c>
      <c r="K8" s="23">
        <v>96</v>
      </c>
      <c r="L8" s="23">
        <v>138</v>
      </c>
      <c r="M8" s="23">
        <v>115</v>
      </c>
      <c r="N8" s="23">
        <v>164</v>
      </c>
      <c r="O8" s="72" t="s">
        <v>184</v>
      </c>
      <c r="P8" s="15"/>
    </row>
    <row r="9" spans="1:80" s="18" customFormat="1" ht="18" customHeight="1">
      <c r="A9" s="21" t="s">
        <v>134</v>
      </c>
      <c r="B9" s="22">
        <f>SUM(C9:N9)</f>
        <v>2904</v>
      </c>
      <c r="C9" s="23">
        <v>362</v>
      </c>
      <c r="D9" s="23">
        <v>393</v>
      </c>
      <c r="E9" s="23">
        <v>323</v>
      </c>
      <c r="F9" s="23">
        <v>401</v>
      </c>
      <c r="G9" s="23">
        <v>151</v>
      </c>
      <c r="H9" s="23">
        <v>70</v>
      </c>
      <c r="I9" s="23">
        <v>52</v>
      </c>
      <c r="J9" s="23">
        <v>77</v>
      </c>
      <c r="K9" s="23">
        <v>107</v>
      </c>
      <c r="L9" s="23">
        <v>170</v>
      </c>
      <c r="M9" s="23">
        <v>238</v>
      </c>
      <c r="N9" s="23">
        <v>560</v>
      </c>
      <c r="O9" s="72" t="s">
        <v>185</v>
      </c>
    </row>
    <row r="10" spans="1:80" s="18" customFormat="1" ht="18" customHeight="1">
      <c r="A10" s="21" t="s">
        <v>135</v>
      </c>
      <c r="B10" s="22">
        <f t="shared" ref="B10:B73" si="4">SUM(C10:N10)</f>
        <v>8105</v>
      </c>
      <c r="C10" s="23">
        <v>671</v>
      </c>
      <c r="D10" s="23">
        <v>1162</v>
      </c>
      <c r="E10" s="23">
        <v>1085</v>
      </c>
      <c r="F10" s="23">
        <v>742</v>
      </c>
      <c r="G10" s="23">
        <v>402</v>
      </c>
      <c r="H10" s="23">
        <v>270</v>
      </c>
      <c r="I10" s="23">
        <v>565</v>
      </c>
      <c r="J10" s="23">
        <v>387</v>
      </c>
      <c r="K10" s="23">
        <v>290</v>
      </c>
      <c r="L10" s="23">
        <v>724</v>
      </c>
      <c r="M10" s="23">
        <v>840</v>
      </c>
      <c r="N10" s="23">
        <v>967</v>
      </c>
      <c r="O10" s="72" t="s">
        <v>186</v>
      </c>
      <c r="P10" s="15"/>
    </row>
    <row r="11" spans="1:80" s="18" customFormat="1" ht="18" customHeight="1">
      <c r="A11" s="24" t="s">
        <v>136</v>
      </c>
      <c r="B11" s="22">
        <f t="shared" si="4"/>
        <v>4436</v>
      </c>
      <c r="C11" s="23">
        <v>805</v>
      </c>
      <c r="D11" s="23">
        <v>773</v>
      </c>
      <c r="E11" s="23">
        <v>420</v>
      </c>
      <c r="F11" s="23">
        <v>243</v>
      </c>
      <c r="G11" s="23">
        <v>144</v>
      </c>
      <c r="H11" s="23">
        <v>131</v>
      </c>
      <c r="I11" s="23">
        <v>186</v>
      </c>
      <c r="J11" s="23">
        <v>223</v>
      </c>
      <c r="K11" s="23">
        <v>188</v>
      </c>
      <c r="L11" s="23">
        <v>362</v>
      </c>
      <c r="M11" s="23">
        <v>340</v>
      </c>
      <c r="N11" s="23">
        <v>621</v>
      </c>
      <c r="O11" s="72" t="s">
        <v>187</v>
      </c>
    </row>
    <row r="12" spans="1:80" s="18" customFormat="1" ht="18" customHeight="1">
      <c r="A12" s="21" t="s">
        <v>137</v>
      </c>
      <c r="B12" s="22">
        <f t="shared" si="4"/>
        <v>3394</v>
      </c>
      <c r="C12" s="23">
        <v>513</v>
      </c>
      <c r="D12" s="23">
        <v>241</v>
      </c>
      <c r="E12" s="23">
        <v>422</v>
      </c>
      <c r="F12" s="23">
        <v>178</v>
      </c>
      <c r="G12" s="23">
        <v>143</v>
      </c>
      <c r="H12" s="23">
        <v>155</v>
      </c>
      <c r="I12" s="23">
        <v>349</v>
      </c>
      <c r="J12" s="23">
        <v>320</v>
      </c>
      <c r="K12" s="23">
        <v>144</v>
      </c>
      <c r="L12" s="23">
        <v>245</v>
      </c>
      <c r="M12" s="23">
        <v>140</v>
      </c>
      <c r="N12" s="23">
        <v>544</v>
      </c>
      <c r="O12" s="72" t="s">
        <v>188</v>
      </c>
      <c r="P12" s="15"/>
    </row>
    <row r="13" spans="1:80" s="18" customFormat="1" ht="18" customHeight="1">
      <c r="A13" s="21" t="s">
        <v>138</v>
      </c>
      <c r="B13" s="22">
        <f t="shared" si="4"/>
        <v>6879</v>
      </c>
      <c r="C13" s="23">
        <v>801</v>
      </c>
      <c r="D13" s="23">
        <v>784</v>
      </c>
      <c r="E13" s="23">
        <v>750</v>
      </c>
      <c r="F13" s="23">
        <v>545</v>
      </c>
      <c r="G13" s="23">
        <v>357</v>
      </c>
      <c r="H13" s="23">
        <v>268</v>
      </c>
      <c r="I13" s="23">
        <v>395</v>
      </c>
      <c r="J13" s="23">
        <v>426</v>
      </c>
      <c r="K13" s="23">
        <v>298</v>
      </c>
      <c r="L13" s="23">
        <v>599</v>
      </c>
      <c r="M13" s="23">
        <v>877</v>
      </c>
      <c r="N13" s="23">
        <v>779</v>
      </c>
      <c r="O13" s="72" t="s">
        <v>189</v>
      </c>
    </row>
    <row r="14" spans="1:80" s="18" customFormat="1" ht="18" customHeight="1">
      <c r="A14" s="21" t="s">
        <v>139</v>
      </c>
      <c r="B14" s="22">
        <f t="shared" si="4"/>
        <v>3918</v>
      </c>
      <c r="C14" s="23">
        <v>454</v>
      </c>
      <c r="D14" s="23">
        <v>387</v>
      </c>
      <c r="E14" s="23">
        <v>297</v>
      </c>
      <c r="F14" s="23">
        <v>374</v>
      </c>
      <c r="G14" s="23">
        <v>245</v>
      </c>
      <c r="H14" s="23">
        <v>145</v>
      </c>
      <c r="I14" s="23">
        <v>212</v>
      </c>
      <c r="J14" s="23">
        <v>226</v>
      </c>
      <c r="K14" s="23">
        <v>247</v>
      </c>
      <c r="L14" s="23">
        <v>390</v>
      </c>
      <c r="M14" s="23">
        <v>356</v>
      </c>
      <c r="N14" s="23">
        <v>585</v>
      </c>
      <c r="O14" s="72" t="s">
        <v>190</v>
      </c>
      <c r="P14" s="15"/>
    </row>
    <row r="15" spans="1:80" s="18" customFormat="1" ht="18" customHeight="1">
      <c r="A15" s="21" t="s">
        <v>8</v>
      </c>
      <c r="B15" s="22">
        <f t="shared" si="4"/>
        <v>44323</v>
      </c>
      <c r="C15" s="23">
        <v>5790</v>
      </c>
      <c r="D15" s="23">
        <v>2882</v>
      </c>
      <c r="E15" s="23">
        <v>4048</v>
      </c>
      <c r="F15" s="23">
        <v>3855</v>
      </c>
      <c r="G15" s="23">
        <v>3053</v>
      </c>
      <c r="H15" s="23">
        <v>2500</v>
      </c>
      <c r="I15" s="23">
        <v>3180</v>
      </c>
      <c r="J15" s="23">
        <v>3347</v>
      </c>
      <c r="K15" s="23">
        <v>2309</v>
      </c>
      <c r="L15" s="23">
        <v>3860</v>
      </c>
      <c r="M15" s="23">
        <v>3702</v>
      </c>
      <c r="N15" s="23">
        <v>5797</v>
      </c>
      <c r="O15" s="72" t="s">
        <v>113</v>
      </c>
    </row>
    <row r="16" spans="1:80" s="18" customFormat="1" ht="18" customHeight="1">
      <c r="A16" s="21" t="s">
        <v>140</v>
      </c>
      <c r="B16" s="22">
        <f t="shared" si="4"/>
        <v>4286</v>
      </c>
      <c r="C16" s="23">
        <v>489</v>
      </c>
      <c r="D16" s="23">
        <v>616</v>
      </c>
      <c r="E16" s="23">
        <v>464</v>
      </c>
      <c r="F16" s="23">
        <v>424</v>
      </c>
      <c r="G16" s="23">
        <v>256</v>
      </c>
      <c r="H16" s="23">
        <v>131</v>
      </c>
      <c r="I16" s="23">
        <v>238</v>
      </c>
      <c r="J16" s="23">
        <v>146</v>
      </c>
      <c r="K16" s="23">
        <v>150</v>
      </c>
      <c r="L16" s="23">
        <v>335</v>
      </c>
      <c r="M16" s="23">
        <v>459</v>
      </c>
      <c r="N16" s="23">
        <v>578</v>
      </c>
      <c r="O16" s="72" t="s">
        <v>114</v>
      </c>
      <c r="P16" s="15"/>
    </row>
    <row r="17" spans="1:86" s="18" customFormat="1" ht="18" customHeight="1">
      <c r="A17" s="21" t="s">
        <v>141</v>
      </c>
      <c r="B17" s="22">
        <f t="shared" si="4"/>
        <v>6747</v>
      </c>
      <c r="C17" s="23">
        <v>993</v>
      </c>
      <c r="D17" s="23">
        <v>518</v>
      </c>
      <c r="E17" s="23">
        <v>475</v>
      </c>
      <c r="F17" s="23">
        <v>466</v>
      </c>
      <c r="G17" s="23">
        <v>436</v>
      </c>
      <c r="H17" s="23">
        <v>331</v>
      </c>
      <c r="I17" s="23">
        <v>427</v>
      </c>
      <c r="J17" s="23">
        <v>510</v>
      </c>
      <c r="K17" s="23">
        <v>431</v>
      </c>
      <c r="L17" s="23">
        <v>576</v>
      </c>
      <c r="M17" s="23">
        <v>559</v>
      </c>
      <c r="N17" s="23">
        <v>1025</v>
      </c>
      <c r="O17" s="72" t="s">
        <v>191</v>
      </c>
    </row>
    <row r="18" spans="1:86" s="18" customFormat="1" ht="18" customHeight="1">
      <c r="A18" s="21" t="s">
        <v>47</v>
      </c>
      <c r="B18" s="22">
        <f t="shared" si="4"/>
        <v>6242</v>
      </c>
      <c r="C18" s="23">
        <v>834</v>
      </c>
      <c r="D18" s="23">
        <v>633</v>
      </c>
      <c r="E18" s="23">
        <v>869</v>
      </c>
      <c r="F18" s="23">
        <v>522</v>
      </c>
      <c r="G18" s="23">
        <v>277</v>
      </c>
      <c r="H18" s="23">
        <v>243</v>
      </c>
      <c r="I18" s="23">
        <v>269</v>
      </c>
      <c r="J18" s="23">
        <v>322</v>
      </c>
      <c r="K18" s="23">
        <v>431</v>
      </c>
      <c r="L18" s="23">
        <v>443</v>
      </c>
      <c r="M18" s="23">
        <v>572</v>
      </c>
      <c r="N18" s="23">
        <v>827</v>
      </c>
      <c r="O18" s="72" t="s">
        <v>117</v>
      </c>
      <c r="P18" s="15"/>
      <c r="BV18" s="82"/>
      <c r="BW18" s="82" t="s">
        <v>28</v>
      </c>
      <c r="BX18" s="82" t="s">
        <v>29</v>
      </c>
      <c r="BY18" s="82" t="s">
        <v>30</v>
      </c>
      <c r="BZ18" s="82" t="s">
        <v>31</v>
      </c>
      <c r="CA18" s="82" t="s">
        <v>32</v>
      </c>
      <c r="CB18" s="82" t="s">
        <v>33</v>
      </c>
      <c r="CC18" s="82" t="s">
        <v>34</v>
      </c>
      <c r="CD18" s="82" t="s">
        <v>35</v>
      </c>
      <c r="CE18" s="82" t="s">
        <v>39</v>
      </c>
      <c r="CF18" s="82" t="s">
        <v>36</v>
      </c>
      <c r="CG18" s="82" t="s">
        <v>37</v>
      </c>
      <c r="CH18" s="82" t="s">
        <v>38</v>
      </c>
    </row>
    <row r="19" spans="1:86" s="18" customFormat="1" ht="18" customHeight="1">
      <c r="A19" s="20" t="s">
        <v>142</v>
      </c>
      <c r="B19" s="22">
        <f t="shared" si="4"/>
        <v>119562</v>
      </c>
      <c r="C19" s="25">
        <f>SUM(C20:C26)</f>
        <v>10011</v>
      </c>
      <c r="D19" s="25">
        <f t="shared" ref="D19:N19" si="5">SUM(D20:D26)</f>
        <v>12160</v>
      </c>
      <c r="E19" s="25">
        <f t="shared" si="5"/>
        <v>12063</v>
      </c>
      <c r="F19" s="25">
        <f t="shared" si="5"/>
        <v>10332</v>
      </c>
      <c r="G19" s="25">
        <f t="shared" si="5"/>
        <v>7904</v>
      </c>
      <c r="H19" s="25">
        <f t="shared" si="5"/>
        <v>7277</v>
      </c>
      <c r="I19" s="25">
        <f t="shared" si="5"/>
        <v>9503</v>
      </c>
      <c r="J19" s="25">
        <f t="shared" si="5"/>
        <v>8972</v>
      </c>
      <c r="K19" s="25">
        <f t="shared" si="5"/>
        <v>8012</v>
      </c>
      <c r="L19" s="25">
        <f t="shared" si="5"/>
        <v>10661</v>
      </c>
      <c r="M19" s="25">
        <f t="shared" si="5"/>
        <v>8886</v>
      </c>
      <c r="N19" s="25">
        <f t="shared" si="5"/>
        <v>13781</v>
      </c>
      <c r="O19" s="71" t="s">
        <v>192</v>
      </c>
      <c r="BV19" s="85" t="s">
        <v>2</v>
      </c>
      <c r="BW19" s="83">
        <f>C6</f>
        <v>52545</v>
      </c>
      <c r="BX19" s="83">
        <f>D6</f>
        <v>54718</v>
      </c>
      <c r="BY19" s="83">
        <f>E6</f>
        <v>58918</v>
      </c>
      <c r="BZ19" s="83">
        <f>F6</f>
        <v>47459</v>
      </c>
      <c r="CA19" s="83">
        <f>G6</f>
        <v>35403</v>
      </c>
      <c r="CB19" s="83">
        <f>H6</f>
        <v>24274</v>
      </c>
      <c r="CC19" s="83">
        <f>I6</f>
        <v>34021</v>
      </c>
      <c r="CD19" s="83">
        <f>J6</f>
        <v>39881</v>
      </c>
      <c r="CE19" s="83">
        <f>K6</f>
        <v>34131</v>
      </c>
      <c r="CF19" s="83">
        <f>L6</f>
        <v>47369</v>
      </c>
      <c r="CG19" s="83">
        <f>M6</f>
        <v>43178</v>
      </c>
      <c r="CH19" s="83">
        <f>N6</f>
        <v>64065</v>
      </c>
    </row>
    <row r="20" spans="1:86" s="18" customFormat="1" ht="18" customHeight="1">
      <c r="A20" s="21" t="s">
        <v>14</v>
      </c>
      <c r="B20" s="22">
        <f t="shared" si="4"/>
        <v>8418</v>
      </c>
      <c r="C20" s="23">
        <v>991</v>
      </c>
      <c r="D20" s="23">
        <v>1492</v>
      </c>
      <c r="E20" s="23">
        <v>1201</v>
      </c>
      <c r="F20" s="23">
        <v>406</v>
      </c>
      <c r="G20" s="23">
        <v>230</v>
      </c>
      <c r="H20" s="23">
        <v>228</v>
      </c>
      <c r="I20" s="23">
        <v>933</v>
      </c>
      <c r="J20" s="23">
        <v>253</v>
      </c>
      <c r="K20" s="23">
        <v>286</v>
      </c>
      <c r="L20" s="23">
        <v>908</v>
      </c>
      <c r="M20" s="23">
        <v>407</v>
      </c>
      <c r="N20" s="23">
        <v>1083</v>
      </c>
      <c r="O20" s="72" t="s">
        <v>193</v>
      </c>
      <c r="P20" s="15"/>
      <c r="BV20" s="85" t="s">
        <v>15</v>
      </c>
      <c r="BW20" s="83">
        <f>C46</f>
        <v>34531</v>
      </c>
      <c r="BX20" s="83">
        <f>D46</f>
        <v>57810</v>
      </c>
      <c r="BY20" s="83">
        <f>E46</f>
        <v>42522</v>
      </c>
      <c r="BZ20" s="83">
        <f>F46</f>
        <v>43638</v>
      </c>
      <c r="CA20" s="83">
        <f>G46</f>
        <v>50950</v>
      </c>
      <c r="CB20" s="83">
        <f>H46</f>
        <v>49101</v>
      </c>
      <c r="CC20" s="83">
        <f>I46</f>
        <v>59137</v>
      </c>
      <c r="CD20" s="83">
        <f>J46</f>
        <v>59197</v>
      </c>
      <c r="CE20" s="83">
        <f>K46</f>
        <v>50302</v>
      </c>
      <c r="CF20" s="83">
        <f>L46</f>
        <v>50127</v>
      </c>
      <c r="CG20" s="83">
        <f>M46</f>
        <v>39544</v>
      </c>
      <c r="CH20" s="83">
        <f>N46</f>
        <v>41463</v>
      </c>
    </row>
    <row r="21" spans="1:86" s="18" customFormat="1" ht="18" customHeight="1">
      <c r="A21" s="21" t="s">
        <v>143</v>
      </c>
      <c r="B21" s="22">
        <f t="shared" si="4"/>
        <v>2109</v>
      </c>
      <c r="C21" s="23">
        <v>262</v>
      </c>
      <c r="D21" s="23">
        <v>314</v>
      </c>
      <c r="E21" s="23">
        <v>211</v>
      </c>
      <c r="F21" s="23">
        <v>129</v>
      </c>
      <c r="G21" s="23">
        <v>96</v>
      </c>
      <c r="H21" s="23">
        <v>106</v>
      </c>
      <c r="I21" s="23">
        <v>66</v>
      </c>
      <c r="J21" s="23">
        <v>66</v>
      </c>
      <c r="K21" s="23">
        <v>63</v>
      </c>
      <c r="L21" s="23">
        <v>186</v>
      </c>
      <c r="M21" s="23">
        <v>164</v>
      </c>
      <c r="N21" s="23">
        <v>446</v>
      </c>
      <c r="O21" s="72" t="s">
        <v>108</v>
      </c>
      <c r="BV21" s="85" t="s">
        <v>181</v>
      </c>
      <c r="BW21" s="83">
        <f>SUM(BW22:BW25)</f>
        <v>9959</v>
      </c>
      <c r="BX21" s="83">
        <f t="shared" ref="BX21:CH21" si="6">SUM(BX22:BX25)</f>
        <v>7912</v>
      </c>
      <c r="BY21" s="83">
        <f t="shared" si="6"/>
        <v>10964</v>
      </c>
      <c r="BZ21" s="83">
        <f t="shared" si="6"/>
        <v>11113</v>
      </c>
      <c r="CA21" s="83">
        <f t="shared" si="6"/>
        <v>9005</v>
      </c>
      <c r="CB21" s="83">
        <f t="shared" si="6"/>
        <v>8116</v>
      </c>
      <c r="CC21" s="83">
        <f t="shared" si="6"/>
        <v>11343</v>
      </c>
      <c r="CD21" s="83">
        <f t="shared" si="6"/>
        <v>11028</v>
      </c>
      <c r="CE21" s="83">
        <f t="shared" si="6"/>
        <v>11056</v>
      </c>
      <c r="CF21" s="83">
        <f t="shared" si="6"/>
        <v>7973</v>
      </c>
      <c r="CG21" s="83">
        <f t="shared" si="6"/>
        <v>7469</v>
      </c>
      <c r="CH21" s="83">
        <f t="shared" si="6"/>
        <v>13693</v>
      </c>
    </row>
    <row r="22" spans="1:86" s="18" customFormat="1" ht="18" customHeight="1">
      <c r="A22" s="21" t="s">
        <v>144</v>
      </c>
      <c r="B22" s="22">
        <f t="shared" si="4"/>
        <v>2856</v>
      </c>
      <c r="C22" s="23">
        <v>213</v>
      </c>
      <c r="D22" s="23">
        <v>198</v>
      </c>
      <c r="E22" s="23">
        <v>229</v>
      </c>
      <c r="F22" s="23">
        <v>256</v>
      </c>
      <c r="G22" s="23">
        <v>213</v>
      </c>
      <c r="H22" s="23">
        <v>260</v>
      </c>
      <c r="I22" s="23">
        <v>269</v>
      </c>
      <c r="J22" s="23">
        <v>305</v>
      </c>
      <c r="K22" s="23">
        <v>265</v>
      </c>
      <c r="L22" s="23">
        <v>233</v>
      </c>
      <c r="M22" s="23">
        <v>162</v>
      </c>
      <c r="N22" s="23">
        <v>253</v>
      </c>
      <c r="O22" s="72" t="s">
        <v>194</v>
      </c>
      <c r="P22" s="15"/>
      <c r="BV22" s="85" t="s">
        <v>26</v>
      </c>
      <c r="BW22" s="83">
        <f>C74</f>
        <v>1780</v>
      </c>
      <c r="BX22" s="83">
        <f t="shared" ref="BX22:CH22" si="7">D74</f>
        <v>1225</v>
      </c>
      <c r="BY22" s="83">
        <f t="shared" si="7"/>
        <v>1633</v>
      </c>
      <c r="BZ22" s="83">
        <f t="shared" si="7"/>
        <v>2190</v>
      </c>
      <c r="CA22" s="83">
        <f t="shared" si="7"/>
        <v>1866</v>
      </c>
      <c r="CB22" s="83">
        <f t="shared" si="7"/>
        <v>2017</v>
      </c>
      <c r="CC22" s="83">
        <f t="shared" si="7"/>
        <v>2202</v>
      </c>
      <c r="CD22" s="83">
        <f t="shared" si="7"/>
        <v>1659</v>
      </c>
      <c r="CE22" s="83">
        <f t="shared" si="7"/>
        <v>2141</v>
      </c>
      <c r="CF22" s="83">
        <f t="shared" si="7"/>
        <v>1609</v>
      </c>
      <c r="CG22" s="83">
        <f t="shared" si="7"/>
        <v>1311</v>
      </c>
      <c r="CH22" s="83">
        <f t="shared" si="7"/>
        <v>2144</v>
      </c>
    </row>
    <row r="23" spans="1:86" s="18" customFormat="1" ht="18" customHeight="1">
      <c r="A23" s="21" t="s">
        <v>145</v>
      </c>
      <c r="B23" s="22">
        <f t="shared" si="4"/>
        <v>4153</v>
      </c>
      <c r="C23" s="23">
        <v>324</v>
      </c>
      <c r="D23" s="23">
        <v>466</v>
      </c>
      <c r="E23" s="23">
        <v>369</v>
      </c>
      <c r="F23" s="23">
        <v>177</v>
      </c>
      <c r="G23" s="23">
        <v>199</v>
      </c>
      <c r="H23" s="23">
        <v>368</v>
      </c>
      <c r="I23" s="23">
        <v>627</v>
      </c>
      <c r="J23" s="23">
        <v>252</v>
      </c>
      <c r="K23" s="23">
        <v>296</v>
      </c>
      <c r="L23" s="23">
        <v>349</v>
      </c>
      <c r="M23" s="23">
        <v>294</v>
      </c>
      <c r="N23" s="23">
        <v>432</v>
      </c>
      <c r="O23" s="72" t="s">
        <v>195</v>
      </c>
      <c r="BV23" s="85" t="s">
        <v>22</v>
      </c>
      <c r="BW23" s="83">
        <f>C66</f>
        <v>605</v>
      </c>
      <c r="BX23" s="83">
        <f t="shared" ref="BX23:CH23" si="8">D66</f>
        <v>395</v>
      </c>
      <c r="BY23" s="83">
        <f t="shared" si="8"/>
        <v>707</v>
      </c>
      <c r="BZ23" s="83">
        <f t="shared" si="8"/>
        <v>965</v>
      </c>
      <c r="CA23" s="83">
        <f t="shared" si="8"/>
        <v>716</v>
      </c>
      <c r="CB23" s="83">
        <f t="shared" si="8"/>
        <v>754</v>
      </c>
      <c r="CC23" s="83">
        <f t="shared" si="8"/>
        <v>901</v>
      </c>
      <c r="CD23" s="83">
        <f t="shared" si="8"/>
        <v>975</v>
      </c>
      <c r="CE23" s="83">
        <f t="shared" si="8"/>
        <v>818</v>
      </c>
      <c r="CF23" s="83">
        <f t="shared" si="8"/>
        <v>598</v>
      </c>
      <c r="CG23" s="83">
        <f t="shared" si="8"/>
        <v>482</v>
      </c>
      <c r="CH23" s="83">
        <f t="shared" si="8"/>
        <v>1360</v>
      </c>
    </row>
    <row r="24" spans="1:86" s="18" customFormat="1" ht="18" customHeight="1">
      <c r="A24" s="21" t="s">
        <v>13</v>
      </c>
      <c r="B24" s="22">
        <f t="shared" si="4"/>
        <v>9138</v>
      </c>
      <c r="C24" s="23">
        <v>1035</v>
      </c>
      <c r="D24" s="23">
        <v>924</v>
      </c>
      <c r="E24" s="23">
        <v>780</v>
      </c>
      <c r="F24" s="23">
        <v>570</v>
      </c>
      <c r="G24" s="23">
        <v>295</v>
      </c>
      <c r="H24" s="23">
        <v>389</v>
      </c>
      <c r="I24" s="23">
        <v>426</v>
      </c>
      <c r="J24" s="23">
        <v>287</v>
      </c>
      <c r="K24" s="23">
        <v>300</v>
      </c>
      <c r="L24" s="23">
        <v>1260</v>
      </c>
      <c r="M24" s="23">
        <v>847</v>
      </c>
      <c r="N24" s="23">
        <v>2025</v>
      </c>
      <c r="O24" s="72" t="s">
        <v>196</v>
      </c>
      <c r="P24" s="15"/>
      <c r="BV24" s="85" t="s">
        <v>24</v>
      </c>
      <c r="BW24" s="83">
        <f>C69</f>
        <v>3689</v>
      </c>
      <c r="BX24" s="83">
        <f t="shared" ref="BX24:CH24" si="9">D69</f>
        <v>3782</v>
      </c>
      <c r="BY24" s="83">
        <f t="shared" si="9"/>
        <v>4504</v>
      </c>
      <c r="BZ24" s="83">
        <f t="shared" si="9"/>
        <v>4550</v>
      </c>
      <c r="CA24" s="83">
        <f t="shared" si="9"/>
        <v>3683</v>
      </c>
      <c r="CB24" s="83">
        <f t="shared" si="9"/>
        <v>3004</v>
      </c>
      <c r="CC24" s="83">
        <f t="shared" si="9"/>
        <v>3458</v>
      </c>
      <c r="CD24" s="83">
        <f t="shared" si="9"/>
        <v>3179</v>
      </c>
      <c r="CE24" s="83">
        <f t="shared" si="9"/>
        <v>3423</v>
      </c>
      <c r="CF24" s="83">
        <f t="shared" si="9"/>
        <v>3614</v>
      </c>
      <c r="CG24" s="83">
        <f t="shared" si="9"/>
        <v>3496</v>
      </c>
      <c r="CH24" s="83">
        <f t="shared" si="9"/>
        <v>6220</v>
      </c>
    </row>
    <row r="25" spans="1:86" s="18" customFormat="1" ht="18" customHeight="1">
      <c r="A25" s="21" t="s">
        <v>4</v>
      </c>
      <c r="B25" s="22">
        <f t="shared" si="4"/>
        <v>92780</v>
      </c>
      <c r="C25" s="23">
        <v>7150</v>
      </c>
      <c r="D25" s="23">
        <v>8752</v>
      </c>
      <c r="E25" s="23">
        <v>9261</v>
      </c>
      <c r="F25" s="23">
        <v>8793</v>
      </c>
      <c r="G25" s="23">
        <v>6867</v>
      </c>
      <c r="H25" s="23">
        <v>5923</v>
      </c>
      <c r="I25" s="23">
        <v>7174</v>
      </c>
      <c r="J25" s="23">
        <v>7805</v>
      </c>
      <c r="K25" s="23">
        <v>6799</v>
      </c>
      <c r="L25" s="23">
        <v>7724</v>
      </c>
      <c r="M25" s="23">
        <v>7001</v>
      </c>
      <c r="N25" s="23">
        <v>9531</v>
      </c>
      <c r="O25" s="72" t="s">
        <v>116</v>
      </c>
      <c r="BV25" s="86" t="s">
        <v>42</v>
      </c>
      <c r="BW25" s="84">
        <f>C78</f>
        <v>3885</v>
      </c>
      <c r="BX25" s="84">
        <f t="shared" ref="BX25:CH25" si="10">D78</f>
        <v>2510</v>
      </c>
      <c r="BY25" s="84">
        <f t="shared" si="10"/>
        <v>4120</v>
      </c>
      <c r="BZ25" s="84">
        <f t="shared" si="10"/>
        <v>3408</v>
      </c>
      <c r="CA25" s="84">
        <f t="shared" si="10"/>
        <v>2740</v>
      </c>
      <c r="CB25" s="84">
        <f t="shared" si="10"/>
        <v>2341</v>
      </c>
      <c r="CC25" s="84">
        <f t="shared" si="10"/>
        <v>4782</v>
      </c>
      <c r="CD25" s="84">
        <f t="shared" si="10"/>
        <v>5215</v>
      </c>
      <c r="CE25" s="84">
        <f t="shared" si="10"/>
        <v>4674</v>
      </c>
      <c r="CF25" s="84">
        <f t="shared" si="10"/>
        <v>2152</v>
      </c>
      <c r="CG25" s="84">
        <f t="shared" si="10"/>
        <v>2180</v>
      </c>
      <c r="CH25" s="84">
        <f t="shared" si="10"/>
        <v>3969</v>
      </c>
    </row>
    <row r="26" spans="1:86" s="18" customFormat="1" ht="18" customHeight="1">
      <c r="A26" s="21" t="s">
        <v>47</v>
      </c>
      <c r="B26" s="22">
        <f t="shared" si="4"/>
        <v>108</v>
      </c>
      <c r="C26" s="23">
        <v>36</v>
      </c>
      <c r="D26" s="23">
        <v>14</v>
      </c>
      <c r="E26" s="23">
        <v>12</v>
      </c>
      <c r="F26" s="23">
        <v>1</v>
      </c>
      <c r="G26" s="23">
        <v>4</v>
      </c>
      <c r="H26" s="23">
        <v>3</v>
      </c>
      <c r="I26" s="23">
        <v>8</v>
      </c>
      <c r="J26" s="23">
        <v>4</v>
      </c>
      <c r="K26" s="23">
        <v>3</v>
      </c>
      <c r="L26" s="23">
        <v>1</v>
      </c>
      <c r="M26" s="23">
        <v>11</v>
      </c>
      <c r="N26" s="23">
        <v>11</v>
      </c>
      <c r="O26" s="72" t="s">
        <v>117</v>
      </c>
      <c r="P26" s="15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</row>
    <row r="27" spans="1:86" s="18" customFormat="1" ht="18" customHeight="1">
      <c r="A27" s="20" t="s">
        <v>146</v>
      </c>
      <c r="B27" s="22">
        <f t="shared" si="4"/>
        <v>95817</v>
      </c>
      <c r="C27" s="25">
        <f>SUM(C28:C33)</f>
        <v>9812</v>
      </c>
      <c r="D27" s="25">
        <f t="shared" ref="D27:N27" si="11">SUM(D28:D33)</f>
        <v>9953</v>
      </c>
      <c r="E27" s="25">
        <f t="shared" si="11"/>
        <v>12029</v>
      </c>
      <c r="F27" s="25">
        <f t="shared" si="11"/>
        <v>7632</v>
      </c>
      <c r="G27" s="25">
        <f t="shared" si="11"/>
        <v>3982</v>
      </c>
      <c r="H27" s="25">
        <f t="shared" si="11"/>
        <v>4168</v>
      </c>
      <c r="I27" s="25">
        <f t="shared" si="11"/>
        <v>5519</v>
      </c>
      <c r="J27" s="25">
        <f t="shared" si="11"/>
        <v>9800</v>
      </c>
      <c r="K27" s="25">
        <f t="shared" si="11"/>
        <v>5859</v>
      </c>
      <c r="L27" s="25">
        <f t="shared" si="11"/>
        <v>6157</v>
      </c>
      <c r="M27" s="25">
        <f t="shared" si="11"/>
        <v>6613</v>
      </c>
      <c r="N27" s="25">
        <f t="shared" si="11"/>
        <v>14293</v>
      </c>
      <c r="O27" s="71" t="s">
        <v>197</v>
      </c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</row>
    <row r="28" spans="1:86" s="18" customFormat="1" ht="18" customHeight="1">
      <c r="A28" s="21" t="s">
        <v>147</v>
      </c>
      <c r="B28" s="22">
        <f t="shared" si="4"/>
        <v>1700</v>
      </c>
      <c r="C28" s="23">
        <v>171</v>
      </c>
      <c r="D28" s="23">
        <v>147</v>
      </c>
      <c r="E28" s="23">
        <v>135</v>
      </c>
      <c r="F28" s="23">
        <v>157</v>
      </c>
      <c r="G28" s="23">
        <v>67</v>
      </c>
      <c r="H28" s="23">
        <v>77</v>
      </c>
      <c r="I28" s="23">
        <v>144</v>
      </c>
      <c r="J28" s="23">
        <v>162</v>
      </c>
      <c r="K28" s="23">
        <v>137</v>
      </c>
      <c r="L28" s="23">
        <v>118</v>
      </c>
      <c r="M28" s="23">
        <v>122</v>
      </c>
      <c r="N28" s="23">
        <v>263</v>
      </c>
      <c r="O28" s="72" t="s">
        <v>110</v>
      </c>
      <c r="P28" s="15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</row>
    <row r="29" spans="1:86" s="18" customFormat="1" ht="18" customHeight="1">
      <c r="A29" s="21" t="s">
        <v>3</v>
      </c>
      <c r="B29" s="22">
        <f t="shared" si="4"/>
        <v>65616</v>
      </c>
      <c r="C29" s="23">
        <v>8039</v>
      </c>
      <c r="D29" s="23">
        <v>8224</v>
      </c>
      <c r="E29" s="23">
        <v>9725</v>
      </c>
      <c r="F29" s="23">
        <v>5686</v>
      </c>
      <c r="G29" s="23">
        <v>2163</v>
      </c>
      <c r="H29" s="23">
        <v>2017</v>
      </c>
      <c r="I29" s="23">
        <v>2538</v>
      </c>
      <c r="J29" s="23">
        <v>5603</v>
      </c>
      <c r="K29" s="23">
        <v>2828</v>
      </c>
      <c r="L29" s="23">
        <v>3084</v>
      </c>
      <c r="M29" s="23">
        <v>4429</v>
      </c>
      <c r="N29" s="23">
        <v>11280</v>
      </c>
      <c r="O29" s="72" t="s">
        <v>111</v>
      </c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</row>
    <row r="30" spans="1:86" s="18" customFormat="1" ht="18" customHeight="1">
      <c r="A30" s="21" t="s">
        <v>11</v>
      </c>
      <c r="B30" s="22">
        <f t="shared" si="4"/>
        <v>5057</v>
      </c>
      <c r="C30" s="23">
        <v>244</v>
      </c>
      <c r="D30" s="23">
        <v>276</v>
      </c>
      <c r="E30" s="23">
        <v>444</v>
      </c>
      <c r="F30" s="23">
        <v>364</v>
      </c>
      <c r="G30" s="23">
        <v>404</v>
      </c>
      <c r="H30" s="23">
        <v>446</v>
      </c>
      <c r="I30" s="23">
        <v>462</v>
      </c>
      <c r="J30" s="23">
        <v>645</v>
      </c>
      <c r="K30" s="23">
        <v>549</v>
      </c>
      <c r="L30" s="23">
        <v>506</v>
      </c>
      <c r="M30" s="23">
        <v>262</v>
      </c>
      <c r="N30" s="23">
        <v>455</v>
      </c>
      <c r="O30" s="72" t="s">
        <v>112</v>
      </c>
      <c r="P30" s="15"/>
    </row>
    <row r="31" spans="1:86" s="18" customFormat="1" ht="18" customHeight="1">
      <c r="A31" s="21" t="s">
        <v>148</v>
      </c>
      <c r="B31" s="22">
        <f t="shared" si="4"/>
        <v>1470</v>
      </c>
      <c r="C31" s="23">
        <v>146</v>
      </c>
      <c r="D31" s="23">
        <v>207</v>
      </c>
      <c r="E31" s="23">
        <v>117</v>
      </c>
      <c r="F31" s="23">
        <v>152</v>
      </c>
      <c r="G31" s="23">
        <v>110</v>
      </c>
      <c r="H31" s="23">
        <v>86</v>
      </c>
      <c r="I31" s="23">
        <v>85</v>
      </c>
      <c r="J31" s="23">
        <v>56</v>
      </c>
      <c r="K31" s="23">
        <v>84</v>
      </c>
      <c r="L31" s="23">
        <v>139</v>
      </c>
      <c r="M31" s="23">
        <v>113</v>
      </c>
      <c r="N31" s="23">
        <v>175</v>
      </c>
      <c r="O31" s="72" t="s">
        <v>198</v>
      </c>
    </row>
    <row r="32" spans="1:86" s="18" customFormat="1" ht="18" customHeight="1">
      <c r="A32" s="21" t="s">
        <v>10</v>
      </c>
      <c r="B32" s="22">
        <f t="shared" si="4"/>
        <v>17816</v>
      </c>
      <c r="C32" s="23">
        <v>699</v>
      </c>
      <c r="D32" s="23">
        <v>737</v>
      </c>
      <c r="E32" s="23">
        <v>1233</v>
      </c>
      <c r="F32" s="23">
        <v>907</v>
      </c>
      <c r="G32" s="23">
        <v>990</v>
      </c>
      <c r="H32" s="23">
        <v>1314</v>
      </c>
      <c r="I32" s="23">
        <v>2010</v>
      </c>
      <c r="J32" s="23">
        <v>3089</v>
      </c>
      <c r="K32" s="23">
        <v>1960</v>
      </c>
      <c r="L32" s="23">
        <v>1962</v>
      </c>
      <c r="M32" s="23">
        <v>1372</v>
      </c>
      <c r="N32" s="23">
        <v>1543</v>
      </c>
      <c r="O32" s="72" t="s">
        <v>115</v>
      </c>
      <c r="P32" s="15"/>
    </row>
    <row r="33" spans="1:16" s="18" customFormat="1" ht="18" customHeight="1">
      <c r="A33" s="21" t="s">
        <v>47</v>
      </c>
      <c r="B33" s="22">
        <f t="shared" si="4"/>
        <v>4158</v>
      </c>
      <c r="C33" s="23">
        <v>513</v>
      </c>
      <c r="D33" s="23">
        <v>362</v>
      </c>
      <c r="E33" s="23">
        <v>375</v>
      </c>
      <c r="F33" s="23">
        <v>366</v>
      </c>
      <c r="G33" s="23">
        <v>248</v>
      </c>
      <c r="H33" s="23">
        <v>228</v>
      </c>
      <c r="I33" s="23">
        <v>280</v>
      </c>
      <c r="J33" s="23">
        <v>245</v>
      </c>
      <c r="K33" s="23">
        <v>301</v>
      </c>
      <c r="L33" s="23">
        <v>348</v>
      </c>
      <c r="M33" s="23">
        <v>315</v>
      </c>
      <c r="N33" s="23">
        <v>577</v>
      </c>
      <c r="O33" s="72" t="s">
        <v>117</v>
      </c>
    </row>
    <row r="34" spans="1:16" s="18" customFormat="1" ht="18" customHeight="1">
      <c r="A34" s="20" t="s">
        <v>149</v>
      </c>
      <c r="B34" s="22">
        <f t="shared" si="4"/>
        <v>213729</v>
      </c>
      <c r="C34" s="25">
        <f>SUM(C35:C41)</f>
        <v>19455</v>
      </c>
      <c r="D34" s="25">
        <f t="shared" ref="D34:N34" si="12">SUM(D35:D41)</f>
        <v>23060</v>
      </c>
      <c r="E34" s="25">
        <f t="shared" si="12"/>
        <v>24641</v>
      </c>
      <c r="F34" s="25">
        <f t="shared" si="12"/>
        <v>20527</v>
      </c>
      <c r="G34" s="25">
        <f t="shared" si="12"/>
        <v>16885</v>
      </c>
      <c r="H34" s="25">
        <f t="shared" si="12"/>
        <v>7557</v>
      </c>
      <c r="I34" s="25">
        <f t="shared" si="12"/>
        <v>12119</v>
      </c>
      <c r="J34" s="25">
        <f t="shared" si="12"/>
        <v>13751</v>
      </c>
      <c r="K34" s="25">
        <f t="shared" si="12"/>
        <v>13318</v>
      </c>
      <c r="L34" s="25">
        <f t="shared" si="12"/>
        <v>21514</v>
      </c>
      <c r="M34" s="25">
        <f t="shared" si="12"/>
        <v>18669</v>
      </c>
      <c r="N34" s="25">
        <f t="shared" si="12"/>
        <v>22233</v>
      </c>
      <c r="O34" s="71" t="s">
        <v>199</v>
      </c>
      <c r="P34" s="15"/>
    </row>
    <row r="35" spans="1:16" s="18" customFormat="1" ht="18" customHeight="1">
      <c r="A35" s="21" t="s">
        <v>9</v>
      </c>
      <c r="B35" s="22">
        <f t="shared" si="4"/>
        <v>18981</v>
      </c>
      <c r="C35" s="23">
        <v>2621</v>
      </c>
      <c r="D35" s="23">
        <v>2509</v>
      </c>
      <c r="E35" s="23">
        <v>2380</v>
      </c>
      <c r="F35" s="23">
        <v>1335</v>
      </c>
      <c r="G35" s="23">
        <v>1029</v>
      </c>
      <c r="H35" s="23">
        <v>490</v>
      </c>
      <c r="I35" s="23">
        <v>1280</v>
      </c>
      <c r="J35" s="23">
        <v>959</v>
      </c>
      <c r="K35" s="23">
        <v>796</v>
      </c>
      <c r="L35" s="23">
        <v>1392</v>
      </c>
      <c r="M35" s="23">
        <v>1803</v>
      </c>
      <c r="N35" s="23">
        <v>2387</v>
      </c>
      <c r="O35" s="72" t="s">
        <v>104</v>
      </c>
    </row>
    <row r="36" spans="1:16" s="18" customFormat="1" ht="18" customHeight="1">
      <c r="A36" s="21" t="s">
        <v>12</v>
      </c>
      <c r="B36" s="22">
        <f t="shared" si="4"/>
        <v>5250</v>
      </c>
      <c r="C36" s="23">
        <v>480</v>
      </c>
      <c r="D36" s="23">
        <v>575</v>
      </c>
      <c r="E36" s="23">
        <v>515</v>
      </c>
      <c r="F36" s="23">
        <v>586</v>
      </c>
      <c r="G36" s="23">
        <v>285</v>
      </c>
      <c r="H36" s="23">
        <v>160</v>
      </c>
      <c r="I36" s="23">
        <v>503</v>
      </c>
      <c r="J36" s="23">
        <v>397</v>
      </c>
      <c r="K36" s="23">
        <v>300</v>
      </c>
      <c r="L36" s="23">
        <v>453</v>
      </c>
      <c r="M36" s="23">
        <v>374</v>
      </c>
      <c r="N36" s="23">
        <v>622</v>
      </c>
      <c r="O36" s="72" t="s">
        <v>107</v>
      </c>
      <c r="P36" s="15"/>
    </row>
    <row r="37" spans="1:16" s="18" customFormat="1" ht="18" customHeight="1">
      <c r="A37" s="21" t="s">
        <v>6</v>
      </c>
      <c r="B37" s="22">
        <f t="shared" si="4"/>
        <v>42024</v>
      </c>
      <c r="C37" s="23">
        <v>5694</v>
      </c>
      <c r="D37" s="23">
        <v>6690</v>
      </c>
      <c r="E37" s="23">
        <v>5272</v>
      </c>
      <c r="F37" s="23">
        <v>4973</v>
      </c>
      <c r="G37" s="23">
        <v>2815</v>
      </c>
      <c r="H37" s="23">
        <v>749</v>
      </c>
      <c r="I37" s="23">
        <v>1081</v>
      </c>
      <c r="J37" s="23">
        <v>2162</v>
      </c>
      <c r="K37" s="23">
        <v>1664</v>
      </c>
      <c r="L37" s="23">
        <v>3077</v>
      </c>
      <c r="M37" s="23">
        <v>2846</v>
      </c>
      <c r="N37" s="23">
        <v>5001</v>
      </c>
      <c r="O37" s="72" t="s">
        <v>109</v>
      </c>
    </row>
    <row r="38" spans="1:16" s="18" customFormat="1" ht="18" customHeight="1">
      <c r="A38" s="21" t="s">
        <v>5</v>
      </c>
      <c r="B38" s="22">
        <f t="shared" si="4"/>
        <v>105132</v>
      </c>
      <c r="C38" s="23">
        <v>7093</v>
      </c>
      <c r="D38" s="23">
        <v>8879</v>
      </c>
      <c r="E38" s="23">
        <v>12203</v>
      </c>
      <c r="F38" s="23">
        <v>8388</v>
      </c>
      <c r="G38" s="23">
        <v>10371</v>
      </c>
      <c r="H38" s="23">
        <v>4927</v>
      </c>
      <c r="I38" s="23">
        <v>5859</v>
      </c>
      <c r="J38" s="23">
        <v>7698</v>
      </c>
      <c r="K38" s="23">
        <v>8140</v>
      </c>
      <c r="L38" s="23">
        <v>12252</v>
      </c>
      <c r="M38" s="23">
        <v>9682</v>
      </c>
      <c r="N38" s="23">
        <v>9640</v>
      </c>
      <c r="O38" s="72" t="s">
        <v>200</v>
      </c>
      <c r="P38" s="15"/>
    </row>
    <row r="39" spans="1:16" s="18" customFormat="1" ht="18" customHeight="1">
      <c r="A39" s="24" t="s">
        <v>150</v>
      </c>
      <c r="B39" s="22">
        <f t="shared" si="4"/>
        <v>9640</v>
      </c>
      <c r="C39" s="23">
        <v>525</v>
      </c>
      <c r="D39" s="23">
        <v>669</v>
      </c>
      <c r="E39" s="23">
        <v>626</v>
      </c>
      <c r="F39" s="23">
        <v>549</v>
      </c>
      <c r="G39" s="23">
        <v>660</v>
      </c>
      <c r="H39" s="23">
        <v>516</v>
      </c>
      <c r="I39" s="23">
        <v>1466</v>
      </c>
      <c r="J39" s="23">
        <v>1525</v>
      </c>
      <c r="K39" s="23">
        <v>799</v>
      </c>
      <c r="L39" s="23">
        <v>759</v>
      </c>
      <c r="M39" s="23">
        <v>578</v>
      </c>
      <c r="N39" s="23">
        <v>968</v>
      </c>
      <c r="O39" s="72" t="s">
        <v>201</v>
      </c>
    </row>
    <row r="40" spans="1:16" s="18" customFormat="1" ht="18" customHeight="1">
      <c r="A40" s="21" t="s">
        <v>7</v>
      </c>
      <c r="B40" s="22">
        <f t="shared" si="4"/>
        <v>31923</v>
      </c>
      <c r="C40" s="23">
        <v>2996</v>
      </c>
      <c r="D40" s="23">
        <v>3660</v>
      </c>
      <c r="E40" s="23">
        <v>3567</v>
      </c>
      <c r="F40" s="23">
        <v>4574</v>
      </c>
      <c r="G40" s="23">
        <v>1686</v>
      </c>
      <c r="H40" s="23">
        <v>695</v>
      </c>
      <c r="I40" s="23">
        <v>1877</v>
      </c>
      <c r="J40" s="23">
        <v>933</v>
      </c>
      <c r="K40" s="23">
        <v>1590</v>
      </c>
      <c r="L40" s="23">
        <v>3538</v>
      </c>
      <c r="M40" s="23">
        <v>3324</v>
      </c>
      <c r="N40" s="23">
        <v>3483</v>
      </c>
      <c r="O40" s="72" t="s">
        <v>202</v>
      </c>
      <c r="P40" s="15"/>
    </row>
    <row r="41" spans="1:16" s="18" customFormat="1" ht="18" customHeight="1">
      <c r="A41" s="21" t="s">
        <v>47</v>
      </c>
      <c r="B41" s="22">
        <f t="shared" si="4"/>
        <v>779</v>
      </c>
      <c r="C41" s="23">
        <v>46</v>
      </c>
      <c r="D41" s="23">
        <v>78</v>
      </c>
      <c r="E41" s="23">
        <v>78</v>
      </c>
      <c r="F41" s="23">
        <v>122</v>
      </c>
      <c r="G41" s="23">
        <v>39</v>
      </c>
      <c r="H41" s="23">
        <v>20</v>
      </c>
      <c r="I41" s="23">
        <v>53</v>
      </c>
      <c r="J41" s="23">
        <v>77</v>
      </c>
      <c r="K41" s="23">
        <v>29</v>
      </c>
      <c r="L41" s="23">
        <v>43</v>
      </c>
      <c r="M41" s="23">
        <v>62</v>
      </c>
      <c r="N41" s="23">
        <v>132</v>
      </c>
      <c r="O41" s="72" t="s">
        <v>117</v>
      </c>
    </row>
    <row r="42" spans="1:16" s="18" customFormat="1" ht="23.25" customHeight="1">
      <c r="A42" s="26" t="s">
        <v>151</v>
      </c>
      <c r="B42" s="22">
        <f t="shared" si="4"/>
        <v>14112</v>
      </c>
      <c r="C42" s="25">
        <f>SUM(C43:C45)</f>
        <v>1368</v>
      </c>
      <c r="D42" s="25">
        <f t="shared" ref="D42:N42" si="13">SUM(D43:D45)</f>
        <v>987</v>
      </c>
      <c r="E42" s="25">
        <f t="shared" si="13"/>
        <v>842</v>
      </c>
      <c r="F42" s="25">
        <f t="shared" si="13"/>
        <v>1116</v>
      </c>
      <c r="G42" s="25">
        <f t="shared" si="13"/>
        <v>1084</v>
      </c>
      <c r="H42" s="25">
        <f t="shared" si="13"/>
        <v>953</v>
      </c>
      <c r="I42" s="25">
        <f t="shared" si="13"/>
        <v>901</v>
      </c>
      <c r="J42" s="25">
        <f t="shared" si="13"/>
        <v>1292</v>
      </c>
      <c r="K42" s="25">
        <f t="shared" si="13"/>
        <v>2251</v>
      </c>
      <c r="L42" s="25">
        <f t="shared" si="13"/>
        <v>1195</v>
      </c>
      <c r="M42" s="25">
        <f t="shared" si="13"/>
        <v>812</v>
      </c>
      <c r="N42" s="25">
        <f t="shared" si="13"/>
        <v>1311</v>
      </c>
      <c r="O42" s="71" t="s">
        <v>203</v>
      </c>
      <c r="P42" s="15"/>
    </row>
    <row r="43" spans="1:16" s="18" customFormat="1" ht="18" customHeight="1">
      <c r="A43" s="24" t="s">
        <v>152</v>
      </c>
      <c r="B43" s="22">
        <f t="shared" si="4"/>
        <v>3567</v>
      </c>
      <c r="C43" s="23">
        <v>236</v>
      </c>
      <c r="D43" s="23">
        <v>174</v>
      </c>
      <c r="E43" s="23">
        <v>168</v>
      </c>
      <c r="F43" s="23">
        <v>205</v>
      </c>
      <c r="G43" s="23">
        <v>260</v>
      </c>
      <c r="H43" s="23">
        <v>177</v>
      </c>
      <c r="I43" s="23">
        <v>297</v>
      </c>
      <c r="J43" s="23">
        <v>364</v>
      </c>
      <c r="K43" s="23">
        <v>747</v>
      </c>
      <c r="L43" s="23">
        <v>433</v>
      </c>
      <c r="M43" s="23">
        <v>167</v>
      </c>
      <c r="N43" s="23">
        <v>339</v>
      </c>
      <c r="O43" s="72" t="s">
        <v>204</v>
      </c>
    </row>
    <row r="44" spans="1:16" s="18" customFormat="1" ht="18" customHeight="1">
      <c r="A44" s="21" t="s">
        <v>153</v>
      </c>
      <c r="B44" s="22">
        <f t="shared" si="4"/>
        <v>10200</v>
      </c>
      <c r="C44" s="23">
        <v>1119</v>
      </c>
      <c r="D44" s="23">
        <v>789</v>
      </c>
      <c r="E44" s="23">
        <v>656</v>
      </c>
      <c r="F44" s="23">
        <v>875</v>
      </c>
      <c r="G44" s="23">
        <v>805</v>
      </c>
      <c r="H44" s="23">
        <v>748</v>
      </c>
      <c r="I44" s="23">
        <v>567</v>
      </c>
      <c r="J44" s="23">
        <v>870</v>
      </c>
      <c r="K44" s="23">
        <v>1483</v>
      </c>
      <c r="L44" s="23">
        <v>744</v>
      </c>
      <c r="M44" s="23">
        <v>618</v>
      </c>
      <c r="N44" s="23">
        <v>926</v>
      </c>
      <c r="O44" s="72" t="s">
        <v>205</v>
      </c>
      <c r="P44" s="15"/>
    </row>
    <row r="45" spans="1:16" s="18" customFormat="1" ht="18" customHeight="1">
      <c r="A45" s="27" t="s">
        <v>47</v>
      </c>
      <c r="B45" s="28">
        <f t="shared" si="4"/>
        <v>345</v>
      </c>
      <c r="C45" s="29">
        <v>13</v>
      </c>
      <c r="D45" s="29">
        <v>24</v>
      </c>
      <c r="E45" s="29">
        <v>18</v>
      </c>
      <c r="F45" s="29">
        <v>36</v>
      </c>
      <c r="G45" s="29">
        <v>19</v>
      </c>
      <c r="H45" s="29">
        <v>28</v>
      </c>
      <c r="I45" s="29">
        <v>37</v>
      </c>
      <c r="J45" s="29">
        <v>58</v>
      </c>
      <c r="K45" s="29">
        <v>21</v>
      </c>
      <c r="L45" s="29">
        <v>18</v>
      </c>
      <c r="M45" s="29">
        <v>27</v>
      </c>
      <c r="N45" s="29">
        <v>46</v>
      </c>
      <c r="O45" s="78" t="s">
        <v>117</v>
      </c>
    </row>
    <row r="46" spans="1:16" s="18" customFormat="1" ht="23.25" customHeight="1">
      <c r="A46" s="9" t="s">
        <v>15</v>
      </c>
      <c r="B46" s="83">
        <f t="shared" si="4"/>
        <v>578322</v>
      </c>
      <c r="C46" s="83">
        <f>C47+C53+C60</f>
        <v>34531</v>
      </c>
      <c r="D46" s="83">
        <f t="shared" ref="D46:N46" si="14">D47+D53+D60</f>
        <v>57810</v>
      </c>
      <c r="E46" s="83">
        <f t="shared" si="14"/>
        <v>42522</v>
      </c>
      <c r="F46" s="83">
        <f t="shared" si="14"/>
        <v>43638</v>
      </c>
      <c r="G46" s="83">
        <f t="shared" si="14"/>
        <v>50950</v>
      </c>
      <c r="H46" s="83">
        <f t="shared" si="14"/>
        <v>49101</v>
      </c>
      <c r="I46" s="83">
        <f t="shared" si="14"/>
        <v>59137</v>
      </c>
      <c r="J46" s="83">
        <f t="shared" si="14"/>
        <v>59197</v>
      </c>
      <c r="K46" s="83">
        <f t="shared" si="14"/>
        <v>50302</v>
      </c>
      <c r="L46" s="83">
        <f t="shared" si="14"/>
        <v>50127</v>
      </c>
      <c r="M46" s="83">
        <f t="shared" si="14"/>
        <v>39544</v>
      </c>
      <c r="N46" s="83">
        <f t="shared" si="14"/>
        <v>41463</v>
      </c>
      <c r="O46" s="77" t="s">
        <v>118</v>
      </c>
      <c r="P46" s="15"/>
    </row>
    <row r="47" spans="1:16" s="18" customFormat="1" ht="18" customHeight="1">
      <c r="A47" s="20" t="s">
        <v>154</v>
      </c>
      <c r="B47" s="22">
        <f t="shared" si="4"/>
        <v>441017</v>
      </c>
      <c r="C47" s="25">
        <f>SUM(C48:C52)</f>
        <v>25902</v>
      </c>
      <c r="D47" s="25">
        <f t="shared" ref="D47:N47" si="15">SUM(D48:D52)</f>
        <v>49233</v>
      </c>
      <c r="E47" s="25">
        <f t="shared" si="15"/>
        <v>32413</v>
      </c>
      <c r="F47" s="25">
        <f t="shared" si="15"/>
        <v>32398</v>
      </c>
      <c r="G47" s="25">
        <f t="shared" si="15"/>
        <v>37176</v>
      </c>
      <c r="H47" s="25">
        <f t="shared" si="15"/>
        <v>37780</v>
      </c>
      <c r="I47" s="25">
        <f t="shared" si="15"/>
        <v>47765</v>
      </c>
      <c r="J47" s="25">
        <f t="shared" si="15"/>
        <v>48060</v>
      </c>
      <c r="K47" s="25">
        <f t="shared" si="15"/>
        <v>38941</v>
      </c>
      <c r="L47" s="25">
        <f t="shared" si="15"/>
        <v>38809</v>
      </c>
      <c r="M47" s="25">
        <f t="shared" si="15"/>
        <v>28973</v>
      </c>
      <c r="N47" s="25">
        <f t="shared" si="15"/>
        <v>23567</v>
      </c>
      <c r="O47" s="73" t="s">
        <v>206</v>
      </c>
    </row>
    <row r="48" spans="1:16" s="18" customFormat="1" ht="18" customHeight="1">
      <c r="A48" s="21" t="s">
        <v>155</v>
      </c>
      <c r="B48" s="22">
        <f t="shared" si="4"/>
        <v>359514</v>
      </c>
      <c r="C48" s="23">
        <v>20469</v>
      </c>
      <c r="D48" s="23">
        <v>43349</v>
      </c>
      <c r="E48" s="23">
        <v>25069</v>
      </c>
      <c r="F48" s="23">
        <v>26398</v>
      </c>
      <c r="G48" s="23">
        <v>30864</v>
      </c>
      <c r="H48" s="23">
        <v>31965</v>
      </c>
      <c r="I48" s="23">
        <v>41527</v>
      </c>
      <c r="J48" s="23">
        <v>40850</v>
      </c>
      <c r="K48" s="23">
        <v>32198</v>
      </c>
      <c r="L48" s="23">
        <v>30714</v>
      </c>
      <c r="M48" s="23">
        <v>19856</v>
      </c>
      <c r="N48" s="23">
        <v>16255</v>
      </c>
      <c r="O48" s="72" t="s">
        <v>119</v>
      </c>
      <c r="P48" s="15"/>
    </row>
    <row r="49" spans="1:16" s="18" customFormat="1" ht="18" customHeight="1">
      <c r="A49" s="21" t="s">
        <v>16</v>
      </c>
      <c r="B49" s="22">
        <f t="shared" si="4"/>
        <v>39244</v>
      </c>
      <c r="C49" s="23">
        <v>2630</v>
      </c>
      <c r="D49" s="23">
        <v>3336</v>
      </c>
      <c r="E49" s="23">
        <v>3422</v>
      </c>
      <c r="F49" s="23">
        <v>2822</v>
      </c>
      <c r="G49" s="23">
        <v>2045</v>
      </c>
      <c r="H49" s="23">
        <v>2228</v>
      </c>
      <c r="I49" s="23">
        <v>3290</v>
      </c>
      <c r="J49" s="23">
        <v>4408</v>
      </c>
      <c r="K49" s="23">
        <v>3948</v>
      </c>
      <c r="L49" s="23">
        <v>3358</v>
      </c>
      <c r="M49" s="23">
        <v>3938</v>
      </c>
      <c r="N49" s="23">
        <v>3819</v>
      </c>
      <c r="O49" s="72" t="s">
        <v>123</v>
      </c>
    </row>
    <row r="50" spans="1:16" s="18" customFormat="1" ht="18" customHeight="1">
      <c r="A50" s="21" t="s">
        <v>18</v>
      </c>
      <c r="B50" s="22">
        <f t="shared" si="4"/>
        <v>33001</v>
      </c>
      <c r="C50" s="23">
        <v>2133</v>
      </c>
      <c r="D50" s="23">
        <v>1648</v>
      </c>
      <c r="E50" s="23">
        <v>3184</v>
      </c>
      <c r="F50" s="23">
        <v>2565</v>
      </c>
      <c r="G50" s="23">
        <v>3485</v>
      </c>
      <c r="H50" s="23">
        <v>2734</v>
      </c>
      <c r="I50" s="23">
        <v>2084</v>
      </c>
      <c r="J50" s="23">
        <v>2077</v>
      </c>
      <c r="K50" s="23">
        <v>2108</v>
      </c>
      <c r="L50" s="23">
        <v>3704</v>
      </c>
      <c r="M50" s="23">
        <v>4521</v>
      </c>
      <c r="N50" s="23">
        <v>2758</v>
      </c>
      <c r="O50" s="72" t="s">
        <v>122</v>
      </c>
      <c r="P50" s="15"/>
    </row>
    <row r="51" spans="1:16" s="18" customFormat="1" ht="18" customHeight="1">
      <c r="A51" s="21" t="s">
        <v>156</v>
      </c>
      <c r="B51" s="22">
        <f t="shared" si="4"/>
        <v>9177</v>
      </c>
      <c r="C51" s="23">
        <v>663</v>
      </c>
      <c r="D51" s="23">
        <v>898</v>
      </c>
      <c r="E51" s="23">
        <v>735</v>
      </c>
      <c r="F51" s="23">
        <v>603</v>
      </c>
      <c r="G51" s="23">
        <v>758</v>
      </c>
      <c r="H51" s="23">
        <v>850</v>
      </c>
      <c r="I51" s="23">
        <v>861</v>
      </c>
      <c r="J51" s="23">
        <v>724</v>
      </c>
      <c r="K51" s="23">
        <v>682</v>
      </c>
      <c r="L51" s="23">
        <v>1030</v>
      </c>
      <c r="M51" s="23">
        <v>657</v>
      </c>
      <c r="N51" s="23">
        <v>716</v>
      </c>
      <c r="O51" s="72" t="s">
        <v>126</v>
      </c>
    </row>
    <row r="52" spans="1:16" s="18" customFormat="1" ht="18" customHeight="1">
      <c r="A52" s="21" t="s">
        <v>47</v>
      </c>
      <c r="B52" s="22">
        <f t="shared" si="4"/>
        <v>81</v>
      </c>
      <c r="C52" s="23">
        <v>7</v>
      </c>
      <c r="D52" s="23">
        <v>2</v>
      </c>
      <c r="E52" s="23">
        <v>3</v>
      </c>
      <c r="F52" s="23">
        <v>10</v>
      </c>
      <c r="G52" s="23">
        <v>24</v>
      </c>
      <c r="H52" s="23">
        <v>3</v>
      </c>
      <c r="I52" s="23">
        <v>3</v>
      </c>
      <c r="J52" s="23">
        <v>1</v>
      </c>
      <c r="K52" s="23">
        <v>5</v>
      </c>
      <c r="L52" s="23">
        <v>3</v>
      </c>
      <c r="M52" s="23">
        <v>1</v>
      </c>
      <c r="N52" s="23">
        <v>19</v>
      </c>
      <c r="O52" s="72" t="s">
        <v>117</v>
      </c>
      <c r="P52" s="15"/>
    </row>
    <row r="53" spans="1:16" s="18" customFormat="1" ht="18" customHeight="1">
      <c r="A53" s="20" t="s">
        <v>157</v>
      </c>
      <c r="B53" s="22">
        <f t="shared" si="4"/>
        <v>59354</v>
      </c>
      <c r="C53" s="25">
        <f>SUM(C54:C59)</f>
        <v>2937</v>
      </c>
      <c r="D53" s="25">
        <f t="shared" ref="D53:N53" si="16">SUM(D54:D59)</f>
        <v>3011</v>
      </c>
      <c r="E53" s="25">
        <f t="shared" si="16"/>
        <v>4198</v>
      </c>
      <c r="F53" s="25">
        <f t="shared" si="16"/>
        <v>5525</v>
      </c>
      <c r="G53" s="25">
        <f t="shared" si="16"/>
        <v>6688</v>
      </c>
      <c r="H53" s="25">
        <f t="shared" si="16"/>
        <v>5330</v>
      </c>
      <c r="I53" s="25">
        <f t="shared" si="16"/>
        <v>5201</v>
      </c>
      <c r="J53" s="25">
        <f t="shared" si="16"/>
        <v>4794</v>
      </c>
      <c r="K53" s="25">
        <f t="shared" si="16"/>
        <v>5534</v>
      </c>
      <c r="L53" s="25">
        <f t="shared" si="16"/>
        <v>4881</v>
      </c>
      <c r="M53" s="25">
        <f t="shared" si="16"/>
        <v>4275</v>
      </c>
      <c r="N53" s="25">
        <f t="shared" si="16"/>
        <v>6980</v>
      </c>
      <c r="O53" s="73" t="s">
        <v>207</v>
      </c>
    </row>
    <row r="54" spans="1:16" s="18" customFormat="1" ht="18" customHeight="1">
      <c r="A54" s="21" t="s">
        <v>158</v>
      </c>
      <c r="B54" s="22">
        <f t="shared" si="4"/>
        <v>3452</v>
      </c>
      <c r="C54" s="23">
        <v>140</v>
      </c>
      <c r="D54" s="23">
        <v>152</v>
      </c>
      <c r="E54" s="23">
        <v>212</v>
      </c>
      <c r="F54" s="23">
        <v>212</v>
      </c>
      <c r="G54" s="23">
        <v>438</v>
      </c>
      <c r="H54" s="23">
        <v>216</v>
      </c>
      <c r="I54" s="23">
        <v>407</v>
      </c>
      <c r="J54" s="23">
        <v>355</v>
      </c>
      <c r="K54" s="23">
        <v>221</v>
      </c>
      <c r="L54" s="23">
        <v>409</v>
      </c>
      <c r="M54" s="23">
        <v>216</v>
      </c>
      <c r="N54" s="23">
        <v>474</v>
      </c>
      <c r="O54" s="72" t="s">
        <v>120</v>
      </c>
      <c r="P54" s="15"/>
    </row>
    <row r="55" spans="1:16" s="18" customFormat="1" ht="18" customHeight="1">
      <c r="A55" s="21" t="s">
        <v>159</v>
      </c>
      <c r="B55" s="22">
        <f t="shared" si="4"/>
        <v>12575</v>
      </c>
      <c r="C55" s="23">
        <v>789</v>
      </c>
      <c r="D55" s="23">
        <v>579</v>
      </c>
      <c r="E55" s="23">
        <v>1008</v>
      </c>
      <c r="F55" s="23">
        <v>986</v>
      </c>
      <c r="G55" s="23">
        <v>1414</v>
      </c>
      <c r="H55" s="23">
        <v>1136</v>
      </c>
      <c r="I55" s="23">
        <v>1311</v>
      </c>
      <c r="J55" s="23">
        <v>944</v>
      </c>
      <c r="K55" s="23">
        <v>756</v>
      </c>
      <c r="L55" s="23">
        <v>982</v>
      </c>
      <c r="M55" s="23">
        <v>1156</v>
      </c>
      <c r="N55" s="23">
        <v>1514</v>
      </c>
      <c r="O55" s="72" t="s">
        <v>124</v>
      </c>
    </row>
    <row r="56" spans="1:16" s="18" customFormat="1" ht="18" customHeight="1">
      <c r="A56" s="21" t="s">
        <v>160</v>
      </c>
      <c r="B56" s="22">
        <f t="shared" si="4"/>
        <v>6907</v>
      </c>
      <c r="C56" s="23">
        <v>381</v>
      </c>
      <c r="D56" s="23">
        <v>451</v>
      </c>
      <c r="E56" s="23">
        <v>549</v>
      </c>
      <c r="F56" s="23">
        <v>628</v>
      </c>
      <c r="G56" s="23">
        <v>739</v>
      </c>
      <c r="H56" s="23">
        <v>613</v>
      </c>
      <c r="I56" s="23">
        <v>695</v>
      </c>
      <c r="J56" s="23">
        <v>594</v>
      </c>
      <c r="K56" s="23">
        <v>616</v>
      </c>
      <c r="L56" s="23">
        <v>503</v>
      </c>
      <c r="M56" s="23">
        <v>470</v>
      </c>
      <c r="N56" s="23">
        <v>668</v>
      </c>
      <c r="O56" s="72" t="s">
        <v>208</v>
      </c>
      <c r="P56" s="15"/>
    </row>
    <row r="57" spans="1:16" s="18" customFormat="1" ht="18" customHeight="1">
      <c r="A57" s="21" t="s">
        <v>21</v>
      </c>
      <c r="B57" s="22">
        <f t="shared" si="4"/>
        <v>15881</v>
      </c>
      <c r="C57" s="23">
        <v>873</v>
      </c>
      <c r="D57" s="23">
        <v>948</v>
      </c>
      <c r="E57" s="23">
        <v>1347</v>
      </c>
      <c r="F57" s="23">
        <v>1054</v>
      </c>
      <c r="G57" s="23">
        <v>1583</v>
      </c>
      <c r="H57" s="23">
        <v>1986</v>
      </c>
      <c r="I57" s="23">
        <v>1120</v>
      </c>
      <c r="J57" s="23">
        <v>1173</v>
      </c>
      <c r="K57" s="23">
        <v>1099</v>
      </c>
      <c r="L57" s="23">
        <v>1034</v>
      </c>
      <c r="M57" s="23">
        <v>1282</v>
      </c>
      <c r="N57" s="23">
        <v>2382</v>
      </c>
      <c r="O57" s="72" t="s">
        <v>209</v>
      </c>
    </row>
    <row r="58" spans="1:16" s="18" customFormat="1" ht="18" customHeight="1">
      <c r="A58" s="21" t="s">
        <v>20</v>
      </c>
      <c r="B58" s="22">
        <f t="shared" si="4"/>
        <v>15910</v>
      </c>
      <c r="C58" s="23">
        <v>474</v>
      </c>
      <c r="D58" s="23">
        <v>627</v>
      </c>
      <c r="E58" s="23">
        <v>845</v>
      </c>
      <c r="F58" s="23">
        <v>2053</v>
      </c>
      <c r="G58" s="23">
        <v>2249</v>
      </c>
      <c r="H58" s="23">
        <v>1085</v>
      </c>
      <c r="I58" s="23">
        <v>1283</v>
      </c>
      <c r="J58" s="23">
        <v>1349</v>
      </c>
      <c r="K58" s="23">
        <v>2192</v>
      </c>
      <c r="L58" s="23">
        <v>1506</v>
      </c>
      <c r="M58" s="23">
        <v>860</v>
      </c>
      <c r="N58" s="23">
        <v>1387</v>
      </c>
      <c r="O58" s="72" t="s">
        <v>210</v>
      </c>
      <c r="P58" s="15"/>
    </row>
    <row r="59" spans="1:16" s="18" customFormat="1" ht="18" customHeight="1">
      <c r="A59" s="21" t="s">
        <v>47</v>
      </c>
      <c r="B59" s="22">
        <f t="shared" si="4"/>
        <v>4629</v>
      </c>
      <c r="C59" s="23">
        <v>280</v>
      </c>
      <c r="D59" s="23">
        <v>254</v>
      </c>
      <c r="E59" s="23">
        <v>237</v>
      </c>
      <c r="F59" s="23">
        <v>592</v>
      </c>
      <c r="G59" s="23">
        <v>265</v>
      </c>
      <c r="H59" s="23">
        <v>294</v>
      </c>
      <c r="I59" s="23">
        <v>385</v>
      </c>
      <c r="J59" s="23">
        <v>379</v>
      </c>
      <c r="K59" s="23">
        <v>650</v>
      </c>
      <c r="L59" s="23">
        <v>447</v>
      </c>
      <c r="M59" s="23">
        <v>291</v>
      </c>
      <c r="N59" s="23">
        <v>555</v>
      </c>
      <c r="O59" s="72" t="s">
        <v>117</v>
      </c>
    </row>
    <row r="60" spans="1:16" s="18" customFormat="1" ht="18" customHeight="1">
      <c r="A60" s="20" t="s">
        <v>161</v>
      </c>
      <c r="B60" s="22">
        <f t="shared" si="4"/>
        <v>77951</v>
      </c>
      <c r="C60" s="25">
        <f t="shared" ref="C60:N60" si="17">SUM(C61:C65)</f>
        <v>5692</v>
      </c>
      <c r="D60" s="25">
        <f t="shared" si="17"/>
        <v>5566</v>
      </c>
      <c r="E60" s="25">
        <f t="shared" si="17"/>
        <v>5911</v>
      </c>
      <c r="F60" s="25">
        <f t="shared" si="17"/>
        <v>5715</v>
      </c>
      <c r="G60" s="25">
        <f t="shared" si="17"/>
        <v>7086</v>
      </c>
      <c r="H60" s="25">
        <f t="shared" si="17"/>
        <v>5991</v>
      </c>
      <c r="I60" s="25">
        <f t="shared" si="17"/>
        <v>6171</v>
      </c>
      <c r="J60" s="25">
        <f t="shared" si="17"/>
        <v>6343</v>
      </c>
      <c r="K60" s="25">
        <f t="shared" si="17"/>
        <v>5827</v>
      </c>
      <c r="L60" s="25">
        <f t="shared" si="17"/>
        <v>6437</v>
      </c>
      <c r="M60" s="25">
        <f t="shared" si="17"/>
        <v>6296</v>
      </c>
      <c r="N60" s="25">
        <f t="shared" si="17"/>
        <v>10916</v>
      </c>
      <c r="O60" s="73" t="s">
        <v>211</v>
      </c>
      <c r="P60" s="15"/>
    </row>
    <row r="61" spans="1:16" s="18" customFormat="1" ht="18" customHeight="1">
      <c r="A61" s="21" t="s">
        <v>162</v>
      </c>
      <c r="B61" s="22">
        <f t="shared" si="4"/>
        <v>4431</v>
      </c>
      <c r="C61" s="23">
        <v>289</v>
      </c>
      <c r="D61" s="23">
        <v>150</v>
      </c>
      <c r="E61" s="23">
        <v>233</v>
      </c>
      <c r="F61" s="23">
        <v>209</v>
      </c>
      <c r="G61" s="23">
        <v>294</v>
      </c>
      <c r="H61" s="23">
        <v>153</v>
      </c>
      <c r="I61" s="23">
        <v>721</v>
      </c>
      <c r="J61" s="23">
        <v>386</v>
      </c>
      <c r="K61" s="23">
        <v>638</v>
      </c>
      <c r="L61" s="23">
        <v>533</v>
      </c>
      <c r="M61" s="23">
        <v>213</v>
      </c>
      <c r="N61" s="23">
        <v>612</v>
      </c>
      <c r="O61" s="74" t="s">
        <v>212</v>
      </c>
    </row>
    <row r="62" spans="1:16" s="18" customFormat="1" ht="18" customHeight="1">
      <c r="A62" s="21" t="s">
        <v>17</v>
      </c>
      <c r="B62" s="22">
        <f t="shared" si="4"/>
        <v>52368</v>
      </c>
      <c r="C62" s="23">
        <v>3922</v>
      </c>
      <c r="D62" s="23">
        <v>4235</v>
      </c>
      <c r="E62" s="23">
        <v>3654</v>
      </c>
      <c r="F62" s="23">
        <v>3750</v>
      </c>
      <c r="G62" s="23">
        <v>5387</v>
      </c>
      <c r="H62" s="23">
        <v>4390</v>
      </c>
      <c r="I62" s="23">
        <v>3376</v>
      </c>
      <c r="J62" s="23">
        <v>3467</v>
      </c>
      <c r="K62" s="23">
        <v>3323</v>
      </c>
      <c r="L62" s="23">
        <v>4344</v>
      </c>
      <c r="M62" s="23">
        <v>4857</v>
      </c>
      <c r="N62" s="23">
        <v>7663</v>
      </c>
      <c r="O62" s="74" t="s">
        <v>121</v>
      </c>
      <c r="P62" s="15"/>
    </row>
    <row r="63" spans="1:16" s="18" customFormat="1" ht="18" customHeight="1">
      <c r="A63" s="21" t="s">
        <v>163</v>
      </c>
      <c r="B63" s="22">
        <f t="shared" si="4"/>
        <v>3987</v>
      </c>
      <c r="C63" s="23">
        <v>339</v>
      </c>
      <c r="D63" s="23">
        <v>184</v>
      </c>
      <c r="E63" s="23">
        <v>208</v>
      </c>
      <c r="F63" s="23">
        <v>329</v>
      </c>
      <c r="G63" s="23">
        <v>260</v>
      </c>
      <c r="H63" s="23">
        <v>329</v>
      </c>
      <c r="I63" s="23">
        <v>573</v>
      </c>
      <c r="J63" s="23">
        <v>411</v>
      </c>
      <c r="K63" s="23">
        <v>323</v>
      </c>
      <c r="L63" s="23">
        <v>285</v>
      </c>
      <c r="M63" s="23">
        <v>203</v>
      </c>
      <c r="N63" s="23">
        <v>543</v>
      </c>
      <c r="O63" s="74" t="s">
        <v>125</v>
      </c>
    </row>
    <row r="64" spans="1:16" s="18" customFormat="1" ht="18" customHeight="1">
      <c r="A64" s="21" t="s">
        <v>19</v>
      </c>
      <c r="B64" s="22">
        <f t="shared" si="4"/>
        <v>14153</v>
      </c>
      <c r="C64" s="23">
        <v>995</v>
      </c>
      <c r="D64" s="23">
        <v>872</v>
      </c>
      <c r="E64" s="23">
        <v>844</v>
      </c>
      <c r="F64" s="23">
        <v>1300</v>
      </c>
      <c r="G64" s="23">
        <v>983</v>
      </c>
      <c r="H64" s="23">
        <v>987</v>
      </c>
      <c r="I64" s="23">
        <v>1317</v>
      </c>
      <c r="J64" s="23">
        <v>1880</v>
      </c>
      <c r="K64" s="23">
        <v>1270</v>
      </c>
      <c r="L64" s="23">
        <v>1036</v>
      </c>
      <c r="M64" s="23">
        <v>881</v>
      </c>
      <c r="N64" s="23">
        <v>1788</v>
      </c>
      <c r="O64" s="74" t="s">
        <v>213</v>
      </c>
      <c r="P64" s="15"/>
    </row>
    <row r="65" spans="1:16" s="18" customFormat="1" ht="18" customHeight="1">
      <c r="A65" s="27" t="s">
        <v>47</v>
      </c>
      <c r="B65" s="28">
        <f t="shared" si="4"/>
        <v>3012</v>
      </c>
      <c r="C65" s="29">
        <v>147</v>
      </c>
      <c r="D65" s="29">
        <v>125</v>
      </c>
      <c r="E65" s="29">
        <v>972</v>
      </c>
      <c r="F65" s="29">
        <v>127</v>
      </c>
      <c r="G65" s="29">
        <v>162</v>
      </c>
      <c r="H65" s="29">
        <v>132</v>
      </c>
      <c r="I65" s="29">
        <v>184</v>
      </c>
      <c r="J65" s="29">
        <v>199</v>
      </c>
      <c r="K65" s="29">
        <v>273</v>
      </c>
      <c r="L65" s="29">
        <v>239</v>
      </c>
      <c r="M65" s="29">
        <v>142</v>
      </c>
      <c r="N65" s="29">
        <v>310</v>
      </c>
      <c r="O65" s="78" t="s">
        <v>117</v>
      </c>
    </row>
    <row r="66" spans="1:16" s="18" customFormat="1" ht="20.25" customHeight="1">
      <c r="A66" s="9" t="s">
        <v>22</v>
      </c>
      <c r="B66" s="83">
        <f t="shared" si="4"/>
        <v>9276</v>
      </c>
      <c r="C66" s="83">
        <f t="shared" ref="C66:N66" si="18">SUM(C67:C68)</f>
        <v>605</v>
      </c>
      <c r="D66" s="83">
        <f t="shared" si="18"/>
        <v>395</v>
      </c>
      <c r="E66" s="83">
        <f t="shared" si="18"/>
        <v>707</v>
      </c>
      <c r="F66" s="83">
        <f t="shared" si="18"/>
        <v>965</v>
      </c>
      <c r="G66" s="83">
        <f t="shared" si="18"/>
        <v>716</v>
      </c>
      <c r="H66" s="83">
        <f t="shared" si="18"/>
        <v>754</v>
      </c>
      <c r="I66" s="83">
        <f t="shared" si="18"/>
        <v>901</v>
      </c>
      <c r="J66" s="83">
        <f t="shared" si="18"/>
        <v>975</v>
      </c>
      <c r="K66" s="83">
        <f t="shared" si="18"/>
        <v>818</v>
      </c>
      <c r="L66" s="83">
        <f t="shared" si="18"/>
        <v>598</v>
      </c>
      <c r="M66" s="83">
        <f t="shared" si="18"/>
        <v>482</v>
      </c>
      <c r="N66" s="83">
        <f t="shared" si="18"/>
        <v>1360</v>
      </c>
      <c r="O66" s="77" t="s">
        <v>127</v>
      </c>
      <c r="P66" s="15"/>
    </row>
    <row r="67" spans="1:16" s="18" customFormat="1" ht="18" customHeight="1">
      <c r="A67" s="30" t="s">
        <v>23</v>
      </c>
      <c r="B67" s="22">
        <f t="shared" si="4"/>
        <v>4170</v>
      </c>
      <c r="C67" s="23">
        <v>201</v>
      </c>
      <c r="D67" s="23">
        <v>134</v>
      </c>
      <c r="E67" s="23">
        <v>338</v>
      </c>
      <c r="F67" s="23">
        <v>467</v>
      </c>
      <c r="G67" s="23">
        <v>284</v>
      </c>
      <c r="H67" s="23">
        <v>512</v>
      </c>
      <c r="I67" s="23">
        <v>462</v>
      </c>
      <c r="J67" s="23">
        <v>374</v>
      </c>
      <c r="K67" s="23">
        <v>387</v>
      </c>
      <c r="L67" s="23">
        <v>206</v>
      </c>
      <c r="M67" s="23">
        <v>175</v>
      </c>
      <c r="N67" s="23">
        <v>630</v>
      </c>
      <c r="O67" s="75" t="s">
        <v>214</v>
      </c>
    </row>
    <row r="68" spans="1:16" s="18" customFormat="1" ht="18" customHeight="1">
      <c r="A68" s="31" t="s">
        <v>47</v>
      </c>
      <c r="B68" s="28">
        <f t="shared" si="4"/>
        <v>5106</v>
      </c>
      <c r="C68" s="29">
        <v>404</v>
      </c>
      <c r="D68" s="29">
        <v>261</v>
      </c>
      <c r="E68" s="29">
        <v>369</v>
      </c>
      <c r="F68" s="29">
        <v>498</v>
      </c>
      <c r="G68" s="29">
        <v>432</v>
      </c>
      <c r="H68" s="29">
        <v>242</v>
      </c>
      <c r="I68" s="29">
        <v>439</v>
      </c>
      <c r="J68" s="29">
        <v>601</v>
      </c>
      <c r="K68" s="29">
        <v>431</v>
      </c>
      <c r="L68" s="29">
        <v>392</v>
      </c>
      <c r="M68" s="29">
        <v>307</v>
      </c>
      <c r="N68" s="29">
        <v>730</v>
      </c>
      <c r="O68" s="79" t="s">
        <v>117</v>
      </c>
      <c r="P68" s="15"/>
    </row>
    <row r="69" spans="1:16" s="18" customFormat="1" ht="24.75" customHeight="1">
      <c r="A69" s="9" t="s">
        <v>24</v>
      </c>
      <c r="B69" s="83">
        <f t="shared" si="4"/>
        <v>46602</v>
      </c>
      <c r="C69" s="83">
        <f t="shared" ref="C69:N69" si="19">SUM(C70:C73)</f>
        <v>3689</v>
      </c>
      <c r="D69" s="83">
        <f t="shared" si="19"/>
        <v>3782</v>
      </c>
      <c r="E69" s="83">
        <f t="shared" si="19"/>
        <v>4504</v>
      </c>
      <c r="F69" s="83">
        <f t="shared" si="19"/>
        <v>4550</v>
      </c>
      <c r="G69" s="83">
        <f t="shared" si="19"/>
        <v>3683</v>
      </c>
      <c r="H69" s="83">
        <f t="shared" si="19"/>
        <v>3004</v>
      </c>
      <c r="I69" s="83">
        <f t="shared" si="19"/>
        <v>3458</v>
      </c>
      <c r="J69" s="83">
        <f t="shared" si="19"/>
        <v>3179</v>
      </c>
      <c r="K69" s="83">
        <f t="shared" si="19"/>
        <v>3423</v>
      </c>
      <c r="L69" s="83">
        <f t="shared" si="19"/>
        <v>3614</v>
      </c>
      <c r="M69" s="83">
        <f t="shared" si="19"/>
        <v>3496</v>
      </c>
      <c r="N69" s="83">
        <f t="shared" si="19"/>
        <v>6220</v>
      </c>
      <c r="O69" s="77" t="s">
        <v>169</v>
      </c>
    </row>
    <row r="70" spans="1:16" s="18" customFormat="1" ht="18" customHeight="1">
      <c r="A70" s="30" t="s">
        <v>164</v>
      </c>
      <c r="B70" s="22">
        <f t="shared" si="4"/>
        <v>5082</v>
      </c>
      <c r="C70" s="23">
        <v>476</v>
      </c>
      <c r="D70" s="23">
        <v>471</v>
      </c>
      <c r="E70" s="23">
        <v>359</v>
      </c>
      <c r="F70" s="23">
        <v>440</v>
      </c>
      <c r="G70" s="23">
        <v>549</v>
      </c>
      <c r="H70" s="23">
        <v>349</v>
      </c>
      <c r="I70" s="23">
        <v>385</v>
      </c>
      <c r="J70" s="23">
        <v>293</v>
      </c>
      <c r="K70" s="23">
        <v>435</v>
      </c>
      <c r="L70" s="23">
        <v>488</v>
      </c>
      <c r="M70" s="23">
        <v>397</v>
      </c>
      <c r="N70" s="23">
        <v>440</v>
      </c>
      <c r="O70" s="75" t="s">
        <v>215</v>
      </c>
      <c r="P70" s="15"/>
    </row>
    <row r="71" spans="1:16" s="18" customFormat="1" ht="18" customHeight="1">
      <c r="A71" s="30" t="s">
        <v>25</v>
      </c>
      <c r="B71" s="22">
        <f t="shared" si="4"/>
        <v>7537</v>
      </c>
      <c r="C71" s="23">
        <v>687</v>
      </c>
      <c r="D71" s="23">
        <v>644</v>
      </c>
      <c r="E71" s="23">
        <v>806</v>
      </c>
      <c r="F71" s="23">
        <v>810</v>
      </c>
      <c r="G71" s="23">
        <v>605</v>
      </c>
      <c r="H71" s="23">
        <v>413</v>
      </c>
      <c r="I71" s="23">
        <v>578</v>
      </c>
      <c r="J71" s="23">
        <v>486</v>
      </c>
      <c r="K71" s="23">
        <v>553</v>
      </c>
      <c r="L71" s="23">
        <v>475</v>
      </c>
      <c r="M71" s="23">
        <v>479</v>
      </c>
      <c r="N71" s="23">
        <v>1001</v>
      </c>
      <c r="O71" s="75" t="s">
        <v>128</v>
      </c>
    </row>
    <row r="72" spans="1:16" s="18" customFormat="1" ht="18" customHeight="1">
      <c r="A72" s="30" t="s">
        <v>165</v>
      </c>
      <c r="B72" s="22">
        <f t="shared" si="4"/>
        <v>29308</v>
      </c>
      <c r="C72" s="23">
        <v>2129</v>
      </c>
      <c r="D72" s="23">
        <v>2282</v>
      </c>
      <c r="E72" s="23">
        <v>2901</v>
      </c>
      <c r="F72" s="23">
        <v>2900</v>
      </c>
      <c r="G72" s="23">
        <v>2139</v>
      </c>
      <c r="H72" s="23">
        <v>1938</v>
      </c>
      <c r="I72" s="23">
        <v>2145</v>
      </c>
      <c r="J72" s="23">
        <v>2135</v>
      </c>
      <c r="K72" s="23">
        <v>2100</v>
      </c>
      <c r="L72" s="23">
        <v>2235</v>
      </c>
      <c r="M72" s="23">
        <v>2199</v>
      </c>
      <c r="N72" s="23">
        <v>4205</v>
      </c>
      <c r="O72" s="75" t="s">
        <v>216</v>
      </c>
      <c r="P72" s="15"/>
    </row>
    <row r="73" spans="1:16" s="18" customFormat="1" ht="18" customHeight="1">
      <c r="A73" s="31" t="s">
        <v>47</v>
      </c>
      <c r="B73" s="28">
        <f t="shared" si="4"/>
        <v>4675</v>
      </c>
      <c r="C73" s="29">
        <v>397</v>
      </c>
      <c r="D73" s="29">
        <v>385</v>
      </c>
      <c r="E73" s="29">
        <v>438</v>
      </c>
      <c r="F73" s="29">
        <v>400</v>
      </c>
      <c r="G73" s="29">
        <v>390</v>
      </c>
      <c r="H73" s="29">
        <v>304</v>
      </c>
      <c r="I73" s="29">
        <v>350</v>
      </c>
      <c r="J73" s="29">
        <v>265</v>
      </c>
      <c r="K73" s="29">
        <v>335</v>
      </c>
      <c r="L73" s="29">
        <v>416</v>
      </c>
      <c r="M73" s="29">
        <v>421</v>
      </c>
      <c r="N73" s="29">
        <v>574</v>
      </c>
      <c r="O73" s="79" t="s">
        <v>117</v>
      </c>
    </row>
    <row r="74" spans="1:16" s="18" customFormat="1" ht="22.5" customHeight="1">
      <c r="A74" s="9" t="s">
        <v>26</v>
      </c>
      <c r="B74" s="83">
        <f t="shared" ref="B74:B82" si="20">SUM(C74:N74)</f>
        <v>21777</v>
      </c>
      <c r="C74" s="83">
        <f>SUM(C75:C77)</f>
        <v>1780</v>
      </c>
      <c r="D74" s="83">
        <f t="shared" ref="D74:N74" si="21">SUM(D75:D77)</f>
        <v>1225</v>
      </c>
      <c r="E74" s="83">
        <f t="shared" si="21"/>
        <v>1633</v>
      </c>
      <c r="F74" s="83">
        <f t="shared" si="21"/>
        <v>2190</v>
      </c>
      <c r="G74" s="83">
        <f t="shared" si="21"/>
        <v>1866</v>
      </c>
      <c r="H74" s="83">
        <f t="shared" si="21"/>
        <v>2017</v>
      </c>
      <c r="I74" s="83">
        <f t="shared" si="21"/>
        <v>2202</v>
      </c>
      <c r="J74" s="83">
        <f t="shared" si="21"/>
        <v>1659</v>
      </c>
      <c r="K74" s="83">
        <f t="shared" si="21"/>
        <v>2141</v>
      </c>
      <c r="L74" s="83">
        <f t="shared" si="21"/>
        <v>1609</v>
      </c>
      <c r="M74" s="83">
        <f t="shared" si="21"/>
        <v>1311</v>
      </c>
      <c r="N74" s="83">
        <f t="shared" si="21"/>
        <v>2144</v>
      </c>
      <c r="O74" s="77" t="s">
        <v>217</v>
      </c>
      <c r="P74" s="15"/>
    </row>
    <row r="75" spans="1:16" s="18" customFormat="1" ht="18" customHeight="1">
      <c r="A75" s="30" t="s">
        <v>27</v>
      </c>
      <c r="B75" s="83">
        <f t="shared" si="20"/>
        <v>19733</v>
      </c>
      <c r="C75" s="23">
        <v>1653</v>
      </c>
      <c r="D75" s="23">
        <v>1077</v>
      </c>
      <c r="E75" s="23">
        <v>1480</v>
      </c>
      <c r="F75" s="23">
        <v>1993</v>
      </c>
      <c r="G75" s="23">
        <v>1699</v>
      </c>
      <c r="H75" s="23">
        <v>1839</v>
      </c>
      <c r="I75" s="23">
        <v>1970</v>
      </c>
      <c r="J75" s="23">
        <v>1471</v>
      </c>
      <c r="K75" s="23">
        <v>1950</v>
      </c>
      <c r="L75" s="23">
        <v>1447</v>
      </c>
      <c r="M75" s="23">
        <v>1207</v>
      </c>
      <c r="N75" s="23">
        <v>1947</v>
      </c>
      <c r="O75" s="75" t="s">
        <v>129</v>
      </c>
    </row>
    <row r="76" spans="1:16" s="18" customFormat="1" ht="18" customHeight="1">
      <c r="A76" s="30" t="s">
        <v>166</v>
      </c>
      <c r="B76" s="83">
        <f t="shared" si="20"/>
        <v>1978</v>
      </c>
      <c r="C76" s="23">
        <v>126</v>
      </c>
      <c r="D76" s="23">
        <v>143</v>
      </c>
      <c r="E76" s="23">
        <v>151</v>
      </c>
      <c r="F76" s="23">
        <v>181</v>
      </c>
      <c r="G76" s="23">
        <v>162</v>
      </c>
      <c r="H76" s="23">
        <v>173</v>
      </c>
      <c r="I76" s="23">
        <v>229</v>
      </c>
      <c r="J76" s="23">
        <v>171</v>
      </c>
      <c r="K76" s="23">
        <v>190</v>
      </c>
      <c r="L76" s="23">
        <v>156</v>
      </c>
      <c r="M76" s="23">
        <v>100</v>
      </c>
      <c r="N76" s="23">
        <v>196</v>
      </c>
      <c r="O76" s="75" t="s">
        <v>218</v>
      </c>
      <c r="P76" s="15"/>
    </row>
    <row r="77" spans="1:16" s="18" customFormat="1" ht="18" customHeight="1">
      <c r="A77" s="31" t="s">
        <v>47</v>
      </c>
      <c r="B77" s="84">
        <f t="shared" si="20"/>
        <v>66</v>
      </c>
      <c r="C77" s="29">
        <v>1</v>
      </c>
      <c r="D77" s="29">
        <v>5</v>
      </c>
      <c r="E77" s="29">
        <v>2</v>
      </c>
      <c r="F77" s="29">
        <v>16</v>
      </c>
      <c r="G77" s="29">
        <v>5</v>
      </c>
      <c r="H77" s="29">
        <v>5</v>
      </c>
      <c r="I77" s="29">
        <v>3</v>
      </c>
      <c r="J77" s="29">
        <v>17</v>
      </c>
      <c r="K77" s="29">
        <v>1</v>
      </c>
      <c r="L77" s="29">
        <v>6</v>
      </c>
      <c r="M77" s="29">
        <v>4</v>
      </c>
      <c r="N77" s="29">
        <v>1</v>
      </c>
      <c r="O77" s="79" t="s">
        <v>117</v>
      </c>
    </row>
    <row r="78" spans="1:16" s="18" customFormat="1" ht="18.75" customHeight="1">
      <c r="A78" s="9" t="s">
        <v>42</v>
      </c>
      <c r="B78" s="83">
        <f t="shared" si="20"/>
        <v>41976</v>
      </c>
      <c r="C78" s="83">
        <f>SUM(C79:C83)</f>
        <v>3885</v>
      </c>
      <c r="D78" s="83">
        <f t="shared" ref="D78:N78" si="22">SUM(D79:D83)</f>
        <v>2510</v>
      </c>
      <c r="E78" s="83">
        <f t="shared" si="22"/>
        <v>4120</v>
      </c>
      <c r="F78" s="83">
        <f t="shared" si="22"/>
        <v>3408</v>
      </c>
      <c r="G78" s="83">
        <f t="shared" si="22"/>
        <v>2740</v>
      </c>
      <c r="H78" s="83">
        <f t="shared" si="22"/>
        <v>2341</v>
      </c>
      <c r="I78" s="83">
        <f t="shared" si="22"/>
        <v>4782</v>
      </c>
      <c r="J78" s="83">
        <f t="shared" si="22"/>
        <v>5215</v>
      </c>
      <c r="K78" s="83">
        <f t="shared" si="22"/>
        <v>4674</v>
      </c>
      <c r="L78" s="83">
        <f t="shared" si="22"/>
        <v>2152</v>
      </c>
      <c r="M78" s="83">
        <f t="shared" si="22"/>
        <v>2180</v>
      </c>
      <c r="N78" s="83">
        <f t="shared" si="22"/>
        <v>3969</v>
      </c>
      <c r="O78" s="77" t="s">
        <v>219</v>
      </c>
      <c r="P78" s="15"/>
    </row>
    <row r="79" spans="1:16" s="18" customFormat="1" ht="19.5" customHeight="1">
      <c r="A79" s="30" t="s">
        <v>43</v>
      </c>
      <c r="B79" s="22">
        <f t="shared" si="20"/>
        <v>4491</v>
      </c>
      <c r="C79" s="23">
        <v>578</v>
      </c>
      <c r="D79" s="23">
        <v>721</v>
      </c>
      <c r="E79" s="23">
        <v>307</v>
      </c>
      <c r="F79" s="23">
        <v>399</v>
      </c>
      <c r="G79" s="23">
        <v>240</v>
      </c>
      <c r="H79" s="23">
        <v>199</v>
      </c>
      <c r="I79" s="23">
        <v>336</v>
      </c>
      <c r="J79" s="23">
        <v>376</v>
      </c>
      <c r="K79" s="23">
        <v>465</v>
      </c>
      <c r="L79" s="23">
        <v>249</v>
      </c>
      <c r="M79" s="23">
        <v>191</v>
      </c>
      <c r="N79" s="23">
        <v>430</v>
      </c>
      <c r="O79" s="75" t="s">
        <v>130</v>
      </c>
    </row>
    <row r="80" spans="1:16" s="18" customFormat="1" ht="18" customHeight="1">
      <c r="A80" s="30" t="s">
        <v>44</v>
      </c>
      <c r="B80" s="22">
        <f t="shared" si="20"/>
        <v>2185</v>
      </c>
      <c r="C80" s="23">
        <v>115</v>
      </c>
      <c r="D80" s="23">
        <v>140</v>
      </c>
      <c r="E80" s="23">
        <v>184</v>
      </c>
      <c r="F80" s="23">
        <v>237</v>
      </c>
      <c r="G80" s="23">
        <v>133</v>
      </c>
      <c r="H80" s="23">
        <v>129</v>
      </c>
      <c r="I80" s="23">
        <v>232</v>
      </c>
      <c r="J80" s="23">
        <v>274</v>
      </c>
      <c r="K80" s="23">
        <v>236</v>
      </c>
      <c r="L80" s="23">
        <v>112</v>
      </c>
      <c r="M80" s="23">
        <v>106</v>
      </c>
      <c r="N80" s="23">
        <v>287</v>
      </c>
      <c r="O80" s="75" t="s">
        <v>220</v>
      </c>
      <c r="P80" s="15"/>
    </row>
    <row r="81" spans="1:16" s="18" customFormat="1" ht="18" customHeight="1">
      <c r="A81" s="30" t="s">
        <v>45</v>
      </c>
      <c r="B81" s="22">
        <f t="shared" si="20"/>
        <v>15749</v>
      </c>
      <c r="C81" s="23">
        <v>1891</v>
      </c>
      <c r="D81" s="23">
        <v>679</v>
      </c>
      <c r="E81" s="23">
        <v>2038</v>
      </c>
      <c r="F81" s="23">
        <v>781</v>
      </c>
      <c r="G81" s="23">
        <v>800</v>
      </c>
      <c r="H81" s="23">
        <v>908</v>
      </c>
      <c r="I81" s="23">
        <v>2145</v>
      </c>
      <c r="J81" s="23">
        <v>2212</v>
      </c>
      <c r="K81" s="23">
        <v>1919</v>
      </c>
      <c r="L81" s="23">
        <v>630</v>
      </c>
      <c r="M81" s="23">
        <v>630</v>
      </c>
      <c r="N81" s="23">
        <v>1116</v>
      </c>
      <c r="O81" s="75" t="s">
        <v>221</v>
      </c>
    </row>
    <row r="82" spans="1:16" s="18" customFormat="1" ht="18" customHeight="1">
      <c r="A82" s="30" t="s">
        <v>46</v>
      </c>
      <c r="B82" s="22">
        <f t="shared" si="20"/>
        <v>7322</v>
      </c>
      <c r="C82" s="23">
        <v>433</v>
      </c>
      <c r="D82" s="23">
        <v>268</v>
      </c>
      <c r="E82" s="23">
        <v>829</v>
      </c>
      <c r="F82" s="23">
        <v>808</v>
      </c>
      <c r="G82" s="23">
        <v>645</v>
      </c>
      <c r="H82" s="23">
        <v>420</v>
      </c>
      <c r="I82" s="23">
        <v>697</v>
      </c>
      <c r="J82" s="23">
        <v>750</v>
      </c>
      <c r="K82" s="23">
        <v>616</v>
      </c>
      <c r="L82" s="23">
        <v>369</v>
      </c>
      <c r="M82" s="23">
        <v>594</v>
      </c>
      <c r="N82" s="23">
        <v>893</v>
      </c>
      <c r="O82" s="75" t="s">
        <v>222</v>
      </c>
      <c r="P82" s="15"/>
    </row>
    <row r="83" spans="1:16" s="18" customFormat="1" ht="18" customHeight="1">
      <c r="A83" s="31" t="s">
        <v>47</v>
      </c>
      <c r="B83" s="28">
        <f>SUM(C83:N83)</f>
        <v>12229</v>
      </c>
      <c r="C83" s="29">
        <v>868</v>
      </c>
      <c r="D83" s="29">
        <v>702</v>
      </c>
      <c r="E83" s="29">
        <v>762</v>
      </c>
      <c r="F83" s="29">
        <v>1183</v>
      </c>
      <c r="G83" s="29">
        <v>922</v>
      </c>
      <c r="H83" s="29">
        <v>685</v>
      </c>
      <c r="I83" s="29">
        <v>1372</v>
      </c>
      <c r="J83" s="29">
        <v>1603</v>
      </c>
      <c r="K83" s="29">
        <v>1438</v>
      </c>
      <c r="L83" s="29">
        <v>792</v>
      </c>
      <c r="M83" s="29">
        <v>659</v>
      </c>
      <c r="N83" s="29">
        <v>1243</v>
      </c>
      <c r="O83" s="75" t="s">
        <v>117</v>
      </c>
    </row>
    <row r="84" spans="1:16" s="18" customFormat="1" ht="18" customHeight="1">
      <c r="A84" s="9" t="s">
        <v>223</v>
      </c>
      <c r="B84" s="83">
        <f t="shared" ref="B84:B85" si="23">SUM(C84:N84)</f>
        <v>181</v>
      </c>
      <c r="C84" s="80">
        <v>17</v>
      </c>
      <c r="D84" s="80">
        <v>15</v>
      </c>
      <c r="E84" s="80">
        <v>12</v>
      </c>
      <c r="F84" s="80">
        <v>20</v>
      </c>
      <c r="G84" s="80">
        <v>19</v>
      </c>
      <c r="H84" s="80">
        <v>11</v>
      </c>
      <c r="I84" s="80">
        <v>5</v>
      </c>
      <c r="J84" s="80">
        <v>22</v>
      </c>
      <c r="K84" s="23">
        <v>15</v>
      </c>
      <c r="L84" s="23">
        <v>20</v>
      </c>
      <c r="M84" s="23">
        <v>10</v>
      </c>
      <c r="N84" s="23">
        <v>15</v>
      </c>
      <c r="O84" s="68" t="s">
        <v>225</v>
      </c>
    </row>
    <row r="85" spans="1:16" s="18" customFormat="1" ht="18" customHeight="1">
      <c r="A85" s="13" t="s">
        <v>224</v>
      </c>
      <c r="B85" s="84">
        <f t="shared" si="23"/>
        <v>152</v>
      </c>
      <c r="C85" s="81">
        <v>21</v>
      </c>
      <c r="D85" s="81">
        <v>13</v>
      </c>
      <c r="E85" s="81">
        <v>11</v>
      </c>
      <c r="F85" s="81">
        <v>12</v>
      </c>
      <c r="G85" s="81">
        <v>12</v>
      </c>
      <c r="H85" s="81">
        <v>4</v>
      </c>
      <c r="I85" s="81">
        <v>11</v>
      </c>
      <c r="J85" s="81">
        <v>16</v>
      </c>
      <c r="K85" s="29">
        <v>7</v>
      </c>
      <c r="L85" s="29">
        <v>9</v>
      </c>
      <c r="M85" s="29">
        <v>17</v>
      </c>
      <c r="N85" s="29">
        <v>19</v>
      </c>
      <c r="O85" s="79" t="s">
        <v>117</v>
      </c>
    </row>
    <row r="86" spans="1:16" s="18" customFormat="1" ht="17.25" customHeight="1">
      <c r="A86" s="32" t="s">
        <v>226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65"/>
      <c r="N86" s="65"/>
      <c r="O86" s="7" t="s">
        <v>227</v>
      </c>
      <c r="P86" s="15"/>
    </row>
    <row r="87" spans="1:16" s="18" customFormat="1" ht="17.25" customHeight="1">
      <c r="A87" s="33" t="s">
        <v>175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64" t="s">
        <v>228</v>
      </c>
    </row>
    <row r="88" spans="1:16" ht="12.75" customHeight="1"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</row>
    <row r="89" spans="1:16" ht="12.75" customHeight="1"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</row>
    <row r="90" spans="1:16"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</sheetData>
  <mergeCells count="2">
    <mergeCell ref="A2:O2"/>
    <mergeCell ref="A1:O1"/>
  </mergeCells>
  <printOptions horizontalCentered="1"/>
  <pageMargins left="0.17" right="0.16" top="0.59" bottom="0.511811023622047" header="0.196850393700787" footer="0.196850393700787"/>
  <pageSetup paperSize="9" scale="55" orientation="portrait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10.9 </vt:lpstr>
      <vt:lpstr>'10.9 '!Print_Area</vt:lpstr>
      <vt:lpstr>'10.9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2016-07-17T08:22:49Z</cp:lastPrinted>
  <dcterms:created xsi:type="dcterms:W3CDTF">2007-02-07T06:41:32Z</dcterms:created>
  <dcterms:modified xsi:type="dcterms:W3CDTF">2016-07-17T08:23:09Z</dcterms:modified>
</cp:coreProperties>
</file>