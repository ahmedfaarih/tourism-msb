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90" windowHeight="7905" tabRatio="810" firstSheet="1" activeTab="1"/>
  </bookViews>
  <sheets>
    <sheet name="10.1 figures workings" sheetId="44" state="hidden" r:id="rId1"/>
    <sheet name="10.3" sheetId="13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'10.3'!$A$1:$M$55</definedName>
    <definedName name="Print_Area_MI">#REF!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AV26" i="13" l="1"/>
  <c r="F6" i="13"/>
  <c r="C6" i="13"/>
  <c r="B6" i="13"/>
  <c r="D7" i="13" l="1"/>
  <c r="J7" i="13"/>
  <c r="J18" i="13" l="1"/>
  <c r="J17" i="13"/>
  <c r="J16" i="13"/>
  <c r="J15" i="13"/>
  <c r="J14" i="13"/>
  <c r="J13" i="13"/>
  <c r="J12" i="13"/>
  <c r="J11" i="13"/>
  <c r="J10" i="13"/>
  <c r="J9" i="13"/>
  <c r="J8" i="13"/>
  <c r="M6" i="13"/>
  <c r="L6" i="13"/>
  <c r="K6" i="13"/>
  <c r="I6" i="13"/>
  <c r="H6" i="13"/>
  <c r="J6" i="13" l="1"/>
  <c r="AV27" i="13" l="1"/>
  <c r="AV28" i="13"/>
  <c r="AV29" i="13"/>
  <c r="AV30" i="13"/>
  <c r="AV31" i="13"/>
  <c r="AV32" i="13"/>
  <c r="AV33" i="13"/>
  <c r="AV34" i="13"/>
  <c r="AV35" i="13"/>
  <c r="AV36" i="13"/>
  <c r="AV37" i="13"/>
  <c r="E6" i="13" l="1"/>
  <c r="G6" i="13"/>
  <c r="D8" i="13"/>
  <c r="D9" i="13"/>
  <c r="D10" i="13"/>
  <c r="D11" i="13"/>
  <c r="D12" i="13"/>
  <c r="D13" i="13"/>
  <c r="D14" i="13"/>
  <c r="D15" i="13"/>
  <c r="D16" i="13"/>
  <c r="D17" i="13"/>
  <c r="D18" i="13"/>
  <c r="D6" i="13" l="1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<sst xmlns="http://schemas.openxmlformats.org/spreadsheetml/2006/main" count="155" uniqueCount="113">
  <si>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</si>
  <si>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</si>
  <si>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</si>
  <si>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</si>
  <si>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</si>
  <si>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</si>
  <si>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</si>
  <si>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</si>
  <si>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</si>
  <si>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</si>
  <si>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</si>
  <si>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Month</t>
  </si>
  <si>
    <t xml:space="preserve">Registered Bed Capacity </t>
  </si>
  <si>
    <t xml:space="preserve">Beds in operation </t>
  </si>
  <si>
    <t xml:space="preserve">% share of registered beds in operation </t>
  </si>
  <si>
    <t>Annual Average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</si>
  <si>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</si>
  <si>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</si>
  <si>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</si>
  <si>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</si>
  <si>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</si>
  <si>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</si>
  <si>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</si>
  <si>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</si>
  <si>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</si>
  <si>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</si>
  <si>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</si>
  <si>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Sep</t>
  </si>
  <si>
    <t>2008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</si>
  <si>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</si>
  <si>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</si>
  <si>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</si>
  <si>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</si>
  <si>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</si>
  <si>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</si>
  <si>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</si>
  <si>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</si>
  <si>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</si>
  <si>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</si>
  <si>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</si>
  <si>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</si>
  <si>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</si>
  <si>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</si>
  <si>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</si>
  <si>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</si>
  <si>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</si>
  <si>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</si>
  <si>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</si>
  <si>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</si>
  <si>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</si>
  <si>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</si>
  <si>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</si>
  <si>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</si>
  <si>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</si>
  <si>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</si>
  <si>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</si>
  <si>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</si>
  <si>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</si>
  <si>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</si>
  <si>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</si>
  <si>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</si>
  <si>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</si>
  <si>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</si>
  <si>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</si>
  <si>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</si>
  <si>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</si>
  <si>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</si>
  <si>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</si>
  <si>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</si>
  <si>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</si>
  <si>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</si>
  <si>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</si>
  <si>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</si>
  <si>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</si>
  <si>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</si>
  <si>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</si>
  <si>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</si>
  <si>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</si>
  <si>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</si>
  <si>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</si>
  <si>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</si>
  <si>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</si>
  <si>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</si>
  <si>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</si>
  <si>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</si>
  <si>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</si>
  <si>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Bed Capacity
 Utilization Rate %</t>
  </si>
  <si>
    <t>Beds in
 operation</t>
  </si>
  <si>
    <t>No. of Tourists</t>
  </si>
  <si>
    <t>% change over previous year</t>
  </si>
  <si>
    <t>Tourist Bednights</t>
  </si>
  <si>
    <t>Average Duration of stay (days)</t>
  </si>
  <si>
    <t>2011</t>
  </si>
  <si>
    <t>އެނދުގެ ޖާގަ ބޭނުންކުރި މިންވަރު %</t>
  </si>
  <si>
    <t>އެނދުގެ ޖާގައިން  ބޭނުންކުރެވުނު މިންވަރު %</t>
  </si>
  <si>
    <t xml:space="preserve">ބޭނުންކުރެވުނު އެނދުގެ އަދަދު </t>
  </si>
  <si>
    <t xml:space="preserve">އެނދުގެ ޖާގަ  </t>
  </si>
  <si>
    <t>ފަތުރުވެރިން ހޭދަކޮށްފައިވާ ރޭގެ އަދަދު</t>
  </si>
  <si>
    <t>ފަތުރުވެރިން އެވަރެޖްކޮށް ހޭދަކޮށްފައިވާ މުއްދަތު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</si>
  <si>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</si>
  <si>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</si>
  <si>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</si>
  <si>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</si>
  <si>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</si>
  <si>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</si>
  <si>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</si>
  <si>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</si>
  <si>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</si>
  <si>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Source: Ministry of Tourism</t>
  </si>
  <si>
    <t xml:space="preserve">Registered Bed Capacity * </t>
  </si>
  <si>
    <t>2015 - 2014  ,urwvcnim unuverukcnunEb wgWjegudnea iaWa wgWj egudnea uhwmcswmikea : 10.3 ulwvWt</t>
  </si>
  <si>
    <t>Table  10.3: BED CAPACITY AND UTILIZATION BY MONTH,  2014 - 2015</t>
  </si>
  <si>
    <t xml:space="preserve">* 2014 figures are revised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</si>
</sst>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5" formatCode="#,##0.0"/>
    <numFmt numFmtId="167" formatCode="0.0"/>
    <numFmt numFmtId="168" formatCode="0.00_)"/>
    <numFmt numFmtId="169" formatCode="_(* #,##0_);_(* \(#,##0\);_(* &quot;-&quot;??_);_(@_)"/>
    <numFmt numFmtId="170" formatCode="#,##0;[Red]#,##0"/>
    <numFmt numFmtId="171" formatCode="[$-409]mmm\-yy;@"/>
  </numFmts>
  <fonts count="3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_Randhoo"/>
    </font>
    <font>
      <sz val="9"/>
      <color theme="1"/>
      <name val="A_Randhoo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/>
      <name val="A_Randho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0" fillId="0" borderId="1" applyNumberFormat="0"/>
    <xf numFmtId="0" fontId="2" fillId="0" borderId="0"/>
    <xf numFmtId="0" fontId="13" fillId="0" borderId="0"/>
    <xf numFmtId="0" fontId="11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04">
    <xf numFmtId="0" fontId="0" fillId="0" borderId="0" xfId="0"/>
    <xf numFmtId="0" fontId="0" fillId="2" borderId="0" xfId="0" applyFill="1"/>
    <xf numFmtId="49" fontId="15" fillId="2" borderId="3" xfId="0" applyNumberFormat="1" applyFont="1" applyFill="1" applyBorder="1" applyAlignment="1" applyProtection="1">
      <alignment horizontal="right" vertical="center"/>
    </xf>
    <xf numFmtId="0" fontId="15" fillId="2" borderId="2" xfId="0" applyFont="1" applyFill="1" applyBorder="1" applyAlignment="1" applyProtection="1">
      <alignment horizontal="right" vertical="center"/>
    </xf>
    <xf numFmtId="0" fontId="17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19" fillId="2" borderId="0" xfId="0" applyFont="1" applyFill="1" applyBorder="1" applyAlignment="1" applyProtection="1">
      <alignment horizontal="left" vertical="center"/>
    </xf>
    <xf numFmtId="0" fontId="19" fillId="2" borderId="0" xfId="0" applyFont="1" applyFill="1"/>
    <xf numFmtId="3" fontId="19" fillId="2" borderId="0" xfId="0" applyNumberFormat="1" applyFont="1" applyFill="1"/>
    <xf numFmtId="3" fontId="21" fillId="2" borderId="0" xfId="0" applyNumberFormat="1" applyFont="1" applyFill="1" applyAlignment="1">
      <alignment horizontal="center"/>
    </xf>
    <xf numFmtId="167" fontId="19" fillId="2" borderId="0" xfId="0" applyNumberFormat="1" applyFont="1" applyFill="1"/>
    <xf numFmtId="0" fontId="22" fillId="2" borderId="0" xfId="0" applyFont="1" applyFill="1" applyBorder="1" applyAlignment="1">
      <alignment horizontal="center" wrapText="1"/>
    </xf>
    <xf numFmtId="0" fontId="23" fillId="2" borderId="0" xfId="0" applyFont="1" applyFill="1" applyBorder="1" applyAlignment="1">
      <alignment horizontal="right" vertical="center"/>
    </xf>
    <xf numFmtId="165" fontId="19" fillId="2" borderId="0" xfId="0" applyNumberFormat="1" applyFont="1" applyFill="1"/>
    <xf numFmtId="167" fontId="19" fillId="2" borderId="0" xfId="0" applyNumberFormat="1" applyFont="1" applyFill="1" applyBorder="1" applyAlignment="1">
      <alignment horizontal="center"/>
    </xf>
    <xf numFmtId="0" fontId="24" fillId="2" borderId="2" xfId="0" applyFont="1" applyFill="1" applyBorder="1" applyAlignment="1" applyProtection="1">
      <alignment horizontal="center" vertical="center" wrapText="1"/>
    </xf>
    <xf numFmtId="0" fontId="19" fillId="2" borderId="0" xfId="0" applyFont="1" applyFill="1" applyAlignment="1" applyProtection="1">
      <alignment horizontal="left" vertical="center"/>
    </xf>
    <xf numFmtId="165" fontId="19" fillId="2" borderId="0" xfId="0" applyNumberFormat="1" applyFont="1" applyFill="1" applyBorder="1"/>
    <xf numFmtId="3" fontId="19" fillId="2" borderId="0" xfId="0" applyNumberFormat="1" applyFont="1" applyFill="1" applyBorder="1"/>
    <xf numFmtId="0" fontId="24" fillId="2" borderId="0" xfId="0" applyFont="1" applyFill="1" applyBorder="1" applyAlignment="1" applyProtection="1">
      <alignment horizontal="center" vertical="center" wrapText="1"/>
    </xf>
    <xf numFmtId="0" fontId="19" fillId="2" borderId="0" xfId="0" applyFont="1" applyFill="1" applyBorder="1"/>
    <xf numFmtId="3" fontId="19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</xf>
    <xf numFmtId="0" fontId="29" fillId="2" borderId="0" xfId="0" applyFont="1" applyFill="1" applyAlignment="1" applyProtection="1">
      <alignment horizontal="left" vertical="center"/>
    </xf>
    <xf numFmtId="0" fontId="27" fillId="2" borderId="0" xfId="0" applyFont="1" applyFill="1"/>
    <xf numFmtId="37" fontId="26" fillId="2" borderId="7" xfId="0" applyNumberFormat="1" applyFont="1" applyFill="1" applyBorder="1" applyAlignment="1" applyProtection="1">
      <alignment horizontal="center" vertical="center" wrapText="1"/>
    </xf>
    <xf numFmtId="3" fontId="27" fillId="2" borderId="0" xfId="0" applyNumberFormat="1" applyFont="1" applyFill="1"/>
    <xf numFmtId="0" fontId="25" fillId="2" borderId="0" xfId="0" applyFont="1" applyFill="1" applyAlignment="1" applyProtection="1">
      <alignment horizontal="left" vertical="center" wrapText="1"/>
    </xf>
    <xf numFmtId="3" fontId="25" fillId="2" borderId="0" xfId="0" applyNumberFormat="1" applyFont="1" applyFill="1" applyAlignment="1">
      <alignment horizontal="center"/>
    </xf>
    <xf numFmtId="165" fontId="25" fillId="2" borderId="0" xfId="0" applyNumberFormat="1" applyFont="1" applyFill="1" applyAlignment="1">
      <alignment horizontal="center"/>
    </xf>
    <xf numFmtId="0" fontId="18" fillId="2" borderId="0" xfId="0" applyFont="1" applyFill="1" applyAlignment="1" applyProtection="1">
      <alignment horizontal="left" vertical="center"/>
    </xf>
    <xf numFmtId="3" fontId="18" fillId="2" borderId="0" xfId="0" applyNumberFormat="1" applyFont="1" applyFill="1" applyBorder="1" applyAlignment="1">
      <alignment horizontal="center"/>
    </xf>
    <xf numFmtId="167" fontId="18" fillId="2" borderId="0" xfId="0" applyNumberFormat="1" applyFont="1" applyFill="1" applyAlignment="1">
      <alignment horizontal="center"/>
    </xf>
    <xf numFmtId="167" fontId="18" fillId="2" borderId="0" xfId="0" applyNumberFormat="1" applyFont="1" applyFill="1" applyBorder="1" applyAlignment="1">
      <alignment horizontal="center"/>
    </xf>
    <xf numFmtId="3" fontId="18" fillId="2" borderId="4" xfId="0" applyNumberFormat="1" applyFont="1" applyFill="1" applyBorder="1" applyAlignment="1">
      <alignment horizontal="center"/>
    </xf>
    <xf numFmtId="0" fontId="18" fillId="2" borderId="0" xfId="0" applyFont="1" applyFill="1" applyBorder="1" applyAlignment="1" applyProtection="1">
      <alignment horizontal="left" vertical="center"/>
    </xf>
    <xf numFmtId="0" fontId="18" fillId="2" borderId="2" xfId="0" applyFont="1" applyFill="1" applyBorder="1" applyAlignment="1" applyProtection="1">
      <alignment horizontal="left" vertical="center"/>
    </xf>
    <xf numFmtId="3" fontId="18" fillId="2" borderId="2" xfId="0" applyNumberFormat="1" applyFont="1" applyFill="1" applyBorder="1" applyAlignment="1">
      <alignment horizontal="center"/>
    </xf>
    <xf numFmtId="167" fontId="18" fillId="2" borderId="2" xfId="0" applyNumberFormat="1" applyFont="1" applyFill="1" applyBorder="1" applyAlignment="1">
      <alignment horizontal="center"/>
    </xf>
    <xf numFmtId="3" fontId="18" fillId="2" borderId="5" xfId="0" applyNumberFormat="1" applyFont="1" applyFill="1" applyBorder="1" applyAlignment="1">
      <alignment horizontal="center"/>
    </xf>
    <xf numFmtId="49" fontId="15" fillId="3" borderId="14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6" fillId="4" borderId="10" xfId="2" applyNumberFormat="1" applyFont="1" applyFill="1" applyBorder="1" applyAlignment="1" applyProtection="1">
      <alignment horizontal="left" vertical="center"/>
    </xf>
    <xf numFmtId="170" fontId="16" fillId="4" borderId="11" xfId="2" applyNumberFormat="1" applyFont="1" applyFill="1" applyBorder="1" applyAlignment="1">
      <alignment vertical="center"/>
    </xf>
    <xf numFmtId="0" fontId="0" fillId="4" borderId="0" xfId="0" quotePrefix="1" applyFill="1"/>
    <xf numFmtId="170" fontId="16" fillId="4" borderId="0" xfId="2" applyNumberFormat="1" applyFont="1" applyFill="1" applyBorder="1" applyAlignment="1">
      <alignment vertical="center"/>
    </xf>
    <xf numFmtId="170" fontId="16" fillId="4" borderId="9" xfId="2" applyNumberFormat="1" applyFont="1" applyFill="1" applyBorder="1" applyAlignment="1">
      <alignment vertical="center"/>
    </xf>
    <xf numFmtId="0" fontId="15" fillId="2" borderId="5" xfId="0" applyFont="1" applyFill="1" applyBorder="1" applyAlignment="1" applyProtection="1">
      <alignment horizontal="right" vertical="center"/>
    </xf>
    <xf numFmtId="0" fontId="15" fillId="3" borderId="8" xfId="0" applyFont="1" applyFill="1" applyBorder="1" applyAlignment="1" applyProtection="1">
      <alignment horizontal="right" vertical="center"/>
    </xf>
    <xf numFmtId="167" fontId="16" fillId="4" borderId="0" xfId="0" applyNumberFormat="1" applyFont="1" applyFill="1" applyBorder="1" applyAlignment="1">
      <alignment vertical="center"/>
    </xf>
    <xf numFmtId="167" fontId="14" fillId="4" borderId="0" xfId="0" applyNumberFormat="1" applyFont="1" applyFill="1" applyBorder="1" applyAlignment="1">
      <alignment vertical="center"/>
    </xf>
    <xf numFmtId="167" fontId="14" fillId="4" borderId="9" xfId="0" applyNumberFormat="1" applyFont="1" applyFill="1" applyBorder="1" applyAlignment="1">
      <alignment vertical="center"/>
    </xf>
    <xf numFmtId="169" fontId="16" fillId="2" borderId="10" xfId="2" applyNumberFormat="1" applyFont="1" applyFill="1" applyBorder="1" applyAlignment="1" applyProtection="1">
      <alignment horizontal="left" vertical="center"/>
    </xf>
    <xf numFmtId="170" fontId="16" fillId="2" borderId="11" xfId="2" applyNumberFormat="1" applyFont="1" applyFill="1" applyBorder="1" applyAlignment="1">
      <alignment vertical="center"/>
    </xf>
    <xf numFmtId="170" fontId="16" fillId="2" borderId="0" xfId="2" applyNumberFormat="1" applyFont="1" applyFill="1" applyBorder="1" applyAlignment="1">
      <alignment vertical="center"/>
    </xf>
    <xf numFmtId="170" fontId="16" fillId="3" borderId="9" xfId="2" applyNumberFormat="1" applyFont="1" applyFill="1" applyBorder="1" applyAlignment="1">
      <alignment vertical="center"/>
    </xf>
    <xf numFmtId="167" fontId="16" fillId="2" borderId="0" xfId="0" applyNumberFormat="1" applyFont="1" applyFill="1" applyBorder="1" applyAlignment="1">
      <alignment vertical="center"/>
    </xf>
    <xf numFmtId="167" fontId="14" fillId="2" borderId="0" xfId="0" applyNumberFormat="1" applyFont="1" applyFill="1" applyBorder="1" applyAlignment="1">
      <alignment vertical="center"/>
    </xf>
    <xf numFmtId="167" fontId="14" fillId="3" borderId="9" xfId="0" applyNumberFormat="1" applyFont="1" applyFill="1" applyBorder="1" applyAlignment="1">
      <alignment vertical="center"/>
    </xf>
    <xf numFmtId="169" fontId="16" fillId="2" borderId="12" xfId="2" applyNumberFormat="1" applyFont="1" applyFill="1" applyBorder="1" applyAlignment="1" applyProtection="1">
      <alignment horizontal="left" vertical="center"/>
    </xf>
    <xf numFmtId="170" fontId="16" fillId="2" borderId="13" xfId="2" applyNumberFormat="1" applyFont="1" applyFill="1" applyBorder="1" applyAlignment="1">
      <alignment vertical="center"/>
    </xf>
    <xf numFmtId="170" fontId="16" fillId="2" borderId="2" xfId="2" applyNumberFormat="1" applyFont="1" applyFill="1" applyBorder="1" applyAlignment="1">
      <alignment vertical="center"/>
    </xf>
    <xf numFmtId="170" fontId="16" fillId="3" borderId="8" xfId="2" applyNumberFormat="1" applyFont="1" applyFill="1" applyBorder="1" applyAlignment="1">
      <alignment vertical="center"/>
    </xf>
    <xf numFmtId="167" fontId="16" fillId="2" borderId="2" xfId="0" applyNumberFormat="1" applyFont="1" applyFill="1" applyBorder="1" applyAlignment="1">
      <alignment vertical="center"/>
    </xf>
    <xf numFmtId="167" fontId="14" fillId="2" borderId="2" xfId="0" applyNumberFormat="1" applyFont="1" applyFill="1" applyBorder="1" applyAlignment="1">
      <alignment vertical="center"/>
    </xf>
    <xf numFmtId="167" fontId="14" fillId="3" borderId="8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37" fontId="26" fillId="2" borderId="16" xfId="0" applyNumberFormat="1" applyFont="1" applyFill="1" applyBorder="1" applyAlignment="1" applyProtection="1">
      <alignment horizontal="center" vertical="center" wrapText="1"/>
    </xf>
    <xf numFmtId="0" fontId="25" fillId="2" borderId="5" xfId="0" applyFont="1" applyFill="1" applyBorder="1" applyAlignment="1" applyProtection="1">
      <alignment horizontal="center" vertical="center" wrapText="1"/>
    </xf>
    <xf numFmtId="3" fontId="25" fillId="2" borderId="18" xfId="0" applyNumberFormat="1" applyFont="1" applyFill="1" applyBorder="1" applyAlignment="1">
      <alignment horizontal="center"/>
    </xf>
    <xf numFmtId="167" fontId="19" fillId="2" borderId="0" xfId="0" applyNumberFormat="1" applyFont="1" applyFill="1" applyAlignment="1">
      <alignment horizontal="center" vertical="center"/>
    </xf>
    <xf numFmtId="0" fontId="20" fillId="2" borderId="0" xfId="0" applyFont="1" applyFill="1" applyBorder="1" applyAlignment="1" applyProtection="1">
      <alignment horizontal="center" vertical="center" wrapText="1"/>
    </xf>
    <xf numFmtId="171" fontId="21" fillId="2" borderId="0" xfId="0" applyNumberFormat="1" applyFont="1" applyFill="1" applyAlignment="1" applyProtection="1">
      <alignment horizontal="left" vertical="center"/>
    </xf>
    <xf numFmtId="0" fontId="21" fillId="2" borderId="0" xfId="0" applyFont="1" applyFill="1" applyAlignment="1" applyProtection="1">
      <alignment horizontal="left" vertical="center"/>
    </xf>
    <xf numFmtId="0" fontId="21" fillId="2" borderId="0" xfId="0" applyFont="1" applyFill="1" applyBorder="1" applyAlignment="1" applyProtection="1">
      <alignment horizontal="left" vertical="center"/>
    </xf>
    <xf numFmtId="0" fontId="21" fillId="2" borderId="2" xfId="0" applyFont="1" applyFill="1" applyBorder="1" applyAlignment="1" applyProtection="1">
      <alignment horizontal="left" vertical="center"/>
    </xf>
    <xf numFmtId="171" fontId="21" fillId="2" borderId="0" xfId="0" applyNumberFormat="1" applyFont="1" applyFill="1" applyBorder="1" applyAlignment="1" applyProtection="1">
      <alignment horizontal="left" vertical="center"/>
    </xf>
    <xf numFmtId="0" fontId="30" fillId="2" borderId="0" xfId="0" applyFont="1" applyFill="1" applyAlignment="1" applyProtection="1">
      <alignment horizontal="left" vertical="center"/>
    </xf>
    <xf numFmtId="0" fontId="25" fillId="2" borderId="2" xfId="0" applyFont="1" applyFill="1" applyBorder="1" applyAlignment="1" applyProtection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5" fillId="2" borderId="6" xfId="0" applyFont="1" applyFill="1" applyBorder="1" applyAlignment="1" applyProtection="1">
      <alignment horizontal="left" vertical="center" wrapText="1"/>
    </xf>
    <xf numFmtId="0" fontId="15" fillId="2" borderId="0" xfId="0" applyFont="1" applyFill="1" applyBorder="1" applyAlignment="1" applyProtection="1">
      <alignment horizontal="left" vertical="center"/>
    </xf>
    <xf numFmtId="0" fontId="15" fillId="2" borderId="2" xfId="0" applyFont="1" applyFill="1" applyBorder="1" applyAlignment="1" applyProtection="1">
      <alignment horizontal="left" vertical="center"/>
    </xf>
    <xf numFmtId="0" fontId="8" fillId="2" borderId="6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17" xfId="0" applyFill="1" applyBorder="1"/>
    <xf numFmtId="0" fontId="9" fillId="2" borderId="18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28" fillId="2" borderId="19" xfId="0" applyFont="1" applyFill="1" applyBorder="1" applyAlignment="1" applyProtection="1">
      <alignment horizontal="center" vertical="center"/>
    </xf>
    <xf numFmtId="0" fontId="28" fillId="2" borderId="15" xfId="0" applyFont="1" applyFill="1" applyBorder="1" applyAlignment="1" applyProtection="1">
      <alignment horizontal="center" vertical="center"/>
    </xf>
    <xf numFmtId="0" fontId="25" fillId="2" borderId="17" xfId="0" applyFont="1" applyFill="1" applyBorder="1" applyAlignment="1" applyProtection="1">
      <alignment horizontal="center" vertical="center" wrapText="1"/>
    </xf>
    <xf numFmtId="0" fontId="25" fillId="2" borderId="9" xfId="0" applyFont="1" applyFill="1" applyBorder="1" applyAlignment="1" applyProtection="1">
      <alignment horizontal="center" vertical="center" wrapText="1"/>
    </xf>
    <xf numFmtId="0" fontId="25" fillId="2" borderId="8" xfId="0" applyFont="1" applyFill="1" applyBorder="1" applyAlignment="1" applyProtection="1">
      <alignment horizontal="center" vertical="center" wrapText="1"/>
    </xf>
    <xf numFmtId="0" fontId="31" fillId="2" borderId="0" xfId="0" applyFont="1" applyFill="1" applyAlignment="1">
      <alignment horizontal="center" vertical="center"/>
    </xf>
    <xf numFmtId="0" fontId="28" fillId="2" borderId="2" xfId="0" applyFont="1" applyFill="1" applyBorder="1" applyAlignment="1" applyProtection="1">
      <alignment horizontal="center" vertical="center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E7FFFF"/>
      <color rgb="FF81FFFF"/>
      <color rgb="FF33CCCC"/>
      <color rgb="FF1C706E"/>
      <color rgb="FF8AE4E2"/>
      <color rgb="FFABFFFF"/>
      <color rgb="FFFF3333"/>
      <color rgb="FF9C00EA"/>
      <color rgb="FFFF4B4B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507584"/>
        <c:axId val="139509120"/>
      </c:barChart>
      <c:catAx>
        <c:axId val="139507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509120"/>
        <c:crosses val="autoZero"/>
        <c:auto val="1"/>
        <c:lblAlgn val="ctr"/>
        <c:lblOffset val="100"/>
        <c:noMultiLvlLbl val="0"/>
      </c:catAx>
      <c:valAx>
        <c:axId val="13950912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395075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521024"/>
        <c:axId val="139604736"/>
      </c:barChart>
      <c:catAx>
        <c:axId val="13952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604736"/>
        <c:crosses val="autoZero"/>
        <c:auto val="1"/>
        <c:lblAlgn val="ctr"/>
        <c:lblOffset val="100"/>
        <c:noMultiLvlLbl val="0"/>
      </c:catAx>
      <c:valAx>
        <c:axId val="1396047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9521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onsolas" pitchFamily="49" charset="0"/>
                <a:ea typeface="Arial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10.5:  Bed capacity and beds in operation in resorts /hotels/guest houses</a:t>
            </a:r>
            <a:r>
              <a:rPr lang="en-US" sz="1000" baseline="0">
                <a:latin typeface="Consolas" pitchFamily="49" charset="0"/>
                <a:cs typeface="Consolas" pitchFamily="49" charset="0"/>
              </a:rPr>
              <a:t> &amp; safari vessels, </a:t>
            </a:r>
            <a:r>
              <a:rPr lang="en-US" sz="1000">
                <a:latin typeface="Consolas" pitchFamily="49" charset="0"/>
                <a:cs typeface="Consolas" pitchFamily="49" charset="0"/>
              </a:rPr>
              <a:t> 2015</a:t>
            </a:r>
          </a:p>
        </c:rich>
      </c:tx>
      <c:layout>
        <c:manualLayout>
          <c:xMode val="edge"/>
          <c:yMode val="edge"/>
          <c:x val="0.17898760789229715"/>
          <c:y val="4.4427948847713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412587412587006E-2"/>
          <c:y val="0.20324691120926971"/>
          <c:w val="0.87223743261397779"/>
          <c:h val="0.6920904721623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'10.3'!$AR$20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33CCCC"/>
            </a:solidFill>
            <a:ln w="25400">
              <a:noFill/>
            </a:ln>
          </c:spPr>
          <c:invertIfNegative val="0"/>
          <c:cat>
            <c:strRef>
              <c:f>'10.3'!$AQ$21:$AQ$32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'10.3'!$AR$21:$AR$32</c:f>
              <c:numCache>
                <c:formatCode>#,##0</c:formatCode>
                <c:ptCount val="12"/>
                <c:pt idx="0">
                  <c:v>32031</c:v>
                </c:pt>
                <c:pt idx="1">
                  <c:v>32122</c:v>
                </c:pt>
                <c:pt idx="2">
                  <c:v>32345</c:v>
                </c:pt>
                <c:pt idx="3">
                  <c:v>32443</c:v>
                </c:pt>
                <c:pt idx="4">
                  <c:v>32614</c:v>
                </c:pt>
                <c:pt idx="5">
                  <c:v>32694</c:v>
                </c:pt>
                <c:pt idx="6">
                  <c:v>32740</c:v>
                </c:pt>
                <c:pt idx="7">
                  <c:v>32902</c:v>
                </c:pt>
                <c:pt idx="8">
                  <c:v>33041</c:v>
                </c:pt>
                <c:pt idx="9">
                  <c:v>33415</c:v>
                </c:pt>
                <c:pt idx="10">
                  <c:v>33591</c:v>
                </c:pt>
                <c:pt idx="11">
                  <c:v>34105</c:v>
                </c:pt>
              </c:numCache>
            </c:numRef>
          </c:val>
        </c:ser>
        <c:ser>
          <c:idx val="1"/>
          <c:order val="1"/>
          <c:tx>
            <c:strRef>
              <c:f>'10.3'!$AS$20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1C706E"/>
            </a:solidFill>
            <a:ln w="25400">
              <a:noFill/>
            </a:ln>
            <a:effectLst/>
          </c:spPr>
          <c:invertIfNegative val="0"/>
          <c:cat>
            <c:strRef>
              <c:f>'10.3'!$AQ$21:$AQ$32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'10.3'!$AS$21:$AS$32</c:f>
              <c:numCache>
                <c:formatCode>#,##0</c:formatCode>
                <c:ptCount val="12"/>
                <c:pt idx="0">
                  <c:v>27760</c:v>
                </c:pt>
                <c:pt idx="1">
                  <c:v>28079</c:v>
                </c:pt>
                <c:pt idx="2">
                  <c:v>27984</c:v>
                </c:pt>
                <c:pt idx="3">
                  <c:v>27390</c:v>
                </c:pt>
                <c:pt idx="4">
                  <c:v>28248</c:v>
                </c:pt>
                <c:pt idx="5">
                  <c:v>27465</c:v>
                </c:pt>
                <c:pt idx="6">
                  <c:v>26567</c:v>
                </c:pt>
                <c:pt idx="7">
                  <c:v>27595</c:v>
                </c:pt>
                <c:pt idx="8">
                  <c:v>27855</c:v>
                </c:pt>
                <c:pt idx="9">
                  <c:v>27591</c:v>
                </c:pt>
                <c:pt idx="10">
                  <c:v>28163</c:v>
                </c:pt>
                <c:pt idx="11">
                  <c:v>28276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211328"/>
        <c:axId val="140212864"/>
      </c:barChart>
      <c:catAx>
        <c:axId val="14021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1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0212864"/>
        <c:scaling>
          <c:orientation val="minMax"/>
        </c:scaling>
        <c:delete val="0"/>
        <c:axPos val="l"/>
        <c:majorGridlines>
          <c:spPr>
            <a:ln w="3175">
              <a:solidFill>
                <a:srgbClr val="33CCCC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8.8655015684015563E-3"/>
              <c:y val="8.8123530013294052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6350">
            <a:solidFill>
              <a:srgbClr val="33CCCC"/>
            </a:solidFill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11328"/>
        <c:crosses val="autoZero"/>
        <c:crossBetween val="between"/>
      </c:valAx>
      <c:spPr>
        <a:solidFill>
          <a:srgbClr val="E7FFFF"/>
        </a:solidFill>
        <a:ln>
          <a:solidFill>
            <a:schemeClr val="bg1">
              <a:lumMod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1459565688617289"/>
          <c:y val="0.21806299880337102"/>
          <c:w val="0.43930845229712207"/>
          <c:h val="6.2920316778584465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2" l="2" r="2" t="2" header="0.5" footer="0.5"/>
    <c:pageSetup paperSize="9"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10.6: Average duration of stay of tourists, 2014 - 2015</a:t>
            </a:r>
          </a:p>
        </c:rich>
      </c:tx>
      <c:layout>
        <c:manualLayout>
          <c:xMode val="edge"/>
          <c:yMode val="edge"/>
          <c:x val="0.17566826582574618"/>
          <c:y val="3.331792965144337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1794998397477562E-2"/>
          <c:y val="0.16089129483814524"/>
          <c:w val="0.91400258136049828"/>
          <c:h val="0.60653648513511182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1C706E"/>
              </a:solidFill>
            </a:ln>
          </c:spPr>
          <c:marker>
            <c:symbol val="square"/>
            <c:size val="6"/>
            <c:spPr>
              <a:solidFill>
                <a:srgbClr val="33CCCC"/>
              </a:solidFill>
              <a:ln>
                <a:solidFill>
                  <a:srgbClr val="E7FFFF"/>
                </a:solidFill>
              </a:ln>
            </c:spPr>
          </c:marker>
          <c:cat>
            <c:strRef>
              <c:f>'10.3'!$AU$26:$AU$49</c:f>
              <c:strCache>
                <c:ptCount val="24"/>
                <c:pt idx="0">
                  <c:v>Jan-14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Jan-15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</c:strCache>
            </c:strRef>
          </c:cat>
          <c:val>
            <c:numRef>
              <c:f>'10.3'!$AV$26:$AV$49</c:f>
              <c:numCache>
                <c:formatCode>0.0</c:formatCode>
                <c:ptCount val="24"/>
                <c:pt idx="0">
                  <c:v>6.4975117763257861</c:v>
                </c:pt>
                <c:pt idx="1">
                  <c:v>6.1376541258299087</c:v>
                </c:pt>
                <c:pt idx="2">
                  <c:v>6.4923550587343692</c:v>
                </c:pt>
                <c:pt idx="3">
                  <c:v>6.15079432906969</c:v>
                </c:pt>
                <c:pt idx="4">
                  <c:v>6.1992748860848232</c:v>
                </c:pt>
                <c:pt idx="5">
                  <c:v>5.5955943225311051</c:v>
                </c:pt>
                <c:pt idx="6">
                  <c:v>5.7481210887205441</c:v>
                </c:pt>
                <c:pt idx="7">
                  <c:v>6.0467913155318369</c:v>
                </c:pt>
                <c:pt idx="8">
                  <c:v>5.681066930210064</c:v>
                </c:pt>
                <c:pt idx="9">
                  <c:v>6.0237285984899982</c:v>
                </c:pt>
                <c:pt idx="10">
                  <c:v>6.1560850096905702</c:v>
                </c:pt>
                <c:pt idx="11">
                  <c:v>5.9540985502776067</c:v>
                </c:pt>
                <c:pt idx="12">
                  <c:v>6.4986144447992746</c:v>
                </c:pt>
                <c:pt idx="13">
                  <c:v>5.6647325430819802</c:v>
                </c:pt>
                <c:pt idx="14">
                  <c:v>5.8371209762779399</c:v>
                </c:pt>
                <c:pt idx="15">
                  <c:v>5.8961776960544592</c:v>
                </c:pt>
                <c:pt idx="16">
                  <c:v>5.8370252335174913</c:v>
                </c:pt>
                <c:pt idx="17">
                  <c:v>5.3335091895075211</c:v>
                </c:pt>
                <c:pt idx="18">
                  <c:v>5.2416292086454837</c:v>
                </c:pt>
                <c:pt idx="19">
                  <c:v>5.5166509296920392</c:v>
                </c:pt>
                <c:pt idx="20">
                  <c:v>5.4870643171990663</c:v>
                </c:pt>
                <c:pt idx="21">
                  <c:v>5.783171244952511</c:v>
                </c:pt>
                <c:pt idx="22">
                  <c:v>5.9014498215433724</c:v>
                </c:pt>
                <c:pt idx="23">
                  <c:v>4.9508699844870234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37440"/>
        <c:axId val="140841728"/>
      </c:lineChart>
      <c:catAx>
        <c:axId val="14023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>
                <a:latin typeface="+mn-lt"/>
              </a:defRPr>
            </a:pPr>
            <a:endParaRPr lang="en-US"/>
          </a:p>
        </c:txPr>
        <c:crossAx val="140841728"/>
        <c:crosses val="autoZero"/>
        <c:auto val="1"/>
        <c:lblAlgn val="ctr"/>
        <c:lblOffset val="100"/>
        <c:noMultiLvlLbl val="0"/>
      </c:catAx>
      <c:valAx>
        <c:axId val="140841728"/>
        <c:scaling>
          <c:orientation val="minMax"/>
          <c:min val="2"/>
        </c:scaling>
        <c:delete val="0"/>
        <c:axPos val="l"/>
        <c:majorGridlines>
          <c:spPr>
            <a:ln>
              <a:solidFill>
                <a:srgbClr val="33CCCC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>
                    <a:latin typeface="+mn-lt"/>
                  </a:defRPr>
                </a:pPr>
                <a:r>
                  <a:rPr lang="en-US" b="0">
                    <a:latin typeface="+mn-lt"/>
                  </a:rPr>
                  <a:t>Number of days</a:t>
                </a:r>
              </a:p>
            </c:rich>
          </c:tx>
          <c:layout>
            <c:manualLayout>
              <c:xMode val="edge"/>
              <c:yMode val="edge"/>
              <c:x val="1.1001162168161821E-2"/>
              <c:y val="7.5038500982079231E-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0237440"/>
        <c:crosses val="autoZero"/>
        <c:crossBetween val="between"/>
        <c:majorUnit val="1"/>
      </c:valAx>
      <c:spPr>
        <a:solidFill>
          <a:srgbClr val="E7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761999</xdr:colOff>
      <xdr:row>19</xdr:row>
      <xdr:rowOff>168088</xdr:rowOff>
    </xdr:from>
    <xdr:to>
      <xdr:col>10</xdr:col>
      <xdr:colOff>400049</xdr:colOff>
      <xdr:row>31</xdr:row>
      <xdr:rowOff>27117</xdr:rowOff>
    </xdr:to>
    <xdr:graphicFrame macro="">
      <xdr:nvGraphicFramePr>
        <xdr:cNvPr id="586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533399</xdr:colOff>
      <xdr:row>34</xdr:row>
      <xdr:rowOff>3587</xdr:rowOff>
    </xdr:from>
    <xdr:to>
      <xdr:col>10</xdr:col>
      <xdr:colOff>152399</xdr:colOff>
      <xdr:row>53</xdr:row>
      <xdr:rowOff>141755</xdr:rowOff>
    </xdr:to>
    <xdr:graphicFrame macro="">
      <xdr:nvGraphicFramePr>
        <xdr:cNvPr id="586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276225</xdr:colOff>
      <xdr:row>21</xdr:row>
      <xdr:rowOff>114300</xdr:rowOff>
    </xdr:from>
    <xdr:to>
      <xdr:col>9</xdr:col>
      <xdr:colOff>933450</xdr:colOff>
      <xdr:row>21</xdr:row>
      <xdr:rowOff>114300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2743200" y="5572125"/>
          <a:ext cx="538162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3</xdr:col>
      <xdr:colOff>123826</xdr:colOff>
      <xdr:row>35</xdr:row>
      <xdr:rowOff>95249</xdr:rowOff>
    </xdr:from>
    <xdr:to>
      <xdr:col>9</xdr:col>
      <xdr:colOff>409576</xdr:colOff>
      <xdr:row>35</xdr:row>
      <xdr:rowOff>104774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2590801" y="8886824"/>
          <a:ext cx="5010150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10%20%20TOURISM_min%20of%20tourism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10%20%20TOURISM-%20Min%20of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10.5"/>
      <sheetName val="10.7"/>
      <sheetName val="10.8"/>
      <sheetName val="10.9 "/>
      <sheetName val="10.10 "/>
      <sheetName val="10.1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2">
          <cell r="Z22" t="str">
            <v>Lease Holder</v>
          </cell>
          <cell r="AA22" t="str">
            <v>Operator</v>
          </cell>
          <cell r="AB22" t="str">
            <v>Management</v>
          </cell>
        </row>
        <row r="23">
          <cell r="Y23" t="str">
            <v>Local (L)</v>
          </cell>
          <cell r="Z23">
            <v>77</v>
          </cell>
          <cell r="AA23">
            <v>49</v>
          </cell>
          <cell r="AB23">
            <v>46</v>
          </cell>
        </row>
        <row r="24">
          <cell r="Y24" t="str">
            <v>Joint Venture (JV)</v>
          </cell>
          <cell r="Z24">
            <v>20</v>
          </cell>
          <cell r="AA24">
            <v>21</v>
          </cell>
          <cell r="AB24">
            <v>19</v>
          </cell>
        </row>
        <row r="25">
          <cell r="Y25" t="str">
            <v>Foreign (F)</v>
          </cell>
          <cell r="Z25">
            <v>18</v>
          </cell>
          <cell r="AA25">
            <v>45</v>
          </cell>
          <cell r="AB25">
            <v>50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0.1"/>
      <sheetName val="10.1 figures workings"/>
      <sheetName val="10.2"/>
      <sheetName val="10.3"/>
      <sheetName val="10.4"/>
      <sheetName val="10.5"/>
      <sheetName val="10.7"/>
      <sheetName val="10.8"/>
      <sheetName val="10.9 "/>
      <sheetName val="10.10 "/>
      <sheetName val="10.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8">
          <cell r="W18" t="str">
            <v>Jan</v>
          </cell>
          <cell r="X18" t="str">
            <v>Feb</v>
          </cell>
          <cell r="Y18" t="str">
            <v>Mar</v>
          </cell>
          <cell r="Z18" t="str">
            <v>Apr</v>
          </cell>
          <cell r="AA18" t="str">
            <v>May</v>
          </cell>
          <cell r="AB18" t="str">
            <v>Jun</v>
          </cell>
          <cell r="AC18" t="str">
            <v>Jul</v>
          </cell>
          <cell r="AD18" t="str">
            <v>Aug</v>
          </cell>
          <cell r="AE18" t="str">
            <v>Sep</v>
          </cell>
          <cell r="AF18" t="str">
            <v>Oct</v>
          </cell>
          <cell r="AG18" t="str">
            <v>Nov</v>
          </cell>
          <cell r="AH18" t="str">
            <v>Dec</v>
          </cell>
        </row>
        <row r="19">
          <cell r="V19" t="str">
            <v>Europe</v>
          </cell>
          <cell r="W19">
            <v>52321</v>
          </cell>
          <cell r="X19">
            <v>54095</v>
          </cell>
          <cell r="Y19">
            <v>61204</v>
          </cell>
          <cell r="Z19">
            <v>48978</v>
          </cell>
          <cell r="AA19">
            <v>35167</v>
          </cell>
          <cell r="AB19">
            <v>24238</v>
          </cell>
          <cell r="AC19">
            <v>32701</v>
          </cell>
          <cell r="AD19">
            <v>36640</v>
          </cell>
          <cell r="AE19">
            <v>35574</v>
          </cell>
          <cell r="AF19">
            <v>46530</v>
          </cell>
          <cell r="AG19">
            <v>45894</v>
          </cell>
          <cell r="AH19">
            <v>53932</v>
          </cell>
        </row>
        <row r="20">
          <cell r="V20" t="str">
            <v>Asia</v>
          </cell>
          <cell r="W20">
            <v>29774</v>
          </cell>
          <cell r="X20">
            <v>44791</v>
          </cell>
          <cell r="Y20">
            <v>30647</v>
          </cell>
          <cell r="Z20">
            <v>33903</v>
          </cell>
          <cell r="AA20">
            <v>37946</v>
          </cell>
          <cell r="AB20">
            <v>42613</v>
          </cell>
          <cell r="AC20">
            <v>49319</v>
          </cell>
          <cell r="AD20">
            <v>51450</v>
          </cell>
          <cell r="AE20">
            <v>49179</v>
          </cell>
          <cell r="AF20">
            <v>51598</v>
          </cell>
          <cell r="AG20">
            <v>42348</v>
          </cell>
          <cell r="AH20">
            <v>42185</v>
          </cell>
        </row>
        <row r="21">
          <cell r="V21" t="str">
            <v>Other continents</v>
          </cell>
          <cell r="W21">
            <v>6774</v>
          </cell>
          <cell r="X21">
            <v>5859</v>
          </cell>
          <cell r="Y21">
            <v>7647</v>
          </cell>
          <cell r="Z21">
            <v>7755</v>
          </cell>
          <cell r="AA21">
            <v>6313</v>
          </cell>
          <cell r="AB21">
            <v>9642</v>
          </cell>
          <cell r="AC21">
            <v>5952</v>
          </cell>
          <cell r="AD21">
            <v>10248</v>
          </cell>
          <cell r="AE21">
            <v>7522</v>
          </cell>
          <cell r="AF21">
            <v>9168</v>
          </cell>
          <cell r="AG21">
            <v>6320</v>
          </cell>
          <cell r="AH21">
            <v>8852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82" t="s">
        <v>101</v>
      </c>
      <c r="B1" s="82"/>
      <c r="C1" s="82"/>
      <c r="D1" s="82"/>
      <c r="E1" s="82"/>
      <c r="F1" s="82"/>
      <c r="G1" s="82"/>
      <c r="H1" s="82"/>
      <c r="I1" s="82"/>
      <c r="J1" s="82"/>
      <c r="K1" s="82"/>
      <c r="M1" s="2" t="s">
        <v>28</v>
      </c>
      <c r="N1" s="2" t="s">
        <v>30</v>
      </c>
      <c r="O1" s="2" t="s">
        <v>85</v>
      </c>
      <c r="P1" s="2" t="s">
        <v>92</v>
      </c>
      <c r="Q1" s="41" t="s">
        <v>100</v>
      </c>
      <c r="S1" s="42">
        <f>Q2/M2</f>
        <v>5.5298836452988356</v>
      </c>
      <c r="T1" s="43" t="s">
        <v>103</v>
      </c>
      <c r="U1" s="43"/>
    </row>
    <row r="2" spans="1:21" ht="9.75" customHeight="1">
      <c r="A2" s="83" t="s">
        <v>102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44" t="s">
        <v>58</v>
      </c>
      <c r="M2" s="45">
        <f>M4/1000</f>
        <v>41.511000000000003</v>
      </c>
      <c r="N2" s="45">
        <f>N4/1000</f>
        <v>60.665999999999997</v>
      </c>
      <c r="O2" s="45">
        <f>O4/1000</f>
        <v>118.961</v>
      </c>
      <c r="P2" s="45">
        <f>P4/1000</f>
        <v>198.655</v>
      </c>
      <c r="Q2" s="45">
        <f>Q4/1000</f>
        <v>229.55099999999999</v>
      </c>
      <c r="R2" s="46" t="s">
        <v>104</v>
      </c>
    </row>
    <row r="3" spans="1:21" ht="3.7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21" ht="21" customHeight="1">
      <c r="A4" s="84" t="s">
        <v>105</v>
      </c>
      <c r="B4" s="87" t="s">
        <v>29</v>
      </c>
      <c r="C4" s="88"/>
      <c r="D4" s="88"/>
      <c r="E4" s="88"/>
      <c r="F4" s="89"/>
      <c r="G4" s="90" t="s">
        <v>99</v>
      </c>
      <c r="H4" s="91"/>
      <c r="I4" s="91"/>
      <c r="J4" s="91"/>
      <c r="K4" s="92"/>
      <c r="L4" s="44" t="s">
        <v>58</v>
      </c>
      <c r="M4" s="45">
        <v>41511</v>
      </c>
      <c r="N4" s="45">
        <v>60666</v>
      </c>
      <c r="O4" s="47">
        <v>118961</v>
      </c>
      <c r="P4" s="47">
        <v>198655</v>
      </c>
      <c r="Q4" s="48">
        <v>229551</v>
      </c>
    </row>
    <row r="5" spans="1:21" ht="13.5" customHeight="1">
      <c r="A5" s="85"/>
      <c r="B5" s="81" t="s">
        <v>88</v>
      </c>
      <c r="C5" s="81"/>
      <c r="D5" s="81"/>
      <c r="E5" s="81"/>
      <c r="F5" s="93"/>
      <c r="G5" s="94" t="s">
        <v>89</v>
      </c>
      <c r="H5" s="95"/>
      <c r="I5" s="95"/>
      <c r="J5" s="95"/>
      <c r="K5" s="96"/>
    </row>
    <row r="6" spans="1:21" ht="15" customHeight="1">
      <c r="A6" s="86"/>
      <c r="B6" s="2" t="s">
        <v>28</v>
      </c>
      <c r="C6" s="2" t="s">
        <v>30</v>
      </c>
      <c r="D6" s="2" t="s">
        <v>85</v>
      </c>
      <c r="E6" s="2" t="s">
        <v>92</v>
      </c>
      <c r="F6" s="41" t="s">
        <v>100</v>
      </c>
      <c r="G6" s="49">
        <v>2008</v>
      </c>
      <c r="H6" s="3">
        <v>2009</v>
      </c>
      <c r="I6" s="3">
        <v>2010</v>
      </c>
      <c r="J6" s="3">
        <v>2011</v>
      </c>
      <c r="K6" s="50">
        <v>2012</v>
      </c>
    </row>
    <row r="7" spans="1:21" ht="12.75" customHeight="1">
      <c r="A7" s="44" t="s">
        <v>58</v>
      </c>
      <c r="B7" s="45">
        <v>41511</v>
      </c>
      <c r="C7" s="45">
        <v>60666</v>
      </c>
      <c r="D7" s="47">
        <v>118961</v>
      </c>
      <c r="E7" s="47">
        <v>198655</v>
      </c>
      <c r="F7" s="48">
        <v>229551</v>
      </c>
      <c r="G7" s="51">
        <v>15.385256837891928</v>
      </c>
      <c r="H7" s="51">
        <f t="shared" ref="H7:K38" si="0">(C7-B7)/B7*100</f>
        <v>46.144395461443956</v>
      </c>
      <c r="I7" s="52">
        <f t="shared" si="0"/>
        <v>96.091715293574651</v>
      </c>
      <c r="J7" s="52">
        <f t="shared" si="0"/>
        <v>66.991703163221558</v>
      </c>
      <c r="K7" s="53">
        <f t="shared" si="0"/>
        <v>15.552591175656289</v>
      </c>
    </row>
    <row r="8" spans="1:21" ht="12.75" customHeight="1">
      <c r="A8" s="44" t="s">
        <v>37</v>
      </c>
      <c r="B8" s="45">
        <v>69240</v>
      </c>
      <c r="C8" s="45">
        <v>69085</v>
      </c>
      <c r="D8" s="47">
        <v>77108</v>
      </c>
      <c r="E8" s="47">
        <v>90517</v>
      </c>
      <c r="F8" s="48">
        <v>98351</v>
      </c>
      <c r="G8" s="51">
        <v>-4.1912853367280576</v>
      </c>
      <c r="H8" s="51">
        <f t="shared" si="0"/>
        <v>-0.2238590410167533</v>
      </c>
      <c r="I8" s="52">
        <f t="shared" si="0"/>
        <v>11.613230078888325</v>
      </c>
      <c r="J8" s="52">
        <f t="shared" si="0"/>
        <v>17.389894693157647</v>
      </c>
      <c r="K8" s="53">
        <f t="shared" si="0"/>
        <v>8.654727841179005</v>
      </c>
    </row>
    <row r="9" spans="1:21" ht="12.75" customHeight="1">
      <c r="A9" s="44" t="s">
        <v>55</v>
      </c>
      <c r="B9" s="45">
        <v>116821</v>
      </c>
      <c r="C9" s="45">
        <v>105950</v>
      </c>
      <c r="D9" s="47">
        <v>114158</v>
      </c>
      <c r="E9" s="47">
        <v>104508</v>
      </c>
      <c r="F9" s="48">
        <v>91776</v>
      </c>
      <c r="G9" s="51">
        <v>-6.6611802681410701</v>
      </c>
      <c r="H9" s="51">
        <f t="shared" si="0"/>
        <v>-9.3056899016443957</v>
      </c>
      <c r="I9" s="52">
        <f t="shared" si="0"/>
        <v>7.7470504955167536</v>
      </c>
      <c r="J9" s="52">
        <f t="shared" si="0"/>
        <v>-8.4531964470295549</v>
      </c>
      <c r="K9" s="53">
        <f t="shared" si="0"/>
        <v>-12.182799402916524</v>
      </c>
    </row>
    <row r="10" spans="1:21" ht="12.75" customHeight="1">
      <c r="A10" s="44" t="s">
        <v>47</v>
      </c>
      <c r="B10" s="45">
        <v>48978</v>
      </c>
      <c r="C10" s="45">
        <v>40014</v>
      </c>
      <c r="D10" s="47">
        <v>49111</v>
      </c>
      <c r="E10" s="47">
        <v>63936</v>
      </c>
      <c r="F10" s="48">
        <v>66378</v>
      </c>
      <c r="G10" s="51">
        <v>53.801224682053693</v>
      </c>
      <c r="H10" s="51">
        <f t="shared" si="0"/>
        <v>-18.302094818081589</v>
      </c>
      <c r="I10" s="52">
        <f t="shared" si="0"/>
        <v>22.734542909981506</v>
      </c>
      <c r="J10" s="52">
        <f t="shared" si="0"/>
        <v>30.186719879456742</v>
      </c>
      <c r="K10" s="53">
        <f t="shared" si="0"/>
        <v>3.8194444444444446</v>
      </c>
    </row>
    <row r="11" spans="1:21" ht="12.75" customHeight="1">
      <c r="A11" s="44" t="s">
        <v>42</v>
      </c>
      <c r="B11" s="45">
        <v>103824</v>
      </c>
      <c r="C11" s="45">
        <v>89292</v>
      </c>
      <c r="D11" s="47">
        <v>89596</v>
      </c>
      <c r="E11" s="47">
        <v>83088</v>
      </c>
      <c r="F11" s="48">
        <v>62782</v>
      </c>
      <c r="G11" s="51">
        <v>-11.44772529553247</v>
      </c>
      <c r="H11" s="51">
        <f t="shared" si="0"/>
        <v>-13.996763754045308</v>
      </c>
      <c r="I11" s="52">
        <f t="shared" si="0"/>
        <v>0.34045603189535456</v>
      </c>
      <c r="J11" s="52">
        <f t="shared" si="0"/>
        <v>-7.2637171302290273</v>
      </c>
      <c r="K11" s="53">
        <f t="shared" si="0"/>
        <v>-24.439148854226843</v>
      </c>
    </row>
    <row r="12" spans="1:21" ht="12.75" customHeight="1">
      <c r="A12" s="44" t="s">
        <v>36</v>
      </c>
      <c r="B12" s="45">
        <v>48100</v>
      </c>
      <c r="C12" s="45">
        <v>50373</v>
      </c>
      <c r="D12" s="47">
        <v>54789</v>
      </c>
      <c r="E12" s="47">
        <v>59694</v>
      </c>
      <c r="F12" s="48">
        <v>56775</v>
      </c>
      <c r="G12" s="51">
        <v>6.1786715525043601</v>
      </c>
      <c r="H12" s="51">
        <f t="shared" si="0"/>
        <v>4.7255717255717258</v>
      </c>
      <c r="I12" s="52">
        <f t="shared" si="0"/>
        <v>8.766601155380858</v>
      </c>
      <c r="J12" s="52">
        <f t="shared" si="0"/>
        <v>8.9525269670919343</v>
      </c>
      <c r="K12" s="53">
        <f t="shared" si="0"/>
        <v>-4.889938687305257</v>
      </c>
    </row>
    <row r="13" spans="1:21" ht="12.75" customHeight="1">
      <c r="A13" s="44" t="s">
        <v>61</v>
      </c>
      <c r="B13" s="45">
        <v>38193</v>
      </c>
      <c r="C13" s="45">
        <v>36641</v>
      </c>
      <c r="D13" s="47">
        <v>38791</v>
      </c>
      <c r="E13" s="47">
        <v>35782</v>
      </c>
      <c r="F13" s="48">
        <v>36438</v>
      </c>
      <c r="G13" s="51">
        <v>-7.120449405413293</v>
      </c>
      <c r="H13" s="51">
        <f t="shared" si="0"/>
        <v>-4.063571858717566</v>
      </c>
      <c r="I13" s="52">
        <f t="shared" si="0"/>
        <v>5.8677437842853637</v>
      </c>
      <c r="J13" s="52">
        <f t="shared" si="0"/>
        <v>-7.7569539326132348</v>
      </c>
      <c r="K13" s="53">
        <f t="shared" si="0"/>
        <v>1.8333240176625119</v>
      </c>
    </row>
    <row r="14" spans="1:21" ht="12.75" customHeight="1">
      <c r="A14" s="44" t="s">
        <v>52</v>
      </c>
      <c r="B14" s="45">
        <v>26983</v>
      </c>
      <c r="C14" s="45">
        <v>26783</v>
      </c>
      <c r="D14" s="47">
        <v>27766</v>
      </c>
      <c r="E14" s="47">
        <v>32504</v>
      </c>
      <c r="F14" s="48">
        <v>35457</v>
      </c>
      <c r="G14" s="51">
        <v>3.0554176373983117</v>
      </c>
      <c r="H14" s="51">
        <f t="shared" si="0"/>
        <v>-0.74120742689841757</v>
      </c>
      <c r="I14" s="52">
        <f t="shared" si="0"/>
        <v>3.6702385841765301</v>
      </c>
      <c r="J14" s="52">
        <f t="shared" si="0"/>
        <v>17.064035150903983</v>
      </c>
      <c r="K14" s="53">
        <f t="shared" si="0"/>
        <v>9.0850356879153349</v>
      </c>
    </row>
    <row r="15" spans="1:21" ht="12.75" customHeight="1">
      <c r="A15" s="44" t="s">
        <v>59</v>
      </c>
      <c r="B15" s="45">
        <v>16663</v>
      </c>
      <c r="C15" s="45">
        <v>15850</v>
      </c>
      <c r="D15" s="47">
        <v>25756</v>
      </c>
      <c r="E15" s="47">
        <v>30978</v>
      </c>
      <c r="F15" s="48">
        <v>31721</v>
      </c>
      <c r="G15" s="51">
        <v>-3.832169446528539</v>
      </c>
      <c r="H15" s="51">
        <f t="shared" si="0"/>
        <v>-4.8790733961471524</v>
      </c>
      <c r="I15" s="52">
        <f t="shared" si="0"/>
        <v>62.498422712933753</v>
      </c>
      <c r="J15" s="52">
        <f t="shared" si="0"/>
        <v>20.274887404876534</v>
      </c>
      <c r="K15" s="53">
        <f t="shared" si="0"/>
        <v>2.3984763380463554</v>
      </c>
    </row>
    <row r="16" spans="1:21" ht="12.75" customHeight="1">
      <c r="A16" s="44" t="s">
        <v>62</v>
      </c>
      <c r="B16" s="45">
        <v>20934</v>
      </c>
      <c r="C16" s="45">
        <v>16135</v>
      </c>
      <c r="D16" s="47">
        <v>24808</v>
      </c>
      <c r="E16" s="47">
        <v>25285</v>
      </c>
      <c r="F16" s="48">
        <v>23933</v>
      </c>
      <c r="G16" s="51">
        <v>-0.20022883295194507</v>
      </c>
      <c r="H16" s="51">
        <f t="shared" si="0"/>
        <v>-22.92442915830706</v>
      </c>
      <c r="I16" s="52">
        <f t="shared" si="0"/>
        <v>53.752711496746208</v>
      </c>
      <c r="J16" s="52">
        <f t="shared" si="0"/>
        <v>1.9227668494034182</v>
      </c>
      <c r="K16" s="53">
        <f t="shared" si="0"/>
        <v>-5.3470437017994854</v>
      </c>
    </row>
    <row r="17" spans="1:15" ht="12.75" customHeight="1">
      <c r="A17" s="54" t="s">
        <v>56</v>
      </c>
      <c r="B17" s="55">
        <v>9482</v>
      </c>
      <c r="C17" s="55">
        <v>9476</v>
      </c>
      <c r="D17" s="56">
        <v>10220</v>
      </c>
      <c r="E17" s="56">
        <v>12088</v>
      </c>
      <c r="F17" s="57">
        <v>18612</v>
      </c>
      <c r="G17" s="58">
        <v>16.272225628448805</v>
      </c>
      <c r="H17" s="58">
        <f t="shared" si="0"/>
        <v>-6.3277789495886944E-2</v>
      </c>
      <c r="I17" s="59">
        <f t="shared" si="0"/>
        <v>7.8514140987758552</v>
      </c>
      <c r="J17" s="59">
        <f t="shared" si="0"/>
        <v>18.277886497064578</v>
      </c>
      <c r="K17" s="60">
        <f t="shared" si="0"/>
        <v>53.970880211780283</v>
      </c>
    </row>
    <row r="18" spans="1:15" ht="12.75" customHeight="1">
      <c r="A18" s="54" t="s">
        <v>31</v>
      </c>
      <c r="B18" s="55">
        <v>13462</v>
      </c>
      <c r="C18" s="55">
        <v>13274</v>
      </c>
      <c r="D18" s="56">
        <v>14944</v>
      </c>
      <c r="E18" s="56">
        <v>16655</v>
      </c>
      <c r="F18" s="57">
        <v>18164</v>
      </c>
      <c r="G18" s="58">
        <v>-1.5431873034447401</v>
      </c>
      <c r="H18" s="58">
        <f t="shared" si="0"/>
        <v>-1.3965235477640767</v>
      </c>
      <c r="I18" s="59">
        <f t="shared" si="0"/>
        <v>12.580985384963087</v>
      </c>
      <c r="J18" s="59">
        <f t="shared" si="0"/>
        <v>11.44941113490364</v>
      </c>
      <c r="K18" s="60">
        <f t="shared" si="0"/>
        <v>9.0603422395676976</v>
      </c>
    </row>
    <row r="19" spans="1:15" ht="12.75" customHeight="1">
      <c r="A19" s="54" t="s">
        <v>75</v>
      </c>
      <c r="B19" s="55">
        <v>8853</v>
      </c>
      <c r="C19" s="55">
        <v>9438</v>
      </c>
      <c r="D19" s="56">
        <v>11482</v>
      </c>
      <c r="E19" s="56">
        <v>14490</v>
      </c>
      <c r="F19" s="57">
        <v>16049</v>
      </c>
      <c r="G19" s="58">
        <v>-5.2952503209242625</v>
      </c>
      <c r="H19" s="58">
        <f t="shared" si="0"/>
        <v>6.607929515418502</v>
      </c>
      <c r="I19" s="59">
        <f t="shared" si="0"/>
        <v>21.657130748039837</v>
      </c>
      <c r="J19" s="59">
        <f t="shared" si="0"/>
        <v>26.197526563316497</v>
      </c>
      <c r="K19" s="60">
        <f t="shared" si="0"/>
        <v>10.759144237405106</v>
      </c>
    </row>
    <row r="20" spans="1:15" ht="12.75" customHeight="1">
      <c r="A20" s="54" t="s">
        <v>77</v>
      </c>
      <c r="B20" s="55">
        <v>9368</v>
      </c>
      <c r="C20" s="55">
        <v>7392</v>
      </c>
      <c r="D20" s="56">
        <v>9622</v>
      </c>
      <c r="E20" s="56">
        <v>12778</v>
      </c>
      <c r="F20" s="57">
        <v>15208</v>
      </c>
      <c r="G20" s="58">
        <v>-0.40399744843716773</v>
      </c>
      <c r="H20" s="58">
        <f t="shared" si="0"/>
        <v>-21.093082835183605</v>
      </c>
      <c r="I20" s="59">
        <f t="shared" si="0"/>
        <v>30.167748917748916</v>
      </c>
      <c r="J20" s="59">
        <f t="shared" si="0"/>
        <v>32.799833714404492</v>
      </c>
      <c r="K20" s="60">
        <f t="shared" si="0"/>
        <v>19.017060572859602</v>
      </c>
    </row>
    <row r="21" spans="1:15" ht="12.75" customHeight="1">
      <c r="A21" s="54" t="s">
        <v>66</v>
      </c>
      <c r="B21" s="55">
        <v>4956</v>
      </c>
      <c r="C21" s="55">
        <v>5214</v>
      </c>
      <c r="D21" s="56">
        <v>5332</v>
      </c>
      <c r="E21" s="56">
        <v>7990</v>
      </c>
      <c r="F21" s="57">
        <v>9625</v>
      </c>
      <c r="G21" s="58">
        <v>11.220825852782765</v>
      </c>
      <c r="H21" s="58">
        <f t="shared" si="0"/>
        <v>5.2058111380145284</v>
      </c>
      <c r="I21" s="59">
        <f t="shared" si="0"/>
        <v>2.263137706175681</v>
      </c>
      <c r="J21" s="59">
        <f t="shared" si="0"/>
        <v>49.849962490622659</v>
      </c>
      <c r="K21" s="60">
        <f t="shared" si="0"/>
        <v>20.463078848560702</v>
      </c>
    </row>
    <row r="22" spans="1:15" ht="12.75" customHeight="1">
      <c r="A22" s="54" t="s">
        <v>67</v>
      </c>
      <c r="B22" s="55">
        <v>9752</v>
      </c>
      <c r="C22" s="55">
        <v>7833</v>
      </c>
      <c r="D22" s="56">
        <v>7872</v>
      </c>
      <c r="E22" s="56">
        <v>9670</v>
      </c>
      <c r="F22" s="57">
        <v>8860</v>
      </c>
      <c r="G22" s="58">
        <v>1.015123264967889</v>
      </c>
      <c r="H22" s="58">
        <f t="shared" si="0"/>
        <v>-19.678014766201805</v>
      </c>
      <c r="I22" s="59">
        <f t="shared" si="0"/>
        <v>0.49789352738414405</v>
      </c>
      <c r="J22" s="59">
        <f t="shared" si="0"/>
        <v>22.840447154471544</v>
      </c>
      <c r="K22" s="60">
        <f t="shared" si="0"/>
        <v>-8.3764219234746644</v>
      </c>
    </row>
    <row r="23" spans="1:15" ht="12.75" customHeight="1">
      <c r="A23" s="54" t="s">
        <v>50</v>
      </c>
      <c r="B23" s="55">
        <v>8217</v>
      </c>
      <c r="C23" s="55">
        <v>7279</v>
      </c>
      <c r="D23" s="56">
        <v>8912</v>
      </c>
      <c r="E23" s="56">
        <v>9710</v>
      </c>
      <c r="F23" s="57">
        <v>8824</v>
      </c>
      <c r="G23" s="58">
        <v>-6.6037735849056602</v>
      </c>
      <c r="H23" s="58">
        <f t="shared" si="0"/>
        <v>-11.415358403310211</v>
      </c>
      <c r="I23" s="59">
        <f t="shared" si="0"/>
        <v>22.434400329715622</v>
      </c>
      <c r="J23" s="59">
        <f t="shared" si="0"/>
        <v>8.9542190305206457</v>
      </c>
      <c r="K23" s="60">
        <f t="shared" si="0"/>
        <v>-9.1246138002059727</v>
      </c>
      <c r="O23" s="43" t="s">
        <v>106</v>
      </c>
    </row>
    <row r="24" spans="1:15" ht="12.75" customHeight="1">
      <c r="A24" s="54" t="s">
        <v>54</v>
      </c>
      <c r="B24" s="55">
        <v>5399</v>
      </c>
      <c r="C24" s="55">
        <v>4643</v>
      </c>
      <c r="D24" s="56">
        <v>5445</v>
      </c>
      <c r="E24" s="56">
        <v>6729</v>
      </c>
      <c r="F24" s="57">
        <v>8044</v>
      </c>
      <c r="G24" s="58">
        <v>52.299012693935119</v>
      </c>
      <c r="H24" s="58">
        <f t="shared" si="0"/>
        <v>-14.002593072791258</v>
      </c>
      <c r="I24" s="59">
        <f t="shared" si="0"/>
        <v>17.273314667241007</v>
      </c>
      <c r="J24" s="59">
        <f t="shared" si="0"/>
        <v>23.581267217630856</v>
      </c>
      <c r="K24" s="60">
        <f t="shared" si="0"/>
        <v>19.542279684945758</v>
      </c>
    </row>
    <row r="25" spans="1:15" ht="12.75" customHeight="1">
      <c r="A25" s="54" t="s">
        <v>82</v>
      </c>
      <c r="B25" s="55">
        <v>2747</v>
      </c>
      <c r="C25" s="55">
        <v>3036</v>
      </c>
      <c r="D25" s="56">
        <v>4040</v>
      </c>
      <c r="E25" s="56">
        <v>5005</v>
      </c>
      <c r="F25" s="57">
        <v>7263</v>
      </c>
      <c r="G25" s="58">
        <v>41.597938144329902</v>
      </c>
      <c r="H25" s="58">
        <f t="shared" si="0"/>
        <v>10.520567892246087</v>
      </c>
      <c r="I25" s="59">
        <f t="shared" si="0"/>
        <v>33.06982872200264</v>
      </c>
      <c r="J25" s="59">
        <f t="shared" si="0"/>
        <v>23.886138613861384</v>
      </c>
      <c r="K25" s="60">
        <f t="shared" si="0"/>
        <v>45.114885114885119</v>
      </c>
    </row>
    <row r="26" spans="1:15" ht="12.75" customHeight="1">
      <c r="A26" s="54" t="s">
        <v>69</v>
      </c>
      <c r="B26" s="55">
        <v>3952</v>
      </c>
      <c r="C26" s="55">
        <v>3813</v>
      </c>
      <c r="D26" s="56">
        <v>5397</v>
      </c>
      <c r="E26" s="56">
        <v>6214</v>
      </c>
      <c r="F26" s="57">
        <v>6896</v>
      </c>
      <c r="G26" s="58">
        <v>7.8897078897078892</v>
      </c>
      <c r="H26" s="58">
        <f t="shared" si="0"/>
        <v>-3.5172064777327936</v>
      </c>
      <c r="I26" s="59">
        <f t="shared" si="0"/>
        <v>41.542092840283239</v>
      </c>
      <c r="J26" s="59">
        <f t="shared" si="0"/>
        <v>15.138039651658328</v>
      </c>
      <c r="K26" s="60">
        <f t="shared" si="0"/>
        <v>10.975217251367878</v>
      </c>
    </row>
    <row r="27" spans="1:15" ht="12.75" customHeight="1">
      <c r="A27" s="54" t="s">
        <v>63</v>
      </c>
      <c r="B27" s="55">
        <v>3137</v>
      </c>
      <c r="C27" s="55">
        <v>3139</v>
      </c>
      <c r="D27" s="56">
        <v>3894</v>
      </c>
      <c r="E27" s="56">
        <v>6055</v>
      </c>
      <c r="F27" s="57">
        <v>6766</v>
      </c>
      <c r="G27" s="58">
        <v>4.6015338446148721</v>
      </c>
      <c r="H27" s="58">
        <f t="shared" si="0"/>
        <v>6.3755180108383797E-2</v>
      </c>
      <c r="I27" s="59">
        <f t="shared" si="0"/>
        <v>24.052245938196879</v>
      </c>
      <c r="J27" s="59">
        <f t="shared" si="0"/>
        <v>55.495634309193633</v>
      </c>
      <c r="K27" s="60">
        <f t="shared" si="0"/>
        <v>11.742361684558217</v>
      </c>
    </row>
    <row r="28" spans="1:15" ht="12.75" customHeight="1">
      <c r="A28" s="54" t="s">
        <v>43</v>
      </c>
      <c r="B28" s="55">
        <v>5595</v>
      </c>
      <c r="C28" s="55">
        <v>5355</v>
      </c>
      <c r="D28" s="56">
        <v>5682</v>
      </c>
      <c r="E28" s="56">
        <v>5693</v>
      </c>
      <c r="F28" s="57">
        <v>6077</v>
      </c>
      <c r="G28" s="58">
        <v>-13.644080876678499</v>
      </c>
      <c r="H28" s="58">
        <f t="shared" si="0"/>
        <v>-4.2895442359249332</v>
      </c>
      <c r="I28" s="59">
        <f t="shared" si="0"/>
        <v>6.1064425770308119</v>
      </c>
      <c r="J28" s="59">
        <f t="shared" si="0"/>
        <v>0.19359380499824005</v>
      </c>
      <c r="K28" s="60">
        <f t="shared" si="0"/>
        <v>6.745125592833304</v>
      </c>
    </row>
    <row r="29" spans="1:15" ht="12.75" customHeight="1">
      <c r="A29" s="54" t="s">
        <v>84</v>
      </c>
      <c r="B29" s="55">
        <v>2585</v>
      </c>
      <c r="C29" s="55">
        <v>2744</v>
      </c>
      <c r="D29" s="56">
        <v>3336</v>
      </c>
      <c r="E29" s="56">
        <v>4130</v>
      </c>
      <c r="F29" s="57">
        <v>5880</v>
      </c>
      <c r="G29" s="58">
        <v>26.777832270720943</v>
      </c>
      <c r="H29" s="58">
        <f t="shared" si="0"/>
        <v>6.1508704061895552</v>
      </c>
      <c r="I29" s="59">
        <f t="shared" si="0"/>
        <v>21.574344023323615</v>
      </c>
      <c r="J29" s="59">
        <f t="shared" si="0"/>
        <v>23.800959232613909</v>
      </c>
      <c r="K29" s="60">
        <f t="shared" si="0"/>
        <v>42.372881355932201</v>
      </c>
    </row>
    <row r="30" spans="1:15" ht="12.75" customHeight="1">
      <c r="A30" s="54" t="s">
        <v>33</v>
      </c>
      <c r="B30" s="55">
        <v>3811</v>
      </c>
      <c r="C30" s="55">
        <v>3851</v>
      </c>
      <c r="D30" s="56">
        <v>5137</v>
      </c>
      <c r="E30" s="56">
        <v>6471</v>
      </c>
      <c r="F30" s="57">
        <v>5588</v>
      </c>
      <c r="G30" s="58">
        <v>37.780187997107738</v>
      </c>
      <c r="H30" s="58">
        <f t="shared" si="0"/>
        <v>1.0495932826029915</v>
      </c>
      <c r="I30" s="59">
        <f t="shared" si="0"/>
        <v>33.393923656193195</v>
      </c>
      <c r="J30" s="59">
        <f t="shared" si="0"/>
        <v>25.968464084095778</v>
      </c>
      <c r="K30" s="60">
        <f t="shared" si="0"/>
        <v>-13.645495286663575</v>
      </c>
    </row>
    <row r="31" spans="1:15" ht="12.75" customHeight="1">
      <c r="A31" s="54" t="s">
        <v>53</v>
      </c>
      <c r="B31" s="55">
        <v>3235</v>
      </c>
      <c r="C31" s="55">
        <v>2758</v>
      </c>
      <c r="D31" s="56">
        <v>4637</v>
      </c>
      <c r="E31" s="56">
        <v>4542</v>
      </c>
      <c r="F31" s="57">
        <v>5416</v>
      </c>
      <c r="G31" s="58">
        <v>32.473382473382472</v>
      </c>
      <c r="H31" s="58">
        <f t="shared" si="0"/>
        <v>-14.744976816074187</v>
      </c>
      <c r="I31" s="59">
        <f t="shared" si="0"/>
        <v>68.129079042784625</v>
      </c>
      <c r="J31" s="59">
        <f t="shared" si="0"/>
        <v>-2.0487384084537417</v>
      </c>
      <c r="K31" s="60">
        <f t="shared" si="0"/>
        <v>19.242624394539849</v>
      </c>
    </row>
    <row r="32" spans="1:15" ht="12.75" customHeight="1">
      <c r="A32" s="54" t="s">
        <v>51</v>
      </c>
      <c r="B32" s="55">
        <v>3542</v>
      </c>
      <c r="C32" s="55">
        <v>3165</v>
      </c>
      <c r="D32" s="56">
        <v>3638</v>
      </c>
      <c r="E32" s="56">
        <v>4896</v>
      </c>
      <c r="F32" s="57">
        <v>5230</v>
      </c>
      <c r="G32" s="58">
        <v>64.820846905537451</v>
      </c>
      <c r="H32" s="58">
        <f t="shared" si="0"/>
        <v>-10.643704121964992</v>
      </c>
      <c r="I32" s="59">
        <f t="shared" si="0"/>
        <v>14.944707740916272</v>
      </c>
      <c r="J32" s="59">
        <f t="shared" si="0"/>
        <v>34.579439252336449</v>
      </c>
      <c r="K32" s="60">
        <f t="shared" si="0"/>
        <v>6.8218954248366011</v>
      </c>
    </row>
    <row r="33" spans="1:14" ht="12.75" customHeight="1">
      <c r="A33" s="54" t="s">
        <v>74</v>
      </c>
      <c r="B33" s="55">
        <v>2966</v>
      </c>
      <c r="C33" s="55">
        <v>3043</v>
      </c>
      <c r="D33" s="56">
        <v>3815</v>
      </c>
      <c r="E33" s="56">
        <v>4690</v>
      </c>
      <c r="F33" s="57">
        <v>5070</v>
      </c>
      <c r="G33" s="58">
        <v>4.0336723956506493</v>
      </c>
      <c r="H33" s="58">
        <f t="shared" si="0"/>
        <v>2.5960890087660147</v>
      </c>
      <c r="I33" s="59">
        <f t="shared" si="0"/>
        <v>25.369700953006902</v>
      </c>
      <c r="J33" s="59">
        <f t="shared" si="0"/>
        <v>22.935779816513762</v>
      </c>
      <c r="K33" s="60">
        <f t="shared" si="0"/>
        <v>8.1023454157782524</v>
      </c>
    </row>
    <row r="34" spans="1:14" ht="12.75" customHeight="1">
      <c r="A34" s="54" t="s">
        <v>68</v>
      </c>
      <c r="B34" s="55">
        <v>2233</v>
      </c>
      <c r="C34" s="55">
        <v>1975</v>
      </c>
      <c r="D34" s="56">
        <v>3831</v>
      </c>
      <c r="E34" s="56">
        <v>5305</v>
      </c>
      <c r="F34" s="57">
        <v>4430</v>
      </c>
      <c r="G34" s="58">
        <v>10.654112983151636</v>
      </c>
      <c r="H34" s="58">
        <f t="shared" si="0"/>
        <v>-11.553963278101209</v>
      </c>
      <c r="I34" s="59">
        <f t="shared" si="0"/>
        <v>93.974683544303801</v>
      </c>
      <c r="J34" s="59">
        <f t="shared" si="0"/>
        <v>38.475593839728525</v>
      </c>
      <c r="K34" s="60">
        <f t="shared" si="0"/>
        <v>-16.493873704052781</v>
      </c>
    </row>
    <row r="35" spans="1:14" ht="12.75" customHeight="1">
      <c r="A35" s="54" t="s">
        <v>83</v>
      </c>
      <c r="B35" s="55">
        <v>1394</v>
      </c>
      <c r="C35" s="55">
        <v>1580</v>
      </c>
      <c r="D35" s="56">
        <v>1699</v>
      </c>
      <c r="E35" s="56">
        <v>2292</v>
      </c>
      <c r="F35" s="57">
        <v>4047</v>
      </c>
      <c r="G35" s="58">
        <v>72.738537794299873</v>
      </c>
      <c r="H35" s="58">
        <f t="shared" si="0"/>
        <v>13.342898134863701</v>
      </c>
      <c r="I35" s="59">
        <f t="shared" si="0"/>
        <v>7.5316455696202533</v>
      </c>
      <c r="J35" s="59">
        <f t="shared" si="0"/>
        <v>34.90288404944085</v>
      </c>
      <c r="K35" s="60">
        <f t="shared" si="0"/>
        <v>76.570680628272243</v>
      </c>
    </row>
    <row r="36" spans="1:14" ht="12.75" customHeight="1">
      <c r="A36" s="54" t="s">
        <v>71</v>
      </c>
      <c r="B36" s="55">
        <v>3732</v>
      </c>
      <c r="C36" s="55">
        <v>2975</v>
      </c>
      <c r="D36" s="56">
        <v>3157</v>
      </c>
      <c r="E36" s="56">
        <v>3684</v>
      </c>
      <c r="F36" s="57">
        <v>3967</v>
      </c>
      <c r="G36" s="58">
        <v>13.331308836926814</v>
      </c>
      <c r="H36" s="58">
        <f t="shared" si="0"/>
        <v>-20.284030010718112</v>
      </c>
      <c r="I36" s="59">
        <f t="shared" si="0"/>
        <v>6.1176470588235299</v>
      </c>
      <c r="J36" s="59">
        <f t="shared" si="0"/>
        <v>16.69306303452645</v>
      </c>
      <c r="K36" s="60">
        <f t="shared" si="0"/>
        <v>7.681867535287731</v>
      </c>
    </row>
    <row r="37" spans="1:14" ht="12.75" customHeight="1">
      <c r="A37" s="54" t="s">
        <v>45</v>
      </c>
      <c r="B37" s="55">
        <v>3325</v>
      </c>
      <c r="C37" s="55">
        <v>3357</v>
      </c>
      <c r="D37" s="56">
        <v>3795</v>
      </c>
      <c r="E37" s="56">
        <v>4158</v>
      </c>
      <c r="F37" s="57">
        <v>3918</v>
      </c>
      <c r="G37" s="58">
        <v>25.047010154193305</v>
      </c>
      <c r="H37" s="58">
        <f t="shared" si="0"/>
        <v>0.96240601503759393</v>
      </c>
      <c r="I37" s="59">
        <f t="shared" si="0"/>
        <v>13.047363717605004</v>
      </c>
      <c r="J37" s="59">
        <f t="shared" si="0"/>
        <v>9.5652173913043477</v>
      </c>
      <c r="K37" s="60">
        <f t="shared" si="0"/>
        <v>-5.7720057720057723</v>
      </c>
    </row>
    <row r="38" spans="1:14" ht="12.75" customHeight="1">
      <c r="A38" s="54" t="s">
        <v>46</v>
      </c>
      <c r="B38" s="55">
        <v>4150</v>
      </c>
      <c r="C38" s="55">
        <v>4822</v>
      </c>
      <c r="D38" s="56">
        <v>4555</v>
      </c>
      <c r="E38" s="56">
        <v>4434</v>
      </c>
      <c r="F38" s="57">
        <v>3660</v>
      </c>
      <c r="G38" s="58">
        <v>-0.90735434574976126</v>
      </c>
      <c r="H38" s="58">
        <f t="shared" si="0"/>
        <v>16.192771084337348</v>
      </c>
      <c r="I38" s="59">
        <f t="shared" si="0"/>
        <v>-5.5371215263376188</v>
      </c>
      <c r="J38" s="59">
        <f t="shared" si="0"/>
        <v>-2.6564215148188803</v>
      </c>
      <c r="K38" s="60">
        <f t="shared" si="0"/>
        <v>-17.456021650879567</v>
      </c>
    </row>
    <row r="39" spans="1:14" ht="12.75" customHeight="1">
      <c r="A39" s="54" t="s">
        <v>34</v>
      </c>
      <c r="B39" s="55">
        <v>1834</v>
      </c>
      <c r="C39" s="55">
        <v>1722</v>
      </c>
      <c r="D39" s="56">
        <v>2422</v>
      </c>
      <c r="E39" s="56">
        <v>3173</v>
      </c>
      <c r="F39" s="57">
        <v>3493</v>
      </c>
      <c r="G39" s="58">
        <v>0.82462891698735563</v>
      </c>
      <c r="H39" s="58">
        <f t="shared" ref="H39:K60" si="1">(C39-B39)/B39*100</f>
        <v>-6.1068702290076331</v>
      </c>
      <c r="I39" s="59">
        <f t="shared" si="1"/>
        <v>40.650406504065039</v>
      </c>
      <c r="J39" s="59">
        <f t="shared" si="1"/>
        <v>31.007431874483899</v>
      </c>
      <c r="K39" s="60">
        <f t="shared" si="1"/>
        <v>10.085092971950834</v>
      </c>
    </row>
    <row r="40" spans="1:14" ht="12.75" customHeight="1">
      <c r="A40" s="54" t="s">
        <v>72</v>
      </c>
      <c r="B40" s="55">
        <v>1962</v>
      </c>
      <c r="C40" s="55">
        <v>2059</v>
      </c>
      <c r="D40" s="56">
        <v>2471</v>
      </c>
      <c r="E40" s="56">
        <v>2781</v>
      </c>
      <c r="F40" s="57">
        <v>3128</v>
      </c>
      <c r="G40" s="58">
        <v>26.336123631680618</v>
      </c>
      <c r="H40" s="58">
        <f t="shared" si="1"/>
        <v>4.9439347604485224</v>
      </c>
      <c r="I40" s="59">
        <f t="shared" si="1"/>
        <v>20.009713453132587</v>
      </c>
      <c r="J40" s="59">
        <f t="shared" si="1"/>
        <v>12.545528126264671</v>
      </c>
      <c r="K40" s="60">
        <f t="shared" si="1"/>
        <v>12.47752606975908</v>
      </c>
    </row>
    <row r="41" spans="1:14" ht="12.75" customHeight="1">
      <c r="A41" s="54" t="s">
        <v>73</v>
      </c>
      <c r="B41" s="55">
        <v>1327</v>
      </c>
      <c r="C41" s="55">
        <v>1304</v>
      </c>
      <c r="D41" s="56">
        <v>1761</v>
      </c>
      <c r="E41" s="56">
        <v>2342</v>
      </c>
      <c r="F41" s="57">
        <v>3061</v>
      </c>
      <c r="G41" s="58">
        <v>87.429378531073439</v>
      </c>
      <c r="H41" s="58">
        <f t="shared" si="1"/>
        <v>-1.7332328560663148</v>
      </c>
      <c r="I41" s="59">
        <f t="shared" si="1"/>
        <v>35.04601226993865</v>
      </c>
      <c r="J41" s="59">
        <f t="shared" si="1"/>
        <v>32.992617830777967</v>
      </c>
      <c r="K41" s="60">
        <f t="shared" si="1"/>
        <v>30.700256191289498</v>
      </c>
    </row>
    <row r="42" spans="1:14" ht="12.75" customHeight="1">
      <c r="A42" s="54" t="s">
        <v>80</v>
      </c>
      <c r="B42" s="55">
        <v>1340</v>
      </c>
      <c r="C42" s="55">
        <v>1181</v>
      </c>
      <c r="D42" s="56">
        <v>1409</v>
      </c>
      <c r="E42" s="56">
        <v>1797</v>
      </c>
      <c r="F42" s="57">
        <v>2987</v>
      </c>
      <c r="G42" s="58">
        <v>33.466135458167329</v>
      </c>
      <c r="H42" s="58">
        <f t="shared" si="1"/>
        <v>-11.865671641791046</v>
      </c>
      <c r="I42" s="59">
        <f t="shared" si="1"/>
        <v>19.30567315834039</v>
      </c>
      <c r="J42" s="59">
        <f t="shared" si="1"/>
        <v>27.537260468417319</v>
      </c>
      <c r="K42" s="60">
        <f t="shared" si="1"/>
        <v>66.221480244852543</v>
      </c>
    </row>
    <row r="43" spans="1:14" ht="12.75" customHeight="1">
      <c r="A43" s="54" t="s">
        <v>44</v>
      </c>
      <c r="B43" s="55">
        <v>2596</v>
      </c>
      <c r="C43" s="55">
        <v>2120</v>
      </c>
      <c r="D43" s="56">
        <v>2153</v>
      </c>
      <c r="E43" s="56">
        <v>2775</v>
      </c>
      <c r="F43" s="57">
        <v>2902</v>
      </c>
      <c r="G43" s="58">
        <v>43.584070796460175</v>
      </c>
      <c r="H43" s="58">
        <f t="shared" si="1"/>
        <v>-18.335901386748844</v>
      </c>
      <c r="I43" s="59">
        <f t="shared" si="1"/>
        <v>1.5566037735849056</v>
      </c>
      <c r="J43" s="59">
        <f t="shared" si="1"/>
        <v>28.889921040408733</v>
      </c>
      <c r="K43" s="60">
        <f t="shared" si="1"/>
        <v>4.576576576576576</v>
      </c>
    </row>
    <row r="44" spans="1:14" ht="12.75" customHeight="1">
      <c r="A44" s="54" t="s">
        <v>48</v>
      </c>
      <c r="B44" s="55">
        <v>1916</v>
      </c>
      <c r="C44" s="55">
        <v>1970</v>
      </c>
      <c r="D44" s="56">
        <v>2348</v>
      </c>
      <c r="E44" s="56">
        <v>2822</v>
      </c>
      <c r="F44" s="57">
        <v>2636</v>
      </c>
      <c r="G44" s="58">
        <v>30.428863172226006</v>
      </c>
      <c r="H44" s="58">
        <f t="shared" si="1"/>
        <v>2.8183716075156577</v>
      </c>
      <c r="I44" s="59">
        <f t="shared" si="1"/>
        <v>19.18781725888325</v>
      </c>
      <c r="J44" s="59">
        <f t="shared" si="1"/>
        <v>20.187393526405451</v>
      </c>
      <c r="K44" s="60">
        <f t="shared" si="1"/>
        <v>-6.5910701630049608</v>
      </c>
    </row>
    <row r="45" spans="1:14" ht="12.75" customHeight="1">
      <c r="A45" s="54" t="s">
        <v>76</v>
      </c>
      <c r="B45" s="55">
        <v>1334</v>
      </c>
      <c r="C45" s="55">
        <v>1374</v>
      </c>
      <c r="D45" s="56">
        <v>1543</v>
      </c>
      <c r="E45" s="56">
        <v>2132</v>
      </c>
      <c r="F45" s="57">
        <v>2594</v>
      </c>
      <c r="G45" s="58">
        <v>3.3307513555383426</v>
      </c>
      <c r="H45" s="58">
        <f t="shared" si="1"/>
        <v>2.9985007496251872</v>
      </c>
      <c r="I45" s="59">
        <f t="shared" si="1"/>
        <v>12.299854439592432</v>
      </c>
      <c r="J45" s="59">
        <f t="shared" si="1"/>
        <v>38.172391445236556</v>
      </c>
      <c r="K45" s="60">
        <f t="shared" si="1"/>
        <v>21.669793621013135</v>
      </c>
      <c r="N45" s="43" t="s">
        <v>107</v>
      </c>
    </row>
    <row r="46" spans="1:14" ht="12" customHeight="1">
      <c r="A46" s="54" t="s">
        <v>41</v>
      </c>
      <c r="B46" s="55">
        <v>1588</v>
      </c>
      <c r="C46" s="55">
        <v>1380</v>
      </c>
      <c r="D46" s="56">
        <v>2113</v>
      </c>
      <c r="E46" s="56">
        <v>2433</v>
      </c>
      <c r="F46" s="57">
        <v>2569</v>
      </c>
      <c r="G46" s="58">
        <v>21.406727828746178</v>
      </c>
      <c r="H46" s="58">
        <f t="shared" si="1"/>
        <v>-13.09823677581864</v>
      </c>
      <c r="I46" s="59">
        <f t="shared" si="1"/>
        <v>53.115942028985508</v>
      </c>
      <c r="J46" s="59">
        <f t="shared" si="1"/>
        <v>15.144344533838144</v>
      </c>
      <c r="K46" s="60">
        <f t="shared" si="1"/>
        <v>5.589806822852446</v>
      </c>
    </row>
    <row r="47" spans="1:14" ht="12.75" customHeight="1">
      <c r="A47" s="54" t="s">
        <v>40</v>
      </c>
      <c r="B47" s="55">
        <v>2884</v>
      </c>
      <c r="C47" s="55">
        <v>2420</v>
      </c>
      <c r="D47" s="56">
        <v>2514</v>
      </c>
      <c r="E47" s="56">
        <v>2444</v>
      </c>
      <c r="F47" s="57">
        <v>2483</v>
      </c>
      <c r="G47" s="58">
        <v>-8.3862770012706473</v>
      </c>
      <c r="H47" s="58">
        <f t="shared" si="1"/>
        <v>-16.08876560332871</v>
      </c>
      <c r="I47" s="59">
        <f t="shared" si="1"/>
        <v>3.884297520661157</v>
      </c>
      <c r="J47" s="59">
        <f t="shared" si="1"/>
        <v>-2.7844073190135243</v>
      </c>
      <c r="K47" s="60">
        <f t="shared" si="1"/>
        <v>1.5957446808510638</v>
      </c>
    </row>
    <row r="48" spans="1:14" ht="12.75" customHeight="1">
      <c r="A48" s="54" t="s">
        <v>39</v>
      </c>
      <c r="B48" s="55">
        <v>2052</v>
      </c>
      <c r="C48" s="55">
        <v>1848</v>
      </c>
      <c r="D48" s="56">
        <v>2434</v>
      </c>
      <c r="E48" s="56">
        <v>2596</v>
      </c>
      <c r="F48" s="57">
        <v>2408</v>
      </c>
      <c r="G48" s="58">
        <v>-20.093457943925234</v>
      </c>
      <c r="H48" s="58">
        <f t="shared" si="1"/>
        <v>-9.9415204678362574</v>
      </c>
      <c r="I48" s="59">
        <f t="shared" si="1"/>
        <v>31.70995670995671</v>
      </c>
      <c r="J48" s="59">
        <f t="shared" si="1"/>
        <v>6.6557107641741986</v>
      </c>
      <c r="K48" s="60">
        <f t="shared" si="1"/>
        <v>-7.2419106317411401</v>
      </c>
    </row>
    <row r="49" spans="1:11" ht="12.75" customHeight="1">
      <c r="A49" s="54" t="s">
        <v>70</v>
      </c>
      <c r="B49" s="55">
        <v>1065</v>
      </c>
      <c r="C49" s="55">
        <v>1182</v>
      </c>
      <c r="D49" s="56">
        <v>1575</v>
      </c>
      <c r="E49" s="56">
        <v>2485</v>
      </c>
      <c r="F49" s="57">
        <v>2345</v>
      </c>
      <c r="G49" s="58">
        <v>-45.412608918503331</v>
      </c>
      <c r="H49" s="58">
        <f t="shared" si="1"/>
        <v>10.985915492957748</v>
      </c>
      <c r="I49" s="59">
        <f t="shared" si="1"/>
        <v>33.248730964467008</v>
      </c>
      <c r="J49" s="59">
        <f t="shared" si="1"/>
        <v>57.777777777777771</v>
      </c>
      <c r="K49" s="60">
        <f t="shared" si="1"/>
        <v>-5.6338028169014089</v>
      </c>
    </row>
    <row r="50" spans="1:11" ht="12.75" customHeight="1">
      <c r="A50" s="54" t="s">
        <v>65</v>
      </c>
      <c r="B50" s="55">
        <v>871</v>
      </c>
      <c r="C50" s="55">
        <v>979</v>
      </c>
      <c r="D50" s="56">
        <v>1066</v>
      </c>
      <c r="E50" s="56">
        <v>1652</v>
      </c>
      <c r="F50" s="57">
        <v>2265</v>
      </c>
      <c r="G50" s="58">
        <v>-11.303462321792262</v>
      </c>
      <c r="H50" s="58">
        <f t="shared" si="1"/>
        <v>12.399540757749714</v>
      </c>
      <c r="I50" s="59">
        <f t="shared" si="1"/>
        <v>8.88661899897855</v>
      </c>
      <c r="J50" s="59">
        <f t="shared" si="1"/>
        <v>54.971857410881796</v>
      </c>
      <c r="K50" s="60">
        <f t="shared" si="1"/>
        <v>37.106537530266344</v>
      </c>
    </row>
    <row r="51" spans="1:11" ht="12.75" customHeight="1">
      <c r="A51" s="54" t="s">
        <v>38</v>
      </c>
      <c r="B51" s="55">
        <v>4926</v>
      </c>
      <c r="C51" s="55">
        <v>5406</v>
      </c>
      <c r="D51" s="56">
        <v>4630</v>
      </c>
      <c r="E51" s="56">
        <v>3009</v>
      </c>
      <c r="F51" s="57">
        <v>2058</v>
      </c>
      <c r="G51" s="58">
        <v>1.5670103092783505</v>
      </c>
      <c r="H51" s="58">
        <f t="shared" si="1"/>
        <v>9.7442143727161987</v>
      </c>
      <c r="I51" s="59">
        <f t="shared" si="1"/>
        <v>-14.354421013688496</v>
      </c>
      <c r="J51" s="59">
        <f t="shared" si="1"/>
        <v>-35.010799136069117</v>
      </c>
      <c r="K51" s="60">
        <f t="shared" si="1"/>
        <v>-31.605184446660019</v>
      </c>
    </row>
    <row r="52" spans="1:11" ht="12.75" customHeight="1">
      <c r="A52" s="54" t="s">
        <v>64</v>
      </c>
      <c r="B52" s="55">
        <v>1191</v>
      </c>
      <c r="C52" s="55">
        <v>1046</v>
      </c>
      <c r="D52" s="56">
        <v>1256</v>
      </c>
      <c r="E52" s="56">
        <v>1842</v>
      </c>
      <c r="F52" s="57">
        <v>1857</v>
      </c>
      <c r="G52" s="58">
        <v>17.5715695952616</v>
      </c>
      <c r="H52" s="58">
        <f t="shared" si="1"/>
        <v>-12.174643157010916</v>
      </c>
      <c r="I52" s="59">
        <f t="shared" si="1"/>
        <v>20.076481835564053</v>
      </c>
      <c r="J52" s="59">
        <f t="shared" si="1"/>
        <v>46.656050955414017</v>
      </c>
      <c r="K52" s="60">
        <f t="shared" si="1"/>
        <v>0.81433224755700329</v>
      </c>
    </row>
    <row r="53" spans="1:11" ht="12.75" customHeight="1">
      <c r="A53" s="54" t="s">
        <v>60</v>
      </c>
      <c r="B53" s="55">
        <v>581</v>
      </c>
      <c r="C53" s="55">
        <v>677</v>
      </c>
      <c r="D53" s="56">
        <v>818</v>
      </c>
      <c r="E53" s="56">
        <v>1283</v>
      </c>
      <c r="F53" s="57">
        <v>1772</v>
      </c>
      <c r="G53" s="58">
        <v>-38.388123011664902</v>
      </c>
      <c r="H53" s="58">
        <f t="shared" si="1"/>
        <v>16.523235800344235</v>
      </c>
      <c r="I53" s="59">
        <f t="shared" si="1"/>
        <v>20.827178729689809</v>
      </c>
      <c r="J53" s="59">
        <f t="shared" si="1"/>
        <v>56.845965770171148</v>
      </c>
      <c r="K53" s="60">
        <f t="shared" si="1"/>
        <v>38.113795791114576</v>
      </c>
    </row>
    <row r="54" spans="1:11" ht="12.75" customHeight="1">
      <c r="A54" s="54" t="s">
        <v>81</v>
      </c>
      <c r="B54" s="55">
        <v>1139</v>
      </c>
      <c r="C54" s="55">
        <v>984</v>
      </c>
      <c r="D54" s="56">
        <v>1145</v>
      </c>
      <c r="E54" s="56">
        <v>1346</v>
      </c>
      <c r="F54" s="57">
        <v>1666</v>
      </c>
      <c r="G54" s="58">
        <v>72.575757575757578</v>
      </c>
      <c r="H54" s="58">
        <f t="shared" si="1"/>
        <v>-13.608428446005268</v>
      </c>
      <c r="I54" s="59">
        <f t="shared" si="1"/>
        <v>16.361788617886177</v>
      </c>
      <c r="J54" s="59">
        <f t="shared" si="1"/>
        <v>17.554585152838428</v>
      </c>
      <c r="K54" s="60">
        <f t="shared" si="1"/>
        <v>23.774145616641899</v>
      </c>
    </row>
    <row r="55" spans="1:11" ht="12.75" customHeight="1">
      <c r="A55" s="54" t="s">
        <v>78</v>
      </c>
      <c r="B55" s="55">
        <v>1184</v>
      </c>
      <c r="C55" s="55">
        <v>991</v>
      </c>
      <c r="D55" s="56">
        <v>1103</v>
      </c>
      <c r="E55" s="56">
        <v>1390</v>
      </c>
      <c r="F55" s="57">
        <v>1579</v>
      </c>
      <c r="G55" s="58">
        <v>3.6777583187390541</v>
      </c>
      <c r="H55" s="58">
        <f t="shared" si="1"/>
        <v>-16.300675675675674</v>
      </c>
      <c r="I55" s="59">
        <f t="shared" si="1"/>
        <v>11.301715438950556</v>
      </c>
      <c r="J55" s="59">
        <f t="shared" si="1"/>
        <v>26.019945602901178</v>
      </c>
      <c r="K55" s="60">
        <f t="shared" si="1"/>
        <v>13.597122302158274</v>
      </c>
    </row>
    <row r="56" spans="1:11" ht="12.75" customHeight="1">
      <c r="A56" s="54" t="s">
        <v>32</v>
      </c>
      <c r="B56" s="55">
        <v>3368</v>
      </c>
      <c r="C56" s="55">
        <v>3437</v>
      </c>
      <c r="D56" s="56">
        <v>4386</v>
      </c>
      <c r="E56" s="56">
        <v>5738</v>
      </c>
      <c r="F56" s="57">
        <v>1509</v>
      </c>
      <c r="G56" s="58">
        <v>-5.1801801801801801</v>
      </c>
      <c r="H56" s="58">
        <f t="shared" si="1"/>
        <v>2.0486935866983371</v>
      </c>
      <c r="I56" s="59">
        <f t="shared" si="1"/>
        <v>27.611288914751235</v>
      </c>
      <c r="J56" s="59">
        <f t="shared" si="1"/>
        <v>30.825353397172822</v>
      </c>
      <c r="K56" s="60">
        <f t="shared" si="1"/>
        <v>-73.701638201463922</v>
      </c>
    </row>
    <row r="57" spans="1:11" ht="12.75" customHeight="1">
      <c r="A57" s="54" t="s">
        <v>35</v>
      </c>
      <c r="B57" s="55">
        <v>865</v>
      </c>
      <c r="C57" s="55">
        <v>1088</v>
      </c>
      <c r="D57" s="56">
        <v>1281</v>
      </c>
      <c r="E57" s="56">
        <v>1535</v>
      </c>
      <c r="F57" s="57">
        <v>1402</v>
      </c>
      <c r="G57" s="58">
        <v>9.6324461343472745</v>
      </c>
      <c r="H57" s="58">
        <f t="shared" si="1"/>
        <v>25.780346820809246</v>
      </c>
      <c r="I57" s="59">
        <f t="shared" si="1"/>
        <v>17.738970588235293</v>
      </c>
      <c r="J57" s="59">
        <f t="shared" si="1"/>
        <v>19.828259172521467</v>
      </c>
      <c r="K57" s="60">
        <f t="shared" si="1"/>
        <v>-8.664495114006515</v>
      </c>
    </row>
    <row r="58" spans="1:11" ht="12.75" customHeight="1">
      <c r="A58" s="54" t="s">
        <v>49</v>
      </c>
      <c r="B58" s="55">
        <v>1372</v>
      </c>
      <c r="C58" s="55">
        <v>1324</v>
      </c>
      <c r="D58" s="56">
        <v>1647</v>
      </c>
      <c r="E58" s="56">
        <v>1609</v>
      </c>
      <c r="F58" s="57">
        <v>1295</v>
      </c>
      <c r="G58" s="58">
        <v>13.953488372093023</v>
      </c>
      <c r="H58" s="58">
        <f t="shared" si="1"/>
        <v>-3.4985422740524781</v>
      </c>
      <c r="I58" s="59">
        <f t="shared" si="1"/>
        <v>24.395770392749245</v>
      </c>
      <c r="J58" s="59">
        <f t="shared" si="1"/>
        <v>-2.3072252580449302</v>
      </c>
      <c r="K58" s="60">
        <f t="shared" si="1"/>
        <v>-19.515226848974518</v>
      </c>
    </row>
    <row r="59" spans="1:11" ht="12.75" customHeight="1">
      <c r="A59" s="54" t="s">
        <v>57</v>
      </c>
      <c r="B59" s="55">
        <v>455</v>
      </c>
      <c r="C59" s="55">
        <v>388</v>
      </c>
      <c r="D59" s="56">
        <v>525</v>
      </c>
      <c r="E59" s="56">
        <v>1496</v>
      </c>
      <c r="F59" s="57">
        <v>1221</v>
      </c>
      <c r="G59" s="58">
        <v>-64.563862928348911</v>
      </c>
      <c r="H59" s="58">
        <f t="shared" si="1"/>
        <v>-14.725274725274726</v>
      </c>
      <c r="I59" s="59">
        <f t="shared" si="1"/>
        <v>35.309278350515463</v>
      </c>
      <c r="J59" s="59">
        <f t="shared" si="1"/>
        <v>184.95238095238096</v>
      </c>
      <c r="K59" s="60">
        <f t="shared" si="1"/>
        <v>-18.382352941176471</v>
      </c>
    </row>
    <row r="60" spans="1:11" ht="12.75" customHeight="1">
      <c r="A60" s="61" t="s">
        <v>79</v>
      </c>
      <c r="B60" s="62">
        <v>22</v>
      </c>
      <c r="C60" s="62">
        <v>21</v>
      </c>
      <c r="D60" s="63">
        <v>31</v>
      </c>
      <c r="E60" s="63">
        <v>27</v>
      </c>
      <c r="F60" s="64">
        <v>39</v>
      </c>
      <c r="G60" s="65">
        <v>-80.530973451327441</v>
      </c>
      <c r="H60" s="65">
        <f t="shared" si="1"/>
        <v>-4.5454545454545459</v>
      </c>
      <c r="I60" s="66">
        <f t="shared" si="1"/>
        <v>47.619047619047613</v>
      </c>
      <c r="J60" s="66">
        <f t="shared" si="1"/>
        <v>-12.903225806451612</v>
      </c>
      <c r="K60" s="67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68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68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V49"/>
  <sheetViews>
    <sheetView showGridLines="0" tabSelected="1" zoomScaleNormal="100" zoomScaleSheetLayoutView="100" workbookViewId="0">
      <pane xSplit="1" ySplit="6" topLeftCell="B7" activePane="bottomRight" state="frozen"/>
      <selection pane="topRight" activeCell="T1" sqref="T1"/>
      <selection pane="bottomLeft" activeCell="A7" sqref="A7"/>
      <selection pane="bottomRight" activeCell="O30" sqref="O30"/>
    </sheetView>
  </sheetViews>
  <sheetFormatPr defaultColWidth="9.140625" defaultRowHeight="12.75"/>
  <cols>
    <col min="1" max="1" width="13.7109375" style="8" customWidth="1"/>
    <col min="2" max="2" width="12" style="8" customWidth="1"/>
    <col min="3" max="3" width="11.28515625" style="8" customWidth="1"/>
    <col min="4" max="4" width="14.42578125" style="8" customWidth="1"/>
    <col min="5" max="9" width="11.28515625" style="8" customWidth="1"/>
    <col min="10" max="10" width="14.85546875" style="8" customWidth="1"/>
    <col min="11" max="13" width="11.28515625" style="8" customWidth="1"/>
    <col min="14" max="14" width="9.140625" style="8"/>
    <col min="15" max="35" width="6.28515625" style="8" customWidth="1"/>
    <col min="36" max="38" width="9.140625" style="25"/>
    <col min="39" max="39" width="9.140625" style="8"/>
    <col min="40" max="40" width="18.28515625" style="8" customWidth="1"/>
    <col min="41" max="16384" width="9.140625" style="8"/>
  </cols>
  <sheetData>
    <row r="1" spans="1:40" ht="17.25" customHeight="1">
      <c r="A1" s="102" t="s">
        <v>110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spans="1:40" ht="24" customHeight="1">
      <c r="A2" s="103" t="s">
        <v>111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AM2" s="7"/>
      <c r="AN2" s="73"/>
    </row>
    <row r="3" spans="1:40" s="25" customFormat="1" ht="18.75" customHeight="1">
      <c r="A3" s="99" t="s">
        <v>11</v>
      </c>
      <c r="B3" s="97">
        <v>2014</v>
      </c>
      <c r="C3" s="98"/>
      <c r="D3" s="98"/>
      <c r="E3" s="98"/>
      <c r="F3" s="98"/>
      <c r="G3" s="98"/>
      <c r="H3" s="97">
        <v>2015</v>
      </c>
      <c r="I3" s="98"/>
      <c r="J3" s="98"/>
      <c r="K3" s="98"/>
      <c r="L3" s="98"/>
      <c r="M3" s="98"/>
      <c r="AM3" s="78"/>
      <c r="AN3" s="15"/>
    </row>
    <row r="4" spans="1:40" s="25" customFormat="1" ht="56.25" customHeight="1">
      <c r="A4" s="100"/>
      <c r="B4" s="69" t="s">
        <v>96</v>
      </c>
      <c r="C4" s="26" t="s">
        <v>95</v>
      </c>
      <c r="D4" s="26" t="s">
        <v>94</v>
      </c>
      <c r="E4" s="26" t="s">
        <v>93</v>
      </c>
      <c r="F4" s="26" t="s">
        <v>97</v>
      </c>
      <c r="G4" s="26" t="s">
        <v>98</v>
      </c>
      <c r="H4" s="69" t="s">
        <v>96</v>
      </c>
      <c r="I4" s="26" t="s">
        <v>95</v>
      </c>
      <c r="J4" s="26" t="s">
        <v>94</v>
      </c>
      <c r="K4" s="26" t="s">
        <v>93</v>
      </c>
      <c r="L4" s="26" t="s">
        <v>97</v>
      </c>
      <c r="M4" s="26" t="s">
        <v>98</v>
      </c>
      <c r="AM4" s="76"/>
      <c r="AN4" s="15"/>
    </row>
    <row r="5" spans="1:40" s="25" customFormat="1" ht="45.75" customHeight="1">
      <c r="A5" s="101"/>
      <c r="B5" s="70" t="s">
        <v>109</v>
      </c>
      <c r="C5" s="80" t="s">
        <v>87</v>
      </c>
      <c r="D5" s="80" t="s">
        <v>14</v>
      </c>
      <c r="E5" s="80" t="s">
        <v>86</v>
      </c>
      <c r="F5" s="80" t="s">
        <v>90</v>
      </c>
      <c r="G5" s="80" t="s">
        <v>91</v>
      </c>
      <c r="H5" s="70" t="s">
        <v>12</v>
      </c>
      <c r="I5" s="80" t="s">
        <v>87</v>
      </c>
      <c r="J5" s="80" t="s">
        <v>14</v>
      </c>
      <c r="K5" s="80" t="s">
        <v>86</v>
      </c>
      <c r="L5" s="80" t="s">
        <v>90</v>
      </c>
      <c r="M5" s="80" t="s">
        <v>91</v>
      </c>
      <c r="AM5" s="76"/>
      <c r="AN5" s="15"/>
    </row>
    <row r="6" spans="1:40" s="25" customFormat="1" ht="16.5" customHeight="1">
      <c r="A6" s="28" t="s">
        <v>15</v>
      </c>
      <c r="B6" s="71">
        <f>AVERAGE(B7:B18)</f>
        <v>30586.666666666668</v>
      </c>
      <c r="C6" s="29">
        <f>AVERAGE(C7:C18)</f>
        <v>26962.833333333332</v>
      </c>
      <c r="D6" s="30">
        <f>AVERAGE(D7:D18)</f>
        <v>88.174535144048789</v>
      </c>
      <c r="E6" s="30">
        <f>AVERAGE(E7:E18)</f>
        <v>74.116873713272412</v>
      </c>
      <c r="F6" s="29">
        <f>SUM(F7:F18)</f>
        <v>7290007</v>
      </c>
      <c r="G6" s="30">
        <f>AVERAGE(G7:G18)</f>
        <v>6.0569229992913582</v>
      </c>
      <c r="H6" s="71">
        <f>AVERAGE(H7:H18)</f>
        <v>32836.916666666664</v>
      </c>
      <c r="I6" s="29">
        <f>AVERAGE(I7:I18)</f>
        <v>27747.75</v>
      </c>
      <c r="J6" s="30">
        <f>AVERAGE(J7:J18)</f>
        <v>84.523460459990162</v>
      </c>
      <c r="K6" s="30">
        <f>AVERAGE(K7:K18)</f>
        <v>68.952318401424179</v>
      </c>
      <c r="L6" s="29">
        <f>SUM(L7:L18)</f>
        <v>6976333.3599999994</v>
      </c>
      <c r="M6" s="30">
        <f>AVERAGE(M7:M18)</f>
        <v>5.6623346324798476</v>
      </c>
      <c r="AM6" s="76"/>
      <c r="AN6" s="15"/>
    </row>
    <row r="7" spans="1:40" s="25" customFormat="1" ht="16.5" customHeight="1">
      <c r="A7" s="31" t="s">
        <v>16</v>
      </c>
      <c r="B7" s="35">
        <v>29815</v>
      </c>
      <c r="C7" s="32">
        <v>26761</v>
      </c>
      <c r="D7" s="33">
        <f t="shared" ref="D7:D18" si="0">C7/B7*100</f>
        <v>89.756833808485652</v>
      </c>
      <c r="E7" s="33">
        <v>82.469795356989167</v>
      </c>
      <c r="F7" s="32">
        <v>684162</v>
      </c>
      <c r="G7" s="33">
        <v>6.4975117763257861</v>
      </c>
      <c r="H7" s="35">
        <v>32031</v>
      </c>
      <c r="I7" s="32">
        <v>27760</v>
      </c>
      <c r="J7" s="33">
        <f>I7/H7*100</f>
        <v>86.666042271549443</v>
      </c>
      <c r="K7" s="33">
        <v>73.305754392488609</v>
      </c>
      <c r="L7" s="32">
        <v>630840</v>
      </c>
      <c r="M7" s="33">
        <v>6.4986144447992746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M7" s="76"/>
      <c r="AN7" s="15"/>
    </row>
    <row r="8" spans="1:40" s="25" customFormat="1" ht="16.5" customHeight="1">
      <c r="A8" s="31" t="s">
        <v>17</v>
      </c>
      <c r="B8" s="35">
        <v>29885</v>
      </c>
      <c r="C8" s="32">
        <v>27334</v>
      </c>
      <c r="D8" s="33">
        <f t="shared" si="0"/>
        <v>91.463945122971396</v>
      </c>
      <c r="E8" s="33">
        <v>88.778627350552426</v>
      </c>
      <c r="F8" s="32">
        <v>679469</v>
      </c>
      <c r="G8" s="33">
        <v>6.1376541258299087</v>
      </c>
      <c r="H8" s="35">
        <v>32122</v>
      </c>
      <c r="I8" s="32">
        <v>28079</v>
      </c>
      <c r="J8" s="33">
        <f t="shared" ref="J8:J18" si="1">I8/H8*100</f>
        <v>87.413610609551085</v>
      </c>
      <c r="K8" s="33">
        <v>86.798344466886789</v>
      </c>
      <c r="L8" s="32">
        <v>682419</v>
      </c>
      <c r="M8" s="33">
        <v>5.6647325430819802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M8" s="76"/>
      <c r="AN8" s="15"/>
    </row>
    <row r="9" spans="1:40" s="25" customFormat="1" ht="16.5" customHeight="1">
      <c r="A9" s="31" t="s">
        <v>18</v>
      </c>
      <c r="B9" s="35">
        <v>30271</v>
      </c>
      <c r="C9" s="32">
        <v>26905</v>
      </c>
      <c r="D9" s="33">
        <f t="shared" si="0"/>
        <v>88.880446632090113</v>
      </c>
      <c r="E9" s="33">
        <v>80.893825946730118</v>
      </c>
      <c r="F9" s="32">
        <v>674699</v>
      </c>
      <c r="G9" s="33">
        <v>6.4923550587343692</v>
      </c>
      <c r="H9" s="35">
        <v>32345</v>
      </c>
      <c r="I9" s="32">
        <v>27984</v>
      </c>
      <c r="J9" s="33">
        <f t="shared" si="1"/>
        <v>86.51723604884836</v>
      </c>
      <c r="K9" s="33">
        <v>75.64806617606375</v>
      </c>
      <c r="L9" s="32">
        <v>656250</v>
      </c>
      <c r="M9" s="33">
        <v>5.8371209762779399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M9" s="76"/>
      <c r="AN9" s="15"/>
    </row>
    <row r="10" spans="1:40" s="25" customFormat="1" ht="16.5" customHeight="1">
      <c r="A10" s="31" t="s">
        <v>19</v>
      </c>
      <c r="B10" s="35">
        <v>30368</v>
      </c>
      <c r="C10" s="32">
        <v>27033</v>
      </c>
      <c r="D10" s="33">
        <f t="shared" si="0"/>
        <v>89.018045310853537</v>
      </c>
      <c r="E10" s="33">
        <v>79.869542164514968</v>
      </c>
      <c r="F10" s="32">
        <v>647734</v>
      </c>
      <c r="G10" s="33">
        <v>6.15079432906969</v>
      </c>
      <c r="H10" s="35">
        <v>32443</v>
      </c>
      <c r="I10" s="32">
        <v>27390</v>
      </c>
      <c r="J10" s="33">
        <f t="shared" si="1"/>
        <v>84.424991523595224</v>
      </c>
      <c r="K10" s="33">
        <v>73.364609954971399</v>
      </c>
      <c r="L10" s="32">
        <v>602837</v>
      </c>
      <c r="M10" s="33">
        <v>5.8961776960544592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M10" s="76"/>
      <c r="AN10" s="15"/>
    </row>
    <row r="11" spans="1:40" s="25" customFormat="1" ht="16.5" customHeight="1">
      <c r="A11" s="31" t="s">
        <v>4</v>
      </c>
      <c r="B11" s="35">
        <v>30348</v>
      </c>
      <c r="C11" s="32">
        <v>26989</v>
      </c>
      <c r="D11" s="33">
        <f t="shared" si="0"/>
        <v>88.93172531962567</v>
      </c>
      <c r="E11" s="33">
        <v>67.64631707780589</v>
      </c>
      <c r="F11" s="32">
        <v>565969</v>
      </c>
      <c r="G11" s="33">
        <v>6.1992748860848232</v>
      </c>
      <c r="H11" s="35">
        <v>32614</v>
      </c>
      <c r="I11" s="32">
        <v>28248</v>
      </c>
      <c r="J11" s="33">
        <f t="shared" si="1"/>
        <v>86.613110933954744</v>
      </c>
      <c r="K11" s="33">
        <v>63.582919944089667</v>
      </c>
      <c r="L11" s="32">
        <v>556788</v>
      </c>
      <c r="M11" s="33">
        <v>5.8370252335174913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M11" s="76"/>
      <c r="AN11" s="15"/>
    </row>
    <row r="12" spans="1:40" s="25" customFormat="1" ht="16.5" customHeight="1">
      <c r="A12" s="31" t="s">
        <v>20</v>
      </c>
      <c r="B12" s="35">
        <v>30488</v>
      </c>
      <c r="C12" s="32">
        <v>26481</v>
      </c>
      <c r="D12" s="33">
        <f t="shared" si="0"/>
        <v>86.857124114405664</v>
      </c>
      <c r="E12" s="33">
        <v>58.710773762320159</v>
      </c>
      <c r="F12" s="32">
        <v>466416</v>
      </c>
      <c r="G12" s="33">
        <v>5.5955943225311051</v>
      </c>
      <c r="H12" s="35">
        <v>32694</v>
      </c>
      <c r="I12" s="32">
        <v>27465</v>
      </c>
      <c r="J12" s="33">
        <f t="shared" si="1"/>
        <v>84.006239677004956</v>
      </c>
      <c r="K12" s="33">
        <v>52.759633472904909</v>
      </c>
      <c r="L12" s="32">
        <v>434713</v>
      </c>
      <c r="M12" s="33">
        <v>5.3335091895075211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M12" s="76"/>
      <c r="AN12" s="15"/>
    </row>
    <row r="13" spans="1:40" s="25" customFormat="1" ht="16.5" customHeight="1">
      <c r="A13" s="31" t="s">
        <v>21</v>
      </c>
      <c r="B13" s="35">
        <v>30658</v>
      </c>
      <c r="C13" s="32">
        <v>27001</v>
      </c>
      <c r="D13" s="33">
        <f t="shared" si="0"/>
        <v>88.071628938613088</v>
      </c>
      <c r="E13" s="33">
        <v>67.677541214124687</v>
      </c>
      <c r="F13" s="32">
        <v>566482</v>
      </c>
      <c r="G13" s="33">
        <v>5.7481210887205441</v>
      </c>
      <c r="H13" s="35">
        <v>32740</v>
      </c>
      <c r="I13" s="32">
        <v>26567</v>
      </c>
      <c r="J13" s="33">
        <f t="shared" si="1"/>
        <v>81.145387904703725</v>
      </c>
      <c r="K13" s="33">
        <v>66.519506979918091</v>
      </c>
      <c r="L13" s="32">
        <v>547839.36</v>
      </c>
      <c r="M13" s="33">
        <v>5.2416292086454837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M13" s="76"/>
      <c r="AN13" s="15"/>
    </row>
    <row r="14" spans="1:40" s="25" customFormat="1" ht="16.5" customHeight="1">
      <c r="A14" s="31" t="s">
        <v>22</v>
      </c>
      <c r="B14" s="35">
        <v>30696</v>
      </c>
      <c r="C14" s="32">
        <v>27032</v>
      </c>
      <c r="D14" s="33">
        <f t="shared" si="0"/>
        <v>88.063591347406827</v>
      </c>
      <c r="E14" s="33">
        <v>75.178641323544852</v>
      </c>
      <c r="F14" s="32">
        <v>629991</v>
      </c>
      <c r="G14" s="33">
        <v>6.0467913155318369</v>
      </c>
      <c r="H14" s="35">
        <v>32902</v>
      </c>
      <c r="I14" s="32">
        <v>27595</v>
      </c>
      <c r="J14" s="33">
        <f t="shared" si="1"/>
        <v>83.870281441857642</v>
      </c>
      <c r="K14" s="33">
        <v>71.030399382777389</v>
      </c>
      <c r="L14" s="32">
        <v>607626</v>
      </c>
      <c r="M14" s="33">
        <v>5.5166509296920392</v>
      </c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M14" s="76"/>
      <c r="AN14" s="15"/>
    </row>
    <row r="15" spans="1:40" s="25" customFormat="1" ht="16.5" customHeight="1">
      <c r="A15" s="31" t="s">
        <v>23</v>
      </c>
      <c r="B15" s="35">
        <v>30803</v>
      </c>
      <c r="C15" s="32">
        <v>27097</v>
      </c>
      <c r="D15" s="33">
        <f t="shared" si="0"/>
        <v>87.968704346979194</v>
      </c>
      <c r="E15" s="33">
        <v>66.470950043670257</v>
      </c>
      <c r="F15" s="32">
        <v>540349</v>
      </c>
      <c r="G15" s="33">
        <v>5.681066930210064</v>
      </c>
      <c r="H15" s="35">
        <v>33041</v>
      </c>
      <c r="I15" s="32">
        <v>27855</v>
      </c>
      <c r="J15" s="33">
        <f t="shared" si="1"/>
        <v>84.304349141975123</v>
      </c>
      <c r="K15" s="33">
        <v>62.71465326392628</v>
      </c>
      <c r="L15" s="32">
        <v>524075</v>
      </c>
      <c r="M15" s="33">
        <v>5.4870643171990663</v>
      </c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M15" s="78"/>
      <c r="AN15" s="15"/>
    </row>
    <row r="16" spans="1:40" s="25" customFormat="1" ht="16.5" customHeight="1">
      <c r="A16" s="31" t="s">
        <v>24</v>
      </c>
      <c r="B16" s="35">
        <v>30812</v>
      </c>
      <c r="C16" s="32">
        <v>26745</v>
      </c>
      <c r="D16" s="33">
        <f t="shared" si="0"/>
        <v>86.800597169933795</v>
      </c>
      <c r="E16" s="33">
        <v>80.160174648261048</v>
      </c>
      <c r="F16" s="32">
        <v>664604</v>
      </c>
      <c r="G16" s="33">
        <v>6.0237285984899982</v>
      </c>
      <c r="H16" s="35">
        <v>33415</v>
      </c>
      <c r="I16" s="32">
        <v>27591</v>
      </c>
      <c r="J16" s="33">
        <f t="shared" si="1"/>
        <v>82.570701780637435</v>
      </c>
      <c r="K16" s="33">
        <v>71.331465028918956</v>
      </c>
      <c r="L16" s="32">
        <v>610113</v>
      </c>
      <c r="M16" s="33">
        <v>5.783171244952511</v>
      </c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M16" s="76"/>
      <c r="AN16" s="15"/>
    </row>
    <row r="17" spans="1:48" s="25" customFormat="1" ht="16.5" customHeight="1">
      <c r="A17" s="36" t="s">
        <v>25</v>
      </c>
      <c r="B17" s="35">
        <v>31223</v>
      </c>
      <c r="C17" s="32">
        <v>27116</v>
      </c>
      <c r="D17" s="33">
        <f t="shared" si="0"/>
        <v>86.84623514716715</v>
      </c>
      <c r="E17" s="33">
        <v>67.940330432217138</v>
      </c>
      <c r="F17" s="32">
        <v>552681</v>
      </c>
      <c r="G17" s="33">
        <v>6.1560850096905702</v>
      </c>
      <c r="H17" s="35">
        <v>33591</v>
      </c>
      <c r="I17" s="32">
        <v>28163</v>
      </c>
      <c r="J17" s="33">
        <f t="shared" si="1"/>
        <v>83.840909767497251</v>
      </c>
      <c r="K17" s="33">
        <v>63.016132277574599</v>
      </c>
      <c r="L17" s="32">
        <v>532417</v>
      </c>
      <c r="M17" s="33">
        <v>5.9014498215433724</v>
      </c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M17" s="76"/>
      <c r="AN17" s="15"/>
    </row>
    <row r="18" spans="1:48" s="25" customFormat="1" ht="16.5" customHeight="1">
      <c r="A18" s="37" t="s">
        <v>26</v>
      </c>
      <c r="B18" s="40">
        <v>31673</v>
      </c>
      <c r="C18" s="38">
        <v>27060</v>
      </c>
      <c r="D18" s="39">
        <f t="shared" si="0"/>
        <v>85.435544470053358</v>
      </c>
      <c r="E18" s="39">
        <v>73.605965238538005</v>
      </c>
      <c r="F18" s="38">
        <v>617451</v>
      </c>
      <c r="G18" s="39">
        <v>5.9540985502776067</v>
      </c>
      <c r="H18" s="40">
        <v>34105</v>
      </c>
      <c r="I18" s="38">
        <v>28276</v>
      </c>
      <c r="J18" s="39">
        <f t="shared" si="1"/>
        <v>82.908664418706934</v>
      </c>
      <c r="K18" s="39">
        <v>67.356335476569669</v>
      </c>
      <c r="L18" s="38">
        <v>590416</v>
      </c>
      <c r="M18" s="39">
        <v>4.9508699844870234</v>
      </c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M18" s="76"/>
      <c r="AN18" s="15"/>
    </row>
    <row r="19" spans="1:48" ht="15" customHeight="1">
      <c r="A19" s="79" t="s">
        <v>112</v>
      </c>
      <c r="B19" s="14"/>
      <c r="C19" s="14"/>
      <c r="D19" s="11"/>
      <c r="F19" s="12"/>
      <c r="G19" s="13"/>
      <c r="H19" s="14"/>
      <c r="I19" s="14"/>
      <c r="J19" s="11"/>
      <c r="L19" s="12"/>
      <c r="M19" s="13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M19" s="76"/>
      <c r="AN19" s="15"/>
      <c r="AQ19" s="25"/>
      <c r="AR19" s="25"/>
      <c r="AS19" s="25"/>
    </row>
    <row r="20" spans="1:48" ht="19.5" customHeight="1">
      <c r="A20" s="24" t="s">
        <v>108</v>
      </c>
      <c r="B20" s="14"/>
      <c r="C20" s="14"/>
      <c r="D20" s="11"/>
      <c r="H20" s="14"/>
      <c r="I20" s="14"/>
      <c r="J20" s="11"/>
      <c r="AM20" s="76"/>
      <c r="AN20" s="15"/>
      <c r="AR20" s="16" t="s">
        <v>12</v>
      </c>
      <c r="AS20" s="16" t="s">
        <v>13</v>
      </c>
    </row>
    <row r="21" spans="1:48" ht="18.75" customHeight="1">
      <c r="A21" s="9"/>
      <c r="B21" s="14"/>
      <c r="C21" s="14"/>
      <c r="D21" s="11"/>
      <c r="H21" s="14"/>
      <c r="I21" s="14"/>
      <c r="J21" s="11"/>
      <c r="AM21" s="76"/>
      <c r="AN21" s="15"/>
      <c r="AQ21" s="17" t="s">
        <v>0</v>
      </c>
      <c r="AR21" s="35">
        <v>32031</v>
      </c>
      <c r="AS21" s="10">
        <v>27760</v>
      </c>
    </row>
    <row r="22" spans="1:48" ht="18.75" customHeight="1">
      <c r="A22" s="7"/>
      <c r="B22" s="14"/>
      <c r="C22" s="14"/>
      <c r="H22" s="14"/>
      <c r="I22" s="14"/>
      <c r="AM22" s="76"/>
      <c r="AN22" s="15"/>
      <c r="AQ22" s="17" t="s">
        <v>1</v>
      </c>
      <c r="AR22" s="35">
        <v>32122</v>
      </c>
      <c r="AS22" s="10">
        <v>28079</v>
      </c>
    </row>
    <row r="23" spans="1:48" ht="18.75" customHeight="1">
      <c r="A23" s="7"/>
      <c r="B23" s="14"/>
      <c r="C23" s="14"/>
      <c r="H23" s="14"/>
      <c r="I23" s="14"/>
      <c r="AM23" s="76"/>
      <c r="AN23" s="15"/>
      <c r="AQ23" s="17" t="s">
        <v>2</v>
      </c>
      <c r="AR23" s="35">
        <v>32345</v>
      </c>
      <c r="AS23" s="10">
        <v>27984</v>
      </c>
    </row>
    <row r="24" spans="1:48" ht="18.75" customHeight="1">
      <c r="A24" s="7"/>
      <c r="B24" s="14"/>
      <c r="C24" s="14"/>
      <c r="H24" s="14"/>
      <c r="I24" s="14"/>
      <c r="AM24" s="76"/>
      <c r="AN24" s="15"/>
      <c r="AQ24" s="17" t="s">
        <v>3</v>
      </c>
      <c r="AR24" s="35">
        <v>32443</v>
      </c>
      <c r="AS24" s="10">
        <v>27390</v>
      </c>
    </row>
    <row r="25" spans="1:48" ht="18.75" customHeight="1">
      <c r="A25" s="7"/>
      <c r="B25" s="14"/>
      <c r="C25" s="14"/>
      <c r="H25" s="14"/>
      <c r="I25" s="14"/>
      <c r="AM25" s="76"/>
      <c r="AN25" s="15"/>
      <c r="AQ25" s="17" t="s">
        <v>4</v>
      </c>
      <c r="AR25" s="35">
        <v>32614</v>
      </c>
      <c r="AS25" s="10">
        <v>28248</v>
      </c>
    </row>
    <row r="26" spans="1:48" ht="18.75" customHeight="1">
      <c r="A26" s="7"/>
      <c r="B26" s="14"/>
      <c r="C26" s="14"/>
      <c r="H26" s="14"/>
      <c r="I26" s="14"/>
      <c r="AM26" s="76"/>
      <c r="AN26" s="15"/>
      <c r="AQ26" s="17" t="s">
        <v>5</v>
      </c>
      <c r="AR26" s="35">
        <v>32694</v>
      </c>
      <c r="AS26" s="10">
        <v>27465</v>
      </c>
      <c r="AU26" s="74">
        <v>41640</v>
      </c>
      <c r="AV26" s="72">
        <f>G7</f>
        <v>6.4975117763257861</v>
      </c>
    </row>
    <row r="27" spans="1:48" ht="18.75" customHeight="1">
      <c r="A27" s="7"/>
      <c r="B27" s="14"/>
      <c r="C27" s="14"/>
      <c r="H27" s="14"/>
      <c r="I27" s="14"/>
      <c r="AM27" s="78"/>
      <c r="AN27" s="34"/>
      <c r="AQ27" s="17" t="s">
        <v>6</v>
      </c>
      <c r="AR27" s="35">
        <v>32740</v>
      </c>
      <c r="AS27" s="10">
        <v>26567</v>
      </c>
      <c r="AU27" s="75" t="s">
        <v>17</v>
      </c>
      <c r="AV27" s="72">
        <f t="shared" ref="AV27:AV37" si="2">G8</f>
        <v>6.1376541258299087</v>
      </c>
    </row>
    <row r="28" spans="1:48" ht="18.75" customHeight="1">
      <c r="A28" s="7"/>
      <c r="B28" s="14"/>
      <c r="C28" s="14"/>
      <c r="H28" s="14"/>
      <c r="I28" s="14"/>
      <c r="AM28" s="76"/>
      <c r="AN28" s="34"/>
      <c r="AQ28" s="17" t="s">
        <v>7</v>
      </c>
      <c r="AR28" s="35">
        <v>32902</v>
      </c>
      <c r="AS28" s="10">
        <v>27595</v>
      </c>
      <c r="AU28" s="75" t="s">
        <v>18</v>
      </c>
      <c r="AV28" s="72">
        <f t="shared" si="2"/>
        <v>6.4923550587343692</v>
      </c>
    </row>
    <row r="29" spans="1:48" ht="18.75" customHeight="1">
      <c r="A29" s="7"/>
      <c r="B29" s="14"/>
      <c r="C29" s="14"/>
      <c r="H29" s="14"/>
      <c r="I29" s="14"/>
      <c r="AM29" s="76"/>
      <c r="AN29" s="34"/>
      <c r="AQ29" s="17" t="s">
        <v>27</v>
      </c>
      <c r="AR29" s="35">
        <v>33041</v>
      </c>
      <c r="AS29" s="10">
        <v>27855</v>
      </c>
      <c r="AU29" s="75" t="s">
        <v>19</v>
      </c>
      <c r="AV29" s="72">
        <f t="shared" si="2"/>
        <v>6.15079432906969</v>
      </c>
    </row>
    <row r="30" spans="1:48" ht="18.75" customHeight="1">
      <c r="A30" s="7"/>
      <c r="B30" s="14"/>
      <c r="C30" s="14"/>
      <c r="H30" s="14"/>
      <c r="I30" s="14"/>
      <c r="AM30" s="76"/>
      <c r="AN30" s="34"/>
      <c r="AQ30" s="17" t="s">
        <v>8</v>
      </c>
      <c r="AR30" s="35">
        <v>33415</v>
      </c>
      <c r="AS30" s="10">
        <v>27591</v>
      </c>
      <c r="AU30" s="75" t="s">
        <v>4</v>
      </c>
      <c r="AV30" s="72">
        <f t="shared" si="2"/>
        <v>6.1992748860848232</v>
      </c>
    </row>
    <row r="31" spans="1:48" ht="18.75" customHeight="1">
      <c r="A31" s="7"/>
      <c r="B31" s="14"/>
      <c r="C31" s="14"/>
      <c r="D31" s="9"/>
      <c r="H31" s="14"/>
      <c r="I31" s="14"/>
      <c r="J31" s="9"/>
      <c r="AM31" s="76"/>
      <c r="AN31" s="34"/>
      <c r="AQ31" s="17" t="s">
        <v>9</v>
      </c>
      <c r="AR31" s="35">
        <v>33591</v>
      </c>
      <c r="AS31" s="10">
        <v>28163</v>
      </c>
      <c r="AU31" s="75" t="s">
        <v>20</v>
      </c>
      <c r="AV31" s="72">
        <f t="shared" si="2"/>
        <v>5.5955943225311051</v>
      </c>
    </row>
    <row r="32" spans="1:48" ht="18.75" customHeight="1">
      <c r="A32" s="7"/>
      <c r="B32" s="18"/>
      <c r="C32" s="18"/>
      <c r="D32" s="19"/>
      <c r="H32" s="18"/>
      <c r="I32" s="18"/>
      <c r="J32" s="19"/>
      <c r="AM32" s="76"/>
      <c r="AN32" s="34"/>
      <c r="AQ32" s="17" t="s">
        <v>10</v>
      </c>
      <c r="AR32" s="40">
        <v>34105</v>
      </c>
      <c r="AS32" s="10">
        <v>28276</v>
      </c>
      <c r="AU32" s="75" t="s">
        <v>21</v>
      </c>
      <c r="AV32" s="72">
        <f t="shared" si="2"/>
        <v>5.7481210887205441</v>
      </c>
    </row>
    <row r="33" spans="1:48" ht="18.75" customHeight="1">
      <c r="A33" s="7"/>
      <c r="B33" s="20"/>
      <c r="C33" s="20"/>
      <c r="D33" s="20"/>
      <c r="E33" s="21"/>
      <c r="H33" s="20"/>
      <c r="I33" s="20"/>
      <c r="J33" s="20"/>
      <c r="K33" s="21"/>
      <c r="AM33" s="76"/>
      <c r="AN33" s="34"/>
      <c r="AQ33" s="25"/>
      <c r="AR33" s="25"/>
      <c r="AS33" s="25"/>
      <c r="AU33" s="75" t="s">
        <v>22</v>
      </c>
      <c r="AV33" s="72">
        <f t="shared" si="2"/>
        <v>6.0467913155318369</v>
      </c>
    </row>
    <row r="34" spans="1:48" ht="18.75" customHeight="1">
      <c r="A34" s="7"/>
      <c r="B34" s="22"/>
      <c r="C34" s="22"/>
      <c r="D34" s="22"/>
      <c r="E34" s="21"/>
      <c r="H34" s="22"/>
      <c r="I34" s="22"/>
      <c r="J34" s="22"/>
      <c r="K34" s="21"/>
      <c r="AM34" s="76"/>
      <c r="AN34" s="34"/>
      <c r="AU34" s="75" t="s">
        <v>23</v>
      </c>
      <c r="AV34" s="72">
        <f t="shared" si="2"/>
        <v>5.681066930210064</v>
      </c>
    </row>
    <row r="35" spans="1:48" ht="18.75" customHeight="1">
      <c r="A35" s="7"/>
      <c r="B35" s="22"/>
      <c r="C35" s="22"/>
      <c r="D35" s="22"/>
      <c r="E35" s="21"/>
      <c r="F35" s="21"/>
      <c r="G35" s="21"/>
      <c r="H35" s="22"/>
      <c r="I35" s="22"/>
      <c r="J35" s="22"/>
      <c r="K35" s="21"/>
      <c r="L35" s="21"/>
      <c r="M35" s="21"/>
      <c r="N35" s="21"/>
      <c r="AM35" s="76"/>
      <c r="AN35" s="34"/>
      <c r="AU35" s="75" t="s">
        <v>24</v>
      </c>
      <c r="AV35" s="72">
        <f t="shared" si="2"/>
        <v>6.0237285984899982</v>
      </c>
    </row>
    <row r="36" spans="1:48">
      <c r="B36" s="22"/>
      <c r="C36" s="22"/>
      <c r="D36" s="22"/>
      <c r="E36" s="21"/>
      <c r="F36" s="73"/>
      <c r="G36" s="73"/>
      <c r="H36" s="22"/>
      <c r="I36" s="22"/>
      <c r="J36" s="22"/>
      <c r="K36" s="21"/>
      <c r="L36" s="73"/>
      <c r="M36" s="73"/>
      <c r="N36" s="21"/>
      <c r="AM36" s="76"/>
      <c r="AN36" s="34"/>
      <c r="AU36" s="76" t="s">
        <v>25</v>
      </c>
      <c r="AV36" s="72">
        <f t="shared" si="2"/>
        <v>6.1560850096905702</v>
      </c>
    </row>
    <row r="37" spans="1:48">
      <c r="B37" s="22"/>
      <c r="C37" s="22"/>
      <c r="D37" s="22"/>
      <c r="E37" s="17"/>
      <c r="F37" s="21"/>
      <c r="G37" s="21"/>
      <c r="H37" s="22"/>
      <c r="I37" s="22"/>
      <c r="J37" s="22"/>
      <c r="K37" s="17"/>
      <c r="L37" s="21"/>
      <c r="M37" s="21"/>
      <c r="N37" s="21"/>
      <c r="AM37" s="76"/>
      <c r="AN37" s="34"/>
      <c r="AU37" s="77" t="s">
        <v>26</v>
      </c>
      <c r="AV37" s="72">
        <f t="shared" si="2"/>
        <v>5.9540985502776067</v>
      </c>
    </row>
    <row r="38" spans="1:48">
      <c r="B38" s="22"/>
      <c r="C38" s="22"/>
      <c r="D38" s="22"/>
      <c r="E38" s="17"/>
      <c r="H38" s="22"/>
      <c r="I38" s="22"/>
      <c r="J38" s="22"/>
      <c r="K38" s="17"/>
      <c r="AM38" s="76"/>
      <c r="AN38" s="34"/>
      <c r="AU38" s="74">
        <v>42005</v>
      </c>
      <c r="AV38" s="72">
        <v>6.4986144447992746</v>
      </c>
    </row>
    <row r="39" spans="1:48">
      <c r="B39" s="22"/>
      <c r="C39" s="22"/>
      <c r="D39" s="22"/>
      <c r="E39" s="17"/>
      <c r="H39" s="22"/>
      <c r="I39" s="22"/>
      <c r="J39" s="22"/>
      <c r="K39" s="17"/>
      <c r="AU39" s="75" t="s">
        <v>17</v>
      </c>
      <c r="AV39" s="72">
        <v>5.6647325430819802</v>
      </c>
    </row>
    <row r="40" spans="1:48">
      <c r="B40" s="22"/>
      <c r="C40" s="22"/>
      <c r="D40" s="22"/>
      <c r="E40" s="17"/>
      <c r="H40" s="22"/>
      <c r="I40" s="22"/>
      <c r="J40" s="22"/>
      <c r="K40" s="17"/>
      <c r="AU40" s="75" t="s">
        <v>18</v>
      </c>
      <c r="AV40" s="72">
        <v>5.8371209762779399</v>
      </c>
    </row>
    <row r="41" spans="1:48">
      <c r="B41" s="22"/>
      <c r="C41" s="22"/>
      <c r="D41" s="22"/>
      <c r="E41" s="17"/>
      <c r="H41" s="22"/>
      <c r="I41" s="22"/>
      <c r="J41" s="22"/>
      <c r="K41" s="17"/>
      <c r="AU41" s="75" t="s">
        <v>19</v>
      </c>
      <c r="AV41" s="72">
        <v>5.8961776960544592</v>
      </c>
    </row>
    <row r="42" spans="1:48">
      <c r="B42" s="22"/>
      <c r="C42" s="22"/>
      <c r="D42" s="22"/>
      <c r="E42" s="17"/>
      <c r="H42" s="22"/>
      <c r="I42" s="22"/>
      <c r="J42" s="22"/>
      <c r="K42" s="17"/>
      <c r="AU42" s="75" t="s">
        <v>4</v>
      </c>
      <c r="AV42" s="72">
        <v>5.8370252335174913</v>
      </c>
    </row>
    <row r="43" spans="1:48">
      <c r="B43" s="22"/>
      <c r="C43" s="22"/>
      <c r="D43" s="22"/>
      <c r="E43" s="17"/>
      <c r="H43" s="22"/>
      <c r="I43" s="22"/>
      <c r="J43" s="22"/>
      <c r="K43" s="17"/>
      <c r="AU43" s="75" t="s">
        <v>20</v>
      </c>
      <c r="AV43" s="72">
        <v>5.3335091895075211</v>
      </c>
    </row>
    <row r="44" spans="1:48">
      <c r="B44" s="22"/>
      <c r="C44" s="22"/>
      <c r="D44" s="22"/>
      <c r="E44" s="17"/>
      <c r="H44" s="22"/>
      <c r="I44" s="22"/>
      <c r="J44" s="22"/>
      <c r="K44" s="17"/>
      <c r="AU44" s="75" t="s">
        <v>21</v>
      </c>
      <c r="AV44" s="72">
        <v>5.2416292086454837</v>
      </c>
    </row>
    <row r="45" spans="1:48">
      <c r="B45" s="22"/>
      <c r="C45" s="22"/>
      <c r="D45" s="22"/>
      <c r="E45" s="17"/>
      <c r="H45" s="22"/>
      <c r="I45" s="22"/>
      <c r="J45" s="22"/>
      <c r="K45" s="17"/>
      <c r="AU45" s="75" t="s">
        <v>22</v>
      </c>
      <c r="AV45" s="72">
        <v>5.5166509296920392</v>
      </c>
    </row>
    <row r="46" spans="1:48">
      <c r="B46" s="21"/>
      <c r="C46" s="21"/>
      <c r="D46" s="21"/>
      <c r="E46" s="17"/>
      <c r="H46" s="21"/>
      <c r="I46" s="21"/>
      <c r="J46" s="21"/>
      <c r="K46" s="17"/>
      <c r="AU46" s="75" t="s">
        <v>23</v>
      </c>
      <c r="AV46" s="72">
        <v>5.4870643171990663</v>
      </c>
    </row>
    <row r="47" spans="1:48">
      <c r="B47" s="21"/>
      <c r="C47" s="21"/>
      <c r="D47" s="21"/>
      <c r="E47" s="17"/>
      <c r="H47" s="21"/>
      <c r="I47" s="21"/>
      <c r="J47" s="21"/>
      <c r="K47" s="17"/>
      <c r="AU47" s="75" t="s">
        <v>24</v>
      </c>
      <c r="AV47" s="72">
        <v>5.783171244952511</v>
      </c>
    </row>
    <row r="48" spans="1:48">
      <c r="E48" s="17"/>
      <c r="K48" s="17"/>
      <c r="AU48" s="76" t="s">
        <v>25</v>
      </c>
      <c r="AV48" s="72">
        <v>5.9014498215433724</v>
      </c>
    </row>
    <row r="49" spans="47:48">
      <c r="AU49" s="77" t="s">
        <v>26</v>
      </c>
      <c r="AV49" s="72">
        <v>4.9508699844870234</v>
      </c>
    </row>
  </sheetData>
  <mergeCells count="5">
    <mergeCell ref="H3:M3"/>
    <mergeCell ref="A3:A5"/>
    <mergeCell ref="B3:G3"/>
    <mergeCell ref="A1:M1"/>
    <mergeCell ref="A2:M2"/>
  </mergeCells>
  <phoneticPr fontId="0" type="noConversion"/>
  <printOptions horizontalCentered="1" verticalCentered="1"/>
  <pageMargins left="0.23622047244094499" right="0.23622047244094499" top="0.15748031496063" bottom="0.23622047244094499" header="0.15748031496063" footer="0.43307086614173201"/>
  <pageSetup paperSize="9" scale="91" orientation="landscape" r:id="rId1"/>
  <headerFooter differentOddEven="1" scaleWithDoc="0" alignWithMargins="0"/>
  <rowBreaks count="1" manualBreakCount="1">
    <brk id="32" max="12" man="1"/>
  </rowBreaks>
  <colBreaks count="1" manualBreakCount="1">
    <brk id="13" max="61" man="1"/>
  </colBreaks>
  <drawing r:id="rId2"/>
  <webPublishItems count="2">
    <webPublishItem id="9105" divId="10- Tourism_9105" sourceType="range" sourceRef="A2:A30" destinationFile="\\Server\dp unit\Publication\Statistical  Year Book\Statistical Year Book 2008\yrbook08 cd\10-Tourism\10.3.htm"/>
    <webPublishItem id="12529" divId="10Tourism_12529" sourceType="range" sourceRef="A2:A34" destinationFile="\\Server\dp unit\Publication\Statistical  Year Book\Statistical Year Book 2008\yrbook08 cd\10-Tourism\10.3 &amp; fig 10.3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10.3</vt:lpstr>
      <vt:lpstr>'10.3'!Print_Area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2016-07-18T08:00:41Z</cp:lastPrinted>
  <dcterms:created xsi:type="dcterms:W3CDTF">2007-02-07T06:41:32Z</dcterms:created>
  <dcterms:modified xsi:type="dcterms:W3CDTF">2016-07-18T08:00:52Z</dcterms:modified>
</cp:coreProperties>
</file>