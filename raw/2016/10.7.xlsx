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7" sheetId="40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'10.7'!$A$1:$O$42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AK32" i="40" l="1"/>
  <c r="AK28" i="40"/>
  <c r="AL37" i="40" l="1"/>
  <c r="AM37" i="40"/>
  <c r="AN37" i="40"/>
  <c r="AO37" i="40"/>
  <c r="AP37" i="40"/>
  <c r="AQ37" i="40"/>
  <c r="AR37" i="40"/>
  <c r="AS37" i="40"/>
  <c r="AT37" i="40"/>
  <c r="AU37" i="40"/>
  <c r="AV37" i="40"/>
  <c r="AL38" i="40"/>
  <c r="AM38" i="40"/>
  <c r="AN38" i="40"/>
  <c r="AO38" i="40"/>
  <c r="AP38" i="40"/>
  <c r="AQ38" i="40"/>
  <c r="AR38" i="40"/>
  <c r="AS38" i="40"/>
  <c r="AT38" i="40"/>
  <c r="AU38" i="40"/>
  <c r="AV38" i="40"/>
  <c r="AL39" i="40"/>
  <c r="AM39" i="40"/>
  <c r="AN39" i="40"/>
  <c r="AO39" i="40"/>
  <c r="AP39" i="40"/>
  <c r="AQ39" i="40"/>
  <c r="AR39" i="40"/>
  <c r="AS39" i="40"/>
  <c r="AT39" i="40"/>
  <c r="AU39" i="40"/>
  <c r="AV39" i="40"/>
  <c r="AK38" i="40"/>
  <c r="AK39" i="40"/>
  <c r="AK37" i="40"/>
  <c r="AK29" i="40"/>
  <c r="AL29" i="40"/>
  <c r="AM29" i="40"/>
  <c r="AN29" i="40"/>
  <c r="AO29" i="40"/>
  <c r="AP29" i="40"/>
  <c r="AQ29" i="40"/>
  <c r="AR29" i="40"/>
  <c r="AS29" i="40"/>
  <c r="AT29" i="40"/>
  <c r="AU29" i="40"/>
  <c r="AV29" i="40"/>
  <c r="AK30" i="40"/>
  <c r="AL30" i="40"/>
  <c r="AM30" i="40"/>
  <c r="AN30" i="40"/>
  <c r="AO30" i="40"/>
  <c r="AP30" i="40"/>
  <c r="AQ30" i="40"/>
  <c r="AR30" i="40"/>
  <c r="AS30" i="40"/>
  <c r="AT30" i="40"/>
  <c r="AU30" i="40"/>
  <c r="AV30" i="40"/>
  <c r="AK31" i="40"/>
  <c r="AL31" i="40"/>
  <c r="AM31" i="40"/>
  <c r="AN31" i="40"/>
  <c r="AO31" i="40"/>
  <c r="AP31" i="40"/>
  <c r="AQ31" i="40"/>
  <c r="AR31" i="40"/>
  <c r="AS31" i="40"/>
  <c r="AT31" i="40"/>
  <c r="AU31" i="40"/>
  <c r="AV31" i="40"/>
  <c r="AL32" i="40"/>
  <c r="AM32" i="40"/>
  <c r="AN32" i="40"/>
  <c r="AO32" i="40"/>
  <c r="AP32" i="40"/>
  <c r="AQ32" i="40"/>
  <c r="AR32" i="40"/>
  <c r="AS32" i="40"/>
  <c r="AT32" i="40"/>
  <c r="AU32" i="40"/>
  <c r="AV32" i="40"/>
  <c r="AL28" i="40"/>
  <c r="AM28" i="40"/>
  <c r="AN28" i="40"/>
  <c r="AO28" i="40"/>
  <c r="AP28" i="40"/>
  <c r="AQ28" i="40"/>
  <c r="AR28" i="40"/>
  <c r="AS28" i="40"/>
  <c r="AT28" i="40"/>
  <c r="AU28" i="40"/>
  <c r="AV28" i="40"/>
  <c r="B20" i="40" l="1"/>
  <c r="B19" i="40"/>
  <c r="B18" i="40" l="1"/>
  <c r="N5" i="40" l="1"/>
  <c r="N4" i="40" s="1"/>
  <c r="M5" i="40"/>
  <c r="L5" i="40"/>
  <c r="K5" i="40"/>
  <c r="K4" i="40" s="1"/>
  <c r="J5" i="40"/>
  <c r="J4" i="40" s="1"/>
  <c r="I5" i="40"/>
  <c r="H5" i="40"/>
  <c r="G5" i="40"/>
  <c r="G4" i="40" s="1"/>
  <c r="F5" i="40"/>
  <c r="F4" i="40" s="1"/>
  <c r="E5" i="40"/>
  <c r="D5" i="40"/>
  <c r="C5" i="40"/>
  <c r="C4" i="40" s="1"/>
  <c r="B6" i="40"/>
  <c r="B7" i="40"/>
  <c r="B8" i="40"/>
  <c r="B9" i="40"/>
  <c r="B10" i="40"/>
  <c r="B17" i="40"/>
  <c r="B16" i="40"/>
  <c r="B15" i="40"/>
  <c r="B14" i="40"/>
  <c r="B13" i="40"/>
  <c r="B12" i="40"/>
  <c r="D11" i="40"/>
  <c r="E11" i="40"/>
  <c r="F11" i="40"/>
  <c r="G11" i="40"/>
  <c r="H11" i="40"/>
  <c r="I11" i="40"/>
  <c r="J11" i="40"/>
  <c r="K11" i="40"/>
  <c r="L11" i="40"/>
  <c r="M11" i="40"/>
  <c r="N11" i="40"/>
  <c r="C11" i="40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H4" i="40" l="1"/>
  <c r="I4" i="40"/>
  <c r="D4" i="40"/>
  <c r="L4" i="40"/>
  <c r="E4" i="40"/>
  <c r="M4" i="40"/>
  <c r="B11" i="40"/>
  <c r="B5" i="40"/>
  <c r="S1" i="44"/>
  <c r="B4" i="40" l="1"/>
</calcChain>
</file>

<file path=xl/sharedStrings.xml><?xml version="1.0" encoding="utf-8"?>
<sst xmlns="http://schemas.openxmlformats.org/spreadsheetml/2006/main" count="163" uniqueCount="136">
  <si>
    <t>Country of Nationality</t>
  </si>
  <si>
    <t>Total</t>
  </si>
  <si>
    <t>Europe</t>
  </si>
  <si>
    <t>Asia</t>
  </si>
  <si>
    <t>Africa</t>
  </si>
  <si>
    <t>America</t>
  </si>
  <si>
    <t>Oceania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</si>
  <si>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</si>
  <si>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</si>
  <si>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</si>
  <si>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</si>
  <si>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</si>
  <si>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</si>
  <si>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</si>
  <si>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</si>
  <si>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</si>
  <si>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</si>
  <si>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</si>
  <si>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</si>
  <si>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>2008</t>
  </si>
  <si>
    <t>Middle East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</si>
  <si>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</si>
  <si>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</si>
  <si>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</si>
  <si>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</si>
  <si>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</si>
  <si>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</si>
  <si>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</si>
  <si>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</si>
  <si>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</si>
  <si>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</si>
  <si>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</si>
  <si>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</si>
  <si>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</si>
  <si>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</si>
  <si>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</si>
  <si>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</si>
  <si>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</si>
  <si>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</si>
  <si>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</si>
  <si>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</si>
  <si>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</si>
  <si>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</si>
  <si>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</si>
  <si>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</si>
  <si>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</si>
  <si>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</si>
  <si>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</si>
  <si>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</si>
  <si>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</si>
  <si>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</si>
  <si>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</si>
  <si>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</si>
  <si>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</si>
  <si>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</si>
  <si>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</si>
  <si>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</si>
  <si>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</si>
  <si>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</si>
  <si>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</si>
  <si>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</si>
  <si>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</si>
  <si>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</si>
  <si>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</si>
  <si>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</si>
  <si>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</si>
  <si>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</si>
  <si>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</si>
  <si>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</si>
  <si>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</si>
  <si>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</si>
  <si>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</si>
  <si>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</si>
  <si>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</si>
  <si>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</si>
  <si>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</si>
  <si>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</si>
  <si>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</si>
  <si>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ޔޫރަޕް</t>
  </si>
  <si>
    <t>އޭޝިއާ</t>
  </si>
  <si>
    <t>އެފްރިކާ</t>
  </si>
  <si>
    <t>2010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</si>
  <si>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</si>
  <si>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</si>
  <si>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</si>
  <si>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</si>
  <si>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</si>
  <si>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</si>
  <si>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</si>
  <si>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</si>
  <si>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No. of Tourists</t>
  </si>
  <si>
    <t>% change over previous year</t>
  </si>
  <si>
    <t xml:space="preserve">   މެދު/އިރުމަތި ޔޫރަޕް</t>
  </si>
  <si>
    <t xml:space="preserve">   އުތުރު ޔޫރަޕް</t>
  </si>
  <si>
    <t xml:space="preserve">   ދެކުނު ޔޫރަޕް</t>
  </si>
  <si>
    <t xml:space="preserve">   ހުޅަނގު ޔޫރަޕް</t>
  </si>
  <si>
    <t xml:space="preserve">   އިރުމަތި/މެޑިޓަރޭނިއަން ޔޫރަޕް</t>
  </si>
  <si>
    <t xml:space="preserve">   ހުޅަނގު އުތުރު އޭޝިއާ</t>
  </si>
  <si>
    <t xml:space="preserve">   ހުޅަނގު ދެކުނު އޭޝިއާ</t>
  </si>
  <si>
    <t xml:space="preserve">   ދެކުނު އޭޝިއާ</t>
  </si>
  <si>
    <t>އެމެރިކާ</t>
  </si>
  <si>
    <t>އޯޝަނިޔާ</t>
  </si>
  <si>
    <t>މެދު އިރުމަތި</t>
  </si>
  <si>
    <t>ޤައުމިއްޔަތު/ 
މަސް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</si>
  <si>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</si>
  <si>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</si>
  <si>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</si>
  <si>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</si>
  <si>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</si>
  <si>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</si>
  <si>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</si>
  <si>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</si>
  <si>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</si>
  <si>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</si>
  <si>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</si>
  <si>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</si>
  <si>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</si>
  <si>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</si>
  <si>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</si>
  <si>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</si>
  <si>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</si>
  <si>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</si>
  <si>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</si>
  <si>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</si>
  <si>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</si>
  <si>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</si>
  <si>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</si>
  <si>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UN Passport Holders </t>
  </si>
  <si>
    <t>Others/Not Stated</t>
  </si>
  <si>
    <t>Source: Ministry of Tourism</t>
  </si>
  <si>
    <t>cmwzirUT cfoa  IrcTcsinim :ctWrwf ivcaed utWmUluAwm</t>
  </si>
  <si>
    <t>ބަޔާން ނުކުރާ</t>
  </si>
  <si>
    <t>2015 udwdwA egcnirevurutwf iawaejcaWr cnutogegukwtumuawq uhwmcswmikea : 10.7 ulwvWt</t>
  </si>
  <si>
    <t>Table 10.7 :   MONTHLY DISTRIBUTION OF TOURIST ARRIVALS BY NATIONALITY, 2015</t>
  </si>
  <si>
    <t xml:space="preserve">             Maldives Immigration </t>
  </si>
  <si>
    <t xml:space="preserve">   މޯލްޑީވްސް އިމިގްރޭޝަން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</si>
</sst>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0.0"/>
    <numFmt numFmtId="167" formatCode="0.00_)"/>
    <numFmt numFmtId="168" formatCode="_(* #,##0_);_(* \(#,##0\);_(* &quot;-&quot;??_);_(@_)"/>
    <numFmt numFmtId="169" formatCode="#,##0;[Red]#,##0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9"/>
      <name val="Calibri"/>
      <family val="2"/>
    </font>
    <font>
      <b/>
      <sz val="11"/>
      <name val="A_Randhoo"/>
    </font>
    <font>
      <sz val="9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7" fontId="3" fillId="0" borderId="0"/>
    <xf numFmtId="0" fontId="2" fillId="0" borderId="0"/>
    <xf numFmtId="1" fontId="14" fillId="0" borderId="1" applyNumberFormat="0"/>
    <xf numFmtId="0" fontId="2" fillId="0" borderId="0"/>
    <xf numFmtId="0" fontId="21" fillId="0" borderId="0"/>
    <xf numFmtId="0" fontId="15" fillId="0" borderId="0"/>
    <xf numFmtId="0" fontId="2" fillId="0" borderId="0"/>
    <xf numFmtId="0" fontId="4" fillId="0" borderId="0"/>
    <xf numFmtId="0" fontId="4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94">
    <xf numFmtId="0" fontId="0" fillId="0" borderId="0" xfId="0"/>
    <xf numFmtId="0" fontId="0" fillId="2" borderId="0" xfId="0" applyFill="1"/>
    <xf numFmtId="49" fontId="23" fillId="2" borderId="3" xfId="0" applyNumberFormat="1" applyFont="1" applyFill="1" applyBorder="1" applyAlignment="1" applyProtection="1">
      <alignment horizontal="right" vertical="center"/>
    </xf>
    <xf numFmtId="0" fontId="23" fillId="2" borderId="2" xfId="0" applyFont="1" applyFill="1" applyBorder="1" applyAlignment="1" applyProtection="1">
      <alignment horizontal="right" vertical="center"/>
    </xf>
    <xf numFmtId="0" fontId="26" fillId="2" borderId="0" xfId="0" applyFont="1" applyFill="1" applyAlignment="1" applyProtection="1">
      <alignment horizontal="left" vertical="center"/>
    </xf>
    <xf numFmtId="37" fontId="7" fillId="2" borderId="0" xfId="0" applyNumberFormat="1" applyFont="1" applyFill="1" applyAlignment="1" applyProtection="1">
      <alignment horizontal="right"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0" fontId="27" fillId="2" borderId="0" xfId="0" applyFont="1" applyFill="1" applyAlignment="1" applyProtection="1">
      <alignment horizontal="left" vertical="center"/>
    </xf>
    <xf numFmtId="49" fontId="23" fillId="3" borderId="12" xfId="0" applyNumberFormat="1" applyFont="1" applyFill="1" applyBorder="1" applyAlignment="1" applyProtection="1">
      <alignment horizontal="right" vertical="center"/>
    </xf>
    <xf numFmtId="166" fontId="0" fillId="4" borderId="0" xfId="0" applyNumberFormat="1" applyFill="1"/>
    <xf numFmtId="0" fontId="0" fillId="4" borderId="0" xfId="0" applyFill="1"/>
    <xf numFmtId="168" fontId="24" fillId="4" borderId="8" xfId="2" applyNumberFormat="1" applyFont="1" applyFill="1" applyBorder="1" applyAlignment="1" applyProtection="1">
      <alignment horizontal="left" vertical="center"/>
    </xf>
    <xf numFmtId="169" fontId="24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69" fontId="24" fillId="4" borderId="0" xfId="2" applyNumberFormat="1" applyFont="1" applyFill="1" applyBorder="1" applyAlignment="1">
      <alignment vertical="center"/>
    </xf>
    <xf numFmtId="169" fontId="24" fillId="4" borderId="7" xfId="2" applyNumberFormat="1" applyFont="1" applyFill="1" applyBorder="1" applyAlignment="1">
      <alignment vertical="center"/>
    </xf>
    <xf numFmtId="0" fontId="23" fillId="2" borderId="4" xfId="0" applyFont="1" applyFill="1" applyBorder="1" applyAlignment="1" applyProtection="1">
      <alignment horizontal="right" vertical="center"/>
    </xf>
    <xf numFmtId="0" fontId="23" fillId="3" borderId="6" xfId="0" applyFont="1" applyFill="1" applyBorder="1" applyAlignment="1" applyProtection="1">
      <alignment horizontal="right" vertical="center"/>
    </xf>
    <xf numFmtId="166" fontId="24" fillId="4" borderId="0" xfId="0" applyNumberFormat="1" applyFont="1" applyFill="1" applyBorder="1" applyAlignment="1">
      <alignment vertical="center"/>
    </xf>
    <xf numFmtId="166" fontId="22" fillId="4" borderId="0" xfId="0" applyNumberFormat="1" applyFont="1" applyFill="1" applyBorder="1" applyAlignment="1">
      <alignment vertical="center"/>
    </xf>
    <xf numFmtId="166" fontId="22" fillId="4" borderId="7" xfId="0" applyNumberFormat="1" applyFont="1" applyFill="1" applyBorder="1" applyAlignment="1">
      <alignment vertical="center"/>
    </xf>
    <xf numFmtId="168" fontId="24" fillId="2" borderId="8" xfId="2" applyNumberFormat="1" applyFont="1" applyFill="1" applyBorder="1" applyAlignment="1" applyProtection="1">
      <alignment horizontal="left" vertical="center"/>
    </xf>
    <xf numFmtId="169" fontId="24" fillId="2" borderId="9" xfId="2" applyNumberFormat="1" applyFont="1" applyFill="1" applyBorder="1" applyAlignment="1">
      <alignment vertical="center"/>
    </xf>
    <xf numFmtId="169" fontId="24" fillId="2" borderId="0" xfId="2" applyNumberFormat="1" applyFont="1" applyFill="1" applyBorder="1" applyAlignment="1">
      <alignment vertical="center"/>
    </xf>
    <xf numFmtId="169" fontId="24" fillId="3" borderId="7" xfId="2" applyNumberFormat="1" applyFont="1" applyFill="1" applyBorder="1" applyAlignment="1">
      <alignment vertical="center"/>
    </xf>
    <xf numFmtId="166" fontId="24" fillId="2" borderId="0" xfId="0" applyNumberFormat="1" applyFont="1" applyFill="1" applyBorder="1" applyAlignment="1">
      <alignment vertical="center"/>
    </xf>
    <xf numFmtId="166" fontId="22" fillId="2" borderId="0" xfId="0" applyNumberFormat="1" applyFont="1" applyFill="1" applyBorder="1" applyAlignment="1">
      <alignment vertical="center"/>
    </xf>
    <xf numFmtId="166" fontId="22" fillId="3" borderId="7" xfId="0" applyNumberFormat="1" applyFont="1" applyFill="1" applyBorder="1" applyAlignment="1">
      <alignment vertical="center"/>
    </xf>
    <xf numFmtId="168" fontId="24" fillId="2" borderId="10" xfId="2" applyNumberFormat="1" applyFont="1" applyFill="1" applyBorder="1" applyAlignment="1" applyProtection="1">
      <alignment horizontal="left" vertical="center"/>
    </xf>
    <xf numFmtId="169" fontId="24" fillId="2" borderId="11" xfId="2" applyNumberFormat="1" applyFont="1" applyFill="1" applyBorder="1" applyAlignment="1">
      <alignment vertical="center"/>
    </xf>
    <xf numFmtId="169" fontId="24" fillId="2" borderId="2" xfId="2" applyNumberFormat="1" applyFont="1" applyFill="1" applyBorder="1" applyAlignment="1">
      <alignment vertical="center"/>
    </xf>
    <xf numFmtId="169" fontId="24" fillId="3" borderId="6" xfId="2" applyNumberFormat="1" applyFont="1" applyFill="1" applyBorder="1" applyAlignment="1">
      <alignment vertical="center"/>
    </xf>
    <xf numFmtId="166" fontId="24" fillId="2" borderId="2" xfId="0" applyNumberFormat="1" applyFont="1" applyFill="1" applyBorder="1" applyAlignment="1">
      <alignment vertical="center"/>
    </xf>
    <xf numFmtId="166" fontId="22" fillId="2" borderId="2" xfId="0" applyNumberFormat="1" applyFont="1" applyFill="1" applyBorder="1" applyAlignment="1">
      <alignment vertical="center"/>
    </xf>
    <xf numFmtId="166" fontId="22" fillId="3" borderId="6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164" fontId="2" fillId="2" borderId="15" xfId="11" applyNumberFormat="1" applyFont="1" applyFill="1" applyBorder="1" applyAlignment="1">
      <alignment vertical="center"/>
    </xf>
    <xf numFmtId="0" fontId="2" fillId="2" borderId="15" xfId="4" applyFont="1" applyFill="1" applyBorder="1"/>
    <xf numFmtId="0" fontId="22" fillId="2" borderId="16" xfId="4" applyFont="1" applyFill="1" applyBorder="1" applyAlignment="1" applyProtection="1">
      <alignment horizontal="left" vertical="center"/>
    </xf>
    <xf numFmtId="0" fontId="17" fillId="2" borderId="16" xfId="4" applyFont="1" applyFill="1" applyBorder="1" applyAlignment="1" applyProtection="1">
      <alignment horizontal="right" vertical="center" wrapText="1"/>
    </xf>
    <xf numFmtId="0" fontId="7" fillId="2" borderId="15" xfId="4" applyFont="1" applyFill="1" applyBorder="1" applyAlignment="1">
      <alignment vertical="center"/>
    </xf>
    <xf numFmtId="0" fontId="6" fillId="2" borderId="17" xfId="4" applyFont="1" applyFill="1" applyBorder="1"/>
    <xf numFmtId="0" fontId="7" fillId="2" borderId="0" xfId="4" applyFont="1" applyFill="1" applyBorder="1"/>
    <xf numFmtId="0" fontId="7" fillId="2" borderId="0" xfId="4" applyFont="1" applyFill="1" applyBorder="1" applyAlignment="1">
      <alignment vertical="center"/>
    </xf>
    <xf numFmtId="0" fontId="6" fillId="2" borderId="0" xfId="4" applyFont="1" applyFill="1" applyBorder="1" applyAlignment="1">
      <alignment vertical="center"/>
    </xf>
    <xf numFmtId="0" fontId="6" fillId="2" borderId="0" xfId="4" applyFont="1" applyFill="1" applyBorder="1"/>
    <xf numFmtId="0" fontId="9" fillId="2" borderId="18" xfId="4" applyFont="1" applyFill="1" applyBorder="1" applyAlignment="1" applyProtection="1">
      <alignment horizontal="left" vertical="center"/>
    </xf>
    <xf numFmtId="168" fontId="9" fillId="2" borderId="18" xfId="4" applyNumberFormat="1" applyFont="1" applyFill="1" applyBorder="1" applyAlignment="1" applyProtection="1">
      <alignment horizontal="left" vertical="center"/>
    </xf>
    <xf numFmtId="0" fontId="7" fillId="2" borderId="18" xfId="4" applyFont="1" applyFill="1" applyBorder="1" applyAlignment="1">
      <alignment vertical="center"/>
    </xf>
    <xf numFmtId="0" fontId="7" fillId="2" borderId="18" xfId="4" applyFont="1" applyFill="1" applyBorder="1"/>
    <xf numFmtId="0" fontId="9" fillId="2" borderId="15" xfId="4" applyFont="1" applyFill="1" applyBorder="1" applyAlignment="1" applyProtection="1">
      <alignment horizontal="left" vertical="center"/>
    </xf>
    <xf numFmtId="0" fontId="7" fillId="2" borderId="15" xfId="4" applyFont="1" applyFill="1" applyBorder="1"/>
    <xf numFmtId="3" fontId="2" fillId="2" borderId="15" xfId="4" applyNumberFormat="1" applyFont="1" applyFill="1" applyBorder="1"/>
    <xf numFmtId="168" fontId="23" fillId="2" borderId="19" xfId="2" applyNumberFormat="1" applyFont="1" applyFill="1" applyBorder="1" applyAlignment="1" applyProtection="1">
      <alignment horizontal="right" vertical="center"/>
    </xf>
    <xf numFmtId="168" fontId="6" fillId="2" borderId="0" xfId="4" applyNumberFormat="1" applyFont="1" applyFill="1" applyBorder="1" applyAlignment="1">
      <alignment vertical="center"/>
    </xf>
    <xf numFmtId="0" fontId="26" fillId="2" borderId="15" xfId="4" applyFont="1" applyFill="1" applyBorder="1" applyAlignment="1" applyProtection="1">
      <alignment horizontal="left" vertical="center"/>
    </xf>
    <xf numFmtId="168" fontId="23" fillId="2" borderId="0" xfId="2" applyNumberFormat="1" applyFont="1" applyFill="1" applyBorder="1" applyAlignment="1" applyProtection="1">
      <alignment horizontal="right" vertical="center"/>
    </xf>
    <xf numFmtId="168" fontId="25" fillId="2" borderId="0" xfId="2" applyNumberFormat="1" applyFont="1" applyFill="1" applyBorder="1" applyAlignment="1" applyProtection="1">
      <alignment horizontal="right" vertical="center"/>
    </xf>
    <xf numFmtId="168" fontId="23" fillId="2" borderId="2" xfId="2" applyNumberFormat="1" applyFont="1" applyFill="1" applyBorder="1" applyAlignment="1" applyProtection="1">
      <alignment horizontal="right" vertical="center"/>
    </xf>
    <xf numFmtId="0" fontId="23" fillId="2" borderId="0" xfId="4" applyFont="1" applyFill="1" applyBorder="1" applyAlignment="1" applyProtection="1">
      <alignment vertical="center"/>
    </xf>
    <xf numFmtId="17" fontId="25" fillId="2" borderId="0" xfId="9" applyNumberFormat="1" applyFont="1" applyFill="1" applyBorder="1" applyAlignment="1">
      <alignment horizontal="left" vertical="center" indent="1"/>
    </xf>
    <xf numFmtId="17" fontId="25" fillId="2" borderId="0" xfId="9" applyNumberFormat="1" applyFont="1" applyFill="1" applyBorder="1" applyAlignment="1">
      <alignment horizontal="left" vertical="center" wrapText="1" indent="1"/>
    </xf>
    <xf numFmtId="0" fontId="23" fillId="2" borderId="2" xfId="4" applyFont="1" applyFill="1" applyBorder="1" applyAlignment="1" applyProtection="1">
      <alignment vertical="center"/>
    </xf>
    <xf numFmtId="0" fontId="22" fillId="2" borderId="16" xfId="4" applyFont="1" applyFill="1" applyBorder="1" applyAlignment="1" applyProtection="1">
      <alignment horizontal="right" vertical="center" wrapText="1"/>
    </xf>
    <xf numFmtId="165" fontId="12" fillId="2" borderId="19" xfId="4" applyNumberFormat="1" applyFont="1" applyFill="1" applyBorder="1" applyAlignment="1">
      <alignment horizontal="right"/>
    </xf>
    <xf numFmtId="165" fontId="13" fillId="2" borderId="0" xfId="4" applyNumberFormat="1" applyFont="1" applyFill="1" applyBorder="1" applyAlignment="1">
      <alignment horizontal="right"/>
    </xf>
    <xf numFmtId="165" fontId="12" fillId="2" borderId="0" xfId="4" applyNumberFormat="1" applyFont="1" applyFill="1" applyBorder="1" applyAlignment="1">
      <alignment horizontal="right"/>
    </xf>
    <xf numFmtId="0" fontId="23" fillId="2" borderId="19" xfId="4" applyFont="1" applyFill="1" applyBorder="1" applyAlignment="1" applyProtection="1">
      <alignment vertical="center"/>
    </xf>
    <xf numFmtId="168" fontId="25" fillId="2" borderId="2" xfId="2" applyNumberFormat="1" applyFont="1" applyFill="1" applyBorder="1" applyAlignment="1" applyProtection="1">
      <alignment horizontal="right" vertical="center"/>
    </xf>
    <xf numFmtId="0" fontId="17" fillId="2" borderId="2" xfId="4" applyFont="1" applyFill="1" applyBorder="1"/>
    <xf numFmtId="168" fontId="9" fillId="2" borderId="15" xfId="4" applyNumberFormat="1" applyFont="1" applyFill="1" applyBorder="1" applyAlignment="1" applyProtection="1">
      <alignment horizontal="left" vertical="center"/>
    </xf>
    <xf numFmtId="0" fontId="1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23" fillId="2" borderId="5" xfId="0" applyFont="1" applyFill="1" applyBorder="1" applyAlignment="1" applyProtection="1">
      <alignment horizontal="left" vertical="center" wrapText="1"/>
    </xf>
    <xf numFmtId="0" fontId="23" fillId="2" borderId="0" xfId="0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2" fillId="2" borderId="1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164" fontId="19" fillId="2" borderId="15" xfId="10" applyNumberFormat="1" applyFont="1" applyFill="1" applyBorder="1" applyAlignment="1">
      <alignment horizontal="center" vertical="center"/>
    </xf>
    <xf numFmtId="0" fontId="28" fillId="2" borderId="17" xfId="4" applyFont="1" applyFill="1" applyBorder="1" applyAlignment="1" applyProtection="1">
      <alignment horizontal="center" vertical="center"/>
    </xf>
    <xf numFmtId="0" fontId="20" fillId="2" borderId="20" xfId="4" applyFont="1" applyFill="1" applyBorder="1" applyAlignment="1">
      <alignment horizontal="center" vertical="center"/>
    </xf>
    <xf numFmtId="0" fontId="20" fillId="2" borderId="21" xfId="4" applyFont="1" applyFill="1" applyBorder="1" applyAlignment="1">
      <alignment horizontal="center" vertical="center"/>
    </xf>
    <xf numFmtId="0" fontId="20" fillId="2" borderId="22" xfId="4" applyFont="1" applyFill="1" applyBorder="1" applyAlignment="1">
      <alignment horizontal="center" vertical="center"/>
    </xf>
  </cellXfs>
  <cellStyles count="18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4"/>
    <cellStyle name="Normal 4 2" xfId="7"/>
    <cellStyle name="Normal 4 2 2" xfId="15"/>
    <cellStyle name="Normal 5" xfId="8"/>
    <cellStyle name="Normal 5 2" xfId="9"/>
    <cellStyle name="Normal 6" xfId="16"/>
    <cellStyle name="Normal 7" xfId="17"/>
    <cellStyle name="Normal_VIII-8 (Tourism) 2" xfId="10"/>
    <cellStyle name="Normal_VIII-8 (Tourism) 2 3" xfId="11"/>
    <cellStyle name="Percent 2" xfId="12"/>
    <cellStyle name="Percent 2 2" xfId="13"/>
  </cellStyles>
  <dxfs count="0"/>
  <tableStyles count="0" defaultTableStyle="TableStyleMedium9" defaultPivotStyle="PivotStyleLight16"/>
  <colors>
    <mruColors>
      <color rgb="FFABFFFF"/>
      <color rgb="FFE7FFFF"/>
      <color rgb="FF8AE4E2"/>
      <color rgb="FF1C706E"/>
      <color rgb="FF33CCCC"/>
      <color rgb="FF81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17152"/>
        <c:axId val="77352320"/>
      </c:barChart>
      <c:catAx>
        <c:axId val="7721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7352320"/>
        <c:crosses val="autoZero"/>
        <c:auto val="1"/>
        <c:lblAlgn val="ctr"/>
        <c:lblOffset val="100"/>
        <c:noMultiLvlLbl val="0"/>
      </c:catAx>
      <c:valAx>
        <c:axId val="7735232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77217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533760"/>
        <c:axId val="98535296"/>
      </c:barChart>
      <c:catAx>
        <c:axId val="9853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8535296"/>
        <c:crosses val="autoZero"/>
        <c:auto val="1"/>
        <c:lblAlgn val="ctr"/>
        <c:lblOffset val="100"/>
        <c:noMultiLvlLbl val="0"/>
      </c:catAx>
      <c:valAx>
        <c:axId val="98535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8533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10.10: Monthly tourist arrivals by European Market, 2015 </a:t>
            </a:r>
          </a:p>
        </c:rich>
      </c:tx>
      <c:layout>
        <c:manualLayout>
          <c:xMode val="edge"/>
          <c:yMode val="edge"/>
          <c:x val="0.19979860283760706"/>
          <c:y val="1.53977902670661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299851563498384"/>
          <c:y val="0.17395183151673752"/>
          <c:w val="0.82696039399569432"/>
          <c:h val="0.53710176322942815"/>
        </c:manualLayout>
      </c:layout>
      <c:lineChart>
        <c:grouping val="standard"/>
        <c:varyColors val="0"/>
        <c:ser>
          <c:idx val="0"/>
          <c:order val="0"/>
          <c:tx>
            <c:strRef>
              <c:f>'10.7'!$A$6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strRef>
              <c:f>'10.7'!$AK$27:$AV$27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'10.7'!$C$6:$N$6</c:f>
              <c:numCache>
                <c:formatCode>_(* #,##0_);_(* \(#,##0\);_(* "-"??_);_(@_)</c:formatCode>
                <c:ptCount val="12"/>
                <c:pt idx="0">
                  <c:v>11899</c:v>
                </c:pt>
                <c:pt idx="1">
                  <c:v>8558</c:v>
                </c:pt>
                <c:pt idx="2">
                  <c:v>9343</c:v>
                </c:pt>
                <c:pt idx="3">
                  <c:v>7852</c:v>
                </c:pt>
                <c:pt idx="4">
                  <c:v>5548</c:v>
                </c:pt>
                <c:pt idx="5">
                  <c:v>4319</c:v>
                </c:pt>
                <c:pt idx="6">
                  <c:v>5979</c:v>
                </c:pt>
                <c:pt idx="7">
                  <c:v>6066</c:v>
                </c:pt>
                <c:pt idx="8">
                  <c:v>4691</c:v>
                </c:pt>
                <c:pt idx="9">
                  <c:v>7842</c:v>
                </c:pt>
                <c:pt idx="10">
                  <c:v>8198</c:v>
                </c:pt>
                <c:pt idx="11">
                  <c:v>12447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'10.7'!$A$7</c:f>
              <c:strCache>
                <c:ptCount val="1"/>
                <c:pt idx="0">
                  <c:v>Northern Europe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none"/>
          </c:marker>
          <c:cat>
            <c:strRef>
              <c:f>'10.7'!$AK$27:$AV$27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'10.7'!$C$7:$N$7</c:f>
              <c:numCache>
                <c:formatCode>_(* #,##0_);_(* \(#,##0\);_(* "-"??_);_(@_)</c:formatCode>
                <c:ptCount val="12"/>
                <c:pt idx="0">
                  <c:v>10011</c:v>
                </c:pt>
                <c:pt idx="1">
                  <c:v>12160</c:v>
                </c:pt>
                <c:pt idx="2">
                  <c:v>12063</c:v>
                </c:pt>
                <c:pt idx="3">
                  <c:v>10332</c:v>
                </c:pt>
                <c:pt idx="4">
                  <c:v>7904</c:v>
                </c:pt>
                <c:pt idx="5">
                  <c:v>7277</c:v>
                </c:pt>
                <c:pt idx="6">
                  <c:v>9503</c:v>
                </c:pt>
                <c:pt idx="7">
                  <c:v>8972</c:v>
                </c:pt>
                <c:pt idx="8">
                  <c:v>8012</c:v>
                </c:pt>
                <c:pt idx="9">
                  <c:v>10661</c:v>
                </c:pt>
                <c:pt idx="10">
                  <c:v>8886</c:v>
                </c:pt>
                <c:pt idx="11">
                  <c:v>13781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'10.7'!$A$8</c:f>
              <c:strCache>
                <c:ptCount val="1"/>
                <c:pt idx="0">
                  <c:v>Southern Europe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'10.7'!$AK$27:$AV$27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'10.7'!$C$8:$N$8</c:f>
              <c:numCache>
                <c:formatCode>_(* #,##0_);_(* \(#,##0\);_(* "-"??_);_(@_)</c:formatCode>
                <c:ptCount val="12"/>
                <c:pt idx="0">
                  <c:v>9812</c:v>
                </c:pt>
                <c:pt idx="1">
                  <c:v>9953</c:v>
                </c:pt>
                <c:pt idx="2">
                  <c:v>12029</c:v>
                </c:pt>
                <c:pt idx="3">
                  <c:v>7632</c:v>
                </c:pt>
                <c:pt idx="4">
                  <c:v>3982</c:v>
                </c:pt>
                <c:pt idx="5">
                  <c:v>4168</c:v>
                </c:pt>
                <c:pt idx="6">
                  <c:v>5519</c:v>
                </c:pt>
                <c:pt idx="7">
                  <c:v>9800</c:v>
                </c:pt>
                <c:pt idx="8">
                  <c:v>5859</c:v>
                </c:pt>
                <c:pt idx="9">
                  <c:v>6157</c:v>
                </c:pt>
                <c:pt idx="10">
                  <c:v>6613</c:v>
                </c:pt>
                <c:pt idx="11">
                  <c:v>14293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'10.7'!$A$9</c:f>
              <c:strCache>
                <c:ptCount val="1"/>
                <c:pt idx="0">
                  <c:v>Western Europe</c:v>
                </c:pt>
              </c:strCache>
            </c:strRef>
          </c:tx>
          <c:spPr>
            <a:ln>
              <a:solidFill>
                <a:srgbClr val="1C706E"/>
              </a:solidFill>
            </a:ln>
          </c:spPr>
          <c:marker>
            <c:symbol val="none"/>
          </c:marker>
          <c:cat>
            <c:strRef>
              <c:f>'10.7'!$AK$27:$AV$27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'10.7'!$C$9:$N$9</c:f>
              <c:numCache>
                <c:formatCode>_(* #,##0_);_(* \(#,##0\);_(* "-"??_);_(@_)</c:formatCode>
                <c:ptCount val="12"/>
                <c:pt idx="0">
                  <c:v>19455</c:v>
                </c:pt>
                <c:pt idx="1">
                  <c:v>23060</c:v>
                </c:pt>
                <c:pt idx="2">
                  <c:v>24641</c:v>
                </c:pt>
                <c:pt idx="3">
                  <c:v>20527</c:v>
                </c:pt>
                <c:pt idx="4">
                  <c:v>16885</c:v>
                </c:pt>
                <c:pt idx="5">
                  <c:v>7557</c:v>
                </c:pt>
                <c:pt idx="6">
                  <c:v>12119</c:v>
                </c:pt>
                <c:pt idx="7">
                  <c:v>13751</c:v>
                </c:pt>
                <c:pt idx="8">
                  <c:v>13318</c:v>
                </c:pt>
                <c:pt idx="9">
                  <c:v>21514</c:v>
                </c:pt>
                <c:pt idx="10">
                  <c:v>18669</c:v>
                </c:pt>
                <c:pt idx="11">
                  <c:v>22233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'10.7'!$A$10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>
              <a:solidFill>
                <a:srgbClr val="ABFFFF"/>
              </a:solidFill>
            </a:ln>
          </c:spPr>
          <c:marker>
            <c:symbol val="none"/>
          </c:marker>
          <c:cat>
            <c:strRef>
              <c:f>'10.7'!$AK$27:$AV$27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'10.7'!$C$10:$N$10</c:f>
              <c:numCache>
                <c:formatCode>_(* #,##0_);_(* \(#,##0\);_(* "-"??_);_(@_)</c:formatCode>
                <c:ptCount val="12"/>
                <c:pt idx="0">
                  <c:v>1368</c:v>
                </c:pt>
                <c:pt idx="1">
                  <c:v>987</c:v>
                </c:pt>
                <c:pt idx="2">
                  <c:v>842</c:v>
                </c:pt>
                <c:pt idx="3">
                  <c:v>1116</c:v>
                </c:pt>
                <c:pt idx="4">
                  <c:v>1084</c:v>
                </c:pt>
                <c:pt idx="5">
                  <c:v>953</c:v>
                </c:pt>
                <c:pt idx="6">
                  <c:v>901</c:v>
                </c:pt>
                <c:pt idx="7">
                  <c:v>1292</c:v>
                </c:pt>
                <c:pt idx="8">
                  <c:v>2251</c:v>
                </c:pt>
                <c:pt idx="9">
                  <c:v>1195</c:v>
                </c:pt>
                <c:pt idx="10">
                  <c:v>812</c:v>
                </c:pt>
                <c:pt idx="11">
                  <c:v>1311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85888"/>
        <c:axId val="143806464"/>
      </c:lineChart>
      <c:catAx>
        <c:axId val="14368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3806464"/>
        <c:crosses val="autoZero"/>
        <c:auto val="1"/>
        <c:lblAlgn val="ctr"/>
        <c:lblOffset val="100"/>
        <c:noMultiLvlLbl val="0"/>
      </c:catAx>
      <c:valAx>
        <c:axId val="143806464"/>
        <c:scaling>
          <c:orientation val="minMax"/>
        </c:scaling>
        <c:delete val="0"/>
        <c:axPos val="l"/>
        <c:majorGridlines>
          <c:spPr>
            <a:ln>
              <a:solidFill>
                <a:srgbClr val="8AE4E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644912363483199E-3"/>
              <c:y val="0.2997458840372228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4368588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3.8272685038530548E-3"/>
          <c:y val="0.78904011536061669"/>
          <c:w val="0.99396435888681856"/>
          <c:h val="0.21025661894059389"/>
        </c:manualLayout>
      </c:layout>
      <c:overlay val="0"/>
      <c:spPr>
        <a:solidFill>
          <a:srgbClr val="E7FFFF"/>
        </a:solidFill>
      </c:spPr>
    </c:legend>
    <c:plotVisOnly val="1"/>
    <c:dispBlanksAs val="gap"/>
    <c:showDLblsOverMax val="0"/>
  </c:chart>
  <c:spPr>
    <a:solidFill>
      <a:srgbClr val="E7FFFF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 b="1" i="0" baseline="0">
                <a:latin typeface="Consolas" pitchFamily="49" charset="0"/>
                <a:cs typeface="Consolas" pitchFamily="49" charset="0"/>
              </a:rPr>
              <a:t>Figure 10.11: Monthly tourist arrivals by Asian Market, 2015 </a:t>
            </a:r>
          </a:p>
        </c:rich>
      </c:tx>
      <c:layout>
        <c:manualLayout>
          <c:xMode val="edge"/>
          <c:yMode val="edge"/>
          <c:x val="0.17810025655227513"/>
          <c:y val="2.6261807474069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817256521310924"/>
          <c:y val="0.1545517753677017"/>
          <c:w val="0.81446408095242218"/>
          <c:h val="0.70955509327422017"/>
        </c:manualLayout>
      </c:layout>
      <c:lineChart>
        <c:grouping val="standard"/>
        <c:varyColors val="0"/>
        <c:ser>
          <c:idx val="0"/>
          <c:order val="0"/>
          <c:tx>
            <c:strRef>
              <c:f>'10.7'!$A$12</c:f>
              <c:strCache>
                <c:ptCount val="1"/>
                <c:pt idx="0">
                  <c:v>North East Asia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none"/>
          </c:marker>
          <c:cat>
            <c:strRef>
              <c:f>'10.7'!$AK$36:$AV$36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'10.7'!$C$12:$N$12</c:f>
              <c:numCache>
                <c:formatCode>_(* #,##0_);_(* \(#,##0\);_(* "-"??_);_(@_)</c:formatCode>
                <c:ptCount val="12"/>
                <c:pt idx="0">
                  <c:v>25902</c:v>
                </c:pt>
                <c:pt idx="1">
                  <c:v>49233</c:v>
                </c:pt>
                <c:pt idx="2">
                  <c:v>32413</c:v>
                </c:pt>
                <c:pt idx="3">
                  <c:v>32398</c:v>
                </c:pt>
                <c:pt idx="4">
                  <c:v>37176</c:v>
                </c:pt>
                <c:pt idx="5">
                  <c:v>37780</c:v>
                </c:pt>
                <c:pt idx="6">
                  <c:v>47765</c:v>
                </c:pt>
                <c:pt idx="7">
                  <c:v>48060</c:v>
                </c:pt>
                <c:pt idx="8">
                  <c:v>38941</c:v>
                </c:pt>
                <c:pt idx="9">
                  <c:v>38809</c:v>
                </c:pt>
                <c:pt idx="10">
                  <c:v>28973</c:v>
                </c:pt>
                <c:pt idx="11">
                  <c:v>23567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'10.7'!$A$13</c:f>
              <c:strCache>
                <c:ptCount val="1"/>
                <c:pt idx="0">
                  <c:v>South East Asia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strRef>
              <c:f>'10.7'!$AK$36:$AV$36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'10.7'!$C$13:$N$13</c:f>
              <c:numCache>
                <c:formatCode>_(* #,##0_);_(* \(#,##0\);_(* "-"??_);_(@_)</c:formatCode>
                <c:ptCount val="12"/>
                <c:pt idx="0">
                  <c:v>2937</c:v>
                </c:pt>
                <c:pt idx="1">
                  <c:v>3011</c:v>
                </c:pt>
                <c:pt idx="2">
                  <c:v>4198</c:v>
                </c:pt>
                <c:pt idx="3">
                  <c:v>5525</c:v>
                </c:pt>
                <c:pt idx="4">
                  <c:v>6688</c:v>
                </c:pt>
                <c:pt idx="5">
                  <c:v>5330</c:v>
                </c:pt>
                <c:pt idx="6">
                  <c:v>5201</c:v>
                </c:pt>
                <c:pt idx="7">
                  <c:v>4794</c:v>
                </c:pt>
                <c:pt idx="8">
                  <c:v>5534</c:v>
                </c:pt>
                <c:pt idx="9">
                  <c:v>4881</c:v>
                </c:pt>
                <c:pt idx="10">
                  <c:v>4275</c:v>
                </c:pt>
                <c:pt idx="11">
                  <c:v>6980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'10.7'!$A$14</c:f>
              <c:strCache>
                <c:ptCount val="1"/>
                <c:pt idx="0">
                  <c:v>South Asia</c:v>
                </c:pt>
              </c:strCache>
            </c:strRef>
          </c:tx>
          <c:spPr>
            <a:ln>
              <a:solidFill>
                <a:srgbClr val="1C706E"/>
              </a:solidFill>
            </a:ln>
          </c:spPr>
          <c:marker>
            <c:symbol val="none"/>
          </c:marker>
          <c:cat>
            <c:strRef>
              <c:f>'10.7'!$AK$36:$AV$36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'10.7'!$C$14:$N$14</c:f>
              <c:numCache>
                <c:formatCode>_(* #,##0_);_(* \(#,##0\);_(* "-"??_);_(@_)</c:formatCode>
                <c:ptCount val="12"/>
                <c:pt idx="0">
                  <c:v>5692</c:v>
                </c:pt>
                <c:pt idx="1">
                  <c:v>5566</c:v>
                </c:pt>
                <c:pt idx="2">
                  <c:v>5911</c:v>
                </c:pt>
                <c:pt idx="3">
                  <c:v>5715</c:v>
                </c:pt>
                <c:pt idx="4">
                  <c:v>7086</c:v>
                </c:pt>
                <c:pt idx="5">
                  <c:v>5991</c:v>
                </c:pt>
                <c:pt idx="6">
                  <c:v>6171</c:v>
                </c:pt>
                <c:pt idx="7">
                  <c:v>6343</c:v>
                </c:pt>
                <c:pt idx="8">
                  <c:v>5827</c:v>
                </c:pt>
                <c:pt idx="9">
                  <c:v>6437</c:v>
                </c:pt>
                <c:pt idx="10">
                  <c:v>6296</c:v>
                </c:pt>
                <c:pt idx="11">
                  <c:v>10916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07232"/>
        <c:axId val="83408768"/>
      </c:lineChart>
      <c:catAx>
        <c:axId val="834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3408768"/>
        <c:crosses val="autoZero"/>
        <c:auto val="1"/>
        <c:lblAlgn val="ctr"/>
        <c:lblOffset val="100"/>
        <c:noMultiLvlLbl val="0"/>
      </c:catAx>
      <c:valAx>
        <c:axId val="83408768"/>
        <c:scaling>
          <c:orientation val="minMax"/>
        </c:scaling>
        <c:delete val="0"/>
        <c:axPos val="l"/>
        <c:majorGridlines>
          <c:spPr>
            <a:ln>
              <a:solidFill>
                <a:srgbClr val="8AE4E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5393676529805306E-2"/>
              <c:y val="0.34681800623978704"/>
            </c:manualLayout>
          </c:layout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8340723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8831295771947824"/>
          <c:y val="0.17541922391878553"/>
          <c:w val="0.58577347753190745"/>
          <c:h val="6.5966225919873472E-2"/>
        </c:manualLayout>
      </c:layout>
      <c:overlay val="0"/>
    </c:legend>
    <c:plotVisOnly val="1"/>
    <c:dispBlanksAs val="gap"/>
    <c:showDLblsOverMax val="0"/>
  </c:chart>
  <c:spPr>
    <a:solidFill>
      <a:srgbClr val="E7FFFF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23</xdr:row>
      <xdr:rowOff>142874</xdr:rowOff>
    </xdr:from>
    <xdr:to>
      <xdr:col>6</xdr:col>
      <xdr:colOff>295275</xdr:colOff>
      <xdr:row>40</xdr:row>
      <xdr:rowOff>128426</xdr:rowOff>
    </xdr:to>
    <xdr:graphicFrame macro="">
      <xdr:nvGraphicFramePr>
        <xdr:cNvPr id="231128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23</xdr:row>
      <xdr:rowOff>152401</xdr:rowOff>
    </xdr:from>
    <xdr:to>
      <xdr:col>14</xdr:col>
      <xdr:colOff>1264920</xdr:colOff>
      <xdr:row>41</xdr:row>
      <xdr:rowOff>0</xdr:rowOff>
    </xdr:to>
    <xdr:graphicFrame macro="">
      <xdr:nvGraphicFramePr>
        <xdr:cNvPr id="231128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1209354</xdr:colOff>
      <xdr:row>26</xdr:row>
      <xdr:rowOff>48761</xdr:rowOff>
    </xdr:from>
    <xdr:to>
      <xdr:col>5</xdr:col>
      <xdr:colOff>500544</xdr:colOff>
      <xdr:row>26</xdr:row>
      <xdr:rowOff>48761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209354" y="5716136"/>
          <a:ext cx="373817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8</xdr:col>
      <xdr:colOff>259021</xdr:colOff>
      <xdr:row>25</xdr:row>
      <xdr:rowOff>101070</xdr:rowOff>
    </xdr:from>
    <xdr:to>
      <xdr:col>14</xdr:col>
      <xdr:colOff>992098</xdr:colOff>
      <xdr:row>25</xdr:row>
      <xdr:rowOff>103638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6634818" y="5607711"/>
          <a:ext cx="4388296" cy="2568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73" t="s">
        <v>120</v>
      </c>
      <c r="B1" s="73"/>
      <c r="C1" s="73"/>
      <c r="D1" s="73"/>
      <c r="E1" s="73"/>
      <c r="F1" s="73"/>
      <c r="G1" s="73"/>
      <c r="H1" s="73"/>
      <c r="I1" s="73"/>
      <c r="J1" s="73"/>
      <c r="K1" s="73"/>
      <c r="M1" s="2" t="s">
        <v>19</v>
      </c>
      <c r="N1" s="2" t="s">
        <v>22</v>
      </c>
      <c r="O1" s="2" t="s">
        <v>81</v>
      </c>
      <c r="P1" s="2" t="s">
        <v>117</v>
      </c>
      <c r="Q1" s="10" t="s">
        <v>119</v>
      </c>
      <c r="S1" s="11">
        <f>Q2/M2</f>
        <v>5.5298836452988356</v>
      </c>
      <c r="T1" s="12" t="s">
        <v>122</v>
      </c>
      <c r="U1" s="12"/>
    </row>
    <row r="2" spans="1:21" ht="9.75" customHeight="1">
      <c r="A2" s="74" t="s">
        <v>121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13" t="s">
        <v>50</v>
      </c>
      <c r="M2" s="14">
        <f>M4/1000</f>
        <v>41.511000000000003</v>
      </c>
      <c r="N2" s="14">
        <f>N4/1000</f>
        <v>60.665999999999997</v>
      </c>
      <c r="O2" s="14">
        <f>O4/1000</f>
        <v>118.961</v>
      </c>
      <c r="P2" s="14">
        <f>P4/1000</f>
        <v>198.655</v>
      </c>
      <c r="Q2" s="14">
        <f>Q4/1000</f>
        <v>229.55099999999999</v>
      </c>
      <c r="R2" s="15" t="s">
        <v>123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75" t="s">
        <v>124</v>
      </c>
      <c r="B4" s="78" t="s">
        <v>21</v>
      </c>
      <c r="C4" s="79"/>
      <c r="D4" s="79"/>
      <c r="E4" s="79"/>
      <c r="F4" s="80"/>
      <c r="G4" s="81" t="s">
        <v>118</v>
      </c>
      <c r="H4" s="82"/>
      <c r="I4" s="82"/>
      <c r="J4" s="82"/>
      <c r="K4" s="83"/>
      <c r="L4" s="13" t="s">
        <v>50</v>
      </c>
      <c r="M4" s="14">
        <v>41511</v>
      </c>
      <c r="N4" s="14">
        <v>60666</v>
      </c>
      <c r="O4" s="16">
        <v>118961</v>
      </c>
      <c r="P4" s="16">
        <v>198655</v>
      </c>
      <c r="Q4" s="17">
        <v>229551</v>
      </c>
    </row>
    <row r="5" spans="1:21" ht="13.5" customHeight="1">
      <c r="A5" s="76"/>
      <c r="B5" s="84" t="s">
        <v>90</v>
      </c>
      <c r="C5" s="84"/>
      <c r="D5" s="84"/>
      <c r="E5" s="84"/>
      <c r="F5" s="85"/>
      <c r="G5" s="86" t="s">
        <v>91</v>
      </c>
      <c r="H5" s="87"/>
      <c r="I5" s="87"/>
      <c r="J5" s="87"/>
      <c r="K5" s="88"/>
    </row>
    <row r="6" spans="1:21" ht="15" customHeight="1">
      <c r="A6" s="77"/>
      <c r="B6" s="2" t="s">
        <v>19</v>
      </c>
      <c r="C6" s="2" t="s">
        <v>22</v>
      </c>
      <c r="D6" s="2" t="s">
        <v>81</v>
      </c>
      <c r="E6" s="2" t="s">
        <v>117</v>
      </c>
      <c r="F6" s="10" t="s">
        <v>119</v>
      </c>
      <c r="G6" s="18">
        <v>2008</v>
      </c>
      <c r="H6" s="3">
        <v>2009</v>
      </c>
      <c r="I6" s="3">
        <v>2010</v>
      </c>
      <c r="J6" s="3">
        <v>2011</v>
      </c>
      <c r="K6" s="19">
        <v>2012</v>
      </c>
    </row>
    <row r="7" spans="1:21" ht="12.75" customHeight="1">
      <c r="A7" s="13" t="s">
        <v>50</v>
      </c>
      <c r="B7" s="14">
        <v>41511</v>
      </c>
      <c r="C7" s="14">
        <v>60666</v>
      </c>
      <c r="D7" s="16">
        <v>118961</v>
      </c>
      <c r="E7" s="16">
        <v>198655</v>
      </c>
      <c r="F7" s="17">
        <v>229551</v>
      </c>
      <c r="G7" s="20">
        <v>15.385256837891928</v>
      </c>
      <c r="H7" s="20">
        <f t="shared" ref="H7:K38" si="0">(C7-B7)/B7*100</f>
        <v>46.144395461443956</v>
      </c>
      <c r="I7" s="21">
        <f t="shared" si="0"/>
        <v>96.091715293574651</v>
      </c>
      <c r="J7" s="21">
        <f t="shared" si="0"/>
        <v>66.991703163221558</v>
      </c>
      <c r="K7" s="22">
        <f t="shared" si="0"/>
        <v>15.552591175656289</v>
      </c>
    </row>
    <row r="8" spans="1:21" ht="12.75" customHeight="1">
      <c r="A8" s="13" t="s">
        <v>29</v>
      </c>
      <c r="B8" s="14">
        <v>69240</v>
      </c>
      <c r="C8" s="14">
        <v>69085</v>
      </c>
      <c r="D8" s="16">
        <v>77108</v>
      </c>
      <c r="E8" s="16">
        <v>90517</v>
      </c>
      <c r="F8" s="17">
        <v>98351</v>
      </c>
      <c r="G8" s="20">
        <v>-4.1912853367280576</v>
      </c>
      <c r="H8" s="20">
        <f t="shared" si="0"/>
        <v>-0.2238590410167533</v>
      </c>
      <c r="I8" s="21">
        <f t="shared" si="0"/>
        <v>11.613230078888325</v>
      </c>
      <c r="J8" s="21">
        <f t="shared" si="0"/>
        <v>17.389894693157647</v>
      </c>
      <c r="K8" s="22">
        <f t="shared" si="0"/>
        <v>8.654727841179005</v>
      </c>
    </row>
    <row r="9" spans="1:21" ht="12.75" customHeight="1">
      <c r="A9" s="13" t="s">
        <v>47</v>
      </c>
      <c r="B9" s="14">
        <v>116821</v>
      </c>
      <c r="C9" s="14">
        <v>105950</v>
      </c>
      <c r="D9" s="16">
        <v>114158</v>
      </c>
      <c r="E9" s="16">
        <v>104508</v>
      </c>
      <c r="F9" s="17">
        <v>91776</v>
      </c>
      <c r="G9" s="20">
        <v>-6.6611802681410701</v>
      </c>
      <c r="H9" s="20">
        <f t="shared" si="0"/>
        <v>-9.3056899016443957</v>
      </c>
      <c r="I9" s="21">
        <f t="shared" si="0"/>
        <v>7.7470504955167536</v>
      </c>
      <c r="J9" s="21">
        <f t="shared" si="0"/>
        <v>-8.4531964470295549</v>
      </c>
      <c r="K9" s="22">
        <f t="shared" si="0"/>
        <v>-12.182799402916524</v>
      </c>
    </row>
    <row r="10" spans="1:21" ht="12.75" customHeight="1">
      <c r="A10" s="13" t="s">
        <v>39</v>
      </c>
      <c r="B10" s="14">
        <v>48978</v>
      </c>
      <c r="C10" s="14">
        <v>40014</v>
      </c>
      <c r="D10" s="16">
        <v>49111</v>
      </c>
      <c r="E10" s="16">
        <v>63936</v>
      </c>
      <c r="F10" s="17">
        <v>66378</v>
      </c>
      <c r="G10" s="20">
        <v>53.801224682053693</v>
      </c>
      <c r="H10" s="20">
        <f t="shared" si="0"/>
        <v>-18.302094818081589</v>
      </c>
      <c r="I10" s="21">
        <f t="shared" si="0"/>
        <v>22.734542909981506</v>
      </c>
      <c r="J10" s="21">
        <f t="shared" si="0"/>
        <v>30.186719879456742</v>
      </c>
      <c r="K10" s="22">
        <f t="shared" si="0"/>
        <v>3.8194444444444446</v>
      </c>
    </row>
    <row r="11" spans="1:21" ht="12.75" customHeight="1">
      <c r="A11" s="13" t="s">
        <v>34</v>
      </c>
      <c r="B11" s="14">
        <v>103824</v>
      </c>
      <c r="C11" s="14">
        <v>89292</v>
      </c>
      <c r="D11" s="16">
        <v>89596</v>
      </c>
      <c r="E11" s="16">
        <v>83088</v>
      </c>
      <c r="F11" s="17">
        <v>62782</v>
      </c>
      <c r="G11" s="20">
        <v>-11.44772529553247</v>
      </c>
      <c r="H11" s="20">
        <f t="shared" si="0"/>
        <v>-13.996763754045308</v>
      </c>
      <c r="I11" s="21">
        <f t="shared" si="0"/>
        <v>0.34045603189535456</v>
      </c>
      <c r="J11" s="21">
        <f t="shared" si="0"/>
        <v>-7.2637171302290273</v>
      </c>
      <c r="K11" s="22">
        <f t="shared" si="0"/>
        <v>-24.439148854226843</v>
      </c>
    </row>
    <row r="12" spans="1:21" ht="12.75" customHeight="1">
      <c r="A12" s="13" t="s">
        <v>28</v>
      </c>
      <c r="B12" s="14">
        <v>48100</v>
      </c>
      <c r="C12" s="14">
        <v>50373</v>
      </c>
      <c r="D12" s="16">
        <v>54789</v>
      </c>
      <c r="E12" s="16">
        <v>59694</v>
      </c>
      <c r="F12" s="17">
        <v>56775</v>
      </c>
      <c r="G12" s="20">
        <v>6.1786715525043601</v>
      </c>
      <c r="H12" s="20">
        <f t="shared" si="0"/>
        <v>4.7255717255717258</v>
      </c>
      <c r="I12" s="21">
        <f t="shared" si="0"/>
        <v>8.766601155380858</v>
      </c>
      <c r="J12" s="21">
        <f t="shared" si="0"/>
        <v>8.9525269670919343</v>
      </c>
      <c r="K12" s="22">
        <f t="shared" si="0"/>
        <v>-4.889938687305257</v>
      </c>
    </row>
    <row r="13" spans="1:21" ht="12.75" customHeight="1">
      <c r="A13" s="13" t="s">
        <v>53</v>
      </c>
      <c r="B13" s="14">
        <v>38193</v>
      </c>
      <c r="C13" s="14">
        <v>36641</v>
      </c>
      <c r="D13" s="16">
        <v>38791</v>
      </c>
      <c r="E13" s="16">
        <v>35782</v>
      </c>
      <c r="F13" s="17">
        <v>36438</v>
      </c>
      <c r="G13" s="20">
        <v>-7.120449405413293</v>
      </c>
      <c r="H13" s="20">
        <f t="shared" si="0"/>
        <v>-4.063571858717566</v>
      </c>
      <c r="I13" s="21">
        <f t="shared" si="0"/>
        <v>5.8677437842853637</v>
      </c>
      <c r="J13" s="21">
        <f t="shared" si="0"/>
        <v>-7.7569539326132348</v>
      </c>
      <c r="K13" s="22">
        <f t="shared" si="0"/>
        <v>1.8333240176625119</v>
      </c>
    </row>
    <row r="14" spans="1:21" ht="12.75" customHeight="1">
      <c r="A14" s="13" t="s">
        <v>44</v>
      </c>
      <c r="B14" s="14">
        <v>26983</v>
      </c>
      <c r="C14" s="14">
        <v>26783</v>
      </c>
      <c r="D14" s="16">
        <v>27766</v>
      </c>
      <c r="E14" s="16">
        <v>32504</v>
      </c>
      <c r="F14" s="17">
        <v>35457</v>
      </c>
      <c r="G14" s="20">
        <v>3.0554176373983117</v>
      </c>
      <c r="H14" s="20">
        <f t="shared" si="0"/>
        <v>-0.74120742689841757</v>
      </c>
      <c r="I14" s="21">
        <f t="shared" si="0"/>
        <v>3.6702385841765301</v>
      </c>
      <c r="J14" s="21">
        <f t="shared" si="0"/>
        <v>17.064035150903983</v>
      </c>
      <c r="K14" s="22">
        <f t="shared" si="0"/>
        <v>9.0850356879153349</v>
      </c>
    </row>
    <row r="15" spans="1:21" ht="12.75" customHeight="1">
      <c r="A15" s="13" t="s">
        <v>51</v>
      </c>
      <c r="B15" s="14">
        <v>16663</v>
      </c>
      <c r="C15" s="14">
        <v>15850</v>
      </c>
      <c r="D15" s="16">
        <v>25756</v>
      </c>
      <c r="E15" s="16">
        <v>30978</v>
      </c>
      <c r="F15" s="17">
        <v>31721</v>
      </c>
      <c r="G15" s="20">
        <v>-3.832169446528539</v>
      </c>
      <c r="H15" s="20">
        <f t="shared" si="0"/>
        <v>-4.8790733961471524</v>
      </c>
      <c r="I15" s="21">
        <f t="shared" si="0"/>
        <v>62.498422712933753</v>
      </c>
      <c r="J15" s="21">
        <f t="shared" si="0"/>
        <v>20.274887404876534</v>
      </c>
      <c r="K15" s="22">
        <f t="shared" si="0"/>
        <v>2.3984763380463554</v>
      </c>
    </row>
    <row r="16" spans="1:21" ht="12.75" customHeight="1">
      <c r="A16" s="13" t="s">
        <v>54</v>
      </c>
      <c r="B16" s="14">
        <v>20934</v>
      </c>
      <c r="C16" s="14">
        <v>16135</v>
      </c>
      <c r="D16" s="16">
        <v>24808</v>
      </c>
      <c r="E16" s="16">
        <v>25285</v>
      </c>
      <c r="F16" s="17">
        <v>23933</v>
      </c>
      <c r="G16" s="20">
        <v>-0.20022883295194507</v>
      </c>
      <c r="H16" s="20">
        <f t="shared" si="0"/>
        <v>-22.92442915830706</v>
      </c>
      <c r="I16" s="21">
        <f t="shared" si="0"/>
        <v>53.752711496746208</v>
      </c>
      <c r="J16" s="21">
        <f t="shared" si="0"/>
        <v>1.9227668494034182</v>
      </c>
      <c r="K16" s="22">
        <f t="shared" si="0"/>
        <v>-5.3470437017994854</v>
      </c>
    </row>
    <row r="17" spans="1:15" ht="12.75" customHeight="1">
      <c r="A17" s="23" t="s">
        <v>48</v>
      </c>
      <c r="B17" s="24">
        <v>9482</v>
      </c>
      <c r="C17" s="24">
        <v>9476</v>
      </c>
      <c r="D17" s="25">
        <v>10220</v>
      </c>
      <c r="E17" s="25">
        <v>12088</v>
      </c>
      <c r="F17" s="26">
        <v>18612</v>
      </c>
      <c r="G17" s="27">
        <v>16.272225628448805</v>
      </c>
      <c r="H17" s="27">
        <f t="shared" si="0"/>
        <v>-6.3277789495886944E-2</v>
      </c>
      <c r="I17" s="28">
        <f t="shared" si="0"/>
        <v>7.8514140987758552</v>
      </c>
      <c r="J17" s="28">
        <f t="shared" si="0"/>
        <v>18.277886497064578</v>
      </c>
      <c r="K17" s="29">
        <f t="shared" si="0"/>
        <v>53.970880211780283</v>
      </c>
    </row>
    <row r="18" spans="1:15" ht="12.75" customHeight="1">
      <c r="A18" s="23" t="s">
        <v>23</v>
      </c>
      <c r="B18" s="24">
        <v>13462</v>
      </c>
      <c r="C18" s="24">
        <v>13274</v>
      </c>
      <c r="D18" s="25">
        <v>14944</v>
      </c>
      <c r="E18" s="25">
        <v>16655</v>
      </c>
      <c r="F18" s="26">
        <v>18164</v>
      </c>
      <c r="G18" s="27">
        <v>-1.5431873034447401</v>
      </c>
      <c r="H18" s="27">
        <f t="shared" si="0"/>
        <v>-1.3965235477640767</v>
      </c>
      <c r="I18" s="28">
        <f t="shared" si="0"/>
        <v>12.580985384963087</v>
      </c>
      <c r="J18" s="28">
        <f t="shared" si="0"/>
        <v>11.44941113490364</v>
      </c>
      <c r="K18" s="29">
        <f t="shared" si="0"/>
        <v>9.0603422395676976</v>
      </c>
    </row>
    <row r="19" spans="1:15" ht="12.75" customHeight="1">
      <c r="A19" s="23" t="s">
        <v>67</v>
      </c>
      <c r="B19" s="24">
        <v>8853</v>
      </c>
      <c r="C19" s="24">
        <v>9438</v>
      </c>
      <c r="D19" s="25">
        <v>11482</v>
      </c>
      <c r="E19" s="25">
        <v>14490</v>
      </c>
      <c r="F19" s="26">
        <v>16049</v>
      </c>
      <c r="G19" s="27">
        <v>-5.2952503209242625</v>
      </c>
      <c r="H19" s="27">
        <f t="shared" si="0"/>
        <v>6.607929515418502</v>
      </c>
      <c r="I19" s="28">
        <f t="shared" si="0"/>
        <v>21.657130748039837</v>
      </c>
      <c r="J19" s="28">
        <f t="shared" si="0"/>
        <v>26.197526563316497</v>
      </c>
      <c r="K19" s="29">
        <f t="shared" si="0"/>
        <v>10.759144237405106</v>
      </c>
    </row>
    <row r="20" spans="1:15" ht="12.75" customHeight="1">
      <c r="A20" s="23" t="s">
        <v>69</v>
      </c>
      <c r="B20" s="24">
        <v>9368</v>
      </c>
      <c r="C20" s="24">
        <v>7392</v>
      </c>
      <c r="D20" s="25">
        <v>9622</v>
      </c>
      <c r="E20" s="25">
        <v>12778</v>
      </c>
      <c r="F20" s="26">
        <v>15208</v>
      </c>
      <c r="G20" s="27">
        <v>-0.40399744843716773</v>
      </c>
      <c r="H20" s="27">
        <f t="shared" si="0"/>
        <v>-21.093082835183605</v>
      </c>
      <c r="I20" s="28">
        <f t="shared" si="0"/>
        <v>30.167748917748916</v>
      </c>
      <c r="J20" s="28">
        <f t="shared" si="0"/>
        <v>32.799833714404492</v>
      </c>
      <c r="K20" s="29">
        <f t="shared" si="0"/>
        <v>19.017060572859602</v>
      </c>
    </row>
    <row r="21" spans="1:15" ht="12.75" customHeight="1">
      <c r="A21" s="23" t="s">
        <v>58</v>
      </c>
      <c r="B21" s="24">
        <v>4956</v>
      </c>
      <c r="C21" s="24">
        <v>5214</v>
      </c>
      <c r="D21" s="25">
        <v>5332</v>
      </c>
      <c r="E21" s="25">
        <v>7990</v>
      </c>
      <c r="F21" s="26">
        <v>9625</v>
      </c>
      <c r="G21" s="27">
        <v>11.220825852782765</v>
      </c>
      <c r="H21" s="27">
        <f t="shared" si="0"/>
        <v>5.2058111380145284</v>
      </c>
      <c r="I21" s="28">
        <f t="shared" si="0"/>
        <v>2.263137706175681</v>
      </c>
      <c r="J21" s="28">
        <f t="shared" si="0"/>
        <v>49.849962490622659</v>
      </c>
      <c r="K21" s="29">
        <f t="shared" si="0"/>
        <v>20.463078848560702</v>
      </c>
    </row>
    <row r="22" spans="1:15" ht="12.75" customHeight="1">
      <c r="A22" s="23" t="s">
        <v>59</v>
      </c>
      <c r="B22" s="24">
        <v>9752</v>
      </c>
      <c r="C22" s="24">
        <v>7833</v>
      </c>
      <c r="D22" s="25">
        <v>7872</v>
      </c>
      <c r="E22" s="25">
        <v>9670</v>
      </c>
      <c r="F22" s="26">
        <v>8860</v>
      </c>
      <c r="G22" s="27">
        <v>1.015123264967889</v>
      </c>
      <c r="H22" s="27">
        <f t="shared" si="0"/>
        <v>-19.678014766201805</v>
      </c>
      <c r="I22" s="28">
        <f t="shared" si="0"/>
        <v>0.49789352738414405</v>
      </c>
      <c r="J22" s="28">
        <f t="shared" si="0"/>
        <v>22.840447154471544</v>
      </c>
      <c r="K22" s="29">
        <f t="shared" si="0"/>
        <v>-8.3764219234746644</v>
      </c>
    </row>
    <row r="23" spans="1:15" ht="12.75" customHeight="1">
      <c r="A23" s="23" t="s">
        <v>42</v>
      </c>
      <c r="B23" s="24">
        <v>8217</v>
      </c>
      <c r="C23" s="24">
        <v>7279</v>
      </c>
      <c r="D23" s="25">
        <v>8912</v>
      </c>
      <c r="E23" s="25">
        <v>9710</v>
      </c>
      <c r="F23" s="26">
        <v>8824</v>
      </c>
      <c r="G23" s="27">
        <v>-6.6037735849056602</v>
      </c>
      <c r="H23" s="27">
        <f t="shared" si="0"/>
        <v>-11.415358403310211</v>
      </c>
      <c r="I23" s="28">
        <f t="shared" si="0"/>
        <v>22.434400329715622</v>
      </c>
      <c r="J23" s="28">
        <f t="shared" si="0"/>
        <v>8.9542190305206457</v>
      </c>
      <c r="K23" s="29">
        <f t="shared" si="0"/>
        <v>-9.1246138002059727</v>
      </c>
      <c r="O23" s="12" t="s">
        <v>125</v>
      </c>
    </row>
    <row r="24" spans="1:15" ht="12.75" customHeight="1">
      <c r="A24" s="23" t="s">
        <v>46</v>
      </c>
      <c r="B24" s="24">
        <v>5399</v>
      </c>
      <c r="C24" s="24">
        <v>4643</v>
      </c>
      <c r="D24" s="25">
        <v>5445</v>
      </c>
      <c r="E24" s="25">
        <v>6729</v>
      </c>
      <c r="F24" s="26">
        <v>8044</v>
      </c>
      <c r="G24" s="27">
        <v>52.299012693935119</v>
      </c>
      <c r="H24" s="27">
        <f t="shared" si="0"/>
        <v>-14.002593072791258</v>
      </c>
      <c r="I24" s="28">
        <f t="shared" si="0"/>
        <v>17.273314667241007</v>
      </c>
      <c r="J24" s="28">
        <f t="shared" si="0"/>
        <v>23.581267217630856</v>
      </c>
      <c r="K24" s="29">
        <f t="shared" si="0"/>
        <v>19.542279684945758</v>
      </c>
    </row>
    <row r="25" spans="1:15" ht="12.75" customHeight="1">
      <c r="A25" s="23" t="s">
        <v>74</v>
      </c>
      <c r="B25" s="24">
        <v>2747</v>
      </c>
      <c r="C25" s="24">
        <v>3036</v>
      </c>
      <c r="D25" s="25">
        <v>4040</v>
      </c>
      <c r="E25" s="25">
        <v>5005</v>
      </c>
      <c r="F25" s="26">
        <v>7263</v>
      </c>
      <c r="G25" s="27">
        <v>41.597938144329902</v>
      </c>
      <c r="H25" s="27">
        <f t="shared" si="0"/>
        <v>10.520567892246087</v>
      </c>
      <c r="I25" s="28">
        <f t="shared" si="0"/>
        <v>33.06982872200264</v>
      </c>
      <c r="J25" s="28">
        <f t="shared" si="0"/>
        <v>23.886138613861384</v>
      </c>
      <c r="K25" s="29">
        <f t="shared" si="0"/>
        <v>45.114885114885119</v>
      </c>
    </row>
    <row r="26" spans="1:15" ht="12.75" customHeight="1">
      <c r="A26" s="23" t="s">
        <v>61</v>
      </c>
      <c r="B26" s="24">
        <v>3952</v>
      </c>
      <c r="C26" s="24">
        <v>3813</v>
      </c>
      <c r="D26" s="25">
        <v>5397</v>
      </c>
      <c r="E26" s="25">
        <v>6214</v>
      </c>
      <c r="F26" s="26">
        <v>6896</v>
      </c>
      <c r="G26" s="27">
        <v>7.8897078897078892</v>
      </c>
      <c r="H26" s="27">
        <f t="shared" si="0"/>
        <v>-3.5172064777327936</v>
      </c>
      <c r="I26" s="28">
        <f t="shared" si="0"/>
        <v>41.542092840283239</v>
      </c>
      <c r="J26" s="28">
        <f t="shared" si="0"/>
        <v>15.138039651658328</v>
      </c>
      <c r="K26" s="29">
        <f t="shared" si="0"/>
        <v>10.975217251367878</v>
      </c>
    </row>
    <row r="27" spans="1:15" ht="12.75" customHeight="1">
      <c r="A27" s="23" t="s">
        <v>55</v>
      </c>
      <c r="B27" s="24">
        <v>3137</v>
      </c>
      <c r="C27" s="24">
        <v>3139</v>
      </c>
      <c r="D27" s="25">
        <v>3894</v>
      </c>
      <c r="E27" s="25">
        <v>6055</v>
      </c>
      <c r="F27" s="26">
        <v>6766</v>
      </c>
      <c r="G27" s="27">
        <v>4.6015338446148721</v>
      </c>
      <c r="H27" s="27">
        <f t="shared" si="0"/>
        <v>6.3755180108383797E-2</v>
      </c>
      <c r="I27" s="28">
        <f t="shared" si="0"/>
        <v>24.052245938196879</v>
      </c>
      <c r="J27" s="28">
        <f t="shared" si="0"/>
        <v>55.495634309193633</v>
      </c>
      <c r="K27" s="29">
        <f t="shared" si="0"/>
        <v>11.742361684558217</v>
      </c>
    </row>
    <row r="28" spans="1:15" ht="12.75" customHeight="1">
      <c r="A28" s="23" t="s">
        <v>35</v>
      </c>
      <c r="B28" s="24">
        <v>5595</v>
      </c>
      <c r="C28" s="24">
        <v>5355</v>
      </c>
      <c r="D28" s="25">
        <v>5682</v>
      </c>
      <c r="E28" s="25">
        <v>5693</v>
      </c>
      <c r="F28" s="26">
        <v>6077</v>
      </c>
      <c r="G28" s="27">
        <v>-13.644080876678499</v>
      </c>
      <c r="H28" s="27">
        <f t="shared" si="0"/>
        <v>-4.2895442359249332</v>
      </c>
      <c r="I28" s="28">
        <f t="shared" si="0"/>
        <v>6.1064425770308119</v>
      </c>
      <c r="J28" s="28">
        <f t="shared" si="0"/>
        <v>0.19359380499824005</v>
      </c>
      <c r="K28" s="29">
        <f t="shared" si="0"/>
        <v>6.745125592833304</v>
      </c>
    </row>
    <row r="29" spans="1:15" ht="12.75" customHeight="1">
      <c r="A29" s="23" t="s">
        <v>76</v>
      </c>
      <c r="B29" s="24">
        <v>2585</v>
      </c>
      <c r="C29" s="24">
        <v>2744</v>
      </c>
      <c r="D29" s="25">
        <v>3336</v>
      </c>
      <c r="E29" s="25">
        <v>4130</v>
      </c>
      <c r="F29" s="26">
        <v>5880</v>
      </c>
      <c r="G29" s="27">
        <v>26.777832270720943</v>
      </c>
      <c r="H29" s="27">
        <f t="shared" si="0"/>
        <v>6.1508704061895552</v>
      </c>
      <c r="I29" s="28">
        <f t="shared" si="0"/>
        <v>21.574344023323615</v>
      </c>
      <c r="J29" s="28">
        <f t="shared" si="0"/>
        <v>23.800959232613909</v>
      </c>
      <c r="K29" s="29">
        <f t="shared" si="0"/>
        <v>42.372881355932201</v>
      </c>
    </row>
    <row r="30" spans="1:15" ht="12.75" customHeight="1">
      <c r="A30" s="23" t="s">
        <v>25</v>
      </c>
      <c r="B30" s="24">
        <v>3811</v>
      </c>
      <c r="C30" s="24">
        <v>3851</v>
      </c>
      <c r="D30" s="25">
        <v>5137</v>
      </c>
      <c r="E30" s="25">
        <v>6471</v>
      </c>
      <c r="F30" s="26">
        <v>5588</v>
      </c>
      <c r="G30" s="27">
        <v>37.780187997107738</v>
      </c>
      <c r="H30" s="27">
        <f t="shared" si="0"/>
        <v>1.0495932826029915</v>
      </c>
      <c r="I30" s="28">
        <f t="shared" si="0"/>
        <v>33.393923656193195</v>
      </c>
      <c r="J30" s="28">
        <f t="shared" si="0"/>
        <v>25.968464084095778</v>
      </c>
      <c r="K30" s="29">
        <f t="shared" si="0"/>
        <v>-13.645495286663575</v>
      </c>
    </row>
    <row r="31" spans="1:15" ht="12.75" customHeight="1">
      <c r="A31" s="23" t="s">
        <v>45</v>
      </c>
      <c r="B31" s="24">
        <v>3235</v>
      </c>
      <c r="C31" s="24">
        <v>2758</v>
      </c>
      <c r="D31" s="25">
        <v>4637</v>
      </c>
      <c r="E31" s="25">
        <v>4542</v>
      </c>
      <c r="F31" s="26">
        <v>5416</v>
      </c>
      <c r="G31" s="27">
        <v>32.473382473382472</v>
      </c>
      <c r="H31" s="27">
        <f t="shared" si="0"/>
        <v>-14.744976816074187</v>
      </c>
      <c r="I31" s="28">
        <f t="shared" si="0"/>
        <v>68.129079042784625</v>
      </c>
      <c r="J31" s="28">
        <f t="shared" si="0"/>
        <v>-2.0487384084537417</v>
      </c>
      <c r="K31" s="29">
        <f t="shared" si="0"/>
        <v>19.242624394539849</v>
      </c>
    </row>
    <row r="32" spans="1:15" ht="12.75" customHeight="1">
      <c r="A32" s="23" t="s">
        <v>43</v>
      </c>
      <c r="B32" s="24">
        <v>3542</v>
      </c>
      <c r="C32" s="24">
        <v>3165</v>
      </c>
      <c r="D32" s="25">
        <v>3638</v>
      </c>
      <c r="E32" s="25">
        <v>4896</v>
      </c>
      <c r="F32" s="26">
        <v>5230</v>
      </c>
      <c r="G32" s="27">
        <v>64.820846905537451</v>
      </c>
      <c r="H32" s="27">
        <f t="shared" si="0"/>
        <v>-10.643704121964992</v>
      </c>
      <c r="I32" s="28">
        <f t="shared" si="0"/>
        <v>14.944707740916272</v>
      </c>
      <c r="J32" s="28">
        <f t="shared" si="0"/>
        <v>34.579439252336449</v>
      </c>
      <c r="K32" s="29">
        <f t="shared" si="0"/>
        <v>6.8218954248366011</v>
      </c>
    </row>
    <row r="33" spans="1:14" ht="12.75" customHeight="1">
      <c r="A33" s="23" t="s">
        <v>66</v>
      </c>
      <c r="B33" s="24">
        <v>2966</v>
      </c>
      <c r="C33" s="24">
        <v>3043</v>
      </c>
      <c r="D33" s="25">
        <v>3815</v>
      </c>
      <c r="E33" s="25">
        <v>4690</v>
      </c>
      <c r="F33" s="26">
        <v>5070</v>
      </c>
      <c r="G33" s="27">
        <v>4.0336723956506493</v>
      </c>
      <c r="H33" s="27">
        <f t="shared" si="0"/>
        <v>2.5960890087660147</v>
      </c>
      <c r="I33" s="28">
        <f t="shared" si="0"/>
        <v>25.369700953006902</v>
      </c>
      <c r="J33" s="28">
        <f t="shared" si="0"/>
        <v>22.935779816513762</v>
      </c>
      <c r="K33" s="29">
        <f t="shared" si="0"/>
        <v>8.1023454157782524</v>
      </c>
    </row>
    <row r="34" spans="1:14" ht="12.75" customHeight="1">
      <c r="A34" s="23" t="s">
        <v>60</v>
      </c>
      <c r="B34" s="24">
        <v>2233</v>
      </c>
      <c r="C34" s="24">
        <v>1975</v>
      </c>
      <c r="D34" s="25">
        <v>3831</v>
      </c>
      <c r="E34" s="25">
        <v>5305</v>
      </c>
      <c r="F34" s="26">
        <v>4430</v>
      </c>
      <c r="G34" s="27">
        <v>10.654112983151636</v>
      </c>
      <c r="H34" s="27">
        <f t="shared" si="0"/>
        <v>-11.553963278101209</v>
      </c>
      <c r="I34" s="28">
        <f t="shared" si="0"/>
        <v>93.974683544303801</v>
      </c>
      <c r="J34" s="28">
        <f t="shared" si="0"/>
        <v>38.475593839728525</v>
      </c>
      <c r="K34" s="29">
        <f t="shared" si="0"/>
        <v>-16.493873704052781</v>
      </c>
    </row>
    <row r="35" spans="1:14" ht="12.75" customHeight="1">
      <c r="A35" s="23" t="s">
        <v>75</v>
      </c>
      <c r="B35" s="24">
        <v>1394</v>
      </c>
      <c r="C35" s="24">
        <v>1580</v>
      </c>
      <c r="D35" s="25">
        <v>1699</v>
      </c>
      <c r="E35" s="25">
        <v>2292</v>
      </c>
      <c r="F35" s="26">
        <v>4047</v>
      </c>
      <c r="G35" s="27">
        <v>72.738537794299873</v>
      </c>
      <c r="H35" s="27">
        <f t="shared" si="0"/>
        <v>13.342898134863701</v>
      </c>
      <c r="I35" s="28">
        <f t="shared" si="0"/>
        <v>7.5316455696202533</v>
      </c>
      <c r="J35" s="28">
        <f t="shared" si="0"/>
        <v>34.90288404944085</v>
      </c>
      <c r="K35" s="29">
        <f t="shared" si="0"/>
        <v>76.570680628272243</v>
      </c>
    </row>
    <row r="36" spans="1:14" ht="12.75" customHeight="1">
      <c r="A36" s="23" t="s">
        <v>63</v>
      </c>
      <c r="B36" s="24">
        <v>3732</v>
      </c>
      <c r="C36" s="24">
        <v>2975</v>
      </c>
      <c r="D36" s="25">
        <v>3157</v>
      </c>
      <c r="E36" s="25">
        <v>3684</v>
      </c>
      <c r="F36" s="26">
        <v>3967</v>
      </c>
      <c r="G36" s="27">
        <v>13.331308836926814</v>
      </c>
      <c r="H36" s="27">
        <f t="shared" si="0"/>
        <v>-20.284030010718112</v>
      </c>
      <c r="I36" s="28">
        <f t="shared" si="0"/>
        <v>6.1176470588235299</v>
      </c>
      <c r="J36" s="28">
        <f t="shared" si="0"/>
        <v>16.69306303452645</v>
      </c>
      <c r="K36" s="29">
        <f t="shared" si="0"/>
        <v>7.681867535287731</v>
      </c>
    </row>
    <row r="37" spans="1:14" ht="12.75" customHeight="1">
      <c r="A37" s="23" t="s">
        <v>37</v>
      </c>
      <c r="B37" s="24">
        <v>3325</v>
      </c>
      <c r="C37" s="24">
        <v>3357</v>
      </c>
      <c r="D37" s="25">
        <v>3795</v>
      </c>
      <c r="E37" s="25">
        <v>4158</v>
      </c>
      <c r="F37" s="26">
        <v>3918</v>
      </c>
      <c r="G37" s="27">
        <v>25.047010154193305</v>
      </c>
      <c r="H37" s="27">
        <f t="shared" si="0"/>
        <v>0.96240601503759393</v>
      </c>
      <c r="I37" s="28">
        <f t="shared" si="0"/>
        <v>13.047363717605004</v>
      </c>
      <c r="J37" s="28">
        <f t="shared" si="0"/>
        <v>9.5652173913043477</v>
      </c>
      <c r="K37" s="29">
        <f t="shared" si="0"/>
        <v>-5.7720057720057723</v>
      </c>
    </row>
    <row r="38" spans="1:14" ht="12.75" customHeight="1">
      <c r="A38" s="23" t="s">
        <v>38</v>
      </c>
      <c r="B38" s="24">
        <v>4150</v>
      </c>
      <c r="C38" s="24">
        <v>4822</v>
      </c>
      <c r="D38" s="25">
        <v>4555</v>
      </c>
      <c r="E38" s="25">
        <v>4434</v>
      </c>
      <c r="F38" s="26">
        <v>3660</v>
      </c>
      <c r="G38" s="27">
        <v>-0.90735434574976126</v>
      </c>
      <c r="H38" s="27">
        <f t="shared" si="0"/>
        <v>16.192771084337348</v>
      </c>
      <c r="I38" s="28">
        <f t="shared" si="0"/>
        <v>-5.5371215263376188</v>
      </c>
      <c r="J38" s="28">
        <f t="shared" si="0"/>
        <v>-2.6564215148188803</v>
      </c>
      <c r="K38" s="29">
        <f t="shared" si="0"/>
        <v>-17.456021650879567</v>
      </c>
    </row>
    <row r="39" spans="1:14" ht="12.75" customHeight="1">
      <c r="A39" s="23" t="s">
        <v>26</v>
      </c>
      <c r="B39" s="24">
        <v>1834</v>
      </c>
      <c r="C39" s="24">
        <v>1722</v>
      </c>
      <c r="D39" s="25">
        <v>2422</v>
      </c>
      <c r="E39" s="25">
        <v>3173</v>
      </c>
      <c r="F39" s="26">
        <v>3493</v>
      </c>
      <c r="G39" s="27">
        <v>0.82462891698735563</v>
      </c>
      <c r="H39" s="27">
        <f t="shared" ref="H39:K60" si="1">(C39-B39)/B39*100</f>
        <v>-6.1068702290076331</v>
      </c>
      <c r="I39" s="28">
        <f t="shared" si="1"/>
        <v>40.650406504065039</v>
      </c>
      <c r="J39" s="28">
        <f t="shared" si="1"/>
        <v>31.007431874483899</v>
      </c>
      <c r="K39" s="29">
        <f t="shared" si="1"/>
        <v>10.085092971950834</v>
      </c>
    </row>
    <row r="40" spans="1:14" ht="12.75" customHeight="1">
      <c r="A40" s="23" t="s">
        <v>64</v>
      </c>
      <c r="B40" s="24">
        <v>1962</v>
      </c>
      <c r="C40" s="24">
        <v>2059</v>
      </c>
      <c r="D40" s="25">
        <v>2471</v>
      </c>
      <c r="E40" s="25">
        <v>2781</v>
      </c>
      <c r="F40" s="26">
        <v>3128</v>
      </c>
      <c r="G40" s="27">
        <v>26.336123631680618</v>
      </c>
      <c r="H40" s="27">
        <f t="shared" si="1"/>
        <v>4.9439347604485224</v>
      </c>
      <c r="I40" s="28">
        <f t="shared" si="1"/>
        <v>20.009713453132587</v>
      </c>
      <c r="J40" s="28">
        <f t="shared" si="1"/>
        <v>12.545528126264671</v>
      </c>
      <c r="K40" s="29">
        <f t="shared" si="1"/>
        <v>12.47752606975908</v>
      </c>
    </row>
    <row r="41" spans="1:14" ht="12.75" customHeight="1">
      <c r="A41" s="23" t="s">
        <v>65</v>
      </c>
      <c r="B41" s="24">
        <v>1327</v>
      </c>
      <c r="C41" s="24">
        <v>1304</v>
      </c>
      <c r="D41" s="25">
        <v>1761</v>
      </c>
      <c r="E41" s="25">
        <v>2342</v>
      </c>
      <c r="F41" s="26">
        <v>3061</v>
      </c>
      <c r="G41" s="27">
        <v>87.429378531073439</v>
      </c>
      <c r="H41" s="27">
        <f t="shared" si="1"/>
        <v>-1.7332328560663148</v>
      </c>
      <c r="I41" s="28">
        <f t="shared" si="1"/>
        <v>35.04601226993865</v>
      </c>
      <c r="J41" s="28">
        <f t="shared" si="1"/>
        <v>32.992617830777967</v>
      </c>
      <c r="K41" s="29">
        <f t="shared" si="1"/>
        <v>30.700256191289498</v>
      </c>
    </row>
    <row r="42" spans="1:14" ht="12.75" customHeight="1">
      <c r="A42" s="23" t="s">
        <v>72</v>
      </c>
      <c r="B42" s="24">
        <v>1340</v>
      </c>
      <c r="C42" s="24">
        <v>1181</v>
      </c>
      <c r="D42" s="25">
        <v>1409</v>
      </c>
      <c r="E42" s="25">
        <v>1797</v>
      </c>
      <c r="F42" s="26">
        <v>2987</v>
      </c>
      <c r="G42" s="27">
        <v>33.466135458167329</v>
      </c>
      <c r="H42" s="27">
        <f t="shared" si="1"/>
        <v>-11.865671641791046</v>
      </c>
      <c r="I42" s="28">
        <f t="shared" si="1"/>
        <v>19.30567315834039</v>
      </c>
      <c r="J42" s="28">
        <f t="shared" si="1"/>
        <v>27.537260468417319</v>
      </c>
      <c r="K42" s="29">
        <f t="shared" si="1"/>
        <v>66.221480244852543</v>
      </c>
    </row>
    <row r="43" spans="1:14" ht="12.75" customHeight="1">
      <c r="A43" s="23" t="s">
        <v>36</v>
      </c>
      <c r="B43" s="24">
        <v>2596</v>
      </c>
      <c r="C43" s="24">
        <v>2120</v>
      </c>
      <c r="D43" s="25">
        <v>2153</v>
      </c>
      <c r="E43" s="25">
        <v>2775</v>
      </c>
      <c r="F43" s="26">
        <v>2902</v>
      </c>
      <c r="G43" s="27">
        <v>43.584070796460175</v>
      </c>
      <c r="H43" s="27">
        <f t="shared" si="1"/>
        <v>-18.335901386748844</v>
      </c>
      <c r="I43" s="28">
        <f t="shared" si="1"/>
        <v>1.5566037735849056</v>
      </c>
      <c r="J43" s="28">
        <f t="shared" si="1"/>
        <v>28.889921040408733</v>
      </c>
      <c r="K43" s="29">
        <f t="shared" si="1"/>
        <v>4.576576576576576</v>
      </c>
    </row>
    <row r="44" spans="1:14" ht="12.75" customHeight="1">
      <c r="A44" s="23" t="s">
        <v>40</v>
      </c>
      <c r="B44" s="24">
        <v>1916</v>
      </c>
      <c r="C44" s="24">
        <v>1970</v>
      </c>
      <c r="D44" s="25">
        <v>2348</v>
      </c>
      <c r="E44" s="25">
        <v>2822</v>
      </c>
      <c r="F44" s="26">
        <v>2636</v>
      </c>
      <c r="G44" s="27">
        <v>30.428863172226006</v>
      </c>
      <c r="H44" s="27">
        <f t="shared" si="1"/>
        <v>2.8183716075156577</v>
      </c>
      <c r="I44" s="28">
        <f t="shared" si="1"/>
        <v>19.18781725888325</v>
      </c>
      <c r="J44" s="28">
        <f t="shared" si="1"/>
        <v>20.187393526405451</v>
      </c>
      <c r="K44" s="29">
        <f t="shared" si="1"/>
        <v>-6.5910701630049608</v>
      </c>
    </row>
    <row r="45" spans="1:14" ht="12.75" customHeight="1">
      <c r="A45" s="23" t="s">
        <v>68</v>
      </c>
      <c r="B45" s="24">
        <v>1334</v>
      </c>
      <c r="C45" s="24">
        <v>1374</v>
      </c>
      <c r="D45" s="25">
        <v>1543</v>
      </c>
      <c r="E45" s="25">
        <v>2132</v>
      </c>
      <c r="F45" s="26">
        <v>2594</v>
      </c>
      <c r="G45" s="27">
        <v>3.3307513555383426</v>
      </c>
      <c r="H45" s="27">
        <f t="shared" si="1"/>
        <v>2.9985007496251872</v>
      </c>
      <c r="I45" s="28">
        <f t="shared" si="1"/>
        <v>12.299854439592432</v>
      </c>
      <c r="J45" s="28">
        <f t="shared" si="1"/>
        <v>38.172391445236556</v>
      </c>
      <c r="K45" s="29">
        <f t="shared" si="1"/>
        <v>21.669793621013135</v>
      </c>
      <c r="N45" s="12" t="s">
        <v>126</v>
      </c>
    </row>
    <row r="46" spans="1:14" ht="12" customHeight="1">
      <c r="A46" s="23" t="s">
        <v>33</v>
      </c>
      <c r="B46" s="24">
        <v>1588</v>
      </c>
      <c r="C46" s="24">
        <v>1380</v>
      </c>
      <c r="D46" s="25">
        <v>2113</v>
      </c>
      <c r="E46" s="25">
        <v>2433</v>
      </c>
      <c r="F46" s="26">
        <v>2569</v>
      </c>
      <c r="G46" s="27">
        <v>21.406727828746178</v>
      </c>
      <c r="H46" s="27">
        <f t="shared" si="1"/>
        <v>-13.09823677581864</v>
      </c>
      <c r="I46" s="28">
        <f t="shared" si="1"/>
        <v>53.115942028985508</v>
      </c>
      <c r="J46" s="28">
        <f t="shared" si="1"/>
        <v>15.144344533838144</v>
      </c>
      <c r="K46" s="29">
        <f t="shared" si="1"/>
        <v>5.589806822852446</v>
      </c>
    </row>
    <row r="47" spans="1:14" ht="12.75" customHeight="1">
      <c r="A47" s="23" t="s">
        <v>32</v>
      </c>
      <c r="B47" s="24">
        <v>2884</v>
      </c>
      <c r="C47" s="24">
        <v>2420</v>
      </c>
      <c r="D47" s="25">
        <v>2514</v>
      </c>
      <c r="E47" s="25">
        <v>2444</v>
      </c>
      <c r="F47" s="26">
        <v>2483</v>
      </c>
      <c r="G47" s="27">
        <v>-8.3862770012706473</v>
      </c>
      <c r="H47" s="27">
        <f t="shared" si="1"/>
        <v>-16.08876560332871</v>
      </c>
      <c r="I47" s="28">
        <f t="shared" si="1"/>
        <v>3.884297520661157</v>
      </c>
      <c r="J47" s="28">
        <f t="shared" si="1"/>
        <v>-2.7844073190135243</v>
      </c>
      <c r="K47" s="29">
        <f t="shared" si="1"/>
        <v>1.5957446808510638</v>
      </c>
    </row>
    <row r="48" spans="1:14" ht="12.75" customHeight="1">
      <c r="A48" s="23" t="s">
        <v>31</v>
      </c>
      <c r="B48" s="24">
        <v>2052</v>
      </c>
      <c r="C48" s="24">
        <v>1848</v>
      </c>
      <c r="D48" s="25">
        <v>2434</v>
      </c>
      <c r="E48" s="25">
        <v>2596</v>
      </c>
      <c r="F48" s="26">
        <v>2408</v>
      </c>
      <c r="G48" s="27">
        <v>-20.093457943925234</v>
      </c>
      <c r="H48" s="27">
        <f t="shared" si="1"/>
        <v>-9.9415204678362574</v>
      </c>
      <c r="I48" s="28">
        <f t="shared" si="1"/>
        <v>31.70995670995671</v>
      </c>
      <c r="J48" s="28">
        <f t="shared" si="1"/>
        <v>6.6557107641741986</v>
      </c>
      <c r="K48" s="29">
        <f t="shared" si="1"/>
        <v>-7.2419106317411401</v>
      </c>
    </row>
    <row r="49" spans="1:11" ht="12.75" customHeight="1">
      <c r="A49" s="23" t="s">
        <v>62</v>
      </c>
      <c r="B49" s="24">
        <v>1065</v>
      </c>
      <c r="C49" s="24">
        <v>1182</v>
      </c>
      <c r="D49" s="25">
        <v>1575</v>
      </c>
      <c r="E49" s="25">
        <v>2485</v>
      </c>
      <c r="F49" s="26">
        <v>2345</v>
      </c>
      <c r="G49" s="27">
        <v>-45.412608918503331</v>
      </c>
      <c r="H49" s="27">
        <f t="shared" si="1"/>
        <v>10.985915492957748</v>
      </c>
      <c r="I49" s="28">
        <f t="shared" si="1"/>
        <v>33.248730964467008</v>
      </c>
      <c r="J49" s="28">
        <f t="shared" si="1"/>
        <v>57.777777777777771</v>
      </c>
      <c r="K49" s="29">
        <f t="shared" si="1"/>
        <v>-5.6338028169014089</v>
      </c>
    </row>
    <row r="50" spans="1:11" ht="12.75" customHeight="1">
      <c r="A50" s="23" t="s">
        <v>57</v>
      </c>
      <c r="B50" s="24">
        <v>871</v>
      </c>
      <c r="C50" s="24">
        <v>979</v>
      </c>
      <c r="D50" s="25">
        <v>1066</v>
      </c>
      <c r="E50" s="25">
        <v>1652</v>
      </c>
      <c r="F50" s="26">
        <v>2265</v>
      </c>
      <c r="G50" s="27">
        <v>-11.303462321792262</v>
      </c>
      <c r="H50" s="27">
        <f t="shared" si="1"/>
        <v>12.399540757749714</v>
      </c>
      <c r="I50" s="28">
        <f t="shared" si="1"/>
        <v>8.88661899897855</v>
      </c>
      <c r="J50" s="28">
        <f t="shared" si="1"/>
        <v>54.971857410881796</v>
      </c>
      <c r="K50" s="29">
        <f t="shared" si="1"/>
        <v>37.106537530266344</v>
      </c>
    </row>
    <row r="51" spans="1:11" ht="12.75" customHeight="1">
      <c r="A51" s="23" t="s">
        <v>30</v>
      </c>
      <c r="B51" s="24">
        <v>4926</v>
      </c>
      <c r="C51" s="24">
        <v>5406</v>
      </c>
      <c r="D51" s="25">
        <v>4630</v>
      </c>
      <c r="E51" s="25">
        <v>3009</v>
      </c>
      <c r="F51" s="26">
        <v>2058</v>
      </c>
      <c r="G51" s="27">
        <v>1.5670103092783505</v>
      </c>
      <c r="H51" s="27">
        <f t="shared" si="1"/>
        <v>9.7442143727161987</v>
      </c>
      <c r="I51" s="28">
        <f t="shared" si="1"/>
        <v>-14.354421013688496</v>
      </c>
      <c r="J51" s="28">
        <f t="shared" si="1"/>
        <v>-35.010799136069117</v>
      </c>
      <c r="K51" s="29">
        <f t="shared" si="1"/>
        <v>-31.605184446660019</v>
      </c>
    </row>
    <row r="52" spans="1:11" ht="12.75" customHeight="1">
      <c r="A52" s="23" t="s">
        <v>56</v>
      </c>
      <c r="B52" s="24">
        <v>1191</v>
      </c>
      <c r="C52" s="24">
        <v>1046</v>
      </c>
      <c r="D52" s="25">
        <v>1256</v>
      </c>
      <c r="E52" s="25">
        <v>1842</v>
      </c>
      <c r="F52" s="26">
        <v>1857</v>
      </c>
      <c r="G52" s="27">
        <v>17.5715695952616</v>
      </c>
      <c r="H52" s="27">
        <f t="shared" si="1"/>
        <v>-12.174643157010916</v>
      </c>
      <c r="I52" s="28">
        <f t="shared" si="1"/>
        <v>20.076481835564053</v>
      </c>
      <c r="J52" s="28">
        <f t="shared" si="1"/>
        <v>46.656050955414017</v>
      </c>
      <c r="K52" s="29">
        <f t="shared" si="1"/>
        <v>0.81433224755700329</v>
      </c>
    </row>
    <row r="53" spans="1:11" ht="12.75" customHeight="1">
      <c r="A53" s="23" t="s">
        <v>52</v>
      </c>
      <c r="B53" s="24">
        <v>581</v>
      </c>
      <c r="C53" s="24">
        <v>677</v>
      </c>
      <c r="D53" s="25">
        <v>818</v>
      </c>
      <c r="E53" s="25">
        <v>1283</v>
      </c>
      <c r="F53" s="26">
        <v>1772</v>
      </c>
      <c r="G53" s="27">
        <v>-38.388123011664902</v>
      </c>
      <c r="H53" s="27">
        <f t="shared" si="1"/>
        <v>16.523235800344235</v>
      </c>
      <c r="I53" s="28">
        <f t="shared" si="1"/>
        <v>20.827178729689809</v>
      </c>
      <c r="J53" s="28">
        <f t="shared" si="1"/>
        <v>56.845965770171148</v>
      </c>
      <c r="K53" s="29">
        <f t="shared" si="1"/>
        <v>38.113795791114576</v>
      </c>
    </row>
    <row r="54" spans="1:11" ht="12.75" customHeight="1">
      <c r="A54" s="23" t="s">
        <v>73</v>
      </c>
      <c r="B54" s="24">
        <v>1139</v>
      </c>
      <c r="C54" s="24">
        <v>984</v>
      </c>
      <c r="D54" s="25">
        <v>1145</v>
      </c>
      <c r="E54" s="25">
        <v>1346</v>
      </c>
      <c r="F54" s="26">
        <v>1666</v>
      </c>
      <c r="G54" s="27">
        <v>72.575757575757578</v>
      </c>
      <c r="H54" s="27">
        <f t="shared" si="1"/>
        <v>-13.608428446005268</v>
      </c>
      <c r="I54" s="28">
        <f t="shared" si="1"/>
        <v>16.361788617886177</v>
      </c>
      <c r="J54" s="28">
        <f t="shared" si="1"/>
        <v>17.554585152838428</v>
      </c>
      <c r="K54" s="29">
        <f t="shared" si="1"/>
        <v>23.774145616641899</v>
      </c>
    </row>
    <row r="55" spans="1:11" ht="12.75" customHeight="1">
      <c r="A55" s="23" t="s">
        <v>70</v>
      </c>
      <c r="B55" s="24">
        <v>1184</v>
      </c>
      <c r="C55" s="24">
        <v>991</v>
      </c>
      <c r="D55" s="25">
        <v>1103</v>
      </c>
      <c r="E55" s="25">
        <v>1390</v>
      </c>
      <c r="F55" s="26">
        <v>1579</v>
      </c>
      <c r="G55" s="27">
        <v>3.6777583187390541</v>
      </c>
      <c r="H55" s="27">
        <f t="shared" si="1"/>
        <v>-16.300675675675674</v>
      </c>
      <c r="I55" s="28">
        <f t="shared" si="1"/>
        <v>11.301715438950556</v>
      </c>
      <c r="J55" s="28">
        <f t="shared" si="1"/>
        <v>26.019945602901178</v>
      </c>
      <c r="K55" s="29">
        <f t="shared" si="1"/>
        <v>13.597122302158274</v>
      </c>
    </row>
    <row r="56" spans="1:11" ht="12.75" customHeight="1">
      <c r="A56" s="23" t="s">
        <v>24</v>
      </c>
      <c r="B56" s="24">
        <v>3368</v>
      </c>
      <c r="C56" s="24">
        <v>3437</v>
      </c>
      <c r="D56" s="25">
        <v>4386</v>
      </c>
      <c r="E56" s="25">
        <v>5738</v>
      </c>
      <c r="F56" s="26">
        <v>1509</v>
      </c>
      <c r="G56" s="27">
        <v>-5.1801801801801801</v>
      </c>
      <c r="H56" s="27">
        <f t="shared" si="1"/>
        <v>2.0486935866983371</v>
      </c>
      <c r="I56" s="28">
        <f t="shared" si="1"/>
        <v>27.611288914751235</v>
      </c>
      <c r="J56" s="28">
        <f t="shared" si="1"/>
        <v>30.825353397172822</v>
      </c>
      <c r="K56" s="29">
        <f t="shared" si="1"/>
        <v>-73.701638201463922</v>
      </c>
    </row>
    <row r="57" spans="1:11" ht="12.75" customHeight="1">
      <c r="A57" s="23" t="s">
        <v>27</v>
      </c>
      <c r="B57" s="24">
        <v>865</v>
      </c>
      <c r="C57" s="24">
        <v>1088</v>
      </c>
      <c r="D57" s="25">
        <v>1281</v>
      </c>
      <c r="E57" s="25">
        <v>1535</v>
      </c>
      <c r="F57" s="26">
        <v>1402</v>
      </c>
      <c r="G57" s="27">
        <v>9.6324461343472745</v>
      </c>
      <c r="H57" s="27">
        <f t="shared" si="1"/>
        <v>25.780346820809246</v>
      </c>
      <c r="I57" s="28">
        <f t="shared" si="1"/>
        <v>17.738970588235293</v>
      </c>
      <c r="J57" s="28">
        <f t="shared" si="1"/>
        <v>19.828259172521467</v>
      </c>
      <c r="K57" s="29">
        <f t="shared" si="1"/>
        <v>-8.664495114006515</v>
      </c>
    </row>
    <row r="58" spans="1:11" ht="12.75" customHeight="1">
      <c r="A58" s="23" t="s">
        <v>41</v>
      </c>
      <c r="B58" s="24">
        <v>1372</v>
      </c>
      <c r="C58" s="24">
        <v>1324</v>
      </c>
      <c r="D58" s="25">
        <v>1647</v>
      </c>
      <c r="E58" s="25">
        <v>1609</v>
      </c>
      <c r="F58" s="26">
        <v>1295</v>
      </c>
      <c r="G58" s="27">
        <v>13.953488372093023</v>
      </c>
      <c r="H58" s="27">
        <f t="shared" si="1"/>
        <v>-3.4985422740524781</v>
      </c>
      <c r="I58" s="28">
        <f t="shared" si="1"/>
        <v>24.395770392749245</v>
      </c>
      <c r="J58" s="28">
        <f t="shared" si="1"/>
        <v>-2.3072252580449302</v>
      </c>
      <c r="K58" s="29">
        <f t="shared" si="1"/>
        <v>-19.515226848974518</v>
      </c>
    </row>
    <row r="59" spans="1:11" ht="12.75" customHeight="1">
      <c r="A59" s="23" t="s">
        <v>49</v>
      </c>
      <c r="B59" s="24">
        <v>455</v>
      </c>
      <c r="C59" s="24">
        <v>388</v>
      </c>
      <c r="D59" s="25">
        <v>525</v>
      </c>
      <c r="E59" s="25">
        <v>1496</v>
      </c>
      <c r="F59" s="26">
        <v>1221</v>
      </c>
      <c r="G59" s="27">
        <v>-64.563862928348911</v>
      </c>
      <c r="H59" s="27">
        <f t="shared" si="1"/>
        <v>-14.725274725274726</v>
      </c>
      <c r="I59" s="28">
        <f t="shared" si="1"/>
        <v>35.309278350515463</v>
      </c>
      <c r="J59" s="28">
        <f t="shared" si="1"/>
        <v>184.95238095238096</v>
      </c>
      <c r="K59" s="29">
        <f t="shared" si="1"/>
        <v>-18.382352941176471</v>
      </c>
    </row>
    <row r="60" spans="1:11" ht="12.75" customHeight="1">
      <c r="A60" s="30" t="s">
        <v>71</v>
      </c>
      <c r="B60" s="31">
        <v>22</v>
      </c>
      <c r="C60" s="31">
        <v>21</v>
      </c>
      <c r="D60" s="32">
        <v>31</v>
      </c>
      <c r="E60" s="32">
        <v>27</v>
      </c>
      <c r="F60" s="33">
        <v>39</v>
      </c>
      <c r="G60" s="34">
        <v>-80.530973451327441</v>
      </c>
      <c r="H60" s="34">
        <f t="shared" si="1"/>
        <v>-4.5454545454545459</v>
      </c>
      <c r="I60" s="35">
        <f t="shared" si="1"/>
        <v>47.619047619047613</v>
      </c>
      <c r="J60" s="35">
        <f t="shared" si="1"/>
        <v>-12.903225806451612</v>
      </c>
      <c r="K60" s="3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39"/>
  <sheetViews>
    <sheetView tabSelected="1" zoomScale="160" zoomScaleNormal="160" zoomScaleSheetLayoutView="75" workbookViewId="0">
      <selection activeCell="R25" sqref="R25"/>
    </sheetView>
  </sheetViews>
  <sheetFormatPr defaultColWidth="9.140625" defaultRowHeight="12.75"/>
  <cols>
    <col min="1" max="1" width="24.42578125" style="39" customWidth="1"/>
    <col min="2" max="3" width="10.7109375" style="39" customWidth="1"/>
    <col min="4" max="4" width="10.28515625" style="39" customWidth="1"/>
    <col min="5" max="5" width="10.5703125" style="39" customWidth="1"/>
    <col min="6" max="6" width="10.28515625" style="39" customWidth="1"/>
    <col min="7" max="7" width="9.5703125" style="39" customWidth="1"/>
    <col min="8" max="8" width="9.140625" style="39" customWidth="1"/>
    <col min="9" max="9" width="9.28515625" style="39" customWidth="1"/>
    <col min="10" max="10" width="8.7109375" style="39" customWidth="1"/>
    <col min="11" max="11" width="9.42578125" style="39" customWidth="1"/>
    <col min="12" max="12" width="8.7109375" style="39" customWidth="1"/>
    <col min="13" max="13" width="9" style="39" customWidth="1"/>
    <col min="14" max="14" width="9.5703125" style="39" customWidth="1"/>
    <col min="15" max="15" width="21.5703125" style="39" customWidth="1"/>
    <col min="16" max="35" width="9.140625" style="39"/>
    <col min="36" max="36" width="13.7109375" style="39" customWidth="1"/>
    <col min="37" max="16384" width="9.140625" style="39"/>
  </cols>
  <sheetData>
    <row r="1" spans="1:48" s="38" customFormat="1" ht="19.5" customHeight="1">
      <c r="A1" s="89" t="s">
        <v>132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48" ht="16.5" customHeight="1">
      <c r="A2" s="90" t="s">
        <v>133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1:48" s="42" customFormat="1" ht="29.25" customHeight="1">
      <c r="A3" s="40" t="s">
        <v>0</v>
      </c>
      <c r="B3" s="65" t="s">
        <v>104</v>
      </c>
      <c r="C3" s="65" t="s">
        <v>105</v>
      </c>
      <c r="D3" s="65" t="s">
        <v>106</v>
      </c>
      <c r="E3" s="65" t="s">
        <v>107</v>
      </c>
      <c r="F3" s="65" t="s">
        <v>108</v>
      </c>
      <c r="G3" s="65" t="s">
        <v>109</v>
      </c>
      <c r="H3" s="65" t="s">
        <v>110</v>
      </c>
      <c r="I3" s="65" t="s">
        <v>111</v>
      </c>
      <c r="J3" s="65" t="s">
        <v>112</v>
      </c>
      <c r="K3" s="65" t="s">
        <v>113</v>
      </c>
      <c r="L3" s="65" t="s">
        <v>114</v>
      </c>
      <c r="M3" s="65" t="s">
        <v>115</v>
      </c>
      <c r="N3" s="65" t="s">
        <v>116</v>
      </c>
      <c r="O3" s="41" t="s">
        <v>103</v>
      </c>
    </row>
    <row r="4" spans="1:48" s="43" customFormat="1" ht="17.25" customHeight="1">
      <c r="A4" s="69" t="s">
        <v>1</v>
      </c>
      <c r="B4" s="55">
        <f>B5+B11+B15+B16+B17+B18+B19+B20</f>
        <v>1234248</v>
      </c>
      <c r="C4" s="55">
        <f t="shared" ref="C4:N4" si="0">C5+C11+C15+C16+C17+C18+C19+C20</f>
        <v>97073</v>
      </c>
      <c r="D4" s="55">
        <f t="shared" si="0"/>
        <v>120468</v>
      </c>
      <c r="E4" s="55">
        <f t="shared" si="0"/>
        <v>112427</v>
      </c>
      <c r="F4" s="55">
        <f t="shared" si="0"/>
        <v>102242</v>
      </c>
      <c r="G4" s="55">
        <f t="shared" si="0"/>
        <v>95389</v>
      </c>
      <c r="H4" s="55">
        <f t="shared" si="0"/>
        <v>81506</v>
      </c>
      <c r="I4" s="55">
        <f t="shared" si="0"/>
        <v>104517</v>
      </c>
      <c r="J4" s="55">
        <f t="shared" si="0"/>
        <v>110144</v>
      </c>
      <c r="K4" s="55">
        <f t="shared" si="0"/>
        <v>95511</v>
      </c>
      <c r="L4" s="55">
        <f t="shared" si="0"/>
        <v>105498</v>
      </c>
      <c r="M4" s="55">
        <f t="shared" si="0"/>
        <v>90218</v>
      </c>
      <c r="N4" s="55">
        <f t="shared" si="0"/>
        <v>119255</v>
      </c>
      <c r="O4" s="66" t="s">
        <v>77</v>
      </c>
    </row>
    <row r="5" spans="1:48" s="47" customFormat="1" ht="17.25" customHeight="1">
      <c r="A5" s="61" t="s">
        <v>2</v>
      </c>
      <c r="B5" s="58">
        <f t="shared" ref="B5:N5" si="1">SUM(B6:B10)</f>
        <v>535962</v>
      </c>
      <c r="C5" s="58">
        <f t="shared" si="1"/>
        <v>52545</v>
      </c>
      <c r="D5" s="58">
        <f t="shared" si="1"/>
        <v>54718</v>
      </c>
      <c r="E5" s="58">
        <f t="shared" si="1"/>
        <v>58918</v>
      </c>
      <c r="F5" s="58">
        <f t="shared" si="1"/>
        <v>47459</v>
      </c>
      <c r="G5" s="58">
        <f t="shared" si="1"/>
        <v>35403</v>
      </c>
      <c r="H5" s="58">
        <f t="shared" si="1"/>
        <v>24274</v>
      </c>
      <c r="I5" s="58">
        <f t="shared" si="1"/>
        <v>34021</v>
      </c>
      <c r="J5" s="58">
        <f t="shared" si="1"/>
        <v>39881</v>
      </c>
      <c r="K5" s="58">
        <f t="shared" si="1"/>
        <v>34131</v>
      </c>
      <c r="L5" s="58">
        <f t="shared" si="1"/>
        <v>47369</v>
      </c>
      <c r="M5" s="58">
        <f t="shared" si="1"/>
        <v>43178</v>
      </c>
      <c r="N5" s="58">
        <f t="shared" si="1"/>
        <v>64065</v>
      </c>
      <c r="O5" s="68" t="s">
        <v>78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</row>
    <row r="6" spans="1:48" s="44" customFormat="1" ht="17.25" customHeight="1">
      <c r="A6" s="62" t="s">
        <v>82</v>
      </c>
      <c r="B6" s="59">
        <f t="shared" ref="B6:B17" si="2">SUM(C6:N6)</f>
        <v>92742</v>
      </c>
      <c r="C6" s="59">
        <v>11899</v>
      </c>
      <c r="D6" s="59">
        <v>8558</v>
      </c>
      <c r="E6" s="59">
        <v>9343</v>
      </c>
      <c r="F6" s="59">
        <v>7852</v>
      </c>
      <c r="G6" s="59">
        <v>5548</v>
      </c>
      <c r="H6" s="59">
        <v>4319</v>
      </c>
      <c r="I6" s="59">
        <v>5979</v>
      </c>
      <c r="J6" s="59">
        <v>6066</v>
      </c>
      <c r="K6" s="59">
        <v>4691</v>
      </c>
      <c r="L6" s="59">
        <v>7842</v>
      </c>
      <c r="M6" s="59">
        <v>8198</v>
      </c>
      <c r="N6" s="59">
        <v>12447</v>
      </c>
      <c r="O6" s="67" t="s">
        <v>92</v>
      </c>
    </row>
    <row r="7" spans="1:48" s="44" customFormat="1" ht="17.25" customHeight="1">
      <c r="A7" s="62" t="s">
        <v>83</v>
      </c>
      <c r="B7" s="59">
        <f t="shared" si="2"/>
        <v>119562</v>
      </c>
      <c r="C7" s="59">
        <v>10011</v>
      </c>
      <c r="D7" s="59">
        <v>12160</v>
      </c>
      <c r="E7" s="59">
        <v>12063</v>
      </c>
      <c r="F7" s="59">
        <v>10332</v>
      </c>
      <c r="G7" s="59">
        <v>7904</v>
      </c>
      <c r="H7" s="59">
        <v>7277</v>
      </c>
      <c r="I7" s="59">
        <v>9503</v>
      </c>
      <c r="J7" s="59">
        <v>8972</v>
      </c>
      <c r="K7" s="59">
        <v>8012</v>
      </c>
      <c r="L7" s="59">
        <v>10661</v>
      </c>
      <c r="M7" s="59">
        <v>8886</v>
      </c>
      <c r="N7" s="59">
        <v>13781</v>
      </c>
      <c r="O7" s="67" t="s">
        <v>93</v>
      </c>
    </row>
    <row r="8" spans="1:48" s="44" customFormat="1" ht="17.25" customHeight="1">
      <c r="A8" s="62" t="s">
        <v>84</v>
      </c>
      <c r="B8" s="59">
        <f t="shared" si="2"/>
        <v>95817</v>
      </c>
      <c r="C8" s="59">
        <v>9812</v>
      </c>
      <c r="D8" s="59">
        <v>9953</v>
      </c>
      <c r="E8" s="59">
        <v>12029</v>
      </c>
      <c r="F8" s="59">
        <v>7632</v>
      </c>
      <c r="G8" s="59">
        <v>3982</v>
      </c>
      <c r="H8" s="59">
        <v>4168</v>
      </c>
      <c r="I8" s="59">
        <v>5519</v>
      </c>
      <c r="J8" s="59">
        <v>9800</v>
      </c>
      <c r="K8" s="59">
        <v>5859</v>
      </c>
      <c r="L8" s="59">
        <v>6157</v>
      </c>
      <c r="M8" s="59">
        <v>6613</v>
      </c>
      <c r="N8" s="59">
        <v>14293</v>
      </c>
      <c r="O8" s="67" t="s">
        <v>94</v>
      </c>
    </row>
    <row r="9" spans="1:48" s="44" customFormat="1" ht="17.25" customHeight="1">
      <c r="A9" s="62" t="s">
        <v>85</v>
      </c>
      <c r="B9" s="59">
        <f t="shared" si="2"/>
        <v>213729</v>
      </c>
      <c r="C9" s="59">
        <v>19455</v>
      </c>
      <c r="D9" s="59">
        <v>23060</v>
      </c>
      <c r="E9" s="59">
        <v>24641</v>
      </c>
      <c r="F9" s="59">
        <v>20527</v>
      </c>
      <c r="G9" s="59">
        <v>16885</v>
      </c>
      <c r="H9" s="59">
        <v>7557</v>
      </c>
      <c r="I9" s="59">
        <v>12119</v>
      </c>
      <c r="J9" s="59">
        <v>13751</v>
      </c>
      <c r="K9" s="59">
        <v>13318</v>
      </c>
      <c r="L9" s="59">
        <v>21514</v>
      </c>
      <c r="M9" s="59">
        <v>18669</v>
      </c>
      <c r="N9" s="59">
        <v>22233</v>
      </c>
      <c r="O9" s="67" t="s">
        <v>95</v>
      </c>
      <c r="P9" s="45"/>
    </row>
    <row r="10" spans="1:48" s="44" customFormat="1" ht="23.25" customHeight="1">
      <c r="A10" s="63" t="s">
        <v>86</v>
      </c>
      <c r="B10" s="59">
        <f t="shared" si="2"/>
        <v>14112</v>
      </c>
      <c r="C10" s="59">
        <v>1368</v>
      </c>
      <c r="D10" s="59">
        <v>987</v>
      </c>
      <c r="E10" s="59">
        <v>842</v>
      </c>
      <c r="F10" s="59">
        <v>1116</v>
      </c>
      <c r="G10" s="59">
        <v>1084</v>
      </c>
      <c r="H10" s="59">
        <v>953</v>
      </c>
      <c r="I10" s="59">
        <v>901</v>
      </c>
      <c r="J10" s="59">
        <v>1292</v>
      </c>
      <c r="K10" s="59">
        <v>2251</v>
      </c>
      <c r="L10" s="59">
        <v>1195</v>
      </c>
      <c r="M10" s="59">
        <v>812</v>
      </c>
      <c r="N10" s="59">
        <v>1311</v>
      </c>
      <c r="O10" s="67" t="s">
        <v>96</v>
      </c>
      <c r="P10" s="45"/>
    </row>
    <row r="11" spans="1:48" s="47" customFormat="1" ht="17.25" customHeight="1">
      <c r="A11" s="61" t="s">
        <v>3</v>
      </c>
      <c r="B11" s="58">
        <f t="shared" si="2"/>
        <v>578322</v>
      </c>
      <c r="C11" s="58">
        <f>SUM(C12:C14)</f>
        <v>34531</v>
      </c>
      <c r="D11" s="58">
        <f t="shared" ref="D11:N11" si="3">SUM(D12:D14)</f>
        <v>57810</v>
      </c>
      <c r="E11" s="58">
        <f t="shared" si="3"/>
        <v>42522</v>
      </c>
      <c r="F11" s="58">
        <f t="shared" si="3"/>
        <v>43638</v>
      </c>
      <c r="G11" s="58">
        <f t="shared" si="3"/>
        <v>50950</v>
      </c>
      <c r="H11" s="58">
        <f t="shared" si="3"/>
        <v>49101</v>
      </c>
      <c r="I11" s="58">
        <f t="shared" si="3"/>
        <v>59137</v>
      </c>
      <c r="J11" s="58">
        <f t="shared" si="3"/>
        <v>59197</v>
      </c>
      <c r="K11" s="58">
        <f t="shared" si="3"/>
        <v>50302</v>
      </c>
      <c r="L11" s="58">
        <f t="shared" si="3"/>
        <v>50127</v>
      </c>
      <c r="M11" s="58">
        <f t="shared" si="3"/>
        <v>39544</v>
      </c>
      <c r="N11" s="58">
        <f t="shared" si="3"/>
        <v>41463</v>
      </c>
      <c r="O11" s="68" t="s">
        <v>79</v>
      </c>
      <c r="P11" s="46"/>
    </row>
    <row r="12" spans="1:48" s="44" customFormat="1" ht="17.25" customHeight="1">
      <c r="A12" s="62" t="s">
        <v>87</v>
      </c>
      <c r="B12" s="59">
        <f t="shared" si="2"/>
        <v>441017</v>
      </c>
      <c r="C12" s="59">
        <v>25902</v>
      </c>
      <c r="D12" s="59">
        <v>49233</v>
      </c>
      <c r="E12" s="59">
        <v>32413</v>
      </c>
      <c r="F12" s="59">
        <v>32398</v>
      </c>
      <c r="G12" s="59">
        <v>37176</v>
      </c>
      <c r="H12" s="59">
        <v>37780</v>
      </c>
      <c r="I12" s="59">
        <v>47765</v>
      </c>
      <c r="J12" s="59">
        <v>48060</v>
      </c>
      <c r="K12" s="59">
        <v>38941</v>
      </c>
      <c r="L12" s="59">
        <v>38809</v>
      </c>
      <c r="M12" s="59">
        <v>28973</v>
      </c>
      <c r="N12" s="59">
        <v>23567</v>
      </c>
      <c r="O12" s="67" t="s">
        <v>97</v>
      </c>
    </row>
    <row r="13" spans="1:48" s="44" customFormat="1" ht="17.25" customHeight="1">
      <c r="A13" s="62" t="s">
        <v>88</v>
      </c>
      <c r="B13" s="59">
        <f t="shared" si="2"/>
        <v>59354</v>
      </c>
      <c r="C13" s="59">
        <v>2937</v>
      </c>
      <c r="D13" s="59">
        <v>3011</v>
      </c>
      <c r="E13" s="59">
        <v>4198</v>
      </c>
      <c r="F13" s="59">
        <v>5525</v>
      </c>
      <c r="G13" s="59">
        <v>6688</v>
      </c>
      <c r="H13" s="59">
        <v>5330</v>
      </c>
      <c r="I13" s="59">
        <v>5201</v>
      </c>
      <c r="J13" s="59">
        <v>4794</v>
      </c>
      <c r="K13" s="59">
        <v>5534</v>
      </c>
      <c r="L13" s="59">
        <v>4881</v>
      </c>
      <c r="M13" s="59">
        <v>4275</v>
      </c>
      <c r="N13" s="59">
        <v>6980</v>
      </c>
      <c r="O13" s="67" t="s">
        <v>98</v>
      </c>
    </row>
    <row r="14" spans="1:48" s="44" customFormat="1" ht="17.25" customHeight="1">
      <c r="A14" s="62" t="s">
        <v>89</v>
      </c>
      <c r="B14" s="59">
        <f t="shared" si="2"/>
        <v>77951</v>
      </c>
      <c r="C14" s="59">
        <v>5692</v>
      </c>
      <c r="D14" s="59">
        <v>5566</v>
      </c>
      <c r="E14" s="59">
        <v>5911</v>
      </c>
      <c r="F14" s="59">
        <v>5715</v>
      </c>
      <c r="G14" s="59">
        <v>7086</v>
      </c>
      <c r="H14" s="59">
        <v>5991</v>
      </c>
      <c r="I14" s="59">
        <v>6171</v>
      </c>
      <c r="J14" s="59">
        <v>6343</v>
      </c>
      <c r="K14" s="59">
        <v>5827</v>
      </c>
      <c r="L14" s="59">
        <v>6437</v>
      </c>
      <c r="M14" s="59">
        <v>6296</v>
      </c>
      <c r="N14" s="59">
        <v>10916</v>
      </c>
      <c r="O14" s="67" t="s">
        <v>99</v>
      </c>
      <c r="P14" s="45"/>
    </row>
    <row r="15" spans="1:48" s="47" customFormat="1" ht="17.25" customHeight="1">
      <c r="A15" s="61" t="s">
        <v>6</v>
      </c>
      <c r="B15" s="58">
        <f t="shared" si="2"/>
        <v>21777</v>
      </c>
      <c r="C15" s="58">
        <v>1780</v>
      </c>
      <c r="D15" s="58">
        <v>1225</v>
      </c>
      <c r="E15" s="58">
        <v>1633</v>
      </c>
      <c r="F15" s="58">
        <v>2190</v>
      </c>
      <c r="G15" s="58">
        <v>1866</v>
      </c>
      <c r="H15" s="58">
        <v>2017</v>
      </c>
      <c r="I15" s="58">
        <v>2202</v>
      </c>
      <c r="J15" s="58">
        <v>1659</v>
      </c>
      <c r="K15" s="58">
        <v>2141</v>
      </c>
      <c r="L15" s="58">
        <v>1609</v>
      </c>
      <c r="M15" s="58">
        <v>1311</v>
      </c>
      <c r="N15" s="58">
        <v>2144</v>
      </c>
      <c r="O15" s="68" t="s">
        <v>80</v>
      </c>
      <c r="P15" s="46"/>
      <c r="AJ15" s="61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</row>
    <row r="16" spans="1:48" s="47" customFormat="1" ht="17.25" customHeight="1">
      <c r="A16" s="61" t="s">
        <v>4</v>
      </c>
      <c r="B16" s="58">
        <f t="shared" si="2"/>
        <v>9276</v>
      </c>
      <c r="C16" s="58">
        <v>605</v>
      </c>
      <c r="D16" s="58">
        <v>395</v>
      </c>
      <c r="E16" s="58">
        <v>707</v>
      </c>
      <c r="F16" s="58">
        <v>965</v>
      </c>
      <c r="G16" s="58">
        <v>716</v>
      </c>
      <c r="H16" s="58">
        <v>754</v>
      </c>
      <c r="I16" s="58">
        <v>901</v>
      </c>
      <c r="J16" s="58">
        <v>975</v>
      </c>
      <c r="K16" s="58">
        <v>818</v>
      </c>
      <c r="L16" s="58">
        <v>598</v>
      </c>
      <c r="M16" s="58">
        <v>482</v>
      </c>
      <c r="N16" s="58">
        <v>1360</v>
      </c>
      <c r="O16" s="68" t="s">
        <v>100</v>
      </c>
      <c r="AJ16" s="62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</row>
    <row r="17" spans="1:48" s="47" customFormat="1" ht="17.25" customHeight="1">
      <c r="A17" s="61" t="s">
        <v>5</v>
      </c>
      <c r="B17" s="58">
        <f t="shared" si="2"/>
        <v>46602</v>
      </c>
      <c r="C17" s="58">
        <v>3689</v>
      </c>
      <c r="D17" s="58">
        <v>3782</v>
      </c>
      <c r="E17" s="58">
        <v>4504</v>
      </c>
      <c r="F17" s="58">
        <v>4550</v>
      </c>
      <c r="G17" s="58">
        <v>3683</v>
      </c>
      <c r="H17" s="58">
        <v>3004</v>
      </c>
      <c r="I17" s="58">
        <v>3458</v>
      </c>
      <c r="J17" s="58">
        <v>3179</v>
      </c>
      <c r="K17" s="58">
        <v>3423</v>
      </c>
      <c r="L17" s="58">
        <v>3614</v>
      </c>
      <c r="M17" s="58">
        <v>3496</v>
      </c>
      <c r="N17" s="58">
        <v>6220</v>
      </c>
      <c r="O17" s="68" t="s">
        <v>101</v>
      </c>
      <c r="P17" s="46"/>
      <c r="AJ17" s="62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</row>
    <row r="18" spans="1:48" s="47" customFormat="1" ht="17.25" customHeight="1">
      <c r="A18" s="61" t="s">
        <v>20</v>
      </c>
      <c r="B18" s="58">
        <f t="shared" ref="B18" si="4">SUM(C18:N18)</f>
        <v>41976</v>
      </c>
      <c r="C18" s="58">
        <v>3885</v>
      </c>
      <c r="D18" s="58">
        <v>2510</v>
      </c>
      <c r="E18" s="58">
        <v>4120</v>
      </c>
      <c r="F18" s="58">
        <v>3408</v>
      </c>
      <c r="G18" s="58">
        <v>2740</v>
      </c>
      <c r="H18" s="58">
        <v>2341</v>
      </c>
      <c r="I18" s="58">
        <v>4782</v>
      </c>
      <c r="J18" s="58">
        <v>5215</v>
      </c>
      <c r="K18" s="58">
        <v>4674</v>
      </c>
      <c r="L18" s="58">
        <v>2152</v>
      </c>
      <c r="M18" s="58">
        <v>2180</v>
      </c>
      <c r="N18" s="58">
        <v>3969</v>
      </c>
      <c r="O18" s="68" t="s">
        <v>102</v>
      </c>
      <c r="P18" s="46"/>
      <c r="AJ18" s="62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</row>
    <row r="19" spans="1:48" s="47" customFormat="1" ht="17.25" customHeight="1">
      <c r="A19" s="61" t="s">
        <v>127</v>
      </c>
      <c r="B19" s="58">
        <f>SUM(C19:N19)</f>
        <v>181</v>
      </c>
      <c r="C19" s="58">
        <v>17</v>
      </c>
      <c r="D19" s="58">
        <v>15</v>
      </c>
      <c r="E19" s="58">
        <v>12</v>
      </c>
      <c r="F19" s="58">
        <v>20</v>
      </c>
      <c r="G19" s="58">
        <v>19</v>
      </c>
      <c r="H19" s="58">
        <v>11</v>
      </c>
      <c r="I19" s="58">
        <v>5</v>
      </c>
      <c r="J19" s="58">
        <v>22</v>
      </c>
      <c r="K19" s="59">
        <v>15</v>
      </c>
      <c r="L19" s="59">
        <v>20</v>
      </c>
      <c r="M19" s="59">
        <v>10</v>
      </c>
      <c r="N19" s="59">
        <v>15</v>
      </c>
      <c r="O19" s="68"/>
      <c r="P19" s="46"/>
      <c r="AJ19" s="62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</row>
    <row r="20" spans="1:48" s="47" customFormat="1" ht="17.25" customHeight="1">
      <c r="A20" s="64" t="s">
        <v>128</v>
      </c>
      <c r="B20" s="60">
        <f>SUM(C20:N20)</f>
        <v>152</v>
      </c>
      <c r="C20" s="60">
        <v>21</v>
      </c>
      <c r="D20" s="60">
        <v>13</v>
      </c>
      <c r="E20" s="60">
        <v>11</v>
      </c>
      <c r="F20" s="60">
        <v>12</v>
      </c>
      <c r="G20" s="60">
        <v>12</v>
      </c>
      <c r="H20" s="60">
        <v>4</v>
      </c>
      <c r="I20" s="60">
        <v>11</v>
      </c>
      <c r="J20" s="60">
        <v>16</v>
      </c>
      <c r="K20" s="70">
        <v>7</v>
      </c>
      <c r="L20" s="70">
        <v>9</v>
      </c>
      <c r="M20" s="70">
        <v>17</v>
      </c>
      <c r="N20" s="70">
        <v>19</v>
      </c>
      <c r="O20" s="71" t="s">
        <v>131</v>
      </c>
      <c r="P20" s="46"/>
      <c r="AJ20" s="62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r="21" spans="1:48" s="51" customFormat="1" ht="15.75" customHeight="1">
      <c r="A21" s="9" t="s">
        <v>129</v>
      </c>
      <c r="B21" s="48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7" t="s">
        <v>130</v>
      </c>
      <c r="P21" s="50"/>
      <c r="AJ21" s="62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</row>
    <row r="22" spans="1:48" s="53" customFormat="1" ht="13.5" customHeight="1">
      <c r="A22" s="57" t="s">
        <v>134</v>
      </c>
      <c r="B22" s="52"/>
      <c r="C22" s="72"/>
      <c r="D22" s="52"/>
      <c r="E22" s="52"/>
      <c r="F22" s="52"/>
      <c r="G22" s="52"/>
      <c r="H22" s="52"/>
      <c r="I22" s="52"/>
      <c r="J22" s="52"/>
      <c r="K22" s="52"/>
      <c r="L22" s="52"/>
      <c r="M22" s="91" t="s">
        <v>135</v>
      </c>
      <c r="N22" s="92"/>
      <c r="O22" s="93"/>
      <c r="AJ22" s="63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</row>
    <row r="23" spans="1:48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spans="1:48"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7" spans="1:48">
      <c r="AJ27" s="61"/>
      <c r="AK27" s="39" t="s">
        <v>7</v>
      </c>
      <c r="AL27" s="39" t="s">
        <v>8</v>
      </c>
      <c r="AM27" s="39" t="s">
        <v>9</v>
      </c>
      <c r="AN27" s="39" t="s">
        <v>10</v>
      </c>
      <c r="AO27" s="39" t="s">
        <v>11</v>
      </c>
      <c r="AP27" s="39" t="s">
        <v>12</v>
      </c>
      <c r="AQ27" s="39" t="s">
        <v>13</v>
      </c>
      <c r="AR27" s="39" t="s">
        <v>14</v>
      </c>
      <c r="AS27" s="39" t="s">
        <v>18</v>
      </c>
      <c r="AT27" s="39" t="s">
        <v>15</v>
      </c>
      <c r="AU27" s="39" t="s">
        <v>16</v>
      </c>
      <c r="AV27" s="39" t="s">
        <v>17</v>
      </c>
    </row>
    <row r="28" spans="1:48">
      <c r="A28" s="61"/>
      <c r="B28" s="58"/>
      <c r="AJ28" s="62" t="s">
        <v>82</v>
      </c>
      <c r="AK28" s="59">
        <f>C6</f>
        <v>11899</v>
      </c>
      <c r="AL28" s="59">
        <f t="shared" ref="AL28:AV28" si="5">D6</f>
        <v>8558</v>
      </c>
      <c r="AM28" s="59">
        <f t="shared" si="5"/>
        <v>9343</v>
      </c>
      <c r="AN28" s="59">
        <f t="shared" si="5"/>
        <v>7852</v>
      </c>
      <c r="AO28" s="59">
        <f t="shared" si="5"/>
        <v>5548</v>
      </c>
      <c r="AP28" s="59">
        <f t="shared" si="5"/>
        <v>4319</v>
      </c>
      <c r="AQ28" s="59">
        <f t="shared" si="5"/>
        <v>5979</v>
      </c>
      <c r="AR28" s="59">
        <f t="shared" si="5"/>
        <v>6066</v>
      </c>
      <c r="AS28" s="59">
        <f t="shared" si="5"/>
        <v>4691</v>
      </c>
      <c r="AT28" s="59">
        <f t="shared" si="5"/>
        <v>7842</v>
      </c>
      <c r="AU28" s="59">
        <f t="shared" si="5"/>
        <v>8198</v>
      </c>
      <c r="AV28" s="59">
        <f t="shared" si="5"/>
        <v>12447</v>
      </c>
    </row>
    <row r="29" spans="1:48">
      <c r="A29" s="61"/>
      <c r="B29" s="58"/>
      <c r="AJ29" s="62" t="s">
        <v>83</v>
      </c>
      <c r="AK29" s="59">
        <f t="shared" ref="AK29:AK31" si="6">C7</f>
        <v>10011</v>
      </c>
      <c r="AL29" s="59">
        <f t="shared" ref="AL29:AL32" si="7">D7</f>
        <v>12160</v>
      </c>
      <c r="AM29" s="59">
        <f t="shared" ref="AM29:AM32" si="8">E7</f>
        <v>12063</v>
      </c>
      <c r="AN29" s="59">
        <f t="shared" ref="AN29:AN32" si="9">F7</f>
        <v>10332</v>
      </c>
      <c r="AO29" s="59">
        <f t="shared" ref="AO29:AO32" si="10">G7</f>
        <v>7904</v>
      </c>
      <c r="AP29" s="59">
        <f t="shared" ref="AP29:AP32" si="11">H7</f>
        <v>7277</v>
      </c>
      <c r="AQ29" s="59">
        <f t="shared" ref="AQ29:AQ32" si="12">I7</f>
        <v>9503</v>
      </c>
      <c r="AR29" s="59">
        <f t="shared" ref="AR29:AR32" si="13">J7</f>
        <v>8972</v>
      </c>
      <c r="AS29" s="59">
        <f t="shared" ref="AS29:AS32" si="14">K7</f>
        <v>8012</v>
      </c>
      <c r="AT29" s="59">
        <f t="shared" ref="AT29:AT32" si="15">L7</f>
        <v>10661</v>
      </c>
      <c r="AU29" s="59">
        <f t="shared" ref="AU29:AU32" si="16">M7</f>
        <v>8886</v>
      </c>
      <c r="AV29" s="59">
        <f t="shared" ref="AV29:AV32" si="17">N7</f>
        <v>13781</v>
      </c>
    </row>
    <row r="30" spans="1:48">
      <c r="A30" s="61"/>
      <c r="B30" s="58"/>
      <c r="AJ30" s="62" t="s">
        <v>84</v>
      </c>
      <c r="AK30" s="59">
        <f t="shared" si="6"/>
        <v>9812</v>
      </c>
      <c r="AL30" s="59">
        <f t="shared" si="7"/>
        <v>9953</v>
      </c>
      <c r="AM30" s="59">
        <f t="shared" si="8"/>
        <v>12029</v>
      </c>
      <c r="AN30" s="59">
        <f t="shared" si="9"/>
        <v>7632</v>
      </c>
      <c r="AO30" s="59">
        <f t="shared" si="10"/>
        <v>3982</v>
      </c>
      <c r="AP30" s="59">
        <f t="shared" si="11"/>
        <v>4168</v>
      </c>
      <c r="AQ30" s="59">
        <f t="shared" si="12"/>
        <v>5519</v>
      </c>
      <c r="AR30" s="59">
        <f t="shared" si="13"/>
        <v>9800</v>
      </c>
      <c r="AS30" s="59">
        <f t="shared" si="14"/>
        <v>5859</v>
      </c>
      <c r="AT30" s="59">
        <f t="shared" si="15"/>
        <v>6157</v>
      </c>
      <c r="AU30" s="59">
        <f t="shared" si="16"/>
        <v>6613</v>
      </c>
      <c r="AV30" s="59">
        <f t="shared" si="17"/>
        <v>14293</v>
      </c>
    </row>
    <row r="31" spans="1:48">
      <c r="A31" s="61"/>
      <c r="B31" s="61"/>
      <c r="C31" s="61"/>
      <c r="AJ31" s="62" t="s">
        <v>85</v>
      </c>
      <c r="AK31" s="59">
        <f t="shared" si="6"/>
        <v>19455</v>
      </c>
      <c r="AL31" s="59">
        <f t="shared" si="7"/>
        <v>23060</v>
      </c>
      <c r="AM31" s="59">
        <f t="shared" si="8"/>
        <v>24641</v>
      </c>
      <c r="AN31" s="59">
        <f t="shared" si="9"/>
        <v>20527</v>
      </c>
      <c r="AO31" s="59">
        <f t="shared" si="10"/>
        <v>16885</v>
      </c>
      <c r="AP31" s="59">
        <f t="shared" si="11"/>
        <v>7557</v>
      </c>
      <c r="AQ31" s="59">
        <f t="shared" si="12"/>
        <v>12119</v>
      </c>
      <c r="AR31" s="59">
        <f t="shared" si="13"/>
        <v>13751</v>
      </c>
      <c r="AS31" s="59">
        <f t="shared" si="14"/>
        <v>13318</v>
      </c>
      <c r="AT31" s="59">
        <f t="shared" si="15"/>
        <v>21514</v>
      </c>
      <c r="AU31" s="59">
        <f t="shared" si="16"/>
        <v>18669</v>
      </c>
      <c r="AV31" s="59">
        <f t="shared" si="17"/>
        <v>22233</v>
      </c>
    </row>
    <row r="32" spans="1:48" ht="25.5">
      <c r="A32" s="61"/>
      <c r="B32" s="61"/>
      <c r="C32" s="61"/>
      <c r="AJ32" s="63" t="s">
        <v>86</v>
      </c>
      <c r="AK32" s="59">
        <f>C10</f>
        <v>1368</v>
      </c>
      <c r="AL32" s="59">
        <f t="shared" si="7"/>
        <v>987</v>
      </c>
      <c r="AM32" s="59">
        <f t="shared" si="8"/>
        <v>842</v>
      </c>
      <c r="AN32" s="59">
        <f t="shared" si="9"/>
        <v>1116</v>
      </c>
      <c r="AO32" s="59">
        <f t="shared" si="10"/>
        <v>1084</v>
      </c>
      <c r="AP32" s="59">
        <f t="shared" si="11"/>
        <v>953</v>
      </c>
      <c r="AQ32" s="59">
        <f t="shared" si="12"/>
        <v>901</v>
      </c>
      <c r="AR32" s="59">
        <f t="shared" si="13"/>
        <v>1292</v>
      </c>
      <c r="AS32" s="59">
        <f t="shared" si="14"/>
        <v>2251</v>
      </c>
      <c r="AT32" s="59">
        <f t="shared" si="15"/>
        <v>1195</v>
      </c>
      <c r="AU32" s="59">
        <f t="shared" si="16"/>
        <v>812</v>
      </c>
      <c r="AV32" s="59">
        <f t="shared" si="17"/>
        <v>1311</v>
      </c>
    </row>
    <row r="33" spans="1:48">
      <c r="A33" s="61"/>
      <c r="B33" s="61"/>
      <c r="C33" s="61"/>
    </row>
    <row r="34" spans="1:48">
      <c r="A34" s="61"/>
      <c r="B34" s="61"/>
      <c r="C34" s="61"/>
    </row>
    <row r="35" spans="1:48">
      <c r="A35" s="61"/>
      <c r="B35" s="61"/>
      <c r="C35" s="61"/>
    </row>
    <row r="36" spans="1:48">
      <c r="AJ36" s="61"/>
      <c r="AK36" s="39" t="s">
        <v>7</v>
      </c>
      <c r="AL36" s="39" t="s">
        <v>8</v>
      </c>
      <c r="AM36" s="39" t="s">
        <v>9</v>
      </c>
      <c r="AN36" s="39" t="s">
        <v>10</v>
      </c>
      <c r="AO36" s="39" t="s">
        <v>11</v>
      </c>
      <c r="AP36" s="39" t="s">
        <v>12</v>
      </c>
      <c r="AQ36" s="39" t="s">
        <v>13</v>
      </c>
      <c r="AR36" s="39" t="s">
        <v>14</v>
      </c>
      <c r="AS36" s="39" t="s">
        <v>18</v>
      </c>
      <c r="AT36" s="39" t="s">
        <v>15</v>
      </c>
      <c r="AU36" s="39" t="s">
        <v>16</v>
      </c>
      <c r="AV36" s="39" t="s">
        <v>17</v>
      </c>
    </row>
    <row r="37" spans="1:48">
      <c r="AJ37" s="62" t="s">
        <v>87</v>
      </c>
      <c r="AK37" s="59">
        <f>C12</f>
        <v>25902</v>
      </c>
      <c r="AL37" s="59">
        <f t="shared" ref="AL37:AV39" si="18">D12</f>
        <v>49233</v>
      </c>
      <c r="AM37" s="59">
        <f t="shared" si="18"/>
        <v>32413</v>
      </c>
      <c r="AN37" s="59">
        <f t="shared" si="18"/>
        <v>32398</v>
      </c>
      <c r="AO37" s="59">
        <f t="shared" si="18"/>
        <v>37176</v>
      </c>
      <c r="AP37" s="59">
        <f t="shared" si="18"/>
        <v>37780</v>
      </c>
      <c r="AQ37" s="59">
        <f t="shared" si="18"/>
        <v>47765</v>
      </c>
      <c r="AR37" s="59">
        <f t="shared" si="18"/>
        <v>48060</v>
      </c>
      <c r="AS37" s="59">
        <f t="shared" si="18"/>
        <v>38941</v>
      </c>
      <c r="AT37" s="59">
        <f t="shared" si="18"/>
        <v>38809</v>
      </c>
      <c r="AU37" s="59">
        <f t="shared" si="18"/>
        <v>28973</v>
      </c>
      <c r="AV37" s="59">
        <f t="shared" si="18"/>
        <v>23567</v>
      </c>
    </row>
    <row r="38" spans="1:48">
      <c r="AJ38" s="62" t="s">
        <v>88</v>
      </c>
      <c r="AK38" s="59">
        <f t="shared" ref="AK38:AK39" si="19">C13</f>
        <v>2937</v>
      </c>
      <c r="AL38" s="59">
        <f t="shared" si="18"/>
        <v>3011</v>
      </c>
      <c r="AM38" s="59">
        <f t="shared" si="18"/>
        <v>4198</v>
      </c>
      <c r="AN38" s="59">
        <f t="shared" si="18"/>
        <v>5525</v>
      </c>
      <c r="AO38" s="59">
        <f t="shared" si="18"/>
        <v>6688</v>
      </c>
      <c r="AP38" s="59">
        <f t="shared" si="18"/>
        <v>5330</v>
      </c>
      <c r="AQ38" s="59">
        <f t="shared" si="18"/>
        <v>5201</v>
      </c>
      <c r="AR38" s="59">
        <f t="shared" si="18"/>
        <v>4794</v>
      </c>
      <c r="AS38" s="59">
        <f t="shared" si="18"/>
        <v>5534</v>
      </c>
      <c r="AT38" s="59">
        <f t="shared" si="18"/>
        <v>4881</v>
      </c>
      <c r="AU38" s="59">
        <f t="shared" si="18"/>
        <v>4275</v>
      </c>
      <c r="AV38" s="59">
        <f t="shared" si="18"/>
        <v>6980</v>
      </c>
    </row>
    <row r="39" spans="1:48">
      <c r="AJ39" s="62" t="s">
        <v>89</v>
      </c>
      <c r="AK39" s="59">
        <f t="shared" si="19"/>
        <v>5692</v>
      </c>
      <c r="AL39" s="59">
        <f t="shared" si="18"/>
        <v>5566</v>
      </c>
      <c r="AM39" s="59">
        <f t="shared" si="18"/>
        <v>5911</v>
      </c>
      <c r="AN39" s="59">
        <f t="shared" si="18"/>
        <v>5715</v>
      </c>
      <c r="AO39" s="59">
        <f t="shared" si="18"/>
        <v>7086</v>
      </c>
      <c r="AP39" s="59">
        <f t="shared" si="18"/>
        <v>5991</v>
      </c>
      <c r="AQ39" s="59">
        <f t="shared" si="18"/>
        <v>6171</v>
      </c>
      <c r="AR39" s="59">
        <f t="shared" si="18"/>
        <v>6343</v>
      </c>
      <c r="AS39" s="59">
        <f t="shared" si="18"/>
        <v>5827</v>
      </c>
      <c r="AT39" s="59">
        <f t="shared" si="18"/>
        <v>6437</v>
      </c>
      <c r="AU39" s="59">
        <f t="shared" si="18"/>
        <v>6296</v>
      </c>
      <c r="AV39" s="59">
        <f t="shared" si="18"/>
        <v>10916</v>
      </c>
    </row>
  </sheetData>
  <mergeCells count="3">
    <mergeCell ref="A1:O1"/>
    <mergeCell ref="A2:O2"/>
    <mergeCell ref="M22:O22"/>
  </mergeCells>
  <printOptions horizontalCentered="1"/>
  <pageMargins left="0.2" right="0.25" top="0.75" bottom="0.33" header="0.3" footer="0.3"/>
  <pageSetup paperSize="9" scale="85" orientation="landscape" r:id="rId1"/>
  <rowBreaks count="1" manualBreakCount="1">
    <brk id="23" max="16383" man="1"/>
  </rowBreaks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10.7</vt:lpstr>
      <vt:lpstr>'10.7'!Print_Area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2016-07-17T08:21:10Z</cp:lastPrinted>
  <dcterms:created xsi:type="dcterms:W3CDTF">2007-02-07T06:41:32Z</dcterms:created>
  <dcterms:modified xsi:type="dcterms:W3CDTF">2016-07-17T08:27:53Z</dcterms:modified>
</cp:coreProperties>
</file>