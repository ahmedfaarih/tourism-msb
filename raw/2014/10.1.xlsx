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11592" yWindow="960" windowWidth="7320" windowHeight="4128" tabRatio="721"/>
  </bookViews>
  <sheets>
    <sheet name="10.1" sheetId="39" r:id="rId1"/>
    <sheet name="10.1 figures workings" sheetId="44" state="hidden" r:id="rId2"/>
  </sheet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Print_Area_MI">#REF!</definedName>
    <definedName name="ttttt">#REF!</definedName>
  </definedNames>
  <calcPr calcId="124519"/>
</workbook>
</file>

<file path=xl/calcChain.xml><?xml version="1.0" encoding="utf-8"?>
<calcChain xmlns="http://schemas.openxmlformats.org/spreadsheetml/2006/main">
  <c r="N9" i="39"/>
  <c r="N8"/>
  <c r="U8"/>
  <c r="U7"/>
  <c r="G62"/>
  <c r="AG64"/>
  <c r="AF64"/>
  <c r="G58"/>
  <c r="G53"/>
  <c r="G50"/>
  <c r="G35"/>
  <c r="G8"/>
  <c r="G7" s="1"/>
  <c r="N68" l="1"/>
  <c r="N67"/>
  <c r="N69"/>
  <c r="U63" l="1"/>
  <c r="U64"/>
  <c r="U65"/>
  <c r="U66"/>
  <c r="U67"/>
  <c r="U61"/>
  <c r="U60"/>
  <c r="U59"/>
  <c r="U57"/>
  <c r="U56"/>
  <c r="U55"/>
  <c r="U52"/>
  <c r="U51"/>
  <c r="U49"/>
  <c r="U47"/>
  <c r="U48"/>
  <c r="U46"/>
  <c r="U45"/>
  <c r="U44"/>
  <c r="U43"/>
  <c r="U42"/>
  <c r="U41"/>
  <c r="U40"/>
  <c r="U38"/>
  <c r="U39"/>
  <c r="U37"/>
  <c r="U36"/>
  <c r="U34"/>
  <c r="U33"/>
  <c r="U32"/>
  <c r="U31"/>
  <c r="U30"/>
  <c r="U29"/>
  <c r="U28"/>
  <c r="U27"/>
  <c r="U26"/>
  <c r="U24"/>
  <c r="U23"/>
  <c r="U22"/>
  <c r="U21"/>
  <c r="U20"/>
  <c r="U19"/>
  <c r="U18"/>
  <c r="U17"/>
  <c r="U16"/>
  <c r="U15"/>
  <c r="U14"/>
  <c r="U13"/>
  <c r="U12"/>
  <c r="U11"/>
  <c r="U10"/>
  <c r="U9"/>
  <c r="U54"/>
  <c r="U25"/>
  <c r="K60" i="44"/>
  <c r="J60"/>
  <c r="I60"/>
  <c r="H60"/>
  <c r="K59"/>
  <c r="J59"/>
  <c r="I59"/>
  <c r="H59"/>
  <c r="K58"/>
  <c r="J58"/>
  <c r="I58"/>
  <c r="H58"/>
  <c r="K57"/>
  <c r="J57"/>
  <c r="I57"/>
  <c r="H57"/>
  <c r="K56"/>
  <c r="J56"/>
  <c r="I56"/>
  <c r="H56"/>
  <c r="K55"/>
  <c r="J55"/>
  <c r="I55"/>
  <c r="H55"/>
  <c r="K54"/>
  <c r="J54"/>
  <c r="I54"/>
  <c r="H54"/>
  <c r="K53"/>
  <c r="J53"/>
  <c r="I53"/>
  <c r="H53"/>
  <c r="K52"/>
  <c r="J52"/>
  <c r="I52"/>
  <c r="H52"/>
  <c r="K51"/>
  <c r="J51"/>
  <c r="I51"/>
  <c r="H51"/>
  <c r="K50"/>
  <c r="J50"/>
  <c r="I50"/>
  <c r="H50"/>
  <c r="K49"/>
  <c r="J49"/>
  <c r="I49"/>
  <c r="H49"/>
  <c r="K48"/>
  <c r="J48"/>
  <c r="I48"/>
  <c r="H48"/>
  <c r="K47"/>
  <c r="J47"/>
  <c r="I47"/>
  <c r="H47"/>
  <c r="K46"/>
  <c r="J46"/>
  <c r="I46"/>
  <c r="H46"/>
  <c r="K45"/>
  <c r="J45"/>
  <c r="I45"/>
  <c r="H45"/>
  <c r="K44"/>
  <c r="J44"/>
  <c r="I44"/>
  <c r="H44"/>
  <c r="K43"/>
  <c r="J43"/>
  <c r="I43"/>
  <c r="H43"/>
  <c r="K42"/>
  <c r="J42"/>
  <c r="I42"/>
  <c r="H42"/>
  <c r="K41"/>
  <c r="J41"/>
  <c r="I41"/>
  <c r="H41"/>
  <c r="K40"/>
  <c r="J40"/>
  <c r="I40"/>
  <c r="H40"/>
  <c r="K39"/>
  <c r="J39"/>
  <c r="I39"/>
  <c r="H39"/>
  <c r="K38"/>
  <c r="J38"/>
  <c r="I38"/>
  <c r="H38"/>
  <c r="K37"/>
  <c r="J37"/>
  <c r="I37"/>
  <c r="H37"/>
  <c r="K36"/>
  <c r="J36"/>
  <c r="I36"/>
  <c r="H36"/>
  <c r="K35"/>
  <c r="J35"/>
  <c r="I35"/>
  <c r="H35"/>
  <c r="K34"/>
  <c r="J34"/>
  <c r="I34"/>
  <c r="H34"/>
  <c r="K33"/>
  <c r="J33"/>
  <c r="I33"/>
  <c r="H33"/>
  <c r="K32"/>
  <c r="J32"/>
  <c r="I32"/>
  <c r="H32"/>
  <c r="K31"/>
  <c r="J31"/>
  <c r="I31"/>
  <c r="H31"/>
  <c r="K30"/>
  <c r="J30"/>
  <c r="I30"/>
  <c r="H30"/>
  <c r="K29"/>
  <c r="J29"/>
  <c r="I29"/>
  <c r="H29"/>
  <c r="K28"/>
  <c r="J28"/>
  <c r="I28"/>
  <c r="H28"/>
  <c r="K27"/>
  <c r="J27"/>
  <c r="I27"/>
  <c r="H27"/>
  <c r="K26"/>
  <c r="J26"/>
  <c r="I26"/>
  <c r="H26"/>
  <c r="K25"/>
  <c r="J25"/>
  <c r="I25"/>
  <c r="H25"/>
  <c r="K24"/>
  <c r="J24"/>
  <c r="I24"/>
  <c r="H24"/>
  <c r="K23"/>
  <c r="J23"/>
  <c r="I23"/>
  <c r="H23"/>
  <c r="K22"/>
  <c r="J22"/>
  <c r="I22"/>
  <c r="H22"/>
  <c r="K21"/>
  <c r="J21"/>
  <c r="I21"/>
  <c r="H21"/>
  <c r="K20"/>
  <c r="J20"/>
  <c r="I20"/>
  <c r="H20"/>
  <c r="K19"/>
  <c r="J19"/>
  <c r="I19"/>
  <c r="H19"/>
  <c r="K18"/>
  <c r="J18"/>
  <c r="I18"/>
  <c r="H18"/>
  <c r="K17"/>
  <c r="J17"/>
  <c r="I17"/>
  <c r="H17"/>
  <c r="K16"/>
  <c r="J16"/>
  <c r="I16"/>
  <c r="H16"/>
  <c r="K15"/>
  <c r="J15"/>
  <c r="I15"/>
  <c r="H15"/>
  <c r="K14"/>
  <c r="J14"/>
  <c r="I14"/>
  <c r="H14"/>
  <c r="K13"/>
  <c r="J13"/>
  <c r="I13"/>
  <c r="H13"/>
  <c r="K12"/>
  <c r="J12"/>
  <c r="I12"/>
  <c r="H12"/>
  <c r="K11"/>
  <c r="J11"/>
  <c r="I11"/>
  <c r="H11"/>
  <c r="K10"/>
  <c r="J10"/>
  <c r="I10"/>
  <c r="H10"/>
  <c r="K9"/>
  <c r="J9"/>
  <c r="I9"/>
  <c r="H9"/>
  <c r="K8"/>
  <c r="J8"/>
  <c r="I8"/>
  <c r="H8"/>
  <c r="K7"/>
  <c r="J7"/>
  <c r="I7"/>
  <c r="H7"/>
  <c r="Q2"/>
  <c r="P2"/>
  <c r="O2"/>
  <c r="N2"/>
  <c r="M2"/>
  <c r="AE64" i="39"/>
  <c r="AD64"/>
  <c r="AC64"/>
  <c r="AB64"/>
  <c r="T24"/>
  <c r="S36"/>
  <c r="T12"/>
  <c r="T9"/>
  <c r="T10"/>
  <c r="T67"/>
  <c r="S67"/>
  <c r="R67"/>
  <c r="Q67"/>
  <c r="T66"/>
  <c r="S66"/>
  <c r="R66"/>
  <c r="Q66"/>
  <c r="T65"/>
  <c r="S65"/>
  <c r="R65"/>
  <c r="Q65"/>
  <c r="T64"/>
  <c r="S64"/>
  <c r="R64"/>
  <c r="Q64"/>
  <c r="T63"/>
  <c r="S63"/>
  <c r="R63"/>
  <c r="Q63"/>
  <c r="F62"/>
  <c r="E62"/>
  <c r="D62"/>
  <c r="C62"/>
  <c r="B62"/>
  <c r="T61"/>
  <c r="S61"/>
  <c r="R61"/>
  <c r="Q61"/>
  <c r="T60"/>
  <c r="S60"/>
  <c r="R60"/>
  <c r="Q60"/>
  <c r="T59"/>
  <c r="S59"/>
  <c r="R59"/>
  <c r="Q59"/>
  <c r="F58"/>
  <c r="E58"/>
  <c r="D58"/>
  <c r="C58"/>
  <c r="B58"/>
  <c r="T57"/>
  <c r="S57"/>
  <c r="R57"/>
  <c r="Q57"/>
  <c r="T56"/>
  <c r="S56"/>
  <c r="R56"/>
  <c r="Q56"/>
  <c r="T55"/>
  <c r="S55"/>
  <c r="R55"/>
  <c r="Q55"/>
  <c r="T54"/>
  <c r="S54"/>
  <c r="R54"/>
  <c r="Q54"/>
  <c r="F53"/>
  <c r="E53"/>
  <c r="D53"/>
  <c r="C53"/>
  <c r="B53"/>
  <c r="T52"/>
  <c r="S52"/>
  <c r="R52"/>
  <c r="Q52"/>
  <c r="T51"/>
  <c r="S51"/>
  <c r="R51"/>
  <c r="Q51"/>
  <c r="F50"/>
  <c r="E50"/>
  <c r="D50"/>
  <c r="C50"/>
  <c r="B50"/>
  <c r="T49"/>
  <c r="S49"/>
  <c r="R49"/>
  <c r="Q49"/>
  <c r="T48"/>
  <c r="S48"/>
  <c r="R48"/>
  <c r="Q48"/>
  <c r="T47"/>
  <c r="S47"/>
  <c r="R47"/>
  <c r="Q47"/>
  <c r="T46"/>
  <c r="S46"/>
  <c r="R46"/>
  <c r="Q46"/>
  <c r="T45"/>
  <c r="S45"/>
  <c r="R45"/>
  <c r="Q45"/>
  <c r="T44"/>
  <c r="S44"/>
  <c r="R44"/>
  <c r="Q44"/>
  <c r="T43"/>
  <c r="S43"/>
  <c r="R43"/>
  <c r="Q43"/>
  <c r="T42"/>
  <c r="S42"/>
  <c r="R42"/>
  <c r="Q42"/>
  <c r="T41"/>
  <c r="S41"/>
  <c r="R41"/>
  <c r="Q41"/>
  <c r="T40"/>
  <c r="S40"/>
  <c r="R40"/>
  <c r="Q40"/>
  <c r="T39"/>
  <c r="S39"/>
  <c r="R39"/>
  <c r="Q39"/>
  <c r="T38"/>
  <c r="S38"/>
  <c r="R38"/>
  <c r="Q38"/>
  <c r="T37"/>
  <c r="S37"/>
  <c r="R37"/>
  <c r="Q37"/>
  <c r="T36"/>
  <c r="R36"/>
  <c r="Q36"/>
  <c r="F35"/>
  <c r="E35"/>
  <c r="T35"/>
  <c r="D35"/>
  <c r="S35"/>
  <c r="C35"/>
  <c r="B35"/>
  <c r="Q35" s="1"/>
  <c r="T34"/>
  <c r="S34"/>
  <c r="R34"/>
  <c r="Q34"/>
  <c r="T33"/>
  <c r="S33"/>
  <c r="R33"/>
  <c r="Q33"/>
  <c r="T32"/>
  <c r="S32"/>
  <c r="R32"/>
  <c r="Q32"/>
  <c r="T31"/>
  <c r="S31"/>
  <c r="R31"/>
  <c r="Q31"/>
  <c r="T30"/>
  <c r="S30"/>
  <c r="R30"/>
  <c r="Q30"/>
  <c r="T29"/>
  <c r="S29"/>
  <c r="R29"/>
  <c r="Q29"/>
  <c r="T28"/>
  <c r="S28"/>
  <c r="R28"/>
  <c r="Q28"/>
  <c r="T27"/>
  <c r="S27"/>
  <c r="R27"/>
  <c r="Q27"/>
  <c r="T26"/>
  <c r="S26"/>
  <c r="R26"/>
  <c r="Q26"/>
  <c r="T25"/>
  <c r="S25"/>
  <c r="R25"/>
  <c r="Q25"/>
  <c r="S24"/>
  <c r="R24"/>
  <c r="Q24"/>
  <c r="T23"/>
  <c r="S23"/>
  <c r="R23"/>
  <c r="Q23"/>
  <c r="T22"/>
  <c r="S22"/>
  <c r="R22"/>
  <c r="Q22"/>
  <c r="T21"/>
  <c r="S21"/>
  <c r="R21"/>
  <c r="Q21"/>
  <c r="T20"/>
  <c r="S20"/>
  <c r="R20"/>
  <c r="Q20"/>
  <c r="T19"/>
  <c r="S19"/>
  <c r="R19"/>
  <c r="Q19"/>
  <c r="T18"/>
  <c r="S18"/>
  <c r="R18"/>
  <c r="Q18"/>
  <c r="T17"/>
  <c r="S17"/>
  <c r="R17"/>
  <c r="Q17"/>
  <c r="T16"/>
  <c r="S16"/>
  <c r="R16"/>
  <c r="Q16"/>
  <c r="T15"/>
  <c r="S15"/>
  <c r="R15"/>
  <c r="Q15"/>
  <c r="T14"/>
  <c r="S14"/>
  <c r="R14"/>
  <c r="Q14"/>
  <c r="T13"/>
  <c r="S13"/>
  <c r="R13"/>
  <c r="Q13"/>
  <c r="S12"/>
  <c r="R12"/>
  <c r="Q12"/>
  <c r="T11"/>
  <c r="S11"/>
  <c r="R11"/>
  <c r="Q11"/>
  <c r="S10"/>
  <c r="R10"/>
  <c r="Q10"/>
  <c r="S9"/>
  <c r="R9"/>
  <c r="Q9"/>
  <c r="F8"/>
  <c r="F7"/>
  <c r="M52" s="1"/>
  <c r="E8"/>
  <c r="D8"/>
  <c r="C8"/>
  <c r="B8"/>
  <c r="E7"/>
  <c r="L56"/>
  <c r="L38"/>
  <c r="L53"/>
  <c r="T8"/>
  <c r="L9"/>
  <c r="L11"/>
  <c r="L13"/>
  <c r="L15"/>
  <c r="L17"/>
  <c r="L19"/>
  <c r="L21"/>
  <c r="L23"/>
  <c r="L25"/>
  <c r="L27"/>
  <c r="L29"/>
  <c r="L31"/>
  <c r="L33"/>
  <c r="Q50"/>
  <c r="S50"/>
  <c r="Q53"/>
  <c r="Q58"/>
  <c r="S58"/>
  <c r="L36"/>
  <c r="L50"/>
  <c r="L65"/>
  <c r="L51"/>
  <c r="L37"/>
  <c r="L35"/>
  <c r="L39"/>
  <c r="L41"/>
  <c r="L45"/>
  <c r="L49"/>
  <c r="L52"/>
  <c r="L55"/>
  <c r="L58"/>
  <c r="L63"/>
  <c r="L67"/>
  <c r="L40"/>
  <c r="L44"/>
  <c r="L48"/>
  <c r="L54"/>
  <c r="L59"/>
  <c r="L64"/>
  <c r="M18"/>
  <c r="M46"/>
  <c r="M65"/>
  <c r="M60"/>
  <c r="M26"/>
  <c r="M11"/>
  <c r="M45"/>
  <c r="M41"/>
  <c r="M40"/>
  <c r="M49"/>
  <c r="M33"/>
  <c r="M55"/>
  <c r="M31"/>
  <c r="M51"/>
  <c r="M57"/>
  <c r="M30"/>
  <c r="M14"/>
  <c r="M7"/>
  <c r="M34"/>
  <c r="M66"/>
  <c r="M19"/>
  <c r="M38"/>
  <c r="M59"/>
  <c r="M12"/>
  <c r="M54"/>
  <c r="M10"/>
  <c r="M63"/>
  <c r="M56"/>
  <c r="M27"/>
  <c r="M24"/>
  <c r="M9"/>
  <c r="M28"/>
  <c r="M13"/>
  <c r="M62"/>
  <c r="M21"/>
  <c r="M64"/>
  <c r="M35"/>
  <c r="T7"/>
  <c r="M17"/>
  <c r="M37"/>
  <c r="M32"/>
  <c r="M8"/>
  <c r="M23"/>
  <c r="M42"/>
  <c r="M61"/>
  <c r="M47"/>
  <c r="M67"/>
  <c r="M22"/>
  <c r="R35"/>
  <c r="T50" l="1"/>
  <c r="T58"/>
  <c r="R53"/>
  <c r="T53"/>
  <c r="R62"/>
  <c r="N58"/>
  <c r="N39"/>
  <c r="R58"/>
  <c r="Q62"/>
  <c r="T62"/>
  <c r="U62"/>
  <c r="U53"/>
  <c r="S1" i="44"/>
  <c r="N56" i="39"/>
  <c r="M39"/>
  <c r="M15"/>
  <c r="M16"/>
  <c r="M48"/>
  <c r="M20"/>
  <c r="M44"/>
  <c r="M58"/>
  <c r="M50"/>
  <c r="M53"/>
  <c r="M43"/>
  <c r="M29"/>
  <c r="M25"/>
  <c r="M36"/>
  <c r="L66"/>
  <c r="L46"/>
  <c r="L60"/>
  <c r="L47"/>
  <c r="L7"/>
  <c r="L43"/>
  <c r="L57"/>
  <c r="L42"/>
  <c r="L61"/>
  <c r="L34"/>
  <c r="L32"/>
  <c r="L30"/>
  <c r="L28"/>
  <c r="L26"/>
  <c r="L24"/>
  <c r="L22"/>
  <c r="L20"/>
  <c r="L18"/>
  <c r="L16"/>
  <c r="L14"/>
  <c r="L12"/>
  <c r="L10"/>
  <c r="L8"/>
  <c r="R50"/>
  <c r="C7"/>
  <c r="J50"/>
  <c r="Q8"/>
  <c r="B7"/>
  <c r="D7"/>
  <c r="R8"/>
  <c r="S8"/>
  <c r="I50"/>
  <c r="U35"/>
  <c r="L62"/>
  <c r="S53"/>
  <c r="S62"/>
  <c r="U58"/>
  <c r="U50"/>
  <c r="N45" l="1"/>
  <c r="N46"/>
  <c r="N30"/>
  <c r="N57"/>
  <c r="N13"/>
  <c r="N21"/>
  <c r="N28"/>
  <c r="N14"/>
  <c r="N51"/>
  <c r="N42"/>
  <c r="N53"/>
  <c r="N34"/>
  <c r="N63"/>
  <c r="N47"/>
  <c r="N35"/>
  <c r="N11"/>
  <c r="N55"/>
  <c r="N17"/>
  <c r="N25"/>
  <c r="N64"/>
  <c r="N22"/>
  <c r="N31"/>
  <c r="N54"/>
  <c r="N48"/>
  <c r="N44"/>
  <c r="N40"/>
  <c r="N62"/>
  <c r="N32"/>
  <c r="N37"/>
  <c r="N65"/>
  <c r="N60"/>
  <c r="N52"/>
  <c r="N43"/>
  <c r="N50"/>
  <c r="N41"/>
  <c r="N49"/>
  <c r="N10"/>
  <c r="N15"/>
  <c r="N19"/>
  <c r="N23"/>
  <c r="N27"/>
  <c r="N33"/>
  <c r="N7"/>
  <c r="N18"/>
  <c r="N26"/>
  <c r="N66"/>
  <c r="N38"/>
  <c r="N59"/>
  <c r="N12"/>
  <c r="N16"/>
  <c r="N20"/>
  <c r="N24"/>
  <c r="N29"/>
  <c r="N36"/>
  <c r="N61"/>
  <c r="I10"/>
  <c r="I12"/>
  <c r="I14"/>
  <c r="I16"/>
  <c r="I18"/>
  <c r="I20"/>
  <c r="I22"/>
  <c r="I24"/>
  <c r="I26"/>
  <c r="I28"/>
  <c r="I30"/>
  <c r="I32"/>
  <c r="I34"/>
  <c r="I37"/>
  <c r="I65"/>
  <c r="I60"/>
  <c r="I55"/>
  <c r="I49"/>
  <c r="I45"/>
  <c r="I41"/>
  <c r="I66"/>
  <c r="I61"/>
  <c r="I56"/>
  <c r="I51"/>
  <c r="I46"/>
  <c r="I42"/>
  <c r="I36"/>
  <c r="I40"/>
  <c r="I38"/>
  <c r="I35"/>
  <c r="I8"/>
  <c r="I67"/>
  <c r="I57"/>
  <c r="I47"/>
  <c r="I39"/>
  <c r="I59"/>
  <c r="I48"/>
  <c r="I9"/>
  <c r="I13"/>
  <c r="I17"/>
  <c r="I21"/>
  <c r="I25"/>
  <c r="I29"/>
  <c r="I33"/>
  <c r="I53"/>
  <c r="I58"/>
  <c r="I63"/>
  <c r="I52"/>
  <c r="I43"/>
  <c r="I64"/>
  <c r="I54"/>
  <c r="I44"/>
  <c r="I11"/>
  <c r="I15"/>
  <c r="I19"/>
  <c r="I23"/>
  <c r="I27"/>
  <c r="I31"/>
  <c r="I7"/>
  <c r="I62"/>
  <c r="R7"/>
  <c r="K60"/>
  <c r="K49"/>
  <c r="K41"/>
  <c r="K61"/>
  <c r="K51"/>
  <c r="K42"/>
  <c r="K38"/>
  <c r="K58"/>
  <c r="K40"/>
  <c r="K62"/>
  <c r="K36"/>
  <c r="K48"/>
  <c r="K59"/>
  <c r="K39"/>
  <c r="K47"/>
  <c r="K57"/>
  <c r="K67"/>
  <c r="K8"/>
  <c r="K37"/>
  <c r="K65"/>
  <c r="K45"/>
  <c r="K56"/>
  <c r="K50"/>
  <c r="K10"/>
  <c r="K12"/>
  <c r="K14"/>
  <c r="K16"/>
  <c r="K18"/>
  <c r="K20"/>
  <c r="K22"/>
  <c r="K24"/>
  <c r="K26"/>
  <c r="K28"/>
  <c r="K30"/>
  <c r="K32"/>
  <c r="K34"/>
  <c r="K55"/>
  <c r="K66"/>
  <c r="K46"/>
  <c r="S7"/>
  <c r="K33"/>
  <c r="K29"/>
  <c r="K25"/>
  <c r="K21"/>
  <c r="K17"/>
  <c r="K13"/>
  <c r="K9"/>
  <c r="K54"/>
  <c r="K43"/>
  <c r="K63"/>
  <c r="K35"/>
  <c r="K7"/>
  <c r="K31"/>
  <c r="K23"/>
  <c r="K15"/>
  <c r="K44"/>
  <c r="K52"/>
  <c r="K53"/>
  <c r="K27"/>
  <c r="K19"/>
  <c r="K11"/>
  <c r="K64"/>
  <c r="J9"/>
  <c r="J11"/>
  <c r="J13"/>
  <c r="J15"/>
  <c r="J17"/>
  <c r="J19"/>
  <c r="J21"/>
  <c r="J23"/>
  <c r="J25"/>
  <c r="J27"/>
  <c r="J29"/>
  <c r="J31"/>
  <c r="J33"/>
  <c r="J66"/>
  <c r="J61"/>
  <c r="J56"/>
  <c r="J51"/>
  <c r="J46"/>
  <c r="J42"/>
  <c r="J38"/>
  <c r="J65"/>
  <c r="J60"/>
  <c r="J57"/>
  <c r="J53"/>
  <c r="J47"/>
  <c r="J43"/>
  <c r="J8"/>
  <c r="J10"/>
  <c r="J12"/>
  <c r="J14"/>
  <c r="J16"/>
  <c r="J18"/>
  <c r="J20"/>
  <c r="J22"/>
  <c r="J24"/>
  <c r="J26"/>
  <c r="J28"/>
  <c r="J30"/>
  <c r="J32"/>
  <c r="J34"/>
  <c r="J64"/>
  <c r="J54"/>
  <c r="J44"/>
  <c r="J67"/>
  <c r="J58"/>
  <c r="J52"/>
  <c r="J45"/>
  <c r="J7"/>
  <c r="J37"/>
  <c r="J36"/>
  <c r="J59"/>
  <c r="J48"/>
  <c r="J40"/>
  <c r="J63"/>
  <c r="J55"/>
  <c r="J49"/>
  <c r="J41"/>
  <c r="Q7"/>
  <c r="J35"/>
  <c r="J39"/>
  <c r="J62"/>
</calcChain>
</file>

<file path=xl/sharedStrings.xml><?xml version="1.0" encoding="utf-8"?>
<sst xmlns="http://schemas.openxmlformats.org/spreadsheetml/2006/main" count="279" uniqueCount="148">
  <si>
    <t>Total</t>
  </si>
  <si>
    <t>Europe</t>
  </si>
  <si>
    <t>Asia</t>
  </si>
  <si>
    <t>Africa</t>
  </si>
  <si>
    <t>Oceania</t>
  </si>
  <si>
    <t>-</t>
  </si>
  <si>
    <t>2008</t>
  </si>
  <si>
    <t>Middle East</t>
  </si>
  <si>
    <t>udwdwA egcnirevurutwf</t>
  </si>
  <si>
    <t xml:space="preserve"> cniawtcaws ctogWviawfiheb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</si>
  <si>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</si>
  <si>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</si>
  <si>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</si>
  <si>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</si>
  <si>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</si>
  <si>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</si>
  <si>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</si>
  <si>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</si>
  <si>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</si>
  <si>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</si>
  <si>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</si>
  <si>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</si>
  <si>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</si>
  <si>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</si>
  <si>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</si>
  <si>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</si>
  <si>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</si>
  <si>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</si>
  <si>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</si>
  <si>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</si>
  <si>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</si>
  <si>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</si>
  <si>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</si>
  <si>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</si>
  <si>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</si>
  <si>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</si>
  <si>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</si>
  <si>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</si>
  <si>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</si>
  <si>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</si>
  <si>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</si>
  <si>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</si>
  <si>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</si>
  <si>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</si>
  <si>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</si>
  <si>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</si>
  <si>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</si>
  <si>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</si>
  <si>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</si>
  <si>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</si>
  <si>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</si>
  <si>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</si>
  <si>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</si>
  <si>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>Americas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</si>
  <si>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</si>
  <si>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</si>
  <si>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</si>
  <si>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</si>
  <si>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</si>
  <si>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</si>
  <si>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</si>
  <si>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</si>
  <si>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</si>
  <si>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</si>
  <si>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</si>
  <si>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</si>
  <si>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އޮސްޓްރިއާ</t>
  </si>
  <si>
    <t>ޖުމްލަ</t>
  </si>
  <si>
    <t>ޔޫރަޕް</t>
  </si>
  <si>
    <t>ބެލްޖިއަމް</t>
  </si>
  <si>
    <t>ޗެކްރިޕަބްލިކް</t>
  </si>
  <si>
    <t>ޑެންމާރކް</t>
  </si>
  <si>
    <t>ފިންލޭންޑް</t>
  </si>
  <si>
    <t>ފްރާންސް</t>
  </si>
  <si>
    <t>ޖާމަނީ</t>
  </si>
  <si>
    <t>ގްރީސް</t>
  </si>
  <si>
    <t>ހަންގްރީ</t>
  </si>
  <si>
    <t>އަޔަރލޭންޑް</t>
  </si>
  <si>
    <t>އިޒްރޭލް</t>
  </si>
  <si>
    <t>އިޓަލީ</t>
  </si>
  <si>
    <t>ނެދަރލޭންޑްސް</t>
  </si>
  <si>
    <t>ނޯރވޭ</t>
  </si>
  <si>
    <t>ޕޮލޭންޑް</t>
  </si>
  <si>
    <t>ޕޯޗުގަލް</t>
  </si>
  <si>
    <t>ރަޝިއާ</t>
  </si>
  <si>
    <t>ސްލޮވޭކިއާ</t>
  </si>
  <si>
    <t>ސްޕެއިން</t>
  </si>
  <si>
    <t>ސްލްވީނިއާ</t>
  </si>
  <si>
    <t>ސްވިޑްން</t>
  </si>
  <si>
    <t>ސްވިޓްޒަރލޭންޑް</t>
  </si>
  <si>
    <t>ޓަރކީ</t>
  </si>
  <si>
    <t>ޔުކްރެއިން</t>
  </si>
  <si>
    <t>ޔުނައިޓެޑް ކިންގްޑަމް</t>
  </si>
  <si>
    <t>އެހެނިހެން</t>
  </si>
  <si>
    <t>އޭޝިއާ</t>
  </si>
  <si>
    <t>ބަންގްލަދޭޝް</t>
  </si>
  <si>
    <t>ޗައިނާ</t>
  </si>
  <si>
    <t>އިންޑޮނޭޝިއާ</t>
  </si>
  <si>
    <t>އިންޑިއާ</t>
  </si>
  <si>
    <t>ކޮރެއާ</t>
  </si>
  <si>
    <t>ޖަޕާން</t>
  </si>
  <si>
    <t>މެލޭޝިއާ</t>
  </si>
  <si>
    <t>ޕާކިސްތާން</t>
  </si>
  <si>
    <t>ފިލިޕީންސް</t>
  </si>
  <si>
    <t>ސިންގަޕޯރ</t>
  </si>
  <si>
    <t>ސްރީލަންކާ</t>
  </si>
  <si>
    <t>ޓައިވާން</t>
  </si>
  <si>
    <t>ތައިލޭންޑް</t>
  </si>
  <si>
    <t>އެފްރިކާ</t>
  </si>
  <si>
    <t>ސައުތު އެފްރިކާ</t>
  </si>
  <si>
    <t>އެމެރިކާސް</t>
  </si>
  <si>
    <t>ބްރެޒީލް</t>
  </si>
  <si>
    <t>ކެނެޑާ</t>
  </si>
  <si>
    <t>ޔޫ.އެސް.އޭ</t>
  </si>
  <si>
    <t>އޯޝޭނިއާ</t>
  </si>
  <si>
    <t>އޮސްޓްރޭލިއާ</t>
  </si>
  <si>
    <t>ނިއުޒީލޭންޑް</t>
  </si>
  <si>
    <t>މިޑްލް އީސްޓް</t>
  </si>
  <si>
    <t>ކުވެއިތު</t>
  </si>
  <si>
    <t>ލެބެނަން</t>
  </si>
  <si>
    <t>ސައުދީއެރޭބިއާ</t>
  </si>
  <si>
    <t>ޔުނައިޓެޑް އެރެބް އެމިރޭޓްސް</t>
  </si>
  <si>
    <t>2010</t>
  </si>
  <si>
    <t>No. of Tourists</t>
  </si>
  <si>
    <t>Percentage Share</t>
  </si>
  <si>
    <t>% change over previous year</t>
  </si>
  <si>
    <t xml:space="preserve"> cawtumuawq </t>
  </si>
  <si>
    <t>2011</t>
  </si>
  <si>
    <t>އިތުރުވި މިންވަރު</t>
  </si>
  <si>
    <t xml:space="preserve">Wviawfevirevcnwzwv
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</si>
  <si>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</si>
  <si>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</si>
  <si>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</si>
  <si>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</si>
  <si>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</si>
  <si>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</si>
  <si>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</si>
  <si>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</si>
  <si>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 xml:space="preserve">Country of Nationality
</t>
  </si>
  <si>
    <t>2013</t>
  </si>
  <si>
    <t>2013 - 2008 ,udwdwA egcnirevurutwf iawaejcaWr cnutogegukwtumuawq : 10.1 ulwvWt</t>
  </si>
  <si>
    <t>Table 10.1 :   FLOW OF TOURISTS BY NATIONALITY, 2008 -  2013</t>
  </si>
  <si>
    <t>UN Passport Holders</t>
  </si>
  <si>
    <t>Source: Ministry of Tourism</t>
  </si>
  <si>
    <t>Not Stated</t>
  </si>
  <si>
    <t>cmwzirUT cfoa IrcTcsinim :ctWrwf ivcaed utWmUluAwm</t>
  </si>
  <si>
    <t>ބަޔާންނުކުރާ</t>
  </si>
  <si>
    <t>ޔޫ.އެން ޕާސްޕޯޓް ހޯލްޑަރ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</si>
</sst>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5" formatCode="#,##0.0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27">
    <font>
      <sz val="10"/>
      <name val="Arial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9"/>
      <name val="A_Randhoo"/>
    </font>
    <font>
      <b/>
      <sz val="10"/>
      <name val="A_Randhoo"/>
    </font>
    <font>
      <sz val="10"/>
      <name val="Helv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b/>
      <sz val="10.5"/>
      <name val="Faruma"/>
    </font>
    <font>
      <sz val="10.5"/>
      <name val="Faruma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9"/>
      </bottom>
      <diagonal/>
    </border>
  </borders>
  <cellStyleXfs count="13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12" fillId="0" borderId="1" applyNumberFormat="0"/>
    <xf numFmtId="0" fontId="1" fillId="0" borderId="0"/>
    <xf numFmtId="0" fontId="18" fillId="0" borderId="0"/>
    <xf numFmtId="0" fontId="13" fillId="0" borderId="0"/>
    <xf numFmtId="0" fontId="1" fillId="0" borderId="0"/>
    <xf numFmtId="0" fontId="10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0" fillId="2" borderId="0" xfId="0" applyFill="1"/>
    <xf numFmtId="49" fontId="20" fillId="2" borderId="3" xfId="0" applyNumberFormat="1" applyFont="1" applyFill="1" applyBorder="1" applyAlignment="1" applyProtection="1">
      <alignment horizontal="right" vertical="center"/>
    </xf>
    <xf numFmtId="0" fontId="20" fillId="2" borderId="2" xfId="0" applyFont="1" applyFill="1" applyBorder="1" applyAlignment="1" applyProtection="1">
      <alignment horizontal="right" vertical="center"/>
    </xf>
    <xf numFmtId="0" fontId="22" fillId="2" borderId="0" xfId="0" applyFont="1" applyFill="1" applyAlignment="1" applyProtection="1">
      <alignment horizontal="left" vertical="center"/>
    </xf>
    <xf numFmtId="37" fontId="4" fillId="2" borderId="0" xfId="0" applyNumberFormat="1" applyFont="1" applyFill="1" applyAlignment="1" applyProtection="1">
      <alignment horizontal="right" vertical="center"/>
    </xf>
    <xf numFmtId="0" fontId="4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1" fillId="2" borderId="0" xfId="0" applyFont="1" applyFill="1"/>
    <xf numFmtId="0" fontId="3" fillId="2" borderId="0" xfId="0" applyFont="1" applyFill="1"/>
    <xf numFmtId="0" fontId="20" fillId="2" borderId="3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170" fontId="3" fillId="2" borderId="0" xfId="0" applyNumberFormat="1" applyFont="1" applyFill="1"/>
    <xf numFmtId="0" fontId="20" fillId="2" borderId="7" xfId="0" applyFont="1" applyFill="1" applyBorder="1" applyAlignment="1" applyProtection="1">
      <alignment horizontal="right" vertical="center"/>
    </xf>
    <xf numFmtId="0" fontId="23" fillId="2" borderId="0" xfId="0" applyFont="1" applyFill="1" applyAlignment="1" applyProtection="1">
      <alignment horizontal="left" vertical="center"/>
    </xf>
    <xf numFmtId="0" fontId="22" fillId="2" borderId="0" xfId="0" applyFont="1" applyFill="1" applyAlignment="1" applyProtection="1">
      <alignment horizontal="left" vertical="top"/>
    </xf>
    <xf numFmtId="0" fontId="8" fillId="2" borderId="5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8" fillId="2" borderId="2" xfId="0" applyFont="1" applyFill="1" applyBorder="1" applyAlignment="1">
      <alignment vertical="center" wrapText="1"/>
    </xf>
    <xf numFmtId="0" fontId="24" fillId="2" borderId="0" xfId="0" applyFont="1" applyFill="1" applyBorder="1" applyAlignment="1" applyProtection="1">
      <alignment horizontal="left" vertical="center"/>
    </xf>
    <xf numFmtId="3" fontId="24" fillId="2" borderId="0" xfId="0" applyNumberFormat="1" applyFont="1" applyFill="1" applyBorder="1" applyAlignment="1" applyProtection="1">
      <alignment vertical="center"/>
    </xf>
    <xf numFmtId="3" fontId="24" fillId="2" borderId="6" xfId="0" applyNumberFormat="1" applyFont="1" applyFill="1" applyBorder="1" applyAlignment="1" applyProtection="1">
      <alignment vertical="center"/>
    </xf>
    <xf numFmtId="3" fontId="24" fillId="2" borderId="10" xfId="0" applyNumberFormat="1" applyFont="1" applyFill="1" applyBorder="1" applyAlignment="1">
      <alignment vertical="center"/>
    </xf>
    <xf numFmtId="167" fontId="24" fillId="2" borderId="6" xfId="0" applyNumberFormat="1" applyFont="1" applyFill="1" applyBorder="1" applyAlignment="1">
      <alignment vertical="center"/>
    </xf>
    <xf numFmtId="167" fontId="24" fillId="2" borderId="0" xfId="0" applyNumberFormat="1" applyFont="1" applyFill="1" applyBorder="1" applyAlignment="1">
      <alignment vertical="center"/>
    </xf>
    <xf numFmtId="0" fontId="15" fillId="2" borderId="5" xfId="0" applyFont="1" applyFill="1" applyBorder="1" applyAlignment="1">
      <alignment horizontal="right" vertical="center"/>
    </xf>
    <xf numFmtId="165" fontId="24" fillId="2" borderId="6" xfId="0" applyNumberFormat="1" applyFont="1" applyFill="1" applyBorder="1" applyAlignment="1" applyProtection="1">
      <alignment vertical="center"/>
    </xf>
    <xf numFmtId="165" fontId="24" fillId="2" borderId="0" xfId="0" applyNumberFormat="1" applyFont="1" applyFill="1" applyBorder="1" applyAlignment="1" applyProtection="1">
      <alignment vertical="center"/>
    </xf>
    <xf numFmtId="167" fontId="24" fillId="2" borderId="10" xfId="0" applyNumberFormat="1" applyFont="1" applyFill="1" applyBorder="1" applyAlignment="1">
      <alignment vertical="center"/>
    </xf>
    <xf numFmtId="0" fontId="15" fillId="2" borderId="0" xfId="0" applyFont="1" applyFill="1" applyBorder="1" applyAlignment="1">
      <alignment horizontal="right" vertical="center"/>
    </xf>
    <xf numFmtId="169" fontId="25" fillId="2" borderId="11" xfId="2" applyNumberFormat="1" applyFont="1" applyFill="1" applyBorder="1" applyAlignment="1" applyProtection="1">
      <alignment horizontal="left" vertical="center"/>
    </xf>
    <xf numFmtId="170" fontId="25" fillId="2" borderId="12" xfId="2" applyNumberFormat="1" applyFont="1" applyFill="1" applyBorder="1" applyAlignment="1">
      <alignment vertical="center"/>
    </xf>
    <xf numFmtId="170" fontId="25" fillId="2" borderId="0" xfId="2" applyNumberFormat="1" applyFont="1" applyFill="1" applyBorder="1" applyAlignment="1">
      <alignment vertical="center"/>
    </xf>
    <xf numFmtId="165" fontId="25" fillId="2" borderId="6" xfId="0" applyNumberFormat="1" applyFont="1" applyFill="1" applyBorder="1" applyAlignment="1" applyProtection="1">
      <alignment vertical="center"/>
    </xf>
    <xf numFmtId="165" fontId="25" fillId="2" borderId="0" xfId="0" applyNumberFormat="1" applyFont="1" applyFill="1" applyBorder="1" applyAlignment="1" applyProtection="1">
      <alignment vertical="center"/>
    </xf>
    <xf numFmtId="167" fontId="25" fillId="2" borderId="10" xfId="0" applyNumberFormat="1" applyFont="1" applyFill="1" applyBorder="1" applyAlignment="1">
      <alignment vertical="center"/>
    </xf>
    <xf numFmtId="167" fontId="25" fillId="2" borderId="6" xfId="0" applyNumberFormat="1" applyFont="1" applyFill="1" applyBorder="1" applyAlignment="1">
      <alignment vertical="center"/>
    </xf>
    <xf numFmtId="167" fontId="25" fillId="2" borderId="0" xfId="0" applyNumberFormat="1" applyFont="1" applyFill="1" applyBorder="1" applyAlignment="1">
      <alignment vertical="center"/>
    </xf>
    <xf numFmtId="0" fontId="16" fillId="2" borderId="0" xfId="0" applyFont="1" applyFill="1" applyBorder="1" applyAlignment="1">
      <alignment horizontal="right" vertical="center"/>
    </xf>
    <xf numFmtId="169" fontId="24" fillId="2" borderId="13" xfId="2" applyNumberFormat="1" applyFont="1" applyFill="1" applyBorder="1" applyAlignment="1" applyProtection="1">
      <alignment horizontal="left" vertical="center"/>
    </xf>
    <xf numFmtId="170" fontId="24" fillId="2" borderId="14" xfId="2" applyNumberFormat="1" applyFont="1" applyFill="1" applyBorder="1" applyAlignment="1" applyProtection="1">
      <alignment horizontal="right" vertical="center"/>
    </xf>
    <xf numFmtId="170" fontId="24" fillId="2" borderId="0" xfId="2" applyNumberFormat="1" applyFont="1" applyFill="1" applyBorder="1" applyAlignment="1" applyProtection="1">
      <alignment horizontal="right" vertical="center"/>
    </xf>
    <xf numFmtId="167" fontId="25" fillId="2" borderId="2" xfId="0" applyNumberFormat="1" applyFont="1" applyFill="1" applyBorder="1" applyAlignment="1">
      <alignment vertical="center"/>
    </xf>
    <xf numFmtId="0" fontId="16" fillId="2" borderId="2" xfId="10" applyFont="1" applyFill="1" applyBorder="1" applyAlignment="1">
      <alignment vertical="center"/>
    </xf>
    <xf numFmtId="0" fontId="9" fillId="2" borderId="18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/>
    </xf>
    <xf numFmtId="49" fontId="20" fillId="3" borderId="19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21" fillId="4" borderId="11" xfId="2" applyNumberFormat="1" applyFont="1" applyFill="1" applyBorder="1" applyAlignment="1" applyProtection="1">
      <alignment horizontal="left" vertical="center"/>
    </xf>
    <xf numFmtId="170" fontId="21" fillId="4" borderId="12" xfId="2" applyNumberFormat="1" applyFont="1" applyFill="1" applyBorder="1" applyAlignment="1">
      <alignment vertical="center"/>
    </xf>
    <xf numFmtId="0" fontId="0" fillId="4" borderId="0" xfId="0" quotePrefix="1" applyFill="1"/>
    <xf numFmtId="170" fontId="21" fillId="4" borderId="0" xfId="2" applyNumberFormat="1" applyFont="1" applyFill="1" applyBorder="1" applyAlignment="1">
      <alignment vertical="center"/>
    </xf>
    <xf numFmtId="170" fontId="21" fillId="4" borderId="9" xfId="2" applyNumberFormat="1" applyFont="1" applyFill="1" applyBorder="1" applyAlignment="1">
      <alignment vertical="center"/>
    </xf>
    <xf numFmtId="0" fontId="20" fillId="2" borderId="4" xfId="0" applyFont="1" applyFill="1" applyBorder="1" applyAlignment="1" applyProtection="1">
      <alignment horizontal="right" vertical="center"/>
    </xf>
    <xf numFmtId="0" fontId="20" fillId="3" borderId="8" xfId="0" applyFont="1" applyFill="1" applyBorder="1" applyAlignment="1" applyProtection="1">
      <alignment horizontal="right" vertical="center"/>
    </xf>
    <xf numFmtId="167" fontId="21" fillId="4" borderId="0" xfId="0" applyNumberFormat="1" applyFont="1" applyFill="1" applyBorder="1" applyAlignment="1">
      <alignment vertical="center"/>
    </xf>
    <xf numFmtId="167" fontId="19" fillId="4" borderId="0" xfId="0" applyNumberFormat="1" applyFont="1" applyFill="1" applyBorder="1" applyAlignment="1">
      <alignment vertical="center"/>
    </xf>
    <xf numFmtId="167" fontId="19" fillId="4" borderId="9" xfId="0" applyNumberFormat="1" applyFont="1" applyFill="1" applyBorder="1" applyAlignment="1">
      <alignment vertical="center"/>
    </xf>
    <xf numFmtId="169" fontId="21" fillId="2" borderId="11" xfId="2" applyNumberFormat="1" applyFont="1" applyFill="1" applyBorder="1" applyAlignment="1" applyProtection="1">
      <alignment horizontal="left" vertical="center"/>
    </xf>
    <xf numFmtId="170" fontId="21" fillId="2" borderId="12" xfId="2" applyNumberFormat="1" applyFont="1" applyFill="1" applyBorder="1" applyAlignment="1">
      <alignment vertical="center"/>
    </xf>
    <xf numFmtId="170" fontId="21" fillId="2" borderId="0" xfId="2" applyNumberFormat="1" applyFont="1" applyFill="1" applyBorder="1" applyAlignment="1">
      <alignment vertical="center"/>
    </xf>
    <xf numFmtId="170" fontId="21" fillId="3" borderId="9" xfId="2" applyNumberFormat="1" applyFont="1" applyFill="1" applyBorder="1" applyAlignment="1">
      <alignment vertical="center"/>
    </xf>
    <xf numFmtId="167" fontId="21" fillId="2" borderId="0" xfId="0" applyNumberFormat="1" applyFont="1" applyFill="1" applyBorder="1" applyAlignment="1">
      <alignment vertical="center"/>
    </xf>
    <xf numFmtId="167" fontId="19" fillId="2" borderId="0" xfId="0" applyNumberFormat="1" applyFont="1" applyFill="1" applyBorder="1" applyAlignment="1">
      <alignment vertical="center"/>
    </xf>
    <xf numFmtId="167" fontId="19" fillId="3" borderId="9" xfId="0" applyNumberFormat="1" applyFont="1" applyFill="1" applyBorder="1" applyAlignment="1">
      <alignment vertical="center"/>
    </xf>
    <xf numFmtId="169" fontId="21" fillId="2" borderId="15" xfId="2" applyNumberFormat="1" applyFont="1" applyFill="1" applyBorder="1" applyAlignment="1" applyProtection="1">
      <alignment horizontal="left" vertical="center"/>
    </xf>
    <xf numFmtId="170" fontId="21" fillId="2" borderId="16" xfId="2" applyNumberFormat="1" applyFont="1" applyFill="1" applyBorder="1" applyAlignment="1">
      <alignment vertical="center"/>
    </xf>
    <xf numFmtId="170" fontId="21" fillId="2" borderId="2" xfId="2" applyNumberFormat="1" applyFont="1" applyFill="1" applyBorder="1" applyAlignment="1">
      <alignment vertical="center"/>
    </xf>
    <xf numFmtId="170" fontId="21" fillId="3" borderId="8" xfId="2" applyNumberFormat="1" applyFont="1" applyFill="1" applyBorder="1" applyAlignment="1">
      <alignment vertical="center"/>
    </xf>
    <xf numFmtId="167" fontId="21" fillId="2" borderId="2" xfId="0" applyNumberFormat="1" applyFont="1" applyFill="1" applyBorder="1" applyAlignment="1">
      <alignment vertical="center"/>
    </xf>
    <xf numFmtId="167" fontId="19" fillId="2" borderId="2" xfId="0" applyNumberFormat="1" applyFont="1" applyFill="1" applyBorder="1" applyAlignment="1">
      <alignment vertical="center"/>
    </xf>
    <xf numFmtId="167" fontId="19" fillId="3" borderId="8" xfId="0" applyNumberFormat="1" applyFont="1" applyFill="1" applyBorder="1" applyAlignment="1">
      <alignment vertical="center"/>
    </xf>
    <xf numFmtId="0" fontId="6" fillId="2" borderId="0" xfId="0" applyFont="1" applyFill="1" applyAlignment="1" applyProtection="1">
      <alignment horizontal="center" vertical="center"/>
    </xf>
    <xf numFmtId="49" fontId="20" fillId="2" borderId="2" xfId="0" applyNumberFormat="1" applyFont="1" applyFill="1" applyBorder="1" applyAlignment="1" applyProtection="1">
      <alignment horizontal="right" vertical="center"/>
    </xf>
    <xf numFmtId="3" fontId="24" fillId="2" borderId="0" xfId="0" applyNumberFormat="1" applyFont="1" applyFill="1" applyBorder="1" applyAlignment="1">
      <alignment vertical="center"/>
    </xf>
    <xf numFmtId="0" fontId="20" fillId="2" borderId="17" xfId="0" applyFont="1" applyFill="1" applyBorder="1" applyAlignment="1" applyProtection="1">
      <alignment horizontal="right" vertical="center"/>
    </xf>
    <xf numFmtId="0" fontId="17" fillId="2" borderId="0" xfId="0" applyFont="1" applyFill="1"/>
    <xf numFmtId="0" fontId="16" fillId="2" borderId="0" xfId="10" applyFont="1" applyFill="1" applyBorder="1" applyAlignment="1">
      <alignment vertical="center"/>
    </xf>
    <xf numFmtId="0" fontId="20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0" fillId="2" borderId="5" xfId="0" applyFill="1" applyBorder="1"/>
    <xf numFmtId="0" fontId="0" fillId="2" borderId="0" xfId="0" applyFill="1" applyBorder="1"/>
    <xf numFmtId="169" fontId="25" fillId="2" borderId="23" xfId="2" applyNumberFormat="1" applyFont="1" applyFill="1" applyBorder="1" applyAlignment="1" applyProtection="1">
      <alignment horizontal="left" vertical="center"/>
    </xf>
    <xf numFmtId="170" fontId="25" fillId="2" borderId="24" xfId="2" applyNumberFormat="1" applyFont="1" applyFill="1" applyBorder="1" applyAlignment="1">
      <alignment vertical="center"/>
    </xf>
    <xf numFmtId="169" fontId="25" fillId="2" borderId="0" xfId="2" applyNumberFormat="1" applyFont="1" applyFill="1" applyBorder="1" applyAlignment="1" applyProtection="1">
      <alignment horizontal="left" vertical="center"/>
    </xf>
    <xf numFmtId="0" fontId="3" fillId="2" borderId="0" xfId="0" applyFont="1" applyFill="1" applyBorder="1"/>
    <xf numFmtId="169" fontId="24" fillId="2" borderId="2" xfId="2" applyNumberFormat="1" applyFont="1" applyFill="1" applyBorder="1" applyAlignment="1" applyProtection="1">
      <alignment horizontal="left" vertical="center"/>
    </xf>
    <xf numFmtId="170" fontId="25" fillId="2" borderId="10" xfId="2" applyNumberFormat="1" applyFont="1" applyFill="1" applyBorder="1" applyAlignment="1">
      <alignment vertical="center"/>
    </xf>
    <xf numFmtId="49" fontId="20" fillId="2" borderId="19" xfId="0" applyNumberFormat="1" applyFont="1" applyFill="1" applyBorder="1" applyAlignment="1" applyProtection="1">
      <alignment horizontal="right" vertical="center"/>
    </xf>
    <xf numFmtId="170" fontId="21" fillId="2" borderId="9" xfId="2" applyNumberFormat="1" applyFont="1" applyFill="1" applyBorder="1" applyAlignment="1">
      <alignment vertical="center"/>
    </xf>
    <xf numFmtId="170" fontId="25" fillId="2" borderId="2" xfId="2" applyNumberFormat="1" applyFont="1" applyFill="1" applyBorder="1" applyAlignment="1">
      <alignment vertical="center"/>
    </xf>
    <xf numFmtId="170" fontId="25" fillId="2" borderId="14" xfId="2" applyNumberFormat="1" applyFont="1" applyFill="1" applyBorder="1" applyAlignment="1" applyProtection="1">
      <alignment horizontal="right" vertical="center"/>
    </xf>
    <xf numFmtId="170" fontId="25" fillId="2" borderId="25" xfId="2" applyNumberFormat="1" applyFont="1" applyFill="1" applyBorder="1" applyAlignment="1" applyProtection="1">
      <alignment horizontal="right" vertical="center"/>
    </xf>
    <xf numFmtId="170" fontId="25" fillId="2" borderId="26" xfId="2" applyNumberFormat="1" applyFont="1" applyFill="1" applyBorder="1" applyAlignment="1" applyProtection="1">
      <alignment horizontal="right" vertical="center"/>
    </xf>
    <xf numFmtId="170" fontId="25" fillId="2" borderId="7" xfId="2" applyNumberFormat="1" applyFont="1" applyFill="1" applyBorder="1" applyAlignment="1" applyProtection="1">
      <alignment horizontal="right" vertical="center"/>
    </xf>
    <xf numFmtId="0" fontId="9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left" vertical="center" wrapText="1"/>
    </xf>
    <xf numFmtId="0" fontId="19" fillId="2" borderId="0" xfId="0" applyFont="1" applyFill="1" applyBorder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left" vertical="center"/>
    </xf>
    <xf numFmtId="0" fontId="9" fillId="2" borderId="20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20" fillId="2" borderId="5" xfId="0" applyFont="1" applyFill="1" applyBorder="1" applyAlignment="1" applyProtection="1">
      <alignment horizontal="left" vertical="center" wrapText="1"/>
    </xf>
    <xf numFmtId="0" fontId="20" fillId="2" borderId="0" xfId="0" applyFont="1" applyFill="1" applyBorder="1" applyAlignment="1" applyProtection="1">
      <alignment horizontal="left" vertical="center"/>
    </xf>
    <xf numFmtId="0" fontId="20" fillId="2" borderId="2" xfId="0" applyFont="1" applyFill="1" applyBorder="1" applyAlignment="1" applyProtection="1">
      <alignment horizontal="left" vertical="center"/>
    </xf>
    <xf numFmtId="0" fontId="0" fillId="2" borderId="5" xfId="0" applyFill="1" applyBorder="1"/>
    <xf numFmtId="0" fontId="0" fillId="2" borderId="21" xfId="0" applyFill="1" applyBorder="1"/>
    <xf numFmtId="0" fontId="11" fillId="2" borderId="22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</cellXfs>
  <cellStyles count="13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Normal_TABLE456" xfId="10"/>
    <cellStyle name="Percent 2" xfId="11"/>
    <cellStyle name="Percent 2 2" xfId="12"/>
  </cellStyles>
  <dxfs count="0"/>
  <tableStyles count="0" defaultTableStyle="TableStyleMedium9" defaultPivotStyle="PivotStyleLight16"/>
  <colors>
    <mruColors>
      <color rgb="FFFF3333"/>
      <color rgb="FFFF8989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10.1: Top ten tourism markets,</a:t>
            </a:r>
            <a:r>
              <a:rPr lang="en-US" sz="1100" baseline="0"/>
              <a:t> 2013</a:t>
            </a:r>
            <a:endParaRPr lang="en-US" sz="1100"/>
          </a:p>
        </c:rich>
      </c:tx>
      <c:layout>
        <c:manualLayout>
          <c:xMode val="edge"/>
          <c:yMode val="edge"/>
          <c:x val="0.29422206717831212"/>
          <c:y val="3.4806836436415405E-2"/>
        </c:manualLayout>
      </c:layout>
    </c:title>
    <c:plotArea>
      <c:layout>
        <c:manualLayout>
          <c:layoutTarget val="inner"/>
          <c:xMode val="edge"/>
          <c:yMode val="edge"/>
          <c:x val="0.11748678189842189"/>
          <c:y val="0.16352145380463523"/>
          <c:w val="0.85484533984672961"/>
          <c:h val="0.5609224916321297"/>
        </c:manualLayout>
      </c:layout>
      <c:barChart>
        <c:barDir val="col"/>
        <c:grouping val="clustered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cat>
            <c:strRef>
              <c:f>'10.1'!$AC$83:$AC$92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India</c:v>
                </c:pt>
                <c:pt idx="8">
                  <c:v>   Switzerland</c:v>
                </c:pt>
                <c:pt idx="9">
                  <c:v>   Korea</c:v>
                </c:pt>
              </c:strCache>
            </c:strRef>
          </c:cat>
          <c:val>
            <c:numRef>
              <c:f>'10.1'!$AD$83:$AD$92</c:f>
              <c:numCache>
                <c:formatCode>#,##0;[Red]#,##0</c:formatCode>
                <c:ptCount val="10"/>
                <c:pt idx="0">
                  <c:v>331719</c:v>
                </c:pt>
                <c:pt idx="1">
                  <c:v>93598</c:v>
                </c:pt>
                <c:pt idx="2">
                  <c:v>85869</c:v>
                </c:pt>
                <c:pt idx="3">
                  <c:v>76479</c:v>
                </c:pt>
                <c:pt idx="4">
                  <c:v>57854</c:v>
                </c:pt>
                <c:pt idx="5">
                  <c:v>54328</c:v>
                </c:pt>
                <c:pt idx="6">
                  <c:v>39463</c:v>
                </c:pt>
                <c:pt idx="7">
                  <c:v>38014</c:v>
                </c:pt>
                <c:pt idx="8">
                  <c:v>34102</c:v>
                </c:pt>
                <c:pt idx="9">
                  <c:v>30306</c:v>
                </c:pt>
              </c:numCache>
            </c:numRef>
          </c:val>
        </c:ser>
        <c:gapWidth val="70"/>
        <c:axId val="66059648"/>
        <c:axId val="67396736"/>
      </c:barChart>
      <c:catAx>
        <c:axId val="6605964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67396736"/>
        <c:crosses val="autoZero"/>
        <c:auto val="1"/>
        <c:lblAlgn val="ctr"/>
        <c:lblOffset val="100"/>
      </c:catAx>
      <c:valAx>
        <c:axId val="67396736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Number of tourists</a:t>
                </a:r>
              </a:p>
            </c:rich>
          </c:tx>
          <c:layout>
            <c:manualLayout>
              <c:xMode val="edge"/>
              <c:yMode val="edge"/>
              <c:x val="1.083989501312336E-2"/>
              <c:y val="8.016538066520966E-2"/>
            </c:manualLayout>
          </c:layout>
        </c:title>
        <c:numFmt formatCode="#,##0" sourceLinked="0"/>
        <c:tickLblPos val="nextTo"/>
        <c:crossAx val="6605964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</c:chart>
  <c:spPr>
    <a:solidFill>
      <a:schemeClr val="accent5">
        <a:lumMod val="60000"/>
        <a:lumOff val="40000"/>
      </a:schemeClr>
    </a:solidFill>
  </c:sp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10.2: Chinese</a:t>
            </a:r>
            <a:r>
              <a:rPr lang="en-US" sz="1200" baseline="0"/>
              <a:t>  tourist arrival market, 2008 - 2013</a:t>
            </a:r>
            <a:r>
              <a:rPr lang="en-US" sz="1200"/>
              <a:t> </a:t>
            </a:r>
          </a:p>
        </c:rich>
      </c:tx>
      <c:layout>
        <c:manualLayout>
          <c:xMode val="edge"/>
          <c:yMode val="edge"/>
          <c:x val="0.2283247638209262"/>
          <c:y val="3.7141477716623329E-2"/>
        </c:manualLayout>
      </c:layout>
    </c:title>
    <c:plotArea>
      <c:layout>
        <c:manualLayout>
          <c:layoutTarget val="inner"/>
          <c:xMode val="edge"/>
          <c:yMode val="edge"/>
          <c:x val="0.1183113175217726"/>
          <c:y val="0.17562935067899124"/>
          <c:w val="0.8577636027436607"/>
          <c:h val="0.69272588418086645"/>
        </c:manualLayout>
      </c:layout>
      <c:barChart>
        <c:barDir val="col"/>
        <c:grouping val="clustered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cat>
            <c:strRef>
              <c:f>'10.1'!$AB$63:$AG$63</c:f>
              <c:strCache>
                <c:ptCount val="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</c:strCache>
            </c:strRef>
          </c:cat>
          <c:val>
            <c:numRef>
              <c:f>'10.1'!$AB$65:$AG$65</c:f>
              <c:numCache>
                <c:formatCode>#,##0;[Red]#,##0</c:formatCode>
                <c:ptCount val="6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  <c:pt idx="5">
                  <c:v>331719</c:v>
                </c:pt>
              </c:numCache>
            </c:numRef>
          </c:val>
        </c:ser>
        <c:axId val="67420160"/>
        <c:axId val="67421696"/>
      </c:barChart>
      <c:catAx>
        <c:axId val="67420160"/>
        <c:scaling>
          <c:orientation val="minMax"/>
        </c:scaling>
        <c:axPos val="b"/>
        <c:numFmt formatCode="@" sourceLinked="1"/>
        <c:majorTickMark val="none"/>
        <c:tickLblPos val="nextTo"/>
        <c:crossAx val="67421696"/>
        <c:crosses val="autoZero"/>
        <c:auto val="1"/>
        <c:lblAlgn val="ctr"/>
        <c:lblOffset val="100"/>
      </c:catAx>
      <c:valAx>
        <c:axId val="67421696"/>
        <c:scaling>
          <c:orientation val="minMax"/>
        </c:scaling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Number of tourists </a:t>
                </a:r>
              </a:p>
            </c:rich>
          </c:tx>
          <c:layout>
            <c:manualLayout>
              <c:xMode val="edge"/>
              <c:yMode val="edge"/>
              <c:x val="6.5250834182004874E-3"/>
              <c:y val="9.1687602594826348E-2"/>
            </c:manualLayout>
          </c:layout>
        </c:title>
        <c:numFmt formatCode="#,##0;[Red]#,##0" sourceLinked="1"/>
        <c:tickLblPos val="nextTo"/>
        <c:crossAx val="6742016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</c:chart>
  <c:spPr>
    <a:solidFill>
      <a:schemeClr val="accent5">
        <a:lumMod val="60000"/>
        <a:lumOff val="40000"/>
      </a:schemeClr>
    </a:solidFill>
  </c:spPr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583333333333368"/>
          <c:y val="0.11342592592592604"/>
          <c:w val="0.82083333333333364"/>
          <c:h val="0.51157407407407463"/>
        </c:manualLayout>
      </c:layout>
      <c:barChart>
        <c:barDir val="col"/>
        <c:grouping val="clustered"/>
        <c:ser>
          <c:idx val="0"/>
          <c:order val="0"/>
          <c:dLbls>
            <c:showVal val="1"/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axId val="64300928"/>
        <c:axId val="64302464"/>
      </c:barChart>
      <c:catAx>
        <c:axId val="64300928"/>
        <c:scaling>
          <c:orientation val="minMax"/>
        </c:scaling>
        <c:axPos val="b"/>
        <c:numFmt formatCode="General" sourceLinked="1"/>
        <c:tickLblPos val="nextTo"/>
        <c:crossAx val="64302464"/>
        <c:crosses val="autoZero"/>
        <c:auto val="1"/>
        <c:lblAlgn val="ctr"/>
        <c:lblOffset val="100"/>
      </c:catAx>
      <c:valAx>
        <c:axId val="64302464"/>
        <c:scaling>
          <c:orientation val="minMax"/>
        </c:scaling>
        <c:axPos val="l"/>
        <c:majorGridlines/>
        <c:numFmt formatCode="#,##0;[Red]#,##0" sourceLinked="1"/>
        <c:tickLblPos val="nextTo"/>
        <c:crossAx val="64300928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057"/>
          <c:h val="0.68259988334791477"/>
        </c:manualLayout>
      </c:layout>
      <c:barChart>
        <c:barDir val="col"/>
        <c:grouping val="clustered"/>
        <c:ser>
          <c:idx val="0"/>
          <c:order val="0"/>
          <c:dLbls>
            <c:dLblPos val="outEnd"/>
            <c:showVal val="1"/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axId val="64334464"/>
        <c:axId val="64336256"/>
      </c:barChart>
      <c:catAx>
        <c:axId val="64334464"/>
        <c:scaling>
          <c:orientation val="minMax"/>
        </c:scaling>
        <c:axPos val="b"/>
        <c:numFmt formatCode="General" sourceLinked="1"/>
        <c:tickLblPos val="nextTo"/>
        <c:crossAx val="64336256"/>
        <c:crosses val="autoZero"/>
        <c:auto val="1"/>
        <c:lblAlgn val="ctr"/>
        <c:lblOffset val="100"/>
      </c:catAx>
      <c:valAx>
        <c:axId val="64336256"/>
        <c:scaling>
          <c:orientation val="minMax"/>
        </c:scaling>
        <c:axPos val="l"/>
        <c:numFmt formatCode="General" sourceLinked="1"/>
        <c:tickLblPos val="nextTo"/>
        <c:crossAx val="64334464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72</xdr:row>
      <xdr:rowOff>95250</xdr:rowOff>
    </xdr:from>
    <xdr:to>
      <xdr:col>10</xdr:col>
      <xdr:colOff>161925</xdr:colOff>
      <xdr:row>90</xdr:row>
      <xdr:rowOff>28575</xdr:rowOff>
    </xdr:to>
    <xdr:graphicFrame macro="">
      <xdr:nvGraphicFramePr>
        <xdr:cNvPr id="232768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409575</xdr:colOff>
      <xdr:row>72</xdr:row>
      <xdr:rowOff>95250</xdr:rowOff>
    </xdr:from>
    <xdr:to>
      <xdr:col>21</xdr:col>
      <xdr:colOff>1247775</xdr:colOff>
      <xdr:row>90</xdr:row>
      <xdr:rowOff>28575</xdr:rowOff>
    </xdr:to>
    <xdr:graphicFrame macro="">
      <xdr:nvGraphicFramePr>
        <xdr:cNvPr id="232768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AJ92"/>
  <sheetViews>
    <sheetView showGridLines="0" tabSelected="1" view="pageBreakPreview" zoomScale="88" zoomScaleSheetLayoutView="88" workbookViewId="0">
      <selection activeCell="G6" sqref="G6"/>
    </sheetView>
  </sheetViews>
  <sheetFormatPr defaultColWidth="9.109375" defaultRowHeight="13.2"/>
  <cols>
    <col min="1" max="1" width="21" style="1" customWidth="1"/>
    <col min="2" max="2" width="8.109375" style="1" customWidth="1"/>
    <col min="3" max="4" width="8.6640625" style="1" customWidth="1"/>
    <col min="5" max="6" width="9.109375" style="1" customWidth="1"/>
    <col min="7" max="7" width="9.88671875" style="1" customWidth="1"/>
    <col min="8" max="8" width="1.33203125" style="1" customWidth="1"/>
    <col min="9" max="10" width="7" style="1" customWidth="1"/>
    <col min="11" max="11" width="7.88671875" style="1" customWidth="1"/>
    <col min="12" max="14" width="7.88671875" style="9" customWidth="1"/>
    <col min="15" max="15" width="1.44140625" style="9" customWidth="1"/>
    <col min="16" max="16" width="7" style="9" customWidth="1"/>
    <col min="17" max="18" width="7.33203125" style="9" customWidth="1"/>
    <col min="19" max="21" width="7.88671875" style="9" customWidth="1"/>
    <col min="22" max="22" width="19.109375" style="1" customWidth="1"/>
    <col min="23" max="23" width="1.44140625" style="1" customWidth="1"/>
    <col min="24" max="25" width="9.109375" style="1"/>
    <col min="26" max="26" width="56.44140625" style="1" customWidth="1"/>
    <col min="27" max="16384" width="9.109375" style="1"/>
  </cols>
  <sheetData>
    <row r="1" spans="1:23" s="80" customFormat="1" ht="15.75" customHeight="1">
      <c r="A1" s="99" t="s">
        <v>140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</row>
    <row r="2" spans="1:23" ht="15.75" customHeight="1">
      <c r="A2" s="100" t="s">
        <v>141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</row>
    <row r="3" spans="1:23" ht="7.5" customHeight="1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14"/>
      <c r="M3" s="14"/>
      <c r="N3" s="14"/>
      <c r="O3" s="14"/>
      <c r="P3" s="14"/>
      <c r="Q3" s="14"/>
      <c r="R3" s="14"/>
      <c r="S3" s="14"/>
      <c r="T3" s="14"/>
      <c r="U3" s="14"/>
      <c r="V3" s="83"/>
    </row>
    <row r="4" spans="1:23" ht="21" customHeight="1">
      <c r="A4" s="101" t="s">
        <v>138</v>
      </c>
      <c r="B4" s="108" t="s">
        <v>8</v>
      </c>
      <c r="C4" s="108"/>
      <c r="D4" s="108"/>
      <c r="E4" s="108"/>
      <c r="F4" s="108"/>
      <c r="G4" s="108"/>
      <c r="H4" s="84"/>
      <c r="I4" s="104" t="s">
        <v>9</v>
      </c>
      <c r="J4" s="105"/>
      <c r="K4" s="105"/>
      <c r="L4" s="105"/>
      <c r="M4" s="105"/>
      <c r="N4" s="105"/>
      <c r="O4" s="47"/>
      <c r="P4" s="111" t="s">
        <v>128</v>
      </c>
      <c r="Q4" s="112"/>
      <c r="R4" s="112"/>
      <c r="S4" s="112"/>
      <c r="T4" s="112"/>
      <c r="U4" s="112"/>
      <c r="V4" s="19" t="s">
        <v>129</v>
      </c>
    </row>
    <row r="5" spans="1:23" ht="13.5" customHeight="1">
      <c r="A5" s="102"/>
      <c r="B5" s="107" t="s">
        <v>123</v>
      </c>
      <c r="C5" s="107"/>
      <c r="D5" s="107"/>
      <c r="E5" s="107"/>
      <c r="F5" s="107"/>
      <c r="G5" s="107"/>
      <c r="H5" s="82"/>
      <c r="I5" s="106" t="s">
        <v>124</v>
      </c>
      <c r="J5" s="107"/>
      <c r="K5" s="107"/>
      <c r="L5" s="107"/>
      <c r="M5" s="107"/>
      <c r="N5" s="107"/>
      <c r="O5" s="48"/>
      <c r="P5" s="109" t="s">
        <v>125</v>
      </c>
      <c r="Q5" s="110"/>
      <c r="R5" s="110"/>
      <c r="S5" s="110"/>
      <c r="T5" s="110"/>
      <c r="U5" s="110"/>
      <c r="V5" s="20" t="s">
        <v>126</v>
      </c>
    </row>
    <row r="6" spans="1:23" s="10" customFormat="1" ht="15" customHeight="1">
      <c r="A6" s="103"/>
      <c r="B6" s="2" t="s">
        <v>6</v>
      </c>
      <c r="C6" s="2" t="s">
        <v>10</v>
      </c>
      <c r="D6" s="2" t="s">
        <v>122</v>
      </c>
      <c r="E6" s="2" t="s">
        <v>127</v>
      </c>
      <c r="F6" s="2" t="s">
        <v>130</v>
      </c>
      <c r="G6" s="2" t="s">
        <v>139</v>
      </c>
      <c r="H6" s="77"/>
      <c r="I6" s="16">
        <v>2008</v>
      </c>
      <c r="J6" s="3">
        <v>2009</v>
      </c>
      <c r="K6" s="3">
        <v>2010</v>
      </c>
      <c r="L6" s="11">
        <v>2011</v>
      </c>
      <c r="M6" s="11">
        <v>2012</v>
      </c>
      <c r="N6" s="11">
        <v>2013</v>
      </c>
      <c r="O6" s="79"/>
      <c r="P6" s="16">
        <v>2008</v>
      </c>
      <c r="Q6" s="3">
        <v>2009</v>
      </c>
      <c r="R6" s="3">
        <v>2010</v>
      </c>
      <c r="S6" s="3">
        <v>2011</v>
      </c>
      <c r="T6" s="3">
        <v>2012</v>
      </c>
      <c r="U6" s="3">
        <v>2013</v>
      </c>
      <c r="V6" s="21"/>
    </row>
    <row r="7" spans="1:23" s="10" customFormat="1" ht="18" customHeight="1">
      <c r="A7" s="22" t="s">
        <v>0</v>
      </c>
      <c r="B7" s="23">
        <f t="shared" ref="B7:F7" si="0">B8+B35+B50+B53+B58+B62</f>
        <v>683012</v>
      </c>
      <c r="C7" s="23">
        <f t="shared" si="0"/>
        <v>655852</v>
      </c>
      <c r="D7" s="23">
        <f t="shared" si="0"/>
        <v>791917</v>
      </c>
      <c r="E7" s="23">
        <f t="shared" si="0"/>
        <v>931333</v>
      </c>
      <c r="F7" s="23">
        <f t="shared" si="0"/>
        <v>958025</v>
      </c>
      <c r="G7" s="23">
        <f>G8+G35+G50+G53+G58+G62+G68+G69</f>
        <v>1125202</v>
      </c>
      <c r="H7" s="23"/>
      <c r="I7" s="24">
        <f t="shared" ref="I7:N7" si="1">B7/B$7*100</f>
        <v>100</v>
      </c>
      <c r="J7" s="23">
        <f t="shared" si="1"/>
        <v>100</v>
      </c>
      <c r="K7" s="23">
        <f t="shared" si="1"/>
        <v>100</v>
      </c>
      <c r="L7" s="23">
        <f t="shared" si="1"/>
        <v>100</v>
      </c>
      <c r="M7" s="78">
        <f t="shared" si="1"/>
        <v>100</v>
      </c>
      <c r="N7" s="78">
        <f t="shared" si="1"/>
        <v>100</v>
      </c>
      <c r="O7" s="25"/>
      <c r="P7" s="26">
        <v>1.05387127176208</v>
      </c>
      <c r="Q7" s="27">
        <f>(C7-B7)/B7*100</f>
        <v>-3.9765040731348789</v>
      </c>
      <c r="R7" s="27">
        <f>(D7-C7)/C7*100</f>
        <v>20.746296420533902</v>
      </c>
      <c r="S7" s="27">
        <f>(E7-D7)/D7*100</f>
        <v>17.604875258391978</v>
      </c>
      <c r="T7" s="27">
        <f>(F7-E7)/E7*100</f>
        <v>2.8659995941301339</v>
      </c>
      <c r="U7" s="27">
        <f>(G7-F7)/F7*100</f>
        <v>17.450170924558336</v>
      </c>
      <c r="V7" s="28" t="s">
        <v>67</v>
      </c>
      <c r="W7" s="15"/>
    </row>
    <row r="8" spans="1:23" s="10" customFormat="1" ht="18" customHeight="1">
      <c r="A8" s="22" t="s">
        <v>1</v>
      </c>
      <c r="B8" s="23">
        <f t="shared" ref="B8:F8" si="2">SUM(B9:B34)</f>
        <v>497565</v>
      </c>
      <c r="C8" s="23">
        <f t="shared" si="2"/>
        <v>462192</v>
      </c>
      <c r="D8" s="23">
        <f t="shared" si="2"/>
        <v>505421</v>
      </c>
      <c r="E8" s="23">
        <f t="shared" si="2"/>
        <v>537757</v>
      </c>
      <c r="F8" s="23">
        <f t="shared" si="2"/>
        <v>517807</v>
      </c>
      <c r="G8" s="23">
        <f>SUM(G9:G34)</f>
        <v>527274</v>
      </c>
      <c r="H8" s="23"/>
      <c r="I8" s="29">
        <f t="shared" ref="I8:M38" si="3">B8/B$7*100</f>
        <v>72.848646875896762</v>
      </c>
      <c r="J8" s="30">
        <f t="shared" si="3"/>
        <v>70.471996730969792</v>
      </c>
      <c r="K8" s="30">
        <f t="shared" si="3"/>
        <v>63.82247129434019</v>
      </c>
      <c r="L8" s="30">
        <f t="shared" si="3"/>
        <v>57.740571847019275</v>
      </c>
      <c r="M8" s="27">
        <f t="shared" si="3"/>
        <v>54.049424597479188</v>
      </c>
      <c r="N8" s="27">
        <f>G8/G$7*100</f>
        <v>46.860385957365878</v>
      </c>
      <c r="O8" s="31"/>
      <c r="P8" s="26">
        <v>0.44290037164064899</v>
      </c>
      <c r="Q8" s="27">
        <f>(C8-B8)/B8*100</f>
        <v>-7.1092219107051342</v>
      </c>
      <c r="R8" s="27">
        <f t="shared" ref="R8:U67" si="4">(D8-C8)/C8*100</f>
        <v>9.3530394295011607</v>
      </c>
      <c r="S8" s="27">
        <f t="shared" si="4"/>
        <v>6.3978346764380589</v>
      </c>
      <c r="T8" s="27">
        <f t="shared" si="4"/>
        <v>-3.70985407907289</v>
      </c>
      <c r="U8" s="27">
        <f>(G8-F8)/F8*100</f>
        <v>1.8282873734808529</v>
      </c>
      <c r="V8" s="32" t="s">
        <v>68</v>
      </c>
    </row>
    <row r="9" spans="1:23" ht="18" customHeight="1">
      <c r="A9" s="33" t="s">
        <v>11</v>
      </c>
      <c r="B9" s="34">
        <v>13462</v>
      </c>
      <c r="C9" s="34">
        <v>13274</v>
      </c>
      <c r="D9" s="35">
        <v>14944</v>
      </c>
      <c r="E9" s="35">
        <v>16655</v>
      </c>
      <c r="F9" s="35">
        <v>18164</v>
      </c>
      <c r="G9" s="35">
        <v>18140</v>
      </c>
      <c r="H9" s="35"/>
      <c r="I9" s="36">
        <f t="shared" si="3"/>
        <v>1.9709756197548507</v>
      </c>
      <c r="J9" s="37">
        <f t="shared" si="3"/>
        <v>2.0239322286125527</v>
      </c>
      <c r="K9" s="37">
        <f t="shared" si="3"/>
        <v>1.8870664476201422</v>
      </c>
      <c r="L9" s="37">
        <f t="shared" si="3"/>
        <v>1.7882969893690013</v>
      </c>
      <c r="M9" s="40">
        <f t="shared" si="3"/>
        <v>1.8959839252629107</v>
      </c>
      <c r="N9" s="40">
        <f>G9/G$7*100</f>
        <v>1.6121549730626146</v>
      </c>
      <c r="O9" s="38"/>
      <c r="P9" s="39">
        <v>-1.5431873034447401</v>
      </c>
      <c r="Q9" s="40">
        <f>(C9-B9)/B9*100</f>
        <v>-1.3965235477640767</v>
      </c>
      <c r="R9" s="40">
        <f>(D9-C9)/C9*100</f>
        <v>12.580985384963087</v>
      </c>
      <c r="S9" s="40">
        <f t="shared" si="4"/>
        <v>11.44941113490364</v>
      </c>
      <c r="T9" s="40">
        <f>(F9-E9)/E9*100</f>
        <v>9.0603422395676976</v>
      </c>
      <c r="U9" s="40">
        <f t="shared" ref="U9:U24" si="5">(G9-F9)/F9*100</f>
        <v>-0.13212948689715923</v>
      </c>
      <c r="V9" s="41" t="s">
        <v>66</v>
      </c>
    </row>
    <row r="10" spans="1:23" ht="18" customHeight="1">
      <c r="A10" s="33" t="s">
        <v>12</v>
      </c>
      <c r="B10" s="34">
        <v>3368</v>
      </c>
      <c r="C10" s="34">
        <v>3437</v>
      </c>
      <c r="D10" s="35">
        <v>4386</v>
      </c>
      <c r="E10" s="35">
        <v>5738</v>
      </c>
      <c r="F10" s="35">
        <v>1509</v>
      </c>
      <c r="G10" s="35">
        <v>5130</v>
      </c>
      <c r="H10" s="35"/>
      <c r="I10" s="36">
        <f t="shared" si="3"/>
        <v>0.49310993071864034</v>
      </c>
      <c r="J10" s="37">
        <f t="shared" si="3"/>
        <v>0.52405115788318091</v>
      </c>
      <c r="K10" s="37">
        <f t="shared" si="3"/>
        <v>0.55384592072148975</v>
      </c>
      <c r="L10" s="37">
        <f t="shared" si="3"/>
        <v>0.61610616181322897</v>
      </c>
      <c r="M10" s="40">
        <f t="shared" si="3"/>
        <v>0.15751154719344485</v>
      </c>
      <c r="N10" s="40">
        <f t="shared" ref="N10:N39" si="6">G10/G$7*100</f>
        <v>0.45591813736555753</v>
      </c>
      <c r="O10" s="38"/>
      <c r="P10" s="39">
        <v>-5.1801801801801801</v>
      </c>
      <c r="Q10" s="40">
        <f t="shared" ref="Q10:Q67" si="7">(C10-B10)/B10*100</f>
        <v>2.0486935866983371</v>
      </c>
      <c r="R10" s="40">
        <f t="shared" si="4"/>
        <v>27.611288914751235</v>
      </c>
      <c r="S10" s="40">
        <f t="shared" si="4"/>
        <v>30.825353397172822</v>
      </c>
      <c r="T10" s="40">
        <f t="shared" si="4"/>
        <v>-73.701638201463922</v>
      </c>
      <c r="U10" s="40">
        <f t="shared" si="5"/>
        <v>239.96023856858847</v>
      </c>
      <c r="V10" s="41" t="s">
        <v>69</v>
      </c>
    </row>
    <row r="11" spans="1:23" ht="18" customHeight="1">
      <c r="A11" s="33" t="s">
        <v>13</v>
      </c>
      <c r="B11" s="34">
        <v>3811</v>
      </c>
      <c r="C11" s="34">
        <v>3851</v>
      </c>
      <c r="D11" s="35">
        <v>5137</v>
      </c>
      <c r="E11" s="35">
        <v>6471</v>
      </c>
      <c r="F11" s="35">
        <v>5588</v>
      </c>
      <c r="G11" s="35">
        <v>6421</v>
      </c>
      <c r="H11" s="35"/>
      <c r="I11" s="36">
        <f t="shared" si="3"/>
        <v>0.55796969892183446</v>
      </c>
      <c r="J11" s="37">
        <f t="shared" si="3"/>
        <v>0.58717515537041887</v>
      </c>
      <c r="K11" s="37">
        <f t="shared" si="3"/>
        <v>0.64867909136942381</v>
      </c>
      <c r="L11" s="37">
        <f t="shared" si="3"/>
        <v>0.69481055648194578</v>
      </c>
      <c r="M11" s="40">
        <f t="shared" si="3"/>
        <v>0.58328331724119931</v>
      </c>
      <c r="N11" s="40">
        <f t="shared" si="6"/>
        <v>0.57065309162265976</v>
      </c>
      <c r="O11" s="38"/>
      <c r="P11" s="39">
        <v>37.780187997107738</v>
      </c>
      <c r="Q11" s="40">
        <f t="shared" si="7"/>
        <v>1.0495932826029915</v>
      </c>
      <c r="R11" s="40">
        <f t="shared" si="4"/>
        <v>33.393923656193195</v>
      </c>
      <c r="S11" s="40">
        <f t="shared" si="4"/>
        <v>25.968464084095778</v>
      </c>
      <c r="T11" s="40">
        <f t="shared" si="4"/>
        <v>-13.645495286663575</v>
      </c>
      <c r="U11" s="40">
        <f t="shared" si="5"/>
        <v>14.906943450250537</v>
      </c>
      <c r="V11" s="41" t="s">
        <v>70</v>
      </c>
    </row>
    <row r="12" spans="1:23" ht="18" customHeight="1">
      <c r="A12" s="33" t="s">
        <v>14</v>
      </c>
      <c r="B12" s="34">
        <v>1834</v>
      </c>
      <c r="C12" s="34">
        <v>1722</v>
      </c>
      <c r="D12" s="35">
        <v>2422</v>
      </c>
      <c r="E12" s="35">
        <v>3173</v>
      </c>
      <c r="F12" s="35">
        <v>3493</v>
      </c>
      <c r="G12" s="35">
        <v>4055</v>
      </c>
      <c r="H12" s="35"/>
      <c r="I12" s="36">
        <f t="shared" si="3"/>
        <v>0.26851651215498412</v>
      </c>
      <c r="J12" s="37">
        <f t="shared" si="3"/>
        <v>0.26255923592517821</v>
      </c>
      <c r="K12" s="37">
        <f t="shared" si="3"/>
        <v>0.30584013223608031</v>
      </c>
      <c r="L12" s="37">
        <f t="shared" si="3"/>
        <v>0.34069446696294453</v>
      </c>
      <c r="M12" s="40">
        <f t="shared" si="3"/>
        <v>0.36460426398058504</v>
      </c>
      <c r="N12" s="40">
        <f t="shared" si="6"/>
        <v>0.3603797362606892</v>
      </c>
      <c r="O12" s="38"/>
      <c r="P12" s="39">
        <v>0.82462891698735563</v>
      </c>
      <c r="Q12" s="40">
        <f t="shared" si="7"/>
        <v>-6.1068702290076331</v>
      </c>
      <c r="R12" s="40">
        <f t="shared" si="4"/>
        <v>40.650406504065039</v>
      </c>
      <c r="S12" s="40">
        <f t="shared" si="4"/>
        <v>31.007431874483899</v>
      </c>
      <c r="T12" s="40">
        <f>(F12-E12)/E12*100</f>
        <v>10.085092971950834</v>
      </c>
      <c r="U12" s="40">
        <f t="shared" si="5"/>
        <v>16.089321500143143</v>
      </c>
      <c r="V12" s="41" t="s">
        <v>71</v>
      </c>
    </row>
    <row r="13" spans="1:23" ht="18" customHeight="1">
      <c r="A13" s="33" t="s">
        <v>15</v>
      </c>
      <c r="B13" s="34">
        <v>865</v>
      </c>
      <c r="C13" s="34">
        <v>1088</v>
      </c>
      <c r="D13" s="35">
        <v>1281</v>
      </c>
      <c r="E13" s="35">
        <v>1535</v>
      </c>
      <c r="F13" s="35">
        <v>1402</v>
      </c>
      <c r="G13" s="35">
        <v>1549</v>
      </c>
      <c r="H13" s="35"/>
      <c r="I13" s="36">
        <f t="shared" si="3"/>
        <v>0.12664491985499524</v>
      </c>
      <c r="J13" s="37">
        <f t="shared" si="3"/>
        <v>0.16589108518385245</v>
      </c>
      <c r="K13" s="37">
        <f t="shared" si="3"/>
        <v>0.16175937629827367</v>
      </c>
      <c r="L13" s="37">
        <f t="shared" si="3"/>
        <v>0.16481752498837687</v>
      </c>
      <c r="M13" s="40">
        <f t="shared" si="3"/>
        <v>0.14634273635865452</v>
      </c>
      <c r="N13" s="40">
        <f t="shared" si="6"/>
        <v>0.13766417052227067</v>
      </c>
      <c r="O13" s="38"/>
      <c r="P13" s="39">
        <v>9.6324461343472745</v>
      </c>
      <c r="Q13" s="40">
        <f t="shared" si="7"/>
        <v>25.780346820809246</v>
      </c>
      <c r="R13" s="40">
        <f t="shared" si="4"/>
        <v>17.738970588235293</v>
      </c>
      <c r="S13" s="40">
        <f t="shared" si="4"/>
        <v>19.828259172521467</v>
      </c>
      <c r="T13" s="40">
        <f t="shared" si="4"/>
        <v>-8.664495114006515</v>
      </c>
      <c r="U13" s="40">
        <f t="shared" si="5"/>
        <v>10.485021398002853</v>
      </c>
      <c r="V13" s="41" t="s">
        <v>72</v>
      </c>
    </row>
    <row r="14" spans="1:23" ht="18" customHeight="1">
      <c r="A14" s="33" t="s">
        <v>16</v>
      </c>
      <c r="B14" s="34">
        <v>48100</v>
      </c>
      <c r="C14" s="34">
        <v>50373</v>
      </c>
      <c r="D14" s="35">
        <v>54789</v>
      </c>
      <c r="E14" s="35">
        <v>59694</v>
      </c>
      <c r="F14" s="35">
        <v>56775</v>
      </c>
      <c r="G14" s="35">
        <v>54328</v>
      </c>
      <c r="H14" s="35"/>
      <c r="I14" s="36">
        <f t="shared" si="3"/>
        <v>7.0423360058095614</v>
      </c>
      <c r="J14" s="37">
        <f t="shared" si="3"/>
        <v>7.6805437812189332</v>
      </c>
      <c r="K14" s="37">
        <f t="shared" si="3"/>
        <v>6.9185280780687881</v>
      </c>
      <c r="L14" s="37">
        <f t="shared" si="3"/>
        <v>6.409522694890013</v>
      </c>
      <c r="M14" s="40">
        <f t="shared" si="3"/>
        <v>5.9262545340674828</v>
      </c>
      <c r="N14" s="40">
        <f t="shared" si="6"/>
        <v>4.8282886095118922</v>
      </c>
      <c r="O14" s="38"/>
      <c r="P14" s="39">
        <v>6.1786715525043601</v>
      </c>
      <c r="Q14" s="40">
        <f t="shared" si="7"/>
        <v>4.7255717255717258</v>
      </c>
      <c r="R14" s="40">
        <f t="shared" si="4"/>
        <v>8.766601155380858</v>
      </c>
      <c r="S14" s="40">
        <f t="shared" si="4"/>
        <v>8.9525269670919343</v>
      </c>
      <c r="T14" s="40">
        <f t="shared" si="4"/>
        <v>-4.889938687305257</v>
      </c>
      <c r="U14" s="40">
        <f t="shared" si="5"/>
        <v>-4.3099955966534562</v>
      </c>
      <c r="V14" s="41" t="s">
        <v>73</v>
      </c>
    </row>
    <row r="15" spans="1:23" ht="18" customHeight="1">
      <c r="A15" s="33" t="s">
        <v>17</v>
      </c>
      <c r="B15" s="34">
        <v>69240</v>
      </c>
      <c r="C15" s="34">
        <v>69085</v>
      </c>
      <c r="D15" s="35">
        <v>77108</v>
      </c>
      <c r="E15" s="35">
        <v>90517</v>
      </c>
      <c r="F15" s="35">
        <v>98351</v>
      </c>
      <c r="G15" s="35">
        <v>93598</v>
      </c>
      <c r="H15" s="35"/>
      <c r="I15" s="36">
        <f t="shared" si="3"/>
        <v>10.137450000878461</v>
      </c>
      <c r="J15" s="37">
        <f t="shared" si="3"/>
        <v>10.533626488902986</v>
      </c>
      <c r="K15" s="37">
        <f t="shared" si="3"/>
        <v>9.7368789911063924</v>
      </c>
      <c r="L15" s="37">
        <f t="shared" si="3"/>
        <v>9.7190800712527103</v>
      </c>
      <c r="M15" s="40">
        <f t="shared" si="3"/>
        <v>10.266016022546385</v>
      </c>
      <c r="N15" s="40">
        <f t="shared" si="6"/>
        <v>8.3183286201055466</v>
      </c>
      <c r="O15" s="38"/>
      <c r="P15" s="39">
        <v>-4.1912853367280576</v>
      </c>
      <c r="Q15" s="40">
        <f t="shared" si="7"/>
        <v>-0.2238590410167533</v>
      </c>
      <c r="R15" s="40">
        <f t="shared" si="4"/>
        <v>11.613230078888325</v>
      </c>
      <c r="S15" s="40">
        <f t="shared" si="4"/>
        <v>17.389894693157647</v>
      </c>
      <c r="T15" s="40">
        <f t="shared" si="4"/>
        <v>8.654727841179005</v>
      </c>
      <c r="U15" s="40">
        <f t="shared" si="5"/>
        <v>-4.8326910758406116</v>
      </c>
      <c r="V15" s="41" t="s">
        <v>74</v>
      </c>
    </row>
    <row r="16" spans="1:23" ht="18" customHeight="1">
      <c r="A16" s="33" t="s">
        <v>18</v>
      </c>
      <c r="B16" s="34">
        <v>4926</v>
      </c>
      <c r="C16" s="34">
        <v>5406</v>
      </c>
      <c r="D16" s="35">
        <v>4630</v>
      </c>
      <c r="E16" s="35">
        <v>3009</v>
      </c>
      <c r="F16" s="35">
        <v>2058</v>
      </c>
      <c r="G16" s="35">
        <v>1841</v>
      </c>
      <c r="H16" s="35"/>
      <c r="I16" s="36">
        <f t="shared" si="3"/>
        <v>0.72121719676960294</v>
      </c>
      <c r="J16" s="37">
        <f t="shared" si="3"/>
        <v>0.82427132950726678</v>
      </c>
      <c r="K16" s="37">
        <f t="shared" si="3"/>
        <v>0.58465723049258944</v>
      </c>
      <c r="L16" s="37">
        <f t="shared" si="3"/>
        <v>0.32308529816939807</v>
      </c>
      <c r="M16" s="40">
        <f t="shared" si="3"/>
        <v>0.21481694110278959</v>
      </c>
      <c r="N16" s="40">
        <f t="shared" si="6"/>
        <v>0.1636150664502907</v>
      </c>
      <c r="O16" s="38"/>
      <c r="P16" s="39">
        <v>1.5670103092783505</v>
      </c>
      <c r="Q16" s="40">
        <f t="shared" si="7"/>
        <v>9.7442143727161987</v>
      </c>
      <c r="R16" s="40">
        <f t="shared" si="4"/>
        <v>-14.354421013688496</v>
      </c>
      <c r="S16" s="40">
        <f t="shared" si="4"/>
        <v>-35.010799136069117</v>
      </c>
      <c r="T16" s="40">
        <f t="shared" si="4"/>
        <v>-31.605184446660019</v>
      </c>
      <c r="U16" s="40">
        <f t="shared" si="5"/>
        <v>-10.544217687074831</v>
      </c>
      <c r="V16" s="41" t="s">
        <v>75</v>
      </c>
    </row>
    <row r="17" spans="1:22" ht="18" customHeight="1">
      <c r="A17" s="33" t="s">
        <v>19</v>
      </c>
      <c r="B17" s="34">
        <v>2052</v>
      </c>
      <c r="C17" s="34">
        <v>1848</v>
      </c>
      <c r="D17" s="35">
        <v>2434</v>
      </c>
      <c r="E17" s="35">
        <v>2596</v>
      </c>
      <c r="F17" s="35">
        <v>2408</v>
      </c>
      <c r="G17" s="35">
        <v>2796</v>
      </c>
      <c r="H17" s="35"/>
      <c r="I17" s="36">
        <f t="shared" si="3"/>
        <v>0.30043396016468232</v>
      </c>
      <c r="J17" s="37">
        <f t="shared" si="3"/>
        <v>0.28177088733433764</v>
      </c>
      <c r="K17" s="37">
        <f t="shared" si="3"/>
        <v>0.30735544255269176</v>
      </c>
      <c r="L17" s="37">
        <f t="shared" si="3"/>
        <v>0.27874025724418655</v>
      </c>
      <c r="M17" s="40">
        <f t="shared" si="3"/>
        <v>0.25135043448761779</v>
      </c>
      <c r="N17" s="40">
        <f t="shared" si="6"/>
        <v>0.24848871580391788</v>
      </c>
      <c r="O17" s="38"/>
      <c r="P17" s="39">
        <v>-20.093457943925234</v>
      </c>
      <c r="Q17" s="40">
        <f t="shared" si="7"/>
        <v>-9.9415204678362574</v>
      </c>
      <c r="R17" s="40">
        <f t="shared" si="4"/>
        <v>31.70995670995671</v>
      </c>
      <c r="S17" s="40">
        <f t="shared" si="4"/>
        <v>6.6557107641741986</v>
      </c>
      <c r="T17" s="40">
        <f t="shared" si="4"/>
        <v>-7.2419106317411401</v>
      </c>
      <c r="U17" s="40">
        <f t="shared" si="5"/>
        <v>16.112956810631228</v>
      </c>
      <c r="V17" s="41" t="s">
        <v>76</v>
      </c>
    </row>
    <row r="18" spans="1:22" ht="18" customHeight="1">
      <c r="A18" s="33" t="s">
        <v>20</v>
      </c>
      <c r="B18" s="34">
        <v>2884</v>
      </c>
      <c r="C18" s="34">
        <v>2420</v>
      </c>
      <c r="D18" s="35">
        <v>2514</v>
      </c>
      <c r="E18" s="35">
        <v>2444</v>
      </c>
      <c r="F18" s="35">
        <v>2483</v>
      </c>
      <c r="G18" s="35">
        <v>2590</v>
      </c>
      <c r="H18" s="35"/>
      <c r="I18" s="36">
        <f t="shared" si="3"/>
        <v>0.42224733972463147</v>
      </c>
      <c r="J18" s="37">
        <f t="shared" si="3"/>
        <v>0.36898568579496593</v>
      </c>
      <c r="K18" s="37">
        <f t="shared" si="3"/>
        <v>0.31745751133010153</v>
      </c>
      <c r="L18" s="37">
        <f t="shared" si="3"/>
        <v>0.26241956421602153</v>
      </c>
      <c r="M18" s="40">
        <f t="shared" si="3"/>
        <v>0.25917904021293808</v>
      </c>
      <c r="N18" s="40">
        <f t="shared" si="6"/>
        <v>0.23018089196428729</v>
      </c>
      <c r="O18" s="38"/>
      <c r="P18" s="39">
        <v>-8.3862770012706473</v>
      </c>
      <c r="Q18" s="40">
        <f t="shared" si="7"/>
        <v>-16.08876560332871</v>
      </c>
      <c r="R18" s="40">
        <f t="shared" si="4"/>
        <v>3.884297520661157</v>
      </c>
      <c r="S18" s="40">
        <f t="shared" si="4"/>
        <v>-2.7844073190135243</v>
      </c>
      <c r="T18" s="40">
        <f t="shared" si="4"/>
        <v>1.5957446808510638</v>
      </c>
      <c r="U18" s="40">
        <f t="shared" si="5"/>
        <v>4.3093032621828433</v>
      </c>
      <c r="V18" s="41" t="s">
        <v>77</v>
      </c>
    </row>
    <row r="19" spans="1:22" ht="18" customHeight="1">
      <c r="A19" s="33" t="s">
        <v>21</v>
      </c>
      <c r="B19" s="34">
        <v>1588</v>
      </c>
      <c r="C19" s="34">
        <v>1380</v>
      </c>
      <c r="D19" s="35">
        <v>2113</v>
      </c>
      <c r="E19" s="35">
        <v>2433</v>
      </c>
      <c r="F19" s="35">
        <v>2569</v>
      </c>
      <c r="G19" s="35">
        <v>3253</v>
      </c>
      <c r="H19" s="35"/>
      <c r="I19" s="36">
        <f t="shared" si="3"/>
        <v>0.2324995754100953</v>
      </c>
      <c r="J19" s="37">
        <f t="shared" si="3"/>
        <v>0.2104133249574599</v>
      </c>
      <c r="K19" s="37">
        <f t="shared" si="3"/>
        <v>0.26682089158333511</v>
      </c>
      <c r="L19" s="37">
        <f t="shared" si="3"/>
        <v>0.26123846143108859</v>
      </c>
      <c r="M19" s="40">
        <f t="shared" si="3"/>
        <v>0.26815584144463872</v>
      </c>
      <c r="N19" s="40">
        <f t="shared" si="6"/>
        <v>0.28910364538989447</v>
      </c>
      <c r="O19" s="38"/>
      <c r="P19" s="39">
        <v>21.406727828746178</v>
      </c>
      <c r="Q19" s="40">
        <f t="shared" si="7"/>
        <v>-13.09823677581864</v>
      </c>
      <c r="R19" s="40">
        <f t="shared" si="4"/>
        <v>53.115942028985508</v>
      </c>
      <c r="S19" s="40">
        <f t="shared" si="4"/>
        <v>15.144344533838144</v>
      </c>
      <c r="T19" s="40">
        <f t="shared" si="4"/>
        <v>5.589806822852446</v>
      </c>
      <c r="U19" s="40">
        <f t="shared" si="5"/>
        <v>26.625145971195018</v>
      </c>
      <c r="V19" s="41" t="s">
        <v>78</v>
      </c>
    </row>
    <row r="20" spans="1:22" ht="18" customHeight="1">
      <c r="A20" s="33" t="s">
        <v>22</v>
      </c>
      <c r="B20" s="34">
        <v>103824</v>
      </c>
      <c r="C20" s="34">
        <v>89292</v>
      </c>
      <c r="D20" s="35">
        <v>89596</v>
      </c>
      <c r="E20" s="35">
        <v>83088</v>
      </c>
      <c r="F20" s="35">
        <v>62782</v>
      </c>
      <c r="G20" s="35">
        <v>57854</v>
      </c>
      <c r="H20" s="35"/>
      <c r="I20" s="36">
        <f t="shared" si="3"/>
        <v>15.200904230086735</v>
      </c>
      <c r="J20" s="37">
        <f t="shared" si="3"/>
        <v>13.614656965290949</v>
      </c>
      <c r="K20" s="37">
        <f t="shared" si="3"/>
        <v>11.313811927260053</v>
      </c>
      <c r="L20" s="37">
        <f t="shared" si="3"/>
        <v>8.9214061995011438</v>
      </c>
      <c r="M20" s="40">
        <f t="shared" si="3"/>
        <v>6.5532736619608052</v>
      </c>
      <c r="N20" s="40">
        <f t="shared" si="6"/>
        <v>5.1416545651358598</v>
      </c>
      <c r="O20" s="38"/>
      <c r="P20" s="39">
        <v>-11.44772529553247</v>
      </c>
      <c r="Q20" s="40">
        <f t="shared" si="7"/>
        <v>-13.996763754045308</v>
      </c>
      <c r="R20" s="40">
        <f t="shared" si="4"/>
        <v>0.34045603189535456</v>
      </c>
      <c r="S20" s="40">
        <f t="shared" si="4"/>
        <v>-7.2637171302290273</v>
      </c>
      <c r="T20" s="40">
        <f t="shared" si="4"/>
        <v>-24.439148854226843</v>
      </c>
      <c r="U20" s="40">
        <f t="shared" si="5"/>
        <v>-7.8493835812812591</v>
      </c>
      <c r="V20" s="41" t="s">
        <v>79</v>
      </c>
    </row>
    <row r="21" spans="1:22" ht="18" customHeight="1">
      <c r="A21" s="33" t="s">
        <v>23</v>
      </c>
      <c r="B21" s="34">
        <v>5595</v>
      </c>
      <c r="C21" s="34">
        <v>5355</v>
      </c>
      <c r="D21" s="35">
        <v>5682</v>
      </c>
      <c r="E21" s="35">
        <v>5693</v>
      </c>
      <c r="F21" s="35">
        <v>6077</v>
      </c>
      <c r="G21" s="35">
        <v>6453</v>
      </c>
      <c r="H21" s="35"/>
      <c r="I21" s="36">
        <f t="shared" si="3"/>
        <v>0.8191656954782639</v>
      </c>
      <c r="J21" s="37">
        <f t="shared" si="3"/>
        <v>0.81649518488927375</v>
      </c>
      <c r="K21" s="37">
        <f t="shared" si="3"/>
        <v>0.7174994349155277</v>
      </c>
      <c r="L21" s="37">
        <f t="shared" si="3"/>
        <v>0.6112743776930486</v>
      </c>
      <c r="M21" s="40">
        <f t="shared" si="3"/>
        <v>0.6343258265702878</v>
      </c>
      <c r="N21" s="40">
        <f t="shared" si="6"/>
        <v>0.57349702542299075</v>
      </c>
      <c r="O21" s="38"/>
      <c r="P21" s="39">
        <v>-13.644080876678499</v>
      </c>
      <c r="Q21" s="40">
        <f t="shared" si="7"/>
        <v>-4.2895442359249332</v>
      </c>
      <c r="R21" s="40">
        <f t="shared" si="4"/>
        <v>6.1064425770308119</v>
      </c>
      <c r="S21" s="40">
        <f t="shared" si="4"/>
        <v>0.19359380499824005</v>
      </c>
      <c r="T21" s="40">
        <f t="shared" si="4"/>
        <v>6.745125592833304</v>
      </c>
      <c r="U21" s="40">
        <f t="shared" si="5"/>
        <v>6.1872634523613623</v>
      </c>
      <c r="V21" s="41" t="s">
        <v>80</v>
      </c>
    </row>
    <row r="22" spans="1:22" ht="18" customHeight="1">
      <c r="A22" s="33" t="s">
        <v>24</v>
      </c>
      <c r="B22" s="34">
        <v>2596</v>
      </c>
      <c r="C22" s="34">
        <v>2120</v>
      </c>
      <c r="D22" s="35">
        <v>2153</v>
      </c>
      <c r="E22" s="35">
        <v>2775</v>
      </c>
      <c r="F22" s="35">
        <v>2902</v>
      </c>
      <c r="G22" s="35">
        <v>3281</v>
      </c>
      <c r="H22" s="35"/>
      <c r="I22" s="36">
        <f t="shared" si="3"/>
        <v>0.38008116987695678</v>
      </c>
      <c r="J22" s="37">
        <f t="shared" si="3"/>
        <v>0.32324365863030075</v>
      </c>
      <c r="K22" s="37">
        <f t="shared" si="3"/>
        <v>0.27187192597203996</v>
      </c>
      <c r="L22" s="37">
        <f t="shared" si="3"/>
        <v>0.29796002074445982</v>
      </c>
      <c r="M22" s="40">
        <f t="shared" si="3"/>
        <v>0.30291485086506093</v>
      </c>
      <c r="N22" s="40">
        <f t="shared" si="6"/>
        <v>0.29159208746518406</v>
      </c>
      <c r="O22" s="38"/>
      <c r="P22" s="39">
        <v>43.584070796460175</v>
      </c>
      <c r="Q22" s="40">
        <f t="shared" si="7"/>
        <v>-18.335901386748844</v>
      </c>
      <c r="R22" s="40">
        <f t="shared" si="4"/>
        <v>1.5566037735849056</v>
      </c>
      <c r="S22" s="40">
        <f t="shared" si="4"/>
        <v>28.889921040408733</v>
      </c>
      <c r="T22" s="40">
        <f t="shared" si="4"/>
        <v>4.576576576576576</v>
      </c>
      <c r="U22" s="40">
        <f t="shared" si="5"/>
        <v>13.059958649207443</v>
      </c>
      <c r="V22" s="41" t="s">
        <v>81</v>
      </c>
    </row>
    <row r="23" spans="1:22" ht="18" customHeight="1">
      <c r="A23" s="33" t="s">
        <v>25</v>
      </c>
      <c r="B23" s="34">
        <v>3325</v>
      </c>
      <c r="C23" s="34">
        <v>3357</v>
      </c>
      <c r="D23" s="35">
        <v>3795</v>
      </c>
      <c r="E23" s="35">
        <v>4158</v>
      </c>
      <c r="F23" s="35">
        <v>3918</v>
      </c>
      <c r="G23" s="35">
        <v>6668</v>
      </c>
      <c r="H23" s="35"/>
      <c r="I23" s="36">
        <f t="shared" si="3"/>
        <v>0.48681428730388338</v>
      </c>
      <c r="J23" s="37">
        <f t="shared" si="3"/>
        <v>0.51185328397260355</v>
      </c>
      <c r="K23" s="37">
        <f t="shared" si="3"/>
        <v>0.47921688762837517</v>
      </c>
      <c r="L23" s="37">
        <f t="shared" si="3"/>
        <v>0.44645685270467167</v>
      </c>
      <c r="M23" s="40">
        <f t="shared" si="3"/>
        <v>0.40896636309073353</v>
      </c>
      <c r="N23" s="40">
        <f t="shared" si="6"/>
        <v>0.59260470564396439</v>
      </c>
      <c r="O23" s="38"/>
      <c r="P23" s="39">
        <v>25.047010154193305</v>
      </c>
      <c r="Q23" s="40">
        <f t="shared" si="7"/>
        <v>0.96240601503759393</v>
      </c>
      <c r="R23" s="40">
        <f t="shared" si="4"/>
        <v>13.047363717605004</v>
      </c>
      <c r="S23" s="40">
        <f t="shared" si="4"/>
        <v>9.5652173913043477</v>
      </c>
      <c r="T23" s="40">
        <f t="shared" si="4"/>
        <v>-5.7720057720057723</v>
      </c>
      <c r="U23" s="40">
        <f t="shared" si="5"/>
        <v>70.188871873404807</v>
      </c>
      <c r="V23" s="41" t="s">
        <v>82</v>
      </c>
    </row>
    <row r="24" spans="1:22" ht="18" customHeight="1">
      <c r="A24" s="33" t="s">
        <v>26</v>
      </c>
      <c r="B24" s="34">
        <v>4150</v>
      </c>
      <c r="C24" s="34">
        <v>4822</v>
      </c>
      <c r="D24" s="35">
        <v>4555</v>
      </c>
      <c r="E24" s="35">
        <v>4434</v>
      </c>
      <c r="F24" s="35">
        <v>3660</v>
      </c>
      <c r="G24" s="35">
        <v>4617</v>
      </c>
      <c r="H24" s="35"/>
      <c r="I24" s="36">
        <f t="shared" si="3"/>
        <v>0.60760279468003497</v>
      </c>
      <c r="J24" s="37">
        <f t="shared" si="3"/>
        <v>0.73522684996005194</v>
      </c>
      <c r="K24" s="37">
        <f t="shared" si="3"/>
        <v>0.57518654101376787</v>
      </c>
      <c r="L24" s="37">
        <f t="shared" si="3"/>
        <v>0.47609179530844498</v>
      </c>
      <c r="M24" s="40">
        <f t="shared" si="3"/>
        <v>0.38203595939563167</v>
      </c>
      <c r="N24" s="40">
        <f t="shared" si="6"/>
        <v>0.41032632362900173</v>
      </c>
      <c r="O24" s="38"/>
      <c r="P24" s="39">
        <v>-0.90735434574976126</v>
      </c>
      <c r="Q24" s="40">
        <f t="shared" si="7"/>
        <v>16.192771084337348</v>
      </c>
      <c r="R24" s="40">
        <f t="shared" si="4"/>
        <v>-5.5371215263376188</v>
      </c>
      <c r="S24" s="40">
        <f t="shared" si="4"/>
        <v>-2.6564215148188803</v>
      </c>
      <c r="T24" s="40">
        <f>(F24-E24)/E24*100</f>
        <v>-17.456021650879567</v>
      </c>
      <c r="U24" s="40">
        <f t="shared" si="5"/>
        <v>26.147540983606561</v>
      </c>
      <c r="V24" s="41" t="s">
        <v>83</v>
      </c>
    </row>
    <row r="25" spans="1:22" ht="18" customHeight="1">
      <c r="A25" s="33" t="s">
        <v>27</v>
      </c>
      <c r="B25" s="34">
        <v>48978</v>
      </c>
      <c r="C25" s="34">
        <v>40014</v>
      </c>
      <c r="D25" s="35">
        <v>49111</v>
      </c>
      <c r="E25" s="35">
        <v>63936</v>
      </c>
      <c r="F25" s="35">
        <v>66378</v>
      </c>
      <c r="G25" s="35">
        <v>76479</v>
      </c>
      <c r="H25" s="35"/>
      <c r="I25" s="36">
        <f t="shared" si="3"/>
        <v>7.1708842597201814</v>
      </c>
      <c r="J25" s="37">
        <f t="shared" si="3"/>
        <v>6.1010715832230442</v>
      </c>
      <c r="K25" s="37">
        <f t="shared" si="3"/>
        <v>6.2015337465921307</v>
      </c>
      <c r="L25" s="37">
        <f t="shared" si="3"/>
        <v>6.8649988779523534</v>
      </c>
      <c r="M25" s="40">
        <f t="shared" si="3"/>
        <v>6.9286292111374967</v>
      </c>
      <c r="N25" s="40">
        <f t="shared" si="6"/>
        <v>6.7969129098597412</v>
      </c>
      <c r="O25" s="38"/>
      <c r="P25" s="39">
        <v>53.801224682053693</v>
      </c>
      <c r="Q25" s="40">
        <f t="shared" si="7"/>
        <v>-18.302094818081589</v>
      </c>
      <c r="R25" s="40">
        <f t="shared" si="4"/>
        <v>22.734542909981506</v>
      </c>
      <c r="S25" s="40">
        <f t="shared" si="4"/>
        <v>30.186719879456742</v>
      </c>
      <c r="T25" s="40">
        <f t="shared" si="4"/>
        <v>3.8194444444444446</v>
      </c>
      <c r="U25" s="40">
        <f t="shared" si="4"/>
        <v>15.217391304347828</v>
      </c>
      <c r="V25" s="41" t="s">
        <v>84</v>
      </c>
    </row>
    <row r="26" spans="1:22" ht="18" customHeight="1">
      <c r="A26" s="33" t="s">
        <v>28</v>
      </c>
      <c r="B26" s="34">
        <v>1916</v>
      </c>
      <c r="C26" s="34">
        <v>1970</v>
      </c>
      <c r="D26" s="35">
        <v>2348</v>
      </c>
      <c r="E26" s="35">
        <v>2822</v>
      </c>
      <c r="F26" s="35">
        <v>2636</v>
      </c>
      <c r="G26" s="35">
        <v>2758</v>
      </c>
      <c r="H26" s="35"/>
      <c r="I26" s="36">
        <f t="shared" si="3"/>
        <v>0.28052215773661371</v>
      </c>
      <c r="J26" s="37">
        <f t="shared" si="3"/>
        <v>0.30037264504796812</v>
      </c>
      <c r="K26" s="37">
        <f t="shared" si="3"/>
        <v>0.29649571861697627</v>
      </c>
      <c r="L26" s="37">
        <f t="shared" si="3"/>
        <v>0.30300655082553718</v>
      </c>
      <c r="M26" s="40">
        <f t="shared" si="3"/>
        <v>0.27514939589259158</v>
      </c>
      <c r="N26" s="40">
        <f t="shared" si="6"/>
        <v>0.24511154441602487</v>
      </c>
      <c r="O26" s="38"/>
      <c r="P26" s="39">
        <v>30.428863172226006</v>
      </c>
      <c r="Q26" s="40">
        <f t="shared" si="7"/>
        <v>2.8183716075156577</v>
      </c>
      <c r="R26" s="40">
        <f t="shared" si="4"/>
        <v>19.18781725888325</v>
      </c>
      <c r="S26" s="40">
        <f t="shared" si="4"/>
        <v>20.187393526405451</v>
      </c>
      <c r="T26" s="40">
        <f t="shared" si="4"/>
        <v>-6.5910701630049608</v>
      </c>
      <c r="U26" s="40">
        <f t="shared" ref="U26:U53" si="8">(G26-F26)/F26*100</f>
        <v>4.628224582701062</v>
      </c>
      <c r="V26" s="41" t="s">
        <v>85</v>
      </c>
    </row>
    <row r="27" spans="1:22" ht="18" customHeight="1">
      <c r="A27" s="33" t="s">
        <v>29</v>
      </c>
      <c r="B27" s="34">
        <v>1372</v>
      </c>
      <c r="C27" s="34">
        <v>1324</v>
      </c>
      <c r="D27" s="35">
        <v>1647</v>
      </c>
      <c r="E27" s="35">
        <v>1609</v>
      </c>
      <c r="F27" s="35">
        <v>1295</v>
      </c>
      <c r="G27" s="35">
        <v>1243</v>
      </c>
      <c r="H27" s="35"/>
      <c r="I27" s="36">
        <f t="shared" si="3"/>
        <v>0.20087494802433925</v>
      </c>
      <c r="J27" s="37">
        <f t="shared" si="3"/>
        <v>0.20187481322005574</v>
      </c>
      <c r="K27" s="37">
        <f t="shared" si="3"/>
        <v>0.20797634095492332</v>
      </c>
      <c r="L27" s="37">
        <f t="shared" si="3"/>
        <v>0.17276312554156248</v>
      </c>
      <c r="M27" s="40">
        <f t="shared" si="3"/>
        <v>0.1351739255238642</v>
      </c>
      <c r="N27" s="40">
        <f t="shared" si="6"/>
        <v>0.11046905355660583</v>
      </c>
      <c r="O27" s="38"/>
      <c r="P27" s="39">
        <v>13.953488372093023</v>
      </c>
      <c r="Q27" s="40">
        <f t="shared" si="7"/>
        <v>-3.4985422740524781</v>
      </c>
      <c r="R27" s="40">
        <f t="shared" si="4"/>
        <v>24.395770392749245</v>
      </c>
      <c r="S27" s="40">
        <f t="shared" si="4"/>
        <v>-2.3072252580449302</v>
      </c>
      <c r="T27" s="40">
        <f t="shared" si="4"/>
        <v>-19.515226848974518</v>
      </c>
      <c r="U27" s="40">
        <f t="shared" si="8"/>
        <v>-4.0154440154440154</v>
      </c>
      <c r="V27" s="41" t="s">
        <v>87</v>
      </c>
    </row>
    <row r="28" spans="1:22" ht="18" customHeight="1">
      <c r="A28" s="33" t="s">
        <v>30</v>
      </c>
      <c r="B28" s="34">
        <v>8217</v>
      </c>
      <c r="C28" s="34">
        <v>7279</v>
      </c>
      <c r="D28" s="35">
        <v>8912</v>
      </c>
      <c r="E28" s="35">
        <v>9710</v>
      </c>
      <c r="F28" s="35">
        <v>8824</v>
      </c>
      <c r="G28" s="35">
        <v>11040</v>
      </c>
      <c r="H28" s="35"/>
      <c r="I28" s="36">
        <f t="shared" si="3"/>
        <v>1.2030535334664689</v>
      </c>
      <c r="J28" s="37">
        <f t="shared" si="3"/>
        <v>1.10985405243866</v>
      </c>
      <c r="K28" s="37">
        <f t="shared" si="3"/>
        <v>1.1253704618034466</v>
      </c>
      <c r="L28" s="37">
        <f t="shared" si="3"/>
        <v>1.0425916401544884</v>
      </c>
      <c r="M28" s="40">
        <f t="shared" si="3"/>
        <v>0.92106155893635333</v>
      </c>
      <c r="N28" s="40">
        <f t="shared" si="6"/>
        <v>0.98115716111418205</v>
      </c>
      <c r="O28" s="38"/>
      <c r="P28" s="39">
        <v>-6.6037735849056602</v>
      </c>
      <c r="Q28" s="40">
        <f t="shared" si="7"/>
        <v>-11.415358403310211</v>
      </c>
      <c r="R28" s="40">
        <f t="shared" si="4"/>
        <v>22.434400329715622</v>
      </c>
      <c r="S28" s="40">
        <f t="shared" si="4"/>
        <v>8.9542190305206457</v>
      </c>
      <c r="T28" s="40">
        <f t="shared" si="4"/>
        <v>-9.1246138002059727</v>
      </c>
      <c r="U28" s="40">
        <f t="shared" si="8"/>
        <v>25.113327289211242</v>
      </c>
      <c r="V28" s="41" t="s">
        <v>86</v>
      </c>
    </row>
    <row r="29" spans="1:22" ht="18" customHeight="1">
      <c r="A29" s="33" t="s">
        <v>31</v>
      </c>
      <c r="B29" s="34">
        <v>3542</v>
      </c>
      <c r="C29" s="34">
        <v>3165</v>
      </c>
      <c r="D29" s="35">
        <v>3638</v>
      </c>
      <c r="E29" s="35">
        <v>4896</v>
      </c>
      <c r="F29" s="35">
        <v>5230</v>
      </c>
      <c r="G29" s="35">
        <v>5694</v>
      </c>
      <c r="H29" s="35"/>
      <c r="I29" s="36">
        <f t="shared" si="3"/>
        <v>0.51858532500161048</v>
      </c>
      <c r="J29" s="37">
        <f t="shared" si="3"/>
        <v>0.48257838658721786</v>
      </c>
      <c r="K29" s="37">
        <f t="shared" si="3"/>
        <v>0.45939157765270855</v>
      </c>
      <c r="L29" s="37">
        <f t="shared" si="3"/>
        <v>0.52569811227563079</v>
      </c>
      <c r="M29" s="40">
        <f t="shared" si="3"/>
        <v>0.54591477257900367</v>
      </c>
      <c r="N29" s="40">
        <f t="shared" si="6"/>
        <v>0.50604247059639074</v>
      </c>
      <c r="O29" s="38"/>
      <c r="P29" s="39">
        <v>64.820846905537451</v>
      </c>
      <c r="Q29" s="40">
        <f t="shared" si="7"/>
        <v>-10.643704121964992</v>
      </c>
      <c r="R29" s="40">
        <f t="shared" si="4"/>
        <v>14.944707740916272</v>
      </c>
      <c r="S29" s="40">
        <f t="shared" si="4"/>
        <v>34.579439252336449</v>
      </c>
      <c r="T29" s="40">
        <f t="shared" si="4"/>
        <v>6.8218954248366011</v>
      </c>
      <c r="U29" s="40">
        <f t="shared" si="8"/>
        <v>8.8718929254302115</v>
      </c>
      <c r="V29" s="41" t="s">
        <v>88</v>
      </c>
    </row>
    <row r="30" spans="1:22" ht="18" customHeight="1">
      <c r="A30" s="33" t="s">
        <v>32</v>
      </c>
      <c r="B30" s="34">
        <v>26983</v>
      </c>
      <c r="C30" s="34">
        <v>26783</v>
      </c>
      <c r="D30" s="35">
        <v>27766</v>
      </c>
      <c r="E30" s="35">
        <v>32504</v>
      </c>
      <c r="F30" s="35">
        <v>35457</v>
      </c>
      <c r="G30" s="35">
        <v>34102</v>
      </c>
      <c r="H30" s="35"/>
      <c r="I30" s="36">
        <f t="shared" si="3"/>
        <v>3.9505894479159953</v>
      </c>
      <c r="J30" s="37">
        <f t="shared" si="3"/>
        <v>4.0836957118374269</v>
      </c>
      <c r="K30" s="37">
        <f t="shared" si="3"/>
        <v>3.5061755209194905</v>
      </c>
      <c r="L30" s="37">
        <f t="shared" si="3"/>
        <v>3.4900513564965485</v>
      </c>
      <c r="M30" s="40">
        <f t="shared" si="3"/>
        <v>3.7010516427024345</v>
      </c>
      <c r="N30" s="40">
        <f t="shared" si="6"/>
        <v>3.0307447018402027</v>
      </c>
      <c r="O30" s="38"/>
      <c r="P30" s="39">
        <v>3.0554176373983117</v>
      </c>
      <c r="Q30" s="40">
        <f t="shared" si="7"/>
        <v>-0.74120742689841757</v>
      </c>
      <c r="R30" s="40">
        <f t="shared" si="4"/>
        <v>3.6702385841765301</v>
      </c>
      <c r="S30" s="40">
        <f t="shared" si="4"/>
        <v>17.064035150903983</v>
      </c>
      <c r="T30" s="40">
        <f t="shared" si="4"/>
        <v>9.0850356879153349</v>
      </c>
      <c r="U30" s="40">
        <f t="shared" si="8"/>
        <v>-3.8215303043122657</v>
      </c>
      <c r="V30" s="41" t="s">
        <v>89</v>
      </c>
    </row>
    <row r="31" spans="1:22" ht="18" customHeight="1">
      <c r="A31" s="33" t="s">
        <v>33</v>
      </c>
      <c r="B31" s="34">
        <v>3235</v>
      </c>
      <c r="C31" s="34">
        <v>2758</v>
      </c>
      <c r="D31" s="35">
        <v>4637</v>
      </c>
      <c r="E31" s="35">
        <v>4542</v>
      </c>
      <c r="F31" s="35">
        <v>5416</v>
      </c>
      <c r="G31" s="35">
        <v>9117</v>
      </c>
      <c r="H31" s="35"/>
      <c r="I31" s="36">
        <f t="shared" si="3"/>
        <v>0.47363735922648503</v>
      </c>
      <c r="J31" s="37">
        <f t="shared" si="3"/>
        <v>0.42052170306715536</v>
      </c>
      <c r="K31" s="37">
        <f t="shared" si="3"/>
        <v>0.58554116151061286</v>
      </c>
      <c r="L31" s="37">
        <f t="shared" si="3"/>
        <v>0.48768807719687796</v>
      </c>
      <c r="M31" s="40">
        <f t="shared" si="3"/>
        <v>0.56532971477779803</v>
      </c>
      <c r="N31" s="40">
        <f t="shared" si="6"/>
        <v>0.81025451430054329</v>
      </c>
      <c r="O31" s="38"/>
      <c r="P31" s="39">
        <v>32.473382473382472</v>
      </c>
      <c r="Q31" s="40">
        <f t="shared" si="7"/>
        <v>-14.744976816074187</v>
      </c>
      <c r="R31" s="40">
        <f t="shared" si="4"/>
        <v>68.129079042784625</v>
      </c>
      <c r="S31" s="40">
        <f t="shared" si="4"/>
        <v>-2.0487384084537417</v>
      </c>
      <c r="T31" s="40">
        <f t="shared" si="4"/>
        <v>19.242624394539849</v>
      </c>
      <c r="U31" s="40">
        <f t="shared" si="8"/>
        <v>68.33456425406203</v>
      </c>
      <c r="V31" s="41" t="s">
        <v>90</v>
      </c>
    </row>
    <row r="32" spans="1:22" ht="18" customHeight="1">
      <c r="A32" s="33" t="s">
        <v>34</v>
      </c>
      <c r="B32" s="34">
        <v>5399</v>
      </c>
      <c r="C32" s="34">
        <v>4643</v>
      </c>
      <c r="D32" s="35">
        <v>5445</v>
      </c>
      <c r="E32" s="35">
        <v>6729</v>
      </c>
      <c r="F32" s="35">
        <v>8044</v>
      </c>
      <c r="G32" s="35">
        <v>10362</v>
      </c>
      <c r="H32" s="35"/>
      <c r="I32" s="36">
        <f t="shared" si="3"/>
        <v>0.79046927433192982</v>
      </c>
      <c r="J32" s="37">
        <f t="shared" si="3"/>
        <v>0.70793410708513504</v>
      </c>
      <c r="K32" s="37">
        <f t="shared" si="3"/>
        <v>0.68757205616245132</v>
      </c>
      <c r="L32" s="37">
        <f t="shared" si="3"/>
        <v>0.72251278543764696</v>
      </c>
      <c r="M32" s="40">
        <f t="shared" si="3"/>
        <v>0.83964405939302211</v>
      </c>
      <c r="N32" s="40">
        <f t="shared" si="6"/>
        <v>0.92090131371966988</v>
      </c>
      <c r="O32" s="38"/>
      <c r="P32" s="39">
        <v>52.299012693935119</v>
      </c>
      <c r="Q32" s="40">
        <f t="shared" si="7"/>
        <v>-14.002593072791258</v>
      </c>
      <c r="R32" s="40">
        <f t="shared" si="4"/>
        <v>17.273314667241007</v>
      </c>
      <c r="S32" s="40">
        <f t="shared" si="4"/>
        <v>23.581267217630856</v>
      </c>
      <c r="T32" s="40">
        <f t="shared" si="4"/>
        <v>19.542279684945758</v>
      </c>
      <c r="U32" s="40">
        <f t="shared" si="8"/>
        <v>28.816509199403285</v>
      </c>
      <c r="V32" s="41" t="s">
        <v>91</v>
      </c>
    </row>
    <row r="33" spans="1:22" ht="18" customHeight="1">
      <c r="A33" s="33" t="s">
        <v>35</v>
      </c>
      <c r="B33" s="34">
        <v>116821</v>
      </c>
      <c r="C33" s="34">
        <v>105950</v>
      </c>
      <c r="D33" s="35">
        <v>114158</v>
      </c>
      <c r="E33" s="35">
        <v>104508</v>
      </c>
      <c r="F33" s="35">
        <v>91776</v>
      </c>
      <c r="G33" s="35">
        <v>85869</v>
      </c>
      <c r="H33" s="35"/>
      <c r="I33" s="36">
        <f t="shared" si="3"/>
        <v>17.103799054775028</v>
      </c>
      <c r="J33" s="37">
        <f t="shared" si="3"/>
        <v>16.154559260320926</v>
      </c>
      <c r="K33" s="37">
        <f t="shared" si="3"/>
        <v>14.415399593644285</v>
      </c>
      <c r="L33" s="37">
        <f t="shared" si="3"/>
        <v>11.22133544070703</v>
      </c>
      <c r="M33" s="40">
        <f t="shared" si="3"/>
        <v>9.5797082539599696</v>
      </c>
      <c r="N33" s="40">
        <f t="shared" si="6"/>
        <v>7.6314297343943576</v>
      </c>
      <c r="O33" s="38"/>
      <c r="P33" s="39">
        <v>-6.6611802681410701</v>
      </c>
      <c r="Q33" s="40">
        <f t="shared" si="7"/>
        <v>-9.3056899016443957</v>
      </c>
      <c r="R33" s="40">
        <f t="shared" si="4"/>
        <v>7.7470504955167536</v>
      </c>
      <c r="S33" s="40">
        <f t="shared" si="4"/>
        <v>-8.4531964470295549</v>
      </c>
      <c r="T33" s="40">
        <f t="shared" si="4"/>
        <v>-12.182799402916524</v>
      </c>
      <c r="U33" s="40">
        <f t="shared" si="8"/>
        <v>-6.4363232217573216</v>
      </c>
      <c r="V33" s="41" t="s">
        <v>92</v>
      </c>
    </row>
    <row r="34" spans="1:22" ht="18" customHeight="1">
      <c r="A34" s="33" t="s">
        <v>36</v>
      </c>
      <c r="B34" s="34">
        <v>9482</v>
      </c>
      <c r="C34" s="34">
        <v>9476</v>
      </c>
      <c r="D34" s="35">
        <v>10220</v>
      </c>
      <c r="E34" s="35">
        <v>12088</v>
      </c>
      <c r="F34" s="35">
        <v>18612</v>
      </c>
      <c r="G34" s="35">
        <v>18036</v>
      </c>
      <c r="H34" s="35"/>
      <c r="I34" s="36">
        <f t="shared" si="3"/>
        <v>1.3882625781099014</v>
      </c>
      <c r="J34" s="37">
        <f t="shared" si="3"/>
        <v>1.4448381647078914</v>
      </c>
      <c r="K34" s="37">
        <f t="shared" si="3"/>
        <v>1.2905392863140959</v>
      </c>
      <c r="L34" s="37">
        <f t="shared" si="3"/>
        <v>1.297924587660912</v>
      </c>
      <c r="M34" s="40">
        <f t="shared" si="3"/>
        <v>1.9427467967954908</v>
      </c>
      <c r="N34" s="40">
        <f t="shared" si="6"/>
        <v>1.6029121882115387</v>
      </c>
      <c r="O34" s="38"/>
      <c r="P34" s="39">
        <v>16.272225628448805</v>
      </c>
      <c r="Q34" s="40">
        <f t="shared" si="7"/>
        <v>-6.3277789495886944E-2</v>
      </c>
      <c r="R34" s="40">
        <f t="shared" si="4"/>
        <v>7.8514140987758552</v>
      </c>
      <c r="S34" s="40">
        <f t="shared" si="4"/>
        <v>18.277886497064578</v>
      </c>
      <c r="T34" s="40">
        <f t="shared" si="4"/>
        <v>53.970880211780283</v>
      </c>
      <c r="U34" s="40">
        <f t="shared" si="8"/>
        <v>-3.0947775628626695</v>
      </c>
      <c r="V34" s="41" t="s">
        <v>93</v>
      </c>
    </row>
    <row r="35" spans="1:22" s="10" customFormat="1" ht="18" customHeight="1">
      <c r="A35" s="42" t="s">
        <v>2</v>
      </c>
      <c r="B35" s="43">
        <f t="shared" ref="B35:F35" si="9">SUM(B36:B49)</f>
        <v>145494</v>
      </c>
      <c r="C35" s="43">
        <f t="shared" si="9"/>
        <v>155538</v>
      </c>
      <c r="D35" s="44">
        <f t="shared" si="9"/>
        <v>239882</v>
      </c>
      <c r="E35" s="44">
        <f t="shared" si="9"/>
        <v>334692</v>
      </c>
      <c r="F35" s="44">
        <f t="shared" si="9"/>
        <v>367680</v>
      </c>
      <c r="G35" s="44">
        <f>SUM(G36:G49)</f>
        <v>505753</v>
      </c>
      <c r="H35" s="44"/>
      <c r="I35" s="29">
        <f t="shared" si="3"/>
        <v>21.30182192992217</v>
      </c>
      <c r="J35" s="30">
        <f t="shared" si="3"/>
        <v>23.71541140379232</v>
      </c>
      <c r="K35" s="30">
        <f t="shared" si="3"/>
        <v>30.291305780782587</v>
      </c>
      <c r="L35" s="30">
        <f t="shared" si="3"/>
        <v>35.936877572253962</v>
      </c>
      <c r="M35" s="27">
        <f t="shared" si="3"/>
        <v>38.378956707810339</v>
      </c>
      <c r="N35" s="27">
        <f t="shared" si="6"/>
        <v>44.947751603712042</v>
      </c>
      <c r="O35" s="31"/>
      <c r="P35" s="26">
        <v>0.78344174061220684</v>
      </c>
      <c r="Q35" s="27">
        <f t="shared" si="7"/>
        <v>6.9033774588642833</v>
      </c>
      <c r="R35" s="27">
        <f t="shared" si="4"/>
        <v>54.227262791086432</v>
      </c>
      <c r="S35" s="27">
        <f t="shared" si="4"/>
        <v>39.523599102892256</v>
      </c>
      <c r="T35" s="27">
        <f t="shared" si="4"/>
        <v>9.856226022731347</v>
      </c>
      <c r="U35" s="27">
        <f t="shared" si="8"/>
        <v>37.552491296779813</v>
      </c>
      <c r="V35" s="32" t="s">
        <v>94</v>
      </c>
    </row>
    <row r="36" spans="1:22" ht="18" customHeight="1">
      <c r="A36" s="33" t="s">
        <v>37</v>
      </c>
      <c r="B36" s="34">
        <v>455</v>
      </c>
      <c r="C36" s="34">
        <v>388</v>
      </c>
      <c r="D36" s="35">
        <v>525</v>
      </c>
      <c r="E36" s="35">
        <v>1496</v>
      </c>
      <c r="F36" s="35">
        <v>1221</v>
      </c>
      <c r="G36" s="35">
        <v>1906</v>
      </c>
      <c r="H36" s="35"/>
      <c r="I36" s="36">
        <f t="shared" si="3"/>
        <v>6.6616691946847204E-2</v>
      </c>
      <c r="J36" s="37">
        <f t="shared" si="3"/>
        <v>5.915968846630032E-2</v>
      </c>
      <c r="K36" s="37">
        <f t="shared" si="3"/>
        <v>6.6294826351751518E-2</v>
      </c>
      <c r="L36" s="37">
        <f t="shared" si="3"/>
        <v>0.16062997875088716</v>
      </c>
      <c r="M36" s="40">
        <f t="shared" si="3"/>
        <v>0.12744970120821481</v>
      </c>
      <c r="N36" s="40">
        <f t="shared" si="6"/>
        <v>0.16939180698221296</v>
      </c>
      <c r="O36" s="38"/>
      <c r="P36" s="39">
        <v>-64.563862928348911</v>
      </c>
      <c r="Q36" s="40">
        <f t="shared" si="7"/>
        <v>-14.725274725274726</v>
      </c>
      <c r="R36" s="40">
        <f t="shared" si="4"/>
        <v>35.309278350515463</v>
      </c>
      <c r="S36" s="40">
        <f>(E36-D36)/D36*100</f>
        <v>184.95238095238096</v>
      </c>
      <c r="T36" s="40">
        <f t="shared" si="4"/>
        <v>-18.382352941176471</v>
      </c>
      <c r="U36" s="40">
        <f t="shared" si="8"/>
        <v>56.101556101556106</v>
      </c>
      <c r="V36" s="41" t="s">
        <v>95</v>
      </c>
    </row>
    <row r="37" spans="1:22" ht="18" customHeight="1">
      <c r="A37" s="33" t="s">
        <v>38</v>
      </c>
      <c r="B37" s="34">
        <v>41511</v>
      </c>
      <c r="C37" s="34">
        <v>60666</v>
      </c>
      <c r="D37" s="35">
        <v>118961</v>
      </c>
      <c r="E37" s="35">
        <v>198655</v>
      </c>
      <c r="F37" s="35">
        <v>229551</v>
      </c>
      <c r="G37" s="35">
        <v>331719</v>
      </c>
      <c r="H37" s="35"/>
      <c r="I37" s="36">
        <f t="shared" si="3"/>
        <v>6.0776384602320306</v>
      </c>
      <c r="J37" s="37">
        <f t="shared" si="3"/>
        <v>9.2499527332385956</v>
      </c>
      <c r="K37" s="37">
        <f t="shared" si="3"/>
        <v>15.021902547868022</v>
      </c>
      <c r="L37" s="37">
        <f t="shared" si="3"/>
        <v>21.330179430987627</v>
      </c>
      <c r="M37" s="40">
        <f t="shared" si="3"/>
        <v>23.960856971373399</v>
      </c>
      <c r="N37" s="40">
        <f t="shared" si="6"/>
        <v>29.480839884749582</v>
      </c>
      <c r="O37" s="38"/>
      <c r="P37" s="39">
        <v>15.385256837891928</v>
      </c>
      <c r="Q37" s="40">
        <f t="shared" si="7"/>
        <v>46.144395461443956</v>
      </c>
      <c r="R37" s="40">
        <f t="shared" si="4"/>
        <v>96.091715293574651</v>
      </c>
      <c r="S37" s="40">
        <f t="shared" si="4"/>
        <v>66.991703163221558</v>
      </c>
      <c r="T37" s="40">
        <f t="shared" si="4"/>
        <v>15.552591175656289</v>
      </c>
      <c r="U37" s="40">
        <f t="shared" si="8"/>
        <v>44.507756446279913</v>
      </c>
      <c r="V37" s="41" t="s">
        <v>96</v>
      </c>
    </row>
    <row r="38" spans="1:22" ht="18" customHeight="1">
      <c r="A38" s="33" t="s">
        <v>39</v>
      </c>
      <c r="B38" s="34">
        <v>16663</v>
      </c>
      <c r="C38" s="34">
        <v>15850</v>
      </c>
      <c r="D38" s="35">
        <v>25756</v>
      </c>
      <c r="E38" s="35">
        <v>30978</v>
      </c>
      <c r="F38" s="35">
        <v>31721</v>
      </c>
      <c r="G38" s="35">
        <v>38014</v>
      </c>
      <c r="H38" s="35"/>
      <c r="I38" s="36">
        <f t="shared" si="3"/>
        <v>2.4396350283743184</v>
      </c>
      <c r="J38" s="37">
        <f t="shared" si="3"/>
        <v>2.4167037685331447</v>
      </c>
      <c r="K38" s="37">
        <f t="shared" si="3"/>
        <v>3.2523610428870704</v>
      </c>
      <c r="L38" s="37">
        <f t="shared" si="3"/>
        <v>3.3262001883322077</v>
      </c>
      <c r="M38" s="40">
        <f t="shared" si="3"/>
        <v>3.3110826961718116</v>
      </c>
      <c r="N38" s="40">
        <f t="shared" si="6"/>
        <v>3.3784156089306636</v>
      </c>
      <c r="O38" s="38"/>
      <c r="P38" s="39">
        <v>-3.832169446528539</v>
      </c>
      <c r="Q38" s="40">
        <f t="shared" si="7"/>
        <v>-4.8790733961471524</v>
      </c>
      <c r="R38" s="40">
        <f t="shared" si="4"/>
        <v>62.498422712933753</v>
      </c>
      <c r="S38" s="40">
        <f t="shared" si="4"/>
        <v>20.274887404876534</v>
      </c>
      <c r="T38" s="40">
        <f t="shared" si="4"/>
        <v>2.3984763380463554</v>
      </c>
      <c r="U38" s="40">
        <f t="shared" si="8"/>
        <v>19.838592730367896</v>
      </c>
      <c r="V38" s="41" t="s">
        <v>98</v>
      </c>
    </row>
    <row r="39" spans="1:22" ht="18" customHeight="1">
      <c r="A39" s="33" t="s">
        <v>40</v>
      </c>
      <c r="B39" s="34">
        <v>581</v>
      </c>
      <c r="C39" s="34">
        <v>677</v>
      </c>
      <c r="D39" s="35">
        <v>818</v>
      </c>
      <c r="E39" s="35">
        <v>1283</v>
      </c>
      <c r="F39" s="35">
        <v>1772</v>
      </c>
      <c r="G39" s="35">
        <v>2511</v>
      </c>
      <c r="H39" s="35"/>
      <c r="I39" s="36">
        <f t="shared" ref="I39:M67" si="10">B39/B$7*100</f>
        <v>8.5064391255204888E-2</v>
      </c>
      <c r="J39" s="37">
        <f t="shared" si="10"/>
        <v>0.10322450796826114</v>
      </c>
      <c r="K39" s="37">
        <f t="shared" si="10"/>
        <v>0.10329365324901474</v>
      </c>
      <c r="L39" s="37">
        <f t="shared" si="10"/>
        <v>0.13775953391536647</v>
      </c>
      <c r="M39" s="40">
        <f t="shared" si="10"/>
        <v>0.18496385793690143</v>
      </c>
      <c r="N39" s="40">
        <f t="shared" si="6"/>
        <v>0.22315993039472024</v>
      </c>
      <c r="O39" s="38"/>
      <c r="P39" s="39">
        <v>-38.388123011664902</v>
      </c>
      <c r="Q39" s="40">
        <f t="shared" si="7"/>
        <v>16.523235800344235</v>
      </c>
      <c r="R39" s="40">
        <f t="shared" si="4"/>
        <v>20.827178729689809</v>
      </c>
      <c r="S39" s="40">
        <f t="shared" si="4"/>
        <v>56.845965770171148</v>
      </c>
      <c r="T39" s="40">
        <f t="shared" si="4"/>
        <v>38.113795791114576</v>
      </c>
      <c r="U39" s="40">
        <f t="shared" si="8"/>
        <v>41.704288939051921</v>
      </c>
      <c r="V39" s="41" t="s">
        <v>97</v>
      </c>
    </row>
    <row r="40" spans="1:22" ht="18" customHeight="1">
      <c r="A40" s="33" t="s">
        <v>41</v>
      </c>
      <c r="B40" s="34">
        <v>38193</v>
      </c>
      <c r="C40" s="34">
        <v>36641</v>
      </c>
      <c r="D40" s="35">
        <v>38791</v>
      </c>
      <c r="E40" s="35">
        <v>35782</v>
      </c>
      <c r="F40" s="35">
        <v>36438</v>
      </c>
      <c r="G40" s="35">
        <v>39463</v>
      </c>
      <c r="H40" s="35"/>
      <c r="I40" s="36">
        <f t="shared" si="10"/>
        <v>5.5918490451119451</v>
      </c>
      <c r="J40" s="37">
        <f t="shared" si="10"/>
        <v>5.5867787244683251</v>
      </c>
      <c r="K40" s="37">
        <f t="shared" si="10"/>
        <v>4.898366874306272</v>
      </c>
      <c r="L40" s="37">
        <f t="shared" si="10"/>
        <v>3.8420199864065809</v>
      </c>
      <c r="M40" s="40">
        <f t="shared" si="10"/>
        <v>3.8034498055896244</v>
      </c>
      <c r="N40" s="40">
        <f t="shared" ref="N40:N66" si="11">G40/G$7*100</f>
        <v>3.5071924863268995</v>
      </c>
      <c r="O40" s="38"/>
      <c r="P40" s="39">
        <v>-7.120449405413293</v>
      </c>
      <c r="Q40" s="40">
        <f t="shared" si="7"/>
        <v>-4.063571858717566</v>
      </c>
      <c r="R40" s="40">
        <f t="shared" si="4"/>
        <v>5.8677437842853637</v>
      </c>
      <c r="S40" s="40">
        <f t="shared" si="4"/>
        <v>-7.7569539326132348</v>
      </c>
      <c r="T40" s="40">
        <f t="shared" si="4"/>
        <v>1.8333240176625119</v>
      </c>
      <c r="U40" s="40">
        <f t="shared" si="8"/>
        <v>8.3017728744717054</v>
      </c>
      <c r="V40" s="41" t="s">
        <v>100</v>
      </c>
    </row>
    <row r="41" spans="1:22" ht="18" customHeight="1">
      <c r="A41" s="33" t="s">
        <v>42</v>
      </c>
      <c r="B41" s="34">
        <v>20934</v>
      </c>
      <c r="C41" s="34">
        <v>16135</v>
      </c>
      <c r="D41" s="35">
        <v>24808</v>
      </c>
      <c r="E41" s="35">
        <v>25285</v>
      </c>
      <c r="F41" s="35">
        <v>23933</v>
      </c>
      <c r="G41" s="35">
        <v>30306</v>
      </c>
      <c r="H41" s="35"/>
      <c r="I41" s="36">
        <f t="shared" si="10"/>
        <v>3.0649534708028554</v>
      </c>
      <c r="J41" s="37">
        <f t="shared" si="10"/>
        <v>2.4601586943395768</v>
      </c>
      <c r="K41" s="37">
        <f t="shared" si="10"/>
        <v>3.1326515278747649</v>
      </c>
      <c r="L41" s="37">
        <f t="shared" si="10"/>
        <v>2.7149258106391594</v>
      </c>
      <c r="M41" s="40">
        <f t="shared" si="10"/>
        <v>2.4981602776545495</v>
      </c>
      <c r="N41" s="40">
        <f t="shared" si="11"/>
        <v>2.6933830547759423</v>
      </c>
      <c r="O41" s="38"/>
      <c r="P41" s="39">
        <v>-0.20022883295194507</v>
      </c>
      <c r="Q41" s="40">
        <f t="shared" si="7"/>
        <v>-22.92442915830706</v>
      </c>
      <c r="R41" s="40">
        <f t="shared" si="4"/>
        <v>53.752711496746208</v>
      </c>
      <c r="S41" s="40">
        <f t="shared" si="4"/>
        <v>1.9227668494034182</v>
      </c>
      <c r="T41" s="40">
        <f t="shared" si="4"/>
        <v>-5.3470437017994854</v>
      </c>
      <c r="U41" s="40">
        <f t="shared" si="8"/>
        <v>26.628504575272636</v>
      </c>
      <c r="V41" s="41" t="s">
        <v>99</v>
      </c>
    </row>
    <row r="42" spans="1:22" ht="18" customHeight="1">
      <c r="A42" s="33" t="s">
        <v>43</v>
      </c>
      <c r="B42" s="34">
        <v>3137</v>
      </c>
      <c r="C42" s="34">
        <v>3139</v>
      </c>
      <c r="D42" s="35">
        <v>3894</v>
      </c>
      <c r="E42" s="35">
        <v>6055</v>
      </c>
      <c r="F42" s="35">
        <v>6766</v>
      </c>
      <c r="G42" s="35">
        <v>10875</v>
      </c>
      <c r="H42" s="35"/>
      <c r="I42" s="36">
        <f t="shared" si="10"/>
        <v>0.45928914865331794</v>
      </c>
      <c r="J42" s="37">
        <f t="shared" si="10"/>
        <v>0.47861407756628016</v>
      </c>
      <c r="K42" s="37">
        <f t="shared" si="10"/>
        <v>0.4917181977404198</v>
      </c>
      <c r="L42" s="37">
        <f t="shared" si="10"/>
        <v>0.65014339661538889</v>
      </c>
      <c r="M42" s="40">
        <f t="shared" si="10"/>
        <v>0.70624461783356385</v>
      </c>
      <c r="N42" s="40">
        <f t="shared" si="11"/>
        <v>0.96649312745622562</v>
      </c>
      <c r="O42" s="38"/>
      <c r="P42" s="39">
        <v>4.6015338446148721</v>
      </c>
      <c r="Q42" s="40">
        <f t="shared" si="7"/>
        <v>6.3755180108383797E-2</v>
      </c>
      <c r="R42" s="40">
        <f t="shared" si="4"/>
        <v>24.052245938196879</v>
      </c>
      <c r="S42" s="40">
        <f t="shared" si="4"/>
        <v>55.495634309193633</v>
      </c>
      <c r="T42" s="40">
        <f t="shared" si="4"/>
        <v>11.742361684558217</v>
      </c>
      <c r="U42" s="40">
        <f t="shared" si="8"/>
        <v>60.730121194206319</v>
      </c>
      <c r="V42" s="41" t="s">
        <v>101</v>
      </c>
    </row>
    <row r="43" spans="1:22" ht="18" customHeight="1">
      <c r="A43" s="33" t="s">
        <v>44</v>
      </c>
      <c r="B43" s="34">
        <v>1191</v>
      </c>
      <c r="C43" s="34">
        <v>1046</v>
      </c>
      <c r="D43" s="35">
        <v>1256</v>
      </c>
      <c r="E43" s="35">
        <v>1842</v>
      </c>
      <c r="F43" s="35">
        <v>1857</v>
      </c>
      <c r="G43" s="35">
        <v>2693</v>
      </c>
      <c r="H43" s="35"/>
      <c r="I43" s="36">
        <f t="shared" si="10"/>
        <v>0.17437468155757146</v>
      </c>
      <c r="J43" s="37">
        <f t="shared" si="10"/>
        <v>0.1594872013807993</v>
      </c>
      <c r="K43" s="37">
        <f t="shared" si="10"/>
        <v>0.15860247980533315</v>
      </c>
      <c r="L43" s="37">
        <f t="shared" si="10"/>
        <v>0.19778102998605226</v>
      </c>
      <c r="M43" s="40">
        <f t="shared" si="10"/>
        <v>0.19383627775893114</v>
      </c>
      <c r="N43" s="40">
        <f t="shared" si="11"/>
        <v>0.23933480388410258</v>
      </c>
      <c r="O43" s="38"/>
      <c r="P43" s="39">
        <v>17.5715695952616</v>
      </c>
      <c r="Q43" s="40">
        <f t="shared" si="7"/>
        <v>-12.174643157010916</v>
      </c>
      <c r="R43" s="40">
        <f t="shared" si="4"/>
        <v>20.076481835564053</v>
      </c>
      <c r="S43" s="40">
        <f t="shared" si="4"/>
        <v>46.656050955414017</v>
      </c>
      <c r="T43" s="40">
        <f t="shared" si="4"/>
        <v>0.81433224755700329</v>
      </c>
      <c r="U43" s="40">
        <f t="shared" si="8"/>
        <v>45.018847603661818</v>
      </c>
      <c r="V43" s="41" t="s">
        <v>102</v>
      </c>
    </row>
    <row r="44" spans="1:22" ht="18" customHeight="1">
      <c r="A44" s="33" t="s">
        <v>45</v>
      </c>
      <c r="B44" s="34">
        <v>871</v>
      </c>
      <c r="C44" s="34">
        <v>979</v>
      </c>
      <c r="D44" s="35">
        <v>1066</v>
      </c>
      <c r="E44" s="35">
        <v>1652</v>
      </c>
      <c r="F44" s="35">
        <v>2265</v>
      </c>
      <c r="G44" s="35">
        <v>3040</v>
      </c>
      <c r="H44" s="35"/>
      <c r="I44" s="36">
        <f t="shared" si="10"/>
        <v>0.12752338172682179</v>
      </c>
      <c r="J44" s="37">
        <f t="shared" si="10"/>
        <v>0.14927148198069076</v>
      </c>
      <c r="K44" s="37">
        <f t="shared" si="10"/>
        <v>0.13461006645898499</v>
      </c>
      <c r="L44" s="37">
        <f t="shared" si="10"/>
        <v>0.17738016370084597</v>
      </c>
      <c r="M44" s="40">
        <f t="shared" si="10"/>
        <v>0.23642389290467369</v>
      </c>
      <c r="N44" s="40">
        <f t="shared" si="11"/>
        <v>0.2701737110314415</v>
      </c>
      <c r="O44" s="38"/>
      <c r="P44" s="39">
        <v>-11.303462321792262</v>
      </c>
      <c r="Q44" s="40">
        <f t="shared" si="7"/>
        <v>12.399540757749714</v>
      </c>
      <c r="R44" s="40">
        <f t="shared" si="4"/>
        <v>8.88661899897855</v>
      </c>
      <c r="S44" s="40">
        <f t="shared" si="4"/>
        <v>54.971857410881796</v>
      </c>
      <c r="T44" s="40">
        <f t="shared" si="4"/>
        <v>37.106537530266344</v>
      </c>
      <c r="U44" s="40">
        <f t="shared" si="8"/>
        <v>34.216335540838855</v>
      </c>
      <c r="V44" s="41" t="s">
        <v>103</v>
      </c>
    </row>
    <row r="45" spans="1:22" ht="18" customHeight="1">
      <c r="A45" s="33" t="s">
        <v>46</v>
      </c>
      <c r="B45" s="34">
        <v>4956</v>
      </c>
      <c r="C45" s="34">
        <v>5214</v>
      </c>
      <c r="D45" s="35">
        <v>5332</v>
      </c>
      <c r="E45" s="35">
        <v>7990</v>
      </c>
      <c r="F45" s="35">
        <v>9625</v>
      </c>
      <c r="G45" s="35">
        <v>11143</v>
      </c>
      <c r="H45" s="35"/>
      <c r="I45" s="36">
        <f t="shared" si="10"/>
        <v>0.72560950612873565</v>
      </c>
      <c r="J45" s="37">
        <f t="shared" si="10"/>
        <v>0.7949964321218812</v>
      </c>
      <c r="K45" s="37">
        <f t="shared" si="10"/>
        <v>0.67330288401436011</v>
      </c>
      <c r="L45" s="37">
        <f t="shared" si="10"/>
        <v>0.85791011378314741</v>
      </c>
      <c r="M45" s="40">
        <f t="shared" si="10"/>
        <v>1.0046710680827746</v>
      </c>
      <c r="N45" s="40">
        <f t="shared" si="11"/>
        <v>0.99031107303399735</v>
      </c>
      <c r="O45" s="38"/>
      <c r="P45" s="39">
        <v>11.220825852782765</v>
      </c>
      <c r="Q45" s="40">
        <f t="shared" si="7"/>
        <v>5.2058111380145284</v>
      </c>
      <c r="R45" s="40">
        <f t="shared" si="4"/>
        <v>2.263137706175681</v>
      </c>
      <c r="S45" s="40">
        <f t="shared" si="4"/>
        <v>49.849962490622659</v>
      </c>
      <c r="T45" s="40">
        <f t="shared" si="4"/>
        <v>20.463078848560702</v>
      </c>
      <c r="U45" s="40">
        <f t="shared" si="8"/>
        <v>15.771428571428572</v>
      </c>
      <c r="V45" s="41" t="s">
        <v>104</v>
      </c>
    </row>
    <row r="46" spans="1:22" ht="18" customHeight="1">
      <c r="A46" s="33" t="s">
        <v>47</v>
      </c>
      <c r="B46" s="34">
        <v>9752</v>
      </c>
      <c r="C46" s="34">
        <v>7833</v>
      </c>
      <c r="D46" s="35">
        <v>7872</v>
      </c>
      <c r="E46" s="35">
        <v>9670</v>
      </c>
      <c r="F46" s="35">
        <v>8860</v>
      </c>
      <c r="G46" s="35">
        <v>12400</v>
      </c>
      <c r="H46" s="35"/>
      <c r="I46" s="36">
        <f t="shared" si="10"/>
        <v>1.4277933623420966</v>
      </c>
      <c r="J46" s="37">
        <f t="shared" si="10"/>
        <v>1.1943243292694083</v>
      </c>
      <c r="K46" s="37">
        <f t="shared" si="10"/>
        <v>0.99404356769711966</v>
      </c>
      <c r="L46" s="37">
        <f t="shared" si="10"/>
        <v>1.0382967209365501</v>
      </c>
      <c r="M46" s="40">
        <f t="shared" si="10"/>
        <v>0.92481928968450733</v>
      </c>
      <c r="N46" s="40">
        <f t="shared" si="11"/>
        <v>1.1020243476282481</v>
      </c>
      <c r="O46" s="38"/>
      <c r="P46" s="39">
        <v>1.015123264967889</v>
      </c>
      <c r="Q46" s="40">
        <f t="shared" si="7"/>
        <v>-19.678014766201805</v>
      </c>
      <c r="R46" s="40">
        <f t="shared" si="4"/>
        <v>0.49789352738414405</v>
      </c>
      <c r="S46" s="40">
        <f t="shared" si="4"/>
        <v>22.840447154471544</v>
      </c>
      <c r="T46" s="40">
        <f t="shared" si="4"/>
        <v>-8.3764219234746644</v>
      </c>
      <c r="U46" s="40">
        <f t="shared" si="8"/>
        <v>39.954853273137694</v>
      </c>
      <c r="V46" s="41" t="s">
        <v>105</v>
      </c>
    </row>
    <row r="47" spans="1:22" ht="18" customHeight="1">
      <c r="A47" s="33" t="s">
        <v>48</v>
      </c>
      <c r="B47" s="34">
        <v>2233</v>
      </c>
      <c r="C47" s="34">
        <v>1975</v>
      </c>
      <c r="D47" s="35">
        <v>3831</v>
      </c>
      <c r="E47" s="35">
        <v>5305</v>
      </c>
      <c r="F47" s="35">
        <v>4430</v>
      </c>
      <c r="G47" s="35">
        <v>6522</v>
      </c>
      <c r="H47" s="35"/>
      <c r="I47" s="36">
        <f t="shared" si="10"/>
        <v>0.32693422663145011</v>
      </c>
      <c r="J47" s="37">
        <f t="shared" si="10"/>
        <v>0.30113501216737926</v>
      </c>
      <c r="K47" s="37">
        <f t="shared" si="10"/>
        <v>0.48376281857820957</v>
      </c>
      <c r="L47" s="37">
        <f t="shared" si="10"/>
        <v>0.56961366127904844</v>
      </c>
      <c r="M47" s="40">
        <f t="shared" si="10"/>
        <v>0.46240964484225366</v>
      </c>
      <c r="N47" s="40">
        <f t="shared" si="11"/>
        <v>0.57962925767995432</v>
      </c>
      <c r="O47" s="38"/>
      <c r="P47" s="39">
        <v>10.654112983151636</v>
      </c>
      <c r="Q47" s="40">
        <f t="shared" si="7"/>
        <v>-11.553963278101209</v>
      </c>
      <c r="R47" s="40">
        <f t="shared" si="4"/>
        <v>93.974683544303801</v>
      </c>
      <c r="S47" s="40">
        <f t="shared" si="4"/>
        <v>38.475593839728525</v>
      </c>
      <c r="T47" s="40">
        <f t="shared" si="4"/>
        <v>-16.493873704052781</v>
      </c>
      <c r="U47" s="40">
        <f t="shared" si="8"/>
        <v>47.223476297968396</v>
      </c>
      <c r="V47" s="41" t="s">
        <v>106</v>
      </c>
    </row>
    <row r="48" spans="1:22" ht="18" customHeight="1">
      <c r="A48" s="33" t="s">
        <v>49</v>
      </c>
      <c r="B48" s="34">
        <v>3952</v>
      </c>
      <c r="C48" s="34">
        <v>3813</v>
      </c>
      <c r="D48" s="35">
        <v>5397</v>
      </c>
      <c r="E48" s="35">
        <v>6214</v>
      </c>
      <c r="F48" s="35">
        <v>6896</v>
      </c>
      <c r="G48" s="35">
        <v>11705</v>
      </c>
      <c r="H48" s="35"/>
      <c r="I48" s="36">
        <f t="shared" si="10"/>
        <v>0.57861355290975858</v>
      </c>
      <c r="J48" s="37">
        <f t="shared" si="10"/>
        <v>0.58138116526289474</v>
      </c>
      <c r="K48" s="37">
        <f t="shared" si="10"/>
        <v>0.68151081489600551</v>
      </c>
      <c r="L48" s="37">
        <f t="shared" si="10"/>
        <v>0.6672157005066931</v>
      </c>
      <c r="M48" s="40">
        <f t="shared" si="10"/>
        <v>0.71981420109078575</v>
      </c>
      <c r="N48" s="40">
        <f t="shared" si="11"/>
        <v>1.0402576604023099</v>
      </c>
      <c r="O48" s="38"/>
      <c r="P48" s="39">
        <v>7.8897078897078892</v>
      </c>
      <c r="Q48" s="40">
        <f t="shared" si="7"/>
        <v>-3.5172064777327936</v>
      </c>
      <c r="R48" s="40">
        <f t="shared" si="4"/>
        <v>41.542092840283239</v>
      </c>
      <c r="S48" s="40">
        <f t="shared" si="4"/>
        <v>15.138039651658328</v>
      </c>
      <c r="T48" s="40">
        <f t="shared" si="4"/>
        <v>10.975217251367878</v>
      </c>
      <c r="U48" s="40">
        <f t="shared" si="8"/>
        <v>69.736078886310906</v>
      </c>
      <c r="V48" s="41" t="s">
        <v>107</v>
      </c>
    </row>
    <row r="49" spans="1:36" ht="18" customHeight="1">
      <c r="A49" s="33" t="s">
        <v>50</v>
      </c>
      <c r="B49" s="34">
        <v>1065</v>
      </c>
      <c r="C49" s="34">
        <v>1182</v>
      </c>
      <c r="D49" s="35">
        <v>1575</v>
      </c>
      <c r="E49" s="35">
        <v>2485</v>
      </c>
      <c r="F49" s="35">
        <v>2345</v>
      </c>
      <c r="G49" s="35">
        <v>3456</v>
      </c>
      <c r="H49" s="35"/>
      <c r="I49" s="36">
        <f t="shared" si="10"/>
        <v>0.15592698224921378</v>
      </c>
      <c r="J49" s="37">
        <f t="shared" si="10"/>
        <v>0.18022358702878088</v>
      </c>
      <c r="K49" s="37">
        <f t="shared" si="10"/>
        <v>0.19888447905525453</v>
      </c>
      <c r="L49" s="37">
        <f t="shared" si="10"/>
        <v>0.26682185641440814</v>
      </c>
      <c r="M49" s="40">
        <f t="shared" si="10"/>
        <v>0.24477440567834868</v>
      </c>
      <c r="N49" s="40">
        <f t="shared" si="11"/>
        <v>0.30714485043574402</v>
      </c>
      <c r="O49" s="38"/>
      <c r="P49" s="39">
        <v>-45.412608918503331</v>
      </c>
      <c r="Q49" s="40">
        <f t="shared" si="7"/>
        <v>10.985915492957748</v>
      </c>
      <c r="R49" s="40">
        <f t="shared" si="4"/>
        <v>33.248730964467008</v>
      </c>
      <c r="S49" s="40">
        <f t="shared" si="4"/>
        <v>57.777777777777771</v>
      </c>
      <c r="T49" s="40">
        <f t="shared" si="4"/>
        <v>-5.6338028169014089</v>
      </c>
      <c r="U49" s="40">
        <f t="shared" si="8"/>
        <v>47.377398720682301</v>
      </c>
      <c r="V49" s="41" t="s">
        <v>93</v>
      </c>
    </row>
    <row r="50" spans="1:36" s="10" customFormat="1" ht="18" customHeight="1">
      <c r="A50" s="42" t="s">
        <v>3</v>
      </c>
      <c r="B50" s="43">
        <f t="shared" ref="B50:F50" si="12">SUM(B51:B52)</f>
        <v>5694</v>
      </c>
      <c r="C50" s="43">
        <f t="shared" si="12"/>
        <v>5034</v>
      </c>
      <c r="D50" s="44">
        <f t="shared" si="12"/>
        <v>5628</v>
      </c>
      <c r="E50" s="44">
        <f t="shared" si="12"/>
        <v>6465</v>
      </c>
      <c r="F50" s="44">
        <f t="shared" si="12"/>
        <v>7095</v>
      </c>
      <c r="G50" s="44">
        <f>SUM(G51:G52)</f>
        <v>8271</v>
      </c>
      <c r="H50" s="44"/>
      <c r="I50" s="29">
        <f t="shared" si="10"/>
        <v>0.8336603163634021</v>
      </c>
      <c r="J50" s="30">
        <f t="shared" si="10"/>
        <v>0.76755121582308206</v>
      </c>
      <c r="K50" s="30">
        <f t="shared" si="10"/>
        <v>0.71068053849077617</v>
      </c>
      <c r="L50" s="30">
        <f t="shared" si="10"/>
        <v>0.69416631859925504</v>
      </c>
      <c r="M50" s="27">
        <f t="shared" si="10"/>
        <v>0.74058610161530236</v>
      </c>
      <c r="N50" s="27">
        <f t="shared" si="11"/>
        <v>0.73506801445429348</v>
      </c>
      <c r="O50" s="31"/>
      <c r="P50" s="26">
        <v>17.498968221213371</v>
      </c>
      <c r="Q50" s="27">
        <f t="shared" si="7"/>
        <v>-11.591148577449948</v>
      </c>
      <c r="R50" s="27">
        <f t="shared" si="4"/>
        <v>11.799761620977355</v>
      </c>
      <c r="S50" s="27">
        <f t="shared" si="4"/>
        <v>14.872068230277186</v>
      </c>
      <c r="T50" s="27">
        <f t="shared" si="4"/>
        <v>9.7447795823665881</v>
      </c>
      <c r="U50" s="27">
        <f t="shared" si="8"/>
        <v>16.575052854122621</v>
      </c>
      <c r="V50" s="32" t="s">
        <v>108</v>
      </c>
    </row>
    <row r="51" spans="1:36" ht="18" customHeight="1">
      <c r="A51" s="33" t="s">
        <v>51</v>
      </c>
      <c r="B51" s="34">
        <v>3732</v>
      </c>
      <c r="C51" s="34">
        <v>2975</v>
      </c>
      <c r="D51" s="35">
        <v>3157</v>
      </c>
      <c r="E51" s="35">
        <v>3684</v>
      </c>
      <c r="F51" s="35">
        <v>3967</v>
      </c>
      <c r="G51" s="35">
        <v>4503</v>
      </c>
      <c r="H51" s="35"/>
      <c r="I51" s="36">
        <f t="shared" si="10"/>
        <v>0.54640328427611817</v>
      </c>
      <c r="J51" s="37">
        <f t="shared" si="10"/>
        <v>0.45360843604959655</v>
      </c>
      <c r="K51" s="37">
        <f t="shared" si="10"/>
        <v>0.39865288912853236</v>
      </c>
      <c r="L51" s="37">
        <f t="shared" si="10"/>
        <v>0.39556205997210453</v>
      </c>
      <c r="M51" s="40">
        <f t="shared" si="10"/>
        <v>0.4140810521646095</v>
      </c>
      <c r="N51" s="40">
        <f t="shared" si="11"/>
        <v>0.40019480946532271</v>
      </c>
      <c r="O51" s="38"/>
      <c r="P51" s="39">
        <v>13.331308836926814</v>
      </c>
      <c r="Q51" s="40">
        <f t="shared" si="7"/>
        <v>-20.284030010718112</v>
      </c>
      <c r="R51" s="40">
        <f t="shared" si="4"/>
        <v>6.1176470588235299</v>
      </c>
      <c r="S51" s="40">
        <f t="shared" si="4"/>
        <v>16.69306303452645</v>
      </c>
      <c r="T51" s="40">
        <f t="shared" si="4"/>
        <v>7.681867535287731</v>
      </c>
      <c r="U51" s="40">
        <f t="shared" si="8"/>
        <v>13.511469624401313</v>
      </c>
      <c r="V51" s="41" t="s">
        <v>109</v>
      </c>
    </row>
    <row r="52" spans="1:36" ht="18" customHeight="1">
      <c r="A52" s="33" t="s">
        <v>52</v>
      </c>
      <c r="B52" s="34">
        <v>1962</v>
      </c>
      <c r="C52" s="34">
        <v>2059</v>
      </c>
      <c r="D52" s="35">
        <v>2471</v>
      </c>
      <c r="E52" s="35">
        <v>2781</v>
      </c>
      <c r="F52" s="35">
        <v>3128</v>
      </c>
      <c r="G52" s="35">
        <v>3768</v>
      </c>
      <c r="H52" s="35"/>
      <c r="I52" s="36">
        <f t="shared" si="10"/>
        <v>0.28725703208728398</v>
      </c>
      <c r="J52" s="37">
        <f t="shared" si="10"/>
        <v>0.3139427797734855</v>
      </c>
      <c r="K52" s="37">
        <f t="shared" si="10"/>
        <v>0.31202764936224375</v>
      </c>
      <c r="L52" s="37">
        <f t="shared" si="10"/>
        <v>0.29860425862715051</v>
      </c>
      <c r="M52" s="40">
        <f t="shared" si="10"/>
        <v>0.32650504945069281</v>
      </c>
      <c r="N52" s="40">
        <f t="shared" si="11"/>
        <v>0.33487320498897089</v>
      </c>
      <c r="O52" s="38"/>
      <c r="P52" s="39">
        <v>26.336123631680618</v>
      </c>
      <c r="Q52" s="40">
        <f t="shared" si="7"/>
        <v>4.9439347604485224</v>
      </c>
      <c r="R52" s="40">
        <f t="shared" si="4"/>
        <v>20.009713453132587</v>
      </c>
      <c r="S52" s="40">
        <f t="shared" si="4"/>
        <v>12.545528126264671</v>
      </c>
      <c r="T52" s="40">
        <f t="shared" si="4"/>
        <v>12.47752606975908</v>
      </c>
      <c r="U52" s="40">
        <f t="shared" si="8"/>
        <v>20.460358056265985</v>
      </c>
      <c r="V52" s="41" t="s">
        <v>93</v>
      </c>
    </row>
    <row r="53" spans="1:36" s="10" customFormat="1" ht="18" customHeight="1">
      <c r="A53" s="42" t="s">
        <v>53</v>
      </c>
      <c r="B53" s="43">
        <f t="shared" ref="B53:F53" si="13">SUM(B54:B57)</f>
        <v>14480</v>
      </c>
      <c r="C53" s="43">
        <f t="shared" si="13"/>
        <v>15159</v>
      </c>
      <c r="D53" s="44">
        <f t="shared" si="13"/>
        <v>18601</v>
      </c>
      <c r="E53" s="44">
        <f t="shared" si="13"/>
        <v>23654</v>
      </c>
      <c r="F53" s="44">
        <f t="shared" si="13"/>
        <v>26774</v>
      </c>
      <c r="G53" s="44">
        <f>SUM(G54:G57)</f>
        <v>32970</v>
      </c>
      <c r="H53" s="44"/>
      <c r="I53" s="29">
        <f t="shared" si="10"/>
        <v>2.1200213173414229</v>
      </c>
      <c r="J53" s="30">
        <f t="shared" si="10"/>
        <v>2.3113446326305325</v>
      </c>
      <c r="K53" s="30">
        <f t="shared" si="10"/>
        <v>2.3488572666074856</v>
      </c>
      <c r="L53" s="30">
        <f t="shared" si="10"/>
        <v>2.5398004795277309</v>
      </c>
      <c r="M53" s="27">
        <f t="shared" si="10"/>
        <v>2.7947078625296835</v>
      </c>
      <c r="N53" s="27">
        <f t="shared" si="11"/>
        <v>2.9301405436534949</v>
      </c>
      <c r="O53" s="31"/>
      <c r="P53" s="26">
        <v>1.9861952387660233</v>
      </c>
      <c r="Q53" s="27">
        <f t="shared" si="7"/>
        <v>4.6892265193370166</v>
      </c>
      <c r="R53" s="27">
        <f t="shared" si="4"/>
        <v>22.705983244277327</v>
      </c>
      <c r="S53" s="27">
        <f t="shared" si="4"/>
        <v>27.165206171711198</v>
      </c>
      <c r="T53" s="27">
        <f t="shared" si="4"/>
        <v>13.190158112792764</v>
      </c>
      <c r="U53" s="27">
        <f t="shared" si="8"/>
        <v>23.141854037499066</v>
      </c>
      <c r="V53" s="32" t="s">
        <v>110</v>
      </c>
    </row>
    <row r="54" spans="1:36" ht="18" customHeight="1">
      <c r="A54" s="33" t="s">
        <v>54</v>
      </c>
      <c r="B54" s="34">
        <v>1327</v>
      </c>
      <c r="C54" s="34">
        <v>1304</v>
      </c>
      <c r="D54" s="35">
        <v>1761</v>
      </c>
      <c r="E54" s="35">
        <v>2342</v>
      </c>
      <c r="F54" s="35">
        <v>3061</v>
      </c>
      <c r="G54" s="35">
        <v>3675</v>
      </c>
      <c r="H54" s="35"/>
      <c r="I54" s="36">
        <f t="shared" si="10"/>
        <v>0.19428648398564008</v>
      </c>
      <c r="J54" s="37">
        <f t="shared" si="10"/>
        <v>0.1988253447424114</v>
      </c>
      <c r="K54" s="37">
        <f t="shared" si="10"/>
        <v>0.22237178896273219</v>
      </c>
      <c r="L54" s="37">
        <f t="shared" si="10"/>
        <v>0.25146752021027924</v>
      </c>
      <c r="M54" s="40">
        <f t="shared" si="10"/>
        <v>0.31951149500274001</v>
      </c>
      <c r="N54" s="40">
        <f t="shared" si="11"/>
        <v>0.32660802238175901</v>
      </c>
      <c r="O54" s="38"/>
      <c r="P54" s="39">
        <v>87.429378531073439</v>
      </c>
      <c r="Q54" s="40">
        <f t="shared" si="7"/>
        <v>-1.7332328560663148</v>
      </c>
      <c r="R54" s="40">
        <f t="shared" si="4"/>
        <v>35.04601226993865</v>
      </c>
      <c r="S54" s="40">
        <f t="shared" si="4"/>
        <v>32.992617830777967</v>
      </c>
      <c r="T54" s="40">
        <f t="shared" si="4"/>
        <v>30.700256191289498</v>
      </c>
      <c r="U54" s="40">
        <f t="shared" si="4"/>
        <v>20.058804312316237</v>
      </c>
      <c r="V54" s="41" t="s">
        <v>111</v>
      </c>
    </row>
    <row r="55" spans="1:36" ht="18" customHeight="1">
      <c r="A55" s="33" t="s">
        <v>55</v>
      </c>
      <c r="B55" s="34">
        <v>2966</v>
      </c>
      <c r="C55" s="34">
        <v>3043</v>
      </c>
      <c r="D55" s="35">
        <v>3815</v>
      </c>
      <c r="E55" s="35">
        <v>4690</v>
      </c>
      <c r="F55" s="35">
        <v>5070</v>
      </c>
      <c r="G55" s="35">
        <v>6098</v>
      </c>
      <c r="H55" s="35"/>
      <c r="I55" s="36">
        <f t="shared" si="10"/>
        <v>0.43425298530626105</v>
      </c>
      <c r="J55" s="37">
        <f t="shared" si="10"/>
        <v>0.46397662887358732</v>
      </c>
      <c r="K55" s="37">
        <f t="shared" si="10"/>
        <v>0.48174240482272762</v>
      </c>
      <c r="L55" s="37">
        <f t="shared" si="10"/>
        <v>0.50357927830324922</v>
      </c>
      <c r="M55" s="40">
        <f t="shared" si="10"/>
        <v>0.52921374703165358</v>
      </c>
      <c r="N55" s="40">
        <f t="shared" si="11"/>
        <v>0.54194713482556911</v>
      </c>
      <c r="O55" s="38"/>
      <c r="P55" s="39">
        <v>4.0336723956506493</v>
      </c>
      <c r="Q55" s="40">
        <f t="shared" si="7"/>
        <v>2.5960890087660147</v>
      </c>
      <c r="R55" s="40">
        <f t="shared" si="4"/>
        <v>25.369700953006902</v>
      </c>
      <c r="S55" s="40">
        <f t="shared" si="4"/>
        <v>22.935779816513762</v>
      </c>
      <c r="T55" s="40">
        <f t="shared" si="4"/>
        <v>8.1023454157782524</v>
      </c>
      <c r="U55" s="40">
        <f t="shared" ref="U55:U67" si="14">(G55-F55)/F55*100</f>
        <v>20.276134122287967</v>
      </c>
      <c r="V55" s="41" t="s">
        <v>112</v>
      </c>
    </row>
    <row r="56" spans="1:36" ht="18" customHeight="1">
      <c r="A56" s="33" t="s">
        <v>56</v>
      </c>
      <c r="B56" s="34">
        <v>8853</v>
      </c>
      <c r="C56" s="34">
        <v>9438</v>
      </c>
      <c r="D56" s="35">
        <v>11482</v>
      </c>
      <c r="E56" s="35">
        <v>14490</v>
      </c>
      <c r="F56" s="35">
        <v>16049</v>
      </c>
      <c r="G56" s="35">
        <v>20034</v>
      </c>
      <c r="H56" s="35"/>
      <c r="I56" s="36">
        <f t="shared" si="10"/>
        <v>1.296170491880084</v>
      </c>
      <c r="J56" s="37">
        <f t="shared" si="10"/>
        <v>1.4390441746003673</v>
      </c>
      <c r="K56" s="37">
        <f t="shared" si="10"/>
        <v>1.449899421277735</v>
      </c>
      <c r="L56" s="37">
        <f t="shared" si="10"/>
        <v>1.5558344866980984</v>
      </c>
      <c r="M56" s="40">
        <f t="shared" si="10"/>
        <v>1.6752172438088777</v>
      </c>
      <c r="N56" s="40">
        <f t="shared" si="11"/>
        <v>1.7804803048697033</v>
      </c>
      <c r="O56" s="38"/>
      <c r="P56" s="39">
        <v>-5.2952503209242625</v>
      </c>
      <c r="Q56" s="40">
        <f t="shared" si="7"/>
        <v>6.607929515418502</v>
      </c>
      <c r="R56" s="40">
        <f t="shared" si="4"/>
        <v>21.657130748039837</v>
      </c>
      <c r="S56" s="40">
        <f t="shared" si="4"/>
        <v>26.197526563316497</v>
      </c>
      <c r="T56" s="40">
        <f t="shared" si="4"/>
        <v>10.759144237405106</v>
      </c>
      <c r="U56" s="40">
        <f t="shared" si="14"/>
        <v>24.830207489563215</v>
      </c>
      <c r="V56" s="41" t="s">
        <v>113</v>
      </c>
    </row>
    <row r="57" spans="1:36" ht="18" customHeight="1">
      <c r="A57" s="33" t="s">
        <v>57</v>
      </c>
      <c r="B57" s="34">
        <v>1334</v>
      </c>
      <c r="C57" s="34">
        <v>1374</v>
      </c>
      <c r="D57" s="35">
        <v>1543</v>
      </c>
      <c r="E57" s="35">
        <v>2132</v>
      </c>
      <c r="F57" s="35">
        <v>2594</v>
      </c>
      <c r="G57" s="35">
        <v>3163</v>
      </c>
      <c r="H57" s="35"/>
      <c r="I57" s="36">
        <f t="shared" si="10"/>
        <v>0.19531135616943773</v>
      </c>
      <c r="J57" s="37">
        <f t="shared" si="10"/>
        <v>0.2094984844141666</v>
      </c>
      <c r="K57" s="37">
        <f t="shared" si="10"/>
        <v>0.19484365154429062</v>
      </c>
      <c r="L57" s="37">
        <f t="shared" si="10"/>
        <v>0.22891919431610391</v>
      </c>
      <c r="M57" s="40">
        <f t="shared" si="10"/>
        <v>0.27076537668641215</v>
      </c>
      <c r="N57" s="40">
        <f t="shared" si="11"/>
        <v>0.28110508157646363</v>
      </c>
      <c r="O57" s="38"/>
      <c r="P57" s="39">
        <v>3.3307513555383426</v>
      </c>
      <c r="Q57" s="40">
        <f t="shared" si="7"/>
        <v>2.9985007496251872</v>
      </c>
      <c r="R57" s="40">
        <f t="shared" si="4"/>
        <v>12.299854439592432</v>
      </c>
      <c r="S57" s="40">
        <f t="shared" si="4"/>
        <v>38.172391445236556</v>
      </c>
      <c r="T57" s="40">
        <f t="shared" si="4"/>
        <v>21.669793621013135</v>
      </c>
      <c r="U57" s="40">
        <f t="shared" si="14"/>
        <v>21.935235158057054</v>
      </c>
      <c r="V57" s="41" t="s">
        <v>93</v>
      </c>
    </row>
    <row r="58" spans="1:36" s="10" customFormat="1" ht="18" customHeight="1">
      <c r="A58" s="42" t="s">
        <v>4</v>
      </c>
      <c r="B58" s="43">
        <f t="shared" ref="B58:F58" si="15">SUM(B59:B61)</f>
        <v>10574</v>
      </c>
      <c r="C58" s="43">
        <f t="shared" si="15"/>
        <v>8404</v>
      </c>
      <c r="D58" s="44">
        <f t="shared" si="15"/>
        <v>10756</v>
      </c>
      <c r="E58" s="44">
        <f t="shared" si="15"/>
        <v>14195</v>
      </c>
      <c r="F58" s="44">
        <f t="shared" si="15"/>
        <v>16826</v>
      </c>
      <c r="G58" s="44">
        <f>SUM(G59:G61)</f>
        <v>18761</v>
      </c>
      <c r="H58" s="44"/>
      <c r="I58" s="29">
        <f t="shared" si="10"/>
        <v>1.5481426387823347</v>
      </c>
      <c r="J58" s="30">
        <f t="shared" si="10"/>
        <v>1.2813866543061543</v>
      </c>
      <c r="K58" s="30">
        <f t="shared" si="10"/>
        <v>1.3582231471227413</v>
      </c>
      <c r="L58" s="30">
        <f t="shared" si="10"/>
        <v>1.5241594574658044</v>
      </c>
      <c r="M58" s="27">
        <f t="shared" si="10"/>
        <v>1.7563215991231962</v>
      </c>
      <c r="N58" s="27">
        <f t="shared" si="11"/>
        <v>1.6673450633752873</v>
      </c>
      <c r="O58" s="31"/>
      <c r="P58" s="26">
        <v>-0.81605853109464399</v>
      </c>
      <c r="Q58" s="27">
        <f t="shared" si="7"/>
        <v>-20.522035180631736</v>
      </c>
      <c r="R58" s="27">
        <f t="shared" si="4"/>
        <v>27.986673012851021</v>
      </c>
      <c r="S58" s="27">
        <f t="shared" si="4"/>
        <v>31.972852361472665</v>
      </c>
      <c r="T58" s="27">
        <f t="shared" si="4"/>
        <v>18.534695315251849</v>
      </c>
      <c r="U58" s="27">
        <f t="shared" si="14"/>
        <v>11.500059431831689</v>
      </c>
      <c r="V58" s="32" t="s">
        <v>114</v>
      </c>
    </row>
    <row r="59" spans="1:36" ht="18" customHeight="1">
      <c r="A59" s="33" t="s">
        <v>58</v>
      </c>
      <c r="B59" s="34">
        <v>9368</v>
      </c>
      <c r="C59" s="34">
        <v>7392</v>
      </c>
      <c r="D59" s="35">
        <v>9622</v>
      </c>
      <c r="E59" s="35">
        <v>12778</v>
      </c>
      <c r="F59" s="35">
        <v>15208</v>
      </c>
      <c r="G59" s="35">
        <v>16915</v>
      </c>
      <c r="H59" s="35"/>
      <c r="I59" s="36">
        <f t="shared" si="10"/>
        <v>1.3715718025451968</v>
      </c>
      <c r="J59" s="37">
        <f t="shared" si="10"/>
        <v>1.1270835493373506</v>
      </c>
      <c r="K59" s="37">
        <f t="shared" si="10"/>
        <v>1.2150263222029583</v>
      </c>
      <c r="L59" s="37">
        <f t="shared" si="10"/>
        <v>1.3720119441703451</v>
      </c>
      <c r="M59" s="40">
        <f t="shared" si="10"/>
        <v>1.5874324782756193</v>
      </c>
      <c r="N59" s="40">
        <f t="shared" si="11"/>
        <v>1.5032856322686949</v>
      </c>
      <c r="O59" s="38"/>
      <c r="P59" s="39">
        <v>-0.40399744843716773</v>
      </c>
      <c r="Q59" s="40">
        <f t="shared" si="7"/>
        <v>-21.093082835183605</v>
      </c>
      <c r="R59" s="40">
        <f t="shared" si="4"/>
        <v>30.167748917748916</v>
      </c>
      <c r="S59" s="40">
        <f t="shared" si="4"/>
        <v>32.799833714404492</v>
      </c>
      <c r="T59" s="40">
        <f t="shared" si="4"/>
        <v>19.017060572859602</v>
      </c>
      <c r="U59" s="40">
        <f t="shared" si="14"/>
        <v>11.224355602314571</v>
      </c>
      <c r="V59" s="41" t="s">
        <v>115</v>
      </c>
    </row>
    <row r="60" spans="1:36" ht="18" customHeight="1">
      <c r="A60" s="33" t="s">
        <v>59</v>
      </c>
      <c r="B60" s="34">
        <v>1184</v>
      </c>
      <c r="C60" s="34">
        <v>991</v>
      </c>
      <c r="D60" s="35">
        <v>1103</v>
      </c>
      <c r="E60" s="35">
        <v>1390</v>
      </c>
      <c r="F60" s="35">
        <v>1579</v>
      </c>
      <c r="G60" s="35">
        <v>1791</v>
      </c>
      <c r="H60" s="35"/>
      <c r="I60" s="36">
        <f t="shared" si="10"/>
        <v>0.17334980937377381</v>
      </c>
      <c r="J60" s="37">
        <f t="shared" si="10"/>
        <v>0.15110116306727739</v>
      </c>
      <c r="K60" s="37">
        <f t="shared" si="10"/>
        <v>0.13928227326853698</v>
      </c>
      <c r="L60" s="37">
        <f t="shared" si="10"/>
        <v>0.14924844282335104</v>
      </c>
      <c r="M60" s="40">
        <f t="shared" si="10"/>
        <v>0.1648182458704105</v>
      </c>
      <c r="N60" s="40">
        <f t="shared" si="11"/>
        <v>0.15917141988727357</v>
      </c>
      <c r="O60" s="38"/>
      <c r="P60" s="39">
        <v>3.6777583187390541</v>
      </c>
      <c r="Q60" s="40">
        <f t="shared" si="7"/>
        <v>-16.300675675675674</v>
      </c>
      <c r="R60" s="40">
        <f t="shared" si="4"/>
        <v>11.301715438950556</v>
      </c>
      <c r="S60" s="40">
        <f t="shared" si="4"/>
        <v>26.019945602901178</v>
      </c>
      <c r="T60" s="40">
        <f t="shared" si="4"/>
        <v>13.597122302158274</v>
      </c>
      <c r="U60" s="40">
        <f t="shared" si="14"/>
        <v>13.426219126029132</v>
      </c>
      <c r="V60" s="41" t="s">
        <v>116</v>
      </c>
    </row>
    <row r="61" spans="1:36" ht="18" customHeight="1">
      <c r="A61" s="33" t="s">
        <v>60</v>
      </c>
      <c r="B61" s="34">
        <v>22</v>
      </c>
      <c r="C61" s="34">
        <v>21</v>
      </c>
      <c r="D61" s="35">
        <v>31</v>
      </c>
      <c r="E61" s="35">
        <v>27</v>
      </c>
      <c r="F61" s="35">
        <v>39</v>
      </c>
      <c r="G61" s="35">
        <v>55</v>
      </c>
      <c r="H61" s="35"/>
      <c r="I61" s="36">
        <f t="shared" si="10"/>
        <v>3.2210268633640401E-3</v>
      </c>
      <c r="J61" s="37">
        <f t="shared" si="10"/>
        <v>3.2019419015265642E-3</v>
      </c>
      <c r="K61" s="37">
        <f t="shared" si="10"/>
        <v>3.9145516512462796E-3</v>
      </c>
      <c r="L61" s="37">
        <f t="shared" si="10"/>
        <v>2.899070472108258E-3</v>
      </c>
      <c r="M61" s="40">
        <f t="shared" si="10"/>
        <v>4.0708749771665668E-3</v>
      </c>
      <c r="N61" s="40">
        <f t="shared" si="11"/>
        <v>4.888011219318842E-3</v>
      </c>
      <c r="O61" s="38"/>
      <c r="P61" s="39">
        <v>-80.530973451327441</v>
      </c>
      <c r="Q61" s="40">
        <f t="shared" si="7"/>
        <v>-4.5454545454545459</v>
      </c>
      <c r="R61" s="40">
        <f t="shared" si="4"/>
        <v>47.619047619047613</v>
      </c>
      <c r="S61" s="40">
        <f t="shared" si="4"/>
        <v>-12.903225806451612</v>
      </c>
      <c r="T61" s="40">
        <f t="shared" si="4"/>
        <v>44.444444444444443</v>
      </c>
      <c r="U61" s="40">
        <f t="shared" si="14"/>
        <v>41.025641025641022</v>
      </c>
      <c r="V61" s="41" t="s">
        <v>93</v>
      </c>
    </row>
    <row r="62" spans="1:36" s="10" customFormat="1" ht="18" customHeight="1">
      <c r="A62" s="42" t="s">
        <v>7</v>
      </c>
      <c r="B62" s="43">
        <f t="shared" ref="B62:F62" si="16">SUM(B63:B67)</f>
        <v>9205</v>
      </c>
      <c r="C62" s="43">
        <f t="shared" si="16"/>
        <v>9525</v>
      </c>
      <c r="D62" s="44">
        <f t="shared" si="16"/>
        <v>11629</v>
      </c>
      <c r="E62" s="44">
        <f t="shared" si="16"/>
        <v>14570</v>
      </c>
      <c r="F62" s="44">
        <f t="shared" si="16"/>
        <v>21843</v>
      </c>
      <c r="G62" s="44">
        <f>SUM(G63:G67)</f>
        <v>32050</v>
      </c>
      <c r="H62" s="44"/>
      <c r="I62" s="29">
        <f t="shared" si="10"/>
        <v>1.3477069216939088</v>
      </c>
      <c r="J62" s="30">
        <f t="shared" si="10"/>
        <v>1.45230936247812</v>
      </c>
      <c r="K62" s="30">
        <f t="shared" si="10"/>
        <v>1.4684619726562254</v>
      </c>
      <c r="L62" s="30">
        <f t="shared" si="10"/>
        <v>1.5644243251339747</v>
      </c>
      <c r="M62" s="27">
        <f t="shared" si="10"/>
        <v>2.2800031314422902</v>
      </c>
      <c r="N62" s="27">
        <f t="shared" si="11"/>
        <v>2.8483774468939802</v>
      </c>
      <c r="O62" s="31"/>
      <c r="P62" s="26">
        <v>42.713178294573645</v>
      </c>
      <c r="Q62" s="27">
        <f t="shared" si="7"/>
        <v>3.4763715372080388</v>
      </c>
      <c r="R62" s="27">
        <f t="shared" si="4"/>
        <v>22.089238845144358</v>
      </c>
      <c r="S62" s="27">
        <f t="shared" si="4"/>
        <v>25.29022271906441</v>
      </c>
      <c r="T62" s="27">
        <f t="shared" si="4"/>
        <v>49.917638984214143</v>
      </c>
      <c r="U62" s="27">
        <f t="shared" si="14"/>
        <v>46.728929176395184</v>
      </c>
      <c r="V62" s="32" t="s">
        <v>117</v>
      </c>
    </row>
    <row r="63" spans="1:36" ht="18" customHeight="1">
      <c r="A63" s="33" t="s">
        <v>61</v>
      </c>
      <c r="B63" s="34">
        <v>1340</v>
      </c>
      <c r="C63" s="34">
        <v>1181</v>
      </c>
      <c r="D63" s="35">
        <v>1409</v>
      </c>
      <c r="E63" s="35">
        <v>1797</v>
      </c>
      <c r="F63" s="35">
        <v>2987</v>
      </c>
      <c r="G63" s="35">
        <v>4622</v>
      </c>
      <c r="H63" s="35"/>
      <c r="I63" s="36">
        <f t="shared" si="10"/>
        <v>0.19618981804126429</v>
      </c>
      <c r="J63" s="37">
        <f t="shared" si="10"/>
        <v>0.18007111360489866</v>
      </c>
      <c r="K63" s="37">
        <f t="shared" si="10"/>
        <v>0.17792268634212929</v>
      </c>
      <c r="L63" s="37">
        <f t="shared" si="10"/>
        <v>0.19294924586587184</v>
      </c>
      <c r="M63" s="40">
        <f t="shared" si="10"/>
        <v>0.31178727068709061</v>
      </c>
      <c r="N63" s="40">
        <f t="shared" si="11"/>
        <v>0.41077068828530344</v>
      </c>
      <c r="O63" s="38"/>
      <c r="P63" s="39">
        <v>33.466135458167329</v>
      </c>
      <c r="Q63" s="40">
        <f t="shared" si="7"/>
        <v>-11.865671641791046</v>
      </c>
      <c r="R63" s="40">
        <f t="shared" si="4"/>
        <v>19.30567315834039</v>
      </c>
      <c r="S63" s="40">
        <f t="shared" si="4"/>
        <v>27.537260468417319</v>
      </c>
      <c r="T63" s="40">
        <f t="shared" si="4"/>
        <v>66.221480244852543</v>
      </c>
      <c r="U63" s="40">
        <f t="shared" si="14"/>
        <v>54.737194509541339</v>
      </c>
      <c r="V63" s="41" t="s">
        <v>118</v>
      </c>
      <c r="AB63" s="2" t="s">
        <v>6</v>
      </c>
      <c r="AC63" s="2" t="s">
        <v>10</v>
      </c>
      <c r="AD63" s="2" t="s">
        <v>122</v>
      </c>
      <c r="AE63" s="2" t="s">
        <v>127</v>
      </c>
      <c r="AF63" s="92" t="s">
        <v>130</v>
      </c>
      <c r="AG63" s="2" t="s">
        <v>139</v>
      </c>
      <c r="AH63" s="10"/>
      <c r="AI63" s="10"/>
      <c r="AJ63" s="10"/>
    </row>
    <row r="64" spans="1:36" ht="18" customHeight="1">
      <c r="A64" s="33" t="s">
        <v>62</v>
      </c>
      <c r="B64" s="34">
        <v>1139</v>
      </c>
      <c r="C64" s="34">
        <v>984</v>
      </c>
      <c r="D64" s="35">
        <v>1145</v>
      </c>
      <c r="E64" s="35">
        <v>1346</v>
      </c>
      <c r="F64" s="35">
        <v>1666</v>
      </c>
      <c r="G64" s="35">
        <v>1817</v>
      </c>
      <c r="H64" s="35"/>
      <c r="I64" s="36">
        <f t="shared" si="10"/>
        <v>0.16676134533507464</v>
      </c>
      <c r="J64" s="37">
        <f t="shared" si="10"/>
        <v>0.15003384910010184</v>
      </c>
      <c r="K64" s="37">
        <f t="shared" si="10"/>
        <v>0.14458585937667709</v>
      </c>
      <c r="L64" s="37">
        <f t="shared" si="10"/>
        <v>0.14452403168361908</v>
      </c>
      <c r="M64" s="40">
        <f t="shared" si="10"/>
        <v>0.17389942851178203</v>
      </c>
      <c r="N64" s="40">
        <f t="shared" si="11"/>
        <v>0.16148211610004248</v>
      </c>
      <c r="O64" s="40"/>
      <c r="P64" s="39">
        <v>72.575757575757578</v>
      </c>
      <c r="Q64" s="40">
        <f t="shared" si="7"/>
        <v>-13.608428446005268</v>
      </c>
      <c r="R64" s="40">
        <f t="shared" si="4"/>
        <v>16.361788617886177</v>
      </c>
      <c r="S64" s="40">
        <f t="shared" si="4"/>
        <v>17.554585152838428</v>
      </c>
      <c r="T64" s="40">
        <f t="shared" si="4"/>
        <v>23.774145616641899</v>
      </c>
      <c r="U64" s="40">
        <f t="shared" si="14"/>
        <v>9.0636254501800728</v>
      </c>
      <c r="V64" s="41" t="s">
        <v>119</v>
      </c>
      <c r="AA64" s="62" t="s">
        <v>38</v>
      </c>
      <c r="AB64" s="63">
        <f t="shared" ref="AB64:AG64" si="17">AB65/1000</f>
        <v>41.511000000000003</v>
      </c>
      <c r="AC64" s="63">
        <f t="shared" si="17"/>
        <v>60.665999999999997</v>
      </c>
      <c r="AD64" s="63">
        <f t="shared" si="17"/>
        <v>118.961</v>
      </c>
      <c r="AE64" s="63">
        <f t="shared" si="17"/>
        <v>198.655</v>
      </c>
      <c r="AF64" s="63">
        <f t="shared" si="17"/>
        <v>229.55099999999999</v>
      </c>
      <c r="AG64" s="63">
        <f t="shared" si="17"/>
        <v>331.71899999999999</v>
      </c>
      <c r="AH64" s="10"/>
      <c r="AI64" s="10"/>
      <c r="AJ64" s="10"/>
    </row>
    <row r="65" spans="1:36" ht="18" customHeight="1">
      <c r="A65" s="33" t="s">
        <v>63</v>
      </c>
      <c r="B65" s="34">
        <v>2747</v>
      </c>
      <c r="C65" s="34">
        <v>3036</v>
      </c>
      <c r="D65" s="35">
        <v>4040</v>
      </c>
      <c r="E65" s="35">
        <v>5005</v>
      </c>
      <c r="F65" s="35">
        <v>7263</v>
      </c>
      <c r="G65" s="35">
        <v>10477</v>
      </c>
      <c r="H65" s="91"/>
      <c r="I65" s="37">
        <f t="shared" si="10"/>
        <v>0.4021891269845918</v>
      </c>
      <c r="J65" s="37">
        <f t="shared" si="10"/>
        <v>0.4629093149064118</v>
      </c>
      <c r="K65" s="37">
        <f t="shared" si="10"/>
        <v>0.51015447325919261</v>
      </c>
      <c r="L65" s="37">
        <f t="shared" si="10"/>
        <v>0.53740176714451227</v>
      </c>
      <c r="M65" s="40">
        <f t="shared" si="10"/>
        <v>0.75812217844001983</v>
      </c>
      <c r="N65" s="40">
        <f t="shared" si="11"/>
        <v>0.93112170081460932</v>
      </c>
      <c r="O65" s="40"/>
      <c r="P65" s="39">
        <v>41.597938144329902</v>
      </c>
      <c r="Q65" s="40">
        <f t="shared" si="7"/>
        <v>10.520567892246087</v>
      </c>
      <c r="R65" s="40">
        <f t="shared" si="4"/>
        <v>33.06982872200264</v>
      </c>
      <c r="S65" s="40">
        <f t="shared" si="4"/>
        <v>23.886138613861384</v>
      </c>
      <c r="T65" s="40">
        <f t="shared" si="4"/>
        <v>45.114885114885119</v>
      </c>
      <c r="U65" s="40">
        <f t="shared" si="14"/>
        <v>44.25168663086879</v>
      </c>
      <c r="V65" s="41" t="s">
        <v>120</v>
      </c>
      <c r="AA65" s="62" t="s">
        <v>38</v>
      </c>
      <c r="AB65" s="63">
        <v>41511</v>
      </c>
      <c r="AC65" s="63">
        <v>60666</v>
      </c>
      <c r="AD65" s="64">
        <v>118961</v>
      </c>
      <c r="AE65" s="64">
        <v>198655</v>
      </c>
      <c r="AF65" s="93">
        <v>229551</v>
      </c>
      <c r="AG65" s="35">
        <v>331719</v>
      </c>
      <c r="AH65" s="10"/>
      <c r="AI65" s="10"/>
      <c r="AJ65" s="10"/>
    </row>
    <row r="66" spans="1:36" ht="18" customHeight="1">
      <c r="A66" s="86" t="s">
        <v>64</v>
      </c>
      <c r="B66" s="87">
        <v>1394</v>
      </c>
      <c r="C66" s="87">
        <v>1580</v>
      </c>
      <c r="D66" s="35">
        <v>1699</v>
      </c>
      <c r="E66" s="35">
        <v>2292</v>
      </c>
      <c r="F66" s="35">
        <v>4047</v>
      </c>
      <c r="G66" s="35">
        <v>5936</v>
      </c>
      <c r="H66" s="91"/>
      <c r="I66" s="37">
        <f t="shared" si="10"/>
        <v>0.20409597488770331</v>
      </c>
      <c r="J66" s="37">
        <f t="shared" si="10"/>
        <v>0.24090800973390336</v>
      </c>
      <c r="K66" s="37">
        <f t="shared" si="10"/>
        <v>0.21454268566023965</v>
      </c>
      <c r="L66" s="37">
        <f t="shared" si="10"/>
        <v>0.24609887118785656</v>
      </c>
      <c r="M66" s="40">
        <f t="shared" si="10"/>
        <v>0.42243156493828443</v>
      </c>
      <c r="N66" s="40">
        <f t="shared" si="11"/>
        <v>0.52754971996139366</v>
      </c>
      <c r="O66" s="40"/>
      <c r="P66" s="39">
        <v>72.738537794299873</v>
      </c>
      <c r="Q66" s="40">
        <f t="shared" si="7"/>
        <v>13.342898134863701</v>
      </c>
      <c r="R66" s="40">
        <f t="shared" si="4"/>
        <v>7.5316455696202533</v>
      </c>
      <c r="S66" s="40">
        <f t="shared" si="4"/>
        <v>34.90288404944085</v>
      </c>
      <c r="T66" s="40">
        <f t="shared" si="4"/>
        <v>76.570680628272243</v>
      </c>
      <c r="U66" s="40">
        <f t="shared" si="14"/>
        <v>46.676550531257718</v>
      </c>
      <c r="V66" s="41" t="s">
        <v>121</v>
      </c>
      <c r="AG66" s="10"/>
      <c r="AH66" s="10"/>
      <c r="AI66" s="10"/>
      <c r="AJ66" s="10"/>
    </row>
    <row r="67" spans="1:36" s="85" customFormat="1" ht="18" customHeight="1">
      <c r="A67" s="88" t="s">
        <v>65</v>
      </c>
      <c r="B67" s="35">
        <v>2585</v>
      </c>
      <c r="C67" s="35">
        <v>2744</v>
      </c>
      <c r="D67" s="35">
        <v>3336</v>
      </c>
      <c r="E67" s="35">
        <v>4130</v>
      </c>
      <c r="F67" s="35">
        <v>5880</v>
      </c>
      <c r="G67" s="35">
        <v>9198</v>
      </c>
      <c r="H67" s="35"/>
      <c r="I67" s="36">
        <f t="shared" si="10"/>
        <v>0.37847065644527478</v>
      </c>
      <c r="J67" s="37">
        <f t="shared" si="10"/>
        <v>0.41838707513280432</v>
      </c>
      <c r="K67" s="37">
        <f t="shared" si="10"/>
        <v>0.42125626801798677</v>
      </c>
      <c r="L67" s="37">
        <f t="shared" si="10"/>
        <v>0.44345040925211504</v>
      </c>
      <c r="M67" s="40">
        <f t="shared" si="10"/>
        <v>0.61376268886511309</v>
      </c>
      <c r="N67" s="40">
        <f>G67/G$7*100</f>
        <v>0.81745322173263113</v>
      </c>
      <c r="O67" s="40"/>
      <c r="P67" s="39">
        <v>26.777832270720943</v>
      </c>
      <c r="Q67" s="40">
        <f t="shared" si="7"/>
        <v>6.1508704061895552</v>
      </c>
      <c r="R67" s="40">
        <f t="shared" si="4"/>
        <v>21.574344023323615</v>
      </c>
      <c r="S67" s="40">
        <f t="shared" si="4"/>
        <v>23.800959232613909</v>
      </c>
      <c r="T67" s="40">
        <f>(F67-E67)/E67*100</f>
        <v>42.372881355932201</v>
      </c>
      <c r="U67" s="40">
        <f t="shared" si="14"/>
        <v>56.428571428571431</v>
      </c>
      <c r="V67" s="81" t="s">
        <v>93</v>
      </c>
      <c r="AG67" s="89"/>
      <c r="AH67" s="89"/>
      <c r="AI67" s="89"/>
      <c r="AJ67" s="89"/>
    </row>
    <row r="68" spans="1:36" ht="18" customHeight="1">
      <c r="A68" s="42" t="s">
        <v>142</v>
      </c>
      <c r="B68" s="95" t="s">
        <v>5</v>
      </c>
      <c r="C68" s="95" t="s">
        <v>5</v>
      </c>
      <c r="D68" s="95" t="s">
        <v>5</v>
      </c>
      <c r="E68" s="95" t="s">
        <v>5</v>
      </c>
      <c r="F68" s="95" t="s">
        <v>5</v>
      </c>
      <c r="G68" s="35">
        <v>90</v>
      </c>
      <c r="H68" s="35"/>
      <c r="I68" s="97" t="s">
        <v>5</v>
      </c>
      <c r="J68" s="95" t="s">
        <v>5</v>
      </c>
      <c r="K68" s="95" t="s">
        <v>5</v>
      </c>
      <c r="L68" s="95" t="s">
        <v>5</v>
      </c>
      <c r="M68" s="95" t="s">
        <v>5</v>
      </c>
      <c r="N68" s="40">
        <f>G68/G$7*100</f>
        <v>7.9985638134308333E-3</v>
      </c>
      <c r="O68" s="40"/>
      <c r="P68" s="97" t="s">
        <v>5</v>
      </c>
      <c r="Q68" s="95" t="s">
        <v>5</v>
      </c>
      <c r="R68" s="95" t="s">
        <v>5</v>
      </c>
      <c r="S68" s="95" t="s">
        <v>5</v>
      </c>
      <c r="T68" s="95" t="s">
        <v>5</v>
      </c>
      <c r="U68" s="40">
        <v>0</v>
      </c>
      <c r="V68" s="81" t="s">
        <v>147</v>
      </c>
      <c r="AG68" s="10"/>
      <c r="AH68" s="10"/>
      <c r="AI68" s="10"/>
      <c r="AJ68" s="10"/>
    </row>
    <row r="69" spans="1:36" ht="18" customHeight="1">
      <c r="A69" s="90" t="s">
        <v>144</v>
      </c>
      <c r="B69" s="96" t="s">
        <v>5</v>
      </c>
      <c r="C69" s="96" t="s">
        <v>5</v>
      </c>
      <c r="D69" s="96" t="s">
        <v>5</v>
      </c>
      <c r="E69" s="96" t="s">
        <v>5</v>
      </c>
      <c r="F69" s="96" t="s">
        <v>5</v>
      </c>
      <c r="G69" s="94">
        <v>33</v>
      </c>
      <c r="H69" s="94"/>
      <c r="I69" s="98" t="s">
        <v>5</v>
      </c>
      <c r="J69" s="96" t="s">
        <v>5</v>
      </c>
      <c r="K69" s="96" t="s">
        <v>5</v>
      </c>
      <c r="L69" s="96" t="s">
        <v>5</v>
      </c>
      <c r="M69" s="96" t="s">
        <v>5</v>
      </c>
      <c r="N69" s="45">
        <f t="shared" ref="N69" si="18">G69/G$7*100</f>
        <v>2.9328067315913054E-3</v>
      </c>
      <c r="O69" s="45"/>
      <c r="P69" s="98" t="s">
        <v>5</v>
      </c>
      <c r="Q69" s="96" t="s">
        <v>5</v>
      </c>
      <c r="R69" s="96" t="s">
        <v>5</v>
      </c>
      <c r="S69" s="96" t="s">
        <v>5</v>
      </c>
      <c r="T69" s="96" t="s">
        <v>5</v>
      </c>
      <c r="U69" s="45">
        <v>0</v>
      </c>
      <c r="V69" s="46" t="s">
        <v>146</v>
      </c>
      <c r="AG69" s="10"/>
      <c r="AH69" s="10"/>
      <c r="AI69" s="10"/>
      <c r="AJ69" s="10"/>
    </row>
    <row r="70" spans="1:36" ht="12" customHeight="1">
      <c r="A70" s="17" t="s">
        <v>143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13"/>
      <c r="Q70" s="6"/>
      <c r="R70" s="6"/>
      <c r="S70" s="6"/>
      <c r="T70" s="6"/>
      <c r="U70" s="6"/>
      <c r="V70" s="7" t="s">
        <v>145</v>
      </c>
    </row>
    <row r="71" spans="1:36" ht="22.95" customHeight="1">
      <c r="A71" s="18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3"/>
      <c r="Q71" s="6"/>
      <c r="R71" s="6"/>
      <c r="S71" s="6"/>
      <c r="T71" s="6"/>
      <c r="U71" s="6"/>
      <c r="V71" s="8"/>
      <c r="AC71" s="62"/>
      <c r="AD71" s="93"/>
    </row>
    <row r="72" spans="1:36">
      <c r="AC72" s="62" t="s">
        <v>17</v>
      </c>
      <c r="AD72" s="93">
        <v>98351</v>
      </c>
    </row>
    <row r="73" spans="1:36">
      <c r="AC73" s="62" t="s">
        <v>35</v>
      </c>
      <c r="AD73" s="93">
        <v>91776</v>
      </c>
    </row>
    <row r="74" spans="1:36">
      <c r="AC74" s="62" t="s">
        <v>27</v>
      </c>
      <c r="AD74" s="93">
        <v>66378</v>
      </c>
    </row>
    <row r="75" spans="1:36">
      <c r="AC75" s="62" t="s">
        <v>22</v>
      </c>
      <c r="AD75" s="93">
        <v>62782</v>
      </c>
    </row>
    <row r="76" spans="1:36">
      <c r="AC76" s="62" t="s">
        <v>16</v>
      </c>
      <c r="AD76" s="93">
        <v>56775</v>
      </c>
    </row>
    <row r="77" spans="1:36">
      <c r="AC77" s="62" t="s">
        <v>41</v>
      </c>
      <c r="AD77" s="93">
        <v>36438</v>
      </c>
    </row>
    <row r="78" spans="1:36">
      <c r="AC78" s="62" t="s">
        <v>32</v>
      </c>
      <c r="AD78" s="93">
        <v>35457</v>
      </c>
    </row>
    <row r="79" spans="1:36">
      <c r="AC79" s="62" t="s">
        <v>39</v>
      </c>
      <c r="AD79" s="93">
        <v>31721</v>
      </c>
    </row>
    <row r="80" spans="1:36">
      <c r="AC80" s="62" t="s">
        <v>42</v>
      </c>
      <c r="AD80" s="93">
        <v>23933</v>
      </c>
    </row>
    <row r="83" spans="29:30" ht="14.4">
      <c r="AC83" s="33" t="s">
        <v>38</v>
      </c>
      <c r="AD83" s="35">
        <v>331719</v>
      </c>
    </row>
    <row r="84" spans="29:30" ht="14.4">
      <c r="AC84" s="33" t="s">
        <v>17</v>
      </c>
      <c r="AD84" s="35">
        <v>93598</v>
      </c>
    </row>
    <row r="85" spans="29:30" ht="14.4">
      <c r="AC85" s="33" t="s">
        <v>35</v>
      </c>
      <c r="AD85" s="35">
        <v>85869</v>
      </c>
    </row>
    <row r="86" spans="29:30" ht="14.4">
      <c r="AC86" s="33" t="s">
        <v>27</v>
      </c>
      <c r="AD86" s="35">
        <v>76479</v>
      </c>
    </row>
    <row r="87" spans="29:30" ht="14.4">
      <c r="AC87" s="33" t="s">
        <v>22</v>
      </c>
      <c r="AD87" s="35">
        <v>57854</v>
      </c>
    </row>
    <row r="88" spans="29:30" ht="14.4">
      <c r="AC88" s="33" t="s">
        <v>16</v>
      </c>
      <c r="AD88" s="35">
        <v>54328</v>
      </c>
    </row>
    <row r="89" spans="29:30" ht="14.4">
      <c r="AC89" s="33" t="s">
        <v>41</v>
      </c>
      <c r="AD89" s="35">
        <v>39463</v>
      </c>
    </row>
    <row r="90" spans="29:30" ht="14.4">
      <c r="AC90" s="33" t="s">
        <v>39</v>
      </c>
      <c r="AD90" s="35">
        <v>38014</v>
      </c>
    </row>
    <row r="91" spans="29:30" ht="14.4">
      <c r="AC91" s="86" t="s">
        <v>32</v>
      </c>
      <c r="AD91" s="35">
        <v>34102</v>
      </c>
    </row>
    <row r="92" spans="29:30" ht="14.4">
      <c r="AC92" s="88" t="s">
        <v>42</v>
      </c>
      <c r="AD92" s="35">
        <v>30306</v>
      </c>
    </row>
  </sheetData>
  <sortState ref="AC83:AD92">
    <sortCondition descending="1" ref="AD83:AD92"/>
  </sortState>
  <mergeCells count="9">
    <mergeCell ref="A1:V1"/>
    <mergeCell ref="A2:V2"/>
    <mergeCell ref="A4:A6"/>
    <mergeCell ref="I4:N4"/>
    <mergeCell ref="I5:N5"/>
    <mergeCell ref="B5:G5"/>
    <mergeCell ref="B4:G4"/>
    <mergeCell ref="P5:U5"/>
    <mergeCell ref="P4:U4"/>
  </mergeCells>
  <pageMargins left="0.13" right="0.17" top="0.46" bottom="0.44" header="0.31496062992126" footer="0.31496062992126"/>
  <pageSetup paperSize="9" scale="53" orientation="portrait" r:id="rId1"/>
  <colBreaks count="1" manualBreakCount="1">
    <brk id="23" max="1048575" man="1"/>
  </colBreaks>
  <ignoredErrors>
    <ignoredError sqref="B6:F6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A1:U62"/>
  <sheetViews>
    <sheetView topLeftCell="A27" workbookViewId="0">
      <selection activeCell="M20" sqref="M20"/>
    </sheetView>
  </sheetViews>
  <sheetFormatPr defaultColWidth="9.109375" defaultRowHeight="13.2"/>
  <cols>
    <col min="1" max="1" width="16.33203125" style="1" customWidth="1"/>
    <col min="2" max="2" width="8.109375" style="1" customWidth="1"/>
    <col min="3" max="4" width="8.6640625" style="1" customWidth="1"/>
    <col min="5" max="6" width="9.109375" style="1" customWidth="1"/>
    <col min="7" max="7" width="7" style="1" customWidth="1"/>
    <col min="8" max="9" width="7.33203125" style="1" customWidth="1"/>
    <col min="10" max="11" width="7.88671875" style="1" customWidth="1"/>
    <col min="12" max="16384" width="9.109375" style="1"/>
  </cols>
  <sheetData>
    <row r="1" spans="1:21" ht="24" customHeight="1">
      <c r="A1" s="113" t="s">
        <v>131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M1" s="2" t="s">
        <v>6</v>
      </c>
      <c r="N1" s="2" t="s">
        <v>10</v>
      </c>
      <c r="O1" s="2" t="s">
        <v>122</v>
      </c>
      <c r="P1" s="2" t="s">
        <v>127</v>
      </c>
      <c r="Q1" s="49" t="s">
        <v>130</v>
      </c>
      <c r="S1" s="50">
        <f>Q2/M2</f>
        <v>5.5298836452988356</v>
      </c>
      <c r="T1" s="51" t="s">
        <v>133</v>
      </c>
      <c r="U1" s="51"/>
    </row>
    <row r="2" spans="1:21" ht="9.75" customHeight="1">
      <c r="A2" s="114" t="s">
        <v>132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52" t="s">
        <v>38</v>
      </c>
      <c r="M2" s="53">
        <f>M4/1000</f>
        <v>41.511000000000003</v>
      </c>
      <c r="N2" s="53">
        <f>N4/1000</f>
        <v>60.665999999999997</v>
      </c>
      <c r="O2" s="53">
        <f>O4/1000</f>
        <v>118.961</v>
      </c>
      <c r="P2" s="53">
        <f>P4/1000</f>
        <v>198.655</v>
      </c>
      <c r="Q2" s="53">
        <f>Q4/1000</f>
        <v>229.55099999999999</v>
      </c>
      <c r="R2" s="54" t="s">
        <v>134</v>
      </c>
    </row>
    <row r="3" spans="1:21" ht="3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21" ht="21" customHeight="1">
      <c r="A4" s="115" t="s">
        <v>135</v>
      </c>
      <c r="B4" s="108" t="s">
        <v>8</v>
      </c>
      <c r="C4" s="118"/>
      <c r="D4" s="118"/>
      <c r="E4" s="118"/>
      <c r="F4" s="119"/>
      <c r="G4" s="120" t="s">
        <v>128</v>
      </c>
      <c r="H4" s="112"/>
      <c r="I4" s="112"/>
      <c r="J4" s="112"/>
      <c r="K4" s="121"/>
      <c r="L4" s="52" t="s">
        <v>38</v>
      </c>
      <c r="M4" s="53">
        <v>41511</v>
      </c>
      <c r="N4" s="53">
        <v>60666</v>
      </c>
      <c r="O4" s="55">
        <v>118961</v>
      </c>
      <c r="P4" s="55">
        <v>198655</v>
      </c>
      <c r="Q4" s="56">
        <v>229551</v>
      </c>
    </row>
    <row r="5" spans="1:21" ht="13.5" customHeight="1">
      <c r="A5" s="116"/>
      <c r="B5" s="107" t="s">
        <v>123</v>
      </c>
      <c r="C5" s="107"/>
      <c r="D5" s="107"/>
      <c r="E5" s="107"/>
      <c r="F5" s="122"/>
      <c r="G5" s="123" t="s">
        <v>125</v>
      </c>
      <c r="H5" s="110"/>
      <c r="I5" s="110"/>
      <c r="J5" s="110"/>
      <c r="K5" s="124"/>
    </row>
    <row r="6" spans="1:21" ht="15" customHeight="1">
      <c r="A6" s="117"/>
      <c r="B6" s="2" t="s">
        <v>6</v>
      </c>
      <c r="C6" s="2" t="s">
        <v>10</v>
      </c>
      <c r="D6" s="2" t="s">
        <v>122</v>
      </c>
      <c r="E6" s="2" t="s">
        <v>127</v>
      </c>
      <c r="F6" s="49" t="s">
        <v>130</v>
      </c>
      <c r="G6" s="57">
        <v>2008</v>
      </c>
      <c r="H6" s="3">
        <v>2009</v>
      </c>
      <c r="I6" s="3">
        <v>2010</v>
      </c>
      <c r="J6" s="3">
        <v>2011</v>
      </c>
      <c r="K6" s="58">
        <v>2012</v>
      </c>
    </row>
    <row r="7" spans="1:21" ht="12.75" customHeight="1">
      <c r="A7" s="52" t="s">
        <v>38</v>
      </c>
      <c r="B7" s="53">
        <v>41511</v>
      </c>
      <c r="C7" s="53">
        <v>60666</v>
      </c>
      <c r="D7" s="55">
        <v>118961</v>
      </c>
      <c r="E7" s="55">
        <v>198655</v>
      </c>
      <c r="F7" s="56">
        <v>229551</v>
      </c>
      <c r="G7" s="59">
        <v>15.385256837891928</v>
      </c>
      <c r="H7" s="59">
        <f t="shared" ref="H7:K38" si="0">(C7-B7)/B7*100</f>
        <v>46.144395461443956</v>
      </c>
      <c r="I7" s="60">
        <f t="shared" si="0"/>
        <v>96.091715293574651</v>
      </c>
      <c r="J7" s="60">
        <f t="shared" si="0"/>
        <v>66.991703163221558</v>
      </c>
      <c r="K7" s="61">
        <f t="shared" si="0"/>
        <v>15.552591175656289</v>
      </c>
    </row>
    <row r="8" spans="1:21" ht="12.75" customHeight="1">
      <c r="A8" s="52" t="s">
        <v>17</v>
      </c>
      <c r="B8" s="53">
        <v>69240</v>
      </c>
      <c r="C8" s="53">
        <v>69085</v>
      </c>
      <c r="D8" s="55">
        <v>77108</v>
      </c>
      <c r="E8" s="55">
        <v>90517</v>
      </c>
      <c r="F8" s="56">
        <v>98351</v>
      </c>
      <c r="G8" s="59">
        <v>-4.1912853367280576</v>
      </c>
      <c r="H8" s="59">
        <f t="shared" si="0"/>
        <v>-0.2238590410167533</v>
      </c>
      <c r="I8" s="60">
        <f t="shared" si="0"/>
        <v>11.613230078888325</v>
      </c>
      <c r="J8" s="60">
        <f t="shared" si="0"/>
        <v>17.389894693157647</v>
      </c>
      <c r="K8" s="61">
        <f t="shared" si="0"/>
        <v>8.654727841179005</v>
      </c>
    </row>
    <row r="9" spans="1:21" ht="12.75" customHeight="1">
      <c r="A9" s="52" t="s">
        <v>35</v>
      </c>
      <c r="B9" s="53">
        <v>116821</v>
      </c>
      <c r="C9" s="53">
        <v>105950</v>
      </c>
      <c r="D9" s="55">
        <v>114158</v>
      </c>
      <c r="E9" s="55">
        <v>104508</v>
      </c>
      <c r="F9" s="56">
        <v>91776</v>
      </c>
      <c r="G9" s="59">
        <v>-6.6611802681410701</v>
      </c>
      <c r="H9" s="59">
        <f t="shared" si="0"/>
        <v>-9.3056899016443957</v>
      </c>
      <c r="I9" s="60">
        <f t="shared" si="0"/>
        <v>7.7470504955167536</v>
      </c>
      <c r="J9" s="60">
        <f t="shared" si="0"/>
        <v>-8.4531964470295549</v>
      </c>
      <c r="K9" s="61">
        <f t="shared" si="0"/>
        <v>-12.182799402916524</v>
      </c>
    </row>
    <row r="10" spans="1:21" ht="12.75" customHeight="1">
      <c r="A10" s="52" t="s">
        <v>27</v>
      </c>
      <c r="B10" s="53">
        <v>48978</v>
      </c>
      <c r="C10" s="53">
        <v>40014</v>
      </c>
      <c r="D10" s="55">
        <v>49111</v>
      </c>
      <c r="E10" s="55">
        <v>63936</v>
      </c>
      <c r="F10" s="56">
        <v>66378</v>
      </c>
      <c r="G10" s="59">
        <v>53.801224682053693</v>
      </c>
      <c r="H10" s="59">
        <f t="shared" si="0"/>
        <v>-18.302094818081589</v>
      </c>
      <c r="I10" s="60">
        <f t="shared" si="0"/>
        <v>22.734542909981506</v>
      </c>
      <c r="J10" s="60">
        <f t="shared" si="0"/>
        <v>30.186719879456742</v>
      </c>
      <c r="K10" s="61">
        <f t="shared" si="0"/>
        <v>3.8194444444444446</v>
      </c>
    </row>
    <row r="11" spans="1:21" ht="12.75" customHeight="1">
      <c r="A11" s="52" t="s">
        <v>22</v>
      </c>
      <c r="B11" s="53">
        <v>103824</v>
      </c>
      <c r="C11" s="53">
        <v>89292</v>
      </c>
      <c r="D11" s="55">
        <v>89596</v>
      </c>
      <c r="E11" s="55">
        <v>83088</v>
      </c>
      <c r="F11" s="56">
        <v>62782</v>
      </c>
      <c r="G11" s="59">
        <v>-11.44772529553247</v>
      </c>
      <c r="H11" s="59">
        <f t="shared" si="0"/>
        <v>-13.996763754045308</v>
      </c>
      <c r="I11" s="60">
        <f t="shared" si="0"/>
        <v>0.34045603189535456</v>
      </c>
      <c r="J11" s="60">
        <f t="shared" si="0"/>
        <v>-7.2637171302290273</v>
      </c>
      <c r="K11" s="61">
        <f t="shared" si="0"/>
        <v>-24.439148854226843</v>
      </c>
    </row>
    <row r="12" spans="1:21" ht="12.75" customHeight="1">
      <c r="A12" s="52" t="s">
        <v>16</v>
      </c>
      <c r="B12" s="53">
        <v>48100</v>
      </c>
      <c r="C12" s="53">
        <v>50373</v>
      </c>
      <c r="D12" s="55">
        <v>54789</v>
      </c>
      <c r="E12" s="55">
        <v>59694</v>
      </c>
      <c r="F12" s="56">
        <v>56775</v>
      </c>
      <c r="G12" s="59">
        <v>6.1786715525043601</v>
      </c>
      <c r="H12" s="59">
        <f t="shared" si="0"/>
        <v>4.7255717255717258</v>
      </c>
      <c r="I12" s="60">
        <f t="shared" si="0"/>
        <v>8.766601155380858</v>
      </c>
      <c r="J12" s="60">
        <f t="shared" si="0"/>
        <v>8.9525269670919343</v>
      </c>
      <c r="K12" s="61">
        <f t="shared" si="0"/>
        <v>-4.889938687305257</v>
      </c>
    </row>
    <row r="13" spans="1:21" ht="12.75" customHeight="1">
      <c r="A13" s="52" t="s">
        <v>41</v>
      </c>
      <c r="B13" s="53">
        <v>38193</v>
      </c>
      <c r="C13" s="53">
        <v>36641</v>
      </c>
      <c r="D13" s="55">
        <v>38791</v>
      </c>
      <c r="E13" s="55">
        <v>35782</v>
      </c>
      <c r="F13" s="56">
        <v>36438</v>
      </c>
      <c r="G13" s="59">
        <v>-7.120449405413293</v>
      </c>
      <c r="H13" s="59">
        <f t="shared" si="0"/>
        <v>-4.063571858717566</v>
      </c>
      <c r="I13" s="60">
        <f t="shared" si="0"/>
        <v>5.8677437842853637</v>
      </c>
      <c r="J13" s="60">
        <f t="shared" si="0"/>
        <v>-7.7569539326132348</v>
      </c>
      <c r="K13" s="61">
        <f t="shared" si="0"/>
        <v>1.8333240176625119</v>
      </c>
    </row>
    <row r="14" spans="1:21" ht="12.75" customHeight="1">
      <c r="A14" s="52" t="s">
        <v>32</v>
      </c>
      <c r="B14" s="53">
        <v>26983</v>
      </c>
      <c r="C14" s="53">
        <v>26783</v>
      </c>
      <c r="D14" s="55">
        <v>27766</v>
      </c>
      <c r="E14" s="55">
        <v>32504</v>
      </c>
      <c r="F14" s="56">
        <v>35457</v>
      </c>
      <c r="G14" s="59">
        <v>3.0554176373983117</v>
      </c>
      <c r="H14" s="59">
        <f t="shared" si="0"/>
        <v>-0.74120742689841757</v>
      </c>
      <c r="I14" s="60">
        <f t="shared" si="0"/>
        <v>3.6702385841765301</v>
      </c>
      <c r="J14" s="60">
        <f t="shared" si="0"/>
        <v>17.064035150903983</v>
      </c>
      <c r="K14" s="61">
        <f t="shared" si="0"/>
        <v>9.0850356879153349</v>
      </c>
    </row>
    <row r="15" spans="1:21" ht="12.75" customHeight="1">
      <c r="A15" s="52" t="s">
        <v>39</v>
      </c>
      <c r="B15" s="53">
        <v>16663</v>
      </c>
      <c r="C15" s="53">
        <v>15850</v>
      </c>
      <c r="D15" s="55">
        <v>25756</v>
      </c>
      <c r="E15" s="55">
        <v>30978</v>
      </c>
      <c r="F15" s="56">
        <v>31721</v>
      </c>
      <c r="G15" s="59">
        <v>-3.832169446528539</v>
      </c>
      <c r="H15" s="59">
        <f t="shared" si="0"/>
        <v>-4.8790733961471524</v>
      </c>
      <c r="I15" s="60">
        <f t="shared" si="0"/>
        <v>62.498422712933753</v>
      </c>
      <c r="J15" s="60">
        <f t="shared" si="0"/>
        <v>20.274887404876534</v>
      </c>
      <c r="K15" s="61">
        <f t="shared" si="0"/>
        <v>2.3984763380463554</v>
      </c>
    </row>
    <row r="16" spans="1:21" ht="12.75" customHeight="1">
      <c r="A16" s="52" t="s">
        <v>42</v>
      </c>
      <c r="B16" s="53">
        <v>20934</v>
      </c>
      <c r="C16" s="53">
        <v>16135</v>
      </c>
      <c r="D16" s="55">
        <v>24808</v>
      </c>
      <c r="E16" s="55">
        <v>25285</v>
      </c>
      <c r="F16" s="56">
        <v>23933</v>
      </c>
      <c r="G16" s="59">
        <v>-0.20022883295194507</v>
      </c>
      <c r="H16" s="59">
        <f t="shared" si="0"/>
        <v>-22.92442915830706</v>
      </c>
      <c r="I16" s="60">
        <f t="shared" si="0"/>
        <v>53.752711496746208</v>
      </c>
      <c r="J16" s="60">
        <f t="shared" si="0"/>
        <v>1.9227668494034182</v>
      </c>
      <c r="K16" s="61">
        <f t="shared" si="0"/>
        <v>-5.3470437017994854</v>
      </c>
    </row>
    <row r="17" spans="1:15" ht="12.75" customHeight="1">
      <c r="A17" s="62" t="s">
        <v>36</v>
      </c>
      <c r="B17" s="63">
        <v>9482</v>
      </c>
      <c r="C17" s="63">
        <v>9476</v>
      </c>
      <c r="D17" s="64">
        <v>10220</v>
      </c>
      <c r="E17" s="64">
        <v>12088</v>
      </c>
      <c r="F17" s="65">
        <v>18612</v>
      </c>
      <c r="G17" s="66">
        <v>16.272225628448805</v>
      </c>
      <c r="H17" s="66">
        <f t="shared" si="0"/>
        <v>-6.3277789495886944E-2</v>
      </c>
      <c r="I17" s="67">
        <f t="shared" si="0"/>
        <v>7.8514140987758552</v>
      </c>
      <c r="J17" s="67">
        <f t="shared" si="0"/>
        <v>18.277886497064578</v>
      </c>
      <c r="K17" s="68">
        <f t="shared" si="0"/>
        <v>53.970880211780283</v>
      </c>
    </row>
    <row r="18" spans="1:15" ht="12.75" customHeight="1">
      <c r="A18" s="62" t="s">
        <v>11</v>
      </c>
      <c r="B18" s="63">
        <v>13462</v>
      </c>
      <c r="C18" s="63">
        <v>13274</v>
      </c>
      <c r="D18" s="64">
        <v>14944</v>
      </c>
      <c r="E18" s="64">
        <v>16655</v>
      </c>
      <c r="F18" s="65">
        <v>18164</v>
      </c>
      <c r="G18" s="66">
        <v>-1.5431873034447401</v>
      </c>
      <c r="H18" s="66">
        <f t="shared" si="0"/>
        <v>-1.3965235477640767</v>
      </c>
      <c r="I18" s="67">
        <f t="shared" si="0"/>
        <v>12.580985384963087</v>
      </c>
      <c r="J18" s="67">
        <f t="shared" si="0"/>
        <v>11.44941113490364</v>
      </c>
      <c r="K18" s="68">
        <f t="shared" si="0"/>
        <v>9.0603422395676976</v>
      </c>
    </row>
    <row r="19" spans="1:15" ht="12.75" customHeight="1">
      <c r="A19" s="62" t="s">
        <v>56</v>
      </c>
      <c r="B19" s="63">
        <v>8853</v>
      </c>
      <c r="C19" s="63">
        <v>9438</v>
      </c>
      <c r="D19" s="64">
        <v>11482</v>
      </c>
      <c r="E19" s="64">
        <v>14490</v>
      </c>
      <c r="F19" s="65">
        <v>16049</v>
      </c>
      <c r="G19" s="66">
        <v>-5.2952503209242625</v>
      </c>
      <c r="H19" s="66">
        <f t="shared" si="0"/>
        <v>6.607929515418502</v>
      </c>
      <c r="I19" s="67">
        <f t="shared" si="0"/>
        <v>21.657130748039837</v>
      </c>
      <c r="J19" s="67">
        <f t="shared" si="0"/>
        <v>26.197526563316497</v>
      </c>
      <c r="K19" s="68">
        <f t="shared" si="0"/>
        <v>10.759144237405106</v>
      </c>
    </row>
    <row r="20" spans="1:15" ht="12.75" customHeight="1">
      <c r="A20" s="62" t="s">
        <v>58</v>
      </c>
      <c r="B20" s="63">
        <v>9368</v>
      </c>
      <c r="C20" s="63">
        <v>7392</v>
      </c>
      <c r="D20" s="64">
        <v>9622</v>
      </c>
      <c r="E20" s="64">
        <v>12778</v>
      </c>
      <c r="F20" s="65">
        <v>15208</v>
      </c>
      <c r="G20" s="66">
        <v>-0.40399744843716773</v>
      </c>
      <c r="H20" s="66">
        <f t="shared" si="0"/>
        <v>-21.093082835183605</v>
      </c>
      <c r="I20" s="67">
        <f t="shared" si="0"/>
        <v>30.167748917748916</v>
      </c>
      <c r="J20" s="67">
        <f t="shared" si="0"/>
        <v>32.799833714404492</v>
      </c>
      <c r="K20" s="68">
        <f t="shared" si="0"/>
        <v>19.017060572859602</v>
      </c>
    </row>
    <row r="21" spans="1:15" ht="12.75" customHeight="1">
      <c r="A21" s="62" t="s">
        <v>46</v>
      </c>
      <c r="B21" s="63">
        <v>4956</v>
      </c>
      <c r="C21" s="63">
        <v>5214</v>
      </c>
      <c r="D21" s="64">
        <v>5332</v>
      </c>
      <c r="E21" s="64">
        <v>7990</v>
      </c>
      <c r="F21" s="65">
        <v>9625</v>
      </c>
      <c r="G21" s="66">
        <v>11.220825852782765</v>
      </c>
      <c r="H21" s="66">
        <f t="shared" si="0"/>
        <v>5.2058111380145284</v>
      </c>
      <c r="I21" s="67">
        <f t="shared" si="0"/>
        <v>2.263137706175681</v>
      </c>
      <c r="J21" s="67">
        <f t="shared" si="0"/>
        <v>49.849962490622659</v>
      </c>
      <c r="K21" s="68">
        <f t="shared" si="0"/>
        <v>20.463078848560702</v>
      </c>
    </row>
    <row r="22" spans="1:15" ht="12.75" customHeight="1">
      <c r="A22" s="62" t="s">
        <v>47</v>
      </c>
      <c r="B22" s="63">
        <v>9752</v>
      </c>
      <c r="C22" s="63">
        <v>7833</v>
      </c>
      <c r="D22" s="64">
        <v>7872</v>
      </c>
      <c r="E22" s="64">
        <v>9670</v>
      </c>
      <c r="F22" s="65">
        <v>8860</v>
      </c>
      <c r="G22" s="66">
        <v>1.015123264967889</v>
      </c>
      <c r="H22" s="66">
        <f t="shared" si="0"/>
        <v>-19.678014766201805</v>
      </c>
      <c r="I22" s="67">
        <f t="shared" si="0"/>
        <v>0.49789352738414405</v>
      </c>
      <c r="J22" s="67">
        <f t="shared" si="0"/>
        <v>22.840447154471544</v>
      </c>
      <c r="K22" s="68">
        <f t="shared" si="0"/>
        <v>-8.3764219234746644</v>
      </c>
    </row>
    <row r="23" spans="1:15" ht="12.75" customHeight="1">
      <c r="A23" s="62" t="s">
        <v>30</v>
      </c>
      <c r="B23" s="63">
        <v>8217</v>
      </c>
      <c r="C23" s="63">
        <v>7279</v>
      </c>
      <c r="D23" s="64">
        <v>8912</v>
      </c>
      <c r="E23" s="64">
        <v>9710</v>
      </c>
      <c r="F23" s="65">
        <v>8824</v>
      </c>
      <c r="G23" s="66">
        <v>-6.6037735849056602</v>
      </c>
      <c r="H23" s="66">
        <f t="shared" si="0"/>
        <v>-11.415358403310211</v>
      </c>
      <c r="I23" s="67">
        <f t="shared" si="0"/>
        <v>22.434400329715622</v>
      </c>
      <c r="J23" s="67">
        <f t="shared" si="0"/>
        <v>8.9542190305206457</v>
      </c>
      <c r="K23" s="68">
        <f t="shared" si="0"/>
        <v>-9.1246138002059727</v>
      </c>
      <c r="O23" s="51" t="s">
        <v>136</v>
      </c>
    </row>
    <row r="24" spans="1:15" ht="12.75" customHeight="1">
      <c r="A24" s="62" t="s">
        <v>34</v>
      </c>
      <c r="B24" s="63">
        <v>5399</v>
      </c>
      <c r="C24" s="63">
        <v>4643</v>
      </c>
      <c r="D24" s="64">
        <v>5445</v>
      </c>
      <c r="E24" s="64">
        <v>6729</v>
      </c>
      <c r="F24" s="65">
        <v>8044</v>
      </c>
      <c r="G24" s="66">
        <v>52.299012693935119</v>
      </c>
      <c r="H24" s="66">
        <f t="shared" si="0"/>
        <v>-14.002593072791258</v>
      </c>
      <c r="I24" s="67">
        <f t="shared" si="0"/>
        <v>17.273314667241007</v>
      </c>
      <c r="J24" s="67">
        <f t="shared" si="0"/>
        <v>23.581267217630856</v>
      </c>
      <c r="K24" s="68">
        <f t="shared" si="0"/>
        <v>19.542279684945758</v>
      </c>
    </row>
    <row r="25" spans="1:15" ht="12.75" customHeight="1">
      <c r="A25" s="62" t="s">
        <v>63</v>
      </c>
      <c r="B25" s="63">
        <v>2747</v>
      </c>
      <c r="C25" s="63">
        <v>3036</v>
      </c>
      <c r="D25" s="64">
        <v>4040</v>
      </c>
      <c r="E25" s="64">
        <v>5005</v>
      </c>
      <c r="F25" s="65">
        <v>7263</v>
      </c>
      <c r="G25" s="66">
        <v>41.597938144329902</v>
      </c>
      <c r="H25" s="66">
        <f t="shared" si="0"/>
        <v>10.520567892246087</v>
      </c>
      <c r="I25" s="67">
        <f t="shared" si="0"/>
        <v>33.06982872200264</v>
      </c>
      <c r="J25" s="67">
        <f t="shared" si="0"/>
        <v>23.886138613861384</v>
      </c>
      <c r="K25" s="68">
        <f t="shared" si="0"/>
        <v>45.114885114885119</v>
      </c>
    </row>
    <row r="26" spans="1:15" ht="12.75" customHeight="1">
      <c r="A26" s="62" t="s">
        <v>49</v>
      </c>
      <c r="B26" s="63">
        <v>3952</v>
      </c>
      <c r="C26" s="63">
        <v>3813</v>
      </c>
      <c r="D26" s="64">
        <v>5397</v>
      </c>
      <c r="E26" s="64">
        <v>6214</v>
      </c>
      <c r="F26" s="65">
        <v>6896</v>
      </c>
      <c r="G26" s="66">
        <v>7.8897078897078892</v>
      </c>
      <c r="H26" s="66">
        <f t="shared" si="0"/>
        <v>-3.5172064777327936</v>
      </c>
      <c r="I26" s="67">
        <f t="shared" si="0"/>
        <v>41.542092840283239</v>
      </c>
      <c r="J26" s="67">
        <f t="shared" si="0"/>
        <v>15.138039651658328</v>
      </c>
      <c r="K26" s="68">
        <f t="shared" si="0"/>
        <v>10.975217251367878</v>
      </c>
    </row>
    <row r="27" spans="1:15" ht="12.75" customHeight="1">
      <c r="A27" s="62" t="s">
        <v>43</v>
      </c>
      <c r="B27" s="63">
        <v>3137</v>
      </c>
      <c r="C27" s="63">
        <v>3139</v>
      </c>
      <c r="D27" s="64">
        <v>3894</v>
      </c>
      <c r="E27" s="64">
        <v>6055</v>
      </c>
      <c r="F27" s="65">
        <v>6766</v>
      </c>
      <c r="G27" s="66">
        <v>4.6015338446148721</v>
      </c>
      <c r="H27" s="66">
        <f t="shared" si="0"/>
        <v>6.3755180108383797E-2</v>
      </c>
      <c r="I27" s="67">
        <f t="shared" si="0"/>
        <v>24.052245938196879</v>
      </c>
      <c r="J27" s="67">
        <f t="shared" si="0"/>
        <v>55.495634309193633</v>
      </c>
      <c r="K27" s="68">
        <f t="shared" si="0"/>
        <v>11.742361684558217</v>
      </c>
    </row>
    <row r="28" spans="1:15" ht="12.75" customHeight="1">
      <c r="A28" s="62" t="s">
        <v>23</v>
      </c>
      <c r="B28" s="63">
        <v>5595</v>
      </c>
      <c r="C28" s="63">
        <v>5355</v>
      </c>
      <c r="D28" s="64">
        <v>5682</v>
      </c>
      <c r="E28" s="64">
        <v>5693</v>
      </c>
      <c r="F28" s="65">
        <v>6077</v>
      </c>
      <c r="G28" s="66">
        <v>-13.644080876678499</v>
      </c>
      <c r="H28" s="66">
        <f t="shared" si="0"/>
        <v>-4.2895442359249332</v>
      </c>
      <c r="I28" s="67">
        <f t="shared" si="0"/>
        <v>6.1064425770308119</v>
      </c>
      <c r="J28" s="67">
        <f t="shared" si="0"/>
        <v>0.19359380499824005</v>
      </c>
      <c r="K28" s="68">
        <f t="shared" si="0"/>
        <v>6.745125592833304</v>
      </c>
    </row>
    <row r="29" spans="1:15" ht="12.75" customHeight="1">
      <c r="A29" s="62" t="s">
        <v>65</v>
      </c>
      <c r="B29" s="63">
        <v>2585</v>
      </c>
      <c r="C29" s="63">
        <v>2744</v>
      </c>
      <c r="D29" s="64">
        <v>3336</v>
      </c>
      <c r="E29" s="64">
        <v>4130</v>
      </c>
      <c r="F29" s="65">
        <v>5880</v>
      </c>
      <c r="G29" s="66">
        <v>26.777832270720943</v>
      </c>
      <c r="H29" s="66">
        <f t="shared" si="0"/>
        <v>6.1508704061895552</v>
      </c>
      <c r="I29" s="67">
        <f t="shared" si="0"/>
        <v>21.574344023323615</v>
      </c>
      <c r="J29" s="67">
        <f t="shared" si="0"/>
        <v>23.800959232613909</v>
      </c>
      <c r="K29" s="68">
        <f t="shared" si="0"/>
        <v>42.372881355932201</v>
      </c>
    </row>
    <row r="30" spans="1:15" ht="12.75" customHeight="1">
      <c r="A30" s="62" t="s">
        <v>13</v>
      </c>
      <c r="B30" s="63">
        <v>3811</v>
      </c>
      <c r="C30" s="63">
        <v>3851</v>
      </c>
      <c r="D30" s="64">
        <v>5137</v>
      </c>
      <c r="E30" s="64">
        <v>6471</v>
      </c>
      <c r="F30" s="65">
        <v>5588</v>
      </c>
      <c r="G30" s="66">
        <v>37.780187997107738</v>
      </c>
      <c r="H30" s="66">
        <f t="shared" si="0"/>
        <v>1.0495932826029915</v>
      </c>
      <c r="I30" s="67">
        <f t="shared" si="0"/>
        <v>33.393923656193195</v>
      </c>
      <c r="J30" s="67">
        <f t="shared" si="0"/>
        <v>25.968464084095778</v>
      </c>
      <c r="K30" s="68">
        <f t="shared" si="0"/>
        <v>-13.645495286663575</v>
      </c>
    </row>
    <row r="31" spans="1:15" ht="12.75" customHeight="1">
      <c r="A31" s="62" t="s">
        <v>33</v>
      </c>
      <c r="B31" s="63">
        <v>3235</v>
      </c>
      <c r="C31" s="63">
        <v>2758</v>
      </c>
      <c r="D31" s="64">
        <v>4637</v>
      </c>
      <c r="E31" s="64">
        <v>4542</v>
      </c>
      <c r="F31" s="65">
        <v>5416</v>
      </c>
      <c r="G31" s="66">
        <v>32.473382473382472</v>
      </c>
      <c r="H31" s="66">
        <f t="shared" si="0"/>
        <v>-14.744976816074187</v>
      </c>
      <c r="I31" s="67">
        <f t="shared" si="0"/>
        <v>68.129079042784625</v>
      </c>
      <c r="J31" s="67">
        <f t="shared" si="0"/>
        <v>-2.0487384084537417</v>
      </c>
      <c r="K31" s="68">
        <f t="shared" si="0"/>
        <v>19.242624394539849</v>
      </c>
    </row>
    <row r="32" spans="1:15" ht="12.75" customHeight="1">
      <c r="A32" s="62" t="s">
        <v>31</v>
      </c>
      <c r="B32" s="63">
        <v>3542</v>
      </c>
      <c r="C32" s="63">
        <v>3165</v>
      </c>
      <c r="D32" s="64">
        <v>3638</v>
      </c>
      <c r="E32" s="64">
        <v>4896</v>
      </c>
      <c r="F32" s="65">
        <v>5230</v>
      </c>
      <c r="G32" s="66">
        <v>64.820846905537451</v>
      </c>
      <c r="H32" s="66">
        <f t="shared" si="0"/>
        <v>-10.643704121964992</v>
      </c>
      <c r="I32" s="67">
        <f t="shared" si="0"/>
        <v>14.944707740916272</v>
      </c>
      <c r="J32" s="67">
        <f t="shared" si="0"/>
        <v>34.579439252336449</v>
      </c>
      <c r="K32" s="68">
        <f t="shared" si="0"/>
        <v>6.8218954248366011</v>
      </c>
    </row>
    <row r="33" spans="1:14" ht="12.75" customHeight="1">
      <c r="A33" s="62" t="s">
        <v>55</v>
      </c>
      <c r="B33" s="63">
        <v>2966</v>
      </c>
      <c r="C33" s="63">
        <v>3043</v>
      </c>
      <c r="D33" s="64">
        <v>3815</v>
      </c>
      <c r="E33" s="64">
        <v>4690</v>
      </c>
      <c r="F33" s="65">
        <v>5070</v>
      </c>
      <c r="G33" s="66">
        <v>4.0336723956506493</v>
      </c>
      <c r="H33" s="66">
        <f t="shared" si="0"/>
        <v>2.5960890087660147</v>
      </c>
      <c r="I33" s="67">
        <f t="shared" si="0"/>
        <v>25.369700953006902</v>
      </c>
      <c r="J33" s="67">
        <f t="shared" si="0"/>
        <v>22.935779816513762</v>
      </c>
      <c r="K33" s="68">
        <f t="shared" si="0"/>
        <v>8.1023454157782524</v>
      </c>
    </row>
    <row r="34" spans="1:14" ht="12.75" customHeight="1">
      <c r="A34" s="62" t="s">
        <v>48</v>
      </c>
      <c r="B34" s="63">
        <v>2233</v>
      </c>
      <c r="C34" s="63">
        <v>1975</v>
      </c>
      <c r="D34" s="64">
        <v>3831</v>
      </c>
      <c r="E34" s="64">
        <v>5305</v>
      </c>
      <c r="F34" s="65">
        <v>4430</v>
      </c>
      <c r="G34" s="66">
        <v>10.654112983151636</v>
      </c>
      <c r="H34" s="66">
        <f t="shared" si="0"/>
        <v>-11.553963278101209</v>
      </c>
      <c r="I34" s="67">
        <f t="shared" si="0"/>
        <v>93.974683544303801</v>
      </c>
      <c r="J34" s="67">
        <f t="shared" si="0"/>
        <v>38.475593839728525</v>
      </c>
      <c r="K34" s="68">
        <f t="shared" si="0"/>
        <v>-16.493873704052781</v>
      </c>
    </row>
    <row r="35" spans="1:14" ht="12.75" customHeight="1">
      <c r="A35" s="62" t="s">
        <v>64</v>
      </c>
      <c r="B35" s="63">
        <v>1394</v>
      </c>
      <c r="C35" s="63">
        <v>1580</v>
      </c>
      <c r="D35" s="64">
        <v>1699</v>
      </c>
      <c r="E35" s="64">
        <v>2292</v>
      </c>
      <c r="F35" s="65">
        <v>4047</v>
      </c>
      <c r="G35" s="66">
        <v>72.738537794299873</v>
      </c>
      <c r="H35" s="66">
        <f t="shared" si="0"/>
        <v>13.342898134863701</v>
      </c>
      <c r="I35" s="67">
        <f t="shared" si="0"/>
        <v>7.5316455696202533</v>
      </c>
      <c r="J35" s="67">
        <f t="shared" si="0"/>
        <v>34.90288404944085</v>
      </c>
      <c r="K35" s="68">
        <f t="shared" si="0"/>
        <v>76.570680628272243</v>
      </c>
    </row>
    <row r="36" spans="1:14" ht="12.75" customHeight="1">
      <c r="A36" s="62" t="s">
        <v>51</v>
      </c>
      <c r="B36" s="63">
        <v>3732</v>
      </c>
      <c r="C36" s="63">
        <v>2975</v>
      </c>
      <c r="D36" s="64">
        <v>3157</v>
      </c>
      <c r="E36" s="64">
        <v>3684</v>
      </c>
      <c r="F36" s="65">
        <v>3967</v>
      </c>
      <c r="G36" s="66">
        <v>13.331308836926814</v>
      </c>
      <c r="H36" s="66">
        <f t="shared" si="0"/>
        <v>-20.284030010718112</v>
      </c>
      <c r="I36" s="67">
        <f t="shared" si="0"/>
        <v>6.1176470588235299</v>
      </c>
      <c r="J36" s="67">
        <f t="shared" si="0"/>
        <v>16.69306303452645</v>
      </c>
      <c r="K36" s="68">
        <f t="shared" si="0"/>
        <v>7.681867535287731</v>
      </c>
    </row>
    <row r="37" spans="1:14" ht="12.75" customHeight="1">
      <c r="A37" s="62" t="s">
        <v>25</v>
      </c>
      <c r="B37" s="63">
        <v>3325</v>
      </c>
      <c r="C37" s="63">
        <v>3357</v>
      </c>
      <c r="D37" s="64">
        <v>3795</v>
      </c>
      <c r="E37" s="64">
        <v>4158</v>
      </c>
      <c r="F37" s="65">
        <v>3918</v>
      </c>
      <c r="G37" s="66">
        <v>25.047010154193305</v>
      </c>
      <c r="H37" s="66">
        <f t="shared" si="0"/>
        <v>0.96240601503759393</v>
      </c>
      <c r="I37" s="67">
        <f t="shared" si="0"/>
        <v>13.047363717605004</v>
      </c>
      <c r="J37" s="67">
        <f t="shared" si="0"/>
        <v>9.5652173913043477</v>
      </c>
      <c r="K37" s="68">
        <f t="shared" si="0"/>
        <v>-5.7720057720057723</v>
      </c>
    </row>
    <row r="38" spans="1:14" ht="12.75" customHeight="1">
      <c r="A38" s="62" t="s">
        <v>26</v>
      </c>
      <c r="B38" s="63">
        <v>4150</v>
      </c>
      <c r="C38" s="63">
        <v>4822</v>
      </c>
      <c r="D38" s="64">
        <v>4555</v>
      </c>
      <c r="E38" s="64">
        <v>4434</v>
      </c>
      <c r="F38" s="65">
        <v>3660</v>
      </c>
      <c r="G38" s="66">
        <v>-0.90735434574976126</v>
      </c>
      <c r="H38" s="66">
        <f t="shared" si="0"/>
        <v>16.192771084337348</v>
      </c>
      <c r="I38" s="67">
        <f t="shared" si="0"/>
        <v>-5.5371215263376188</v>
      </c>
      <c r="J38" s="67">
        <f t="shared" si="0"/>
        <v>-2.6564215148188803</v>
      </c>
      <c r="K38" s="68">
        <f t="shared" si="0"/>
        <v>-17.456021650879567</v>
      </c>
    </row>
    <row r="39" spans="1:14" ht="12.75" customHeight="1">
      <c r="A39" s="62" t="s">
        <v>14</v>
      </c>
      <c r="B39" s="63">
        <v>1834</v>
      </c>
      <c r="C39" s="63">
        <v>1722</v>
      </c>
      <c r="D39" s="64">
        <v>2422</v>
      </c>
      <c r="E39" s="64">
        <v>3173</v>
      </c>
      <c r="F39" s="65">
        <v>3493</v>
      </c>
      <c r="G39" s="66">
        <v>0.82462891698735563</v>
      </c>
      <c r="H39" s="66">
        <f t="shared" ref="H39:K60" si="1">(C39-B39)/B39*100</f>
        <v>-6.1068702290076331</v>
      </c>
      <c r="I39" s="67">
        <f t="shared" si="1"/>
        <v>40.650406504065039</v>
      </c>
      <c r="J39" s="67">
        <f t="shared" si="1"/>
        <v>31.007431874483899</v>
      </c>
      <c r="K39" s="68">
        <f t="shared" si="1"/>
        <v>10.085092971950834</v>
      </c>
    </row>
    <row r="40" spans="1:14" ht="12.75" customHeight="1">
      <c r="A40" s="62" t="s">
        <v>52</v>
      </c>
      <c r="B40" s="63">
        <v>1962</v>
      </c>
      <c r="C40" s="63">
        <v>2059</v>
      </c>
      <c r="D40" s="64">
        <v>2471</v>
      </c>
      <c r="E40" s="64">
        <v>2781</v>
      </c>
      <c r="F40" s="65">
        <v>3128</v>
      </c>
      <c r="G40" s="66">
        <v>26.336123631680618</v>
      </c>
      <c r="H40" s="66">
        <f t="shared" si="1"/>
        <v>4.9439347604485224</v>
      </c>
      <c r="I40" s="67">
        <f t="shared" si="1"/>
        <v>20.009713453132587</v>
      </c>
      <c r="J40" s="67">
        <f t="shared" si="1"/>
        <v>12.545528126264671</v>
      </c>
      <c r="K40" s="68">
        <f t="shared" si="1"/>
        <v>12.47752606975908</v>
      </c>
    </row>
    <row r="41" spans="1:14" ht="12.75" customHeight="1">
      <c r="A41" s="62" t="s">
        <v>54</v>
      </c>
      <c r="B41" s="63">
        <v>1327</v>
      </c>
      <c r="C41" s="63">
        <v>1304</v>
      </c>
      <c r="D41" s="64">
        <v>1761</v>
      </c>
      <c r="E41" s="64">
        <v>2342</v>
      </c>
      <c r="F41" s="65">
        <v>3061</v>
      </c>
      <c r="G41" s="66">
        <v>87.429378531073439</v>
      </c>
      <c r="H41" s="66">
        <f t="shared" si="1"/>
        <v>-1.7332328560663148</v>
      </c>
      <c r="I41" s="67">
        <f t="shared" si="1"/>
        <v>35.04601226993865</v>
      </c>
      <c r="J41" s="67">
        <f t="shared" si="1"/>
        <v>32.992617830777967</v>
      </c>
      <c r="K41" s="68">
        <f t="shared" si="1"/>
        <v>30.700256191289498</v>
      </c>
    </row>
    <row r="42" spans="1:14" ht="12.75" customHeight="1">
      <c r="A42" s="62" t="s">
        <v>61</v>
      </c>
      <c r="B42" s="63">
        <v>1340</v>
      </c>
      <c r="C42" s="63">
        <v>1181</v>
      </c>
      <c r="D42" s="64">
        <v>1409</v>
      </c>
      <c r="E42" s="64">
        <v>1797</v>
      </c>
      <c r="F42" s="65">
        <v>2987</v>
      </c>
      <c r="G42" s="66">
        <v>33.466135458167329</v>
      </c>
      <c r="H42" s="66">
        <f t="shared" si="1"/>
        <v>-11.865671641791046</v>
      </c>
      <c r="I42" s="67">
        <f t="shared" si="1"/>
        <v>19.30567315834039</v>
      </c>
      <c r="J42" s="67">
        <f t="shared" si="1"/>
        <v>27.537260468417319</v>
      </c>
      <c r="K42" s="68">
        <f t="shared" si="1"/>
        <v>66.221480244852543</v>
      </c>
    </row>
    <row r="43" spans="1:14" ht="12.75" customHeight="1">
      <c r="A43" s="62" t="s">
        <v>24</v>
      </c>
      <c r="B43" s="63">
        <v>2596</v>
      </c>
      <c r="C43" s="63">
        <v>2120</v>
      </c>
      <c r="D43" s="64">
        <v>2153</v>
      </c>
      <c r="E43" s="64">
        <v>2775</v>
      </c>
      <c r="F43" s="65">
        <v>2902</v>
      </c>
      <c r="G43" s="66">
        <v>43.584070796460175</v>
      </c>
      <c r="H43" s="66">
        <f t="shared" si="1"/>
        <v>-18.335901386748844</v>
      </c>
      <c r="I43" s="67">
        <f t="shared" si="1"/>
        <v>1.5566037735849056</v>
      </c>
      <c r="J43" s="67">
        <f t="shared" si="1"/>
        <v>28.889921040408733</v>
      </c>
      <c r="K43" s="68">
        <f t="shared" si="1"/>
        <v>4.576576576576576</v>
      </c>
    </row>
    <row r="44" spans="1:14" ht="12.75" customHeight="1">
      <c r="A44" s="62" t="s">
        <v>28</v>
      </c>
      <c r="B44" s="63">
        <v>1916</v>
      </c>
      <c r="C44" s="63">
        <v>1970</v>
      </c>
      <c r="D44" s="64">
        <v>2348</v>
      </c>
      <c r="E44" s="64">
        <v>2822</v>
      </c>
      <c r="F44" s="65">
        <v>2636</v>
      </c>
      <c r="G44" s="66">
        <v>30.428863172226006</v>
      </c>
      <c r="H44" s="66">
        <f t="shared" si="1"/>
        <v>2.8183716075156577</v>
      </c>
      <c r="I44" s="67">
        <f t="shared" si="1"/>
        <v>19.18781725888325</v>
      </c>
      <c r="J44" s="67">
        <f t="shared" si="1"/>
        <v>20.187393526405451</v>
      </c>
      <c r="K44" s="68">
        <f t="shared" si="1"/>
        <v>-6.5910701630049608</v>
      </c>
    </row>
    <row r="45" spans="1:14" ht="12.75" customHeight="1">
      <c r="A45" s="62" t="s">
        <v>57</v>
      </c>
      <c r="B45" s="63">
        <v>1334</v>
      </c>
      <c r="C45" s="63">
        <v>1374</v>
      </c>
      <c r="D45" s="64">
        <v>1543</v>
      </c>
      <c r="E45" s="64">
        <v>2132</v>
      </c>
      <c r="F45" s="65">
        <v>2594</v>
      </c>
      <c r="G45" s="66">
        <v>3.3307513555383426</v>
      </c>
      <c r="H45" s="66">
        <f t="shared" si="1"/>
        <v>2.9985007496251872</v>
      </c>
      <c r="I45" s="67">
        <f t="shared" si="1"/>
        <v>12.299854439592432</v>
      </c>
      <c r="J45" s="67">
        <f t="shared" si="1"/>
        <v>38.172391445236556</v>
      </c>
      <c r="K45" s="68">
        <f t="shared" si="1"/>
        <v>21.669793621013135</v>
      </c>
      <c r="N45" s="51" t="s">
        <v>137</v>
      </c>
    </row>
    <row r="46" spans="1:14" ht="12" customHeight="1">
      <c r="A46" s="62" t="s">
        <v>21</v>
      </c>
      <c r="B46" s="63">
        <v>1588</v>
      </c>
      <c r="C46" s="63">
        <v>1380</v>
      </c>
      <c r="D46" s="64">
        <v>2113</v>
      </c>
      <c r="E46" s="64">
        <v>2433</v>
      </c>
      <c r="F46" s="65">
        <v>2569</v>
      </c>
      <c r="G46" s="66">
        <v>21.406727828746178</v>
      </c>
      <c r="H46" s="66">
        <f t="shared" si="1"/>
        <v>-13.09823677581864</v>
      </c>
      <c r="I46" s="67">
        <f t="shared" si="1"/>
        <v>53.115942028985508</v>
      </c>
      <c r="J46" s="67">
        <f t="shared" si="1"/>
        <v>15.144344533838144</v>
      </c>
      <c r="K46" s="68">
        <f t="shared" si="1"/>
        <v>5.589806822852446</v>
      </c>
    </row>
    <row r="47" spans="1:14" ht="12.75" customHeight="1">
      <c r="A47" s="62" t="s">
        <v>20</v>
      </c>
      <c r="B47" s="63">
        <v>2884</v>
      </c>
      <c r="C47" s="63">
        <v>2420</v>
      </c>
      <c r="D47" s="64">
        <v>2514</v>
      </c>
      <c r="E47" s="64">
        <v>2444</v>
      </c>
      <c r="F47" s="65">
        <v>2483</v>
      </c>
      <c r="G47" s="66">
        <v>-8.3862770012706473</v>
      </c>
      <c r="H47" s="66">
        <f t="shared" si="1"/>
        <v>-16.08876560332871</v>
      </c>
      <c r="I47" s="67">
        <f t="shared" si="1"/>
        <v>3.884297520661157</v>
      </c>
      <c r="J47" s="67">
        <f t="shared" si="1"/>
        <v>-2.7844073190135243</v>
      </c>
      <c r="K47" s="68">
        <f t="shared" si="1"/>
        <v>1.5957446808510638</v>
      </c>
    </row>
    <row r="48" spans="1:14" ht="12.75" customHeight="1">
      <c r="A48" s="62" t="s">
        <v>19</v>
      </c>
      <c r="B48" s="63">
        <v>2052</v>
      </c>
      <c r="C48" s="63">
        <v>1848</v>
      </c>
      <c r="D48" s="64">
        <v>2434</v>
      </c>
      <c r="E48" s="64">
        <v>2596</v>
      </c>
      <c r="F48" s="65">
        <v>2408</v>
      </c>
      <c r="G48" s="66">
        <v>-20.093457943925234</v>
      </c>
      <c r="H48" s="66">
        <f t="shared" si="1"/>
        <v>-9.9415204678362574</v>
      </c>
      <c r="I48" s="67">
        <f t="shared" si="1"/>
        <v>31.70995670995671</v>
      </c>
      <c r="J48" s="67">
        <f t="shared" si="1"/>
        <v>6.6557107641741986</v>
      </c>
      <c r="K48" s="68">
        <f t="shared" si="1"/>
        <v>-7.2419106317411401</v>
      </c>
    </row>
    <row r="49" spans="1:11" ht="12.75" customHeight="1">
      <c r="A49" s="62" t="s">
        <v>50</v>
      </c>
      <c r="B49" s="63">
        <v>1065</v>
      </c>
      <c r="C49" s="63">
        <v>1182</v>
      </c>
      <c r="D49" s="64">
        <v>1575</v>
      </c>
      <c r="E49" s="64">
        <v>2485</v>
      </c>
      <c r="F49" s="65">
        <v>2345</v>
      </c>
      <c r="G49" s="66">
        <v>-45.412608918503331</v>
      </c>
      <c r="H49" s="66">
        <f t="shared" si="1"/>
        <v>10.985915492957748</v>
      </c>
      <c r="I49" s="67">
        <f t="shared" si="1"/>
        <v>33.248730964467008</v>
      </c>
      <c r="J49" s="67">
        <f t="shared" si="1"/>
        <v>57.777777777777771</v>
      </c>
      <c r="K49" s="68">
        <f t="shared" si="1"/>
        <v>-5.6338028169014089</v>
      </c>
    </row>
    <row r="50" spans="1:11" ht="12.75" customHeight="1">
      <c r="A50" s="62" t="s">
        <v>45</v>
      </c>
      <c r="B50" s="63">
        <v>871</v>
      </c>
      <c r="C50" s="63">
        <v>979</v>
      </c>
      <c r="D50" s="64">
        <v>1066</v>
      </c>
      <c r="E50" s="64">
        <v>1652</v>
      </c>
      <c r="F50" s="65">
        <v>2265</v>
      </c>
      <c r="G50" s="66">
        <v>-11.303462321792262</v>
      </c>
      <c r="H50" s="66">
        <f t="shared" si="1"/>
        <v>12.399540757749714</v>
      </c>
      <c r="I50" s="67">
        <f t="shared" si="1"/>
        <v>8.88661899897855</v>
      </c>
      <c r="J50" s="67">
        <f t="shared" si="1"/>
        <v>54.971857410881796</v>
      </c>
      <c r="K50" s="68">
        <f t="shared" si="1"/>
        <v>37.106537530266344</v>
      </c>
    </row>
    <row r="51" spans="1:11" ht="12.75" customHeight="1">
      <c r="A51" s="62" t="s">
        <v>18</v>
      </c>
      <c r="B51" s="63">
        <v>4926</v>
      </c>
      <c r="C51" s="63">
        <v>5406</v>
      </c>
      <c r="D51" s="64">
        <v>4630</v>
      </c>
      <c r="E51" s="64">
        <v>3009</v>
      </c>
      <c r="F51" s="65">
        <v>2058</v>
      </c>
      <c r="G51" s="66">
        <v>1.5670103092783505</v>
      </c>
      <c r="H51" s="66">
        <f t="shared" si="1"/>
        <v>9.7442143727161987</v>
      </c>
      <c r="I51" s="67">
        <f t="shared" si="1"/>
        <v>-14.354421013688496</v>
      </c>
      <c r="J51" s="67">
        <f t="shared" si="1"/>
        <v>-35.010799136069117</v>
      </c>
      <c r="K51" s="68">
        <f t="shared" si="1"/>
        <v>-31.605184446660019</v>
      </c>
    </row>
    <row r="52" spans="1:11" ht="12.75" customHeight="1">
      <c r="A52" s="62" t="s">
        <v>44</v>
      </c>
      <c r="B52" s="63">
        <v>1191</v>
      </c>
      <c r="C52" s="63">
        <v>1046</v>
      </c>
      <c r="D52" s="64">
        <v>1256</v>
      </c>
      <c r="E52" s="64">
        <v>1842</v>
      </c>
      <c r="F52" s="65">
        <v>1857</v>
      </c>
      <c r="G52" s="66">
        <v>17.5715695952616</v>
      </c>
      <c r="H52" s="66">
        <f t="shared" si="1"/>
        <v>-12.174643157010916</v>
      </c>
      <c r="I52" s="67">
        <f t="shared" si="1"/>
        <v>20.076481835564053</v>
      </c>
      <c r="J52" s="67">
        <f t="shared" si="1"/>
        <v>46.656050955414017</v>
      </c>
      <c r="K52" s="68">
        <f t="shared" si="1"/>
        <v>0.81433224755700329</v>
      </c>
    </row>
    <row r="53" spans="1:11" ht="12.75" customHeight="1">
      <c r="A53" s="62" t="s">
        <v>40</v>
      </c>
      <c r="B53" s="63">
        <v>581</v>
      </c>
      <c r="C53" s="63">
        <v>677</v>
      </c>
      <c r="D53" s="64">
        <v>818</v>
      </c>
      <c r="E53" s="64">
        <v>1283</v>
      </c>
      <c r="F53" s="65">
        <v>1772</v>
      </c>
      <c r="G53" s="66">
        <v>-38.388123011664902</v>
      </c>
      <c r="H53" s="66">
        <f t="shared" si="1"/>
        <v>16.523235800344235</v>
      </c>
      <c r="I53" s="67">
        <f t="shared" si="1"/>
        <v>20.827178729689809</v>
      </c>
      <c r="J53" s="67">
        <f t="shared" si="1"/>
        <v>56.845965770171148</v>
      </c>
      <c r="K53" s="68">
        <f t="shared" si="1"/>
        <v>38.113795791114576</v>
      </c>
    </row>
    <row r="54" spans="1:11" ht="12.75" customHeight="1">
      <c r="A54" s="62" t="s">
        <v>62</v>
      </c>
      <c r="B54" s="63">
        <v>1139</v>
      </c>
      <c r="C54" s="63">
        <v>984</v>
      </c>
      <c r="D54" s="64">
        <v>1145</v>
      </c>
      <c r="E54" s="64">
        <v>1346</v>
      </c>
      <c r="F54" s="65">
        <v>1666</v>
      </c>
      <c r="G54" s="66">
        <v>72.575757575757578</v>
      </c>
      <c r="H54" s="66">
        <f t="shared" si="1"/>
        <v>-13.608428446005268</v>
      </c>
      <c r="I54" s="67">
        <f t="shared" si="1"/>
        <v>16.361788617886177</v>
      </c>
      <c r="J54" s="67">
        <f t="shared" si="1"/>
        <v>17.554585152838428</v>
      </c>
      <c r="K54" s="68">
        <f t="shared" si="1"/>
        <v>23.774145616641899</v>
      </c>
    </row>
    <row r="55" spans="1:11" ht="12.75" customHeight="1">
      <c r="A55" s="62" t="s">
        <v>59</v>
      </c>
      <c r="B55" s="63">
        <v>1184</v>
      </c>
      <c r="C55" s="63">
        <v>991</v>
      </c>
      <c r="D55" s="64">
        <v>1103</v>
      </c>
      <c r="E55" s="64">
        <v>1390</v>
      </c>
      <c r="F55" s="65">
        <v>1579</v>
      </c>
      <c r="G55" s="66">
        <v>3.6777583187390541</v>
      </c>
      <c r="H55" s="66">
        <f t="shared" si="1"/>
        <v>-16.300675675675674</v>
      </c>
      <c r="I55" s="67">
        <f t="shared" si="1"/>
        <v>11.301715438950556</v>
      </c>
      <c r="J55" s="67">
        <f t="shared" si="1"/>
        <v>26.019945602901178</v>
      </c>
      <c r="K55" s="68">
        <f t="shared" si="1"/>
        <v>13.597122302158274</v>
      </c>
    </row>
    <row r="56" spans="1:11" ht="12.75" customHeight="1">
      <c r="A56" s="62" t="s">
        <v>12</v>
      </c>
      <c r="B56" s="63">
        <v>3368</v>
      </c>
      <c r="C56" s="63">
        <v>3437</v>
      </c>
      <c r="D56" s="64">
        <v>4386</v>
      </c>
      <c r="E56" s="64">
        <v>5738</v>
      </c>
      <c r="F56" s="65">
        <v>1509</v>
      </c>
      <c r="G56" s="66">
        <v>-5.1801801801801801</v>
      </c>
      <c r="H56" s="66">
        <f t="shared" si="1"/>
        <v>2.0486935866983371</v>
      </c>
      <c r="I56" s="67">
        <f t="shared" si="1"/>
        <v>27.611288914751235</v>
      </c>
      <c r="J56" s="67">
        <f t="shared" si="1"/>
        <v>30.825353397172822</v>
      </c>
      <c r="K56" s="68">
        <f t="shared" si="1"/>
        <v>-73.701638201463922</v>
      </c>
    </row>
    <row r="57" spans="1:11" ht="12.75" customHeight="1">
      <c r="A57" s="62" t="s">
        <v>15</v>
      </c>
      <c r="B57" s="63">
        <v>865</v>
      </c>
      <c r="C57" s="63">
        <v>1088</v>
      </c>
      <c r="D57" s="64">
        <v>1281</v>
      </c>
      <c r="E57" s="64">
        <v>1535</v>
      </c>
      <c r="F57" s="65">
        <v>1402</v>
      </c>
      <c r="G57" s="66">
        <v>9.6324461343472745</v>
      </c>
      <c r="H57" s="66">
        <f t="shared" si="1"/>
        <v>25.780346820809246</v>
      </c>
      <c r="I57" s="67">
        <f t="shared" si="1"/>
        <v>17.738970588235293</v>
      </c>
      <c r="J57" s="67">
        <f t="shared" si="1"/>
        <v>19.828259172521467</v>
      </c>
      <c r="K57" s="68">
        <f t="shared" si="1"/>
        <v>-8.664495114006515</v>
      </c>
    </row>
    <row r="58" spans="1:11" ht="12.75" customHeight="1">
      <c r="A58" s="62" t="s">
        <v>29</v>
      </c>
      <c r="B58" s="63">
        <v>1372</v>
      </c>
      <c r="C58" s="63">
        <v>1324</v>
      </c>
      <c r="D58" s="64">
        <v>1647</v>
      </c>
      <c r="E58" s="64">
        <v>1609</v>
      </c>
      <c r="F58" s="65">
        <v>1295</v>
      </c>
      <c r="G58" s="66">
        <v>13.953488372093023</v>
      </c>
      <c r="H58" s="66">
        <f t="shared" si="1"/>
        <v>-3.4985422740524781</v>
      </c>
      <c r="I58" s="67">
        <f t="shared" si="1"/>
        <v>24.395770392749245</v>
      </c>
      <c r="J58" s="67">
        <f t="shared" si="1"/>
        <v>-2.3072252580449302</v>
      </c>
      <c r="K58" s="68">
        <f t="shared" si="1"/>
        <v>-19.515226848974518</v>
      </c>
    </row>
    <row r="59" spans="1:11" ht="12.75" customHeight="1">
      <c r="A59" s="62" t="s">
        <v>37</v>
      </c>
      <c r="B59" s="63">
        <v>455</v>
      </c>
      <c r="C59" s="63">
        <v>388</v>
      </c>
      <c r="D59" s="64">
        <v>525</v>
      </c>
      <c r="E59" s="64">
        <v>1496</v>
      </c>
      <c r="F59" s="65">
        <v>1221</v>
      </c>
      <c r="G59" s="66">
        <v>-64.563862928348911</v>
      </c>
      <c r="H59" s="66">
        <f t="shared" si="1"/>
        <v>-14.725274725274726</v>
      </c>
      <c r="I59" s="67">
        <f t="shared" si="1"/>
        <v>35.309278350515463</v>
      </c>
      <c r="J59" s="67">
        <f t="shared" si="1"/>
        <v>184.95238095238096</v>
      </c>
      <c r="K59" s="68">
        <f t="shared" si="1"/>
        <v>-18.382352941176471</v>
      </c>
    </row>
    <row r="60" spans="1:11" ht="12.75" customHeight="1">
      <c r="A60" s="69" t="s">
        <v>60</v>
      </c>
      <c r="B60" s="70">
        <v>22</v>
      </c>
      <c r="C60" s="70">
        <v>21</v>
      </c>
      <c r="D60" s="71">
        <v>31</v>
      </c>
      <c r="E60" s="71">
        <v>27</v>
      </c>
      <c r="F60" s="72">
        <v>39</v>
      </c>
      <c r="G60" s="73">
        <v>-80.530973451327441</v>
      </c>
      <c r="H60" s="73">
        <f t="shared" si="1"/>
        <v>-4.5454545454545459</v>
      </c>
      <c r="I60" s="74">
        <f t="shared" si="1"/>
        <v>47.619047619047613</v>
      </c>
      <c r="J60" s="74">
        <f t="shared" si="1"/>
        <v>-12.903225806451612</v>
      </c>
      <c r="K60" s="75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76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76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10.1</vt:lpstr>
      <vt:lpstr>10.1 figures workings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F.shifaza</cp:lastModifiedBy>
  <cp:lastPrinted>2015-01-11T06:08:22Z</cp:lastPrinted>
  <dcterms:created xsi:type="dcterms:W3CDTF">2007-02-07T06:41:32Z</dcterms:created>
  <dcterms:modified xsi:type="dcterms:W3CDTF">2015-01-11T06:13:12Z</dcterms:modified>
</cp:coreProperties>
</file>