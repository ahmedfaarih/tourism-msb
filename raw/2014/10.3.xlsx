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3" sheetId="13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'10.3'!$A$1:$Y$60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AD21" i="13"/>
  <c r="AE22"/>
  <c r="AE23"/>
  <c r="AE24"/>
  <c r="AE25"/>
  <c r="AE26"/>
  <c r="AE27"/>
  <c r="AE28"/>
  <c r="AE29"/>
  <c r="AE30"/>
  <c r="AE31"/>
  <c r="AE32"/>
  <c r="AE21"/>
  <c r="AD22"/>
  <c r="AD23"/>
  <c r="AD24"/>
  <c r="AD25"/>
  <c r="AD26"/>
  <c r="AD27"/>
  <c r="AD28"/>
  <c r="AD29"/>
  <c r="AD30"/>
  <c r="AD31"/>
  <c r="AD32"/>
  <c r="Y6" l="1"/>
  <c r="X6"/>
  <c r="W6"/>
  <c r="V18"/>
  <c r="V17"/>
  <c r="V16"/>
  <c r="V15"/>
  <c r="V14"/>
  <c r="V13"/>
  <c r="V12"/>
  <c r="V11"/>
  <c r="V10"/>
  <c r="V9"/>
  <c r="V8"/>
  <c r="V7"/>
  <c r="T6"/>
  <c r="U6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O6" i="13"/>
  <c r="H6"/>
  <c r="N6"/>
  <c r="P7"/>
  <c r="P18"/>
  <c r="P8"/>
  <c r="P9"/>
  <c r="P10"/>
  <c r="P11"/>
  <c r="P12"/>
  <c r="P13"/>
  <c r="P14"/>
  <c r="P15"/>
  <c r="P16"/>
  <c r="P17"/>
  <c r="J7"/>
  <c r="S6"/>
  <c r="R6"/>
  <c r="Q6"/>
  <c r="F6"/>
  <c r="L6"/>
  <c r="J18"/>
  <c r="J17"/>
  <c r="J16"/>
  <c r="J15"/>
  <c r="J14"/>
  <c r="J13"/>
  <c r="J12"/>
  <c r="J11"/>
  <c r="J10"/>
  <c r="J9"/>
  <c r="J8"/>
  <c r="J6" s="1"/>
  <c r="M6"/>
  <c r="K6"/>
  <c r="I6"/>
  <c r="G6"/>
  <c r="C6"/>
  <c r="B6"/>
  <c r="E6"/>
  <c r="D7"/>
  <c r="D8"/>
  <c r="D9"/>
  <c r="D10"/>
  <c r="D11"/>
  <c r="D12"/>
  <c r="D13"/>
  <c r="D14"/>
  <c r="D15"/>
  <c r="D16"/>
  <c r="D17"/>
  <c r="D18"/>
  <c r="V6" l="1"/>
  <c r="P6"/>
  <c r="S1" i="44"/>
  <c r="D6" i="13"/>
</calcChain>
</file>

<file path=xl/sharedStrings.xml><?xml version="1.0" encoding="utf-8"?>
<sst xmlns="http://schemas.openxmlformats.org/spreadsheetml/2006/main" count="194" uniqueCount="120">
  <si>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</si>
  <si>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</si>
  <si>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</si>
  <si>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</si>
  <si>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</si>
  <si>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</si>
  <si>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</si>
  <si>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</si>
  <si>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</si>
  <si>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</si>
  <si>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</si>
  <si>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</si>
  <si>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>wgWj egudnea</t>
  </si>
  <si>
    <t>unuverukcnunEb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</si>
  <si>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</si>
  <si>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</si>
  <si>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</si>
  <si>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</si>
  <si>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</si>
  <si>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</si>
  <si>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</si>
  <si>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</si>
  <si>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</si>
  <si>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</si>
  <si>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</si>
  <si>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</si>
  <si>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</si>
  <si>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</si>
  <si>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</si>
  <si>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</si>
  <si>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</si>
  <si>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</si>
  <si>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</si>
  <si>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</si>
  <si>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</si>
  <si>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</si>
  <si>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</si>
  <si>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</si>
  <si>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</si>
  <si>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</si>
  <si>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</si>
  <si>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</si>
  <si>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</si>
  <si>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</si>
  <si>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</si>
  <si>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</si>
  <si>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</si>
  <si>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</si>
  <si>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</si>
  <si>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</si>
  <si>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</si>
  <si>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</si>
  <si>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</si>
  <si>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</si>
  <si>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</si>
  <si>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</si>
  <si>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</si>
  <si>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</si>
  <si>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</si>
  <si>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</si>
  <si>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</si>
  <si>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</si>
  <si>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</si>
  <si>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</si>
  <si>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</si>
  <si>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</si>
  <si>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</si>
  <si>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</si>
  <si>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</si>
  <si>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</si>
  <si>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</si>
  <si>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</si>
  <si>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</si>
  <si>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</si>
  <si>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</si>
  <si>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</si>
  <si>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</si>
  <si>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</si>
  <si>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</si>
  <si>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</si>
  <si>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</si>
  <si>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</si>
  <si>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</si>
  <si>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</si>
  <si>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</si>
  <si>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</si>
  <si>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</si>
  <si>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</si>
  <si>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</si>
  <si>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</si>
  <si>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</si>
  <si>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</si>
  <si>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</si>
  <si>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Average Duration of stay (days)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</si>
  <si>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</si>
  <si>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</si>
  <si>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</si>
  <si>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</si>
  <si>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</si>
  <si>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</si>
  <si>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ފަތުރުވެރިން އެވަރެޖްކޮށް ހޭދަކޮށްފައިވާ މުއްދަތު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</si>
  <si>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</si>
  <si>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</si>
  <si>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</si>
  <si>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</si>
  <si>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* Beds in
 operation</t>
  </si>
  <si>
    <t>* Bed Capacity
 Utilization Rate %</t>
  </si>
  <si>
    <t>* Tourist Bednights</t>
  </si>
  <si>
    <t xml:space="preserve">* Revised 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</si>
  <si>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</si>
  <si>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</si>
  <si>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</si>
  <si>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</si>
  <si>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</si>
  <si>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Table  10.3: BED CAPACITY AND UTILIZATION BY MONTH,  2012 - 2013</t>
  </si>
  <si>
    <t>2013 - 2012  ,urwvcnim unuverukcnunEb wgWjegudnea iaWa wgWj egudnea uhwmcswmikea : 10.3 ulwvWt</t>
  </si>
  <si>
    <t>Source: Ministry of Tourism</t>
  </si>
  <si>
    <t>cmwzirUT cfoa  IrcTcsinim :ctWrwf ivcaed utWmUluAwm</t>
  </si>
  <si>
    <t>*Bed Capacity
 Utilization Rate %</t>
  </si>
  <si>
    <t>*Tourist Bednights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</si>
</sst>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  <numFmt numFmtId="172" formatCode="[$-409]mmm\-yy;@"/>
  </numFmts>
  <fonts count="35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_Utheem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A_Faruma"/>
      <charset val="1"/>
    </font>
    <font>
      <b/>
      <sz val="10"/>
      <color theme="1"/>
      <name val="A_Randhoo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1" fillId="0" borderId="1" applyNumberFormat="0"/>
    <xf numFmtId="0" fontId="1" fillId="0" borderId="0"/>
    <xf numFmtId="0" fontId="14" fillId="0" borderId="0"/>
    <xf numFmtId="0" fontId="12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0" fillId="2" borderId="0" xfId="0" applyFont="1" applyFill="1" applyBorder="1" applyAlignment="1" applyProtection="1">
      <alignment horizontal="left" vertical="center"/>
    </xf>
    <xf numFmtId="0" fontId="21" fillId="2" borderId="0" xfId="0" applyFont="1" applyFill="1" applyAlignment="1">
      <alignment vertical="center"/>
    </xf>
    <xf numFmtId="0" fontId="20" fillId="2" borderId="0" xfId="0" applyFont="1" applyFill="1"/>
    <xf numFmtId="0" fontId="22" fillId="2" borderId="2" xfId="0" applyFont="1" applyFill="1" applyBorder="1" applyAlignment="1" applyProtection="1">
      <alignment horizontal="center" vertical="center" wrapText="1"/>
    </xf>
    <xf numFmtId="3" fontId="20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3" fillId="2" borderId="4" xfId="0" applyNumberFormat="1" applyFont="1" applyFill="1" applyBorder="1" applyAlignment="1">
      <alignment horizontal="center"/>
    </xf>
    <xf numFmtId="167" fontId="20" fillId="2" borderId="0" xfId="0" applyNumberFormat="1" applyFont="1" applyFill="1"/>
    <xf numFmtId="0" fontId="24" fillId="2" borderId="0" xfId="0" applyFont="1" applyFill="1" applyBorder="1" applyAlignment="1">
      <alignment horizontal="center" wrapText="1"/>
    </xf>
    <xf numFmtId="37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right" vertical="center"/>
    </xf>
    <xf numFmtId="165" fontId="20" fillId="2" borderId="0" xfId="0" applyNumberFormat="1" applyFont="1" applyFill="1"/>
    <xf numFmtId="167" fontId="20" fillId="2" borderId="0" xfId="0" applyNumberFormat="1" applyFont="1" applyFill="1" applyBorder="1" applyAlignment="1">
      <alignment horizontal="center"/>
    </xf>
    <xf numFmtId="0" fontId="26" fillId="2" borderId="2" xfId="0" applyFont="1" applyFill="1" applyBorder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left" vertical="center"/>
    </xf>
    <xf numFmtId="165" fontId="20" fillId="2" borderId="0" xfId="0" applyNumberFormat="1" applyFont="1" applyFill="1" applyBorder="1"/>
    <xf numFmtId="3" fontId="20" fillId="2" borderId="0" xfId="0" applyNumberFormat="1" applyFont="1" applyFill="1" applyBorder="1"/>
    <xf numFmtId="0" fontId="26" fillId="2" borderId="0" xfId="0" applyFont="1" applyFill="1" applyBorder="1" applyAlignment="1" applyProtection="1">
      <alignment horizontal="center" vertical="center" wrapText="1"/>
    </xf>
    <xf numFmtId="0" fontId="20" fillId="2" borderId="0" xfId="0" applyFont="1" applyFill="1" applyBorder="1"/>
    <xf numFmtId="3" fontId="2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31" fillId="2" borderId="0" xfId="0" applyFont="1" applyFill="1" applyAlignment="1" applyProtection="1">
      <alignment horizontal="left" vertical="center"/>
    </xf>
    <xf numFmtId="0" fontId="29" fillId="2" borderId="0" xfId="0" applyFont="1" applyFill="1"/>
    <xf numFmtId="37" fontId="28" fillId="2" borderId="7" xfId="0" applyNumberFormat="1" applyFont="1" applyFill="1" applyBorder="1" applyAlignment="1" applyProtection="1">
      <alignment horizontal="center" vertical="center" wrapText="1"/>
    </xf>
    <xf numFmtId="37" fontId="28" fillId="2" borderId="8" xfId="0" applyNumberFormat="1" applyFont="1" applyFill="1" applyBorder="1" applyAlignment="1" applyProtection="1">
      <alignment horizontal="center" vertical="center" wrapText="1"/>
    </xf>
    <xf numFmtId="0" fontId="27" fillId="2" borderId="9" xfId="0" applyFont="1" applyFill="1" applyBorder="1" applyAlignment="1" applyProtection="1">
      <alignment horizontal="center" vertical="center" wrapText="1"/>
    </xf>
    <xf numFmtId="165" fontId="32" fillId="2" borderId="0" xfId="0" applyNumberFormat="1" applyFont="1" applyFill="1" applyAlignment="1">
      <alignment horizontal="center"/>
    </xf>
    <xf numFmtId="3" fontId="29" fillId="2" borderId="0" xfId="0" applyNumberFormat="1" applyFont="1" applyFill="1"/>
    <xf numFmtId="0" fontId="27" fillId="2" borderId="0" xfId="0" applyFont="1" applyFill="1" applyAlignment="1" applyProtection="1">
      <alignment horizontal="left" vertical="center" wrapText="1"/>
    </xf>
    <xf numFmtId="3" fontId="27" fillId="2" borderId="6" xfId="0" applyNumberFormat="1" applyFont="1" applyFill="1" applyBorder="1" applyAlignment="1">
      <alignment horizontal="center"/>
    </xf>
    <xf numFmtId="3" fontId="27" fillId="2" borderId="0" xfId="0" applyNumberFormat="1" applyFont="1" applyFill="1" applyAlignment="1">
      <alignment horizontal="center"/>
    </xf>
    <xf numFmtId="165" fontId="27" fillId="2" borderId="0" xfId="0" applyNumberFormat="1" applyFont="1" applyFill="1" applyAlignment="1">
      <alignment horizontal="center"/>
    </xf>
    <xf numFmtId="3" fontId="27" fillId="2" borderId="0" xfId="0" applyNumberFormat="1" applyFont="1" applyFill="1" applyBorder="1" applyAlignment="1">
      <alignment horizontal="center"/>
    </xf>
    <xf numFmtId="165" fontId="27" fillId="2" borderId="0" xfId="0" applyNumberFormat="1" applyFont="1" applyFill="1" applyBorder="1" applyAlignment="1">
      <alignment horizontal="center"/>
    </xf>
    <xf numFmtId="3" fontId="27" fillId="2" borderId="0" xfId="0" applyNumberFormat="1" applyFont="1" applyFill="1" applyBorder="1" applyAlignment="1">
      <alignment horizontal="right" vertical="center"/>
    </xf>
    <xf numFmtId="165" fontId="27" fillId="2" borderId="10" xfId="0" applyNumberFormat="1" applyFont="1" applyFill="1" applyBorder="1" applyAlignment="1">
      <alignment horizontal="center"/>
    </xf>
    <xf numFmtId="3" fontId="27" fillId="2" borderId="4" xfId="0" applyNumberFormat="1" applyFont="1" applyFill="1" applyBorder="1" applyAlignment="1">
      <alignment horizontal="center"/>
    </xf>
    <xf numFmtId="0" fontId="19" fillId="2" borderId="0" xfId="0" applyFont="1" applyFill="1" applyAlignment="1" applyProtection="1">
      <alignment horizontal="left" vertical="center"/>
    </xf>
    <xf numFmtId="3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Alignment="1">
      <alignment horizontal="center"/>
    </xf>
    <xf numFmtId="167" fontId="19" fillId="2" borderId="0" xfId="0" applyNumberFormat="1" applyFont="1" applyFill="1" applyAlignment="1">
      <alignment horizontal="center"/>
    </xf>
    <xf numFmtId="167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Border="1" applyAlignment="1">
      <alignment horizontal="right" vertical="center"/>
    </xf>
    <xf numFmtId="167" fontId="19" fillId="2" borderId="10" xfId="0" applyNumberFormat="1" applyFont="1" applyFill="1" applyBorder="1" applyAlignment="1">
      <alignment horizontal="center"/>
    </xf>
    <xf numFmtId="3" fontId="19" fillId="2" borderId="4" xfId="0" applyNumberFormat="1" applyFont="1" applyFill="1" applyBorder="1" applyAlignment="1">
      <alignment horizont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3" fontId="19" fillId="2" borderId="2" xfId="0" applyNumberFormat="1" applyFont="1" applyFill="1" applyBorder="1" applyAlignment="1">
      <alignment horizontal="center"/>
    </xf>
    <xf numFmtId="167" fontId="19" fillId="2" borderId="2" xfId="0" applyNumberFormat="1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vertical="center"/>
    </xf>
    <xf numFmtId="167" fontId="19" fillId="2" borderId="9" xfId="0" applyNumberFormat="1" applyFont="1" applyFill="1" applyBorder="1" applyAlignment="1">
      <alignment horizontal="center"/>
    </xf>
    <xf numFmtId="3" fontId="19" fillId="2" borderId="5" xfId="0" applyNumberFormat="1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 wrapText="1"/>
    </xf>
    <xf numFmtId="37" fontId="33" fillId="2" borderId="0" xfId="0" applyNumberFormat="1" applyFont="1" applyFill="1" applyBorder="1" applyAlignment="1" applyProtection="1">
      <alignment horizontal="center" vertical="center"/>
    </xf>
    <xf numFmtId="49" fontId="16" fillId="3" borderId="15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11" xfId="2" applyNumberFormat="1" applyFont="1" applyFill="1" applyBorder="1" applyAlignment="1" applyProtection="1">
      <alignment horizontal="left" vertical="center"/>
    </xf>
    <xf numFmtId="170" fontId="17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10" xfId="2" applyNumberFormat="1" applyFont="1" applyFill="1" applyBorder="1" applyAlignment="1">
      <alignment vertical="center"/>
    </xf>
    <xf numFmtId="0" fontId="16" fillId="2" borderId="5" xfId="0" applyFont="1" applyFill="1" applyBorder="1" applyAlignment="1" applyProtection="1">
      <alignment horizontal="right" vertical="center"/>
    </xf>
    <xf numFmtId="0" fontId="16" fillId="3" borderId="9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10" xfId="0" applyNumberFormat="1" applyFont="1" applyFill="1" applyBorder="1" applyAlignment="1">
      <alignment vertical="center"/>
    </xf>
    <xf numFmtId="169" fontId="17" fillId="2" borderId="11" xfId="2" applyNumberFormat="1" applyFont="1" applyFill="1" applyBorder="1" applyAlignment="1" applyProtection="1">
      <alignment horizontal="left" vertical="center"/>
    </xf>
    <xf numFmtId="170" fontId="17" fillId="2" borderId="12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10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10" xfId="0" applyNumberFormat="1" applyFont="1" applyFill="1" applyBorder="1" applyAlignment="1">
      <alignment vertical="center"/>
    </xf>
    <xf numFmtId="169" fontId="17" fillId="2" borderId="13" xfId="2" applyNumberFormat="1" applyFont="1" applyFill="1" applyBorder="1" applyAlignment="1" applyProtection="1">
      <alignment horizontal="left" vertical="center"/>
    </xf>
    <xf numFmtId="170" fontId="17" fillId="2" borderId="14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9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9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0" fillId="4" borderId="0" xfId="0" applyFont="1" applyFill="1" applyBorder="1" applyAlignment="1" applyProtection="1">
      <alignment horizontal="left" vertical="center"/>
    </xf>
    <xf numFmtId="0" fontId="22" fillId="4" borderId="2" xfId="0" applyFont="1" applyFill="1" applyBorder="1" applyAlignment="1" applyProtection="1">
      <alignment horizontal="center" vertical="center" wrapText="1"/>
    </xf>
    <xf numFmtId="167" fontId="20" fillId="4" borderId="0" xfId="0" applyNumberFormat="1" applyFont="1" applyFill="1" applyBorder="1" applyAlignment="1">
      <alignment horizontal="center"/>
    </xf>
    <xf numFmtId="0" fontId="23" fillId="4" borderId="0" xfId="0" applyFont="1" applyFill="1" applyAlignment="1" applyProtection="1">
      <alignment horizontal="left" vertical="center"/>
    </xf>
    <xf numFmtId="0" fontId="23" fillId="4" borderId="0" xfId="0" applyFont="1" applyFill="1" applyBorder="1" applyAlignment="1" applyProtection="1">
      <alignment horizontal="left" vertical="center"/>
    </xf>
    <xf numFmtId="0" fontId="23" fillId="4" borderId="2" xfId="0" applyFont="1" applyFill="1" applyBorder="1" applyAlignment="1" applyProtection="1">
      <alignment horizontal="left" vertical="center"/>
    </xf>
    <xf numFmtId="172" fontId="23" fillId="4" borderId="0" xfId="0" applyNumberFormat="1" applyFont="1" applyFill="1" applyAlignment="1" applyProtection="1">
      <alignment horizontal="left" vertical="center"/>
    </xf>
    <xf numFmtId="37" fontId="28" fillId="2" borderId="17" xfId="0" applyNumberFormat="1" applyFont="1" applyFill="1" applyBorder="1" applyAlignment="1" applyProtection="1">
      <alignment horizontal="center" vertical="center" wrapText="1"/>
    </xf>
    <xf numFmtId="0" fontId="27" fillId="2" borderId="5" xfId="0" applyFont="1" applyFill="1" applyBorder="1" applyAlignment="1" applyProtection="1">
      <alignment horizontal="center" vertical="center" wrapText="1"/>
    </xf>
    <xf numFmtId="3" fontId="27" fillId="2" borderId="19" xfId="0" applyNumberFormat="1" applyFont="1" applyFill="1" applyBorder="1" applyAlignment="1">
      <alignment horizontal="center"/>
    </xf>
    <xf numFmtId="0" fontId="27" fillId="2" borderId="0" xfId="0" applyFont="1" applyFill="1" applyBorder="1" applyAlignment="1" applyProtection="1">
      <alignment horizontal="center" vertical="center" wrapText="1"/>
    </xf>
    <xf numFmtId="0" fontId="27" fillId="2" borderId="2" xfId="0" applyFont="1" applyFill="1" applyBorder="1" applyAlignment="1" applyProtection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0" fillId="2" borderId="6" xfId="0" applyFill="1" applyBorder="1"/>
    <xf numFmtId="0" fontId="0" fillId="2" borderId="18" xfId="0" applyFill="1" applyBorder="1"/>
    <xf numFmtId="0" fontId="10" fillId="2" borderId="19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 applyProtection="1">
      <alignment horizontal="center" vertical="center"/>
    </xf>
    <xf numFmtId="0" fontId="30" fillId="2" borderId="16" xfId="0" applyFont="1" applyFill="1" applyBorder="1" applyAlignment="1" applyProtection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0" fillId="2" borderId="2" xfId="0" applyFont="1" applyFill="1" applyBorder="1" applyAlignment="1" applyProtection="1">
      <alignment horizontal="center" vertical="center"/>
    </xf>
    <xf numFmtId="0" fontId="30" fillId="2" borderId="21" xfId="0" applyFont="1" applyFill="1" applyBorder="1" applyAlignment="1" applyProtection="1">
      <alignment horizontal="center" vertical="center"/>
    </xf>
    <xf numFmtId="0" fontId="27" fillId="2" borderId="18" xfId="0" applyFont="1" applyFill="1" applyBorder="1" applyAlignment="1" applyProtection="1">
      <alignment horizontal="center" vertical="center" wrapText="1"/>
    </xf>
    <xf numFmtId="0" fontId="27" fillId="2" borderId="10" xfId="0" applyFont="1" applyFill="1" applyBorder="1" applyAlignment="1" applyProtection="1">
      <alignment horizontal="center" vertical="center" wrapText="1"/>
    </xf>
    <xf numFmtId="0" fontId="27" fillId="2" borderId="9" xfId="0" applyFont="1" applyFill="1" applyBorder="1" applyAlignment="1" applyProtection="1">
      <alignment horizontal="center" vertical="center" wrapText="1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1662976"/>
        <c:axId val="79368576"/>
      </c:barChart>
      <c:catAx>
        <c:axId val="71662976"/>
        <c:scaling>
          <c:orientation val="minMax"/>
        </c:scaling>
        <c:axPos val="b"/>
        <c:numFmt formatCode="General" sourceLinked="1"/>
        <c:tickLblPos val="nextTo"/>
        <c:crossAx val="79368576"/>
        <c:crosses val="autoZero"/>
        <c:auto val="1"/>
        <c:lblAlgn val="ctr"/>
        <c:lblOffset val="100"/>
      </c:catAx>
      <c:valAx>
        <c:axId val="79368576"/>
        <c:scaling>
          <c:orientation val="minMax"/>
        </c:scaling>
        <c:axPos val="l"/>
        <c:majorGridlines/>
        <c:numFmt formatCode="#,##0;[Red]#,##0" sourceLinked="1"/>
        <c:tickLblPos val="nextTo"/>
        <c:crossAx val="71662976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79826304"/>
        <c:axId val="65684224"/>
      </c:barChart>
      <c:catAx>
        <c:axId val="79826304"/>
        <c:scaling>
          <c:orientation val="minMax"/>
        </c:scaling>
        <c:axPos val="b"/>
        <c:numFmt formatCode="General" sourceLinked="1"/>
        <c:tickLblPos val="nextTo"/>
        <c:crossAx val="65684224"/>
        <c:crosses val="autoZero"/>
        <c:auto val="1"/>
        <c:lblAlgn val="ctr"/>
        <c:lblOffset val="100"/>
      </c:catAx>
      <c:valAx>
        <c:axId val="65684224"/>
        <c:scaling>
          <c:orientation val="minMax"/>
        </c:scaling>
        <c:axPos val="l"/>
        <c:numFmt formatCode="General" sourceLinked="1"/>
        <c:tickLblPos val="nextTo"/>
        <c:crossAx val="79826304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7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en-US" sz="1000">
                <a:latin typeface="+mn-lt"/>
              </a:rPr>
              <a:t>Figure 10.5:  Bed capacity and beds in operation in resorts /hotels/guest houses</a:t>
            </a:r>
            <a:r>
              <a:rPr lang="en-US" sz="1000" baseline="0">
                <a:latin typeface="+mn-lt"/>
              </a:rPr>
              <a:t> &amp; safari vessels, </a:t>
            </a:r>
            <a:r>
              <a:rPr lang="en-US" sz="1000">
                <a:latin typeface="+mn-lt"/>
              </a:rPr>
              <a:t> 2013</a:t>
            </a:r>
          </a:p>
        </c:rich>
      </c:tx>
      <c:layout>
        <c:manualLayout>
          <c:xMode val="edge"/>
          <c:yMode val="edge"/>
          <c:x val="0.14167424193926978"/>
          <c:y val="3.973321516628608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7412587412587145E-2"/>
          <c:y val="0.20324691120926971"/>
          <c:w val="0.87223743261397679"/>
          <c:h val="0.62686793419115294"/>
        </c:manualLayout>
      </c:layout>
      <c:barChart>
        <c:barDir val="col"/>
        <c:grouping val="clustered"/>
        <c:ser>
          <c:idx val="0"/>
          <c:order val="0"/>
          <c:tx>
            <c:strRef>
              <c:f>'10.3'!$AD$20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5400">
              <a:noFill/>
            </a:ln>
          </c:spPr>
          <c:cat>
            <c:strRef>
              <c:f>'10.3'!$AC$21:$AC$32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'10.3'!$AD$21:$AD$32</c:f>
              <c:numCache>
                <c:formatCode>#,##0</c:formatCode>
                <c:ptCount val="12"/>
                <c:pt idx="0">
                  <c:v>28236</c:v>
                </c:pt>
                <c:pt idx="1">
                  <c:v>28298</c:v>
                </c:pt>
                <c:pt idx="2">
                  <c:v>28392</c:v>
                </c:pt>
                <c:pt idx="3">
                  <c:v>28462</c:v>
                </c:pt>
                <c:pt idx="4">
                  <c:v>28528</c:v>
                </c:pt>
                <c:pt idx="5">
                  <c:v>28611</c:v>
                </c:pt>
                <c:pt idx="6">
                  <c:v>28697</c:v>
                </c:pt>
                <c:pt idx="7">
                  <c:v>28821</c:v>
                </c:pt>
                <c:pt idx="8">
                  <c:v>28864</c:v>
                </c:pt>
                <c:pt idx="9">
                  <c:v>29198</c:v>
                </c:pt>
                <c:pt idx="10">
                  <c:v>29321</c:v>
                </c:pt>
                <c:pt idx="11">
                  <c:v>29811</c:v>
                </c:pt>
              </c:numCache>
            </c:numRef>
          </c:val>
        </c:ser>
        <c:ser>
          <c:idx val="1"/>
          <c:order val="1"/>
          <c:tx>
            <c:strRef>
              <c:f>'10.3'!$AE$20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25400">
              <a:noFill/>
            </a:ln>
            <a:effectLst/>
          </c:spPr>
          <c:cat>
            <c:strRef>
              <c:f>'10.3'!$AC$21:$AC$32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'10.3'!$AE$21:$AE$32</c:f>
              <c:numCache>
                <c:formatCode>#,##0</c:formatCode>
                <c:ptCount val="12"/>
                <c:pt idx="0">
                  <c:v>25835</c:v>
                </c:pt>
                <c:pt idx="1">
                  <c:v>25778</c:v>
                </c:pt>
                <c:pt idx="2">
                  <c:v>26049</c:v>
                </c:pt>
                <c:pt idx="3">
                  <c:v>26433</c:v>
                </c:pt>
                <c:pt idx="4">
                  <c:v>26262</c:v>
                </c:pt>
                <c:pt idx="5">
                  <c:v>25827</c:v>
                </c:pt>
                <c:pt idx="6">
                  <c:v>25901</c:v>
                </c:pt>
                <c:pt idx="7">
                  <c:v>25951</c:v>
                </c:pt>
                <c:pt idx="8">
                  <c:v>25783</c:v>
                </c:pt>
                <c:pt idx="9">
                  <c:v>26247</c:v>
                </c:pt>
                <c:pt idx="10">
                  <c:v>26512</c:v>
                </c:pt>
                <c:pt idx="11">
                  <c:v>26635</c:v>
                </c:pt>
              </c:numCache>
            </c:numRef>
          </c:val>
        </c:ser>
        <c:axId val="65848064"/>
        <c:axId val="65849600"/>
      </c:barChart>
      <c:catAx>
        <c:axId val="65848064"/>
        <c:scaling>
          <c:orientation val="minMax"/>
        </c:scaling>
        <c:axPos val="b"/>
        <c:numFmt formatCode="General" sourceLinked="1"/>
        <c:tickLblPos val="nextTo"/>
        <c:spPr>
          <a:ln w="6350"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849600"/>
        <c:crosses val="autoZero"/>
        <c:auto val="1"/>
        <c:lblAlgn val="ctr"/>
        <c:lblOffset val="100"/>
        <c:tickLblSkip val="1"/>
        <c:tickMarkSkip val="1"/>
      </c:catAx>
      <c:valAx>
        <c:axId val="65849600"/>
        <c:scaling>
          <c:orientation val="minMax"/>
        </c:scaling>
        <c:axPos val="l"/>
        <c:maj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8655015684015424E-3"/>
              <c:y val="8.8123530013293955E-2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majorTickMark val="none"/>
        <c:tickLblPos val="nextTo"/>
        <c:spPr>
          <a:ln w="6350"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84806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2081462987858239"/>
          <c:y val="0.23214734521821134"/>
          <c:w val="0.43930845229712184"/>
          <c:h val="6.2920316778584465E-2"/>
        </c:manualLayout>
      </c:layout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2" l="2" r="2" t="2" header="0.5" footer="0.5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10.6: Average duration of stay of tourists, 2011-2013</a:t>
            </a:r>
          </a:p>
        </c:rich>
      </c:tx>
      <c:layout>
        <c:manualLayout>
          <c:xMode val="edge"/>
          <c:yMode val="edge"/>
          <c:x val="0.2184033463478762"/>
          <c:y val="3.7037075663555415E-2"/>
        </c:manualLayout>
      </c:layout>
    </c:title>
    <c:plotArea>
      <c:layout>
        <c:manualLayout>
          <c:layoutTarget val="inner"/>
          <c:xMode val="edge"/>
          <c:yMode val="edge"/>
          <c:x val="6.1794998397477562E-2"/>
          <c:y val="0.16089129483814524"/>
          <c:w val="0.91400258136049828"/>
          <c:h val="0.58338210534426316"/>
        </c:manualLayout>
      </c:layout>
      <c:lineChart>
        <c:grouping val="standard"/>
        <c:ser>
          <c:idx val="0"/>
          <c:order val="0"/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squar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</c:spPr>
          </c:marker>
          <c:cat>
            <c:strRef>
              <c:f>'10.3'!$AG$3:$AG$38</c:f>
              <c:strCache>
                <c:ptCount val="36"/>
                <c:pt idx="0">
                  <c:v>Jan-11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Jan-12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Jan-13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</c:strCache>
            </c:strRef>
          </c:cat>
          <c:val>
            <c:numRef>
              <c:f>'10.3'!$AH$3:$AH$38</c:f>
              <c:numCache>
                <c:formatCode>0.0</c:formatCode>
                <c:ptCount val="36"/>
                <c:pt idx="0">
                  <c:v>8.1999999999999993</c:v>
                </c:pt>
                <c:pt idx="1">
                  <c:v>7.5</c:v>
                </c:pt>
                <c:pt idx="2">
                  <c:v>7.8</c:v>
                </c:pt>
                <c:pt idx="3">
                  <c:v>8.3000000000000007</c:v>
                </c:pt>
                <c:pt idx="4">
                  <c:v>7.6</c:v>
                </c:pt>
                <c:pt idx="5">
                  <c:v>7.4</c:v>
                </c:pt>
                <c:pt idx="6">
                  <c:v>7.5</c:v>
                </c:pt>
                <c:pt idx="7">
                  <c:v>7.5</c:v>
                </c:pt>
                <c:pt idx="8">
                  <c:v>7.1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7.7039361956398675</c:v>
                </c:pt>
                <c:pt idx="13">
                  <c:v>7.0352892713291837</c:v>
                </c:pt>
                <c:pt idx="14">
                  <c:v>7.7347148590397863</c:v>
                </c:pt>
                <c:pt idx="15">
                  <c:v>7.3996897944888484</c:v>
                </c:pt>
                <c:pt idx="16">
                  <c:v>7.2740629266476358</c:v>
                </c:pt>
                <c:pt idx="17">
                  <c:v>6.7268486245911312</c:v>
                </c:pt>
                <c:pt idx="18">
                  <c:v>6.5983093386287166</c:v>
                </c:pt>
                <c:pt idx="19">
                  <c:v>6.7646040506065495</c:v>
                </c:pt>
                <c:pt idx="20">
                  <c:v>6.6747192496625427</c:v>
                </c:pt>
                <c:pt idx="21">
                  <c:v>6.5420990786193567</c:v>
                </c:pt>
                <c:pt idx="22">
                  <c:v>6.8274172231903725</c:v>
                </c:pt>
                <c:pt idx="23">
                  <c:v>6.8156096307286127</c:v>
                </c:pt>
                <c:pt idx="24">
                  <c:v>7.0624852310704522</c:v>
                </c:pt>
                <c:pt idx="25">
                  <c:v>6.1623180104062243</c:v>
                </c:pt>
                <c:pt idx="26">
                  <c:v>6.7470401415103822</c:v>
                </c:pt>
                <c:pt idx="27">
                  <c:v>6.5431837239066155</c:v>
                </c:pt>
                <c:pt idx="28">
                  <c:v>6.8312769118424699</c:v>
                </c:pt>
                <c:pt idx="29">
                  <c:v>5.5966428300628817</c:v>
                </c:pt>
                <c:pt idx="30">
                  <c:v>5.995009775837767</c:v>
                </c:pt>
                <c:pt idx="31">
                  <c:v>6.1737883625861825</c:v>
                </c:pt>
                <c:pt idx="32">
                  <c:v>5.6975882467659105</c:v>
                </c:pt>
                <c:pt idx="33">
                  <c:v>6.1304469351818209</c:v>
                </c:pt>
                <c:pt idx="34">
                  <c:v>6.1716886577010914</c:v>
                </c:pt>
                <c:pt idx="35">
                  <c:v>6.00919894869158</c:v>
                </c:pt>
              </c:numCache>
            </c:numRef>
          </c:val>
        </c:ser>
        <c:marker val="1"/>
        <c:axId val="66021248"/>
        <c:axId val="66027520"/>
      </c:lineChart>
      <c:catAx>
        <c:axId val="66021248"/>
        <c:scaling>
          <c:orientation val="minMax"/>
        </c:scaling>
        <c:axPos val="b"/>
        <c:numFmt formatCode="General" sourceLinked="1"/>
        <c:tickLblPos val="nextTo"/>
        <c:txPr>
          <a:bodyPr rot="-5400000" vert="horz"/>
          <a:lstStyle/>
          <a:p>
            <a:pPr>
              <a:defRPr>
                <a:latin typeface="+mn-lt"/>
              </a:defRPr>
            </a:pPr>
            <a:endParaRPr lang="en-US"/>
          </a:p>
        </c:txPr>
        <c:crossAx val="66027520"/>
        <c:crosses val="autoZero"/>
        <c:auto val="1"/>
        <c:lblAlgn val="ctr"/>
        <c:lblOffset val="100"/>
      </c:catAx>
      <c:valAx>
        <c:axId val="6602752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+mn-lt"/>
                  </a:defRPr>
                </a:pPr>
                <a:r>
                  <a:rPr lang="en-US" b="0">
                    <a:latin typeface="+mn-lt"/>
                  </a:rPr>
                  <a:t>Number of days</a:t>
                </a:r>
              </a:p>
            </c:rich>
          </c:tx>
          <c:layout>
            <c:manualLayout>
              <c:xMode val="edge"/>
              <c:yMode val="edge"/>
              <c:x val="1.1001162168161821E-2"/>
              <c:y val="7.5038500982079231E-2"/>
            </c:manualLayout>
          </c:layout>
        </c:title>
        <c:numFmt formatCode="0" sourceLinked="0"/>
        <c:tickLblPos val="nextTo"/>
        <c:crossAx val="66021248"/>
        <c:crosses val="autoZero"/>
        <c:crossBetween val="between"/>
        <c:majorUnit val="1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106455</xdr:colOff>
      <xdr:row>20</xdr:row>
      <xdr:rowOff>107128</xdr:rowOff>
    </xdr:from>
    <xdr:to>
      <xdr:col>21</xdr:col>
      <xdr:colOff>329005</xdr:colOff>
      <xdr:row>31</xdr:row>
      <xdr:rowOff>213807</xdr:rowOff>
    </xdr:to>
    <xdr:graphicFrame macro="">
      <xdr:nvGraphicFramePr>
        <xdr:cNvPr id="58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124385</xdr:colOff>
      <xdr:row>34</xdr:row>
      <xdr:rowOff>133127</xdr:rowOff>
    </xdr:from>
    <xdr:to>
      <xdr:col>21</xdr:col>
      <xdr:colOff>430755</xdr:colOff>
      <xdr:row>54</xdr:row>
      <xdr:rowOff>103655</xdr:rowOff>
    </xdr:to>
    <xdr:graphicFrame macro="">
      <xdr:nvGraphicFramePr>
        <xdr:cNvPr id="586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105" t="s">
        <v>103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M1" s="2" t="s">
        <v>30</v>
      </c>
      <c r="N1" s="2" t="s">
        <v>32</v>
      </c>
      <c r="O1" s="2" t="s">
        <v>87</v>
      </c>
      <c r="P1" s="2" t="s">
        <v>94</v>
      </c>
      <c r="Q1" s="61" t="s">
        <v>102</v>
      </c>
      <c r="S1" s="62">
        <f>Q2/M2</f>
        <v>5.5298836452988356</v>
      </c>
      <c r="T1" s="63" t="s">
        <v>109</v>
      </c>
      <c r="U1" s="63"/>
    </row>
    <row r="2" spans="1:21" ht="9.75" customHeight="1">
      <c r="A2" s="106" t="s">
        <v>104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64" t="s">
        <v>60</v>
      </c>
      <c r="M2" s="65">
        <f>M4/1000</f>
        <v>41.511000000000003</v>
      </c>
      <c r="N2" s="65">
        <f>N4/1000</f>
        <v>60.665999999999997</v>
      </c>
      <c r="O2" s="65">
        <f>O4/1000</f>
        <v>118.961</v>
      </c>
      <c r="P2" s="65">
        <f>P4/1000</f>
        <v>198.655</v>
      </c>
      <c r="Q2" s="65">
        <f>Q4/1000</f>
        <v>229.55099999999999</v>
      </c>
      <c r="R2" s="66" t="s">
        <v>110</v>
      </c>
    </row>
    <row r="3" spans="1:21" ht="3.7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21" ht="21" customHeight="1">
      <c r="A4" s="107" t="s">
        <v>111</v>
      </c>
      <c r="B4" s="102" t="s">
        <v>31</v>
      </c>
      <c r="C4" s="110"/>
      <c r="D4" s="110"/>
      <c r="E4" s="110"/>
      <c r="F4" s="111"/>
      <c r="G4" s="112" t="s">
        <v>101</v>
      </c>
      <c r="H4" s="104"/>
      <c r="I4" s="104"/>
      <c r="J4" s="104"/>
      <c r="K4" s="113"/>
      <c r="L4" s="64" t="s">
        <v>60</v>
      </c>
      <c r="M4" s="65">
        <v>41511</v>
      </c>
      <c r="N4" s="65">
        <v>60666</v>
      </c>
      <c r="O4" s="67">
        <v>118961</v>
      </c>
      <c r="P4" s="67">
        <v>198655</v>
      </c>
      <c r="Q4" s="68">
        <v>229551</v>
      </c>
    </row>
    <row r="5" spans="1:21" ht="13.5" customHeight="1">
      <c r="A5" s="108"/>
      <c r="B5" s="101" t="s">
        <v>90</v>
      </c>
      <c r="C5" s="101"/>
      <c r="D5" s="101"/>
      <c r="E5" s="101"/>
      <c r="F5" s="114"/>
      <c r="G5" s="115" t="s">
        <v>91</v>
      </c>
      <c r="H5" s="103"/>
      <c r="I5" s="103"/>
      <c r="J5" s="103"/>
      <c r="K5" s="116"/>
    </row>
    <row r="6" spans="1:21" ht="15" customHeight="1">
      <c r="A6" s="109"/>
      <c r="B6" s="2" t="s">
        <v>30</v>
      </c>
      <c r="C6" s="2" t="s">
        <v>32</v>
      </c>
      <c r="D6" s="2" t="s">
        <v>87</v>
      </c>
      <c r="E6" s="2" t="s">
        <v>94</v>
      </c>
      <c r="F6" s="61" t="s">
        <v>102</v>
      </c>
      <c r="G6" s="69">
        <v>2008</v>
      </c>
      <c r="H6" s="3">
        <v>2009</v>
      </c>
      <c r="I6" s="3">
        <v>2010</v>
      </c>
      <c r="J6" s="3">
        <v>2011</v>
      </c>
      <c r="K6" s="70">
        <v>2012</v>
      </c>
    </row>
    <row r="7" spans="1:21" ht="12.75" customHeight="1">
      <c r="A7" s="64" t="s">
        <v>60</v>
      </c>
      <c r="B7" s="65">
        <v>41511</v>
      </c>
      <c r="C7" s="65">
        <v>60666</v>
      </c>
      <c r="D7" s="67">
        <v>118961</v>
      </c>
      <c r="E7" s="67">
        <v>198655</v>
      </c>
      <c r="F7" s="68">
        <v>229551</v>
      </c>
      <c r="G7" s="71">
        <v>15.385256837891928</v>
      </c>
      <c r="H7" s="71">
        <f t="shared" ref="H7:K38" si="0">(C7-B7)/B7*100</f>
        <v>46.144395461443956</v>
      </c>
      <c r="I7" s="72">
        <f t="shared" si="0"/>
        <v>96.091715293574651</v>
      </c>
      <c r="J7" s="72">
        <f t="shared" si="0"/>
        <v>66.991703163221558</v>
      </c>
      <c r="K7" s="73">
        <f t="shared" si="0"/>
        <v>15.552591175656289</v>
      </c>
    </row>
    <row r="8" spans="1:21" ht="12.75" customHeight="1">
      <c r="A8" s="64" t="s">
        <v>39</v>
      </c>
      <c r="B8" s="65">
        <v>69240</v>
      </c>
      <c r="C8" s="65">
        <v>69085</v>
      </c>
      <c r="D8" s="67">
        <v>77108</v>
      </c>
      <c r="E8" s="67">
        <v>90517</v>
      </c>
      <c r="F8" s="68">
        <v>98351</v>
      </c>
      <c r="G8" s="71">
        <v>-4.1912853367280576</v>
      </c>
      <c r="H8" s="71">
        <f t="shared" si="0"/>
        <v>-0.2238590410167533</v>
      </c>
      <c r="I8" s="72">
        <f t="shared" si="0"/>
        <v>11.613230078888325</v>
      </c>
      <c r="J8" s="72">
        <f t="shared" si="0"/>
        <v>17.389894693157647</v>
      </c>
      <c r="K8" s="73">
        <f t="shared" si="0"/>
        <v>8.654727841179005</v>
      </c>
    </row>
    <row r="9" spans="1:21" ht="12.75" customHeight="1">
      <c r="A9" s="64" t="s">
        <v>57</v>
      </c>
      <c r="B9" s="65">
        <v>116821</v>
      </c>
      <c r="C9" s="65">
        <v>105950</v>
      </c>
      <c r="D9" s="67">
        <v>114158</v>
      </c>
      <c r="E9" s="67">
        <v>104508</v>
      </c>
      <c r="F9" s="68">
        <v>91776</v>
      </c>
      <c r="G9" s="71">
        <v>-6.6611802681410701</v>
      </c>
      <c r="H9" s="71">
        <f t="shared" si="0"/>
        <v>-9.3056899016443957</v>
      </c>
      <c r="I9" s="72">
        <f t="shared" si="0"/>
        <v>7.7470504955167536</v>
      </c>
      <c r="J9" s="72">
        <f t="shared" si="0"/>
        <v>-8.4531964470295549</v>
      </c>
      <c r="K9" s="73">
        <f t="shared" si="0"/>
        <v>-12.182799402916524</v>
      </c>
    </row>
    <row r="10" spans="1:21" ht="12.75" customHeight="1">
      <c r="A10" s="64" t="s">
        <v>49</v>
      </c>
      <c r="B10" s="65">
        <v>48978</v>
      </c>
      <c r="C10" s="65">
        <v>40014</v>
      </c>
      <c r="D10" s="67">
        <v>49111</v>
      </c>
      <c r="E10" s="67">
        <v>63936</v>
      </c>
      <c r="F10" s="68">
        <v>66378</v>
      </c>
      <c r="G10" s="71">
        <v>53.801224682053693</v>
      </c>
      <c r="H10" s="71">
        <f t="shared" si="0"/>
        <v>-18.302094818081589</v>
      </c>
      <c r="I10" s="72">
        <f t="shared" si="0"/>
        <v>22.734542909981506</v>
      </c>
      <c r="J10" s="72">
        <f t="shared" si="0"/>
        <v>30.186719879456742</v>
      </c>
      <c r="K10" s="73">
        <f t="shared" si="0"/>
        <v>3.8194444444444446</v>
      </c>
    </row>
    <row r="11" spans="1:21" ht="12.75" customHeight="1">
      <c r="A11" s="64" t="s">
        <v>44</v>
      </c>
      <c r="B11" s="65">
        <v>103824</v>
      </c>
      <c r="C11" s="65">
        <v>89292</v>
      </c>
      <c r="D11" s="67">
        <v>89596</v>
      </c>
      <c r="E11" s="67">
        <v>83088</v>
      </c>
      <c r="F11" s="68">
        <v>62782</v>
      </c>
      <c r="G11" s="71">
        <v>-11.44772529553247</v>
      </c>
      <c r="H11" s="71">
        <f t="shared" si="0"/>
        <v>-13.996763754045308</v>
      </c>
      <c r="I11" s="72">
        <f t="shared" si="0"/>
        <v>0.34045603189535456</v>
      </c>
      <c r="J11" s="72">
        <f t="shared" si="0"/>
        <v>-7.2637171302290273</v>
      </c>
      <c r="K11" s="73">
        <f t="shared" si="0"/>
        <v>-24.439148854226843</v>
      </c>
    </row>
    <row r="12" spans="1:21" ht="12.75" customHeight="1">
      <c r="A12" s="64" t="s">
        <v>38</v>
      </c>
      <c r="B12" s="65">
        <v>48100</v>
      </c>
      <c r="C12" s="65">
        <v>50373</v>
      </c>
      <c r="D12" s="67">
        <v>54789</v>
      </c>
      <c r="E12" s="67">
        <v>59694</v>
      </c>
      <c r="F12" s="68">
        <v>56775</v>
      </c>
      <c r="G12" s="71">
        <v>6.1786715525043601</v>
      </c>
      <c r="H12" s="71">
        <f t="shared" si="0"/>
        <v>4.7255717255717258</v>
      </c>
      <c r="I12" s="72">
        <f t="shared" si="0"/>
        <v>8.766601155380858</v>
      </c>
      <c r="J12" s="72">
        <f t="shared" si="0"/>
        <v>8.9525269670919343</v>
      </c>
      <c r="K12" s="73">
        <f t="shared" si="0"/>
        <v>-4.889938687305257</v>
      </c>
    </row>
    <row r="13" spans="1:21" ht="12.75" customHeight="1">
      <c r="A13" s="64" t="s">
        <v>63</v>
      </c>
      <c r="B13" s="65">
        <v>38193</v>
      </c>
      <c r="C13" s="65">
        <v>36641</v>
      </c>
      <c r="D13" s="67">
        <v>38791</v>
      </c>
      <c r="E13" s="67">
        <v>35782</v>
      </c>
      <c r="F13" s="68">
        <v>36438</v>
      </c>
      <c r="G13" s="71">
        <v>-7.120449405413293</v>
      </c>
      <c r="H13" s="71">
        <f t="shared" si="0"/>
        <v>-4.063571858717566</v>
      </c>
      <c r="I13" s="72">
        <f t="shared" si="0"/>
        <v>5.8677437842853637</v>
      </c>
      <c r="J13" s="72">
        <f t="shared" si="0"/>
        <v>-7.7569539326132348</v>
      </c>
      <c r="K13" s="73">
        <f t="shared" si="0"/>
        <v>1.8333240176625119</v>
      </c>
    </row>
    <row r="14" spans="1:21" ht="12.75" customHeight="1">
      <c r="A14" s="64" t="s">
        <v>54</v>
      </c>
      <c r="B14" s="65">
        <v>26983</v>
      </c>
      <c r="C14" s="65">
        <v>26783</v>
      </c>
      <c r="D14" s="67">
        <v>27766</v>
      </c>
      <c r="E14" s="67">
        <v>32504</v>
      </c>
      <c r="F14" s="68">
        <v>35457</v>
      </c>
      <c r="G14" s="71">
        <v>3.0554176373983117</v>
      </c>
      <c r="H14" s="71">
        <f t="shared" si="0"/>
        <v>-0.74120742689841757</v>
      </c>
      <c r="I14" s="72">
        <f t="shared" si="0"/>
        <v>3.6702385841765301</v>
      </c>
      <c r="J14" s="72">
        <f t="shared" si="0"/>
        <v>17.064035150903983</v>
      </c>
      <c r="K14" s="73">
        <f t="shared" si="0"/>
        <v>9.0850356879153349</v>
      </c>
    </row>
    <row r="15" spans="1:21" ht="12.75" customHeight="1">
      <c r="A15" s="64" t="s">
        <v>61</v>
      </c>
      <c r="B15" s="65">
        <v>16663</v>
      </c>
      <c r="C15" s="65">
        <v>15850</v>
      </c>
      <c r="D15" s="67">
        <v>25756</v>
      </c>
      <c r="E15" s="67">
        <v>30978</v>
      </c>
      <c r="F15" s="68">
        <v>31721</v>
      </c>
      <c r="G15" s="71">
        <v>-3.832169446528539</v>
      </c>
      <c r="H15" s="71">
        <f t="shared" si="0"/>
        <v>-4.8790733961471524</v>
      </c>
      <c r="I15" s="72">
        <f t="shared" si="0"/>
        <v>62.498422712933753</v>
      </c>
      <c r="J15" s="72">
        <f t="shared" si="0"/>
        <v>20.274887404876534</v>
      </c>
      <c r="K15" s="73">
        <f t="shared" si="0"/>
        <v>2.3984763380463554</v>
      </c>
    </row>
    <row r="16" spans="1:21" ht="12.75" customHeight="1">
      <c r="A16" s="64" t="s">
        <v>64</v>
      </c>
      <c r="B16" s="65">
        <v>20934</v>
      </c>
      <c r="C16" s="65">
        <v>16135</v>
      </c>
      <c r="D16" s="67">
        <v>24808</v>
      </c>
      <c r="E16" s="67">
        <v>25285</v>
      </c>
      <c r="F16" s="68">
        <v>23933</v>
      </c>
      <c r="G16" s="71">
        <v>-0.20022883295194507</v>
      </c>
      <c r="H16" s="71">
        <f t="shared" si="0"/>
        <v>-22.92442915830706</v>
      </c>
      <c r="I16" s="72">
        <f t="shared" si="0"/>
        <v>53.752711496746208</v>
      </c>
      <c r="J16" s="72">
        <f t="shared" si="0"/>
        <v>1.9227668494034182</v>
      </c>
      <c r="K16" s="73">
        <f t="shared" si="0"/>
        <v>-5.3470437017994854</v>
      </c>
    </row>
    <row r="17" spans="1:15" ht="12.75" customHeight="1">
      <c r="A17" s="74" t="s">
        <v>58</v>
      </c>
      <c r="B17" s="75">
        <v>9482</v>
      </c>
      <c r="C17" s="75">
        <v>9476</v>
      </c>
      <c r="D17" s="76">
        <v>10220</v>
      </c>
      <c r="E17" s="76">
        <v>12088</v>
      </c>
      <c r="F17" s="77">
        <v>18612</v>
      </c>
      <c r="G17" s="78">
        <v>16.272225628448805</v>
      </c>
      <c r="H17" s="78">
        <f t="shared" si="0"/>
        <v>-6.3277789495886944E-2</v>
      </c>
      <c r="I17" s="79">
        <f t="shared" si="0"/>
        <v>7.8514140987758552</v>
      </c>
      <c r="J17" s="79">
        <f t="shared" si="0"/>
        <v>18.277886497064578</v>
      </c>
      <c r="K17" s="80">
        <f t="shared" si="0"/>
        <v>53.970880211780283</v>
      </c>
    </row>
    <row r="18" spans="1:15" ht="12.75" customHeight="1">
      <c r="A18" s="74" t="s">
        <v>33</v>
      </c>
      <c r="B18" s="75">
        <v>13462</v>
      </c>
      <c r="C18" s="75">
        <v>13274</v>
      </c>
      <c r="D18" s="76">
        <v>14944</v>
      </c>
      <c r="E18" s="76">
        <v>16655</v>
      </c>
      <c r="F18" s="77">
        <v>18164</v>
      </c>
      <c r="G18" s="78">
        <v>-1.5431873034447401</v>
      </c>
      <c r="H18" s="78">
        <f t="shared" si="0"/>
        <v>-1.3965235477640767</v>
      </c>
      <c r="I18" s="79">
        <f t="shared" si="0"/>
        <v>12.580985384963087</v>
      </c>
      <c r="J18" s="79">
        <f t="shared" si="0"/>
        <v>11.44941113490364</v>
      </c>
      <c r="K18" s="80">
        <f t="shared" si="0"/>
        <v>9.0603422395676976</v>
      </c>
    </row>
    <row r="19" spans="1:15" ht="12.75" customHeight="1">
      <c r="A19" s="74" t="s">
        <v>77</v>
      </c>
      <c r="B19" s="75">
        <v>8853</v>
      </c>
      <c r="C19" s="75">
        <v>9438</v>
      </c>
      <c r="D19" s="76">
        <v>11482</v>
      </c>
      <c r="E19" s="76">
        <v>14490</v>
      </c>
      <c r="F19" s="77">
        <v>16049</v>
      </c>
      <c r="G19" s="78">
        <v>-5.2952503209242625</v>
      </c>
      <c r="H19" s="78">
        <f t="shared" si="0"/>
        <v>6.607929515418502</v>
      </c>
      <c r="I19" s="79">
        <f t="shared" si="0"/>
        <v>21.657130748039837</v>
      </c>
      <c r="J19" s="79">
        <f t="shared" si="0"/>
        <v>26.197526563316497</v>
      </c>
      <c r="K19" s="80">
        <f t="shared" si="0"/>
        <v>10.759144237405106</v>
      </c>
    </row>
    <row r="20" spans="1:15" ht="12.75" customHeight="1">
      <c r="A20" s="74" t="s">
        <v>79</v>
      </c>
      <c r="B20" s="75">
        <v>9368</v>
      </c>
      <c r="C20" s="75">
        <v>7392</v>
      </c>
      <c r="D20" s="76">
        <v>9622</v>
      </c>
      <c r="E20" s="76">
        <v>12778</v>
      </c>
      <c r="F20" s="77">
        <v>15208</v>
      </c>
      <c r="G20" s="78">
        <v>-0.40399744843716773</v>
      </c>
      <c r="H20" s="78">
        <f t="shared" si="0"/>
        <v>-21.093082835183605</v>
      </c>
      <c r="I20" s="79">
        <f t="shared" si="0"/>
        <v>30.167748917748916</v>
      </c>
      <c r="J20" s="79">
        <f t="shared" si="0"/>
        <v>32.799833714404492</v>
      </c>
      <c r="K20" s="80">
        <f t="shared" si="0"/>
        <v>19.017060572859602</v>
      </c>
    </row>
    <row r="21" spans="1:15" ht="12.75" customHeight="1">
      <c r="A21" s="74" t="s">
        <v>68</v>
      </c>
      <c r="B21" s="75">
        <v>4956</v>
      </c>
      <c r="C21" s="75">
        <v>5214</v>
      </c>
      <c r="D21" s="76">
        <v>5332</v>
      </c>
      <c r="E21" s="76">
        <v>7990</v>
      </c>
      <c r="F21" s="77">
        <v>9625</v>
      </c>
      <c r="G21" s="78">
        <v>11.220825852782765</v>
      </c>
      <c r="H21" s="78">
        <f t="shared" si="0"/>
        <v>5.2058111380145284</v>
      </c>
      <c r="I21" s="79">
        <f t="shared" si="0"/>
        <v>2.263137706175681</v>
      </c>
      <c r="J21" s="79">
        <f t="shared" si="0"/>
        <v>49.849962490622659</v>
      </c>
      <c r="K21" s="80">
        <f t="shared" si="0"/>
        <v>20.463078848560702</v>
      </c>
    </row>
    <row r="22" spans="1:15" ht="12.75" customHeight="1">
      <c r="A22" s="74" t="s">
        <v>69</v>
      </c>
      <c r="B22" s="75">
        <v>9752</v>
      </c>
      <c r="C22" s="75">
        <v>7833</v>
      </c>
      <c r="D22" s="76">
        <v>7872</v>
      </c>
      <c r="E22" s="76">
        <v>9670</v>
      </c>
      <c r="F22" s="77">
        <v>8860</v>
      </c>
      <c r="G22" s="78">
        <v>1.015123264967889</v>
      </c>
      <c r="H22" s="78">
        <f t="shared" si="0"/>
        <v>-19.678014766201805</v>
      </c>
      <c r="I22" s="79">
        <f t="shared" si="0"/>
        <v>0.49789352738414405</v>
      </c>
      <c r="J22" s="79">
        <f t="shared" si="0"/>
        <v>22.840447154471544</v>
      </c>
      <c r="K22" s="80">
        <f t="shared" si="0"/>
        <v>-8.3764219234746644</v>
      </c>
    </row>
    <row r="23" spans="1:15" ht="12.75" customHeight="1">
      <c r="A23" s="74" t="s">
        <v>52</v>
      </c>
      <c r="B23" s="75">
        <v>8217</v>
      </c>
      <c r="C23" s="75">
        <v>7279</v>
      </c>
      <c r="D23" s="76">
        <v>8912</v>
      </c>
      <c r="E23" s="76">
        <v>9710</v>
      </c>
      <c r="F23" s="77">
        <v>8824</v>
      </c>
      <c r="G23" s="78">
        <v>-6.6037735849056602</v>
      </c>
      <c r="H23" s="78">
        <f t="shared" si="0"/>
        <v>-11.415358403310211</v>
      </c>
      <c r="I23" s="79">
        <f t="shared" si="0"/>
        <v>22.434400329715622</v>
      </c>
      <c r="J23" s="79">
        <f t="shared" si="0"/>
        <v>8.9542190305206457</v>
      </c>
      <c r="K23" s="80">
        <f t="shared" si="0"/>
        <v>-9.1246138002059727</v>
      </c>
      <c r="O23" s="63" t="s">
        <v>112</v>
      </c>
    </row>
    <row r="24" spans="1:15" ht="12.75" customHeight="1">
      <c r="A24" s="74" t="s">
        <v>56</v>
      </c>
      <c r="B24" s="75">
        <v>5399</v>
      </c>
      <c r="C24" s="75">
        <v>4643</v>
      </c>
      <c r="D24" s="76">
        <v>5445</v>
      </c>
      <c r="E24" s="76">
        <v>6729</v>
      </c>
      <c r="F24" s="77">
        <v>8044</v>
      </c>
      <c r="G24" s="78">
        <v>52.299012693935119</v>
      </c>
      <c r="H24" s="78">
        <f t="shared" si="0"/>
        <v>-14.002593072791258</v>
      </c>
      <c r="I24" s="79">
        <f t="shared" si="0"/>
        <v>17.273314667241007</v>
      </c>
      <c r="J24" s="79">
        <f t="shared" si="0"/>
        <v>23.581267217630856</v>
      </c>
      <c r="K24" s="80">
        <f t="shared" si="0"/>
        <v>19.542279684945758</v>
      </c>
    </row>
    <row r="25" spans="1:15" ht="12.75" customHeight="1">
      <c r="A25" s="74" t="s">
        <v>84</v>
      </c>
      <c r="B25" s="75">
        <v>2747</v>
      </c>
      <c r="C25" s="75">
        <v>3036</v>
      </c>
      <c r="D25" s="76">
        <v>4040</v>
      </c>
      <c r="E25" s="76">
        <v>5005</v>
      </c>
      <c r="F25" s="77">
        <v>7263</v>
      </c>
      <c r="G25" s="78">
        <v>41.597938144329902</v>
      </c>
      <c r="H25" s="78">
        <f t="shared" si="0"/>
        <v>10.520567892246087</v>
      </c>
      <c r="I25" s="79">
        <f t="shared" si="0"/>
        <v>33.06982872200264</v>
      </c>
      <c r="J25" s="79">
        <f t="shared" si="0"/>
        <v>23.886138613861384</v>
      </c>
      <c r="K25" s="80">
        <f t="shared" si="0"/>
        <v>45.114885114885119</v>
      </c>
    </row>
    <row r="26" spans="1:15" ht="12.75" customHeight="1">
      <c r="A26" s="74" t="s">
        <v>71</v>
      </c>
      <c r="B26" s="75">
        <v>3952</v>
      </c>
      <c r="C26" s="75">
        <v>3813</v>
      </c>
      <c r="D26" s="76">
        <v>5397</v>
      </c>
      <c r="E26" s="76">
        <v>6214</v>
      </c>
      <c r="F26" s="77">
        <v>6896</v>
      </c>
      <c r="G26" s="78">
        <v>7.8897078897078892</v>
      </c>
      <c r="H26" s="78">
        <f t="shared" si="0"/>
        <v>-3.5172064777327936</v>
      </c>
      <c r="I26" s="79">
        <f t="shared" si="0"/>
        <v>41.542092840283239</v>
      </c>
      <c r="J26" s="79">
        <f t="shared" si="0"/>
        <v>15.138039651658328</v>
      </c>
      <c r="K26" s="80">
        <f t="shared" si="0"/>
        <v>10.975217251367878</v>
      </c>
    </row>
    <row r="27" spans="1:15" ht="12.75" customHeight="1">
      <c r="A27" s="74" t="s">
        <v>65</v>
      </c>
      <c r="B27" s="75">
        <v>3137</v>
      </c>
      <c r="C27" s="75">
        <v>3139</v>
      </c>
      <c r="D27" s="76">
        <v>3894</v>
      </c>
      <c r="E27" s="76">
        <v>6055</v>
      </c>
      <c r="F27" s="77">
        <v>6766</v>
      </c>
      <c r="G27" s="78">
        <v>4.6015338446148721</v>
      </c>
      <c r="H27" s="78">
        <f t="shared" si="0"/>
        <v>6.3755180108383797E-2</v>
      </c>
      <c r="I27" s="79">
        <f t="shared" si="0"/>
        <v>24.052245938196879</v>
      </c>
      <c r="J27" s="79">
        <f t="shared" si="0"/>
        <v>55.495634309193633</v>
      </c>
      <c r="K27" s="80">
        <f t="shared" si="0"/>
        <v>11.742361684558217</v>
      </c>
    </row>
    <row r="28" spans="1:15" ht="12.75" customHeight="1">
      <c r="A28" s="74" t="s">
        <v>45</v>
      </c>
      <c r="B28" s="75">
        <v>5595</v>
      </c>
      <c r="C28" s="75">
        <v>5355</v>
      </c>
      <c r="D28" s="76">
        <v>5682</v>
      </c>
      <c r="E28" s="76">
        <v>5693</v>
      </c>
      <c r="F28" s="77">
        <v>6077</v>
      </c>
      <c r="G28" s="78">
        <v>-13.644080876678499</v>
      </c>
      <c r="H28" s="78">
        <f t="shared" si="0"/>
        <v>-4.2895442359249332</v>
      </c>
      <c r="I28" s="79">
        <f t="shared" si="0"/>
        <v>6.1064425770308119</v>
      </c>
      <c r="J28" s="79">
        <f t="shared" si="0"/>
        <v>0.19359380499824005</v>
      </c>
      <c r="K28" s="80">
        <f t="shared" si="0"/>
        <v>6.745125592833304</v>
      </c>
    </row>
    <row r="29" spans="1:15" ht="12.75" customHeight="1">
      <c r="A29" s="74" t="s">
        <v>86</v>
      </c>
      <c r="B29" s="75">
        <v>2585</v>
      </c>
      <c r="C29" s="75">
        <v>2744</v>
      </c>
      <c r="D29" s="76">
        <v>3336</v>
      </c>
      <c r="E29" s="76">
        <v>4130</v>
      </c>
      <c r="F29" s="77">
        <v>5880</v>
      </c>
      <c r="G29" s="78">
        <v>26.777832270720943</v>
      </c>
      <c r="H29" s="78">
        <f t="shared" si="0"/>
        <v>6.1508704061895552</v>
      </c>
      <c r="I29" s="79">
        <f t="shared" si="0"/>
        <v>21.574344023323615</v>
      </c>
      <c r="J29" s="79">
        <f t="shared" si="0"/>
        <v>23.800959232613909</v>
      </c>
      <c r="K29" s="80">
        <f t="shared" si="0"/>
        <v>42.372881355932201</v>
      </c>
    </row>
    <row r="30" spans="1:15" ht="12.75" customHeight="1">
      <c r="A30" s="74" t="s">
        <v>35</v>
      </c>
      <c r="B30" s="75">
        <v>3811</v>
      </c>
      <c r="C30" s="75">
        <v>3851</v>
      </c>
      <c r="D30" s="76">
        <v>5137</v>
      </c>
      <c r="E30" s="76">
        <v>6471</v>
      </c>
      <c r="F30" s="77">
        <v>5588</v>
      </c>
      <c r="G30" s="78">
        <v>37.780187997107738</v>
      </c>
      <c r="H30" s="78">
        <f t="shared" si="0"/>
        <v>1.0495932826029915</v>
      </c>
      <c r="I30" s="79">
        <f t="shared" si="0"/>
        <v>33.393923656193195</v>
      </c>
      <c r="J30" s="79">
        <f t="shared" si="0"/>
        <v>25.968464084095778</v>
      </c>
      <c r="K30" s="80">
        <f t="shared" si="0"/>
        <v>-13.645495286663575</v>
      </c>
    </row>
    <row r="31" spans="1:15" ht="12.75" customHeight="1">
      <c r="A31" s="74" t="s">
        <v>55</v>
      </c>
      <c r="B31" s="75">
        <v>3235</v>
      </c>
      <c r="C31" s="75">
        <v>2758</v>
      </c>
      <c r="D31" s="76">
        <v>4637</v>
      </c>
      <c r="E31" s="76">
        <v>4542</v>
      </c>
      <c r="F31" s="77">
        <v>5416</v>
      </c>
      <c r="G31" s="78">
        <v>32.473382473382472</v>
      </c>
      <c r="H31" s="78">
        <f t="shared" si="0"/>
        <v>-14.744976816074187</v>
      </c>
      <c r="I31" s="79">
        <f t="shared" si="0"/>
        <v>68.129079042784625</v>
      </c>
      <c r="J31" s="79">
        <f t="shared" si="0"/>
        <v>-2.0487384084537417</v>
      </c>
      <c r="K31" s="80">
        <f t="shared" si="0"/>
        <v>19.242624394539849</v>
      </c>
    </row>
    <row r="32" spans="1:15" ht="12.75" customHeight="1">
      <c r="A32" s="74" t="s">
        <v>53</v>
      </c>
      <c r="B32" s="75">
        <v>3542</v>
      </c>
      <c r="C32" s="75">
        <v>3165</v>
      </c>
      <c r="D32" s="76">
        <v>3638</v>
      </c>
      <c r="E32" s="76">
        <v>4896</v>
      </c>
      <c r="F32" s="77">
        <v>5230</v>
      </c>
      <c r="G32" s="78">
        <v>64.820846905537451</v>
      </c>
      <c r="H32" s="78">
        <f t="shared" si="0"/>
        <v>-10.643704121964992</v>
      </c>
      <c r="I32" s="79">
        <f t="shared" si="0"/>
        <v>14.944707740916272</v>
      </c>
      <c r="J32" s="79">
        <f t="shared" si="0"/>
        <v>34.579439252336449</v>
      </c>
      <c r="K32" s="80">
        <f t="shared" si="0"/>
        <v>6.8218954248366011</v>
      </c>
    </row>
    <row r="33" spans="1:14" ht="12.75" customHeight="1">
      <c r="A33" s="74" t="s">
        <v>76</v>
      </c>
      <c r="B33" s="75">
        <v>2966</v>
      </c>
      <c r="C33" s="75">
        <v>3043</v>
      </c>
      <c r="D33" s="76">
        <v>3815</v>
      </c>
      <c r="E33" s="76">
        <v>4690</v>
      </c>
      <c r="F33" s="77">
        <v>5070</v>
      </c>
      <c r="G33" s="78">
        <v>4.0336723956506493</v>
      </c>
      <c r="H33" s="78">
        <f t="shared" si="0"/>
        <v>2.5960890087660147</v>
      </c>
      <c r="I33" s="79">
        <f t="shared" si="0"/>
        <v>25.369700953006902</v>
      </c>
      <c r="J33" s="79">
        <f t="shared" si="0"/>
        <v>22.935779816513762</v>
      </c>
      <c r="K33" s="80">
        <f t="shared" si="0"/>
        <v>8.1023454157782524</v>
      </c>
    </row>
    <row r="34" spans="1:14" ht="12.75" customHeight="1">
      <c r="A34" s="74" t="s">
        <v>70</v>
      </c>
      <c r="B34" s="75">
        <v>2233</v>
      </c>
      <c r="C34" s="75">
        <v>1975</v>
      </c>
      <c r="D34" s="76">
        <v>3831</v>
      </c>
      <c r="E34" s="76">
        <v>5305</v>
      </c>
      <c r="F34" s="77">
        <v>4430</v>
      </c>
      <c r="G34" s="78">
        <v>10.654112983151636</v>
      </c>
      <c r="H34" s="78">
        <f t="shared" si="0"/>
        <v>-11.553963278101209</v>
      </c>
      <c r="I34" s="79">
        <f t="shared" si="0"/>
        <v>93.974683544303801</v>
      </c>
      <c r="J34" s="79">
        <f t="shared" si="0"/>
        <v>38.475593839728525</v>
      </c>
      <c r="K34" s="80">
        <f t="shared" si="0"/>
        <v>-16.493873704052781</v>
      </c>
    </row>
    <row r="35" spans="1:14" ht="12.75" customHeight="1">
      <c r="A35" s="74" t="s">
        <v>85</v>
      </c>
      <c r="B35" s="75">
        <v>1394</v>
      </c>
      <c r="C35" s="75">
        <v>1580</v>
      </c>
      <c r="D35" s="76">
        <v>1699</v>
      </c>
      <c r="E35" s="76">
        <v>2292</v>
      </c>
      <c r="F35" s="77">
        <v>4047</v>
      </c>
      <c r="G35" s="78">
        <v>72.738537794299873</v>
      </c>
      <c r="H35" s="78">
        <f t="shared" si="0"/>
        <v>13.342898134863701</v>
      </c>
      <c r="I35" s="79">
        <f t="shared" si="0"/>
        <v>7.5316455696202533</v>
      </c>
      <c r="J35" s="79">
        <f t="shared" si="0"/>
        <v>34.90288404944085</v>
      </c>
      <c r="K35" s="80">
        <f t="shared" si="0"/>
        <v>76.570680628272243</v>
      </c>
    </row>
    <row r="36" spans="1:14" ht="12.75" customHeight="1">
      <c r="A36" s="74" t="s">
        <v>73</v>
      </c>
      <c r="B36" s="75">
        <v>3732</v>
      </c>
      <c r="C36" s="75">
        <v>2975</v>
      </c>
      <c r="D36" s="76">
        <v>3157</v>
      </c>
      <c r="E36" s="76">
        <v>3684</v>
      </c>
      <c r="F36" s="77">
        <v>3967</v>
      </c>
      <c r="G36" s="78">
        <v>13.331308836926814</v>
      </c>
      <c r="H36" s="78">
        <f t="shared" si="0"/>
        <v>-20.284030010718112</v>
      </c>
      <c r="I36" s="79">
        <f t="shared" si="0"/>
        <v>6.1176470588235299</v>
      </c>
      <c r="J36" s="79">
        <f t="shared" si="0"/>
        <v>16.69306303452645</v>
      </c>
      <c r="K36" s="80">
        <f t="shared" si="0"/>
        <v>7.681867535287731</v>
      </c>
    </row>
    <row r="37" spans="1:14" ht="12.75" customHeight="1">
      <c r="A37" s="74" t="s">
        <v>47</v>
      </c>
      <c r="B37" s="75">
        <v>3325</v>
      </c>
      <c r="C37" s="75">
        <v>3357</v>
      </c>
      <c r="D37" s="76">
        <v>3795</v>
      </c>
      <c r="E37" s="76">
        <v>4158</v>
      </c>
      <c r="F37" s="77">
        <v>3918</v>
      </c>
      <c r="G37" s="78">
        <v>25.047010154193305</v>
      </c>
      <c r="H37" s="78">
        <f t="shared" si="0"/>
        <v>0.96240601503759393</v>
      </c>
      <c r="I37" s="79">
        <f t="shared" si="0"/>
        <v>13.047363717605004</v>
      </c>
      <c r="J37" s="79">
        <f t="shared" si="0"/>
        <v>9.5652173913043477</v>
      </c>
      <c r="K37" s="80">
        <f t="shared" si="0"/>
        <v>-5.7720057720057723</v>
      </c>
    </row>
    <row r="38" spans="1:14" ht="12.75" customHeight="1">
      <c r="A38" s="74" t="s">
        <v>48</v>
      </c>
      <c r="B38" s="75">
        <v>4150</v>
      </c>
      <c r="C38" s="75">
        <v>4822</v>
      </c>
      <c r="D38" s="76">
        <v>4555</v>
      </c>
      <c r="E38" s="76">
        <v>4434</v>
      </c>
      <c r="F38" s="77">
        <v>3660</v>
      </c>
      <c r="G38" s="78">
        <v>-0.90735434574976126</v>
      </c>
      <c r="H38" s="78">
        <f t="shared" si="0"/>
        <v>16.192771084337348</v>
      </c>
      <c r="I38" s="79">
        <f t="shared" si="0"/>
        <v>-5.5371215263376188</v>
      </c>
      <c r="J38" s="79">
        <f t="shared" si="0"/>
        <v>-2.6564215148188803</v>
      </c>
      <c r="K38" s="80">
        <f t="shared" si="0"/>
        <v>-17.456021650879567</v>
      </c>
    </row>
    <row r="39" spans="1:14" ht="12.75" customHeight="1">
      <c r="A39" s="74" t="s">
        <v>36</v>
      </c>
      <c r="B39" s="75">
        <v>1834</v>
      </c>
      <c r="C39" s="75">
        <v>1722</v>
      </c>
      <c r="D39" s="76">
        <v>2422</v>
      </c>
      <c r="E39" s="76">
        <v>3173</v>
      </c>
      <c r="F39" s="77">
        <v>3493</v>
      </c>
      <c r="G39" s="78">
        <v>0.82462891698735563</v>
      </c>
      <c r="H39" s="78">
        <f t="shared" ref="H39:K60" si="1">(C39-B39)/B39*100</f>
        <v>-6.1068702290076331</v>
      </c>
      <c r="I39" s="79">
        <f t="shared" si="1"/>
        <v>40.650406504065039</v>
      </c>
      <c r="J39" s="79">
        <f t="shared" si="1"/>
        <v>31.007431874483899</v>
      </c>
      <c r="K39" s="80">
        <f t="shared" si="1"/>
        <v>10.085092971950834</v>
      </c>
    </row>
    <row r="40" spans="1:14" ht="12.75" customHeight="1">
      <c r="A40" s="74" t="s">
        <v>74</v>
      </c>
      <c r="B40" s="75">
        <v>1962</v>
      </c>
      <c r="C40" s="75">
        <v>2059</v>
      </c>
      <c r="D40" s="76">
        <v>2471</v>
      </c>
      <c r="E40" s="76">
        <v>2781</v>
      </c>
      <c r="F40" s="77">
        <v>3128</v>
      </c>
      <c r="G40" s="78">
        <v>26.336123631680618</v>
      </c>
      <c r="H40" s="78">
        <f t="shared" si="1"/>
        <v>4.9439347604485224</v>
      </c>
      <c r="I40" s="79">
        <f t="shared" si="1"/>
        <v>20.009713453132587</v>
      </c>
      <c r="J40" s="79">
        <f t="shared" si="1"/>
        <v>12.545528126264671</v>
      </c>
      <c r="K40" s="80">
        <f t="shared" si="1"/>
        <v>12.47752606975908</v>
      </c>
    </row>
    <row r="41" spans="1:14" ht="12.75" customHeight="1">
      <c r="A41" s="74" t="s">
        <v>75</v>
      </c>
      <c r="B41" s="75">
        <v>1327</v>
      </c>
      <c r="C41" s="75">
        <v>1304</v>
      </c>
      <c r="D41" s="76">
        <v>1761</v>
      </c>
      <c r="E41" s="76">
        <v>2342</v>
      </c>
      <c r="F41" s="77">
        <v>3061</v>
      </c>
      <c r="G41" s="78">
        <v>87.429378531073439</v>
      </c>
      <c r="H41" s="78">
        <f t="shared" si="1"/>
        <v>-1.7332328560663148</v>
      </c>
      <c r="I41" s="79">
        <f t="shared" si="1"/>
        <v>35.04601226993865</v>
      </c>
      <c r="J41" s="79">
        <f t="shared" si="1"/>
        <v>32.992617830777967</v>
      </c>
      <c r="K41" s="80">
        <f t="shared" si="1"/>
        <v>30.700256191289498</v>
      </c>
    </row>
    <row r="42" spans="1:14" ht="12.75" customHeight="1">
      <c r="A42" s="74" t="s">
        <v>82</v>
      </c>
      <c r="B42" s="75">
        <v>1340</v>
      </c>
      <c r="C42" s="75">
        <v>1181</v>
      </c>
      <c r="D42" s="76">
        <v>1409</v>
      </c>
      <c r="E42" s="76">
        <v>1797</v>
      </c>
      <c r="F42" s="77">
        <v>2987</v>
      </c>
      <c r="G42" s="78">
        <v>33.466135458167329</v>
      </c>
      <c r="H42" s="78">
        <f t="shared" si="1"/>
        <v>-11.865671641791046</v>
      </c>
      <c r="I42" s="79">
        <f t="shared" si="1"/>
        <v>19.30567315834039</v>
      </c>
      <c r="J42" s="79">
        <f t="shared" si="1"/>
        <v>27.537260468417319</v>
      </c>
      <c r="K42" s="80">
        <f t="shared" si="1"/>
        <v>66.221480244852543</v>
      </c>
    </row>
    <row r="43" spans="1:14" ht="12.75" customHeight="1">
      <c r="A43" s="74" t="s">
        <v>46</v>
      </c>
      <c r="B43" s="75">
        <v>2596</v>
      </c>
      <c r="C43" s="75">
        <v>2120</v>
      </c>
      <c r="D43" s="76">
        <v>2153</v>
      </c>
      <c r="E43" s="76">
        <v>2775</v>
      </c>
      <c r="F43" s="77">
        <v>2902</v>
      </c>
      <c r="G43" s="78">
        <v>43.584070796460175</v>
      </c>
      <c r="H43" s="78">
        <f t="shared" si="1"/>
        <v>-18.335901386748844</v>
      </c>
      <c r="I43" s="79">
        <f t="shared" si="1"/>
        <v>1.5566037735849056</v>
      </c>
      <c r="J43" s="79">
        <f t="shared" si="1"/>
        <v>28.889921040408733</v>
      </c>
      <c r="K43" s="80">
        <f t="shared" si="1"/>
        <v>4.576576576576576</v>
      </c>
    </row>
    <row r="44" spans="1:14" ht="12.75" customHeight="1">
      <c r="A44" s="74" t="s">
        <v>50</v>
      </c>
      <c r="B44" s="75">
        <v>1916</v>
      </c>
      <c r="C44" s="75">
        <v>1970</v>
      </c>
      <c r="D44" s="76">
        <v>2348</v>
      </c>
      <c r="E44" s="76">
        <v>2822</v>
      </c>
      <c r="F44" s="77">
        <v>2636</v>
      </c>
      <c r="G44" s="78">
        <v>30.428863172226006</v>
      </c>
      <c r="H44" s="78">
        <f t="shared" si="1"/>
        <v>2.8183716075156577</v>
      </c>
      <c r="I44" s="79">
        <f t="shared" si="1"/>
        <v>19.18781725888325</v>
      </c>
      <c r="J44" s="79">
        <f t="shared" si="1"/>
        <v>20.187393526405451</v>
      </c>
      <c r="K44" s="80">
        <f t="shared" si="1"/>
        <v>-6.5910701630049608</v>
      </c>
    </row>
    <row r="45" spans="1:14" ht="12.75" customHeight="1">
      <c r="A45" s="74" t="s">
        <v>78</v>
      </c>
      <c r="B45" s="75">
        <v>1334</v>
      </c>
      <c r="C45" s="75">
        <v>1374</v>
      </c>
      <c r="D45" s="76">
        <v>1543</v>
      </c>
      <c r="E45" s="76">
        <v>2132</v>
      </c>
      <c r="F45" s="77">
        <v>2594</v>
      </c>
      <c r="G45" s="78">
        <v>3.3307513555383426</v>
      </c>
      <c r="H45" s="78">
        <f t="shared" si="1"/>
        <v>2.9985007496251872</v>
      </c>
      <c r="I45" s="79">
        <f t="shared" si="1"/>
        <v>12.299854439592432</v>
      </c>
      <c r="J45" s="79">
        <f t="shared" si="1"/>
        <v>38.172391445236556</v>
      </c>
      <c r="K45" s="80">
        <f t="shared" si="1"/>
        <v>21.669793621013135</v>
      </c>
      <c r="N45" s="63" t="s">
        <v>113</v>
      </c>
    </row>
    <row r="46" spans="1:14" ht="12" customHeight="1">
      <c r="A46" s="74" t="s">
        <v>43</v>
      </c>
      <c r="B46" s="75">
        <v>1588</v>
      </c>
      <c r="C46" s="75">
        <v>1380</v>
      </c>
      <c r="D46" s="76">
        <v>2113</v>
      </c>
      <c r="E46" s="76">
        <v>2433</v>
      </c>
      <c r="F46" s="77">
        <v>2569</v>
      </c>
      <c r="G46" s="78">
        <v>21.406727828746178</v>
      </c>
      <c r="H46" s="78">
        <f t="shared" si="1"/>
        <v>-13.09823677581864</v>
      </c>
      <c r="I46" s="79">
        <f t="shared" si="1"/>
        <v>53.115942028985508</v>
      </c>
      <c r="J46" s="79">
        <f t="shared" si="1"/>
        <v>15.144344533838144</v>
      </c>
      <c r="K46" s="80">
        <f t="shared" si="1"/>
        <v>5.589806822852446</v>
      </c>
    </row>
    <row r="47" spans="1:14" ht="12.75" customHeight="1">
      <c r="A47" s="74" t="s">
        <v>42</v>
      </c>
      <c r="B47" s="75">
        <v>2884</v>
      </c>
      <c r="C47" s="75">
        <v>2420</v>
      </c>
      <c r="D47" s="76">
        <v>2514</v>
      </c>
      <c r="E47" s="76">
        <v>2444</v>
      </c>
      <c r="F47" s="77">
        <v>2483</v>
      </c>
      <c r="G47" s="78">
        <v>-8.3862770012706473</v>
      </c>
      <c r="H47" s="78">
        <f t="shared" si="1"/>
        <v>-16.08876560332871</v>
      </c>
      <c r="I47" s="79">
        <f t="shared" si="1"/>
        <v>3.884297520661157</v>
      </c>
      <c r="J47" s="79">
        <f t="shared" si="1"/>
        <v>-2.7844073190135243</v>
      </c>
      <c r="K47" s="80">
        <f t="shared" si="1"/>
        <v>1.5957446808510638</v>
      </c>
    </row>
    <row r="48" spans="1:14" ht="12.75" customHeight="1">
      <c r="A48" s="74" t="s">
        <v>41</v>
      </c>
      <c r="B48" s="75">
        <v>2052</v>
      </c>
      <c r="C48" s="75">
        <v>1848</v>
      </c>
      <c r="D48" s="76">
        <v>2434</v>
      </c>
      <c r="E48" s="76">
        <v>2596</v>
      </c>
      <c r="F48" s="77">
        <v>2408</v>
      </c>
      <c r="G48" s="78">
        <v>-20.093457943925234</v>
      </c>
      <c r="H48" s="78">
        <f t="shared" si="1"/>
        <v>-9.9415204678362574</v>
      </c>
      <c r="I48" s="79">
        <f t="shared" si="1"/>
        <v>31.70995670995671</v>
      </c>
      <c r="J48" s="79">
        <f t="shared" si="1"/>
        <v>6.6557107641741986</v>
      </c>
      <c r="K48" s="80">
        <f t="shared" si="1"/>
        <v>-7.2419106317411401</v>
      </c>
    </row>
    <row r="49" spans="1:11" ht="12.75" customHeight="1">
      <c r="A49" s="74" t="s">
        <v>72</v>
      </c>
      <c r="B49" s="75">
        <v>1065</v>
      </c>
      <c r="C49" s="75">
        <v>1182</v>
      </c>
      <c r="D49" s="76">
        <v>1575</v>
      </c>
      <c r="E49" s="76">
        <v>2485</v>
      </c>
      <c r="F49" s="77">
        <v>2345</v>
      </c>
      <c r="G49" s="78">
        <v>-45.412608918503331</v>
      </c>
      <c r="H49" s="78">
        <f t="shared" si="1"/>
        <v>10.985915492957748</v>
      </c>
      <c r="I49" s="79">
        <f t="shared" si="1"/>
        <v>33.248730964467008</v>
      </c>
      <c r="J49" s="79">
        <f t="shared" si="1"/>
        <v>57.777777777777771</v>
      </c>
      <c r="K49" s="80">
        <f t="shared" si="1"/>
        <v>-5.6338028169014089</v>
      </c>
    </row>
    <row r="50" spans="1:11" ht="12.75" customHeight="1">
      <c r="A50" s="74" t="s">
        <v>67</v>
      </c>
      <c r="B50" s="75">
        <v>871</v>
      </c>
      <c r="C50" s="75">
        <v>979</v>
      </c>
      <c r="D50" s="76">
        <v>1066</v>
      </c>
      <c r="E50" s="76">
        <v>1652</v>
      </c>
      <c r="F50" s="77">
        <v>2265</v>
      </c>
      <c r="G50" s="78">
        <v>-11.303462321792262</v>
      </c>
      <c r="H50" s="78">
        <f t="shared" si="1"/>
        <v>12.399540757749714</v>
      </c>
      <c r="I50" s="79">
        <f t="shared" si="1"/>
        <v>8.88661899897855</v>
      </c>
      <c r="J50" s="79">
        <f t="shared" si="1"/>
        <v>54.971857410881796</v>
      </c>
      <c r="K50" s="80">
        <f t="shared" si="1"/>
        <v>37.106537530266344</v>
      </c>
    </row>
    <row r="51" spans="1:11" ht="12.75" customHeight="1">
      <c r="A51" s="74" t="s">
        <v>40</v>
      </c>
      <c r="B51" s="75">
        <v>4926</v>
      </c>
      <c r="C51" s="75">
        <v>5406</v>
      </c>
      <c r="D51" s="76">
        <v>4630</v>
      </c>
      <c r="E51" s="76">
        <v>3009</v>
      </c>
      <c r="F51" s="77">
        <v>2058</v>
      </c>
      <c r="G51" s="78">
        <v>1.5670103092783505</v>
      </c>
      <c r="H51" s="78">
        <f t="shared" si="1"/>
        <v>9.7442143727161987</v>
      </c>
      <c r="I51" s="79">
        <f t="shared" si="1"/>
        <v>-14.354421013688496</v>
      </c>
      <c r="J51" s="79">
        <f t="shared" si="1"/>
        <v>-35.010799136069117</v>
      </c>
      <c r="K51" s="80">
        <f t="shared" si="1"/>
        <v>-31.605184446660019</v>
      </c>
    </row>
    <row r="52" spans="1:11" ht="12.75" customHeight="1">
      <c r="A52" s="74" t="s">
        <v>66</v>
      </c>
      <c r="B52" s="75">
        <v>1191</v>
      </c>
      <c r="C52" s="75">
        <v>1046</v>
      </c>
      <c r="D52" s="76">
        <v>1256</v>
      </c>
      <c r="E52" s="76">
        <v>1842</v>
      </c>
      <c r="F52" s="77">
        <v>1857</v>
      </c>
      <c r="G52" s="78">
        <v>17.5715695952616</v>
      </c>
      <c r="H52" s="78">
        <f t="shared" si="1"/>
        <v>-12.174643157010916</v>
      </c>
      <c r="I52" s="79">
        <f t="shared" si="1"/>
        <v>20.076481835564053</v>
      </c>
      <c r="J52" s="79">
        <f t="shared" si="1"/>
        <v>46.656050955414017</v>
      </c>
      <c r="K52" s="80">
        <f t="shared" si="1"/>
        <v>0.81433224755700329</v>
      </c>
    </row>
    <row r="53" spans="1:11" ht="12.75" customHeight="1">
      <c r="A53" s="74" t="s">
        <v>62</v>
      </c>
      <c r="B53" s="75">
        <v>581</v>
      </c>
      <c r="C53" s="75">
        <v>677</v>
      </c>
      <c r="D53" s="76">
        <v>818</v>
      </c>
      <c r="E53" s="76">
        <v>1283</v>
      </c>
      <c r="F53" s="77">
        <v>1772</v>
      </c>
      <c r="G53" s="78">
        <v>-38.388123011664902</v>
      </c>
      <c r="H53" s="78">
        <f t="shared" si="1"/>
        <v>16.523235800344235</v>
      </c>
      <c r="I53" s="79">
        <f t="shared" si="1"/>
        <v>20.827178729689809</v>
      </c>
      <c r="J53" s="79">
        <f t="shared" si="1"/>
        <v>56.845965770171148</v>
      </c>
      <c r="K53" s="80">
        <f t="shared" si="1"/>
        <v>38.113795791114576</v>
      </c>
    </row>
    <row r="54" spans="1:11" ht="12.75" customHeight="1">
      <c r="A54" s="74" t="s">
        <v>83</v>
      </c>
      <c r="B54" s="75">
        <v>1139</v>
      </c>
      <c r="C54" s="75">
        <v>984</v>
      </c>
      <c r="D54" s="76">
        <v>1145</v>
      </c>
      <c r="E54" s="76">
        <v>1346</v>
      </c>
      <c r="F54" s="77">
        <v>1666</v>
      </c>
      <c r="G54" s="78">
        <v>72.575757575757578</v>
      </c>
      <c r="H54" s="78">
        <f t="shared" si="1"/>
        <v>-13.608428446005268</v>
      </c>
      <c r="I54" s="79">
        <f t="shared" si="1"/>
        <v>16.361788617886177</v>
      </c>
      <c r="J54" s="79">
        <f t="shared" si="1"/>
        <v>17.554585152838428</v>
      </c>
      <c r="K54" s="80">
        <f t="shared" si="1"/>
        <v>23.774145616641899</v>
      </c>
    </row>
    <row r="55" spans="1:11" ht="12.75" customHeight="1">
      <c r="A55" s="74" t="s">
        <v>80</v>
      </c>
      <c r="B55" s="75">
        <v>1184</v>
      </c>
      <c r="C55" s="75">
        <v>991</v>
      </c>
      <c r="D55" s="76">
        <v>1103</v>
      </c>
      <c r="E55" s="76">
        <v>1390</v>
      </c>
      <c r="F55" s="77">
        <v>1579</v>
      </c>
      <c r="G55" s="78">
        <v>3.6777583187390541</v>
      </c>
      <c r="H55" s="78">
        <f t="shared" si="1"/>
        <v>-16.300675675675674</v>
      </c>
      <c r="I55" s="79">
        <f t="shared" si="1"/>
        <v>11.301715438950556</v>
      </c>
      <c r="J55" s="79">
        <f t="shared" si="1"/>
        <v>26.019945602901178</v>
      </c>
      <c r="K55" s="80">
        <f t="shared" si="1"/>
        <v>13.597122302158274</v>
      </c>
    </row>
    <row r="56" spans="1:11" ht="12.75" customHeight="1">
      <c r="A56" s="74" t="s">
        <v>34</v>
      </c>
      <c r="B56" s="75">
        <v>3368</v>
      </c>
      <c r="C56" s="75">
        <v>3437</v>
      </c>
      <c r="D56" s="76">
        <v>4386</v>
      </c>
      <c r="E56" s="76">
        <v>5738</v>
      </c>
      <c r="F56" s="77">
        <v>1509</v>
      </c>
      <c r="G56" s="78">
        <v>-5.1801801801801801</v>
      </c>
      <c r="H56" s="78">
        <f t="shared" si="1"/>
        <v>2.0486935866983371</v>
      </c>
      <c r="I56" s="79">
        <f t="shared" si="1"/>
        <v>27.611288914751235</v>
      </c>
      <c r="J56" s="79">
        <f t="shared" si="1"/>
        <v>30.825353397172822</v>
      </c>
      <c r="K56" s="80">
        <f t="shared" si="1"/>
        <v>-73.701638201463922</v>
      </c>
    </row>
    <row r="57" spans="1:11" ht="12.75" customHeight="1">
      <c r="A57" s="74" t="s">
        <v>37</v>
      </c>
      <c r="B57" s="75">
        <v>865</v>
      </c>
      <c r="C57" s="75">
        <v>1088</v>
      </c>
      <c r="D57" s="76">
        <v>1281</v>
      </c>
      <c r="E57" s="76">
        <v>1535</v>
      </c>
      <c r="F57" s="77">
        <v>1402</v>
      </c>
      <c r="G57" s="78">
        <v>9.6324461343472745</v>
      </c>
      <c r="H57" s="78">
        <f t="shared" si="1"/>
        <v>25.780346820809246</v>
      </c>
      <c r="I57" s="79">
        <f t="shared" si="1"/>
        <v>17.738970588235293</v>
      </c>
      <c r="J57" s="79">
        <f t="shared" si="1"/>
        <v>19.828259172521467</v>
      </c>
      <c r="K57" s="80">
        <f t="shared" si="1"/>
        <v>-8.664495114006515</v>
      </c>
    </row>
    <row r="58" spans="1:11" ht="12.75" customHeight="1">
      <c r="A58" s="74" t="s">
        <v>51</v>
      </c>
      <c r="B58" s="75">
        <v>1372</v>
      </c>
      <c r="C58" s="75">
        <v>1324</v>
      </c>
      <c r="D58" s="76">
        <v>1647</v>
      </c>
      <c r="E58" s="76">
        <v>1609</v>
      </c>
      <c r="F58" s="77">
        <v>1295</v>
      </c>
      <c r="G58" s="78">
        <v>13.953488372093023</v>
      </c>
      <c r="H58" s="78">
        <f t="shared" si="1"/>
        <v>-3.4985422740524781</v>
      </c>
      <c r="I58" s="79">
        <f t="shared" si="1"/>
        <v>24.395770392749245</v>
      </c>
      <c r="J58" s="79">
        <f t="shared" si="1"/>
        <v>-2.3072252580449302</v>
      </c>
      <c r="K58" s="80">
        <f t="shared" si="1"/>
        <v>-19.515226848974518</v>
      </c>
    </row>
    <row r="59" spans="1:11" ht="12.75" customHeight="1">
      <c r="A59" s="74" t="s">
        <v>59</v>
      </c>
      <c r="B59" s="75">
        <v>455</v>
      </c>
      <c r="C59" s="75">
        <v>388</v>
      </c>
      <c r="D59" s="76">
        <v>525</v>
      </c>
      <c r="E59" s="76">
        <v>1496</v>
      </c>
      <c r="F59" s="77">
        <v>1221</v>
      </c>
      <c r="G59" s="78">
        <v>-64.563862928348911</v>
      </c>
      <c r="H59" s="78">
        <f t="shared" si="1"/>
        <v>-14.725274725274726</v>
      </c>
      <c r="I59" s="79">
        <f t="shared" si="1"/>
        <v>35.309278350515463</v>
      </c>
      <c r="J59" s="79">
        <f t="shared" si="1"/>
        <v>184.95238095238096</v>
      </c>
      <c r="K59" s="80">
        <f t="shared" si="1"/>
        <v>-18.382352941176471</v>
      </c>
    </row>
    <row r="60" spans="1:11" ht="12.75" customHeight="1">
      <c r="A60" s="81" t="s">
        <v>81</v>
      </c>
      <c r="B60" s="82">
        <v>22</v>
      </c>
      <c r="C60" s="82">
        <v>21</v>
      </c>
      <c r="D60" s="83">
        <v>31</v>
      </c>
      <c r="E60" s="83">
        <v>27</v>
      </c>
      <c r="F60" s="84">
        <v>39</v>
      </c>
      <c r="G60" s="85">
        <v>-80.530973451327441</v>
      </c>
      <c r="H60" s="85">
        <f t="shared" si="1"/>
        <v>-4.5454545454545459</v>
      </c>
      <c r="I60" s="86">
        <f t="shared" si="1"/>
        <v>47.619047619047613</v>
      </c>
      <c r="J60" s="86">
        <f t="shared" si="1"/>
        <v>-12.903225806451612</v>
      </c>
      <c r="K60" s="87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88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88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>
    <tabColor rgb="FFFFC000"/>
  </sheetPr>
  <dimension ref="A1:AH48"/>
  <sheetViews>
    <sheetView showGridLines="0" tabSelected="1" view="pageBreakPreview" zoomScaleSheetLayoutView="100" workbookViewId="0">
      <selection activeCell="N24" sqref="N24"/>
    </sheetView>
  </sheetViews>
  <sheetFormatPr defaultColWidth="9.109375" defaultRowHeight="11.4"/>
  <cols>
    <col min="1" max="1" width="13.6640625" style="9" customWidth="1"/>
    <col min="2" max="2" width="10.88671875" style="9" hidden="1" customWidth="1"/>
    <col min="3" max="3" width="15.44140625" style="9" hidden="1" customWidth="1"/>
    <col min="4" max="4" width="17.5546875" style="9" hidden="1" customWidth="1"/>
    <col min="5" max="5" width="17.44140625" style="9" hidden="1" customWidth="1"/>
    <col min="6" max="6" width="17.109375" style="9" hidden="1" customWidth="1"/>
    <col min="7" max="7" width="17.6640625" style="9" hidden="1" customWidth="1"/>
    <col min="8" max="8" width="10.5546875" style="9" hidden="1" customWidth="1"/>
    <col min="9" max="9" width="12.6640625" style="9" hidden="1" customWidth="1"/>
    <col min="10" max="10" width="14.6640625" style="9" hidden="1" customWidth="1"/>
    <col min="11" max="11" width="13.5546875" style="9" hidden="1" customWidth="1"/>
    <col min="12" max="12" width="10.6640625" style="9" hidden="1" customWidth="1"/>
    <col min="13" max="13" width="11.88671875" style="9" hidden="1" customWidth="1"/>
    <col min="14" max="14" width="10.88671875" style="9" customWidth="1"/>
    <col min="15" max="15" width="15.44140625" style="9" customWidth="1"/>
    <col min="16" max="16" width="14.6640625" style="9" customWidth="1"/>
    <col min="17" max="17" width="13.5546875" style="9" customWidth="1"/>
    <col min="18" max="18" width="10.6640625" style="9" customWidth="1"/>
    <col min="19" max="19" width="11.88671875" style="9" customWidth="1"/>
    <col min="20" max="20" width="10.88671875" style="9" customWidth="1"/>
    <col min="21" max="21" width="15.44140625" style="9" customWidth="1"/>
    <col min="22" max="22" width="14.6640625" style="9" customWidth="1"/>
    <col min="23" max="23" width="13.5546875" style="9" customWidth="1"/>
    <col min="24" max="24" width="10.6640625" style="9" customWidth="1"/>
    <col min="25" max="25" width="11.88671875" style="9" customWidth="1"/>
    <col min="26" max="33" width="9.109375" style="9"/>
    <col min="34" max="34" width="18.33203125" style="9" customWidth="1"/>
    <col min="35" max="16384" width="9.109375" style="9"/>
  </cols>
  <sheetData>
    <row r="1" spans="1:34" ht="17.25" customHeight="1">
      <c r="A1" s="119" t="s">
        <v>115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8"/>
      <c r="AA1" s="8"/>
    </row>
    <row r="2" spans="1:34" ht="24" customHeight="1">
      <c r="A2" s="120" t="s">
        <v>114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AG2" s="89"/>
      <c r="AH2" s="90" t="s">
        <v>93</v>
      </c>
    </row>
    <row r="3" spans="1:34" s="29" customFormat="1" ht="18.75" customHeight="1">
      <c r="A3" s="122" t="s">
        <v>11</v>
      </c>
      <c r="B3" s="118">
        <v>2010</v>
      </c>
      <c r="C3" s="118"/>
      <c r="D3" s="118"/>
      <c r="E3" s="118"/>
      <c r="F3" s="118"/>
      <c r="G3" s="118"/>
      <c r="H3" s="118">
        <v>2011</v>
      </c>
      <c r="I3" s="118"/>
      <c r="J3" s="118"/>
      <c r="K3" s="118"/>
      <c r="L3" s="118"/>
      <c r="M3" s="121"/>
      <c r="N3" s="118">
        <v>2012</v>
      </c>
      <c r="O3" s="118"/>
      <c r="P3" s="118"/>
      <c r="Q3" s="118"/>
      <c r="R3" s="118"/>
      <c r="S3" s="118"/>
      <c r="T3" s="117">
        <v>2013</v>
      </c>
      <c r="U3" s="118"/>
      <c r="V3" s="118"/>
      <c r="W3" s="118"/>
      <c r="X3" s="118"/>
      <c r="Y3" s="118"/>
      <c r="AG3" s="95">
        <v>40544</v>
      </c>
      <c r="AH3" s="91">
        <v>8.1999999999999993</v>
      </c>
    </row>
    <row r="4" spans="1:34" s="29" customFormat="1" ht="56.25" customHeight="1">
      <c r="A4" s="123"/>
      <c r="B4" s="30" t="s">
        <v>98</v>
      </c>
      <c r="C4" s="30" t="s">
        <v>97</v>
      </c>
      <c r="D4" s="30" t="s">
        <v>96</v>
      </c>
      <c r="E4" s="30" t="s">
        <v>95</v>
      </c>
      <c r="F4" s="30" t="s">
        <v>99</v>
      </c>
      <c r="G4" s="30" t="s">
        <v>100</v>
      </c>
      <c r="H4" s="30" t="s">
        <v>98</v>
      </c>
      <c r="I4" s="30" t="s">
        <v>97</v>
      </c>
      <c r="J4" s="30" t="s">
        <v>96</v>
      </c>
      <c r="K4" s="30" t="s">
        <v>95</v>
      </c>
      <c r="L4" s="30" t="s">
        <v>99</v>
      </c>
      <c r="M4" s="31" t="s">
        <v>100</v>
      </c>
      <c r="N4" s="30" t="s">
        <v>98</v>
      </c>
      <c r="O4" s="30" t="s">
        <v>97</v>
      </c>
      <c r="P4" s="30" t="s">
        <v>96</v>
      </c>
      <c r="Q4" s="30" t="s">
        <v>95</v>
      </c>
      <c r="R4" s="30" t="s">
        <v>99</v>
      </c>
      <c r="S4" s="30" t="s">
        <v>100</v>
      </c>
      <c r="T4" s="96" t="s">
        <v>98</v>
      </c>
      <c r="U4" s="30" t="s">
        <v>97</v>
      </c>
      <c r="V4" s="30" t="s">
        <v>96</v>
      </c>
      <c r="W4" s="30" t="s">
        <v>95</v>
      </c>
      <c r="X4" s="30" t="s">
        <v>99</v>
      </c>
      <c r="Y4" s="30" t="s">
        <v>100</v>
      </c>
      <c r="AG4" s="92" t="s">
        <v>19</v>
      </c>
      <c r="AH4" s="91">
        <v>7.5</v>
      </c>
    </row>
    <row r="5" spans="1:34" s="29" customFormat="1" ht="45.75" customHeight="1">
      <c r="A5" s="124"/>
      <c r="B5" s="99" t="s">
        <v>14</v>
      </c>
      <c r="C5" s="100" t="s">
        <v>89</v>
      </c>
      <c r="D5" s="100" t="s">
        <v>16</v>
      </c>
      <c r="E5" s="100" t="s">
        <v>88</v>
      </c>
      <c r="F5" s="100" t="s">
        <v>92</v>
      </c>
      <c r="G5" s="100" t="s">
        <v>93</v>
      </c>
      <c r="H5" s="100" t="s">
        <v>14</v>
      </c>
      <c r="I5" s="100" t="s">
        <v>105</v>
      </c>
      <c r="J5" s="100" t="s">
        <v>16</v>
      </c>
      <c r="K5" s="100" t="s">
        <v>106</v>
      </c>
      <c r="L5" s="100" t="s">
        <v>107</v>
      </c>
      <c r="M5" s="32" t="s">
        <v>93</v>
      </c>
      <c r="N5" s="100" t="s">
        <v>14</v>
      </c>
      <c r="O5" s="100" t="s">
        <v>89</v>
      </c>
      <c r="P5" s="100" t="s">
        <v>16</v>
      </c>
      <c r="Q5" s="100" t="s">
        <v>118</v>
      </c>
      <c r="R5" s="100" t="s">
        <v>119</v>
      </c>
      <c r="S5" s="100" t="s">
        <v>93</v>
      </c>
      <c r="T5" s="97" t="s">
        <v>14</v>
      </c>
      <c r="U5" s="100" t="s">
        <v>89</v>
      </c>
      <c r="V5" s="100" t="s">
        <v>16</v>
      </c>
      <c r="W5" s="100" t="s">
        <v>88</v>
      </c>
      <c r="X5" s="100" t="s">
        <v>92</v>
      </c>
      <c r="Y5" s="100" t="s">
        <v>93</v>
      </c>
      <c r="Z5" s="33"/>
      <c r="AC5" s="34"/>
      <c r="AG5" s="92" t="s">
        <v>20</v>
      </c>
      <c r="AH5" s="91">
        <v>7.8</v>
      </c>
    </row>
    <row r="6" spans="1:34" s="29" customFormat="1" ht="16.5" customHeight="1">
      <c r="A6" s="35" t="s">
        <v>17</v>
      </c>
      <c r="B6" s="36">
        <f>AVERAGE(B7:B18)</f>
        <v>25305.916666666668</v>
      </c>
      <c r="C6" s="37">
        <f>AVERAGE(C7:C18)</f>
        <v>21700.833333333332</v>
      </c>
      <c r="D6" s="38">
        <f>AVERAGE(D7:D18)</f>
        <v>85.773369300341486</v>
      </c>
      <c r="E6" s="38">
        <f>AVERAGE(E7:E18)</f>
        <v>75.615913421176955</v>
      </c>
      <c r="F6" s="37">
        <f>SUM(F7:F18)</f>
        <v>5986342</v>
      </c>
      <c r="G6" s="38">
        <f t="shared" ref="G6:M6" si="0">AVERAGE(G7:G18)</f>
        <v>7.5666666666666655</v>
      </c>
      <c r="H6" s="39">
        <f>AVERAGE(H7:H18)</f>
        <v>26356.416666666668</v>
      </c>
      <c r="I6" s="39">
        <f t="shared" si="0"/>
        <v>24493.25</v>
      </c>
      <c r="J6" s="40">
        <f t="shared" si="0"/>
        <v>92.949264923767188</v>
      </c>
      <c r="K6" s="40">
        <f t="shared" si="0"/>
        <v>73.111203125531929</v>
      </c>
      <c r="L6" s="41">
        <f>SUM(L7:L18)</f>
        <v>6529200</v>
      </c>
      <c r="M6" s="42">
        <f t="shared" si="0"/>
        <v>7.0081083535977164</v>
      </c>
      <c r="N6" s="43">
        <f>AVERAGE(N7:N18)</f>
        <v>27704.666666666668</v>
      </c>
      <c r="O6" s="37">
        <f>AVERAGE(O7:O18)</f>
        <v>25062</v>
      </c>
      <c r="P6" s="38">
        <f>AVERAGE(P7:P18)</f>
        <v>90.459822088157352</v>
      </c>
      <c r="Q6" s="38">
        <f>AVERAGE(Q7:Q18)</f>
        <v>70.378540137143531</v>
      </c>
      <c r="R6" s="37">
        <f>SUM(R7:R18)</f>
        <v>6450889</v>
      </c>
      <c r="S6" s="38">
        <f>AVERAGE(S7:S18)</f>
        <v>6.7409494166117527</v>
      </c>
      <c r="T6" s="98">
        <f>AVERAGE(T7:T18)</f>
        <v>28769.916666666668</v>
      </c>
      <c r="U6" s="37">
        <f>AVERAGE(U7:U18)</f>
        <v>26101.083333333332</v>
      </c>
      <c r="V6" s="38">
        <f>AVERAGE(V7:V18)</f>
        <v>90.735043758307043</v>
      </c>
      <c r="W6" s="38">
        <f>AVERAGE(W7:W18)</f>
        <v>73.95324967574598</v>
      </c>
      <c r="X6" s="37">
        <f>SUM(X7:X18)</f>
        <v>7041313</v>
      </c>
      <c r="Y6" s="38">
        <f>AVERAGE(Y7:Y18)</f>
        <v>6.2600556479636147</v>
      </c>
      <c r="Z6" s="34"/>
      <c r="AA6" s="34"/>
      <c r="AC6" s="34"/>
      <c r="AG6" s="92" t="s">
        <v>21</v>
      </c>
      <c r="AH6" s="91">
        <v>8.3000000000000007</v>
      </c>
    </row>
    <row r="7" spans="1:34" s="29" customFormat="1" ht="16.5" customHeight="1">
      <c r="A7" s="44" t="s">
        <v>18</v>
      </c>
      <c r="B7" s="45">
        <v>24762</v>
      </c>
      <c r="C7" s="46">
        <v>22825</v>
      </c>
      <c r="D7" s="47">
        <f>C7/B7*100</f>
        <v>92.177530086422749</v>
      </c>
      <c r="E7" s="47">
        <v>78.053492562625877</v>
      </c>
      <c r="F7" s="45">
        <v>552287</v>
      </c>
      <c r="G7" s="48">
        <v>8.1999999999999993</v>
      </c>
      <c r="H7" s="45">
        <v>25731</v>
      </c>
      <c r="I7" s="45">
        <v>24134</v>
      </c>
      <c r="J7" s="48">
        <f>I7/H7*100</f>
        <v>93.793478683300307</v>
      </c>
      <c r="K7" s="48">
        <v>81.856008254984943</v>
      </c>
      <c r="L7" s="49">
        <v>612409</v>
      </c>
      <c r="M7" s="50">
        <v>7.7039361956398675</v>
      </c>
      <c r="N7" s="51">
        <v>26974</v>
      </c>
      <c r="O7" s="46">
        <v>24384</v>
      </c>
      <c r="P7" s="47">
        <f>O7/N7*100</f>
        <v>90.398161192259209</v>
      </c>
      <c r="Q7" s="47">
        <v>87.140959698586059</v>
      </c>
      <c r="R7" s="45">
        <v>658702</v>
      </c>
      <c r="S7" s="48">
        <v>6.8510598464834729</v>
      </c>
      <c r="T7" s="51">
        <v>28236</v>
      </c>
      <c r="U7" s="45">
        <v>25835</v>
      </c>
      <c r="V7" s="47">
        <f t="shared" ref="V7:V18" si="1">U7/T7*100</f>
        <v>91.496670916560419</v>
      </c>
      <c r="W7" s="47">
        <v>78.36780561503835</v>
      </c>
      <c r="X7" s="45">
        <v>627636</v>
      </c>
      <c r="Y7" s="47">
        <v>7.0624852310704522</v>
      </c>
      <c r="Z7" s="34"/>
      <c r="AA7" s="34"/>
      <c r="AB7" s="34"/>
      <c r="AG7" s="92" t="s">
        <v>4</v>
      </c>
      <c r="AH7" s="91">
        <v>7.6</v>
      </c>
    </row>
    <row r="8" spans="1:34" s="29" customFormat="1" ht="16.5" customHeight="1">
      <c r="A8" s="44" t="s">
        <v>19</v>
      </c>
      <c r="B8" s="45">
        <v>25023</v>
      </c>
      <c r="C8" s="46">
        <v>21656</v>
      </c>
      <c r="D8" s="47">
        <f t="shared" ref="D8:D18" si="2">C8/B8*100</f>
        <v>86.544379171162532</v>
      </c>
      <c r="E8" s="47">
        <v>95.399493376959214</v>
      </c>
      <c r="F8" s="45">
        <v>578472</v>
      </c>
      <c r="G8" s="48">
        <v>7.5</v>
      </c>
      <c r="H8" s="45">
        <v>25874</v>
      </c>
      <c r="I8" s="45">
        <v>24650</v>
      </c>
      <c r="J8" s="48">
        <f t="shared" ref="J8:J18" si="3">I8/H8*100</f>
        <v>95.269382391590014</v>
      </c>
      <c r="K8" s="48">
        <v>89.079687047232696</v>
      </c>
      <c r="L8" s="49">
        <v>614828</v>
      </c>
      <c r="M8" s="50">
        <v>7.0352892713291837</v>
      </c>
      <c r="N8" s="51">
        <v>27187</v>
      </c>
      <c r="O8" s="46">
        <v>24433</v>
      </c>
      <c r="P8" s="47">
        <f t="shared" ref="P8:P18" si="4">O8/N8*100</f>
        <v>89.870158531651157</v>
      </c>
      <c r="Q8" s="47">
        <v>84.5941822605662</v>
      </c>
      <c r="R8" s="45">
        <v>599398</v>
      </c>
      <c r="S8" s="48">
        <v>7.1998030077355502</v>
      </c>
      <c r="T8" s="51">
        <v>28298</v>
      </c>
      <c r="U8" s="45">
        <v>25778</v>
      </c>
      <c r="V8" s="47">
        <f t="shared" si="1"/>
        <v>91.094777016043537</v>
      </c>
      <c r="W8" s="47">
        <v>89.427307892665937</v>
      </c>
      <c r="X8" s="45">
        <v>645472</v>
      </c>
      <c r="Y8" s="47">
        <v>6.1623180104062243</v>
      </c>
      <c r="Z8" s="34"/>
      <c r="AA8" s="34"/>
      <c r="AB8" s="34"/>
      <c r="AG8" s="92" t="s">
        <v>22</v>
      </c>
      <c r="AH8" s="91">
        <v>7.4</v>
      </c>
    </row>
    <row r="9" spans="1:34" s="29" customFormat="1" ht="16.5" customHeight="1">
      <c r="A9" s="44" t="s">
        <v>20</v>
      </c>
      <c r="B9" s="45">
        <v>25079</v>
      </c>
      <c r="C9" s="46">
        <v>21854</v>
      </c>
      <c r="D9" s="47">
        <f t="shared" si="2"/>
        <v>87.140635591530753</v>
      </c>
      <c r="E9" s="47">
        <v>85.884919568869066</v>
      </c>
      <c r="F9" s="45">
        <v>581848</v>
      </c>
      <c r="G9" s="48">
        <v>7.8</v>
      </c>
      <c r="H9" s="45">
        <v>26074</v>
      </c>
      <c r="I9" s="45">
        <v>24814</v>
      </c>
      <c r="J9" s="48">
        <f t="shared" si="3"/>
        <v>95.167599907954283</v>
      </c>
      <c r="K9" s="48">
        <v>81.176729057737944</v>
      </c>
      <c r="L9" s="49">
        <v>624439</v>
      </c>
      <c r="M9" s="50">
        <v>7.7347148590397863</v>
      </c>
      <c r="N9" s="51">
        <v>27431</v>
      </c>
      <c r="O9" s="46">
        <v>24887</v>
      </c>
      <c r="P9" s="47">
        <f t="shared" si="4"/>
        <v>90.725821151252234</v>
      </c>
      <c r="Q9" s="47">
        <v>75.40599639402356</v>
      </c>
      <c r="R9" s="45">
        <v>581755</v>
      </c>
      <c r="S9" s="48">
        <v>7.6077233911781246</v>
      </c>
      <c r="T9" s="51">
        <v>28392</v>
      </c>
      <c r="U9" s="45">
        <v>26049</v>
      </c>
      <c r="V9" s="47">
        <f t="shared" si="1"/>
        <v>91.747675401521562</v>
      </c>
      <c r="W9" s="47">
        <v>83.133276121057207</v>
      </c>
      <c r="X9" s="45">
        <v>671317</v>
      </c>
      <c r="Y9" s="47">
        <v>6.7470401415103822</v>
      </c>
      <c r="Z9" s="34"/>
      <c r="AA9" s="34"/>
      <c r="AB9" s="34"/>
      <c r="AG9" s="92" t="s">
        <v>23</v>
      </c>
      <c r="AH9" s="91">
        <v>7.5</v>
      </c>
    </row>
    <row r="10" spans="1:34" s="29" customFormat="1" ht="16.5" customHeight="1">
      <c r="A10" s="44" t="s">
        <v>21</v>
      </c>
      <c r="B10" s="45">
        <v>25217</v>
      </c>
      <c r="C10" s="46">
        <v>21918</v>
      </c>
      <c r="D10" s="47">
        <f t="shared" si="2"/>
        <v>86.917555617242343</v>
      </c>
      <c r="E10" s="47">
        <v>76.49831188977096</v>
      </c>
      <c r="F10" s="45">
        <v>503007</v>
      </c>
      <c r="G10" s="48">
        <v>8.3000000000000007</v>
      </c>
      <c r="H10" s="45">
        <v>26178</v>
      </c>
      <c r="I10" s="45">
        <v>25040</v>
      </c>
      <c r="J10" s="48">
        <f t="shared" si="3"/>
        <v>95.652838261135315</v>
      </c>
      <c r="K10" s="48">
        <v>78.751730564430247</v>
      </c>
      <c r="L10" s="49">
        <v>591583</v>
      </c>
      <c r="M10" s="50">
        <v>7.3996897944888484</v>
      </c>
      <c r="N10" s="51">
        <v>27557</v>
      </c>
      <c r="O10" s="46">
        <v>25143</v>
      </c>
      <c r="P10" s="47">
        <f t="shared" si="4"/>
        <v>91.239975323874162</v>
      </c>
      <c r="Q10" s="47">
        <v>74.217476037067982</v>
      </c>
      <c r="R10" s="45">
        <v>559805</v>
      </c>
      <c r="S10" s="48">
        <v>7.0605261830289576</v>
      </c>
      <c r="T10" s="51">
        <v>28462</v>
      </c>
      <c r="U10" s="45">
        <v>26433</v>
      </c>
      <c r="V10" s="47">
        <f t="shared" si="1"/>
        <v>92.871196683297029</v>
      </c>
      <c r="W10" s="47">
        <v>74.786315085940558</v>
      </c>
      <c r="X10" s="45">
        <v>593048</v>
      </c>
      <c r="Y10" s="47">
        <v>6.5431837239066155</v>
      </c>
      <c r="Z10" s="34"/>
      <c r="AA10" s="34"/>
      <c r="AB10" s="34"/>
      <c r="AG10" s="92" t="s">
        <v>24</v>
      </c>
      <c r="AH10" s="91">
        <v>7.5</v>
      </c>
    </row>
    <row r="11" spans="1:34" s="29" customFormat="1" ht="16.5" customHeight="1">
      <c r="A11" s="44" t="s">
        <v>4</v>
      </c>
      <c r="B11" s="45">
        <v>25296</v>
      </c>
      <c r="C11" s="46">
        <v>21690</v>
      </c>
      <c r="D11" s="47">
        <f t="shared" si="2"/>
        <v>85.744781783681219</v>
      </c>
      <c r="E11" s="47">
        <v>66.006930501643396</v>
      </c>
      <c r="F11" s="45">
        <v>443824</v>
      </c>
      <c r="G11" s="48">
        <v>7.6</v>
      </c>
      <c r="H11" s="45">
        <v>26322</v>
      </c>
      <c r="I11" s="45">
        <v>24634</v>
      </c>
      <c r="J11" s="48">
        <f t="shared" si="3"/>
        <v>93.587113441227871</v>
      </c>
      <c r="K11" s="48">
        <v>61.396522508884907</v>
      </c>
      <c r="L11" s="49">
        <v>468857</v>
      </c>
      <c r="M11" s="50">
        <v>7.2740629266476358</v>
      </c>
      <c r="N11" s="51">
        <v>27594</v>
      </c>
      <c r="O11" s="46">
        <v>24905</v>
      </c>
      <c r="P11" s="47">
        <f t="shared" si="4"/>
        <v>90.2551279263608</v>
      </c>
      <c r="Q11" s="47">
        <v>60.243635492290061</v>
      </c>
      <c r="R11" s="45">
        <v>465114</v>
      </c>
      <c r="S11" s="48">
        <v>7.3207101709320996</v>
      </c>
      <c r="T11" s="51">
        <v>28528</v>
      </c>
      <c r="U11" s="45">
        <v>26262</v>
      </c>
      <c r="V11" s="47">
        <f t="shared" si="1"/>
        <v>92.056926528323046</v>
      </c>
      <c r="W11" s="47">
        <v>66.646153770565093</v>
      </c>
      <c r="X11" s="45">
        <v>542581</v>
      </c>
      <c r="Y11" s="47">
        <v>6.8312769118424699</v>
      </c>
      <c r="Z11" s="34"/>
      <c r="AA11" s="34"/>
      <c r="AB11" s="34"/>
      <c r="AG11" s="92" t="s">
        <v>25</v>
      </c>
      <c r="AH11" s="91">
        <v>7.1</v>
      </c>
    </row>
    <row r="12" spans="1:34" s="29" customFormat="1" ht="16.5" customHeight="1">
      <c r="A12" s="44" t="s">
        <v>22</v>
      </c>
      <c r="B12" s="45">
        <v>25304</v>
      </c>
      <c r="C12" s="46">
        <v>21342</v>
      </c>
      <c r="D12" s="47">
        <f t="shared" si="2"/>
        <v>84.342396459057852</v>
      </c>
      <c r="E12" s="47">
        <v>51.133133414550336</v>
      </c>
      <c r="F12" s="45">
        <v>327385</v>
      </c>
      <c r="G12" s="48">
        <v>7.4</v>
      </c>
      <c r="H12" s="45">
        <v>26337</v>
      </c>
      <c r="I12" s="45">
        <v>24587</v>
      </c>
      <c r="J12" s="48">
        <f t="shared" si="3"/>
        <v>93.355355583399785</v>
      </c>
      <c r="K12" s="48">
        <v>51.022491560580796</v>
      </c>
      <c r="L12" s="49">
        <v>376347</v>
      </c>
      <c r="M12" s="50">
        <v>6.7268486245911312</v>
      </c>
      <c r="N12" s="51">
        <v>27844</v>
      </c>
      <c r="O12" s="46">
        <v>24657</v>
      </c>
      <c r="P12" s="47">
        <f t="shared" si="4"/>
        <v>88.554087056457405</v>
      </c>
      <c r="Q12" s="47">
        <v>51.247380730286196</v>
      </c>
      <c r="R12" s="45">
        <v>379082</v>
      </c>
      <c r="S12" s="48">
        <v>6.3841088600346927</v>
      </c>
      <c r="T12" s="51">
        <v>28611</v>
      </c>
      <c r="U12" s="45">
        <v>25827</v>
      </c>
      <c r="V12" s="47">
        <f t="shared" si="1"/>
        <v>90.269476774667083</v>
      </c>
      <c r="W12" s="47">
        <v>55.252771647242547</v>
      </c>
      <c r="X12" s="45">
        <v>428104</v>
      </c>
      <c r="Y12" s="47">
        <v>5.5966428300628817</v>
      </c>
      <c r="Z12" s="34"/>
      <c r="AA12" s="34"/>
      <c r="AB12" s="34"/>
      <c r="AG12" s="92" t="s">
        <v>26</v>
      </c>
      <c r="AH12" s="91">
        <v>7.3</v>
      </c>
    </row>
    <row r="13" spans="1:34" s="29" customFormat="1" ht="16.5" customHeight="1">
      <c r="A13" s="44" t="s">
        <v>23</v>
      </c>
      <c r="B13" s="45">
        <v>25277</v>
      </c>
      <c r="C13" s="46">
        <v>21342</v>
      </c>
      <c r="D13" s="47">
        <f t="shared" si="2"/>
        <v>84.432488032598812</v>
      </c>
      <c r="E13" s="47">
        <v>64.767488610977594</v>
      </c>
      <c r="F13" s="45">
        <v>428503</v>
      </c>
      <c r="G13" s="48">
        <v>7.5</v>
      </c>
      <c r="H13" s="45">
        <v>26347</v>
      </c>
      <c r="I13" s="45">
        <v>24206</v>
      </c>
      <c r="J13" s="48">
        <f t="shared" si="3"/>
        <v>91.873837628572502</v>
      </c>
      <c r="K13" s="48">
        <v>63.764915656741991</v>
      </c>
      <c r="L13" s="49">
        <v>478483</v>
      </c>
      <c r="M13" s="50">
        <v>6.5983093386287166</v>
      </c>
      <c r="N13" s="51">
        <v>27862</v>
      </c>
      <c r="O13" s="46">
        <v>24977</v>
      </c>
      <c r="P13" s="47">
        <f t="shared" si="4"/>
        <v>89.645395161869217</v>
      </c>
      <c r="Q13" s="47">
        <v>62.853954670554977</v>
      </c>
      <c r="R13" s="45">
        <v>486670</v>
      </c>
      <c r="S13" s="48">
        <v>6.3231816646311358</v>
      </c>
      <c r="T13" s="51">
        <v>28697</v>
      </c>
      <c r="U13" s="45">
        <v>25901</v>
      </c>
      <c r="V13" s="47">
        <f t="shared" si="1"/>
        <v>90.256821270516085</v>
      </c>
      <c r="W13" s="47">
        <v>65.683477160553025</v>
      </c>
      <c r="X13" s="45">
        <v>527393</v>
      </c>
      <c r="Y13" s="47">
        <v>5.995009775837767</v>
      </c>
      <c r="Z13" s="34"/>
      <c r="AA13" s="34"/>
      <c r="AB13" s="34"/>
      <c r="AG13" s="93" t="s">
        <v>27</v>
      </c>
      <c r="AH13" s="91">
        <v>7.3</v>
      </c>
    </row>
    <row r="14" spans="1:34" s="29" customFormat="1" ht="16.5" customHeight="1">
      <c r="A14" s="44" t="s">
        <v>24</v>
      </c>
      <c r="B14" s="45">
        <v>25315</v>
      </c>
      <c r="C14" s="46">
        <v>21542</v>
      </c>
      <c r="D14" s="47">
        <f t="shared" si="2"/>
        <v>85.095793008097971</v>
      </c>
      <c r="E14" s="47">
        <v>74.604149134024752</v>
      </c>
      <c r="F14" s="45">
        <v>498208</v>
      </c>
      <c r="G14" s="48">
        <v>7.5</v>
      </c>
      <c r="H14" s="45">
        <v>26407</v>
      </c>
      <c r="I14" s="45">
        <v>24296</v>
      </c>
      <c r="J14" s="48">
        <f t="shared" si="3"/>
        <v>92.005907524520012</v>
      </c>
      <c r="K14" s="48">
        <v>69.002597002559824</v>
      </c>
      <c r="L14" s="49">
        <v>519711</v>
      </c>
      <c r="M14" s="50">
        <v>6.7646040506065495</v>
      </c>
      <c r="N14" s="51">
        <v>27854</v>
      </c>
      <c r="O14" s="46">
        <v>25353</v>
      </c>
      <c r="P14" s="47">
        <f t="shared" si="4"/>
        <v>91.02103827098442</v>
      </c>
      <c r="Q14" s="47">
        <v>68.016255631769724</v>
      </c>
      <c r="R14" s="45">
        <v>534569</v>
      </c>
      <c r="S14" s="48">
        <v>6.7015469862601549</v>
      </c>
      <c r="T14" s="51">
        <v>28821</v>
      </c>
      <c r="U14" s="45">
        <v>25951</v>
      </c>
      <c r="V14" s="47">
        <f t="shared" si="1"/>
        <v>90.041983276083414</v>
      </c>
      <c r="W14" s="47">
        <v>75.467040240850935</v>
      </c>
      <c r="X14" s="45">
        <v>607118</v>
      </c>
      <c r="Y14" s="47">
        <v>6.1737883625861825</v>
      </c>
      <c r="Z14" s="34"/>
      <c r="AA14" s="34"/>
      <c r="AB14" s="34"/>
      <c r="AG14" s="94" t="s">
        <v>28</v>
      </c>
      <c r="AH14" s="91">
        <v>7.3</v>
      </c>
    </row>
    <row r="15" spans="1:34" s="29" customFormat="1" ht="16.5" customHeight="1">
      <c r="A15" s="44" t="s">
        <v>25</v>
      </c>
      <c r="B15" s="45">
        <v>25492</v>
      </c>
      <c r="C15" s="46">
        <v>21481</v>
      </c>
      <c r="D15" s="47">
        <f t="shared" si="2"/>
        <v>84.265651969245255</v>
      </c>
      <c r="E15" s="47">
        <v>69.126670080536286</v>
      </c>
      <c r="F15" s="45">
        <v>445473</v>
      </c>
      <c r="G15" s="48">
        <v>7.1</v>
      </c>
      <c r="H15" s="45">
        <v>26451</v>
      </c>
      <c r="I15" s="45">
        <v>24284</v>
      </c>
      <c r="J15" s="48">
        <f t="shared" si="3"/>
        <v>91.807493100449889</v>
      </c>
      <c r="K15" s="48">
        <v>65.839235710756043</v>
      </c>
      <c r="L15" s="49">
        <v>479652</v>
      </c>
      <c r="M15" s="50">
        <v>6.6747192496625427</v>
      </c>
      <c r="N15" s="51">
        <v>27925</v>
      </c>
      <c r="O15" s="46">
        <v>25582</v>
      </c>
      <c r="P15" s="47">
        <f t="shared" si="4"/>
        <v>91.609668755595337</v>
      </c>
      <c r="Q15" s="47">
        <v>60.345816068589883</v>
      </c>
      <c r="R15" s="45">
        <v>463130</v>
      </c>
      <c r="S15" s="48">
        <v>6.0298674582714895</v>
      </c>
      <c r="T15" s="51">
        <v>28864</v>
      </c>
      <c r="U15" s="45">
        <v>25783</v>
      </c>
      <c r="V15" s="47">
        <f t="shared" si="1"/>
        <v>89.325803769401332</v>
      </c>
      <c r="W15" s="47">
        <v>67.987433580266071</v>
      </c>
      <c r="X15" s="45">
        <v>525876</v>
      </c>
      <c r="Y15" s="47">
        <v>5.6975882467659105</v>
      </c>
      <c r="Z15" s="34"/>
      <c r="AA15" s="34"/>
      <c r="AB15" s="34"/>
      <c r="AG15" s="95">
        <v>40909</v>
      </c>
      <c r="AH15" s="91">
        <v>7.7039361956398675</v>
      </c>
    </row>
    <row r="16" spans="1:34" s="29" customFormat="1" ht="16.5" customHeight="1">
      <c r="A16" s="44" t="s">
        <v>26</v>
      </c>
      <c r="B16" s="45">
        <v>25654</v>
      </c>
      <c r="C16" s="46">
        <v>21349</v>
      </c>
      <c r="D16" s="47">
        <f t="shared" si="2"/>
        <v>83.218991190457629</v>
      </c>
      <c r="E16" s="47">
        <v>82.035118363177844</v>
      </c>
      <c r="F16" s="45">
        <v>542924</v>
      </c>
      <c r="G16" s="48">
        <v>7.3</v>
      </c>
      <c r="H16" s="45">
        <v>26785</v>
      </c>
      <c r="I16" s="45">
        <v>24205</v>
      </c>
      <c r="J16" s="48">
        <f t="shared" si="3"/>
        <v>90.367743139817065</v>
      </c>
      <c r="K16" s="48">
        <v>79.391354758747525</v>
      </c>
      <c r="L16" s="49">
        <v>595717</v>
      </c>
      <c r="M16" s="50">
        <v>6.5420990786193567</v>
      </c>
      <c r="N16" s="51">
        <v>28018</v>
      </c>
      <c r="O16" s="46">
        <v>25224</v>
      </c>
      <c r="P16" s="47">
        <f t="shared" si="4"/>
        <v>90.027839246198866</v>
      </c>
      <c r="Q16" s="47">
        <v>76.654722077284305</v>
      </c>
      <c r="R16" s="45">
        <v>599397</v>
      </c>
      <c r="S16" s="48">
        <v>6.4876124297821214</v>
      </c>
      <c r="T16" s="51">
        <v>29198</v>
      </c>
      <c r="U16" s="45">
        <v>26247</v>
      </c>
      <c r="V16" s="47">
        <f t="shared" si="1"/>
        <v>89.893143365983974</v>
      </c>
      <c r="W16" s="47">
        <v>80.867859552612458</v>
      </c>
      <c r="X16" s="45">
        <v>657987</v>
      </c>
      <c r="Y16" s="47">
        <v>6.1304469351818209</v>
      </c>
      <c r="Z16" s="34"/>
      <c r="AA16" s="34"/>
      <c r="AB16" s="34"/>
      <c r="AG16" s="92" t="s">
        <v>19</v>
      </c>
      <c r="AH16" s="91">
        <v>7.0352892713291837</v>
      </c>
    </row>
    <row r="17" spans="1:34" s="29" customFormat="1" ht="16.5" customHeight="1">
      <c r="A17" s="52" t="s">
        <v>27</v>
      </c>
      <c r="B17" s="45">
        <v>25551</v>
      </c>
      <c r="C17" s="46">
        <v>21557</v>
      </c>
      <c r="D17" s="47">
        <f t="shared" si="2"/>
        <v>84.368517866228331</v>
      </c>
      <c r="E17" s="47">
        <v>84.000402034915183</v>
      </c>
      <c r="F17" s="45">
        <v>543239</v>
      </c>
      <c r="G17" s="48">
        <v>7.3</v>
      </c>
      <c r="H17" s="45">
        <v>26875</v>
      </c>
      <c r="I17" s="45">
        <v>24322</v>
      </c>
      <c r="J17" s="48">
        <f t="shared" si="3"/>
        <v>90.500465116279074</v>
      </c>
      <c r="K17" s="48">
        <v>80.003152153057584</v>
      </c>
      <c r="L17" s="49">
        <v>583751</v>
      </c>
      <c r="M17" s="50">
        <v>6.8274172231903725</v>
      </c>
      <c r="N17" s="51">
        <v>28090</v>
      </c>
      <c r="O17" s="46">
        <v>25628</v>
      </c>
      <c r="P17" s="47">
        <f t="shared" si="4"/>
        <v>91.235315058739758</v>
      </c>
      <c r="Q17" s="47">
        <v>70.899146766557422</v>
      </c>
      <c r="R17" s="45">
        <v>545101</v>
      </c>
      <c r="S17" s="48">
        <v>6.6224562938124913</v>
      </c>
      <c r="T17" s="51">
        <v>29321</v>
      </c>
      <c r="U17" s="45">
        <v>26512</v>
      </c>
      <c r="V17" s="47">
        <f t="shared" si="1"/>
        <v>90.419835612700794</v>
      </c>
      <c r="W17" s="47">
        <v>73.393557634278821</v>
      </c>
      <c r="X17" s="45">
        <v>583743</v>
      </c>
      <c r="Y17" s="47">
        <v>6.1716886577010914</v>
      </c>
      <c r="Z17" s="34"/>
      <c r="AA17" s="34"/>
      <c r="AB17" s="34"/>
      <c r="AG17" s="92" t="s">
        <v>20</v>
      </c>
      <c r="AH17" s="91">
        <v>7.7347148590397863</v>
      </c>
    </row>
    <row r="18" spans="1:34" s="29" customFormat="1" ht="16.5" customHeight="1">
      <c r="A18" s="53" t="s">
        <v>28</v>
      </c>
      <c r="B18" s="54">
        <v>25701</v>
      </c>
      <c r="C18" s="54">
        <v>21854</v>
      </c>
      <c r="D18" s="55">
        <f t="shared" si="2"/>
        <v>85.031710828372439</v>
      </c>
      <c r="E18" s="55">
        <v>79.880851516072937</v>
      </c>
      <c r="F18" s="54">
        <v>541172</v>
      </c>
      <c r="G18" s="55">
        <v>7.3</v>
      </c>
      <c r="H18" s="54">
        <v>26896</v>
      </c>
      <c r="I18" s="54">
        <v>24747</v>
      </c>
      <c r="J18" s="55">
        <f t="shared" si="3"/>
        <v>92.009964306960143</v>
      </c>
      <c r="K18" s="55">
        <v>76.050013230668554</v>
      </c>
      <c r="L18" s="56">
        <v>583423</v>
      </c>
      <c r="M18" s="57">
        <v>6.8156096307286127</v>
      </c>
      <c r="N18" s="58">
        <v>28120</v>
      </c>
      <c r="O18" s="54">
        <v>25571</v>
      </c>
      <c r="P18" s="55">
        <f t="shared" si="4"/>
        <v>90.935277382645808</v>
      </c>
      <c r="Q18" s="55">
        <v>72.922955818145809</v>
      </c>
      <c r="R18" s="54">
        <v>578166</v>
      </c>
      <c r="S18" s="55">
        <v>6.3027967071907538</v>
      </c>
      <c r="T18" s="58">
        <v>29811</v>
      </c>
      <c r="U18" s="54">
        <v>26635</v>
      </c>
      <c r="V18" s="55">
        <f t="shared" si="1"/>
        <v>89.346214484586227</v>
      </c>
      <c r="W18" s="55">
        <v>76.425997807880734</v>
      </c>
      <c r="X18" s="54">
        <v>631038</v>
      </c>
      <c r="Y18" s="55">
        <v>6.00919894869158</v>
      </c>
      <c r="Z18" s="34"/>
      <c r="AA18" s="34"/>
      <c r="AB18" s="34"/>
      <c r="AD18" s="59" t="s">
        <v>12</v>
      </c>
      <c r="AE18" s="60" t="s">
        <v>13</v>
      </c>
      <c r="AG18" s="92" t="s">
        <v>21</v>
      </c>
      <c r="AH18" s="91">
        <v>7.3996897944888484</v>
      </c>
    </row>
    <row r="19" spans="1:34" ht="12.75" customHeight="1">
      <c r="A19" s="28" t="s">
        <v>108</v>
      </c>
      <c r="B19" s="17"/>
      <c r="C19" s="17"/>
      <c r="D19" s="17"/>
      <c r="F19" s="17"/>
      <c r="G19" s="17"/>
      <c r="H19" s="17"/>
      <c r="I19" s="17"/>
      <c r="J19" s="17"/>
      <c r="L19" s="17"/>
      <c r="M19" s="17"/>
      <c r="N19" s="17"/>
      <c r="O19" s="17"/>
      <c r="P19" s="17"/>
      <c r="R19" s="17"/>
      <c r="S19" s="17"/>
      <c r="T19" s="17"/>
      <c r="U19" s="17"/>
      <c r="V19" s="17"/>
      <c r="X19" s="17"/>
      <c r="Y19" s="17" t="s">
        <v>117</v>
      </c>
      <c r="Z19" s="18"/>
      <c r="AA19" s="18"/>
      <c r="AB19" s="14"/>
      <c r="AD19" s="15"/>
      <c r="AE19" s="16"/>
      <c r="AG19" s="92" t="s">
        <v>4</v>
      </c>
      <c r="AH19" s="91">
        <v>7.2740629266476358</v>
      </c>
    </row>
    <row r="20" spans="1:34" ht="12.75" customHeight="1">
      <c r="A20" s="28" t="s">
        <v>116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8"/>
      <c r="AA20" s="18"/>
      <c r="AB20" s="14"/>
      <c r="AD20" s="20" t="s">
        <v>14</v>
      </c>
      <c r="AE20" s="20" t="s">
        <v>15</v>
      </c>
      <c r="AG20" s="92" t="s">
        <v>22</v>
      </c>
      <c r="AH20" s="91">
        <v>6.7268486245911312</v>
      </c>
    </row>
    <row r="21" spans="1:34" ht="18.75" customHeight="1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8"/>
      <c r="AA21" s="18"/>
      <c r="AB21" s="14"/>
      <c r="AC21" s="21" t="s">
        <v>0</v>
      </c>
      <c r="AD21" s="13">
        <f>T7</f>
        <v>28236</v>
      </c>
      <c r="AE21" s="12">
        <f>U7</f>
        <v>25835</v>
      </c>
      <c r="AG21" s="92" t="s">
        <v>23</v>
      </c>
      <c r="AH21" s="91">
        <v>6.5983093386287166</v>
      </c>
    </row>
    <row r="22" spans="1:34" ht="18.75" customHeight="1">
      <c r="A22" s="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8"/>
      <c r="AA22" s="18"/>
      <c r="AC22" s="21" t="s">
        <v>1</v>
      </c>
      <c r="AD22" s="13">
        <f t="shared" ref="AD22:AD32" si="5">T8</f>
        <v>28298</v>
      </c>
      <c r="AE22" s="12">
        <f t="shared" ref="AE22:AE32" si="6">U8</f>
        <v>25778</v>
      </c>
      <c r="AG22" s="92" t="s">
        <v>24</v>
      </c>
      <c r="AH22" s="91">
        <v>6.7646040506065495</v>
      </c>
    </row>
    <row r="23" spans="1:34" ht="18.75" customHeight="1">
      <c r="A23" s="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8"/>
      <c r="AA23" s="18"/>
      <c r="AC23" s="21" t="s">
        <v>2</v>
      </c>
      <c r="AD23" s="13">
        <f t="shared" si="5"/>
        <v>28392</v>
      </c>
      <c r="AE23" s="12">
        <f t="shared" si="6"/>
        <v>26049</v>
      </c>
      <c r="AG23" s="92" t="s">
        <v>25</v>
      </c>
      <c r="AH23" s="91">
        <v>6.6747192496625427</v>
      </c>
    </row>
    <row r="24" spans="1:34" ht="18.75" customHeight="1">
      <c r="A24" s="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8"/>
      <c r="AA24" s="18"/>
      <c r="AC24" s="21" t="s">
        <v>3</v>
      </c>
      <c r="AD24" s="13">
        <f t="shared" si="5"/>
        <v>28462</v>
      </c>
      <c r="AE24" s="12">
        <f t="shared" si="6"/>
        <v>26433</v>
      </c>
      <c r="AG24" s="92" t="s">
        <v>26</v>
      </c>
      <c r="AH24" s="91">
        <v>6.5420990786193567</v>
      </c>
    </row>
    <row r="25" spans="1:34" ht="18.75" customHeight="1">
      <c r="A25" s="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8"/>
      <c r="AA25" s="18"/>
      <c r="AC25" s="21" t="s">
        <v>4</v>
      </c>
      <c r="AD25" s="13">
        <f t="shared" si="5"/>
        <v>28528</v>
      </c>
      <c r="AE25" s="12">
        <f t="shared" si="6"/>
        <v>26262</v>
      </c>
      <c r="AG25" s="93" t="s">
        <v>27</v>
      </c>
      <c r="AH25" s="91">
        <v>6.8274172231903725</v>
      </c>
    </row>
    <row r="26" spans="1:34" ht="18.75" customHeight="1">
      <c r="A26" s="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8"/>
      <c r="AA26" s="18"/>
      <c r="AC26" s="21" t="s">
        <v>5</v>
      </c>
      <c r="AD26" s="13">
        <f t="shared" si="5"/>
        <v>28611</v>
      </c>
      <c r="AE26" s="12">
        <f t="shared" si="6"/>
        <v>25827</v>
      </c>
      <c r="AG26" s="94" t="s">
        <v>28</v>
      </c>
      <c r="AH26" s="91">
        <v>6.8156096307286127</v>
      </c>
    </row>
    <row r="27" spans="1:34" ht="18.75" customHeight="1">
      <c r="A27" s="7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8"/>
      <c r="AA27" s="18"/>
      <c r="AC27" s="21" t="s">
        <v>6</v>
      </c>
      <c r="AD27" s="13">
        <f t="shared" si="5"/>
        <v>28697</v>
      </c>
      <c r="AE27" s="12">
        <f t="shared" si="6"/>
        <v>25901</v>
      </c>
      <c r="AG27" s="95">
        <v>41275</v>
      </c>
      <c r="AH27" s="47">
        <v>7.0624852310704522</v>
      </c>
    </row>
    <row r="28" spans="1:34" ht="18.75" customHeight="1">
      <c r="A28" s="7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8"/>
      <c r="AA28" s="18"/>
      <c r="AC28" s="21" t="s">
        <v>7</v>
      </c>
      <c r="AD28" s="13">
        <f t="shared" si="5"/>
        <v>28821</v>
      </c>
      <c r="AE28" s="12">
        <f t="shared" si="6"/>
        <v>25951</v>
      </c>
      <c r="AG28" s="92" t="s">
        <v>19</v>
      </c>
      <c r="AH28" s="47">
        <v>6.1623180104062243</v>
      </c>
    </row>
    <row r="29" spans="1:34" ht="18.75" customHeight="1">
      <c r="A29" s="7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8"/>
      <c r="AA29" s="18"/>
      <c r="AC29" s="21" t="s">
        <v>29</v>
      </c>
      <c r="AD29" s="13">
        <f t="shared" si="5"/>
        <v>28864</v>
      </c>
      <c r="AE29" s="12">
        <f t="shared" si="6"/>
        <v>25783</v>
      </c>
      <c r="AG29" s="92" t="s">
        <v>20</v>
      </c>
      <c r="AH29" s="47">
        <v>6.7470401415103822</v>
      </c>
    </row>
    <row r="30" spans="1:34" ht="18.75" customHeight="1">
      <c r="A30" s="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8"/>
      <c r="AA30" s="18"/>
      <c r="AC30" s="21" t="s">
        <v>8</v>
      </c>
      <c r="AD30" s="13">
        <f t="shared" si="5"/>
        <v>29198</v>
      </c>
      <c r="AE30" s="12">
        <f t="shared" si="6"/>
        <v>26247</v>
      </c>
      <c r="AG30" s="92" t="s">
        <v>21</v>
      </c>
      <c r="AH30" s="47">
        <v>6.5431837239066155</v>
      </c>
    </row>
    <row r="31" spans="1:34" ht="18.75" customHeight="1">
      <c r="A31" s="7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8"/>
      <c r="AA31" s="18"/>
      <c r="AB31" s="11"/>
      <c r="AC31" s="21" t="s">
        <v>9</v>
      </c>
      <c r="AD31" s="13">
        <f t="shared" si="5"/>
        <v>29321</v>
      </c>
      <c r="AE31" s="12">
        <f t="shared" si="6"/>
        <v>26512</v>
      </c>
      <c r="AG31" s="92" t="s">
        <v>4</v>
      </c>
      <c r="AH31" s="47">
        <v>6.8312769118424699</v>
      </c>
    </row>
    <row r="32" spans="1:34" ht="18.75" customHeight="1">
      <c r="A32" s="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2"/>
      <c r="AA32" s="22"/>
      <c r="AB32" s="23"/>
      <c r="AC32" s="21" t="s">
        <v>10</v>
      </c>
      <c r="AD32" s="13">
        <f t="shared" si="5"/>
        <v>29811</v>
      </c>
      <c r="AE32" s="12">
        <f t="shared" si="6"/>
        <v>26635</v>
      </c>
      <c r="AG32" s="92" t="s">
        <v>22</v>
      </c>
      <c r="AH32" s="47">
        <v>5.5966428300628817</v>
      </c>
    </row>
    <row r="33" spans="1:34" ht="18.75" customHeight="1">
      <c r="A33" s="7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4"/>
      <c r="AA33" s="24"/>
      <c r="AB33" s="24"/>
      <c r="AC33" s="25"/>
      <c r="AG33" s="92" t="s">
        <v>23</v>
      </c>
      <c r="AH33" s="47">
        <v>5.995009775837767</v>
      </c>
    </row>
    <row r="34" spans="1:34" ht="18.75" customHeight="1">
      <c r="A34" s="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6"/>
      <c r="AA34" s="26"/>
      <c r="AB34" s="26"/>
      <c r="AC34" s="25"/>
      <c r="AG34" s="92" t="s">
        <v>24</v>
      </c>
      <c r="AH34" s="47">
        <v>6.1737883625861825</v>
      </c>
    </row>
    <row r="35" spans="1:34" ht="18.75" customHeight="1">
      <c r="A35" s="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6"/>
      <c r="AA35" s="26"/>
      <c r="AB35" s="26"/>
      <c r="AC35" s="25"/>
      <c r="AG35" s="92" t="s">
        <v>25</v>
      </c>
      <c r="AH35" s="47">
        <v>5.6975882467659105</v>
      </c>
    </row>
    <row r="36" spans="1:34" ht="13.8">
      <c r="Z36" s="26"/>
      <c r="AA36" s="26"/>
      <c r="AB36" s="26"/>
      <c r="AC36" s="25"/>
      <c r="AD36" s="10"/>
      <c r="AE36" s="10"/>
      <c r="AG36" s="92" t="s">
        <v>26</v>
      </c>
      <c r="AH36" s="47">
        <v>6.1304469351818209</v>
      </c>
    </row>
    <row r="37" spans="1:34" ht="13.8">
      <c r="Z37" s="26"/>
      <c r="AA37" s="26"/>
      <c r="AB37" s="26"/>
      <c r="AC37" s="21"/>
      <c r="AG37" s="93" t="s">
        <v>27</v>
      </c>
      <c r="AH37" s="47">
        <v>6.1716886577010914</v>
      </c>
    </row>
    <row r="38" spans="1:34" ht="13.8">
      <c r="Z38" s="26"/>
      <c r="AA38" s="26"/>
      <c r="AB38" s="26"/>
      <c r="AC38" s="21"/>
      <c r="AG38" s="94" t="s">
        <v>28</v>
      </c>
      <c r="AH38" s="55">
        <v>6.00919894869158</v>
      </c>
    </row>
    <row r="39" spans="1:34">
      <c r="Z39" s="26"/>
      <c r="AA39" s="26"/>
      <c r="AB39" s="26"/>
      <c r="AC39" s="21"/>
    </row>
    <row r="40" spans="1:34">
      <c r="Z40" s="26"/>
      <c r="AA40" s="26"/>
      <c r="AB40" s="26"/>
      <c r="AC40" s="21"/>
    </row>
    <row r="41" spans="1:34">
      <c r="Z41" s="26"/>
      <c r="AA41" s="26"/>
      <c r="AB41" s="26"/>
      <c r="AC41" s="21"/>
    </row>
    <row r="42" spans="1:34">
      <c r="Z42" s="26"/>
      <c r="AA42" s="26"/>
      <c r="AB42" s="26"/>
      <c r="AC42" s="21"/>
    </row>
    <row r="43" spans="1:34">
      <c r="Z43" s="26"/>
      <c r="AA43" s="26"/>
      <c r="AB43" s="26"/>
      <c r="AC43" s="21"/>
    </row>
    <row r="44" spans="1:34">
      <c r="Z44" s="26"/>
      <c r="AA44" s="26"/>
      <c r="AB44" s="26"/>
      <c r="AC44" s="21"/>
    </row>
    <row r="45" spans="1:34">
      <c r="Z45" s="26"/>
      <c r="AA45" s="26"/>
      <c r="AB45" s="26"/>
      <c r="AC45" s="21"/>
    </row>
    <row r="46" spans="1:34">
      <c r="Z46" s="25"/>
      <c r="AA46" s="25"/>
      <c r="AB46" s="25"/>
      <c r="AC46" s="21"/>
    </row>
    <row r="47" spans="1:34">
      <c r="Z47" s="25"/>
      <c r="AA47" s="25"/>
      <c r="AB47" s="25"/>
      <c r="AC47" s="21"/>
    </row>
    <row r="48" spans="1:34">
      <c r="AC48" s="21"/>
    </row>
  </sheetData>
  <mergeCells count="7">
    <mergeCell ref="T3:Y3"/>
    <mergeCell ref="A1:Y1"/>
    <mergeCell ref="A2:Y2"/>
    <mergeCell ref="H3:M3"/>
    <mergeCell ref="B3:G3"/>
    <mergeCell ref="N3:S3"/>
    <mergeCell ref="A3:A5"/>
  </mergeCells>
  <phoneticPr fontId="0" type="noConversion"/>
  <printOptions horizontalCentered="1" verticalCentered="1"/>
  <pageMargins left="0.23622047244094499" right="0.23622047244094499" top="0.15748031496063" bottom="0.23622047244094499" header="0.15748031496063" footer="0.43307086614173201"/>
  <pageSetup paperSize="9" scale="65" orientation="landscape" r:id="rId1"/>
  <headerFooter differentOddEven="1" scaleWithDoc="0" alignWithMargins="0"/>
  <rowBreaks count="1" manualBreakCount="1">
    <brk id="61" max="24" man="1"/>
  </rowBreaks>
  <ignoredErrors>
    <ignoredError sqref="L6:R6" formula="1"/>
  </ignoredErrors>
  <drawing r:id="rId2"/>
  <webPublishItems count="2">
    <webPublishItem id="9105" divId="10- Tourism_9105" sourceType="range" sourceRef="A2:A30" destinationFile="\\Server\dp unit\Publication\Statistical  Year Book\Statistical Year Book 2008\yrbook08 cd\10-Tourism\10.3.htm"/>
    <webPublishItem id="12529" divId="10Tourism_12529" sourceType="range" sourceRef="A2:A34" destinationFile="\\Server\dp unit\Publication\Statistical  Year Book\Statistical Year Book 2008\yrbook08 cd\10-Tourism\10.3 &amp; fig 10.3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10.3</vt:lpstr>
      <vt:lpstr>'10.3'!Print_Area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2015-01-11T06:16:25Z</dcterms:modified>
</cp:coreProperties>
</file>