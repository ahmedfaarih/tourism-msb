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2.xml" ContentType="application/vnd.openxmlformats-officedocument.drawingml.chart+xml"/>
  <Override PartName="/xl/charts/chart3.xml" ContentType="application/vnd.openxmlformats-officedocument.drawingml.char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drawings/drawing3.xml" ContentType="application/vnd.openxmlformats-officedocument.drawingml.chartshap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codeName="ThisWorkbook"/>
  <bookViews>
    <workbookView xWindow="11592" yWindow="960" windowWidth="7320" windowHeight="4128" tabRatio="749" firstSheet="1" activeTab="1"/>
  </bookViews>
  <sheets>
    <sheet name="10.1 figures workings" sheetId="44" state="hidden" r:id="rId1"/>
    <sheet name="10.9 " sheetId="42" r:id="rId2"/>
  </sheets>
  <definedNames>
    <definedName name="\a">[1]TCARR2000!#REF!</definedName>
    <definedName name="asd">#REF!</definedName>
    <definedName name="fgh">#REF!</definedName>
    <definedName name="fgnjvhkj">#REF!</definedName>
    <definedName name="new">[2]TCARR2001!#REF!</definedName>
    <definedName name="Print_Area_MI">#REF!</definedName>
    <definedName name="_xlnm.Print_Titles" localSheetId="1">'10.9 '!$4:$4</definedName>
    <definedName name="ttttt">#REF!</definedName>
  </definedNames>
  <calcPr calcId="124519"/>
</workbook>
</file>

<file path=xl/calcChain.xml><?xml version="1.0" encoding="utf-8"?>
<calcChain xmlns="http://schemas.openxmlformats.org/spreadsheetml/2006/main">
  <c r="W21" i="42"/>
  <c r="M66" l="1"/>
  <c r="B85"/>
  <c r="B84"/>
  <c r="D47"/>
  <c r="D53"/>
  <c r="D60"/>
  <c r="B67"/>
  <c r="B68"/>
  <c r="B72"/>
  <c r="C78"/>
  <c r="D78"/>
  <c r="E78"/>
  <c r="F78"/>
  <c r="G78"/>
  <c r="H78"/>
  <c r="I78"/>
  <c r="J78"/>
  <c r="K78"/>
  <c r="L78"/>
  <c r="M78"/>
  <c r="N78"/>
  <c r="C66"/>
  <c r="C69"/>
  <c r="C74"/>
  <c r="D66"/>
  <c r="E66"/>
  <c r="F66"/>
  <c r="G66"/>
  <c r="H66"/>
  <c r="I66"/>
  <c r="J66"/>
  <c r="K66"/>
  <c r="L66"/>
  <c r="N66"/>
  <c r="D69"/>
  <c r="E69"/>
  <c r="F69"/>
  <c r="G69"/>
  <c r="H69"/>
  <c r="I69"/>
  <c r="J69"/>
  <c r="K69"/>
  <c r="L69"/>
  <c r="M69"/>
  <c r="N69"/>
  <c r="B70"/>
  <c r="B71"/>
  <c r="B73"/>
  <c r="D74"/>
  <c r="E74"/>
  <c r="F74"/>
  <c r="G74"/>
  <c r="H74"/>
  <c r="I74"/>
  <c r="J74"/>
  <c r="K74"/>
  <c r="L74"/>
  <c r="M74"/>
  <c r="N74"/>
  <c r="B75"/>
  <c r="B76"/>
  <c r="B77"/>
  <c r="B79"/>
  <c r="B80"/>
  <c r="B81"/>
  <c r="B82"/>
  <c r="B83"/>
  <c r="B78" l="1"/>
  <c r="B74"/>
  <c r="B69"/>
  <c r="B66"/>
  <c r="D7" l="1"/>
  <c r="E7"/>
  <c r="F7"/>
  <c r="G7"/>
  <c r="H7"/>
  <c r="I7"/>
  <c r="J7"/>
  <c r="K7"/>
  <c r="L7"/>
  <c r="M7"/>
  <c r="N7"/>
  <c r="C7"/>
  <c r="B10"/>
  <c r="B11"/>
  <c r="B12"/>
  <c r="B13"/>
  <c r="B14"/>
  <c r="B15"/>
  <c r="B16"/>
  <c r="B17"/>
  <c r="B18"/>
  <c r="B9"/>
  <c r="B8"/>
  <c r="D19"/>
  <c r="E19"/>
  <c r="F19"/>
  <c r="G19"/>
  <c r="H19"/>
  <c r="I19"/>
  <c r="J19"/>
  <c r="K19"/>
  <c r="L19"/>
  <c r="M19"/>
  <c r="N19"/>
  <c r="C19"/>
  <c r="B20"/>
  <c r="B21"/>
  <c r="B22"/>
  <c r="B23"/>
  <c r="B24"/>
  <c r="B25"/>
  <c r="B26"/>
  <c r="D27"/>
  <c r="E27"/>
  <c r="F27"/>
  <c r="G27"/>
  <c r="H27"/>
  <c r="I27"/>
  <c r="J27"/>
  <c r="K27"/>
  <c r="L27"/>
  <c r="M27"/>
  <c r="N27"/>
  <c r="C27"/>
  <c r="B28"/>
  <c r="B29"/>
  <c r="B30"/>
  <c r="B31"/>
  <c r="B32"/>
  <c r="B33"/>
  <c r="D34"/>
  <c r="E34"/>
  <c r="F34"/>
  <c r="G34"/>
  <c r="H34"/>
  <c r="I34"/>
  <c r="J34"/>
  <c r="K34"/>
  <c r="L34"/>
  <c r="M34"/>
  <c r="N34"/>
  <c r="C34"/>
  <c r="B41"/>
  <c r="B40"/>
  <c r="B39"/>
  <c r="B38"/>
  <c r="B37"/>
  <c r="B36"/>
  <c r="B35"/>
  <c r="D42"/>
  <c r="E42"/>
  <c r="F42"/>
  <c r="G42"/>
  <c r="H42"/>
  <c r="I42"/>
  <c r="J42"/>
  <c r="K42"/>
  <c r="L42"/>
  <c r="M42"/>
  <c r="N42"/>
  <c r="C42"/>
  <c r="B43"/>
  <c r="B44"/>
  <c r="B45"/>
  <c r="E47"/>
  <c r="F47"/>
  <c r="G47"/>
  <c r="H47"/>
  <c r="I47"/>
  <c r="J47"/>
  <c r="K47"/>
  <c r="L47"/>
  <c r="M47"/>
  <c r="N47"/>
  <c r="C47"/>
  <c r="B48"/>
  <c r="E53"/>
  <c r="F53"/>
  <c r="G53"/>
  <c r="H53"/>
  <c r="I53"/>
  <c r="J53"/>
  <c r="K53"/>
  <c r="L53"/>
  <c r="M53"/>
  <c r="N53"/>
  <c r="C53"/>
  <c r="B49"/>
  <c r="B50"/>
  <c r="B51"/>
  <c r="B52"/>
  <c r="B54"/>
  <c r="B55"/>
  <c r="B56"/>
  <c r="B57"/>
  <c r="B58"/>
  <c r="B59"/>
  <c r="B65"/>
  <c r="B64"/>
  <c r="B63"/>
  <c r="B62"/>
  <c r="B61"/>
  <c r="N60"/>
  <c r="M60"/>
  <c r="L60"/>
  <c r="K60"/>
  <c r="J60"/>
  <c r="I60"/>
  <c r="H60"/>
  <c r="G60"/>
  <c r="F60"/>
  <c r="E60"/>
  <c r="C60"/>
  <c r="AH21"/>
  <c r="AG21"/>
  <c r="AF21"/>
  <c r="AE21"/>
  <c r="AD21"/>
  <c r="AC21"/>
  <c r="AB21"/>
  <c r="AA21"/>
  <c r="Z21"/>
  <c r="Y21"/>
  <c r="X21"/>
  <c r="K60" i="44"/>
  <c r="J60"/>
  <c r="I60"/>
  <c r="H60"/>
  <c r="K59"/>
  <c r="J59"/>
  <c r="I59"/>
  <c r="H59"/>
  <c r="K58"/>
  <c r="J58"/>
  <c r="I58"/>
  <c r="H58"/>
  <c r="K57"/>
  <c r="J57"/>
  <c r="I57"/>
  <c r="H57"/>
  <c r="K56"/>
  <c r="J56"/>
  <c r="I56"/>
  <c r="H56"/>
  <c r="K55"/>
  <c r="J55"/>
  <c r="I55"/>
  <c r="H55"/>
  <c r="K54"/>
  <c r="J54"/>
  <c r="I54"/>
  <c r="H54"/>
  <c r="K53"/>
  <c r="J53"/>
  <c r="I53"/>
  <c r="H53"/>
  <c r="K52"/>
  <c r="J52"/>
  <c r="I52"/>
  <c r="H52"/>
  <c r="K51"/>
  <c r="J51"/>
  <c r="I51"/>
  <c r="H51"/>
  <c r="K50"/>
  <c r="J50"/>
  <c r="I50"/>
  <c r="H50"/>
  <c r="K49"/>
  <c r="J49"/>
  <c r="I49"/>
  <c r="H49"/>
  <c r="K48"/>
  <c r="J48"/>
  <c r="I48"/>
  <c r="H48"/>
  <c r="K47"/>
  <c r="J47"/>
  <c r="I47"/>
  <c r="H47"/>
  <c r="K46"/>
  <c r="J46"/>
  <c r="I46"/>
  <c r="H46"/>
  <c r="K45"/>
  <c r="J45"/>
  <c r="I45"/>
  <c r="H45"/>
  <c r="K44"/>
  <c r="J44"/>
  <c r="I44"/>
  <c r="H44"/>
  <c r="K43"/>
  <c r="J43"/>
  <c r="I43"/>
  <c r="H43"/>
  <c r="K42"/>
  <c r="J42"/>
  <c r="I42"/>
  <c r="H42"/>
  <c r="K41"/>
  <c r="J41"/>
  <c r="I41"/>
  <c r="H41"/>
  <c r="K40"/>
  <c r="J40"/>
  <c r="I40"/>
  <c r="H40"/>
  <c r="K39"/>
  <c r="J39"/>
  <c r="I39"/>
  <c r="H39"/>
  <c r="K38"/>
  <c r="J38"/>
  <c r="I38"/>
  <c r="H38"/>
  <c r="K37"/>
  <c r="J37"/>
  <c r="I37"/>
  <c r="H37"/>
  <c r="K36"/>
  <c r="J36"/>
  <c r="I36"/>
  <c r="H36"/>
  <c r="K35"/>
  <c r="J35"/>
  <c r="I35"/>
  <c r="H35"/>
  <c r="K34"/>
  <c r="J34"/>
  <c r="I34"/>
  <c r="H34"/>
  <c r="K33"/>
  <c r="J33"/>
  <c r="I33"/>
  <c r="H33"/>
  <c r="K32"/>
  <c r="J32"/>
  <c r="I32"/>
  <c r="H32"/>
  <c r="K31"/>
  <c r="J31"/>
  <c r="I31"/>
  <c r="H31"/>
  <c r="K30"/>
  <c r="J30"/>
  <c r="I30"/>
  <c r="H30"/>
  <c r="K29"/>
  <c r="J29"/>
  <c r="I29"/>
  <c r="H29"/>
  <c r="K28"/>
  <c r="J28"/>
  <c r="I28"/>
  <c r="H28"/>
  <c r="K27"/>
  <c r="J27"/>
  <c r="I27"/>
  <c r="H27"/>
  <c r="K26"/>
  <c r="J26"/>
  <c r="I26"/>
  <c r="H26"/>
  <c r="K25"/>
  <c r="J25"/>
  <c r="I25"/>
  <c r="H25"/>
  <c r="K24"/>
  <c r="J24"/>
  <c r="I24"/>
  <c r="H24"/>
  <c r="K23"/>
  <c r="J23"/>
  <c r="I23"/>
  <c r="H23"/>
  <c r="K22"/>
  <c r="J22"/>
  <c r="I22"/>
  <c r="H22"/>
  <c r="K21"/>
  <c r="J21"/>
  <c r="I21"/>
  <c r="H21"/>
  <c r="K20"/>
  <c r="J20"/>
  <c r="I20"/>
  <c r="H20"/>
  <c r="K19"/>
  <c r="J19"/>
  <c r="I19"/>
  <c r="H19"/>
  <c r="K18"/>
  <c r="J18"/>
  <c r="I18"/>
  <c r="H18"/>
  <c r="K17"/>
  <c r="J17"/>
  <c r="I17"/>
  <c r="H17"/>
  <c r="K16"/>
  <c r="J16"/>
  <c r="I16"/>
  <c r="H16"/>
  <c r="K15"/>
  <c r="J15"/>
  <c r="I15"/>
  <c r="H15"/>
  <c r="K14"/>
  <c r="J14"/>
  <c r="I14"/>
  <c r="H14"/>
  <c r="K13"/>
  <c r="J13"/>
  <c r="I13"/>
  <c r="H13"/>
  <c r="K12"/>
  <c r="J12"/>
  <c r="I12"/>
  <c r="H12"/>
  <c r="K11"/>
  <c r="J11"/>
  <c r="I11"/>
  <c r="H11"/>
  <c r="K10"/>
  <c r="J10"/>
  <c r="I10"/>
  <c r="H10"/>
  <c r="K9"/>
  <c r="J9"/>
  <c r="I9"/>
  <c r="H9"/>
  <c r="K8"/>
  <c r="J8"/>
  <c r="I8"/>
  <c r="H8"/>
  <c r="K7"/>
  <c r="J7"/>
  <c r="I7"/>
  <c r="H7"/>
  <c r="Q2"/>
  <c r="P2"/>
  <c r="O2"/>
  <c r="N2"/>
  <c r="M2"/>
  <c r="C46" i="42" l="1"/>
  <c r="C6"/>
  <c r="L6"/>
  <c r="B7"/>
  <c r="B47"/>
  <c r="B34"/>
  <c r="B53"/>
  <c r="B42"/>
  <c r="B19"/>
  <c r="B60"/>
  <c r="M46"/>
  <c r="K46"/>
  <c r="I46"/>
  <c r="G46"/>
  <c r="E46"/>
  <c r="B27"/>
  <c r="M6"/>
  <c r="K6"/>
  <c r="K5" s="1"/>
  <c r="I6"/>
  <c r="G6"/>
  <c r="E6"/>
  <c r="S1" i="44"/>
  <c r="N46" i="42"/>
  <c r="L46"/>
  <c r="J46"/>
  <c r="H46"/>
  <c r="F46"/>
  <c r="D46"/>
  <c r="N6"/>
  <c r="N5" s="1"/>
  <c r="J6"/>
  <c r="H6"/>
  <c r="F6"/>
  <c r="D6"/>
  <c r="L5" l="1"/>
  <c r="M5"/>
  <c r="D5"/>
  <c r="H5"/>
  <c r="F5"/>
  <c r="J5"/>
  <c r="C5"/>
  <c r="G5"/>
  <c r="E5"/>
  <c r="I5"/>
  <c r="B6"/>
  <c r="B46"/>
  <c r="B5" l="1"/>
</calcChain>
</file>

<file path=xl/sharedStrings.xml><?xml version="1.0" encoding="utf-8"?>
<sst xmlns="http://schemas.openxmlformats.org/spreadsheetml/2006/main" count="295" uniqueCount="232">
  <si>
    <t>Country of Nationality</t>
  </si>
  <si>
    <t>Total</t>
  </si>
  <si>
    <t>Europe</t>
  </si>
  <si>
    <t>Italy</t>
  </si>
  <si>
    <t>United Kingdom</t>
  </si>
  <si>
    <t>Germany</t>
  </si>
  <si>
    <t>France</t>
  </si>
  <si>
    <t>Switzerland</t>
  </si>
  <si>
    <t>Russia</t>
  </si>
  <si>
    <t>Austria</t>
  </si>
  <si>
    <t>Spain</t>
  </si>
  <si>
    <t>Portugal</t>
  </si>
  <si>
    <t>Belgium</t>
  </si>
  <si>
    <t>Sweden</t>
  </si>
  <si>
    <t>Denmark</t>
  </si>
  <si>
    <t>Asia</t>
  </si>
  <si>
    <t>Japan</t>
  </si>
  <si>
    <t>India</t>
  </si>
  <si>
    <t>Korea</t>
  </si>
  <si>
    <t>Sri Lanka</t>
  </si>
  <si>
    <t>Thailand</t>
  </si>
  <si>
    <t>Singapore</t>
  </si>
  <si>
    <t>Africa</t>
  </si>
  <si>
    <t>South Africa</t>
  </si>
  <si>
    <t>America</t>
  </si>
  <si>
    <t>Canada</t>
  </si>
  <si>
    <t>Oceania</t>
  </si>
  <si>
    <t>Australia</t>
  </si>
  <si>
    <t>-</t>
  </si>
  <si>
    <t>Jan</t>
  </si>
  <si>
    <t>Feb</t>
  </si>
  <si>
    <t>Mar</t>
  </si>
  <si>
    <t>Apr</t>
  </si>
  <si>
    <t>May</t>
  </si>
  <si>
    <t>Jun</t>
  </si>
  <si>
    <t>Jul</t>
  </si>
  <si>
    <t>Aug</t>
  </si>
  <si>
    <t>Oct</t>
  </si>
  <si>
    <t>Nov</t>
  </si>
  <si>
    <t>Dec</t>
  </si>
  <si>
    <t>Sep</t>
  </si>
  <si>
    <t xml:space="preserve">   Total</t>
  </si>
  <si>
    <t>2008</t>
  </si>
  <si>
    <t>Middle East</t>
  </si>
  <si>
    <t>Kuwait</t>
  </si>
  <si>
    <t>Lebanon</t>
  </si>
  <si>
    <t>Saudi Arabia</t>
  </si>
  <si>
    <t>United Arab Emirates</t>
  </si>
  <si>
    <t>Others</t>
  </si>
  <si>
    <t>udwdwA egcnirevurutwf</t>
  </si>
  <si>
    <t>2009</t>
  </si>
  <si>
    <t xml:space="preserve">   Austria</t>
  </si>
  <si>
    <t xml:space="preserve">   Belgium</t>
  </si>
  <si>
    <t xml:space="preserve">   Czech Republic</t>
  </si>
  <si>
    <t xml:space="preserve">   Denmark</t>
  </si>
  <si>
    <t xml:space="preserve">   Finland</t>
  </si>
  <si>
    <t xml:space="preserve">   France</t>
  </si>
  <si>
    <t xml:space="preserve">   Germany</t>
  </si>
  <si>
    <t xml:space="preserve">   Greece</t>
  </si>
  <si>
    <t xml:space="preserve">   Hungary</t>
  </si>
  <si>
    <t xml:space="preserve">   Ireland</t>
  </si>
  <si>
    <t xml:space="preserve">   Israel</t>
  </si>
  <si>
    <t xml:space="preserve">   Italy</t>
  </si>
  <si>
    <t xml:space="preserve">   Netherlands</t>
  </si>
  <si>
    <t xml:space="preserve">   Norway</t>
  </si>
  <si>
    <t xml:space="preserve">   Poland</t>
  </si>
  <si>
    <t xml:space="preserve">   Portugal</t>
  </si>
  <si>
    <t xml:space="preserve">   Russia</t>
  </si>
  <si>
    <t xml:space="preserve">   Slovakia</t>
  </si>
  <si>
    <t xml:space="preserve">   Slovenia</t>
  </si>
  <si>
    <t xml:space="preserve">   Spain</t>
  </si>
  <si>
    <t xml:space="preserve">   Sweden</t>
  </si>
  <si>
    <t xml:space="preserve">   Switzerland</t>
  </si>
  <si>
    <t xml:space="preserve">   Turkey</t>
  </si>
  <si>
    <t xml:space="preserve">   Ukraine</t>
  </si>
  <si>
    <t xml:space="preserve">   United Kingdom</t>
  </si>
  <si>
    <t xml:space="preserve">   Other Europe</t>
  </si>
  <si>
    <t xml:space="preserve">   Bangladesh</t>
  </si>
  <si>
    <t xml:space="preserve">   China</t>
  </si>
  <si>
    <t xml:space="preserve">   India</t>
  </si>
  <si>
    <t xml:space="preserve">   Indonesia</t>
  </si>
  <si>
    <t xml:space="preserve">   Japan</t>
  </si>
  <si>
    <t xml:space="preserve">   Korea</t>
  </si>
  <si>
    <t xml:space="preserve">   Malaysia</t>
  </si>
  <si>
    <t xml:space="preserve">   Pakistan</t>
  </si>
  <si>
    <t xml:space="preserve">   Philippines</t>
  </si>
  <si>
    <t xml:space="preserve">   Singapore</t>
  </si>
  <si>
    <t xml:space="preserve">   Sri Lanka</t>
  </si>
  <si>
    <t xml:space="preserve">   Taiwan</t>
  </si>
  <si>
    <t xml:space="preserve">   Thailand</t>
  </si>
  <si>
    <t xml:space="preserve">   Other Asia</t>
  </si>
  <si>
    <t xml:space="preserve">    South Africa</t>
  </si>
  <si>
    <t xml:space="preserve">   Other Africa</t>
  </si>
  <si>
    <t xml:space="preserve">   Brazil</t>
  </si>
  <si>
    <t xml:space="preserve">   Canada</t>
  </si>
  <si>
    <t xml:space="preserve">   U.S.A</t>
  </si>
  <si>
    <t xml:space="preserve">   Other Americas</t>
  </si>
  <si>
    <t xml:space="preserve">   Australia</t>
  </si>
  <si>
    <t xml:space="preserve">   New Zealand</t>
  </si>
  <si>
    <t xml:space="preserve">   Other Oceania</t>
  </si>
  <si>
    <t xml:space="preserve">   Kuwait</t>
  </si>
  <si>
    <t xml:space="preserve">   Lebanon</t>
  </si>
  <si>
    <t xml:space="preserve">   Saudi Arabia</t>
  </si>
  <si>
    <t xml:space="preserve">   United Arab Emirates</t>
  </si>
  <si>
    <t xml:space="preserve">   Other Middle East</t>
  </si>
  <si>
    <t>އޮސްޓްރިއާ</t>
  </si>
  <si>
    <t>ޖުމްލަ</t>
  </si>
  <si>
    <t>ޔޫރަޕް</t>
  </si>
  <si>
    <t>ބެލްޖިއަމް</t>
  </si>
  <si>
    <t>ފިންލޭންޑް</t>
  </si>
  <si>
    <t>ފްރާންސް</t>
  </si>
  <si>
    <t>ގްރީސް</t>
  </si>
  <si>
    <t>އިޓަލީ</t>
  </si>
  <si>
    <t>ޕޯޗުގަލް</t>
  </si>
  <si>
    <t>ރަޝިއާ</t>
  </si>
  <si>
    <t>ސްލޮވޭކިއާ</t>
  </si>
  <si>
    <t>ސްޕެއިން</t>
  </si>
  <si>
    <t>ޔުނައިޓެޑް ކިންގްޑަމް</t>
  </si>
  <si>
    <t>އެހެނިހެން</t>
  </si>
  <si>
    <t>އޭޝިއާ</t>
  </si>
  <si>
    <t>ޗައިނާ</t>
  </si>
  <si>
    <t>އިންޑޮނޭޝިއާ</t>
  </si>
  <si>
    <t>އިންޑިއާ</t>
  </si>
  <si>
    <t>ކޮރެއާ</t>
  </si>
  <si>
    <t>ޖަޕާން</t>
  </si>
  <si>
    <t>މެލޭޝިއާ</t>
  </si>
  <si>
    <t>ޕާކިސްތާން</t>
  </si>
  <si>
    <t>ޓައިވާން</t>
  </si>
  <si>
    <t>އެފްރިކާ</t>
  </si>
  <si>
    <t>ކެނެޑާ</t>
  </si>
  <si>
    <t>އޮސްޓްރޭލިއާ</t>
  </si>
  <si>
    <t>ކުވެއިތު</t>
  </si>
  <si>
    <t>2010</t>
  </si>
  <si>
    <t>Central/Eastern Europe</t>
  </si>
  <si>
    <t>Belarus</t>
  </si>
  <si>
    <t>Bulgaria</t>
  </si>
  <si>
    <t>Czech Republic</t>
  </si>
  <si>
    <t>Hungary</t>
  </si>
  <si>
    <t>Kazakhstan</t>
  </si>
  <si>
    <t>Poland</t>
  </si>
  <si>
    <t>Romania</t>
  </si>
  <si>
    <t>Slovakia</t>
  </si>
  <si>
    <t>Ukraine</t>
  </si>
  <si>
    <t>Northern Europe</t>
  </si>
  <si>
    <t>Finland</t>
  </si>
  <si>
    <t>Ireland</t>
  </si>
  <si>
    <t>Norway</t>
  </si>
  <si>
    <t>Southern Europe</t>
  </si>
  <si>
    <t>Greece</t>
  </si>
  <si>
    <t>Slovenia</t>
  </si>
  <si>
    <t>Western Europe</t>
  </si>
  <si>
    <t xml:space="preserve">Netherlands </t>
  </si>
  <si>
    <t>East/Mediterranean Europe</t>
  </si>
  <si>
    <t>Israel</t>
  </si>
  <si>
    <t>Turkey</t>
  </si>
  <si>
    <t>North East Asia</t>
  </si>
  <si>
    <t>China</t>
  </si>
  <si>
    <t>Taiwan</t>
  </si>
  <si>
    <t>South East Asia</t>
  </si>
  <si>
    <t>Indonesia</t>
  </si>
  <si>
    <t>Malaysia</t>
  </si>
  <si>
    <t>Philippines</t>
  </si>
  <si>
    <t>South Asia</t>
  </si>
  <si>
    <t>Bangladesh</t>
  </si>
  <si>
    <t>Pakistan</t>
  </si>
  <si>
    <t>Brazil</t>
  </si>
  <si>
    <t>United States</t>
  </si>
  <si>
    <t>New Zealand</t>
  </si>
  <si>
    <t>No. of Tourists</t>
  </si>
  <si>
    <t>% change over previous year</t>
  </si>
  <si>
    <t>އެމެރިކާ</t>
  </si>
  <si>
    <t>2011</t>
  </si>
  <si>
    <t>އިތުރުވި މިންވަރު</t>
  </si>
  <si>
    <t>2012</t>
  </si>
  <si>
    <t>2012 - 2008 ,udwdwA egcnirevurutwf iawaejcaWr cnutogegukwtumuawq : 10.1 ulwvWt</t>
  </si>
  <si>
    <t>Table 10.1 :   FLOW OF TOURISTS BY NATIONALITY, 2008 -  2012</t>
  </si>
  <si>
    <t xml:space="preserve"> Department of Immigration &amp; Emigration</t>
  </si>
  <si>
    <t>folds increase</t>
  </si>
  <si>
    <t>000</t>
  </si>
  <si>
    <t>Country of
 Nationality</t>
  </si>
  <si>
    <t>Top ten tourism markets accounts for 77% of all the tourist arrivals in 2012</t>
  </si>
  <si>
    <t xml:space="preserve">Chinese tourist arrivals have increased over five folds during the last five years. It grew from 42 thousand in 2008 to 230 thousand in 2012 </t>
  </si>
  <si>
    <t>Other continents</t>
  </si>
  <si>
    <t>ވަޒަންވެރިވެފައިވާ ޤައުމު</t>
  </si>
  <si>
    <t>މެދު އިރުމަތީ ޔޫރަޕް</t>
  </si>
  <si>
    <t>ބެލަރުސް</t>
  </si>
  <si>
    <t>ބަލްގޭރިއާ</t>
  </si>
  <si>
    <t>ޗެކް ރިޕަބްލިކް</t>
  </si>
  <si>
    <t>ހަންގޭރީ</t>
  </si>
  <si>
    <t>ކަޒަކިސްތާން</t>
  </si>
  <si>
    <t>ޕޮލަންޑް</t>
  </si>
  <si>
    <t>ރޮމޭނިއާ</t>
  </si>
  <si>
    <t>ޔޫކްރެއިން</t>
  </si>
  <si>
    <t>އުތުރު ޔޫރަޕް</t>
  </si>
  <si>
    <t>ޑެންމާކް</t>
  </si>
  <si>
    <t>އަޔަލެންޑް</t>
  </si>
  <si>
    <t>ނޯވޭ</t>
  </si>
  <si>
    <t>ސްވިޑެން</t>
  </si>
  <si>
    <t>ދެކުނު ޔޫރަޕް</t>
  </si>
  <si>
    <t>ސްލޮވޭނިއާ</t>
  </si>
  <si>
    <t>ހުޅަނގު ޔޫރަޕް</t>
  </si>
  <si>
    <t>ޖަރުމަނީ</t>
  </si>
  <si>
    <t>ނެދަލެންޑްސް</t>
  </si>
  <si>
    <t>ސްވިޓްޒަލެންޑް</t>
  </si>
  <si>
    <t>އިރުމަތީ ޔޫރަޕް</t>
  </si>
  <si>
    <t>އިސްރާއީލް</t>
  </si>
  <si>
    <t>ތުރުކީ</t>
  </si>
  <si>
    <t>އިރު އުތުރު އޭޝިއާ</t>
  </si>
  <si>
    <t>އިރު ދެކުނު އޭޝިއާ</t>
  </si>
  <si>
    <t>ފިލިޕިންސް</t>
  </si>
  <si>
    <t>ސިންގަޕޯ</t>
  </si>
  <si>
    <t>ތައިލެންޑް</t>
  </si>
  <si>
    <t>ދެކުނު އޭޝިއާ</t>
  </si>
  <si>
    <t>ބަންގްލަދެޝް</t>
  </si>
  <si>
    <t>ސްރީ ލަންކާ</t>
  </si>
  <si>
    <t>ދެކުނު އެފްރިކާ</t>
  </si>
  <si>
    <t>ބްރެޒިލް</t>
  </si>
  <si>
    <t>ޔުނައިޓެޑް ސްޓޭޓްސް</t>
  </si>
  <si>
    <t>އޯޝިއާނާ</t>
  </si>
  <si>
    <t>ނިއުޒިލެންޑް</t>
  </si>
  <si>
    <t>މެދު އިރުމަތީ</t>
  </si>
  <si>
    <t>ލެބަނާން</t>
  </si>
  <si>
    <t>ސައުދީ އަރަބިއްޔާ</t>
  </si>
  <si>
    <t>ޔުނައިޓެޑް އަރަބް އެމަރެޓްސް</t>
  </si>
  <si>
    <t>ތާވަލު 10.9: ޤައުމުތަކުގެ ގޮތުން ރާއްޖެއައި ފަތުރުވެރިންގެ ޢަދަދު، މަސްމަހުގެ ގޮތުން، 2013</t>
  </si>
  <si>
    <t>Table 10.9 :   MONTHLY DISTRIBUTION OF TOURIST ARRIVALS BY NATIONALITY, 2013</t>
  </si>
  <si>
    <t>UN Passpoert holders</t>
  </si>
  <si>
    <t xml:space="preserve">Others Not Stated </t>
  </si>
  <si>
    <t xml:space="preserve">ޔޫ އެން ޕާސްޕޯޓު ހޯލްޑަރސް </t>
  </si>
  <si>
    <t>Source: Ministry of Tourism</t>
  </si>
  <si>
    <t>cmwzirUT cfoa  IrcTcsinim :ctWrwf ivcaed utWmUluAwm</t>
  </si>
  <si>
    <t xml:space="preserve">                   ޑިޕާޓްމަންޓް އޮފް އިމިގްރޭޝަން އެންޑް އެމިގްރޭޝަން</t>
  </si>
</sst>
</file>

<file path=xl/styles.xml><?xml version="1.0" encoding="utf-8"?>
<styleSheet xmlns="http://schemas.openxmlformats.org/spreadsheetml/2006/main">
  <numFmts count="5">
    <numFmt numFmtId="43" formatCode="_(* #,##0.00_);_(* \(#,##0.00\);_(* &quot;-&quot;??_);_(@_)"/>
    <numFmt numFmtId="167" formatCode="0.0"/>
    <numFmt numFmtId="168" formatCode="0.00_)"/>
    <numFmt numFmtId="169" formatCode="_(* #,##0_);_(* \(#,##0\);_(* &quot;-&quot;??_);_(@_)"/>
    <numFmt numFmtId="170" formatCode="#,##0;[Red]#,##0"/>
  </numFmts>
  <fonts count="27">
    <font>
      <sz val="10"/>
      <name val="Arial"/>
    </font>
    <font>
      <sz val="10"/>
      <name val="Arial"/>
      <family val="2"/>
    </font>
    <font>
      <b/>
      <i/>
      <sz val="16"/>
      <name val="Helv"/>
    </font>
    <font>
      <sz val="10"/>
      <name val="Courier"/>
      <family val="3"/>
    </font>
    <font>
      <b/>
      <sz val="10"/>
      <name val="Arial"/>
      <family val="2"/>
    </font>
    <font>
      <sz val="9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9"/>
      <name val="A_Randhoo"/>
    </font>
    <font>
      <b/>
      <sz val="10"/>
      <name val="A_Randhoo"/>
    </font>
    <font>
      <sz val="10"/>
      <name val="Helv"/>
    </font>
    <font>
      <b/>
      <sz val="10"/>
      <name val="Faruma"/>
    </font>
    <font>
      <b/>
      <sz val="10"/>
      <name val="TimesNewRomanPS"/>
    </font>
    <font>
      <sz val="10"/>
      <name val="Arial"/>
      <family val="2"/>
    </font>
    <font>
      <b/>
      <sz val="12"/>
      <name val="A_Randhoo"/>
    </font>
    <font>
      <b/>
      <sz val="9"/>
      <name val="Faruma"/>
    </font>
    <font>
      <b/>
      <sz val="11"/>
      <name val="Faruma"/>
    </font>
    <font>
      <sz val="9"/>
      <name val="Faruma"/>
    </font>
    <font>
      <sz val="11"/>
      <color theme="1"/>
      <name val="Calibri"/>
      <family val="2"/>
      <scheme val="minor"/>
    </font>
    <font>
      <b/>
      <sz val="9"/>
      <name val="Calibri"/>
      <family val="2"/>
      <scheme val="minor"/>
    </font>
    <font>
      <b/>
      <sz val="10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  <font>
      <i/>
      <sz val="9"/>
      <name val="Calibri"/>
      <family val="2"/>
      <scheme val="minor"/>
    </font>
    <font>
      <b/>
      <sz val="11"/>
      <name val="Calibri"/>
      <family val="2"/>
      <scheme val="minor"/>
    </font>
    <font>
      <b/>
      <sz val="9"/>
      <name val="Faruma"/>
    </font>
    <font>
      <sz val="9"/>
      <name val="Faruma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FF00"/>
        <bgColor indexed="64"/>
      </patternFill>
    </fill>
  </fills>
  <borders count="16">
    <border>
      <left/>
      <right/>
      <top/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9"/>
      </top>
      <bottom style="thin">
        <color indexed="9"/>
      </bottom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/>
      <right/>
      <top style="thin">
        <color indexed="9"/>
      </top>
      <bottom style="thin">
        <color indexed="64"/>
      </bottom>
      <diagonal/>
    </border>
    <border>
      <left style="thin">
        <color indexed="9"/>
      </left>
      <right/>
      <top style="thin">
        <color indexed="9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</borders>
  <cellStyleXfs count="12">
    <xf numFmtId="0" fontId="0" fillId="0" borderId="0"/>
    <xf numFmtId="0" fontId="1" fillId="0" borderId="0"/>
    <xf numFmtId="43" fontId="1" fillId="0" borderId="0" applyFont="0" applyFill="0" applyBorder="0" applyAlignment="0" applyProtection="0"/>
    <xf numFmtId="168" fontId="2" fillId="0" borderId="0"/>
    <xf numFmtId="0" fontId="1" fillId="0" borderId="0"/>
    <xf numFmtId="1" fontId="12" fillId="0" borderId="1" applyNumberFormat="0"/>
    <xf numFmtId="0" fontId="1" fillId="0" borderId="0"/>
    <xf numFmtId="0" fontId="18" fillId="0" borderId="0"/>
    <xf numFmtId="0" fontId="13" fillId="0" borderId="0"/>
    <xf numFmtId="0" fontId="1" fillId="0" borderId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08">
    <xf numFmtId="0" fontId="0" fillId="0" borderId="0" xfId="0"/>
    <xf numFmtId="0" fontId="0" fillId="2" borderId="0" xfId="0" applyFill="1"/>
    <xf numFmtId="49" fontId="20" fillId="2" borderId="3" xfId="0" applyNumberFormat="1" applyFont="1" applyFill="1" applyBorder="1" applyAlignment="1" applyProtection="1">
      <alignment horizontal="right" vertical="center"/>
    </xf>
    <xf numFmtId="0" fontId="20" fillId="2" borderId="2" xfId="0" applyFont="1" applyFill="1" applyBorder="1" applyAlignment="1" applyProtection="1">
      <alignment horizontal="right" vertical="center"/>
    </xf>
    <xf numFmtId="0" fontId="23" fillId="2" borderId="0" xfId="0" applyFont="1" applyFill="1" applyAlignment="1" applyProtection="1">
      <alignment horizontal="left" vertical="center"/>
    </xf>
    <xf numFmtId="37" fontId="5" fillId="2" borderId="0" xfId="0" applyNumberFormat="1" applyFont="1" applyFill="1" applyAlignment="1" applyProtection="1">
      <alignment horizontal="right" vertical="center"/>
    </xf>
    <xf numFmtId="0" fontId="5" fillId="2" borderId="0" xfId="0" applyFont="1" applyFill="1" applyAlignment="1">
      <alignment vertical="center"/>
    </xf>
    <xf numFmtId="0" fontId="8" fillId="2" borderId="0" xfId="0" applyFont="1" applyFill="1" applyBorder="1" applyAlignment="1">
      <alignment horizontal="right" vertical="center"/>
    </xf>
    <xf numFmtId="0" fontId="1" fillId="2" borderId="15" xfId="4" applyFont="1" applyFill="1" applyBorder="1"/>
    <xf numFmtId="0" fontId="4" fillId="2" borderId="0" xfId="0" applyFont="1" applyFill="1" applyBorder="1" applyAlignment="1" applyProtection="1">
      <alignment horizontal="center" vertical="center"/>
    </xf>
    <xf numFmtId="0" fontId="20" fillId="2" borderId="0" xfId="4" applyFont="1" applyFill="1" applyBorder="1" applyAlignment="1" applyProtection="1">
      <alignment horizontal="left" vertical="center"/>
    </xf>
    <xf numFmtId="169" fontId="20" fillId="2" borderId="0" xfId="2" applyNumberFormat="1" applyFont="1" applyFill="1" applyBorder="1" applyAlignment="1" applyProtection="1">
      <alignment horizontal="right" vertical="center"/>
    </xf>
    <xf numFmtId="169" fontId="20" fillId="2" borderId="2" xfId="2" applyNumberFormat="1" applyFont="1" applyFill="1" applyBorder="1" applyAlignment="1" applyProtection="1">
      <alignment horizontal="right" vertical="center"/>
    </xf>
    <xf numFmtId="0" fontId="20" fillId="2" borderId="0" xfId="4" applyFont="1" applyFill="1" applyBorder="1" applyAlignment="1" applyProtection="1">
      <alignment vertical="center"/>
    </xf>
    <xf numFmtId="0" fontId="20" fillId="2" borderId="2" xfId="4" applyFont="1" applyFill="1" applyBorder="1" applyAlignment="1" applyProtection="1">
      <alignment vertical="center"/>
    </xf>
    <xf numFmtId="0" fontId="22" fillId="2" borderId="0" xfId="4" applyFont="1" applyFill="1"/>
    <xf numFmtId="0" fontId="20" fillId="2" borderId="2" xfId="4" applyFont="1" applyFill="1" applyBorder="1" applyAlignment="1" applyProtection="1">
      <alignment horizontal="center" vertical="center"/>
    </xf>
    <xf numFmtId="0" fontId="22" fillId="2" borderId="0" xfId="4" applyFont="1" applyFill="1" applyBorder="1"/>
    <xf numFmtId="0" fontId="20" fillId="2" borderId="2" xfId="4" applyFont="1" applyFill="1" applyBorder="1" applyAlignment="1" applyProtection="1">
      <alignment horizontal="left" vertical="center"/>
    </xf>
    <xf numFmtId="0" fontId="20" fillId="2" borderId="2" xfId="4" applyFont="1" applyFill="1" applyBorder="1" applyAlignment="1" applyProtection="1">
      <alignment horizontal="right" vertical="center"/>
    </xf>
    <xf numFmtId="0" fontId="21" fillId="2" borderId="0" xfId="4" applyFont="1" applyFill="1" applyAlignment="1">
      <alignment vertical="center"/>
    </xf>
    <xf numFmtId="0" fontId="20" fillId="2" borderId="5" xfId="4" applyFont="1" applyFill="1" applyBorder="1" applyAlignment="1" applyProtection="1">
      <alignment horizontal="left" vertical="center"/>
    </xf>
    <xf numFmtId="169" fontId="20" fillId="2" borderId="5" xfId="2" applyNumberFormat="1" applyFont="1" applyFill="1" applyBorder="1" applyAlignment="1" applyProtection="1">
      <alignment horizontal="right" vertical="center"/>
    </xf>
    <xf numFmtId="0" fontId="21" fillId="2" borderId="0" xfId="4" applyFont="1" applyFill="1"/>
    <xf numFmtId="169" fontId="21" fillId="2" borderId="0" xfId="4" applyNumberFormat="1" applyFont="1" applyFill="1" applyAlignment="1">
      <alignment vertical="center"/>
    </xf>
    <xf numFmtId="17" fontId="20" fillId="2" borderId="0" xfId="9" applyNumberFormat="1" applyFont="1" applyFill="1" applyBorder="1" applyAlignment="1">
      <alignment horizontal="left" vertical="center" indent="1"/>
    </xf>
    <xf numFmtId="0" fontId="22" fillId="2" borderId="0" xfId="9" applyFont="1" applyFill="1" applyBorder="1" applyAlignment="1">
      <alignment horizontal="left" vertical="center" indent="2"/>
    </xf>
    <xf numFmtId="169" fontId="20" fillId="2" borderId="0" xfId="2" applyNumberFormat="1" applyFont="1" applyFill="1" applyBorder="1" applyAlignment="1">
      <alignment vertical="center"/>
    </xf>
    <xf numFmtId="169" fontId="22" fillId="2" borderId="0" xfId="2" applyNumberFormat="1" applyFont="1" applyFill="1" applyBorder="1" applyAlignment="1">
      <alignment vertical="center"/>
    </xf>
    <xf numFmtId="0" fontId="22" fillId="2" borderId="0" xfId="9" quotePrefix="1" applyFont="1" applyFill="1" applyBorder="1" applyAlignment="1">
      <alignment horizontal="left" vertical="center" indent="2"/>
    </xf>
    <xf numFmtId="169" fontId="20" fillId="2" borderId="0" xfId="2" applyNumberFormat="1" applyFont="1" applyFill="1" applyBorder="1" applyAlignment="1">
      <alignment horizontal="right" vertical="center"/>
    </xf>
    <xf numFmtId="17" fontId="20" fillId="2" borderId="0" xfId="9" applyNumberFormat="1" applyFont="1" applyFill="1" applyBorder="1" applyAlignment="1">
      <alignment horizontal="left" vertical="center" wrapText="1" indent="1"/>
    </xf>
    <xf numFmtId="0" fontId="22" fillId="2" borderId="2" xfId="9" applyFont="1" applyFill="1" applyBorder="1" applyAlignment="1">
      <alignment horizontal="left" vertical="center" indent="2"/>
    </xf>
    <xf numFmtId="169" fontId="20" fillId="2" borderId="2" xfId="2" applyNumberFormat="1" applyFont="1" applyFill="1" applyBorder="1" applyAlignment="1">
      <alignment vertical="center"/>
    </xf>
    <xf numFmtId="169" fontId="22" fillId="2" borderId="2" xfId="2" applyNumberFormat="1" applyFont="1" applyFill="1" applyBorder="1" applyAlignment="1">
      <alignment vertical="center"/>
    </xf>
    <xf numFmtId="0" fontId="22" fillId="2" borderId="0" xfId="9" applyFont="1" applyFill="1" applyBorder="1" applyAlignment="1">
      <alignment horizontal="left" vertical="center" indent="1"/>
    </xf>
    <xf numFmtId="0" fontId="22" fillId="2" borderId="2" xfId="9" applyFont="1" applyFill="1" applyBorder="1" applyAlignment="1">
      <alignment horizontal="left" vertical="center" indent="1"/>
    </xf>
    <xf numFmtId="0" fontId="23" fillId="2" borderId="0" xfId="4" applyFont="1" applyFill="1" applyAlignment="1" applyProtection="1">
      <alignment horizontal="left" vertical="center"/>
    </xf>
    <xf numFmtId="0" fontId="23" fillId="2" borderId="0" xfId="4" applyFont="1" applyFill="1" applyAlignment="1" applyProtection="1">
      <alignment horizontal="left" vertical="center" indent="3"/>
    </xf>
    <xf numFmtId="3" fontId="22" fillId="2" borderId="0" xfId="4" applyNumberFormat="1" applyFont="1" applyFill="1"/>
    <xf numFmtId="49" fontId="20" fillId="3" borderId="12" xfId="0" applyNumberFormat="1" applyFont="1" applyFill="1" applyBorder="1" applyAlignment="1" applyProtection="1">
      <alignment horizontal="right" vertical="center"/>
    </xf>
    <xf numFmtId="167" fontId="0" fillId="4" borderId="0" xfId="0" applyNumberFormat="1" applyFill="1"/>
    <xf numFmtId="0" fontId="0" fillId="4" borderId="0" xfId="0" applyFill="1"/>
    <xf numFmtId="169" fontId="21" fillId="4" borderId="8" xfId="2" applyNumberFormat="1" applyFont="1" applyFill="1" applyBorder="1" applyAlignment="1" applyProtection="1">
      <alignment horizontal="left" vertical="center"/>
    </xf>
    <xf numFmtId="170" fontId="21" fillId="4" borderId="9" xfId="2" applyNumberFormat="1" applyFont="1" applyFill="1" applyBorder="1" applyAlignment="1">
      <alignment vertical="center"/>
    </xf>
    <xf numFmtId="0" fontId="0" fillId="4" borderId="0" xfId="0" quotePrefix="1" applyFill="1"/>
    <xf numFmtId="170" fontId="21" fillId="4" borderId="0" xfId="2" applyNumberFormat="1" applyFont="1" applyFill="1" applyBorder="1" applyAlignment="1">
      <alignment vertical="center"/>
    </xf>
    <xf numFmtId="170" fontId="21" fillId="4" borderId="7" xfId="2" applyNumberFormat="1" applyFont="1" applyFill="1" applyBorder="1" applyAlignment="1">
      <alignment vertical="center"/>
    </xf>
    <xf numFmtId="0" fontId="20" fillId="2" borderId="4" xfId="0" applyFont="1" applyFill="1" applyBorder="1" applyAlignment="1" applyProtection="1">
      <alignment horizontal="right" vertical="center"/>
    </xf>
    <xf numFmtId="0" fontId="20" fillId="3" borderId="6" xfId="0" applyFont="1" applyFill="1" applyBorder="1" applyAlignment="1" applyProtection="1">
      <alignment horizontal="right" vertical="center"/>
    </xf>
    <xf numFmtId="167" fontId="21" fillId="4" borderId="0" xfId="0" applyNumberFormat="1" applyFont="1" applyFill="1" applyBorder="1" applyAlignment="1">
      <alignment vertical="center"/>
    </xf>
    <xf numFmtId="167" fontId="19" fillId="4" borderId="0" xfId="0" applyNumberFormat="1" applyFont="1" applyFill="1" applyBorder="1" applyAlignment="1">
      <alignment vertical="center"/>
    </xf>
    <xf numFmtId="167" fontId="19" fillId="4" borderId="7" xfId="0" applyNumberFormat="1" applyFont="1" applyFill="1" applyBorder="1" applyAlignment="1">
      <alignment vertical="center"/>
    </xf>
    <xf numFmtId="169" fontId="21" fillId="2" borderId="8" xfId="2" applyNumberFormat="1" applyFont="1" applyFill="1" applyBorder="1" applyAlignment="1" applyProtection="1">
      <alignment horizontal="left" vertical="center"/>
    </xf>
    <xf numFmtId="170" fontId="21" fillId="2" borderId="9" xfId="2" applyNumberFormat="1" applyFont="1" applyFill="1" applyBorder="1" applyAlignment="1">
      <alignment vertical="center"/>
    </xf>
    <xf numFmtId="170" fontId="21" fillId="2" borderId="0" xfId="2" applyNumberFormat="1" applyFont="1" applyFill="1" applyBorder="1" applyAlignment="1">
      <alignment vertical="center"/>
    </xf>
    <xf numFmtId="170" fontId="21" fillId="3" borderId="7" xfId="2" applyNumberFormat="1" applyFont="1" applyFill="1" applyBorder="1" applyAlignment="1">
      <alignment vertical="center"/>
    </xf>
    <xf numFmtId="167" fontId="21" fillId="2" borderId="0" xfId="0" applyNumberFormat="1" applyFont="1" applyFill="1" applyBorder="1" applyAlignment="1">
      <alignment vertical="center"/>
    </xf>
    <xf numFmtId="167" fontId="19" fillId="2" borderId="0" xfId="0" applyNumberFormat="1" applyFont="1" applyFill="1" applyBorder="1" applyAlignment="1">
      <alignment vertical="center"/>
    </xf>
    <xf numFmtId="167" fontId="19" fillId="3" borderId="7" xfId="0" applyNumberFormat="1" applyFont="1" applyFill="1" applyBorder="1" applyAlignment="1">
      <alignment vertical="center"/>
    </xf>
    <xf numFmtId="169" fontId="21" fillId="2" borderId="10" xfId="2" applyNumberFormat="1" applyFont="1" applyFill="1" applyBorder="1" applyAlignment="1" applyProtection="1">
      <alignment horizontal="left" vertical="center"/>
    </xf>
    <xf numFmtId="170" fontId="21" fillId="2" borderId="11" xfId="2" applyNumberFormat="1" applyFont="1" applyFill="1" applyBorder="1" applyAlignment="1">
      <alignment vertical="center"/>
    </xf>
    <xf numFmtId="170" fontId="21" fillId="2" borderId="2" xfId="2" applyNumberFormat="1" applyFont="1" applyFill="1" applyBorder="1" applyAlignment="1">
      <alignment vertical="center"/>
    </xf>
    <xf numFmtId="170" fontId="21" fillId="3" borderId="6" xfId="2" applyNumberFormat="1" applyFont="1" applyFill="1" applyBorder="1" applyAlignment="1">
      <alignment vertical="center"/>
    </xf>
    <xf numFmtId="167" fontId="21" fillId="2" borderId="2" xfId="0" applyNumberFormat="1" applyFont="1" applyFill="1" applyBorder="1" applyAlignment="1">
      <alignment vertical="center"/>
    </xf>
    <xf numFmtId="167" fontId="19" fillId="2" borderId="2" xfId="0" applyNumberFormat="1" applyFont="1" applyFill="1" applyBorder="1" applyAlignment="1">
      <alignment vertical="center"/>
    </xf>
    <xf numFmtId="167" fontId="19" fillId="3" borderId="6" xfId="0" applyNumberFormat="1" applyFont="1" applyFill="1" applyBorder="1" applyAlignment="1">
      <alignment vertical="center"/>
    </xf>
    <xf numFmtId="0" fontId="7" fillId="2" borderId="0" xfId="0" applyFont="1" applyFill="1" applyAlignment="1" applyProtection="1">
      <alignment horizontal="center" vertical="center"/>
    </xf>
    <xf numFmtId="0" fontId="22" fillId="2" borderId="0" xfId="4" applyFont="1" applyFill="1" applyAlignment="1">
      <alignment vertical="center"/>
    </xf>
    <xf numFmtId="0" fontId="17" fillId="2" borderId="0" xfId="4" applyFont="1" applyFill="1"/>
    <xf numFmtId="0" fontId="23" fillId="2" borderId="5" xfId="4" applyFont="1" applyFill="1" applyBorder="1" applyAlignment="1" applyProtection="1">
      <alignment horizontal="left" vertical="center"/>
    </xf>
    <xf numFmtId="0" fontId="20" fillId="2" borderId="0" xfId="4" applyFont="1" applyFill="1" applyBorder="1" applyAlignment="1" applyProtection="1">
      <alignment horizontal="center" vertical="center"/>
    </xf>
    <xf numFmtId="0" fontId="20" fillId="2" borderId="3" xfId="4" applyFont="1" applyFill="1" applyBorder="1" applyAlignment="1" applyProtection="1">
      <alignment horizontal="right" vertical="center"/>
    </xf>
    <xf numFmtId="0" fontId="15" fillId="2" borderId="3" xfId="4" applyFont="1" applyFill="1" applyBorder="1" applyAlignment="1">
      <alignment vertical="center"/>
    </xf>
    <xf numFmtId="0" fontId="15" fillId="2" borderId="5" xfId="4" applyFont="1" applyFill="1" applyBorder="1"/>
    <xf numFmtId="0" fontId="15" fillId="2" borderId="0" xfId="4" applyFont="1" applyFill="1"/>
    <xf numFmtId="0" fontId="11" fillId="2" borderId="0" xfId="4" applyFont="1" applyFill="1" applyBorder="1" applyAlignment="1">
      <alignment horizontal="right" vertical="center" indent="1"/>
    </xf>
    <xf numFmtId="0" fontId="15" fillId="2" borderId="0" xfId="4" applyFont="1" applyFill="1" applyAlignment="1">
      <alignment horizontal="right" indent="1"/>
    </xf>
    <xf numFmtId="0" fontId="17" fillId="2" borderId="0" xfId="4" applyFont="1" applyFill="1" applyAlignment="1">
      <alignment horizontal="right" indent="2"/>
    </xf>
    <xf numFmtId="0" fontId="15" fillId="2" borderId="0" xfId="4" applyFont="1" applyFill="1" applyAlignment="1">
      <alignment horizontal="right" indent="1" readingOrder="1"/>
    </xf>
    <xf numFmtId="0" fontId="17" fillId="2" borderId="0" xfId="4" applyFont="1" applyFill="1" applyBorder="1" applyAlignment="1">
      <alignment horizontal="right" indent="2"/>
    </xf>
    <xf numFmtId="0" fontId="17" fillId="2" borderId="0" xfId="4" applyFont="1" applyFill="1" applyAlignment="1">
      <alignment horizontal="right" indent="1"/>
    </xf>
    <xf numFmtId="0" fontId="25" fillId="2" borderId="5" xfId="4" applyFont="1" applyFill="1" applyBorder="1"/>
    <xf numFmtId="169" fontId="21" fillId="2" borderId="0" xfId="4" applyNumberFormat="1" applyFont="1" applyFill="1"/>
    <xf numFmtId="0" fontId="15" fillId="2" borderId="0" xfId="4" applyFont="1" applyFill="1" applyBorder="1"/>
    <xf numFmtId="0" fontId="17" fillId="2" borderId="2" xfId="4" applyFont="1" applyFill="1" applyBorder="1" applyAlignment="1">
      <alignment horizontal="right" indent="2"/>
    </xf>
    <xf numFmtId="0" fontId="17" fillId="2" borderId="2" xfId="4" applyFont="1" applyFill="1" applyBorder="1" applyAlignment="1">
      <alignment horizontal="right" indent="1"/>
    </xf>
    <xf numFmtId="0" fontId="26" fillId="2" borderId="2" xfId="4" applyFont="1" applyFill="1" applyBorder="1" applyAlignment="1">
      <alignment horizontal="right" indent="1"/>
    </xf>
    <xf numFmtId="169" fontId="22" fillId="2" borderId="0" xfId="2" applyNumberFormat="1" applyFont="1" applyFill="1" applyBorder="1" applyAlignment="1">
      <alignment horizontal="right" vertical="center"/>
    </xf>
    <xf numFmtId="169" fontId="22" fillId="2" borderId="2" xfId="2" applyNumberFormat="1" applyFont="1" applyFill="1" applyBorder="1" applyAlignment="1">
      <alignment horizontal="right" vertical="center"/>
    </xf>
    <xf numFmtId="0" fontId="20" fillId="2" borderId="2" xfId="0" applyFont="1" applyFill="1" applyBorder="1" applyAlignment="1">
      <alignment horizontal="center" vertical="center"/>
    </xf>
    <xf numFmtId="0" fontId="9" fillId="2" borderId="5" xfId="0" applyFont="1" applyFill="1" applyBorder="1" applyAlignment="1">
      <alignment horizontal="center" vertical="center"/>
    </xf>
    <xf numFmtId="0" fontId="20" fillId="2" borderId="2" xfId="0" applyFont="1" applyFill="1" applyBorder="1" applyAlignment="1">
      <alignment horizontal="center" vertical="center" wrapText="1"/>
    </xf>
    <xf numFmtId="0" fontId="11" fillId="2" borderId="5" xfId="0" applyFont="1" applyFill="1" applyBorder="1" applyAlignment="1">
      <alignment horizontal="center" vertical="center" wrapText="1"/>
    </xf>
    <xf numFmtId="0" fontId="14" fillId="2" borderId="0" xfId="0" applyFont="1" applyFill="1" applyBorder="1" applyAlignment="1">
      <alignment horizontal="center" vertical="center"/>
    </xf>
    <xf numFmtId="0" fontId="4" fillId="2" borderId="0" xfId="0" applyFont="1" applyFill="1" applyBorder="1" applyAlignment="1" applyProtection="1">
      <alignment horizontal="center" vertical="center"/>
    </xf>
    <xf numFmtId="0" fontId="20" fillId="2" borderId="5" xfId="0" applyFont="1" applyFill="1" applyBorder="1" applyAlignment="1" applyProtection="1">
      <alignment horizontal="left" vertical="center" wrapText="1"/>
    </xf>
    <xf numFmtId="0" fontId="20" fillId="2" borderId="0" xfId="0" applyFont="1" applyFill="1" applyBorder="1" applyAlignment="1" applyProtection="1">
      <alignment horizontal="left" vertical="center"/>
    </xf>
    <xf numFmtId="0" fontId="20" fillId="2" borderId="2" xfId="0" applyFont="1" applyFill="1" applyBorder="1" applyAlignment="1" applyProtection="1">
      <alignment horizontal="left" vertical="center"/>
    </xf>
    <xf numFmtId="0" fontId="0" fillId="2" borderId="5" xfId="0" applyFill="1" applyBorder="1"/>
    <xf numFmtId="0" fontId="0" fillId="2" borderId="13" xfId="0" applyFill="1" applyBorder="1"/>
    <xf numFmtId="0" fontId="11" fillId="2" borderId="14" xfId="0" applyFont="1" applyFill="1" applyBorder="1" applyAlignment="1">
      <alignment horizontal="center" vertical="center" wrapText="1"/>
    </xf>
    <xf numFmtId="0" fontId="11" fillId="2" borderId="13" xfId="0" applyFont="1" applyFill="1" applyBorder="1" applyAlignment="1">
      <alignment horizontal="center" vertical="center" wrapText="1"/>
    </xf>
    <xf numFmtId="0" fontId="20" fillId="2" borderId="6" xfId="0" applyFont="1" applyFill="1" applyBorder="1" applyAlignment="1">
      <alignment horizontal="center" vertical="center"/>
    </xf>
    <xf numFmtId="0" fontId="20" fillId="2" borderId="4" xfId="0" applyFont="1" applyFill="1" applyBorder="1" applyAlignment="1">
      <alignment horizontal="center" vertical="center" wrapText="1"/>
    </xf>
    <xf numFmtId="0" fontId="20" fillId="2" borderId="6" xfId="0" applyFont="1" applyFill="1" applyBorder="1" applyAlignment="1">
      <alignment horizontal="center" vertical="center" wrapText="1"/>
    </xf>
    <xf numFmtId="0" fontId="24" fillId="2" borderId="0" xfId="4" applyFont="1" applyFill="1" applyBorder="1" applyAlignment="1" applyProtection="1">
      <alignment horizontal="center" vertical="center"/>
    </xf>
    <xf numFmtId="0" fontId="16" fillId="2" borderId="0" xfId="4" applyFont="1" applyFill="1" applyAlignment="1">
      <alignment horizontal="center" vertical="center"/>
    </xf>
  </cellXfs>
  <cellStyles count="12">
    <cellStyle name="1" xfId="1"/>
    <cellStyle name="Comma" xfId="2" builtinId="3"/>
    <cellStyle name="Normal" xfId="0" builtinId="0"/>
    <cellStyle name="Normal - Style1" xfId="3"/>
    <cellStyle name="Normal 2" xfId="4"/>
    <cellStyle name="Normal 2 2" xfId="5"/>
    <cellStyle name="Normal 3" xfId="6"/>
    <cellStyle name="Normal 4 2" xfId="7"/>
    <cellStyle name="Normal 5" xfId="8"/>
    <cellStyle name="Normal 5 2" xfId="9"/>
    <cellStyle name="Percent 2" xfId="10"/>
    <cellStyle name="Percent 2 2" xfId="11"/>
  </cellStyles>
  <dxfs count="0"/>
  <tableStyles count="0" defaultTableStyle="TableStyleMedium9" defaultPivotStyle="PivotStyleLight16"/>
  <colors>
    <mruColors>
      <color rgb="FFFF3333"/>
      <color rgb="FFFF8989"/>
      <color rgb="FFFF4B4B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9" Type="http://schemas.openxmlformats.org/officeDocument/2006/relationships/calcChain" Target="calcChain.xml"/></Relationships>
</file>

<file path=xl/charts/_rels/chart3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14583333333333368"/>
          <c:y val="0.11342592592592604"/>
          <c:w val="0.82083333333333364"/>
          <c:h val="0.51157407407407463"/>
        </c:manualLayout>
      </c:layout>
      <c:barChart>
        <c:barDir val="col"/>
        <c:grouping val="clustered"/>
        <c:ser>
          <c:idx val="0"/>
          <c:order val="0"/>
          <c:dLbls>
            <c:showVal val="1"/>
          </c:dLbls>
          <c:cat>
            <c:strRef>
              <c:f>'10.1 figures workings'!$A$7:$A$16</c:f>
              <c:strCache>
                <c:ptCount val="10"/>
                <c:pt idx="0">
                  <c:v>   China</c:v>
                </c:pt>
                <c:pt idx="1">
                  <c:v>   Germany</c:v>
                </c:pt>
                <c:pt idx="2">
                  <c:v>   United Kingdom</c:v>
                </c:pt>
                <c:pt idx="3">
                  <c:v>   Russia</c:v>
                </c:pt>
                <c:pt idx="4">
                  <c:v>   Italy</c:v>
                </c:pt>
                <c:pt idx="5">
                  <c:v>   France</c:v>
                </c:pt>
                <c:pt idx="6">
                  <c:v>   Japan</c:v>
                </c:pt>
                <c:pt idx="7">
                  <c:v>   Switzerland</c:v>
                </c:pt>
                <c:pt idx="8">
                  <c:v>   India</c:v>
                </c:pt>
                <c:pt idx="9">
                  <c:v>   Korea</c:v>
                </c:pt>
              </c:strCache>
            </c:strRef>
          </c:cat>
          <c:val>
            <c:numRef>
              <c:f>'10.1 figures workings'!$F$7:$F$16</c:f>
              <c:numCache>
                <c:formatCode>#,##0;[Red]#,##0</c:formatCode>
                <c:ptCount val="10"/>
                <c:pt idx="0">
                  <c:v>229551</c:v>
                </c:pt>
                <c:pt idx="1">
                  <c:v>98351</c:v>
                </c:pt>
                <c:pt idx="2">
                  <c:v>91776</c:v>
                </c:pt>
                <c:pt idx="3">
                  <c:v>66378</c:v>
                </c:pt>
                <c:pt idx="4">
                  <c:v>62782</c:v>
                </c:pt>
                <c:pt idx="5">
                  <c:v>56775</c:v>
                </c:pt>
                <c:pt idx="6">
                  <c:v>36438</c:v>
                </c:pt>
                <c:pt idx="7">
                  <c:v>35457</c:v>
                </c:pt>
                <c:pt idx="8">
                  <c:v>31721</c:v>
                </c:pt>
                <c:pt idx="9">
                  <c:v>23933</c:v>
                </c:pt>
              </c:numCache>
            </c:numRef>
          </c:val>
        </c:ser>
        <c:axId val="76412416"/>
        <c:axId val="76413952"/>
      </c:barChart>
      <c:catAx>
        <c:axId val="76412416"/>
        <c:scaling>
          <c:orientation val="minMax"/>
        </c:scaling>
        <c:axPos val="b"/>
        <c:numFmt formatCode="General" sourceLinked="1"/>
        <c:tickLblPos val="nextTo"/>
        <c:crossAx val="76413952"/>
        <c:crosses val="autoZero"/>
        <c:auto val="1"/>
        <c:lblAlgn val="ctr"/>
        <c:lblOffset val="100"/>
      </c:catAx>
      <c:valAx>
        <c:axId val="76413952"/>
        <c:scaling>
          <c:orientation val="minMax"/>
        </c:scaling>
        <c:axPos val="l"/>
        <c:majorGridlines/>
        <c:numFmt formatCode="#,##0;[Red]#,##0" sourceLinked="1"/>
        <c:tickLblPos val="nextTo"/>
        <c:crossAx val="76412416"/>
        <c:crosses val="autoZero"/>
        <c:crossBetween val="between"/>
      </c:valAx>
    </c:plotArea>
    <c:plotVisOnly val="1"/>
    <c:dispBlanksAs val="gap"/>
  </c:chart>
  <c:printSettings>
    <c:headerFooter/>
    <c:pageMargins b="0.75000000000000122" l="0.70000000000000062" r="0.70000000000000062" t="0.75000000000000122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14775240594925634"/>
          <c:y val="0.16702573636628754"/>
          <c:w val="0.82169203849519057"/>
          <c:h val="0.68259988334791477"/>
        </c:manualLayout>
      </c:layout>
      <c:barChart>
        <c:barDir val="col"/>
        <c:grouping val="clustered"/>
        <c:ser>
          <c:idx val="0"/>
          <c:order val="0"/>
          <c:dLbls>
            <c:dLblPos val="outEnd"/>
            <c:showVal val="1"/>
          </c:dLbls>
          <c:cat>
            <c:strRef>
              <c:f>'[3]10.1 (2)fig'!$M$1:$Q$1</c:f>
              <c:strCache>
                <c:ptCount val="5"/>
                <c:pt idx="0">
                  <c:v>2008</c:v>
                </c:pt>
                <c:pt idx="1">
                  <c:v>2009</c:v>
                </c:pt>
                <c:pt idx="2">
                  <c:v>2010</c:v>
                </c:pt>
                <c:pt idx="3">
                  <c:v>2011</c:v>
                </c:pt>
                <c:pt idx="4">
                  <c:v>2012</c:v>
                </c:pt>
              </c:strCache>
            </c:strRef>
          </c:cat>
          <c:val>
            <c:numRef>
              <c:f>'[3]10.1 (2)fig'!$M$4:$Q$4</c:f>
              <c:numCache>
                <c:formatCode>General</c:formatCode>
                <c:ptCount val="5"/>
                <c:pt idx="0">
                  <c:v>41511</c:v>
                </c:pt>
                <c:pt idx="1">
                  <c:v>60666</c:v>
                </c:pt>
                <c:pt idx="2">
                  <c:v>118961</c:v>
                </c:pt>
                <c:pt idx="3">
                  <c:v>198655</c:v>
                </c:pt>
                <c:pt idx="4">
                  <c:v>229551</c:v>
                </c:pt>
              </c:numCache>
            </c:numRef>
          </c:val>
        </c:ser>
        <c:axId val="64980864"/>
        <c:axId val="64982400"/>
      </c:barChart>
      <c:catAx>
        <c:axId val="64980864"/>
        <c:scaling>
          <c:orientation val="minMax"/>
        </c:scaling>
        <c:axPos val="b"/>
        <c:numFmt formatCode="General" sourceLinked="1"/>
        <c:tickLblPos val="nextTo"/>
        <c:crossAx val="64982400"/>
        <c:crosses val="autoZero"/>
        <c:auto val="1"/>
        <c:lblAlgn val="ctr"/>
        <c:lblOffset val="100"/>
      </c:catAx>
      <c:valAx>
        <c:axId val="64982400"/>
        <c:scaling>
          <c:orientation val="minMax"/>
        </c:scaling>
        <c:axPos val="l"/>
        <c:numFmt formatCode="General" sourceLinked="1"/>
        <c:tickLblPos val="nextTo"/>
        <c:crossAx val="64980864"/>
        <c:crosses val="autoZero"/>
        <c:crossBetween val="between"/>
      </c:valAx>
    </c:plotArea>
    <c:plotVisOnly val="1"/>
    <c:dispBlanksAs val="gap"/>
  </c:chart>
  <c:printSettings>
    <c:headerFooter/>
    <c:pageMargins b="0.75000000000000122" l="0.70000000000000062" r="0.70000000000000062" t="0.75000000000000122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4"/>
  <c:chart>
    <c:title>
      <c:tx>
        <c:rich>
          <a:bodyPr/>
          <a:lstStyle/>
          <a:p>
            <a:pPr>
              <a:defRPr sz="1050"/>
            </a:pPr>
            <a:r>
              <a:rPr lang="en-US" sz="1050"/>
              <a:t>Figure 10.14: Monthly tourist arrivals by continent, 2013 </a:t>
            </a:r>
          </a:p>
        </c:rich>
      </c:tx>
      <c:layout>
        <c:manualLayout>
          <c:xMode val="edge"/>
          <c:yMode val="edge"/>
          <c:x val="0.2639750278128819"/>
          <c:y val="3.7036856879376641E-2"/>
        </c:manualLayout>
      </c:layout>
    </c:title>
    <c:plotArea>
      <c:layout>
        <c:manualLayout>
          <c:layoutTarget val="inner"/>
          <c:xMode val="edge"/>
          <c:yMode val="edge"/>
          <c:x val="9.1370996945819224E-2"/>
          <c:y val="0.14862277631962667"/>
          <c:w val="0.89444701570498131"/>
          <c:h val="0.71963692038495153"/>
        </c:manualLayout>
      </c:layout>
      <c:lineChart>
        <c:grouping val="standard"/>
        <c:ser>
          <c:idx val="0"/>
          <c:order val="0"/>
          <c:tx>
            <c:strRef>
              <c:f>'10.9 '!$V$19</c:f>
              <c:strCache>
                <c:ptCount val="1"/>
                <c:pt idx="0">
                  <c:v>Europe</c:v>
                </c:pt>
              </c:strCache>
            </c:strRef>
          </c:tx>
          <c:spPr>
            <a:ln>
              <a:solidFill>
                <a:schemeClr val="tx1">
                  <a:lumMod val="65000"/>
                  <a:lumOff val="35000"/>
                </a:schemeClr>
              </a:solidFill>
            </a:ln>
          </c:spPr>
          <c:marker>
            <c:symbol val="diamond"/>
            <c:size val="5"/>
            <c:spPr>
              <a:solidFill>
                <a:schemeClr val="tx1">
                  <a:lumMod val="75000"/>
                  <a:lumOff val="25000"/>
                </a:schemeClr>
              </a:solidFill>
              <a:ln>
                <a:solidFill>
                  <a:schemeClr val="tx1">
                    <a:lumMod val="75000"/>
                    <a:lumOff val="25000"/>
                  </a:schemeClr>
                </a:solidFill>
              </a:ln>
            </c:spPr>
          </c:marker>
          <c:cat>
            <c:strRef>
              <c:f>'10.9 '!$W$18:$AH$18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'10.9 '!$W$19:$AH$19</c:f>
              <c:numCache>
                <c:formatCode>_(* #,##0_);_(* \(#,##0\);_(* "-"??_);_(@_)</c:formatCode>
                <c:ptCount val="12"/>
                <c:pt idx="0">
                  <c:v>52321</c:v>
                </c:pt>
                <c:pt idx="1">
                  <c:v>54095</c:v>
                </c:pt>
                <c:pt idx="2">
                  <c:v>61204</c:v>
                </c:pt>
                <c:pt idx="3">
                  <c:v>48978</c:v>
                </c:pt>
                <c:pt idx="4">
                  <c:v>35167</c:v>
                </c:pt>
                <c:pt idx="5">
                  <c:v>24238</c:v>
                </c:pt>
                <c:pt idx="6">
                  <c:v>32701</c:v>
                </c:pt>
                <c:pt idx="7">
                  <c:v>36640</c:v>
                </c:pt>
                <c:pt idx="8">
                  <c:v>35574</c:v>
                </c:pt>
                <c:pt idx="9">
                  <c:v>46530</c:v>
                </c:pt>
                <c:pt idx="10">
                  <c:v>45894</c:v>
                </c:pt>
                <c:pt idx="11">
                  <c:v>53932</c:v>
                </c:pt>
              </c:numCache>
            </c:numRef>
          </c:val>
        </c:ser>
        <c:ser>
          <c:idx val="1"/>
          <c:order val="1"/>
          <c:tx>
            <c:strRef>
              <c:f>'10.9 '!$V$20</c:f>
              <c:strCache>
                <c:ptCount val="1"/>
                <c:pt idx="0">
                  <c:v>Asia</c:v>
                </c:pt>
              </c:strCache>
            </c:strRef>
          </c:tx>
          <c:spPr>
            <a:ln>
              <a:solidFill>
                <a:schemeClr val="accent5">
                  <a:lumMod val="75000"/>
                </a:schemeClr>
              </a:solidFill>
            </a:ln>
          </c:spPr>
          <c:marker>
            <c:symbol val="square"/>
            <c:size val="5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solidFill>
                  <a:srgbClr val="4BACC6">
                    <a:lumMod val="75000"/>
                  </a:srgbClr>
                </a:solidFill>
              </a:ln>
            </c:spPr>
          </c:marker>
          <c:cat>
            <c:strRef>
              <c:f>'10.9 '!$W$18:$AH$18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'10.9 '!$W$20:$AH$20</c:f>
              <c:numCache>
                <c:formatCode>_(* #,##0_);_(* \(#,##0\);_(* "-"??_);_(@_)</c:formatCode>
                <c:ptCount val="12"/>
                <c:pt idx="0">
                  <c:v>29774</c:v>
                </c:pt>
                <c:pt idx="1">
                  <c:v>44791</c:v>
                </c:pt>
                <c:pt idx="2">
                  <c:v>30647</c:v>
                </c:pt>
                <c:pt idx="3">
                  <c:v>33903</c:v>
                </c:pt>
                <c:pt idx="4">
                  <c:v>37946</c:v>
                </c:pt>
                <c:pt idx="5">
                  <c:v>42613</c:v>
                </c:pt>
                <c:pt idx="6">
                  <c:v>49319</c:v>
                </c:pt>
                <c:pt idx="7">
                  <c:v>51450</c:v>
                </c:pt>
                <c:pt idx="8">
                  <c:v>49179</c:v>
                </c:pt>
                <c:pt idx="9">
                  <c:v>51598</c:v>
                </c:pt>
                <c:pt idx="10">
                  <c:v>42348</c:v>
                </c:pt>
                <c:pt idx="11">
                  <c:v>42185</c:v>
                </c:pt>
              </c:numCache>
            </c:numRef>
          </c:val>
        </c:ser>
        <c:ser>
          <c:idx val="2"/>
          <c:order val="2"/>
          <c:tx>
            <c:strRef>
              <c:f>'10.9 '!$V$21</c:f>
              <c:strCache>
                <c:ptCount val="1"/>
                <c:pt idx="0">
                  <c:v>Other continents</c:v>
                </c:pt>
              </c:strCache>
            </c:strRef>
          </c:tx>
          <c:spPr>
            <a:ln>
              <a:solidFill>
                <a:schemeClr val="accent5">
                  <a:lumMod val="60000"/>
                  <a:lumOff val="40000"/>
                </a:schemeClr>
              </a:solidFill>
            </a:ln>
          </c:spPr>
          <c:marker>
            <c:spPr>
              <a:solidFill>
                <a:schemeClr val="accent5">
                  <a:lumMod val="75000"/>
                </a:schemeClr>
              </a:solidFill>
              <a:ln>
                <a:solidFill>
                  <a:srgbClr val="4BACC6">
                    <a:lumMod val="60000"/>
                    <a:lumOff val="40000"/>
                  </a:srgbClr>
                </a:solidFill>
              </a:ln>
            </c:spPr>
          </c:marker>
          <c:cat>
            <c:strRef>
              <c:f>'10.9 '!$W$18:$AH$18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'10.9 '!$W$21:$AH$21</c:f>
              <c:numCache>
                <c:formatCode>_(* #,##0_);_(* \(#,##0\);_(* "-"??_);_(@_)</c:formatCode>
                <c:ptCount val="12"/>
                <c:pt idx="0">
                  <c:v>6774</c:v>
                </c:pt>
                <c:pt idx="1">
                  <c:v>5859</c:v>
                </c:pt>
                <c:pt idx="2">
                  <c:v>7647</c:v>
                </c:pt>
                <c:pt idx="3">
                  <c:v>7755</c:v>
                </c:pt>
                <c:pt idx="4">
                  <c:v>6313</c:v>
                </c:pt>
                <c:pt idx="5">
                  <c:v>9642</c:v>
                </c:pt>
                <c:pt idx="6">
                  <c:v>5952</c:v>
                </c:pt>
                <c:pt idx="7">
                  <c:v>10248</c:v>
                </c:pt>
                <c:pt idx="8">
                  <c:v>7522</c:v>
                </c:pt>
                <c:pt idx="9">
                  <c:v>9168</c:v>
                </c:pt>
                <c:pt idx="10">
                  <c:v>6320</c:v>
                </c:pt>
                <c:pt idx="11">
                  <c:v>8852</c:v>
                </c:pt>
              </c:numCache>
            </c:numRef>
          </c:val>
        </c:ser>
        <c:marker val="1"/>
        <c:axId val="69911296"/>
        <c:axId val="69913216"/>
      </c:lineChart>
      <c:catAx>
        <c:axId val="69911296"/>
        <c:scaling>
          <c:orientation val="minMax"/>
        </c:scaling>
        <c:axPos val="b"/>
        <c:numFmt formatCode="General" sourceLinked="1"/>
        <c:majorTickMark val="none"/>
        <c:tickLblPos val="nextTo"/>
        <c:crossAx val="69913216"/>
        <c:crosses val="autoZero"/>
        <c:auto val="1"/>
        <c:lblAlgn val="ctr"/>
        <c:lblOffset val="100"/>
      </c:catAx>
      <c:valAx>
        <c:axId val="69913216"/>
        <c:scaling>
          <c:orientation val="minMax"/>
        </c:scaling>
        <c:axPos val="l"/>
        <c:majorGridlines>
          <c:spPr>
            <a:ln>
              <a:solidFill>
                <a:schemeClr val="bg1">
                  <a:lumMod val="85000"/>
                </a:schemeClr>
              </a:solidFill>
            </a:ln>
          </c:spPr>
        </c:majorGridlines>
        <c:numFmt formatCode="_(* #,##0_);_(* \(#,##0\);_(* &quot;-&quot;??_);_(@_)" sourceLinked="1"/>
        <c:majorTickMark val="none"/>
        <c:tickLblPos val="nextTo"/>
        <c:spPr>
          <a:ln>
            <a:solidFill>
              <a:schemeClr val="bg1">
                <a:lumMod val="65000"/>
              </a:schemeClr>
            </a:solidFill>
          </a:ln>
        </c:spPr>
        <c:crossAx val="69911296"/>
        <c:crosses val="autoZero"/>
        <c:crossBetween val="between"/>
      </c:valAx>
      <c:spPr>
        <a:ln>
          <a:solidFill>
            <a:schemeClr val="bg1">
              <a:lumMod val="65000"/>
            </a:schemeClr>
          </a:solidFill>
        </a:ln>
      </c:spPr>
    </c:plotArea>
    <c:legend>
      <c:legendPos val="r"/>
      <c:layout>
        <c:manualLayout>
          <c:xMode val="edge"/>
          <c:yMode val="edge"/>
          <c:x val="0.22041608213593203"/>
          <c:y val="0.16179150832705513"/>
          <c:w val="0.61132939197738667"/>
          <c:h val="9.9092613423321985E-2"/>
        </c:manualLayout>
      </c:layout>
    </c:legend>
    <c:plotVisOnly val="1"/>
    <c:dispBlanksAs val="zero"/>
  </c:chart>
  <c:spPr>
    <a:solidFill>
      <a:schemeClr val="accent5">
        <a:lumMod val="60000"/>
        <a:lumOff val="40000"/>
      </a:schemeClr>
    </a:solidFill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238125</xdr:colOff>
      <xdr:row>4</xdr:row>
      <xdr:rowOff>114300</xdr:rowOff>
    </xdr:from>
    <xdr:to>
      <xdr:col>20</xdr:col>
      <xdr:colOff>542925</xdr:colOff>
      <xdr:row>21</xdr:row>
      <xdr:rowOff>66675</xdr:rowOff>
    </xdr:to>
    <xdr:graphicFrame macro="">
      <xdr:nvGraphicFramePr>
        <xdr:cNvPr id="2416769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190500</xdr:colOff>
      <xdr:row>25</xdr:row>
      <xdr:rowOff>28575</xdr:rowOff>
    </xdr:from>
    <xdr:to>
      <xdr:col>20</xdr:col>
      <xdr:colOff>495300</xdr:colOff>
      <xdr:row>42</xdr:row>
      <xdr:rowOff>19050</xdr:rowOff>
    </xdr:to>
    <xdr:graphicFrame macro="">
      <xdr:nvGraphicFramePr>
        <xdr:cNvPr id="2416770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247649</xdr:colOff>
      <xdr:row>89</xdr:row>
      <xdr:rowOff>57150</xdr:rowOff>
    </xdr:from>
    <xdr:to>
      <xdr:col>13</xdr:col>
      <xdr:colOff>385281</xdr:colOff>
      <xdr:row>106</xdr:row>
      <xdr:rowOff>94180</xdr:rowOff>
    </xdr:to>
    <xdr:graphicFrame macro="">
      <xdr:nvGraphicFramePr>
        <xdr:cNvPr id="2321455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0.0069</cdr:x>
      <cdr:y>0.04514</cdr:y>
    </cdr:from>
    <cdr:to>
      <cdr:x>0.12114</cdr:x>
      <cdr:y>0.09028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39099" y="111357"/>
          <a:ext cx="647446" cy="11135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/>
        <a:p xmlns:a="http://schemas.openxmlformats.org/drawingml/2006/main">
          <a:r>
            <a:rPr lang="en-US" sz="1000">
              <a:latin typeface="+mn-lt"/>
            </a:rPr>
            <a:t>Number</a:t>
          </a:r>
          <a:endParaRPr lang="en-US" sz="1100">
            <a:latin typeface="+mn-lt"/>
          </a:endParaRPr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noFill/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noFill/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92D050"/>
  </sheetPr>
  <dimension ref="A1:U62"/>
  <sheetViews>
    <sheetView topLeftCell="A27" workbookViewId="0">
      <selection activeCell="M20" sqref="M20"/>
    </sheetView>
  </sheetViews>
  <sheetFormatPr defaultColWidth="9.109375" defaultRowHeight="13.2"/>
  <cols>
    <col min="1" max="1" width="16.33203125" style="1" customWidth="1"/>
    <col min="2" max="2" width="8.109375" style="1" customWidth="1"/>
    <col min="3" max="4" width="8.6640625" style="1" customWidth="1"/>
    <col min="5" max="6" width="9.109375" style="1" customWidth="1"/>
    <col min="7" max="7" width="7" style="1" customWidth="1"/>
    <col min="8" max="9" width="7.33203125" style="1" customWidth="1"/>
    <col min="10" max="11" width="7.88671875" style="1" customWidth="1"/>
    <col min="12" max="16384" width="9.109375" style="1"/>
  </cols>
  <sheetData>
    <row r="1" spans="1:21" ht="24" customHeight="1">
      <c r="A1" s="94" t="s">
        <v>174</v>
      </c>
      <c r="B1" s="94"/>
      <c r="C1" s="94"/>
      <c r="D1" s="94"/>
      <c r="E1" s="94"/>
      <c r="F1" s="94"/>
      <c r="G1" s="94"/>
      <c r="H1" s="94"/>
      <c r="I1" s="94"/>
      <c r="J1" s="94"/>
      <c r="K1" s="94"/>
      <c r="M1" s="2" t="s">
        <v>42</v>
      </c>
      <c r="N1" s="2" t="s">
        <v>50</v>
      </c>
      <c r="O1" s="2" t="s">
        <v>132</v>
      </c>
      <c r="P1" s="2" t="s">
        <v>171</v>
      </c>
      <c r="Q1" s="40" t="s">
        <v>173</v>
      </c>
      <c r="S1" s="41">
        <f>Q2/M2</f>
        <v>5.5298836452988356</v>
      </c>
      <c r="T1" s="42" t="s">
        <v>177</v>
      </c>
      <c r="U1" s="42"/>
    </row>
    <row r="2" spans="1:21" ht="9.75" customHeight="1">
      <c r="A2" s="95" t="s">
        <v>175</v>
      </c>
      <c r="B2" s="95"/>
      <c r="C2" s="95"/>
      <c r="D2" s="95"/>
      <c r="E2" s="95"/>
      <c r="F2" s="95"/>
      <c r="G2" s="95"/>
      <c r="H2" s="95"/>
      <c r="I2" s="95"/>
      <c r="J2" s="95"/>
      <c r="K2" s="95"/>
      <c r="L2" s="43" t="s">
        <v>78</v>
      </c>
      <c r="M2" s="44">
        <f>M4/1000</f>
        <v>41.511000000000003</v>
      </c>
      <c r="N2" s="44">
        <f>N4/1000</f>
        <v>60.665999999999997</v>
      </c>
      <c r="O2" s="44">
        <f>O4/1000</f>
        <v>118.961</v>
      </c>
      <c r="P2" s="44">
        <f>P4/1000</f>
        <v>198.655</v>
      </c>
      <c r="Q2" s="44">
        <f>Q4/1000</f>
        <v>229.55099999999999</v>
      </c>
      <c r="R2" s="45" t="s">
        <v>178</v>
      </c>
    </row>
    <row r="3" spans="1:21" ht="3.75" customHeight="1">
      <c r="A3" s="9"/>
      <c r="B3" s="9"/>
      <c r="C3" s="9"/>
      <c r="D3" s="9"/>
      <c r="E3" s="9"/>
      <c r="F3" s="9"/>
      <c r="G3" s="9"/>
      <c r="H3" s="9"/>
      <c r="I3" s="9"/>
      <c r="J3" s="9"/>
      <c r="K3" s="9"/>
    </row>
    <row r="4" spans="1:21" ht="21" customHeight="1">
      <c r="A4" s="96" t="s">
        <v>179</v>
      </c>
      <c r="B4" s="91" t="s">
        <v>49</v>
      </c>
      <c r="C4" s="99"/>
      <c r="D4" s="99"/>
      <c r="E4" s="99"/>
      <c r="F4" s="100"/>
      <c r="G4" s="101" t="s">
        <v>172</v>
      </c>
      <c r="H4" s="93"/>
      <c r="I4" s="93"/>
      <c r="J4" s="93"/>
      <c r="K4" s="102"/>
      <c r="L4" s="43" t="s">
        <v>78</v>
      </c>
      <c r="M4" s="44">
        <v>41511</v>
      </c>
      <c r="N4" s="44">
        <v>60666</v>
      </c>
      <c r="O4" s="46">
        <v>118961</v>
      </c>
      <c r="P4" s="46">
        <v>198655</v>
      </c>
      <c r="Q4" s="47">
        <v>229551</v>
      </c>
    </row>
    <row r="5" spans="1:21" ht="13.5" customHeight="1">
      <c r="A5" s="97"/>
      <c r="B5" s="90" t="s">
        <v>168</v>
      </c>
      <c r="C5" s="90"/>
      <c r="D5" s="90"/>
      <c r="E5" s="90"/>
      <c r="F5" s="103"/>
      <c r="G5" s="104" t="s">
        <v>169</v>
      </c>
      <c r="H5" s="92"/>
      <c r="I5" s="92"/>
      <c r="J5" s="92"/>
      <c r="K5" s="105"/>
    </row>
    <row r="6" spans="1:21" ht="15" customHeight="1">
      <c r="A6" s="98"/>
      <c r="B6" s="2" t="s">
        <v>42</v>
      </c>
      <c r="C6" s="2" t="s">
        <v>50</v>
      </c>
      <c r="D6" s="2" t="s">
        <v>132</v>
      </c>
      <c r="E6" s="2" t="s">
        <v>171</v>
      </c>
      <c r="F6" s="40" t="s">
        <v>173</v>
      </c>
      <c r="G6" s="48">
        <v>2008</v>
      </c>
      <c r="H6" s="3">
        <v>2009</v>
      </c>
      <c r="I6" s="3">
        <v>2010</v>
      </c>
      <c r="J6" s="3">
        <v>2011</v>
      </c>
      <c r="K6" s="49">
        <v>2012</v>
      </c>
    </row>
    <row r="7" spans="1:21" ht="12.75" customHeight="1">
      <c r="A7" s="43" t="s">
        <v>78</v>
      </c>
      <c r="B7" s="44">
        <v>41511</v>
      </c>
      <c r="C7" s="44">
        <v>60666</v>
      </c>
      <c r="D7" s="46">
        <v>118961</v>
      </c>
      <c r="E7" s="46">
        <v>198655</v>
      </c>
      <c r="F7" s="47">
        <v>229551</v>
      </c>
      <c r="G7" s="50">
        <v>15.385256837891928</v>
      </c>
      <c r="H7" s="50">
        <f t="shared" ref="H7:K38" si="0">(C7-B7)/B7*100</f>
        <v>46.144395461443956</v>
      </c>
      <c r="I7" s="51">
        <f t="shared" si="0"/>
        <v>96.091715293574651</v>
      </c>
      <c r="J7" s="51">
        <f t="shared" si="0"/>
        <v>66.991703163221558</v>
      </c>
      <c r="K7" s="52">
        <f t="shared" si="0"/>
        <v>15.552591175656289</v>
      </c>
    </row>
    <row r="8" spans="1:21" ht="12.75" customHeight="1">
      <c r="A8" s="43" t="s">
        <v>57</v>
      </c>
      <c r="B8" s="44">
        <v>69240</v>
      </c>
      <c r="C8" s="44">
        <v>69085</v>
      </c>
      <c r="D8" s="46">
        <v>77108</v>
      </c>
      <c r="E8" s="46">
        <v>90517</v>
      </c>
      <c r="F8" s="47">
        <v>98351</v>
      </c>
      <c r="G8" s="50">
        <v>-4.1912853367280576</v>
      </c>
      <c r="H8" s="50">
        <f t="shared" si="0"/>
        <v>-0.2238590410167533</v>
      </c>
      <c r="I8" s="51">
        <f t="shared" si="0"/>
        <v>11.613230078888325</v>
      </c>
      <c r="J8" s="51">
        <f t="shared" si="0"/>
        <v>17.389894693157647</v>
      </c>
      <c r="K8" s="52">
        <f t="shared" si="0"/>
        <v>8.654727841179005</v>
      </c>
    </row>
    <row r="9" spans="1:21" ht="12.75" customHeight="1">
      <c r="A9" s="43" t="s">
        <v>75</v>
      </c>
      <c r="B9" s="44">
        <v>116821</v>
      </c>
      <c r="C9" s="44">
        <v>105950</v>
      </c>
      <c r="D9" s="46">
        <v>114158</v>
      </c>
      <c r="E9" s="46">
        <v>104508</v>
      </c>
      <c r="F9" s="47">
        <v>91776</v>
      </c>
      <c r="G9" s="50">
        <v>-6.6611802681410701</v>
      </c>
      <c r="H9" s="50">
        <f t="shared" si="0"/>
        <v>-9.3056899016443957</v>
      </c>
      <c r="I9" s="51">
        <f t="shared" si="0"/>
        <v>7.7470504955167536</v>
      </c>
      <c r="J9" s="51">
        <f t="shared" si="0"/>
        <v>-8.4531964470295549</v>
      </c>
      <c r="K9" s="52">
        <f t="shared" si="0"/>
        <v>-12.182799402916524</v>
      </c>
    </row>
    <row r="10" spans="1:21" ht="12.75" customHeight="1">
      <c r="A10" s="43" t="s">
        <v>67</v>
      </c>
      <c r="B10" s="44">
        <v>48978</v>
      </c>
      <c r="C10" s="44">
        <v>40014</v>
      </c>
      <c r="D10" s="46">
        <v>49111</v>
      </c>
      <c r="E10" s="46">
        <v>63936</v>
      </c>
      <c r="F10" s="47">
        <v>66378</v>
      </c>
      <c r="G10" s="50">
        <v>53.801224682053693</v>
      </c>
      <c r="H10" s="50">
        <f t="shared" si="0"/>
        <v>-18.302094818081589</v>
      </c>
      <c r="I10" s="51">
        <f t="shared" si="0"/>
        <v>22.734542909981506</v>
      </c>
      <c r="J10" s="51">
        <f t="shared" si="0"/>
        <v>30.186719879456742</v>
      </c>
      <c r="K10" s="52">
        <f t="shared" si="0"/>
        <v>3.8194444444444446</v>
      </c>
    </row>
    <row r="11" spans="1:21" ht="12.75" customHeight="1">
      <c r="A11" s="43" t="s">
        <v>62</v>
      </c>
      <c r="B11" s="44">
        <v>103824</v>
      </c>
      <c r="C11" s="44">
        <v>89292</v>
      </c>
      <c r="D11" s="46">
        <v>89596</v>
      </c>
      <c r="E11" s="46">
        <v>83088</v>
      </c>
      <c r="F11" s="47">
        <v>62782</v>
      </c>
      <c r="G11" s="50">
        <v>-11.44772529553247</v>
      </c>
      <c r="H11" s="50">
        <f t="shared" si="0"/>
        <v>-13.996763754045308</v>
      </c>
      <c r="I11" s="51">
        <f t="shared" si="0"/>
        <v>0.34045603189535456</v>
      </c>
      <c r="J11" s="51">
        <f t="shared" si="0"/>
        <v>-7.2637171302290273</v>
      </c>
      <c r="K11" s="52">
        <f t="shared" si="0"/>
        <v>-24.439148854226843</v>
      </c>
    </row>
    <row r="12" spans="1:21" ht="12.75" customHeight="1">
      <c r="A12" s="43" t="s">
        <v>56</v>
      </c>
      <c r="B12" s="44">
        <v>48100</v>
      </c>
      <c r="C12" s="44">
        <v>50373</v>
      </c>
      <c r="D12" s="46">
        <v>54789</v>
      </c>
      <c r="E12" s="46">
        <v>59694</v>
      </c>
      <c r="F12" s="47">
        <v>56775</v>
      </c>
      <c r="G12" s="50">
        <v>6.1786715525043601</v>
      </c>
      <c r="H12" s="50">
        <f t="shared" si="0"/>
        <v>4.7255717255717258</v>
      </c>
      <c r="I12" s="51">
        <f t="shared" si="0"/>
        <v>8.766601155380858</v>
      </c>
      <c r="J12" s="51">
        <f t="shared" si="0"/>
        <v>8.9525269670919343</v>
      </c>
      <c r="K12" s="52">
        <f t="shared" si="0"/>
        <v>-4.889938687305257</v>
      </c>
    </row>
    <row r="13" spans="1:21" ht="12.75" customHeight="1">
      <c r="A13" s="43" t="s">
        <v>81</v>
      </c>
      <c r="B13" s="44">
        <v>38193</v>
      </c>
      <c r="C13" s="44">
        <v>36641</v>
      </c>
      <c r="D13" s="46">
        <v>38791</v>
      </c>
      <c r="E13" s="46">
        <v>35782</v>
      </c>
      <c r="F13" s="47">
        <v>36438</v>
      </c>
      <c r="G13" s="50">
        <v>-7.120449405413293</v>
      </c>
      <c r="H13" s="50">
        <f t="shared" si="0"/>
        <v>-4.063571858717566</v>
      </c>
      <c r="I13" s="51">
        <f t="shared" si="0"/>
        <v>5.8677437842853637</v>
      </c>
      <c r="J13" s="51">
        <f t="shared" si="0"/>
        <v>-7.7569539326132348</v>
      </c>
      <c r="K13" s="52">
        <f t="shared" si="0"/>
        <v>1.8333240176625119</v>
      </c>
    </row>
    <row r="14" spans="1:21" ht="12.75" customHeight="1">
      <c r="A14" s="43" t="s">
        <v>72</v>
      </c>
      <c r="B14" s="44">
        <v>26983</v>
      </c>
      <c r="C14" s="44">
        <v>26783</v>
      </c>
      <c r="D14" s="46">
        <v>27766</v>
      </c>
      <c r="E14" s="46">
        <v>32504</v>
      </c>
      <c r="F14" s="47">
        <v>35457</v>
      </c>
      <c r="G14" s="50">
        <v>3.0554176373983117</v>
      </c>
      <c r="H14" s="50">
        <f t="shared" si="0"/>
        <v>-0.74120742689841757</v>
      </c>
      <c r="I14" s="51">
        <f t="shared" si="0"/>
        <v>3.6702385841765301</v>
      </c>
      <c r="J14" s="51">
        <f t="shared" si="0"/>
        <v>17.064035150903983</v>
      </c>
      <c r="K14" s="52">
        <f t="shared" si="0"/>
        <v>9.0850356879153349</v>
      </c>
    </row>
    <row r="15" spans="1:21" ht="12.75" customHeight="1">
      <c r="A15" s="43" t="s">
        <v>79</v>
      </c>
      <c r="B15" s="44">
        <v>16663</v>
      </c>
      <c r="C15" s="44">
        <v>15850</v>
      </c>
      <c r="D15" s="46">
        <v>25756</v>
      </c>
      <c r="E15" s="46">
        <v>30978</v>
      </c>
      <c r="F15" s="47">
        <v>31721</v>
      </c>
      <c r="G15" s="50">
        <v>-3.832169446528539</v>
      </c>
      <c r="H15" s="50">
        <f t="shared" si="0"/>
        <v>-4.8790733961471524</v>
      </c>
      <c r="I15" s="51">
        <f t="shared" si="0"/>
        <v>62.498422712933753</v>
      </c>
      <c r="J15" s="51">
        <f t="shared" si="0"/>
        <v>20.274887404876534</v>
      </c>
      <c r="K15" s="52">
        <f t="shared" si="0"/>
        <v>2.3984763380463554</v>
      </c>
    </row>
    <row r="16" spans="1:21" ht="12.75" customHeight="1">
      <c r="A16" s="43" t="s">
        <v>82</v>
      </c>
      <c r="B16" s="44">
        <v>20934</v>
      </c>
      <c r="C16" s="44">
        <v>16135</v>
      </c>
      <c r="D16" s="46">
        <v>24808</v>
      </c>
      <c r="E16" s="46">
        <v>25285</v>
      </c>
      <c r="F16" s="47">
        <v>23933</v>
      </c>
      <c r="G16" s="50">
        <v>-0.20022883295194507</v>
      </c>
      <c r="H16" s="50">
        <f t="shared" si="0"/>
        <v>-22.92442915830706</v>
      </c>
      <c r="I16" s="51">
        <f t="shared" si="0"/>
        <v>53.752711496746208</v>
      </c>
      <c r="J16" s="51">
        <f t="shared" si="0"/>
        <v>1.9227668494034182</v>
      </c>
      <c r="K16" s="52">
        <f t="shared" si="0"/>
        <v>-5.3470437017994854</v>
      </c>
    </row>
    <row r="17" spans="1:15" ht="12.75" customHeight="1">
      <c r="A17" s="53" t="s">
        <v>76</v>
      </c>
      <c r="B17" s="54">
        <v>9482</v>
      </c>
      <c r="C17" s="54">
        <v>9476</v>
      </c>
      <c r="D17" s="55">
        <v>10220</v>
      </c>
      <c r="E17" s="55">
        <v>12088</v>
      </c>
      <c r="F17" s="56">
        <v>18612</v>
      </c>
      <c r="G17" s="57">
        <v>16.272225628448805</v>
      </c>
      <c r="H17" s="57">
        <f t="shared" si="0"/>
        <v>-6.3277789495886944E-2</v>
      </c>
      <c r="I17" s="58">
        <f t="shared" si="0"/>
        <v>7.8514140987758552</v>
      </c>
      <c r="J17" s="58">
        <f t="shared" si="0"/>
        <v>18.277886497064578</v>
      </c>
      <c r="K17" s="59">
        <f t="shared" si="0"/>
        <v>53.970880211780283</v>
      </c>
    </row>
    <row r="18" spans="1:15" ht="12.75" customHeight="1">
      <c r="A18" s="53" t="s">
        <v>51</v>
      </c>
      <c r="B18" s="54">
        <v>13462</v>
      </c>
      <c r="C18" s="54">
        <v>13274</v>
      </c>
      <c r="D18" s="55">
        <v>14944</v>
      </c>
      <c r="E18" s="55">
        <v>16655</v>
      </c>
      <c r="F18" s="56">
        <v>18164</v>
      </c>
      <c r="G18" s="57">
        <v>-1.5431873034447401</v>
      </c>
      <c r="H18" s="57">
        <f t="shared" si="0"/>
        <v>-1.3965235477640767</v>
      </c>
      <c r="I18" s="58">
        <f t="shared" si="0"/>
        <v>12.580985384963087</v>
      </c>
      <c r="J18" s="58">
        <f t="shared" si="0"/>
        <v>11.44941113490364</v>
      </c>
      <c r="K18" s="59">
        <f t="shared" si="0"/>
        <v>9.0603422395676976</v>
      </c>
    </row>
    <row r="19" spans="1:15" ht="12.75" customHeight="1">
      <c r="A19" s="53" t="s">
        <v>95</v>
      </c>
      <c r="B19" s="54">
        <v>8853</v>
      </c>
      <c r="C19" s="54">
        <v>9438</v>
      </c>
      <c r="D19" s="55">
        <v>11482</v>
      </c>
      <c r="E19" s="55">
        <v>14490</v>
      </c>
      <c r="F19" s="56">
        <v>16049</v>
      </c>
      <c r="G19" s="57">
        <v>-5.2952503209242625</v>
      </c>
      <c r="H19" s="57">
        <f t="shared" si="0"/>
        <v>6.607929515418502</v>
      </c>
      <c r="I19" s="58">
        <f t="shared" si="0"/>
        <v>21.657130748039837</v>
      </c>
      <c r="J19" s="58">
        <f t="shared" si="0"/>
        <v>26.197526563316497</v>
      </c>
      <c r="K19" s="59">
        <f t="shared" si="0"/>
        <v>10.759144237405106</v>
      </c>
    </row>
    <row r="20" spans="1:15" ht="12.75" customHeight="1">
      <c r="A20" s="53" t="s">
        <v>97</v>
      </c>
      <c r="B20" s="54">
        <v>9368</v>
      </c>
      <c r="C20" s="54">
        <v>7392</v>
      </c>
      <c r="D20" s="55">
        <v>9622</v>
      </c>
      <c r="E20" s="55">
        <v>12778</v>
      </c>
      <c r="F20" s="56">
        <v>15208</v>
      </c>
      <c r="G20" s="57">
        <v>-0.40399744843716773</v>
      </c>
      <c r="H20" s="57">
        <f t="shared" si="0"/>
        <v>-21.093082835183605</v>
      </c>
      <c r="I20" s="58">
        <f t="shared" si="0"/>
        <v>30.167748917748916</v>
      </c>
      <c r="J20" s="58">
        <f t="shared" si="0"/>
        <v>32.799833714404492</v>
      </c>
      <c r="K20" s="59">
        <f t="shared" si="0"/>
        <v>19.017060572859602</v>
      </c>
    </row>
    <row r="21" spans="1:15" ht="12.75" customHeight="1">
      <c r="A21" s="53" t="s">
        <v>86</v>
      </c>
      <c r="B21" s="54">
        <v>4956</v>
      </c>
      <c r="C21" s="54">
        <v>5214</v>
      </c>
      <c r="D21" s="55">
        <v>5332</v>
      </c>
      <c r="E21" s="55">
        <v>7990</v>
      </c>
      <c r="F21" s="56">
        <v>9625</v>
      </c>
      <c r="G21" s="57">
        <v>11.220825852782765</v>
      </c>
      <c r="H21" s="57">
        <f t="shared" si="0"/>
        <v>5.2058111380145284</v>
      </c>
      <c r="I21" s="58">
        <f t="shared" si="0"/>
        <v>2.263137706175681</v>
      </c>
      <c r="J21" s="58">
        <f t="shared" si="0"/>
        <v>49.849962490622659</v>
      </c>
      <c r="K21" s="59">
        <f t="shared" si="0"/>
        <v>20.463078848560702</v>
      </c>
    </row>
    <row r="22" spans="1:15" ht="12.75" customHeight="1">
      <c r="A22" s="53" t="s">
        <v>87</v>
      </c>
      <c r="B22" s="54">
        <v>9752</v>
      </c>
      <c r="C22" s="54">
        <v>7833</v>
      </c>
      <c r="D22" s="55">
        <v>7872</v>
      </c>
      <c r="E22" s="55">
        <v>9670</v>
      </c>
      <c r="F22" s="56">
        <v>8860</v>
      </c>
      <c r="G22" s="57">
        <v>1.015123264967889</v>
      </c>
      <c r="H22" s="57">
        <f t="shared" si="0"/>
        <v>-19.678014766201805</v>
      </c>
      <c r="I22" s="58">
        <f t="shared" si="0"/>
        <v>0.49789352738414405</v>
      </c>
      <c r="J22" s="58">
        <f t="shared" si="0"/>
        <v>22.840447154471544</v>
      </c>
      <c r="K22" s="59">
        <f t="shared" si="0"/>
        <v>-8.3764219234746644</v>
      </c>
    </row>
    <row r="23" spans="1:15" ht="12.75" customHeight="1">
      <c r="A23" s="53" t="s">
        <v>70</v>
      </c>
      <c r="B23" s="54">
        <v>8217</v>
      </c>
      <c r="C23" s="54">
        <v>7279</v>
      </c>
      <c r="D23" s="55">
        <v>8912</v>
      </c>
      <c r="E23" s="55">
        <v>9710</v>
      </c>
      <c r="F23" s="56">
        <v>8824</v>
      </c>
      <c r="G23" s="57">
        <v>-6.6037735849056602</v>
      </c>
      <c r="H23" s="57">
        <f t="shared" si="0"/>
        <v>-11.415358403310211</v>
      </c>
      <c r="I23" s="58">
        <f t="shared" si="0"/>
        <v>22.434400329715622</v>
      </c>
      <c r="J23" s="58">
        <f t="shared" si="0"/>
        <v>8.9542190305206457</v>
      </c>
      <c r="K23" s="59">
        <f t="shared" si="0"/>
        <v>-9.1246138002059727</v>
      </c>
      <c r="O23" s="42" t="s">
        <v>180</v>
      </c>
    </row>
    <row r="24" spans="1:15" ht="12.75" customHeight="1">
      <c r="A24" s="53" t="s">
        <v>74</v>
      </c>
      <c r="B24" s="54">
        <v>5399</v>
      </c>
      <c r="C24" s="54">
        <v>4643</v>
      </c>
      <c r="D24" s="55">
        <v>5445</v>
      </c>
      <c r="E24" s="55">
        <v>6729</v>
      </c>
      <c r="F24" s="56">
        <v>8044</v>
      </c>
      <c r="G24" s="57">
        <v>52.299012693935119</v>
      </c>
      <c r="H24" s="57">
        <f t="shared" si="0"/>
        <v>-14.002593072791258</v>
      </c>
      <c r="I24" s="58">
        <f t="shared" si="0"/>
        <v>17.273314667241007</v>
      </c>
      <c r="J24" s="58">
        <f t="shared" si="0"/>
        <v>23.581267217630856</v>
      </c>
      <c r="K24" s="59">
        <f t="shared" si="0"/>
        <v>19.542279684945758</v>
      </c>
    </row>
    <row r="25" spans="1:15" ht="12.75" customHeight="1">
      <c r="A25" s="53" t="s">
        <v>102</v>
      </c>
      <c r="B25" s="54">
        <v>2747</v>
      </c>
      <c r="C25" s="54">
        <v>3036</v>
      </c>
      <c r="D25" s="55">
        <v>4040</v>
      </c>
      <c r="E25" s="55">
        <v>5005</v>
      </c>
      <c r="F25" s="56">
        <v>7263</v>
      </c>
      <c r="G25" s="57">
        <v>41.597938144329902</v>
      </c>
      <c r="H25" s="57">
        <f t="shared" si="0"/>
        <v>10.520567892246087</v>
      </c>
      <c r="I25" s="58">
        <f t="shared" si="0"/>
        <v>33.06982872200264</v>
      </c>
      <c r="J25" s="58">
        <f t="shared" si="0"/>
        <v>23.886138613861384</v>
      </c>
      <c r="K25" s="59">
        <f t="shared" si="0"/>
        <v>45.114885114885119</v>
      </c>
    </row>
    <row r="26" spans="1:15" ht="12.75" customHeight="1">
      <c r="A26" s="53" t="s">
        <v>89</v>
      </c>
      <c r="B26" s="54">
        <v>3952</v>
      </c>
      <c r="C26" s="54">
        <v>3813</v>
      </c>
      <c r="D26" s="55">
        <v>5397</v>
      </c>
      <c r="E26" s="55">
        <v>6214</v>
      </c>
      <c r="F26" s="56">
        <v>6896</v>
      </c>
      <c r="G26" s="57">
        <v>7.8897078897078892</v>
      </c>
      <c r="H26" s="57">
        <f t="shared" si="0"/>
        <v>-3.5172064777327936</v>
      </c>
      <c r="I26" s="58">
        <f t="shared" si="0"/>
        <v>41.542092840283239</v>
      </c>
      <c r="J26" s="58">
        <f t="shared" si="0"/>
        <v>15.138039651658328</v>
      </c>
      <c r="K26" s="59">
        <f t="shared" si="0"/>
        <v>10.975217251367878</v>
      </c>
    </row>
    <row r="27" spans="1:15" ht="12.75" customHeight="1">
      <c r="A27" s="53" t="s">
        <v>83</v>
      </c>
      <c r="B27" s="54">
        <v>3137</v>
      </c>
      <c r="C27" s="54">
        <v>3139</v>
      </c>
      <c r="D27" s="55">
        <v>3894</v>
      </c>
      <c r="E27" s="55">
        <v>6055</v>
      </c>
      <c r="F27" s="56">
        <v>6766</v>
      </c>
      <c r="G27" s="57">
        <v>4.6015338446148721</v>
      </c>
      <c r="H27" s="57">
        <f t="shared" si="0"/>
        <v>6.3755180108383797E-2</v>
      </c>
      <c r="I27" s="58">
        <f t="shared" si="0"/>
        <v>24.052245938196879</v>
      </c>
      <c r="J27" s="58">
        <f t="shared" si="0"/>
        <v>55.495634309193633</v>
      </c>
      <c r="K27" s="59">
        <f t="shared" si="0"/>
        <v>11.742361684558217</v>
      </c>
    </row>
    <row r="28" spans="1:15" ht="12.75" customHeight="1">
      <c r="A28" s="53" t="s">
        <v>63</v>
      </c>
      <c r="B28" s="54">
        <v>5595</v>
      </c>
      <c r="C28" s="54">
        <v>5355</v>
      </c>
      <c r="D28" s="55">
        <v>5682</v>
      </c>
      <c r="E28" s="55">
        <v>5693</v>
      </c>
      <c r="F28" s="56">
        <v>6077</v>
      </c>
      <c r="G28" s="57">
        <v>-13.644080876678499</v>
      </c>
      <c r="H28" s="57">
        <f t="shared" si="0"/>
        <v>-4.2895442359249332</v>
      </c>
      <c r="I28" s="58">
        <f t="shared" si="0"/>
        <v>6.1064425770308119</v>
      </c>
      <c r="J28" s="58">
        <f t="shared" si="0"/>
        <v>0.19359380499824005</v>
      </c>
      <c r="K28" s="59">
        <f t="shared" si="0"/>
        <v>6.745125592833304</v>
      </c>
    </row>
    <row r="29" spans="1:15" ht="12.75" customHeight="1">
      <c r="A29" s="53" t="s">
        <v>104</v>
      </c>
      <c r="B29" s="54">
        <v>2585</v>
      </c>
      <c r="C29" s="54">
        <v>2744</v>
      </c>
      <c r="D29" s="55">
        <v>3336</v>
      </c>
      <c r="E29" s="55">
        <v>4130</v>
      </c>
      <c r="F29" s="56">
        <v>5880</v>
      </c>
      <c r="G29" s="57">
        <v>26.777832270720943</v>
      </c>
      <c r="H29" s="57">
        <f t="shared" si="0"/>
        <v>6.1508704061895552</v>
      </c>
      <c r="I29" s="58">
        <f t="shared" si="0"/>
        <v>21.574344023323615</v>
      </c>
      <c r="J29" s="58">
        <f t="shared" si="0"/>
        <v>23.800959232613909</v>
      </c>
      <c r="K29" s="59">
        <f t="shared" si="0"/>
        <v>42.372881355932201</v>
      </c>
    </row>
    <row r="30" spans="1:15" ht="12.75" customHeight="1">
      <c r="A30" s="53" t="s">
        <v>53</v>
      </c>
      <c r="B30" s="54">
        <v>3811</v>
      </c>
      <c r="C30" s="54">
        <v>3851</v>
      </c>
      <c r="D30" s="55">
        <v>5137</v>
      </c>
      <c r="E30" s="55">
        <v>6471</v>
      </c>
      <c r="F30" s="56">
        <v>5588</v>
      </c>
      <c r="G30" s="57">
        <v>37.780187997107738</v>
      </c>
      <c r="H30" s="57">
        <f t="shared" si="0"/>
        <v>1.0495932826029915</v>
      </c>
      <c r="I30" s="58">
        <f t="shared" si="0"/>
        <v>33.393923656193195</v>
      </c>
      <c r="J30" s="58">
        <f t="shared" si="0"/>
        <v>25.968464084095778</v>
      </c>
      <c r="K30" s="59">
        <f t="shared" si="0"/>
        <v>-13.645495286663575</v>
      </c>
    </row>
    <row r="31" spans="1:15" ht="12.75" customHeight="1">
      <c r="A31" s="53" t="s">
        <v>73</v>
      </c>
      <c r="B31" s="54">
        <v>3235</v>
      </c>
      <c r="C31" s="54">
        <v>2758</v>
      </c>
      <c r="D31" s="55">
        <v>4637</v>
      </c>
      <c r="E31" s="55">
        <v>4542</v>
      </c>
      <c r="F31" s="56">
        <v>5416</v>
      </c>
      <c r="G31" s="57">
        <v>32.473382473382472</v>
      </c>
      <c r="H31" s="57">
        <f t="shared" si="0"/>
        <v>-14.744976816074187</v>
      </c>
      <c r="I31" s="58">
        <f t="shared" si="0"/>
        <v>68.129079042784625</v>
      </c>
      <c r="J31" s="58">
        <f t="shared" si="0"/>
        <v>-2.0487384084537417</v>
      </c>
      <c r="K31" s="59">
        <f t="shared" si="0"/>
        <v>19.242624394539849</v>
      </c>
    </row>
    <row r="32" spans="1:15" ht="12.75" customHeight="1">
      <c r="A32" s="53" t="s">
        <v>71</v>
      </c>
      <c r="B32" s="54">
        <v>3542</v>
      </c>
      <c r="C32" s="54">
        <v>3165</v>
      </c>
      <c r="D32" s="55">
        <v>3638</v>
      </c>
      <c r="E32" s="55">
        <v>4896</v>
      </c>
      <c r="F32" s="56">
        <v>5230</v>
      </c>
      <c r="G32" s="57">
        <v>64.820846905537451</v>
      </c>
      <c r="H32" s="57">
        <f t="shared" si="0"/>
        <v>-10.643704121964992</v>
      </c>
      <c r="I32" s="58">
        <f t="shared" si="0"/>
        <v>14.944707740916272</v>
      </c>
      <c r="J32" s="58">
        <f t="shared" si="0"/>
        <v>34.579439252336449</v>
      </c>
      <c r="K32" s="59">
        <f t="shared" si="0"/>
        <v>6.8218954248366011</v>
      </c>
    </row>
    <row r="33" spans="1:14" ht="12.75" customHeight="1">
      <c r="A33" s="53" t="s">
        <v>94</v>
      </c>
      <c r="B33" s="54">
        <v>2966</v>
      </c>
      <c r="C33" s="54">
        <v>3043</v>
      </c>
      <c r="D33" s="55">
        <v>3815</v>
      </c>
      <c r="E33" s="55">
        <v>4690</v>
      </c>
      <c r="F33" s="56">
        <v>5070</v>
      </c>
      <c r="G33" s="57">
        <v>4.0336723956506493</v>
      </c>
      <c r="H33" s="57">
        <f t="shared" si="0"/>
        <v>2.5960890087660147</v>
      </c>
      <c r="I33" s="58">
        <f t="shared" si="0"/>
        <v>25.369700953006902</v>
      </c>
      <c r="J33" s="58">
        <f t="shared" si="0"/>
        <v>22.935779816513762</v>
      </c>
      <c r="K33" s="59">
        <f t="shared" si="0"/>
        <v>8.1023454157782524</v>
      </c>
    </row>
    <row r="34" spans="1:14" ht="12.75" customHeight="1">
      <c r="A34" s="53" t="s">
        <v>88</v>
      </c>
      <c r="B34" s="54">
        <v>2233</v>
      </c>
      <c r="C34" s="54">
        <v>1975</v>
      </c>
      <c r="D34" s="55">
        <v>3831</v>
      </c>
      <c r="E34" s="55">
        <v>5305</v>
      </c>
      <c r="F34" s="56">
        <v>4430</v>
      </c>
      <c r="G34" s="57">
        <v>10.654112983151636</v>
      </c>
      <c r="H34" s="57">
        <f t="shared" si="0"/>
        <v>-11.553963278101209</v>
      </c>
      <c r="I34" s="58">
        <f t="shared" si="0"/>
        <v>93.974683544303801</v>
      </c>
      <c r="J34" s="58">
        <f t="shared" si="0"/>
        <v>38.475593839728525</v>
      </c>
      <c r="K34" s="59">
        <f t="shared" si="0"/>
        <v>-16.493873704052781</v>
      </c>
    </row>
    <row r="35" spans="1:14" ht="12.75" customHeight="1">
      <c r="A35" s="53" t="s">
        <v>103</v>
      </c>
      <c r="B35" s="54">
        <v>1394</v>
      </c>
      <c r="C35" s="54">
        <v>1580</v>
      </c>
      <c r="D35" s="55">
        <v>1699</v>
      </c>
      <c r="E35" s="55">
        <v>2292</v>
      </c>
      <c r="F35" s="56">
        <v>4047</v>
      </c>
      <c r="G35" s="57">
        <v>72.738537794299873</v>
      </c>
      <c r="H35" s="57">
        <f t="shared" si="0"/>
        <v>13.342898134863701</v>
      </c>
      <c r="I35" s="58">
        <f t="shared" si="0"/>
        <v>7.5316455696202533</v>
      </c>
      <c r="J35" s="58">
        <f t="shared" si="0"/>
        <v>34.90288404944085</v>
      </c>
      <c r="K35" s="59">
        <f t="shared" si="0"/>
        <v>76.570680628272243</v>
      </c>
    </row>
    <row r="36" spans="1:14" ht="12.75" customHeight="1">
      <c r="A36" s="53" t="s">
        <v>91</v>
      </c>
      <c r="B36" s="54">
        <v>3732</v>
      </c>
      <c r="C36" s="54">
        <v>2975</v>
      </c>
      <c r="D36" s="55">
        <v>3157</v>
      </c>
      <c r="E36" s="55">
        <v>3684</v>
      </c>
      <c r="F36" s="56">
        <v>3967</v>
      </c>
      <c r="G36" s="57">
        <v>13.331308836926814</v>
      </c>
      <c r="H36" s="57">
        <f t="shared" si="0"/>
        <v>-20.284030010718112</v>
      </c>
      <c r="I36" s="58">
        <f t="shared" si="0"/>
        <v>6.1176470588235299</v>
      </c>
      <c r="J36" s="58">
        <f t="shared" si="0"/>
        <v>16.69306303452645</v>
      </c>
      <c r="K36" s="59">
        <f t="shared" si="0"/>
        <v>7.681867535287731</v>
      </c>
    </row>
    <row r="37" spans="1:14" ht="12.75" customHeight="1">
      <c r="A37" s="53" t="s">
        <v>65</v>
      </c>
      <c r="B37" s="54">
        <v>3325</v>
      </c>
      <c r="C37" s="54">
        <v>3357</v>
      </c>
      <c r="D37" s="55">
        <v>3795</v>
      </c>
      <c r="E37" s="55">
        <v>4158</v>
      </c>
      <c r="F37" s="56">
        <v>3918</v>
      </c>
      <c r="G37" s="57">
        <v>25.047010154193305</v>
      </c>
      <c r="H37" s="57">
        <f t="shared" si="0"/>
        <v>0.96240601503759393</v>
      </c>
      <c r="I37" s="58">
        <f t="shared" si="0"/>
        <v>13.047363717605004</v>
      </c>
      <c r="J37" s="58">
        <f t="shared" si="0"/>
        <v>9.5652173913043477</v>
      </c>
      <c r="K37" s="59">
        <f t="shared" si="0"/>
        <v>-5.7720057720057723</v>
      </c>
    </row>
    <row r="38" spans="1:14" ht="12.75" customHeight="1">
      <c r="A38" s="53" t="s">
        <v>66</v>
      </c>
      <c r="B38" s="54">
        <v>4150</v>
      </c>
      <c r="C38" s="54">
        <v>4822</v>
      </c>
      <c r="D38" s="55">
        <v>4555</v>
      </c>
      <c r="E38" s="55">
        <v>4434</v>
      </c>
      <c r="F38" s="56">
        <v>3660</v>
      </c>
      <c r="G38" s="57">
        <v>-0.90735434574976126</v>
      </c>
      <c r="H38" s="57">
        <f t="shared" si="0"/>
        <v>16.192771084337348</v>
      </c>
      <c r="I38" s="58">
        <f t="shared" si="0"/>
        <v>-5.5371215263376188</v>
      </c>
      <c r="J38" s="58">
        <f t="shared" si="0"/>
        <v>-2.6564215148188803</v>
      </c>
      <c r="K38" s="59">
        <f t="shared" si="0"/>
        <v>-17.456021650879567</v>
      </c>
    </row>
    <row r="39" spans="1:14" ht="12.75" customHeight="1">
      <c r="A39" s="53" t="s">
        <v>54</v>
      </c>
      <c r="B39" s="54">
        <v>1834</v>
      </c>
      <c r="C39" s="54">
        <v>1722</v>
      </c>
      <c r="D39" s="55">
        <v>2422</v>
      </c>
      <c r="E39" s="55">
        <v>3173</v>
      </c>
      <c r="F39" s="56">
        <v>3493</v>
      </c>
      <c r="G39" s="57">
        <v>0.82462891698735563</v>
      </c>
      <c r="H39" s="57">
        <f t="shared" ref="H39:K60" si="1">(C39-B39)/B39*100</f>
        <v>-6.1068702290076331</v>
      </c>
      <c r="I39" s="58">
        <f t="shared" si="1"/>
        <v>40.650406504065039</v>
      </c>
      <c r="J39" s="58">
        <f t="shared" si="1"/>
        <v>31.007431874483899</v>
      </c>
      <c r="K39" s="59">
        <f t="shared" si="1"/>
        <v>10.085092971950834</v>
      </c>
    </row>
    <row r="40" spans="1:14" ht="12.75" customHeight="1">
      <c r="A40" s="53" t="s">
        <v>92</v>
      </c>
      <c r="B40" s="54">
        <v>1962</v>
      </c>
      <c r="C40" s="54">
        <v>2059</v>
      </c>
      <c r="D40" s="55">
        <v>2471</v>
      </c>
      <c r="E40" s="55">
        <v>2781</v>
      </c>
      <c r="F40" s="56">
        <v>3128</v>
      </c>
      <c r="G40" s="57">
        <v>26.336123631680618</v>
      </c>
      <c r="H40" s="57">
        <f t="shared" si="1"/>
        <v>4.9439347604485224</v>
      </c>
      <c r="I40" s="58">
        <f t="shared" si="1"/>
        <v>20.009713453132587</v>
      </c>
      <c r="J40" s="58">
        <f t="shared" si="1"/>
        <v>12.545528126264671</v>
      </c>
      <c r="K40" s="59">
        <f t="shared" si="1"/>
        <v>12.47752606975908</v>
      </c>
    </row>
    <row r="41" spans="1:14" ht="12.75" customHeight="1">
      <c r="A41" s="53" t="s">
        <v>93</v>
      </c>
      <c r="B41" s="54">
        <v>1327</v>
      </c>
      <c r="C41" s="54">
        <v>1304</v>
      </c>
      <c r="D41" s="55">
        <v>1761</v>
      </c>
      <c r="E41" s="55">
        <v>2342</v>
      </c>
      <c r="F41" s="56">
        <v>3061</v>
      </c>
      <c r="G41" s="57">
        <v>87.429378531073439</v>
      </c>
      <c r="H41" s="57">
        <f t="shared" si="1"/>
        <v>-1.7332328560663148</v>
      </c>
      <c r="I41" s="58">
        <f t="shared" si="1"/>
        <v>35.04601226993865</v>
      </c>
      <c r="J41" s="58">
        <f t="shared" si="1"/>
        <v>32.992617830777967</v>
      </c>
      <c r="K41" s="59">
        <f t="shared" si="1"/>
        <v>30.700256191289498</v>
      </c>
    </row>
    <row r="42" spans="1:14" ht="12.75" customHeight="1">
      <c r="A42" s="53" t="s">
        <v>100</v>
      </c>
      <c r="B42" s="54">
        <v>1340</v>
      </c>
      <c r="C42" s="54">
        <v>1181</v>
      </c>
      <c r="D42" s="55">
        <v>1409</v>
      </c>
      <c r="E42" s="55">
        <v>1797</v>
      </c>
      <c r="F42" s="56">
        <v>2987</v>
      </c>
      <c r="G42" s="57">
        <v>33.466135458167329</v>
      </c>
      <c r="H42" s="57">
        <f t="shared" si="1"/>
        <v>-11.865671641791046</v>
      </c>
      <c r="I42" s="58">
        <f t="shared" si="1"/>
        <v>19.30567315834039</v>
      </c>
      <c r="J42" s="58">
        <f t="shared" si="1"/>
        <v>27.537260468417319</v>
      </c>
      <c r="K42" s="59">
        <f t="shared" si="1"/>
        <v>66.221480244852543</v>
      </c>
    </row>
    <row r="43" spans="1:14" ht="12.75" customHeight="1">
      <c r="A43" s="53" t="s">
        <v>64</v>
      </c>
      <c r="B43" s="54">
        <v>2596</v>
      </c>
      <c r="C43" s="54">
        <v>2120</v>
      </c>
      <c r="D43" s="55">
        <v>2153</v>
      </c>
      <c r="E43" s="55">
        <v>2775</v>
      </c>
      <c r="F43" s="56">
        <v>2902</v>
      </c>
      <c r="G43" s="57">
        <v>43.584070796460175</v>
      </c>
      <c r="H43" s="57">
        <f t="shared" si="1"/>
        <v>-18.335901386748844</v>
      </c>
      <c r="I43" s="58">
        <f t="shared" si="1"/>
        <v>1.5566037735849056</v>
      </c>
      <c r="J43" s="58">
        <f t="shared" si="1"/>
        <v>28.889921040408733</v>
      </c>
      <c r="K43" s="59">
        <f t="shared" si="1"/>
        <v>4.576576576576576</v>
      </c>
    </row>
    <row r="44" spans="1:14" ht="12.75" customHeight="1">
      <c r="A44" s="53" t="s">
        <v>68</v>
      </c>
      <c r="B44" s="54">
        <v>1916</v>
      </c>
      <c r="C44" s="54">
        <v>1970</v>
      </c>
      <c r="D44" s="55">
        <v>2348</v>
      </c>
      <c r="E44" s="55">
        <v>2822</v>
      </c>
      <c r="F44" s="56">
        <v>2636</v>
      </c>
      <c r="G44" s="57">
        <v>30.428863172226006</v>
      </c>
      <c r="H44" s="57">
        <f t="shared" si="1"/>
        <v>2.8183716075156577</v>
      </c>
      <c r="I44" s="58">
        <f t="shared" si="1"/>
        <v>19.18781725888325</v>
      </c>
      <c r="J44" s="58">
        <f t="shared" si="1"/>
        <v>20.187393526405451</v>
      </c>
      <c r="K44" s="59">
        <f t="shared" si="1"/>
        <v>-6.5910701630049608</v>
      </c>
    </row>
    <row r="45" spans="1:14" ht="12.75" customHeight="1">
      <c r="A45" s="53" t="s">
        <v>96</v>
      </c>
      <c r="B45" s="54">
        <v>1334</v>
      </c>
      <c r="C45" s="54">
        <v>1374</v>
      </c>
      <c r="D45" s="55">
        <v>1543</v>
      </c>
      <c r="E45" s="55">
        <v>2132</v>
      </c>
      <c r="F45" s="56">
        <v>2594</v>
      </c>
      <c r="G45" s="57">
        <v>3.3307513555383426</v>
      </c>
      <c r="H45" s="57">
        <f t="shared" si="1"/>
        <v>2.9985007496251872</v>
      </c>
      <c r="I45" s="58">
        <f t="shared" si="1"/>
        <v>12.299854439592432</v>
      </c>
      <c r="J45" s="58">
        <f t="shared" si="1"/>
        <v>38.172391445236556</v>
      </c>
      <c r="K45" s="59">
        <f t="shared" si="1"/>
        <v>21.669793621013135</v>
      </c>
      <c r="N45" s="42" t="s">
        <v>181</v>
      </c>
    </row>
    <row r="46" spans="1:14" ht="12" customHeight="1">
      <c r="A46" s="53" t="s">
        <v>61</v>
      </c>
      <c r="B46" s="54">
        <v>1588</v>
      </c>
      <c r="C46" s="54">
        <v>1380</v>
      </c>
      <c r="D46" s="55">
        <v>2113</v>
      </c>
      <c r="E46" s="55">
        <v>2433</v>
      </c>
      <c r="F46" s="56">
        <v>2569</v>
      </c>
      <c r="G46" s="57">
        <v>21.406727828746178</v>
      </c>
      <c r="H46" s="57">
        <f t="shared" si="1"/>
        <v>-13.09823677581864</v>
      </c>
      <c r="I46" s="58">
        <f t="shared" si="1"/>
        <v>53.115942028985508</v>
      </c>
      <c r="J46" s="58">
        <f t="shared" si="1"/>
        <v>15.144344533838144</v>
      </c>
      <c r="K46" s="59">
        <f t="shared" si="1"/>
        <v>5.589806822852446</v>
      </c>
    </row>
    <row r="47" spans="1:14" ht="12.75" customHeight="1">
      <c r="A47" s="53" t="s">
        <v>60</v>
      </c>
      <c r="B47" s="54">
        <v>2884</v>
      </c>
      <c r="C47" s="54">
        <v>2420</v>
      </c>
      <c r="D47" s="55">
        <v>2514</v>
      </c>
      <c r="E47" s="55">
        <v>2444</v>
      </c>
      <c r="F47" s="56">
        <v>2483</v>
      </c>
      <c r="G47" s="57">
        <v>-8.3862770012706473</v>
      </c>
      <c r="H47" s="57">
        <f t="shared" si="1"/>
        <v>-16.08876560332871</v>
      </c>
      <c r="I47" s="58">
        <f t="shared" si="1"/>
        <v>3.884297520661157</v>
      </c>
      <c r="J47" s="58">
        <f t="shared" si="1"/>
        <v>-2.7844073190135243</v>
      </c>
      <c r="K47" s="59">
        <f t="shared" si="1"/>
        <v>1.5957446808510638</v>
      </c>
    </row>
    <row r="48" spans="1:14" ht="12.75" customHeight="1">
      <c r="A48" s="53" t="s">
        <v>59</v>
      </c>
      <c r="B48" s="54">
        <v>2052</v>
      </c>
      <c r="C48" s="54">
        <v>1848</v>
      </c>
      <c r="D48" s="55">
        <v>2434</v>
      </c>
      <c r="E48" s="55">
        <v>2596</v>
      </c>
      <c r="F48" s="56">
        <v>2408</v>
      </c>
      <c r="G48" s="57">
        <v>-20.093457943925234</v>
      </c>
      <c r="H48" s="57">
        <f t="shared" si="1"/>
        <v>-9.9415204678362574</v>
      </c>
      <c r="I48" s="58">
        <f t="shared" si="1"/>
        <v>31.70995670995671</v>
      </c>
      <c r="J48" s="58">
        <f t="shared" si="1"/>
        <v>6.6557107641741986</v>
      </c>
      <c r="K48" s="59">
        <f t="shared" si="1"/>
        <v>-7.2419106317411401</v>
      </c>
    </row>
    <row r="49" spans="1:11" ht="12.75" customHeight="1">
      <c r="A49" s="53" t="s">
        <v>90</v>
      </c>
      <c r="B49" s="54">
        <v>1065</v>
      </c>
      <c r="C49" s="54">
        <v>1182</v>
      </c>
      <c r="D49" s="55">
        <v>1575</v>
      </c>
      <c r="E49" s="55">
        <v>2485</v>
      </c>
      <c r="F49" s="56">
        <v>2345</v>
      </c>
      <c r="G49" s="57">
        <v>-45.412608918503331</v>
      </c>
      <c r="H49" s="57">
        <f t="shared" si="1"/>
        <v>10.985915492957748</v>
      </c>
      <c r="I49" s="58">
        <f t="shared" si="1"/>
        <v>33.248730964467008</v>
      </c>
      <c r="J49" s="58">
        <f t="shared" si="1"/>
        <v>57.777777777777771</v>
      </c>
      <c r="K49" s="59">
        <f t="shared" si="1"/>
        <v>-5.6338028169014089</v>
      </c>
    </row>
    <row r="50" spans="1:11" ht="12.75" customHeight="1">
      <c r="A50" s="53" t="s">
        <v>85</v>
      </c>
      <c r="B50" s="54">
        <v>871</v>
      </c>
      <c r="C50" s="54">
        <v>979</v>
      </c>
      <c r="D50" s="55">
        <v>1066</v>
      </c>
      <c r="E50" s="55">
        <v>1652</v>
      </c>
      <c r="F50" s="56">
        <v>2265</v>
      </c>
      <c r="G50" s="57">
        <v>-11.303462321792262</v>
      </c>
      <c r="H50" s="57">
        <f t="shared" si="1"/>
        <v>12.399540757749714</v>
      </c>
      <c r="I50" s="58">
        <f t="shared" si="1"/>
        <v>8.88661899897855</v>
      </c>
      <c r="J50" s="58">
        <f t="shared" si="1"/>
        <v>54.971857410881796</v>
      </c>
      <c r="K50" s="59">
        <f t="shared" si="1"/>
        <v>37.106537530266344</v>
      </c>
    </row>
    <row r="51" spans="1:11" ht="12.75" customHeight="1">
      <c r="A51" s="53" t="s">
        <v>58</v>
      </c>
      <c r="B51" s="54">
        <v>4926</v>
      </c>
      <c r="C51" s="54">
        <v>5406</v>
      </c>
      <c r="D51" s="55">
        <v>4630</v>
      </c>
      <c r="E51" s="55">
        <v>3009</v>
      </c>
      <c r="F51" s="56">
        <v>2058</v>
      </c>
      <c r="G51" s="57">
        <v>1.5670103092783505</v>
      </c>
      <c r="H51" s="57">
        <f t="shared" si="1"/>
        <v>9.7442143727161987</v>
      </c>
      <c r="I51" s="58">
        <f t="shared" si="1"/>
        <v>-14.354421013688496</v>
      </c>
      <c r="J51" s="58">
        <f t="shared" si="1"/>
        <v>-35.010799136069117</v>
      </c>
      <c r="K51" s="59">
        <f t="shared" si="1"/>
        <v>-31.605184446660019</v>
      </c>
    </row>
    <row r="52" spans="1:11" ht="12.75" customHeight="1">
      <c r="A52" s="53" t="s">
        <v>84</v>
      </c>
      <c r="B52" s="54">
        <v>1191</v>
      </c>
      <c r="C52" s="54">
        <v>1046</v>
      </c>
      <c r="D52" s="55">
        <v>1256</v>
      </c>
      <c r="E52" s="55">
        <v>1842</v>
      </c>
      <c r="F52" s="56">
        <v>1857</v>
      </c>
      <c r="G52" s="57">
        <v>17.5715695952616</v>
      </c>
      <c r="H52" s="57">
        <f t="shared" si="1"/>
        <v>-12.174643157010916</v>
      </c>
      <c r="I52" s="58">
        <f t="shared" si="1"/>
        <v>20.076481835564053</v>
      </c>
      <c r="J52" s="58">
        <f t="shared" si="1"/>
        <v>46.656050955414017</v>
      </c>
      <c r="K52" s="59">
        <f t="shared" si="1"/>
        <v>0.81433224755700329</v>
      </c>
    </row>
    <row r="53" spans="1:11" ht="12.75" customHeight="1">
      <c r="A53" s="53" t="s">
        <v>80</v>
      </c>
      <c r="B53" s="54">
        <v>581</v>
      </c>
      <c r="C53" s="54">
        <v>677</v>
      </c>
      <c r="D53" s="55">
        <v>818</v>
      </c>
      <c r="E53" s="55">
        <v>1283</v>
      </c>
      <c r="F53" s="56">
        <v>1772</v>
      </c>
      <c r="G53" s="57">
        <v>-38.388123011664902</v>
      </c>
      <c r="H53" s="57">
        <f t="shared" si="1"/>
        <v>16.523235800344235</v>
      </c>
      <c r="I53" s="58">
        <f t="shared" si="1"/>
        <v>20.827178729689809</v>
      </c>
      <c r="J53" s="58">
        <f t="shared" si="1"/>
        <v>56.845965770171148</v>
      </c>
      <c r="K53" s="59">
        <f t="shared" si="1"/>
        <v>38.113795791114576</v>
      </c>
    </row>
    <row r="54" spans="1:11" ht="12.75" customHeight="1">
      <c r="A54" s="53" t="s">
        <v>101</v>
      </c>
      <c r="B54" s="54">
        <v>1139</v>
      </c>
      <c r="C54" s="54">
        <v>984</v>
      </c>
      <c r="D54" s="55">
        <v>1145</v>
      </c>
      <c r="E54" s="55">
        <v>1346</v>
      </c>
      <c r="F54" s="56">
        <v>1666</v>
      </c>
      <c r="G54" s="57">
        <v>72.575757575757578</v>
      </c>
      <c r="H54" s="57">
        <f t="shared" si="1"/>
        <v>-13.608428446005268</v>
      </c>
      <c r="I54" s="58">
        <f t="shared" si="1"/>
        <v>16.361788617886177</v>
      </c>
      <c r="J54" s="58">
        <f t="shared" si="1"/>
        <v>17.554585152838428</v>
      </c>
      <c r="K54" s="59">
        <f t="shared" si="1"/>
        <v>23.774145616641899</v>
      </c>
    </row>
    <row r="55" spans="1:11" ht="12.75" customHeight="1">
      <c r="A55" s="53" t="s">
        <v>98</v>
      </c>
      <c r="B55" s="54">
        <v>1184</v>
      </c>
      <c r="C55" s="54">
        <v>991</v>
      </c>
      <c r="D55" s="55">
        <v>1103</v>
      </c>
      <c r="E55" s="55">
        <v>1390</v>
      </c>
      <c r="F55" s="56">
        <v>1579</v>
      </c>
      <c r="G55" s="57">
        <v>3.6777583187390541</v>
      </c>
      <c r="H55" s="57">
        <f t="shared" si="1"/>
        <v>-16.300675675675674</v>
      </c>
      <c r="I55" s="58">
        <f t="shared" si="1"/>
        <v>11.301715438950556</v>
      </c>
      <c r="J55" s="58">
        <f t="shared" si="1"/>
        <v>26.019945602901178</v>
      </c>
      <c r="K55" s="59">
        <f t="shared" si="1"/>
        <v>13.597122302158274</v>
      </c>
    </row>
    <row r="56" spans="1:11" ht="12.75" customHeight="1">
      <c r="A56" s="53" t="s">
        <v>52</v>
      </c>
      <c r="B56" s="54">
        <v>3368</v>
      </c>
      <c r="C56" s="54">
        <v>3437</v>
      </c>
      <c r="D56" s="55">
        <v>4386</v>
      </c>
      <c r="E56" s="55">
        <v>5738</v>
      </c>
      <c r="F56" s="56">
        <v>1509</v>
      </c>
      <c r="G56" s="57">
        <v>-5.1801801801801801</v>
      </c>
      <c r="H56" s="57">
        <f t="shared" si="1"/>
        <v>2.0486935866983371</v>
      </c>
      <c r="I56" s="58">
        <f t="shared" si="1"/>
        <v>27.611288914751235</v>
      </c>
      <c r="J56" s="58">
        <f t="shared" si="1"/>
        <v>30.825353397172822</v>
      </c>
      <c r="K56" s="59">
        <f t="shared" si="1"/>
        <v>-73.701638201463922</v>
      </c>
    </row>
    <row r="57" spans="1:11" ht="12.75" customHeight="1">
      <c r="A57" s="53" t="s">
        <v>55</v>
      </c>
      <c r="B57" s="54">
        <v>865</v>
      </c>
      <c r="C57" s="54">
        <v>1088</v>
      </c>
      <c r="D57" s="55">
        <v>1281</v>
      </c>
      <c r="E57" s="55">
        <v>1535</v>
      </c>
      <c r="F57" s="56">
        <v>1402</v>
      </c>
      <c r="G57" s="57">
        <v>9.6324461343472745</v>
      </c>
      <c r="H57" s="57">
        <f t="shared" si="1"/>
        <v>25.780346820809246</v>
      </c>
      <c r="I57" s="58">
        <f t="shared" si="1"/>
        <v>17.738970588235293</v>
      </c>
      <c r="J57" s="58">
        <f t="shared" si="1"/>
        <v>19.828259172521467</v>
      </c>
      <c r="K57" s="59">
        <f t="shared" si="1"/>
        <v>-8.664495114006515</v>
      </c>
    </row>
    <row r="58" spans="1:11" ht="12.75" customHeight="1">
      <c r="A58" s="53" t="s">
        <v>69</v>
      </c>
      <c r="B58" s="54">
        <v>1372</v>
      </c>
      <c r="C58" s="54">
        <v>1324</v>
      </c>
      <c r="D58" s="55">
        <v>1647</v>
      </c>
      <c r="E58" s="55">
        <v>1609</v>
      </c>
      <c r="F58" s="56">
        <v>1295</v>
      </c>
      <c r="G58" s="57">
        <v>13.953488372093023</v>
      </c>
      <c r="H58" s="57">
        <f t="shared" si="1"/>
        <v>-3.4985422740524781</v>
      </c>
      <c r="I58" s="58">
        <f t="shared" si="1"/>
        <v>24.395770392749245</v>
      </c>
      <c r="J58" s="58">
        <f t="shared" si="1"/>
        <v>-2.3072252580449302</v>
      </c>
      <c r="K58" s="59">
        <f t="shared" si="1"/>
        <v>-19.515226848974518</v>
      </c>
    </row>
    <row r="59" spans="1:11" ht="12.75" customHeight="1">
      <c r="A59" s="53" t="s">
        <v>77</v>
      </c>
      <c r="B59" s="54">
        <v>455</v>
      </c>
      <c r="C59" s="54">
        <v>388</v>
      </c>
      <c r="D59" s="55">
        <v>525</v>
      </c>
      <c r="E59" s="55">
        <v>1496</v>
      </c>
      <c r="F59" s="56">
        <v>1221</v>
      </c>
      <c r="G59" s="57">
        <v>-64.563862928348911</v>
      </c>
      <c r="H59" s="57">
        <f t="shared" si="1"/>
        <v>-14.725274725274726</v>
      </c>
      <c r="I59" s="58">
        <f t="shared" si="1"/>
        <v>35.309278350515463</v>
      </c>
      <c r="J59" s="58">
        <f t="shared" si="1"/>
        <v>184.95238095238096</v>
      </c>
      <c r="K59" s="59">
        <f t="shared" si="1"/>
        <v>-18.382352941176471</v>
      </c>
    </row>
    <row r="60" spans="1:11" ht="12.75" customHeight="1">
      <c r="A60" s="60" t="s">
        <v>99</v>
      </c>
      <c r="B60" s="61">
        <v>22</v>
      </c>
      <c r="C60" s="61">
        <v>21</v>
      </c>
      <c r="D60" s="62">
        <v>31</v>
      </c>
      <c r="E60" s="62">
        <v>27</v>
      </c>
      <c r="F60" s="63">
        <v>39</v>
      </c>
      <c r="G60" s="64">
        <v>-80.530973451327441</v>
      </c>
      <c r="H60" s="64">
        <f t="shared" si="1"/>
        <v>-4.5454545454545459</v>
      </c>
      <c r="I60" s="65">
        <f t="shared" si="1"/>
        <v>47.619047619047613</v>
      </c>
      <c r="J60" s="65">
        <f t="shared" si="1"/>
        <v>-12.903225806451612</v>
      </c>
      <c r="K60" s="66">
        <f t="shared" si="1"/>
        <v>44.444444444444443</v>
      </c>
    </row>
    <row r="61" spans="1:11">
      <c r="A61" s="4"/>
      <c r="B61" s="5"/>
      <c r="C61" s="5"/>
      <c r="D61" s="5"/>
      <c r="E61" s="5"/>
      <c r="F61" s="5"/>
      <c r="G61" s="67"/>
      <c r="H61" s="6"/>
      <c r="I61" s="6"/>
      <c r="J61" s="6"/>
      <c r="K61" s="6"/>
    </row>
    <row r="62" spans="1:11" ht="12" customHeight="1">
      <c r="A62" s="4"/>
      <c r="B62" s="5"/>
      <c r="C62" s="5"/>
      <c r="D62" s="5"/>
      <c r="E62" s="5"/>
      <c r="F62" s="5"/>
      <c r="G62" s="67"/>
      <c r="H62" s="6"/>
      <c r="I62" s="6"/>
      <c r="J62" s="6"/>
      <c r="K62" s="6"/>
    </row>
  </sheetData>
  <mergeCells count="7">
    <mergeCell ref="A1:K1"/>
    <mergeCell ref="A2:K2"/>
    <mergeCell ref="A4:A6"/>
    <mergeCell ref="B4:F4"/>
    <mergeCell ref="G4:K4"/>
    <mergeCell ref="B5:F5"/>
    <mergeCell ref="G5:K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FFC000"/>
  </sheetPr>
  <dimension ref="A1:AH90"/>
  <sheetViews>
    <sheetView showGridLines="0" tabSelected="1" workbookViewId="0">
      <selection activeCell="H46" sqref="H46"/>
    </sheetView>
  </sheetViews>
  <sheetFormatPr defaultColWidth="9.109375" defaultRowHeight="13.8"/>
  <cols>
    <col min="1" max="1" width="21" style="15" customWidth="1"/>
    <col min="2" max="2" width="11.5546875" style="15" bestFit="1" customWidth="1"/>
    <col min="3" max="10" width="10.33203125" style="15" bestFit="1" customWidth="1"/>
    <col min="11" max="11" width="9.88671875" style="15" bestFit="1" customWidth="1"/>
    <col min="12" max="14" width="10.33203125" style="15" bestFit="1" customWidth="1"/>
    <col min="15" max="15" width="18.33203125" style="15" customWidth="1"/>
    <col min="16" max="16384" width="9.109375" style="15"/>
  </cols>
  <sheetData>
    <row r="1" spans="1:28" s="68" customFormat="1" ht="20.25" customHeight="1">
      <c r="A1" s="107" t="s">
        <v>224</v>
      </c>
      <c r="B1" s="107"/>
      <c r="C1" s="107"/>
      <c r="D1" s="107"/>
      <c r="E1" s="107"/>
      <c r="F1" s="107"/>
      <c r="G1" s="107"/>
      <c r="H1" s="107"/>
      <c r="I1" s="107"/>
      <c r="J1" s="107"/>
      <c r="K1" s="107"/>
      <c r="L1" s="107"/>
      <c r="M1" s="107"/>
      <c r="N1" s="107"/>
      <c r="O1" s="107"/>
    </row>
    <row r="2" spans="1:28" ht="16.5" customHeight="1">
      <c r="A2" s="106" t="s">
        <v>225</v>
      </c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</row>
    <row r="3" spans="1:28" s="17" customFormat="1" ht="12.75" customHeight="1">
      <c r="A3" s="16"/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71"/>
    </row>
    <row r="4" spans="1:28" s="20" customFormat="1" ht="18.75" customHeight="1">
      <c r="A4" s="18" t="s">
        <v>0</v>
      </c>
      <c r="B4" s="19" t="s">
        <v>41</v>
      </c>
      <c r="C4" s="19" t="s">
        <v>29</v>
      </c>
      <c r="D4" s="19" t="s">
        <v>30</v>
      </c>
      <c r="E4" s="19" t="s">
        <v>31</v>
      </c>
      <c r="F4" s="19" t="s">
        <v>32</v>
      </c>
      <c r="G4" s="19" t="s">
        <v>33</v>
      </c>
      <c r="H4" s="19" t="s">
        <v>34</v>
      </c>
      <c r="I4" s="19" t="s">
        <v>35</v>
      </c>
      <c r="J4" s="19" t="s">
        <v>36</v>
      </c>
      <c r="K4" s="19" t="s">
        <v>40</v>
      </c>
      <c r="L4" s="19" t="s">
        <v>37</v>
      </c>
      <c r="M4" s="19" t="s">
        <v>38</v>
      </c>
      <c r="N4" s="72" t="s">
        <v>39</v>
      </c>
      <c r="O4" s="73" t="s">
        <v>183</v>
      </c>
    </row>
    <row r="5" spans="1:28" s="23" customFormat="1" ht="18" customHeight="1">
      <c r="A5" s="21" t="s">
        <v>1</v>
      </c>
      <c r="B5" s="22">
        <f>SUM(C5:N5)</f>
        <v>1125202</v>
      </c>
      <c r="C5" s="22">
        <f t="shared" ref="C5:J5" si="0">C6+C46+C66+C69+C74+C78</f>
        <v>88869</v>
      </c>
      <c r="D5" s="22">
        <f t="shared" si="0"/>
        <v>104745</v>
      </c>
      <c r="E5" s="22">
        <f t="shared" si="0"/>
        <v>99498</v>
      </c>
      <c r="F5" s="22">
        <f t="shared" si="0"/>
        <v>90636</v>
      </c>
      <c r="G5" s="22">
        <f t="shared" si="0"/>
        <v>79426</v>
      </c>
      <c r="H5" s="22">
        <f t="shared" si="0"/>
        <v>76493</v>
      </c>
      <c r="I5" s="22">
        <f t="shared" si="0"/>
        <v>87972</v>
      </c>
      <c r="J5" s="22">
        <f t="shared" si="0"/>
        <v>98338</v>
      </c>
      <c r="K5" s="22">
        <f>K6+K46+K66+K69+K74+K78+K84+K85</f>
        <v>92298</v>
      </c>
      <c r="L5" s="22">
        <f>L6+L46+L66+L69+L74+L78+L84+L85</f>
        <v>107331</v>
      </c>
      <c r="M5" s="22">
        <f t="shared" ref="M5:N5" si="1">M6+M46+M66+M69+M74+M78+M84+M85</f>
        <v>94584</v>
      </c>
      <c r="N5" s="22">
        <f t="shared" si="1"/>
        <v>105012</v>
      </c>
      <c r="O5" s="74" t="s">
        <v>106</v>
      </c>
      <c r="Q5" s="83"/>
    </row>
    <row r="6" spans="1:28" s="23" customFormat="1" ht="18" customHeight="1">
      <c r="A6" s="10" t="s">
        <v>2</v>
      </c>
      <c r="B6" s="11">
        <f>SUM(C6:N6)</f>
        <v>527274</v>
      </c>
      <c r="C6" s="11">
        <f>C7+C19+C27+C34+C42</f>
        <v>52321</v>
      </c>
      <c r="D6" s="11">
        <f t="shared" ref="D6:N6" si="2">D7+D19+D27+D34+D42</f>
        <v>54095</v>
      </c>
      <c r="E6" s="11">
        <f t="shared" si="2"/>
        <v>61204</v>
      </c>
      <c r="F6" s="11">
        <f t="shared" si="2"/>
        <v>48978</v>
      </c>
      <c r="G6" s="11">
        <f t="shared" si="2"/>
        <v>35167</v>
      </c>
      <c r="H6" s="11">
        <f t="shared" si="2"/>
        <v>24238</v>
      </c>
      <c r="I6" s="11">
        <f t="shared" si="2"/>
        <v>32701</v>
      </c>
      <c r="J6" s="11">
        <f t="shared" si="2"/>
        <v>36640</v>
      </c>
      <c r="K6" s="11">
        <f t="shared" si="2"/>
        <v>35574</v>
      </c>
      <c r="L6" s="11">
        <f>L7+L19+L27+L34+L42</f>
        <v>46530</v>
      </c>
      <c r="M6" s="11">
        <f t="shared" si="2"/>
        <v>45894</v>
      </c>
      <c r="N6" s="11">
        <f t="shared" si="2"/>
        <v>53932</v>
      </c>
      <c r="O6" s="75" t="s">
        <v>107</v>
      </c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  <c r="AA6" s="24"/>
      <c r="AB6" s="24"/>
    </row>
    <row r="7" spans="1:28" s="23" customFormat="1" ht="18" customHeight="1">
      <c r="A7" s="25" t="s">
        <v>133</v>
      </c>
      <c r="B7" s="11">
        <f>SUM(C7:N7)</f>
        <v>119568</v>
      </c>
      <c r="C7" s="11">
        <f>SUM(C8:C18)</f>
        <v>14136</v>
      </c>
      <c r="D7" s="11">
        <f t="shared" ref="D7:N7" si="3">SUM(D8:D18)</f>
        <v>11519</v>
      </c>
      <c r="E7" s="11">
        <f t="shared" si="3"/>
        <v>13618</v>
      </c>
      <c r="F7" s="11">
        <f t="shared" si="3"/>
        <v>10332</v>
      </c>
      <c r="G7" s="11">
        <f t="shared" si="3"/>
        <v>8002</v>
      </c>
      <c r="H7" s="11">
        <f t="shared" si="3"/>
        <v>6235</v>
      </c>
      <c r="I7" s="11">
        <f t="shared" si="3"/>
        <v>7038</v>
      </c>
      <c r="J7" s="11">
        <f t="shared" si="3"/>
        <v>7298</v>
      </c>
      <c r="K7" s="11">
        <f t="shared" si="3"/>
        <v>7036</v>
      </c>
      <c r="L7" s="11">
        <f t="shared" si="3"/>
        <v>9437</v>
      </c>
      <c r="M7" s="11">
        <f t="shared" si="3"/>
        <v>11877</v>
      </c>
      <c r="N7" s="11">
        <f t="shared" si="3"/>
        <v>13040</v>
      </c>
      <c r="O7" s="76" t="s">
        <v>184</v>
      </c>
    </row>
    <row r="8" spans="1:28" s="23" customFormat="1" ht="18" customHeight="1">
      <c r="A8" s="26" t="s">
        <v>134</v>
      </c>
      <c r="B8" s="27">
        <f>SUM(C8:N8)</f>
        <v>2030</v>
      </c>
      <c r="C8" s="28">
        <v>216</v>
      </c>
      <c r="D8" s="28">
        <v>166</v>
      </c>
      <c r="E8" s="28">
        <v>205</v>
      </c>
      <c r="F8" s="28">
        <v>110</v>
      </c>
      <c r="G8" s="28">
        <v>107</v>
      </c>
      <c r="H8" s="28">
        <v>114</v>
      </c>
      <c r="I8" s="28">
        <v>133</v>
      </c>
      <c r="J8" s="28">
        <v>170</v>
      </c>
      <c r="K8" s="28">
        <v>138</v>
      </c>
      <c r="L8" s="28">
        <v>194</v>
      </c>
      <c r="M8" s="28">
        <v>208</v>
      </c>
      <c r="N8" s="28">
        <v>269</v>
      </c>
      <c r="O8" s="78" t="s">
        <v>185</v>
      </c>
      <c r="P8" s="20"/>
    </row>
    <row r="9" spans="1:28" s="23" customFormat="1" ht="18" customHeight="1">
      <c r="A9" s="26" t="s">
        <v>135</v>
      </c>
      <c r="B9" s="27">
        <f>SUM(C9:N9)</f>
        <v>1882</v>
      </c>
      <c r="C9" s="28">
        <v>227</v>
      </c>
      <c r="D9" s="28">
        <v>309</v>
      </c>
      <c r="E9" s="28">
        <v>236</v>
      </c>
      <c r="F9" s="28">
        <v>223</v>
      </c>
      <c r="G9" s="28">
        <v>87</v>
      </c>
      <c r="H9" s="28">
        <v>58</v>
      </c>
      <c r="I9" s="28">
        <v>58</v>
      </c>
      <c r="J9" s="28">
        <v>53</v>
      </c>
      <c r="K9" s="28">
        <v>71</v>
      </c>
      <c r="L9" s="28">
        <v>122</v>
      </c>
      <c r="M9" s="28">
        <v>185</v>
      </c>
      <c r="N9" s="28">
        <v>253</v>
      </c>
      <c r="O9" s="78" t="s">
        <v>186</v>
      </c>
    </row>
    <row r="10" spans="1:28" s="23" customFormat="1" ht="18" customHeight="1">
      <c r="A10" s="26" t="s">
        <v>136</v>
      </c>
      <c r="B10" s="27">
        <f t="shared" ref="B10:B18" si="4">SUM(C10:N10)</f>
        <v>6421</v>
      </c>
      <c r="C10" s="28">
        <v>625</v>
      </c>
      <c r="D10" s="28">
        <v>966</v>
      </c>
      <c r="E10" s="28">
        <v>863</v>
      </c>
      <c r="F10" s="28">
        <v>599</v>
      </c>
      <c r="G10" s="28">
        <v>320</v>
      </c>
      <c r="H10" s="28">
        <v>212</v>
      </c>
      <c r="I10" s="28">
        <v>317</v>
      </c>
      <c r="J10" s="28">
        <v>226</v>
      </c>
      <c r="K10" s="28">
        <v>227</v>
      </c>
      <c r="L10" s="28">
        <v>469</v>
      </c>
      <c r="M10" s="28">
        <v>927</v>
      </c>
      <c r="N10" s="28">
        <v>670</v>
      </c>
      <c r="O10" s="78" t="s">
        <v>187</v>
      </c>
      <c r="P10" s="20"/>
    </row>
    <row r="11" spans="1:28" s="23" customFormat="1" ht="18" customHeight="1">
      <c r="A11" s="29" t="s">
        <v>137</v>
      </c>
      <c r="B11" s="27">
        <f t="shared" si="4"/>
        <v>2796</v>
      </c>
      <c r="C11" s="28">
        <v>649</v>
      </c>
      <c r="D11" s="28">
        <v>492</v>
      </c>
      <c r="E11" s="28">
        <v>281</v>
      </c>
      <c r="F11" s="28">
        <v>157</v>
      </c>
      <c r="G11" s="28">
        <v>91</v>
      </c>
      <c r="H11" s="28">
        <v>103</v>
      </c>
      <c r="I11" s="28">
        <v>92</v>
      </c>
      <c r="J11" s="28">
        <v>100</v>
      </c>
      <c r="K11" s="28">
        <v>87</v>
      </c>
      <c r="L11" s="28">
        <v>148</v>
      </c>
      <c r="M11" s="28">
        <v>204</v>
      </c>
      <c r="N11" s="28">
        <v>392</v>
      </c>
      <c r="O11" s="78" t="s">
        <v>188</v>
      </c>
    </row>
    <row r="12" spans="1:28" s="23" customFormat="1" ht="18" customHeight="1">
      <c r="A12" s="26" t="s">
        <v>138</v>
      </c>
      <c r="B12" s="27">
        <f t="shared" si="4"/>
        <v>3131</v>
      </c>
      <c r="C12" s="28">
        <v>434</v>
      </c>
      <c r="D12" s="28">
        <v>185</v>
      </c>
      <c r="E12" s="28">
        <v>451</v>
      </c>
      <c r="F12" s="28">
        <v>115</v>
      </c>
      <c r="G12" s="28">
        <v>91</v>
      </c>
      <c r="H12" s="28">
        <v>259</v>
      </c>
      <c r="I12" s="28">
        <v>388</v>
      </c>
      <c r="J12" s="28">
        <v>203</v>
      </c>
      <c r="K12" s="28">
        <v>118</v>
      </c>
      <c r="L12" s="28">
        <v>166</v>
      </c>
      <c r="M12" s="28">
        <v>233</v>
      </c>
      <c r="N12" s="28">
        <v>488</v>
      </c>
      <c r="O12" s="78" t="s">
        <v>189</v>
      </c>
      <c r="P12" s="20"/>
    </row>
    <row r="13" spans="1:28" s="23" customFormat="1" ht="18" customHeight="1">
      <c r="A13" s="26" t="s">
        <v>139</v>
      </c>
      <c r="B13" s="27">
        <f t="shared" si="4"/>
        <v>6668</v>
      </c>
      <c r="C13" s="28">
        <v>476</v>
      </c>
      <c r="D13" s="28">
        <v>607</v>
      </c>
      <c r="E13" s="28">
        <v>909</v>
      </c>
      <c r="F13" s="28">
        <v>1199</v>
      </c>
      <c r="G13" s="28">
        <v>750</v>
      </c>
      <c r="H13" s="28">
        <v>388</v>
      </c>
      <c r="I13" s="28">
        <v>271</v>
      </c>
      <c r="J13" s="28">
        <v>283</v>
      </c>
      <c r="K13" s="28">
        <v>245</v>
      </c>
      <c r="L13" s="28">
        <v>311</v>
      </c>
      <c r="M13" s="28">
        <v>622</v>
      </c>
      <c r="N13" s="28">
        <v>607</v>
      </c>
      <c r="O13" s="78" t="s">
        <v>190</v>
      </c>
    </row>
    <row r="14" spans="1:28" s="23" customFormat="1" ht="18" customHeight="1">
      <c r="A14" s="26" t="s">
        <v>140</v>
      </c>
      <c r="B14" s="27">
        <f t="shared" si="4"/>
        <v>2423</v>
      </c>
      <c r="C14" s="28">
        <v>247</v>
      </c>
      <c r="D14" s="28">
        <v>280</v>
      </c>
      <c r="E14" s="28">
        <v>137</v>
      </c>
      <c r="F14" s="28">
        <v>168</v>
      </c>
      <c r="G14" s="28">
        <v>140</v>
      </c>
      <c r="H14" s="28">
        <v>114</v>
      </c>
      <c r="I14" s="28">
        <v>153</v>
      </c>
      <c r="J14" s="28">
        <v>183</v>
      </c>
      <c r="K14" s="28">
        <v>169</v>
      </c>
      <c r="L14" s="28">
        <v>252</v>
      </c>
      <c r="M14" s="28">
        <v>209</v>
      </c>
      <c r="N14" s="28">
        <v>371</v>
      </c>
      <c r="O14" s="78" t="s">
        <v>191</v>
      </c>
      <c r="P14" s="20"/>
    </row>
    <row r="15" spans="1:28" s="23" customFormat="1" ht="18" customHeight="1">
      <c r="A15" s="26" t="s">
        <v>8</v>
      </c>
      <c r="B15" s="27">
        <f t="shared" si="4"/>
        <v>76479</v>
      </c>
      <c r="C15" s="28">
        <v>9061</v>
      </c>
      <c r="D15" s="28">
        <v>6737</v>
      </c>
      <c r="E15" s="28">
        <v>8457</v>
      </c>
      <c r="F15" s="28">
        <v>6241</v>
      </c>
      <c r="G15" s="28">
        <v>5230</v>
      </c>
      <c r="H15" s="28">
        <v>4063</v>
      </c>
      <c r="I15" s="28">
        <v>4612</v>
      </c>
      <c r="J15" s="28">
        <v>5188</v>
      </c>
      <c r="K15" s="28">
        <v>4833</v>
      </c>
      <c r="L15" s="28">
        <v>6277</v>
      </c>
      <c r="M15" s="28">
        <v>7675</v>
      </c>
      <c r="N15" s="28">
        <v>8105</v>
      </c>
      <c r="O15" s="78" t="s">
        <v>114</v>
      </c>
    </row>
    <row r="16" spans="1:28" s="23" customFormat="1" ht="18" customHeight="1">
      <c r="A16" s="26" t="s">
        <v>141</v>
      </c>
      <c r="B16" s="27">
        <f t="shared" si="4"/>
        <v>2758</v>
      </c>
      <c r="C16" s="28">
        <v>381</v>
      </c>
      <c r="D16" s="28">
        <v>396</v>
      </c>
      <c r="E16" s="28">
        <v>416</v>
      </c>
      <c r="F16" s="28">
        <v>244</v>
      </c>
      <c r="G16" s="28">
        <v>146</v>
      </c>
      <c r="H16" s="28">
        <v>106</v>
      </c>
      <c r="I16" s="28">
        <v>102</v>
      </c>
      <c r="J16" s="28">
        <v>79</v>
      </c>
      <c r="K16" s="28">
        <v>126</v>
      </c>
      <c r="L16" s="28">
        <v>168</v>
      </c>
      <c r="M16" s="28">
        <v>308</v>
      </c>
      <c r="N16" s="28">
        <v>286</v>
      </c>
      <c r="O16" s="78" t="s">
        <v>115</v>
      </c>
      <c r="P16" s="20"/>
    </row>
    <row r="17" spans="1:34" s="23" customFormat="1" ht="18" customHeight="1">
      <c r="A17" s="26" t="s">
        <v>142</v>
      </c>
      <c r="B17" s="27">
        <f t="shared" si="4"/>
        <v>10362</v>
      </c>
      <c r="C17" s="28">
        <v>1300</v>
      </c>
      <c r="D17" s="28">
        <v>931</v>
      </c>
      <c r="E17" s="28">
        <v>1094</v>
      </c>
      <c r="F17" s="28">
        <v>928</v>
      </c>
      <c r="G17" s="28">
        <v>760</v>
      </c>
      <c r="H17" s="28">
        <v>544</v>
      </c>
      <c r="I17" s="28">
        <v>705</v>
      </c>
      <c r="J17" s="28">
        <v>524</v>
      </c>
      <c r="K17" s="28">
        <v>752</v>
      </c>
      <c r="L17" s="28">
        <v>917</v>
      </c>
      <c r="M17" s="28">
        <v>823</v>
      </c>
      <c r="N17" s="28">
        <v>1084</v>
      </c>
      <c r="O17" s="78" t="s">
        <v>192</v>
      </c>
    </row>
    <row r="18" spans="1:34" s="23" customFormat="1" ht="18" customHeight="1">
      <c r="A18" s="26" t="s">
        <v>48</v>
      </c>
      <c r="B18" s="27">
        <f t="shared" si="4"/>
        <v>4618</v>
      </c>
      <c r="C18" s="28">
        <v>520</v>
      </c>
      <c r="D18" s="28">
        <v>450</v>
      </c>
      <c r="E18" s="28">
        <v>569</v>
      </c>
      <c r="F18" s="28">
        <v>348</v>
      </c>
      <c r="G18" s="28">
        <v>280</v>
      </c>
      <c r="H18" s="28">
        <v>274</v>
      </c>
      <c r="I18" s="28">
        <v>207</v>
      </c>
      <c r="J18" s="28">
        <v>289</v>
      </c>
      <c r="K18" s="28">
        <v>270</v>
      </c>
      <c r="L18" s="28">
        <v>413</v>
      </c>
      <c r="M18" s="28">
        <v>483</v>
      </c>
      <c r="N18" s="28">
        <v>515</v>
      </c>
      <c r="O18" s="78" t="s">
        <v>118</v>
      </c>
      <c r="P18" s="20"/>
      <c r="V18" s="8"/>
      <c r="W18" s="8" t="s">
        <v>29</v>
      </c>
      <c r="X18" s="8" t="s">
        <v>30</v>
      </c>
      <c r="Y18" s="8" t="s">
        <v>31</v>
      </c>
      <c r="Z18" s="8" t="s">
        <v>32</v>
      </c>
      <c r="AA18" s="8" t="s">
        <v>33</v>
      </c>
      <c r="AB18" s="8" t="s">
        <v>34</v>
      </c>
      <c r="AC18" s="8" t="s">
        <v>35</v>
      </c>
      <c r="AD18" s="8" t="s">
        <v>36</v>
      </c>
      <c r="AE18" s="8" t="s">
        <v>40</v>
      </c>
      <c r="AF18" s="8" t="s">
        <v>37</v>
      </c>
      <c r="AG18" s="8" t="s">
        <v>38</v>
      </c>
      <c r="AH18" s="8" t="s">
        <v>39</v>
      </c>
    </row>
    <row r="19" spans="1:34" s="23" customFormat="1" ht="18" customHeight="1">
      <c r="A19" s="25" t="s">
        <v>143</v>
      </c>
      <c r="B19" s="27">
        <f t="shared" ref="B19:B50" si="5">SUM(C19:N19)</f>
        <v>103104</v>
      </c>
      <c r="C19" s="30">
        <f>SUM(C20:C26)</f>
        <v>8114</v>
      </c>
      <c r="D19" s="30">
        <f t="shared" ref="D19:N19" si="6">SUM(D20:D26)</f>
        <v>9626</v>
      </c>
      <c r="E19" s="30">
        <f t="shared" si="6"/>
        <v>10201</v>
      </c>
      <c r="F19" s="30">
        <f t="shared" si="6"/>
        <v>9682</v>
      </c>
      <c r="G19" s="30">
        <f t="shared" si="6"/>
        <v>7601</v>
      </c>
      <c r="H19" s="30">
        <f t="shared" si="6"/>
        <v>6036</v>
      </c>
      <c r="I19" s="30">
        <f t="shared" si="6"/>
        <v>8535</v>
      </c>
      <c r="J19" s="30">
        <f t="shared" si="6"/>
        <v>8251</v>
      </c>
      <c r="K19" s="30">
        <f t="shared" si="6"/>
        <v>7656</v>
      </c>
      <c r="L19" s="30">
        <f t="shared" si="6"/>
        <v>9686</v>
      </c>
      <c r="M19" s="30">
        <f t="shared" si="6"/>
        <v>8134</v>
      </c>
      <c r="N19" s="30">
        <f t="shared" si="6"/>
        <v>9582</v>
      </c>
      <c r="O19" s="77" t="s">
        <v>193</v>
      </c>
      <c r="V19" s="13" t="s">
        <v>2</v>
      </c>
      <c r="W19" s="11">
        <v>52321</v>
      </c>
      <c r="X19" s="11">
        <v>54095</v>
      </c>
      <c r="Y19" s="11">
        <v>61204</v>
      </c>
      <c r="Z19" s="11">
        <v>48978</v>
      </c>
      <c r="AA19" s="11">
        <v>35167</v>
      </c>
      <c r="AB19" s="11">
        <v>24238</v>
      </c>
      <c r="AC19" s="11">
        <v>32701</v>
      </c>
      <c r="AD19" s="11">
        <v>36640</v>
      </c>
      <c r="AE19" s="11">
        <v>35574</v>
      </c>
      <c r="AF19" s="11">
        <v>46530</v>
      </c>
      <c r="AG19" s="11">
        <v>45894</v>
      </c>
      <c r="AH19" s="11">
        <v>53932</v>
      </c>
    </row>
    <row r="20" spans="1:34" s="23" customFormat="1" ht="18" customHeight="1">
      <c r="A20" s="26" t="s">
        <v>14</v>
      </c>
      <c r="B20" s="27">
        <f t="shared" si="5"/>
        <v>4055</v>
      </c>
      <c r="C20" s="28">
        <v>442</v>
      </c>
      <c r="D20" s="28">
        <v>628</v>
      </c>
      <c r="E20" s="28">
        <v>488</v>
      </c>
      <c r="F20" s="28">
        <v>232</v>
      </c>
      <c r="G20" s="28">
        <v>156</v>
      </c>
      <c r="H20" s="28">
        <v>144</v>
      </c>
      <c r="I20" s="28">
        <v>495</v>
      </c>
      <c r="J20" s="28">
        <v>163</v>
      </c>
      <c r="K20" s="28">
        <v>164</v>
      </c>
      <c r="L20" s="28">
        <v>508</v>
      </c>
      <c r="M20" s="28">
        <v>266</v>
      </c>
      <c r="N20" s="28">
        <v>369</v>
      </c>
      <c r="O20" s="78" t="s">
        <v>194</v>
      </c>
      <c r="P20" s="20"/>
      <c r="V20" s="13" t="s">
        <v>15</v>
      </c>
      <c r="W20" s="11">
        <v>29774</v>
      </c>
      <c r="X20" s="11">
        <v>44791</v>
      </c>
      <c r="Y20" s="11">
        <v>30647</v>
      </c>
      <c r="Z20" s="11">
        <v>33903</v>
      </c>
      <c r="AA20" s="11">
        <v>37946</v>
      </c>
      <c r="AB20" s="11">
        <v>42613</v>
      </c>
      <c r="AC20" s="11">
        <v>49319</v>
      </c>
      <c r="AD20" s="11">
        <v>51450</v>
      </c>
      <c r="AE20" s="11">
        <v>49179</v>
      </c>
      <c r="AF20" s="11">
        <v>51598</v>
      </c>
      <c r="AG20" s="11">
        <v>42348</v>
      </c>
      <c r="AH20" s="11">
        <v>42185</v>
      </c>
    </row>
    <row r="21" spans="1:34" s="23" customFormat="1" ht="18" customHeight="1">
      <c r="A21" s="26" t="s">
        <v>144</v>
      </c>
      <c r="B21" s="27">
        <f t="shared" si="5"/>
        <v>1549</v>
      </c>
      <c r="C21" s="28">
        <v>206</v>
      </c>
      <c r="D21" s="28">
        <v>190</v>
      </c>
      <c r="E21" s="28">
        <v>140</v>
      </c>
      <c r="F21" s="28">
        <v>75</v>
      </c>
      <c r="G21" s="28">
        <v>62</v>
      </c>
      <c r="H21" s="28">
        <v>73</v>
      </c>
      <c r="I21" s="28">
        <v>75</v>
      </c>
      <c r="J21" s="28">
        <v>40</v>
      </c>
      <c r="K21" s="28">
        <v>84</v>
      </c>
      <c r="L21" s="28">
        <v>141</v>
      </c>
      <c r="M21" s="28">
        <v>141</v>
      </c>
      <c r="N21" s="28">
        <v>322</v>
      </c>
      <c r="O21" s="78" t="s">
        <v>109</v>
      </c>
      <c r="V21" s="13" t="s">
        <v>182</v>
      </c>
      <c r="W21" s="11">
        <f>SUM(W22:W25)</f>
        <v>6774</v>
      </c>
      <c r="X21" s="11">
        <f t="shared" ref="X21:AH21" si="7">SUM(X22:X25)</f>
        <v>5859</v>
      </c>
      <c r="Y21" s="11">
        <f t="shared" si="7"/>
        <v>7647</v>
      </c>
      <c r="Z21" s="11">
        <f t="shared" si="7"/>
        <v>7755</v>
      </c>
      <c r="AA21" s="11">
        <f t="shared" si="7"/>
        <v>6313</v>
      </c>
      <c r="AB21" s="11">
        <f t="shared" si="7"/>
        <v>9642</v>
      </c>
      <c r="AC21" s="11">
        <f t="shared" si="7"/>
        <v>5952</v>
      </c>
      <c r="AD21" s="11">
        <f t="shared" si="7"/>
        <v>10248</v>
      </c>
      <c r="AE21" s="11">
        <f t="shared" si="7"/>
        <v>7522</v>
      </c>
      <c r="AF21" s="11">
        <f t="shared" si="7"/>
        <v>9168</v>
      </c>
      <c r="AG21" s="11">
        <f t="shared" si="7"/>
        <v>6320</v>
      </c>
      <c r="AH21" s="11">
        <f t="shared" si="7"/>
        <v>8852</v>
      </c>
    </row>
    <row r="22" spans="1:34" s="23" customFormat="1" ht="18" customHeight="1">
      <c r="A22" s="26" t="s">
        <v>145</v>
      </c>
      <c r="B22" s="27">
        <f t="shared" si="5"/>
        <v>2590</v>
      </c>
      <c r="C22" s="28">
        <v>204</v>
      </c>
      <c r="D22" s="28">
        <v>149</v>
      </c>
      <c r="E22" s="28">
        <v>240</v>
      </c>
      <c r="F22" s="28">
        <v>261</v>
      </c>
      <c r="G22" s="28">
        <v>201</v>
      </c>
      <c r="H22" s="28">
        <v>207</v>
      </c>
      <c r="I22" s="28">
        <v>250</v>
      </c>
      <c r="J22" s="28">
        <v>234</v>
      </c>
      <c r="K22" s="28">
        <v>205</v>
      </c>
      <c r="L22" s="28">
        <v>263</v>
      </c>
      <c r="M22" s="28">
        <v>187</v>
      </c>
      <c r="N22" s="28">
        <v>189</v>
      </c>
      <c r="O22" s="78" t="s">
        <v>195</v>
      </c>
      <c r="P22" s="20"/>
      <c r="V22" s="13" t="s">
        <v>26</v>
      </c>
      <c r="W22" s="11">
        <v>1530</v>
      </c>
      <c r="X22" s="11">
        <v>983</v>
      </c>
      <c r="Y22" s="11">
        <v>1508</v>
      </c>
      <c r="Z22" s="11">
        <v>1760</v>
      </c>
      <c r="AA22" s="11">
        <v>1431</v>
      </c>
      <c r="AB22" s="11">
        <v>1742</v>
      </c>
      <c r="AC22" s="11">
        <v>1788</v>
      </c>
      <c r="AD22" s="11">
        <v>1575</v>
      </c>
      <c r="AE22" s="11">
        <v>1979</v>
      </c>
      <c r="AF22" s="11">
        <v>1580</v>
      </c>
      <c r="AG22" s="11">
        <v>1266</v>
      </c>
      <c r="AH22" s="11">
        <v>1619</v>
      </c>
    </row>
    <row r="23" spans="1:34" s="23" customFormat="1" ht="18" customHeight="1">
      <c r="A23" s="26" t="s">
        <v>146</v>
      </c>
      <c r="B23" s="27">
        <f t="shared" si="5"/>
        <v>3281</v>
      </c>
      <c r="C23" s="28">
        <v>240</v>
      </c>
      <c r="D23" s="28">
        <v>285</v>
      </c>
      <c r="E23" s="28">
        <v>324</v>
      </c>
      <c r="F23" s="28">
        <v>144</v>
      </c>
      <c r="G23" s="28">
        <v>116</v>
      </c>
      <c r="H23" s="28">
        <v>309</v>
      </c>
      <c r="I23" s="28">
        <v>507</v>
      </c>
      <c r="J23" s="28">
        <v>218</v>
      </c>
      <c r="K23" s="28">
        <v>265</v>
      </c>
      <c r="L23" s="28">
        <v>304</v>
      </c>
      <c r="M23" s="28">
        <v>246</v>
      </c>
      <c r="N23" s="28">
        <v>323</v>
      </c>
      <c r="O23" s="78" t="s">
        <v>196</v>
      </c>
      <c r="V23" s="13" t="s">
        <v>22</v>
      </c>
      <c r="W23" s="11">
        <v>536</v>
      </c>
      <c r="X23" s="11">
        <v>386</v>
      </c>
      <c r="Y23" s="11">
        <v>666</v>
      </c>
      <c r="Z23" s="11">
        <v>752</v>
      </c>
      <c r="AA23" s="11">
        <v>694</v>
      </c>
      <c r="AB23" s="11">
        <v>1046</v>
      </c>
      <c r="AC23" s="11">
        <v>458</v>
      </c>
      <c r="AD23" s="11">
        <v>788</v>
      </c>
      <c r="AE23" s="11">
        <v>818</v>
      </c>
      <c r="AF23" s="11">
        <v>656</v>
      </c>
      <c r="AG23" s="11">
        <v>462</v>
      </c>
      <c r="AH23" s="11">
        <v>1009</v>
      </c>
    </row>
    <row r="24" spans="1:34" s="23" customFormat="1" ht="18" customHeight="1">
      <c r="A24" s="26" t="s">
        <v>13</v>
      </c>
      <c r="B24" s="27">
        <f t="shared" si="5"/>
        <v>5694</v>
      </c>
      <c r="C24" s="28">
        <v>647</v>
      </c>
      <c r="D24" s="28">
        <v>616</v>
      </c>
      <c r="E24" s="28">
        <v>566</v>
      </c>
      <c r="F24" s="28">
        <v>312</v>
      </c>
      <c r="G24" s="28">
        <v>178</v>
      </c>
      <c r="H24" s="28">
        <v>196</v>
      </c>
      <c r="I24" s="28">
        <v>262</v>
      </c>
      <c r="J24" s="28">
        <v>182</v>
      </c>
      <c r="K24" s="28">
        <v>243</v>
      </c>
      <c r="L24" s="28">
        <v>753</v>
      </c>
      <c r="M24" s="28">
        <v>593</v>
      </c>
      <c r="N24" s="28">
        <v>1146</v>
      </c>
      <c r="O24" s="78" t="s">
        <v>197</v>
      </c>
      <c r="P24" s="20"/>
      <c r="V24" s="13" t="s">
        <v>24</v>
      </c>
      <c r="W24" s="11">
        <v>2396</v>
      </c>
      <c r="X24" s="11">
        <v>2541</v>
      </c>
      <c r="Y24" s="11">
        <v>3069</v>
      </c>
      <c r="Z24" s="11">
        <v>2809</v>
      </c>
      <c r="AA24" s="11">
        <v>2416</v>
      </c>
      <c r="AB24" s="11">
        <v>2354</v>
      </c>
      <c r="AC24" s="11">
        <v>2486</v>
      </c>
      <c r="AD24" s="11">
        <v>2312</v>
      </c>
      <c r="AE24" s="11">
        <v>2392</v>
      </c>
      <c r="AF24" s="11">
        <v>3106</v>
      </c>
      <c r="AG24" s="11">
        <v>3023</v>
      </c>
      <c r="AH24" s="11">
        <v>4066</v>
      </c>
    </row>
    <row r="25" spans="1:34" s="23" customFormat="1" ht="18" customHeight="1">
      <c r="A25" s="26" t="s">
        <v>4</v>
      </c>
      <c r="B25" s="27">
        <f t="shared" si="5"/>
        <v>85869</v>
      </c>
      <c r="C25" s="28">
        <v>6367</v>
      </c>
      <c r="D25" s="28">
        <v>7745</v>
      </c>
      <c r="E25" s="28">
        <v>8438</v>
      </c>
      <c r="F25" s="28">
        <v>8654</v>
      </c>
      <c r="G25" s="28">
        <v>6886</v>
      </c>
      <c r="H25" s="28">
        <v>5100</v>
      </c>
      <c r="I25" s="28">
        <v>6945</v>
      </c>
      <c r="J25" s="28">
        <v>7409</v>
      </c>
      <c r="K25" s="28">
        <v>6688</v>
      </c>
      <c r="L25" s="28">
        <v>7714</v>
      </c>
      <c r="M25" s="28">
        <v>6694</v>
      </c>
      <c r="N25" s="28">
        <v>7229</v>
      </c>
      <c r="O25" s="78" t="s">
        <v>117</v>
      </c>
      <c r="V25" s="14" t="s">
        <v>43</v>
      </c>
      <c r="W25" s="12">
        <v>2312</v>
      </c>
      <c r="X25" s="12">
        <v>1949</v>
      </c>
      <c r="Y25" s="12">
        <v>2404</v>
      </c>
      <c r="Z25" s="12">
        <v>2434</v>
      </c>
      <c r="AA25" s="12">
        <v>1772</v>
      </c>
      <c r="AB25" s="12">
        <v>4500</v>
      </c>
      <c r="AC25" s="12">
        <v>1220</v>
      </c>
      <c r="AD25" s="12">
        <v>5573</v>
      </c>
      <c r="AE25" s="12">
        <v>2333</v>
      </c>
      <c r="AF25" s="12">
        <v>3826</v>
      </c>
      <c r="AG25" s="12">
        <v>1569</v>
      </c>
      <c r="AH25" s="12">
        <v>2158</v>
      </c>
    </row>
    <row r="26" spans="1:34" s="23" customFormat="1" ht="18" customHeight="1">
      <c r="A26" s="26" t="s">
        <v>48</v>
      </c>
      <c r="B26" s="27">
        <f t="shared" si="5"/>
        <v>66</v>
      </c>
      <c r="C26" s="28">
        <v>8</v>
      </c>
      <c r="D26" s="28">
        <v>13</v>
      </c>
      <c r="E26" s="28">
        <v>5</v>
      </c>
      <c r="F26" s="28">
        <v>4</v>
      </c>
      <c r="G26" s="28">
        <v>2</v>
      </c>
      <c r="H26" s="28">
        <v>7</v>
      </c>
      <c r="I26" s="28">
        <v>1</v>
      </c>
      <c r="J26" s="28">
        <v>5</v>
      </c>
      <c r="K26" s="28">
        <v>7</v>
      </c>
      <c r="L26" s="28">
        <v>3</v>
      </c>
      <c r="M26" s="28">
        <v>7</v>
      </c>
      <c r="N26" s="28">
        <v>4</v>
      </c>
      <c r="O26" s="78" t="s">
        <v>118</v>
      </c>
      <c r="P26" s="20"/>
    </row>
    <row r="27" spans="1:34" s="23" customFormat="1" ht="18" customHeight="1">
      <c r="A27" s="25" t="s">
        <v>147</v>
      </c>
      <c r="B27" s="27">
        <f t="shared" si="5"/>
        <v>79364</v>
      </c>
      <c r="C27" s="30">
        <f>SUM(C28:C33)</f>
        <v>8326</v>
      </c>
      <c r="D27" s="30">
        <f t="shared" ref="D27:N27" si="8">SUM(D28:D33)</f>
        <v>8946</v>
      </c>
      <c r="E27" s="30">
        <f t="shared" si="8"/>
        <v>10057</v>
      </c>
      <c r="F27" s="30">
        <f t="shared" si="8"/>
        <v>6957</v>
      </c>
      <c r="G27" s="30">
        <f t="shared" si="8"/>
        <v>3033</v>
      </c>
      <c r="H27" s="30">
        <f t="shared" si="8"/>
        <v>3030</v>
      </c>
      <c r="I27" s="30">
        <f t="shared" si="8"/>
        <v>4934</v>
      </c>
      <c r="J27" s="30">
        <f t="shared" si="8"/>
        <v>8446</v>
      </c>
      <c r="K27" s="30">
        <f t="shared" si="8"/>
        <v>5052</v>
      </c>
      <c r="L27" s="30">
        <f t="shared" si="8"/>
        <v>5363</v>
      </c>
      <c r="M27" s="30">
        <f t="shared" si="8"/>
        <v>5292</v>
      </c>
      <c r="N27" s="30">
        <f t="shared" si="8"/>
        <v>9928</v>
      </c>
      <c r="O27" s="77" t="s">
        <v>198</v>
      </c>
    </row>
    <row r="28" spans="1:34" s="23" customFormat="1" ht="18" customHeight="1">
      <c r="A28" s="26" t="s">
        <v>148</v>
      </c>
      <c r="B28" s="27">
        <f t="shared" si="5"/>
        <v>1841</v>
      </c>
      <c r="C28" s="28">
        <v>114</v>
      </c>
      <c r="D28" s="28">
        <v>110</v>
      </c>
      <c r="E28" s="28">
        <v>148</v>
      </c>
      <c r="F28" s="28">
        <v>97</v>
      </c>
      <c r="G28" s="28">
        <v>126</v>
      </c>
      <c r="H28" s="28">
        <v>103</v>
      </c>
      <c r="I28" s="28">
        <v>203</v>
      </c>
      <c r="J28" s="28">
        <v>278</v>
      </c>
      <c r="K28" s="28">
        <v>215</v>
      </c>
      <c r="L28" s="28">
        <v>120</v>
      </c>
      <c r="M28" s="28">
        <v>105</v>
      </c>
      <c r="N28" s="28">
        <v>222</v>
      </c>
      <c r="O28" s="78" t="s">
        <v>111</v>
      </c>
      <c r="P28" s="20"/>
    </row>
    <row r="29" spans="1:34" s="23" customFormat="1" ht="18" customHeight="1">
      <c r="A29" s="26" t="s">
        <v>3</v>
      </c>
      <c r="B29" s="27">
        <f t="shared" si="5"/>
        <v>57854</v>
      </c>
      <c r="C29" s="28">
        <v>7050</v>
      </c>
      <c r="D29" s="28">
        <v>7832</v>
      </c>
      <c r="E29" s="28">
        <v>8365</v>
      </c>
      <c r="F29" s="28">
        <v>5542</v>
      </c>
      <c r="G29" s="28">
        <v>1813</v>
      </c>
      <c r="H29" s="28">
        <v>1579</v>
      </c>
      <c r="I29" s="28">
        <v>2683</v>
      </c>
      <c r="J29" s="28">
        <v>5424</v>
      </c>
      <c r="K29" s="28">
        <v>2722</v>
      </c>
      <c r="L29" s="28">
        <v>3128</v>
      </c>
      <c r="M29" s="28">
        <v>3686</v>
      </c>
      <c r="N29" s="28">
        <v>8030</v>
      </c>
      <c r="O29" s="78" t="s">
        <v>112</v>
      </c>
    </row>
    <row r="30" spans="1:34" s="23" customFormat="1" ht="18" customHeight="1">
      <c r="A30" s="26" t="s">
        <v>11</v>
      </c>
      <c r="B30" s="27">
        <f t="shared" si="5"/>
        <v>4617</v>
      </c>
      <c r="C30" s="28">
        <v>219</v>
      </c>
      <c r="D30" s="28">
        <v>191</v>
      </c>
      <c r="E30" s="28">
        <v>387</v>
      </c>
      <c r="F30" s="28">
        <v>381</v>
      </c>
      <c r="G30" s="28">
        <v>267</v>
      </c>
      <c r="H30" s="28">
        <v>359</v>
      </c>
      <c r="I30" s="28">
        <v>558</v>
      </c>
      <c r="J30" s="28">
        <v>528</v>
      </c>
      <c r="K30" s="28">
        <v>561</v>
      </c>
      <c r="L30" s="28">
        <v>525</v>
      </c>
      <c r="M30" s="28">
        <v>240</v>
      </c>
      <c r="N30" s="28">
        <v>401</v>
      </c>
      <c r="O30" s="78" t="s">
        <v>113</v>
      </c>
      <c r="P30" s="20"/>
    </row>
    <row r="31" spans="1:34" s="23" customFormat="1" ht="18" customHeight="1">
      <c r="A31" s="26" t="s">
        <v>149</v>
      </c>
      <c r="B31" s="27">
        <f t="shared" si="5"/>
        <v>1243</v>
      </c>
      <c r="C31" s="28">
        <v>123</v>
      </c>
      <c r="D31" s="28">
        <v>165</v>
      </c>
      <c r="E31" s="28">
        <v>86</v>
      </c>
      <c r="F31" s="28">
        <v>140</v>
      </c>
      <c r="G31" s="28">
        <v>75</v>
      </c>
      <c r="H31" s="28">
        <v>59</v>
      </c>
      <c r="I31" s="28">
        <v>98</v>
      </c>
      <c r="J31" s="28">
        <v>56</v>
      </c>
      <c r="K31" s="28">
        <v>51</v>
      </c>
      <c r="L31" s="28">
        <v>145</v>
      </c>
      <c r="M31" s="28">
        <v>118</v>
      </c>
      <c r="N31" s="28">
        <v>127</v>
      </c>
      <c r="O31" s="78" t="s">
        <v>199</v>
      </c>
    </row>
    <row r="32" spans="1:34" s="23" customFormat="1" ht="18" customHeight="1">
      <c r="A32" s="26" t="s">
        <v>10</v>
      </c>
      <c r="B32" s="27">
        <f t="shared" si="5"/>
        <v>11040</v>
      </c>
      <c r="C32" s="28">
        <v>390</v>
      </c>
      <c r="D32" s="28">
        <v>427</v>
      </c>
      <c r="E32" s="28">
        <v>797</v>
      </c>
      <c r="F32" s="28">
        <v>541</v>
      </c>
      <c r="G32" s="28">
        <v>618</v>
      </c>
      <c r="H32" s="28">
        <v>805</v>
      </c>
      <c r="I32" s="28">
        <v>1227</v>
      </c>
      <c r="J32" s="28">
        <v>1951</v>
      </c>
      <c r="K32" s="28">
        <v>1296</v>
      </c>
      <c r="L32" s="28">
        <v>1253</v>
      </c>
      <c r="M32" s="28">
        <v>915</v>
      </c>
      <c r="N32" s="28">
        <v>820</v>
      </c>
      <c r="O32" s="78" t="s">
        <v>116</v>
      </c>
      <c r="P32" s="20"/>
    </row>
    <row r="33" spans="1:16" s="23" customFormat="1" ht="18" customHeight="1">
      <c r="A33" s="26" t="s">
        <v>48</v>
      </c>
      <c r="B33" s="27">
        <f t="shared" si="5"/>
        <v>2769</v>
      </c>
      <c r="C33" s="28">
        <v>430</v>
      </c>
      <c r="D33" s="28">
        <v>221</v>
      </c>
      <c r="E33" s="28">
        <v>274</v>
      </c>
      <c r="F33" s="28">
        <v>256</v>
      </c>
      <c r="G33" s="28">
        <v>134</v>
      </c>
      <c r="H33" s="28">
        <v>125</v>
      </c>
      <c r="I33" s="28">
        <v>165</v>
      </c>
      <c r="J33" s="28">
        <v>209</v>
      </c>
      <c r="K33" s="28">
        <v>207</v>
      </c>
      <c r="L33" s="28">
        <v>192</v>
      </c>
      <c r="M33" s="28">
        <v>228</v>
      </c>
      <c r="N33" s="28">
        <v>328</v>
      </c>
      <c r="O33" s="78" t="s">
        <v>118</v>
      </c>
    </row>
    <row r="34" spans="1:16" s="23" customFormat="1" ht="18" customHeight="1">
      <c r="A34" s="25" t="s">
        <v>150</v>
      </c>
      <c r="B34" s="27">
        <f t="shared" si="5"/>
        <v>212655</v>
      </c>
      <c r="C34" s="30">
        <f>SUM(C35:C41)</f>
        <v>20250</v>
      </c>
      <c r="D34" s="30">
        <f t="shared" ref="D34:N34" si="9">SUM(D35:D41)</f>
        <v>23019</v>
      </c>
      <c r="E34" s="30">
        <f t="shared" si="9"/>
        <v>26478</v>
      </c>
      <c r="F34" s="30">
        <f t="shared" si="9"/>
        <v>21051</v>
      </c>
      <c r="G34" s="30">
        <f t="shared" si="9"/>
        <v>15811</v>
      </c>
      <c r="H34" s="30">
        <f t="shared" si="9"/>
        <v>7870</v>
      </c>
      <c r="I34" s="30">
        <f t="shared" si="9"/>
        <v>11469</v>
      </c>
      <c r="J34" s="30">
        <f t="shared" si="9"/>
        <v>11798</v>
      </c>
      <c r="K34" s="30">
        <f t="shared" si="9"/>
        <v>14253</v>
      </c>
      <c r="L34" s="30">
        <f t="shared" si="9"/>
        <v>20444</v>
      </c>
      <c r="M34" s="30">
        <f t="shared" si="9"/>
        <v>19792</v>
      </c>
      <c r="N34" s="30">
        <f t="shared" si="9"/>
        <v>20420</v>
      </c>
      <c r="O34" s="77" t="s">
        <v>200</v>
      </c>
      <c r="P34" s="20"/>
    </row>
    <row r="35" spans="1:16" s="23" customFormat="1" ht="18" customHeight="1">
      <c r="A35" s="26" t="s">
        <v>9</v>
      </c>
      <c r="B35" s="27">
        <f t="shared" si="5"/>
        <v>18140</v>
      </c>
      <c r="C35" s="28">
        <v>2411</v>
      </c>
      <c r="D35" s="28">
        <v>2753</v>
      </c>
      <c r="E35" s="28">
        <v>2334</v>
      </c>
      <c r="F35" s="28">
        <v>1444</v>
      </c>
      <c r="G35" s="28">
        <v>1009</v>
      </c>
      <c r="H35" s="28">
        <v>491</v>
      </c>
      <c r="I35" s="28">
        <v>964</v>
      </c>
      <c r="J35" s="28">
        <v>889</v>
      </c>
      <c r="K35" s="28">
        <v>718</v>
      </c>
      <c r="L35" s="28">
        <v>1192</v>
      </c>
      <c r="M35" s="28">
        <v>1879</v>
      </c>
      <c r="N35" s="28">
        <v>2056</v>
      </c>
      <c r="O35" s="78" t="s">
        <v>105</v>
      </c>
    </row>
    <row r="36" spans="1:16" s="23" customFormat="1" ht="18" customHeight="1">
      <c r="A36" s="26" t="s">
        <v>12</v>
      </c>
      <c r="B36" s="27">
        <f t="shared" si="5"/>
        <v>5130</v>
      </c>
      <c r="C36" s="28">
        <v>437</v>
      </c>
      <c r="D36" s="28">
        <v>521</v>
      </c>
      <c r="E36" s="28">
        <v>564</v>
      </c>
      <c r="F36" s="28">
        <v>490</v>
      </c>
      <c r="G36" s="28">
        <v>323</v>
      </c>
      <c r="H36" s="28">
        <v>219</v>
      </c>
      <c r="I36" s="28">
        <v>501</v>
      </c>
      <c r="J36" s="28">
        <v>346</v>
      </c>
      <c r="K36" s="28">
        <v>432</v>
      </c>
      <c r="L36" s="28">
        <v>417</v>
      </c>
      <c r="M36" s="28">
        <v>415</v>
      </c>
      <c r="N36" s="28">
        <v>465</v>
      </c>
      <c r="O36" s="78" t="s">
        <v>108</v>
      </c>
      <c r="P36" s="20"/>
    </row>
    <row r="37" spans="1:16" s="23" customFormat="1" ht="18" customHeight="1">
      <c r="A37" s="26" t="s">
        <v>6</v>
      </c>
      <c r="B37" s="27">
        <f t="shared" si="5"/>
        <v>54328</v>
      </c>
      <c r="C37" s="28">
        <v>6688</v>
      </c>
      <c r="D37" s="28">
        <v>7666</v>
      </c>
      <c r="E37" s="28">
        <v>7990</v>
      </c>
      <c r="F37" s="28">
        <v>6021</v>
      </c>
      <c r="G37" s="28">
        <v>3540</v>
      </c>
      <c r="H37" s="28">
        <v>1081</v>
      </c>
      <c r="I37" s="28">
        <v>1501</v>
      </c>
      <c r="J37" s="28">
        <v>2692</v>
      </c>
      <c r="K37" s="28">
        <v>2036</v>
      </c>
      <c r="L37" s="28">
        <v>4388</v>
      </c>
      <c r="M37" s="28">
        <v>4632</v>
      </c>
      <c r="N37" s="28">
        <v>6093</v>
      </c>
      <c r="O37" s="78" t="s">
        <v>110</v>
      </c>
    </row>
    <row r="38" spans="1:16" s="23" customFormat="1" ht="18" customHeight="1">
      <c r="A38" s="26" t="s">
        <v>5</v>
      </c>
      <c r="B38" s="27">
        <f t="shared" si="5"/>
        <v>93598</v>
      </c>
      <c r="C38" s="28">
        <v>6926</v>
      </c>
      <c r="D38" s="28">
        <v>7755</v>
      </c>
      <c r="E38" s="28">
        <v>11001</v>
      </c>
      <c r="F38" s="28">
        <v>8303</v>
      </c>
      <c r="G38" s="28">
        <v>8812</v>
      </c>
      <c r="H38" s="28">
        <v>4421</v>
      </c>
      <c r="I38" s="28">
        <v>5418</v>
      </c>
      <c r="J38" s="28">
        <v>5930</v>
      </c>
      <c r="K38" s="28">
        <v>8148</v>
      </c>
      <c r="L38" s="28">
        <v>10360</v>
      </c>
      <c r="M38" s="28">
        <v>8869</v>
      </c>
      <c r="N38" s="28">
        <v>7655</v>
      </c>
      <c r="O38" s="78" t="s">
        <v>201</v>
      </c>
      <c r="P38" s="20"/>
    </row>
    <row r="39" spans="1:16" s="23" customFormat="1" ht="18" customHeight="1">
      <c r="A39" s="29" t="s">
        <v>151</v>
      </c>
      <c r="B39" s="27">
        <f t="shared" si="5"/>
        <v>6453</v>
      </c>
      <c r="C39" s="28">
        <v>481</v>
      </c>
      <c r="D39" s="28">
        <v>455</v>
      </c>
      <c r="E39" s="28">
        <v>423</v>
      </c>
      <c r="F39" s="28">
        <v>449</v>
      </c>
      <c r="G39" s="28">
        <v>437</v>
      </c>
      <c r="H39" s="28">
        <v>425</v>
      </c>
      <c r="I39" s="28">
        <v>760</v>
      </c>
      <c r="J39" s="28">
        <v>690</v>
      </c>
      <c r="K39" s="28">
        <v>590</v>
      </c>
      <c r="L39" s="28">
        <v>608</v>
      </c>
      <c r="M39" s="28">
        <v>507</v>
      </c>
      <c r="N39" s="28">
        <v>628</v>
      </c>
      <c r="O39" s="78" t="s">
        <v>202</v>
      </c>
    </row>
    <row r="40" spans="1:16" s="23" customFormat="1" ht="18" customHeight="1">
      <c r="A40" s="26" t="s">
        <v>7</v>
      </c>
      <c r="B40" s="27">
        <f t="shared" si="5"/>
        <v>34102</v>
      </c>
      <c r="C40" s="28">
        <v>3247</v>
      </c>
      <c r="D40" s="28">
        <v>3775</v>
      </c>
      <c r="E40" s="28">
        <v>3984</v>
      </c>
      <c r="F40" s="28">
        <v>4272</v>
      </c>
      <c r="G40" s="28">
        <v>1658</v>
      </c>
      <c r="H40" s="28">
        <v>1209</v>
      </c>
      <c r="I40" s="28">
        <v>2274</v>
      </c>
      <c r="J40" s="28">
        <v>1133</v>
      </c>
      <c r="K40" s="28">
        <v>2263</v>
      </c>
      <c r="L40" s="28">
        <v>3420</v>
      </c>
      <c r="M40" s="28">
        <v>3435</v>
      </c>
      <c r="N40" s="28">
        <v>3432</v>
      </c>
      <c r="O40" s="78" t="s">
        <v>203</v>
      </c>
      <c r="P40" s="20"/>
    </row>
    <row r="41" spans="1:16" s="23" customFormat="1" ht="18" customHeight="1">
      <c r="A41" s="26" t="s">
        <v>48</v>
      </c>
      <c r="B41" s="27">
        <f t="shared" si="5"/>
        <v>904</v>
      </c>
      <c r="C41" s="28">
        <v>60</v>
      </c>
      <c r="D41" s="28">
        <v>94</v>
      </c>
      <c r="E41" s="28">
        <v>182</v>
      </c>
      <c r="F41" s="28">
        <v>72</v>
      </c>
      <c r="G41" s="28">
        <v>32</v>
      </c>
      <c r="H41" s="28">
        <v>24</v>
      </c>
      <c r="I41" s="28">
        <v>51</v>
      </c>
      <c r="J41" s="28">
        <v>118</v>
      </c>
      <c r="K41" s="28">
        <v>66</v>
      </c>
      <c r="L41" s="28">
        <v>59</v>
      </c>
      <c r="M41" s="28">
        <v>55</v>
      </c>
      <c r="N41" s="28">
        <v>91</v>
      </c>
      <c r="O41" s="78" t="s">
        <v>118</v>
      </c>
    </row>
    <row r="42" spans="1:16" s="23" customFormat="1" ht="23.25" customHeight="1">
      <c r="A42" s="31" t="s">
        <v>152</v>
      </c>
      <c r="B42" s="27">
        <f t="shared" si="5"/>
        <v>12583</v>
      </c>
      <c r="C42" s="30">
        <f>SUM(C43:C45)</f>
        <v>1495</v>
      </c>
      <c r="D42" s="30">
        <f t="shared" ref="D42:N42" si="10">SUM(D43:D45)</f>
        <v>985</v>
      </c>
      <c r="E42" s="30">
        <f t="shared" si="10"/>
        <v>850</v>
      </c>
      <c r="F42" s="30">
        <f t="shared" si="10"/>
        <v>956</v>
      </c>
      <c r="G42" s="30">
        <f t="shared" si="10"/>
        <v>720</v>
      </c>
      <c r="H42" s="30">
        <f t="shared" si="10"/>
        <v>1067</v>
      </c>
      <c r="I42" s="30">
        <f t="shared" si="10"/>
        <v>725</v>
      </c>
      <c r="J42" s="30">
        <f t="shared" si="10"/>
        <v>847</v>
      </c>
      <c r="K42" s="30">
        <f t="shared" si="10"/>
        <v>1577</v>
      </c>
      <c r="L42" s="30">
        <f t="shared" si="10"/>
        <v>1600</v>
      </c>
      <c r="M42" s="30">
        <f t="shared" si="10"/>
        <v>799</v>
      </c>
      <c r="N42" s="30">
        <f t="shared" si="10"/>
        <v>962</v>
      </c>
      <c r="O42" s="77" t="s">
        <v>204</v>
      </c>
      <c r="P42" s="20"/>
    </row>
    <row r="43" spans="1:16" s="23" customFormat="1" ht="18" customHeight="1">
      <c r="A43" s="29" t="s">
        <v>153</v>
      </c>
      <c r="B43" s="27">
        <f t="shared" si="5"/>
        <v>3253</v>
      </c>
      <c r="C43" s="28">
        <v>220</v>
      </c>
      <c r="D43" s="28">
        <v>211</v>
      </c>
      <c r="E43" s="28">
        <v>263</v>
      </c>
      <c r="F43" s="28">
        <v>147</v>
      </c>
      <c r="G43" s="28">
        <v>156</v>
      </c>
      <c r="H43" s="28">
        <v>148</v>
      </c>
      <c r="I43" s="28">
        <v>312</v>
      </c>
      <c r="J43" s="28">
        <v>264</v>
      </c>
      <c r="K43" s="28">
        <v>820</v>
      </c>
      <c r="L43" s="28">
        <v>240</v>
      </c>
      <c r="M43" s="28">
        <v>203</v>
      </c>
      <c r="N43" s="28">
        <v>269</v>
      </c>
      <c r="O43" s="78" t="s">
        <v>205</v>
      </c>
    </row>
    <row r="44" spans="1:16" s="23" customFormat="1" ht="18" customHeight="1">
      <c r="A44" s="26" t="s">
        <v>154</v>
      </c>
      <c r="B44" s="27">
        <f t="shared" si="5"/>
        <v>9117</v>
      </c>
      <c r="C44" s="28">
        <v>1258</v>
      </c>
      <c r="D44" s="28">
        <v>763</v>
      </c>
      <c r="E44" s="28">
        <v>573</v>
      </c>
      <c r="F44" s="28">
        <v>800</v>
      </c>
      <c r="G44" s="28">
        <v>552</v>
      </c>
      <c r="H44" s="28">
        <v>904</v>
      </c>
      <c r="I44" s="28">
        <v>393</v>
      </c>
      <c r="J44" s="28">
        <v>543</v>
      </c>
      <c r="K44" s="28">
        <v>745</v>
      </c>
      <c r="L44" s="28">
        <v>1342</v>
      </c>
      <c r="M44" s="28">
        <v>588</v>
      </c>
      <c r="N44" s="28">
        <v>656</v>
      </c>
      <c r="O44" s="78" t="s">
        <v>206</v>
      </c>
      <c r="P44" s="20"/>
    </row>
    <row r="45" spans="1:16" s="23" customFormat="1" ht="18" customHeight="1">
      <c r="A45" s="32" t="s">
        <v>48</v>
      </c>
      <c r="B45" s="33">
        <f t="shared" si="5"/>
        <v>213</v>
      </c>
      <c r="C45" s="34">
        <v>17</v>
      </c>
      <c r="D45" s="34">
        <v>11</v>
      </c>
      <c r="E45" s="34">
        <v>14</v>
      </c>
      <c r="F45" s="34">
        <v>9</v>
      </c>
      <c r="G45" s="34">
        <v>12</v>
      </c>
      <c r="H45" s="34">
        <v>15</v>
      </c>
      <c r="I45" s="34">
        <v>20</v>
      </c>
      <c r="J45" s="34">
        <v>40</v>
      </c>
      <c r="K45" s="34">
        <v>12</v>
      </c>
      <c r="L45" s="34">
        <v>18</v>
      </c>
      <c r="M45" s="34">
        <v>8</v>
      </c>
      <c r="N45" s="34">
        <v>37</v>
      </c>
      <c r="O45" s="85" t="s">
        <v>118</v>
      </c>
    </row>
    <row r="46" spans="1:16" s="23" customFormat="1" ht="23.25" customHeight="1">
      <c r="A46" s="10" t="s">
        <v>15</v>
      </c>
      <c r="B46" s="11">
        <f t="shared" si="5"/>
        <v>505753</v>
      </c>
      <c r="C46" s="11">
        <f>C47+C53+C60</f>
        <v>29774</v>
      </c>
      <c r="D46" s="11">
        <f t="shared" ref="D46:N46" si="11">D47+D53+D60</f>
        <v>44791</v>
      </c>
      <c r="E46" s="11">
        <f t="shared" si="11"/>
        <v>30647</v>
      </c>
      <c r="F46" s="11">
        <f t="shared" si="11"/>
        <v>33903</v>
      </c>
      <c r="G46" s="11">
        <f t="shared" si="11"/>
        <v>37946</v>
      </c>
      <c r="H46" s="11">
        <f t="shared" si="11"/>
        <v>42613</v>
      </c>
      <c r="I46" s="11">
        <f t="shared" si="11"/>
        <v>49319</v>
      </c>
      <c r="J46" s="11">
        <f t="shared" si="11"/>
        <v>51450</v>
      </c>
      <c r="K46" s="11">
        <f t="shared" si="11"/>
        <v>49179</v>
      </c>
      <c r="L46" s="11">
        <f t="shared" si="11"/>
        <v>51598</v>
      </c>
      <c r="M46" s="11">
        <f t="shared" si="11"/>
        <v>42348</v>
      </c>
      <c r="N46" s="11">
        <f t="shared" si="11"/>
        <v>42185</v>
      </c>
      <c r="O46" s="84" t="s">
        <v>119</v>
      </c>
      <c r="P46" s="20"/>
    </row>
    <row r="47" spans="1:16" s="23" customFormat="1" ht="18" customHeight="1">
      <c r="A47" s="25" t="s">
        <v>155</v>
      </c>
      <c r="B47" s="27">
        <f t="shared" si="5"/>
        <v>408113</v>
      </c>
      <c r="C47" s="30">
        <f>SUM(C48:C52)</f>
        <v>23447</v>
      </c>
      <c r="D47" s="30">
        <f t="shared" ref="D47:N47" si="12">SUM(D48:D52)</f>
        <v>38388</v>
      </c>
      <c r="E47" s="30">
        <f t="shared" si="12"/>
        <v>23679</v>
      </c>
      <c r="F47" s="30">
        <f t="shared" si="12"/>
        <v>26339</v>
      </c>
      <c r="G47" s="30">
        <f t="shared" si="12"/>
        <v>28710</v>
      </c>
      <c r="H47" s="30">
        <f t="shared" si="12"/>
        <v>33389</v>
      </c>
      <c r="I47" s="30">
        <f t="shared" si="12"/>
        <v>42082</v>
      </c>
      <c r="J47" s="30">
        <f t="shared" si="12"/>
        <v>42785</v>
      </c>
      <c r="K47" s="30">
        <f t="shared" si="12"/>
        <v>42166</v>
      </c>
      <c r="L47" s="30">
        <f t="shared" si="12"/>
        <v>43586</v>
      </c>
      <c r="M47" s="30">
        <f t="shared" si="12"/>
        <v>33905</v>
      </c>
      <c r="N47" s="30">
        <f t="shared" si="12"/>
        <v>29637</v>
      </c>
      <c r="O47" s="79" t="s">
        <v>207</v>
      </c>
    </row>
    <row r="48" spans="1:16" s="23" customFormat="1" ht="18" customHeight="1">
      <c r="A48" s="26" t="s">
        <v>156</v>
      </c>
      <c r="B48" s="27">
        <f t="shared" si="5"/>
        <v>331719</v>
      </c>
      <c r="C48" s="28">
        <v>19208</v>
      </c>
      <c r="D48" s="28">
        <v>33592</v>
      </c>
      <c r="E48" s="28">
        <v>17770</v>
      </c>
      <c r="F48" s="28">
        <v>20329</v>
      </c>
      <c r="G48" s="28">
        <v>23613</v>
      </c>
      <c r="H48" s="28">
        <v>28007</v>
      </c>
      <c r="I48" s="28">
        <v>36551</v>
      </c>
      <c r="J48" s="28">
        <v>35814</v>
      </c>
      <c r="K48" s="28">
        <v>35026</v>
      </c>
      <c r="L48" s="28">
        <v>35041</v>
      </c>
      <c r="M48" s="28">
        <v>26008</v>
      </c>
      <c r="N48" s="28">
        <v>20760</v>
      </c>
      <c r="O48" s="78" t="s">
        <v>120</v>
      </c>
      <c r="P48" s="20"/>
    </row>
    <row r="49" spans="1:16" s="23" customFormat="1" ht="18" customHeight="1">
      <c r="A49" s="26" t="s">
        <v>16</v>
      </c>
      <c r="B49" s="27">
        <f t="shared" si="5"/>
        <v>39463</v>
      </c>
      <c r="C49" s="28">
        <v>2405</v>
      </c>
      <c r="D49" s="28">
        <v>3135</v>
      </c>
      <c r="E49" s="28">
        <v>3482</v>
      </c>
      <c r="F49" s="28">
        <v>2949</v>
      </c>
      <c r="G49" s="28">
        <v>1852</v>
      </c>
      <c r="H49" s="28">
        <v>2361</v>
      </c>
      <c r="I49" s="28">
        <v>2882</v>
      </c>
      <c r="J49" s="28">
        <v>4634</v>
      </c>
      <c r="K49" s="28">
        <v>3927</v>
      </c>
      <c r="L49" s="28">
        <v>3464</v>
      </c>
      <c r="M49" s="28">
        <v>3546</v>
      </c>
      <c r="N49" s="28">
        <v>4826</v>
      </c>
      <c r="O49" s="78" t="s">
        <v>124</v>
      </c>
    </row>
    <row r="50" spans="1:16" s="23" customFormat="1" ht="18" customHeight="1">
      <c r="A50" s="26" t="s">
        <v>18</v>
      </c>
      <c r="B50" s="27">
        <f t="shared" si="5"/>
        <v>30306</v>
      </c>
      <c r="C50" s="28">
        <v>1410</v>
      </c>
      <c r="D50" s="28">
        <v>1050</v>
      </c>
      <c r="E50" s="28">
        <v>1882</v>
      </c>
      <c r="F50" s="28">
        <v>2569</v>
      </c>
      <c r="G50" s="28">
        <v>2729</v>
      </c>
      <c r="H50" s="28">
        <v>2452</v>
      </c>
      <c r="I50" s="28">
        <v>2031</v>
      </c>
      <c r="J50" s="28">
        <v>1998</v>
      </c>
      <c r="K50" s="28">
        <v>2574</v>
      </c>
      <c r="L50" s="28">
        <v>4239</v>
      </c>
      <c r="M50" s="28">
        <v>3851</v>
      </c>
      <c r="N50" s="28">
        <v>3521</v>
      </c>
      <c r="O50" s="78" t="s">
        <v>123</v>
      </c>
      <c r="P50" s="20"/>
    </row>
    <row r="51" spans="1:16" s="23" customFormat="1" ht="18" customHeight="1">
      <c r="A51" s="26" t="s">
        <v>157</v>
      </c>
      <c r="B51" s="27">
        <f t="shared" ref="B51:B82" si="13">SUM(C51:N51)</f>
        <v>6522</v>
      </c>
      <c r="C51" s="28">
        <v>421</v>
      </c>
      <c r="D51" s="28">
        <v>606</v>
      </c>
      <c r="E51" s="28">
        <v>541</v>
      </c>
      <c r="F51" s="28">
        <v>484</v>
      </c>
      <c r="G51" s="28">
        <v>507</v>
      </c>
      <c r="H51" s="28">
        <v>558</v>
      </c>
      <c r="I51" s="28">
        <v>604</v>
      </c>
      <c r="J51" s="28">
        <v>330</v>
      </c>
      <c r="K51" s="28">
        <v>634</v>
      </c>
      <c r="L51" s="28">
        <v>839</v>
      </c>
      <c r="M51" s="28">
        <v>491</v>
      </c>
      <c r="N51" s="28">
        <v>507</v>
      </c>
      <c r="O51" s="78" t="s">
        <v>127</v>
      </c>
    </row>
    <row r="52" spans="1:16" s="23" customFormat="1" ht="18" customHeight="1">
      <c r="A52" s="26" t="s">
        <v>48</v>
      </c>
      <c r="B52" s="27">
        <f t="shared" si="13"/>
        <v>103</v>
      </c>
      <c r="C52" s="28">
        <v>3</v>
      </c>
      <c r="D52" s="28">
        <v>5</v>
      </c>
      <c r="E52" s="28">
        <v>4</v>
      </c>
      <c r="F52" s="28">
        <v>8</v>
      </c>
      <c r="G52" s="28">
        <v>9</v>
      </c>
      <c r="H52" s="28">
        <v>11</v>
      </c>
      <c r="I52" s="28">
        <v>14</v>
      </c>
      <c r="J52" s="28">
        <v>9</v>
      </c>
      <c r="K52" s="28">
        <v>5</v>
      </c>
      <c r="L52" s="28">
        <v>3</v>
      </c>
      <c r="M52" s="28">
        <v>9</v>
      </c>
      <c r="N52" s="28">
        <v>23</v>
      </c>
      <c r="O52" s="78" t="s">
        <v>118</v>
      </c>
      <c r="P52" s="20"/>
    </row>
    <row r="53" spans="1:16" s="23" customFormat="1" ht="18" customHeight="1">
      <c r="A53" s="25" t="s">
        <v>158</v>
      </c>
      <c r="B53" s="27">
        <f t="shared" si="13"/>
        <v>40844</v>
      </c>
      <c r="C53" s="30">
        <f>SUM(C54:C59)</f>
        <v>1665</v>
      </c>
      <c r="D53" s="30">
        <f t="shared" ref="D53:N53" si="14">SUM(D54:D59)</f>
        <v>1751</v>
      </c>
      <c r="E53" s="30">
        <f t="shared" si="14"/>
        <v>2708</v>
      </c>
      <c r="F53" s="30">
        <f t="shared" si="14"/>
        <v>3411</v>
      </c>
      <c r="G53" s="30">
        <f t="shared" si="14"/>
        <v>3890</v>
      </c>
      <c r="H53" s="30">
        <f t="shared" si="14"/>
        <v>4233</v>
      </c>
      <c r="I53" s="30">
        <f t="shared" si="14"/>
        <v>3357</v>
      </c>
      <c r="J53" s="30">
        <f t="shared" si="14"/>
        <v>3900</v>
      </c>
      <c r="K53" s="30">
        <f t="shared" si="14"/>
        <v>3422</v>
      </c>
      <c r="L53" s="30">
        <f t="shared" si="14"/>
        <v>3698</v>
      </c>
      <c r="M53" s="30">
        <f t="shared" si="14"/>
        <v>3504</v>
      </c>
      <c r="N53" s="30">
        <f t="shared" si="14"/>
        <v>5305</v>
      </c>
      <c r="O53" s="79" t="s">
        <v>208</v>
      </c>
    </row>
    <row r="54" spans="1:16" s="23" customFormat="1" ht="18" customHeight="1">
      <c r="A54" s="26" t="s">
        <v>159</v>
      </c>
      <c r="B54" s="27">
        <f t="shared" si="13"/>
        <v>2511</v>
      </c>
      <c r="C54" s="28">
        <v>124</v>
      </c>
      <c r="D54" s="28">
        <v>118</v>
      </c>
      <c r="E54" s="28">
        <v>238</v>
      </c>
      <c r="F54" s="28">
        <v>135</v>
      </c>
      <c r="G54" s="28">
        <v>158</v>
      </c>
      <c r="H54" s="28">
        <v>292</v>
      </c>
      <c r="I54" s="28">
        <v>220</v>
      </c>
      <c r="J54" s="28">
        <v>370</v>
      </c>
      <c r="K54" s="28">
        <v>158</v>
      </c>
      <c r="L54" s="28">
        <v>209</v>
      </c>
      <c r="M54" s="28">
        <v>199</v>
      </c>
      <c r="N54" s="28">
        <v>290</v>
      </c>
      <c r="O54" s="78" t="s">
        <v>121</v>
      </c>
      <c r="P54" s="20"/>
    </row>
    <row r="55" spans="1:16" s="23" customFormat="1" ht="18" customHeight="1">
      <c r="A55" s="26" t="s">
        <v>160</v>
      </c>
      <c r="B55" s="27">
        <f t="shared" si="13"/>
        <v>10875</v>
      </c>
      <c r="C55" s="28">
        <v>453</v>
      </c>
      <c r="D55" s="28">
        <v>522</v>
      </c>
      <c r="E55" s="28">
        <v>598</v>
      </c>
      <c r="F55" s="28">
        <v>797</v>
      </c>
      <c r="G55" s="28">
        <v>880</v>
      </c>
      <c r="H55" s="28">
        <v>735</v>
      </c>
      <c r="I55" s="28">
        <v>753</v>
      </c>
      <c r="J55" s="28">
        <v>1300</v>
      </c>
      <c r="K55" s="28">
        <v>703</v>
      </c>
      <c r="L55" s="28">
        <v>1018</v>
      </c>
      <c r="M55" s="28">
        <v>1209</v>
      </c>
      <c r="N55" s="28">
        <v>1907</v>
      </c>
      <c r="O55" s="78" t="s">
        <v>125</v>
      </c>
    </row>
    <row r="56" spans="1:16" s="23" customFormat="1" ht="18" customHeight="1">
      <c r="A56" s="26" t="s">
        <v>161</v>
      </c>
      <c r="B56" s="27">
        <f t="shared" si="13"/>
        <v>3040</v>
      </c>
      <c r="C56" s="28">
        <v>199</v>
      </c>
      <c r="D56" s="28">
        <v>151</v>
      </c>
      <c r="E56" s="28">
        <v>282</v>
      </c>
      <c r="F56" s="28">
        <v>307</v>
      </c>
      <c r="G56" s="28">
        <v>284</v>
      </c>
      <c r="H56" s="28">
        <v>251</v>
      </c>
      <c r="I56" s="28">
        <v>238</v>
      </c>
      <c r="J56" s="28">
        <v>360</v>
      </c>
      <c r="K56" s="28">
        <v>143</v>
      </c>
      <c r="L56" s="28">
        <v>330</v>
      </c>
      <c r="M56" s="28">
        <v>213</v>
      </c>
      <c r="N56" s="28">
        <v>282</v>
      </c>
      <c r="O56" s="78" t="s">
        <v>209</v>
      </c>
      <c r="P56" s="20"/>
    </row>
    <row r="57" spans="1:16" s="23" customFormat="1" ht="18" customHeight="1">
      <c r="A57" s="26" t="s">
        <v>21</v>
      </c>
      <c r="B57" s="27">
        <f t="shared" si="13"/>
        <v>11143</v>
      </c>
      <c r="C57" s="28">
        <v>489</v>
      </c>
      <c r="D57" s="28">
        <v>445</v>
      </c>
      <c r="E57" s="28">
        <v>805</v>
      </c>
      <c r="F57" s="28">
        <v>695</v>
      </c>
      <c r="G57" s="28">
        <v>1083</v>
      </c>
      <c r="H57" s="28">
        <v>1567</v>
      </c>
      <c r="I57" s="28">
        <v>784</v>
      </c>
      <c r="J57" s="28">
        <v>895</v>
      </c>
      <c r="K57" s="28">
        <v>758</v>
      </c>
      <c r="L57" s="28">
        <v>738</v>
      </c>
      <c r="M57" s="28">
        <v>1063</v>
      </c>
      <c r="N57" s="28">
        <v>1821</v>
      </c>
      <c r="O57" s="78" t="s">
        <v>210</v>
      </c>
    </row>
    <row r="58" spans="1:16" s="23" customFormat="1" ht="18" customHeight="1">
      <c r="A58" s="26" t="s">
        <v>20</v>
      </c>
      <c r="B58" s="27">
        <f t="shared" si="13"/>
        <v>11705</v>
      </c>
      <c r="C58" s="28">
        <v>344</v>
      </c>
      <c r="D58" s="28">
        <v>443</v>
      </c>
      <c r="E58" s="28">
        <v>673</v>
      </c>
      <c r="F58" s="28">
        <v>1267</v>
      </c>
      <c r="G58" s="28">
        <v>1414</v>
      </c>
      <c r="H58" s="28">
        <v>1198</v>
      </c>
      <c r="I58" s="28">
        <v>1252</v>
      </c>
      <c r="J58" s="28">
        <v>854</v>
      </c>
      <c r="K58" s="28">
        <v>1552</v>
      </c>
      <c r="L58" s="28">
        <v>1144</v>
      </c>
      <c r="M58" s="28">
        <v>697</v>
      </c>
      <c r="N58" s="28">
        <v>867</v>
      </c>
      <c r="O58" s="78" t="s">
        <v>211</v>
      </c>
      <c r="P58" s="20"/>
    </row>
    <row r="59" spans="1:16" s="23" customFormat="1" ht="18" customHeight="1">
      <c r="A59" s="26" t="s">
        <v>48</v>
      </c>
      <c r="B59" s="27">
        <f t="shared" si="13"/>
        <v>1570</v>
      </c>
      <c r="C59" s="28">
        <v>56</v>
      </c>
      <c r="D59" s="28">
        <v>72</v>
      </c>
      <c r="E59" s="28">
        <v>112</v>
      </c>
      <c r="F59" s="28">
        <v>210</v>
      </c>
      <c r="G59" s="28">
        <v>71</v>
      </c>
      <c r="H59" s="28">
        <v>190</v>
      </c>
      <c r="I59" s="28">
        <v>110</v>
      </c>
      <c r="J59" s="28">
        <v>121</v>
      </c>
      <c r="K59" s="28">
        <v>108</v>
      </c>
      <c r="L59" s="28">
        <v>259</v>
      </c>
      <c r="M59" s="28">
        <v>123</v>
      </c>
      <c r="N59" s="28">
        <v>138</v>
      </c>
      <c r="O59" s="78" t="s">
        <v>118</v>
      </c>
    </row>
    <row r="60" spans="1:16" s="23" customFormat="1" ht="18" customHeight="1">
      <c r="A60" s="25" t="s">
        <v>162</v>
      </c>
      <c r="B60" s="27">
        <f t="shared" si="13"/>
        <v>56796</v>
      </c>
      <c r="C60" s="30">
        <f t="shared" ref="C60:N60" si="15">SUM(C61:C65)</f>
        <v>4662</v>
      </c>
      <c r="D60" s="30">
        <f t="shared" si="15"/>
        <v>4652</v>
      </c>
      <c r="E60" s="30">
        <f t="shared" si="15"/>
        <v>4260</v>
      </c>
      <c r="F60" s="30">
        <f t="shared" si="15"/>
        <v>4153</v>
      </c>
      <c r="G60" s="30">
        <f t="shared" si="15"/>
        <v>5346</v>
      </c>
      <c r="H60" s="30">
        <f t="shared" si="15"/>
        <v>4991</v>
      </c>
      <c r="I60" s="30">
        <f t="shared" si="15"/>
        <v>3880</v>
      </c>
      <c r="J60" s="30">
        <f t="shared" si="15"/>
        <v>4765</v>
      </c>
      <c r="K60" s="30">
        <f t="shared" si="15"/>
        <v>3591</v>
      </c>
      <c r="L60" s="30">
        <f t="shared" si="15"/>
        <v>4314</v>
      </c>
      <c r="M60" s="30">
        <f t="shared" si="15"/>
        <v>4939</v>
      </c>
      <c r="N60" s="30">
        <f t="shared" si="15"/>
        <v>7243</v>
      </c>
      <c r="O60" s="79" t="s">
        <v>212</v>
      </c>
      <c r="P60" s="20"/>
    </row>
    <row r="61" spans="1:16" s="23" customFormat="1" ht="18" customHeight="1">
      <c r="A61" s="26" t="s">
        <v>163</v>
      </c>
      <c r="B61" s="27">
        <f t="shared" si="13"/>
        <v>1906</v>
      </c>
      <c r="C61" s="28">
        <v>151</v>
      </c>
      <c r="D61" s="28">
        <v>109</v>
      </c>
      <c r="E61" s="28">
        <v>157</v>
      </c>
      <c r="F61" s="28">
        <v>96</v>
      </c>
      <c r="G61" s="28">
        <v>89</v>
      </c>
      <c r="H61" s="28">
        <v>144</v>
      </c>
      <c r="I61" s="28">
        <v>105</v>
      </c>
      <c r="J61" s="28">
        <v>395</v>
      </c>
      <c r="K61" s="28">
        <v>120</v>
      </c>
      <c r="L61" s="28">
        <v>273</v>
      </c>
      <c r="M61" s="28">
        <v>92</v>
      </c>
      <c r="N61" s="28">
        <v>175</v>
      </c>
      <c r="O61" s="80" t="s">
        <v>213</v>
      </c>
    </row>
    <row r="62" spans="1:16" s="23" customFormat="1" ht="18" customHeight="1">
      <c r="A62" s="26" t="s">
        <v>17</v>
      </c>
      <c r="B62" s="27">
        <f t="shared" si="13"/>
        <v>38014</v>
      </c>
      <c r="C62" s="28">
        <v>3483</v>
      </c>
      <c r="D62" s="28">
        <v>3493</v>
      </c>
      <c r="E62" s="28">
        <v>2769</v>
      </c>
      <c r="F62" s="28">
        <v>2521</v>
      </c>
      <c r="G62" s="28">
        <v>3951</v>
      </c>
      <c r="H62" s="28">
        <v>3214</v>
      </c>
      <c r="I62" s="28">
        <v>2335</v>
      </c>
      <c r="J62" s="28">
        <v>2576</v>
      </c>
      <c r="K62" s="28">
        <v>2179</v>
      </c>
      <c r="L62" s="28">
        <v>2703</v>
      </c>
      <c r="M62" s="28">
        <v>3588</v>
      </c>
      <c r="N62" s="28">
        <v>5202</v>
      </c>
      <c r="O62" s="80" t="s">
        <v>122</v>
      </c>
      <c r="P62" s="20"/>
    </row>
    <row r="63" spans="1:16" s="23" customFormat="1" ht="18" customHeight="1">
      <c r="A63" s="26" t="s">
        <v>164</v>
      </c>
      <c r="B63" s="27">
        <f t="shared" si="13"/>
        <v>2693</v>
      </c>
      <c r="C63" s="28">
        <v>199</v>
      </c>
      <c r="D63" s="28">
        <v>169</v>
      </c>
      <c r="E63" s="28">
        <v>127</v>
      </c>
      <c r="F63" s="28">
        <v>197</v>
      </c>
      <c r="G63" s="28">
        <v>151</v>
      </c>
      <c r="H63" s="28">
        <v>335</v>
      </c>
      <c r="I63" s="28">
        <v>164</v>
      </c>
      <c r="J63" s="28">
        <v>353</v>
      </c>
      <c r="K63" s="28">
        <v>241</v>
      </c>
      <c r="L63" s="28">
        <v>281</v>
      </c>
      <c r="M63" s="28">
        <v>215</v>
      </c>
      <c r="N63" s="28">
        <v>261</v>
      </c>
      <c r="O63" s="80" t="s">
        <v>126</v>
      </c>
    </row>
    <row r="64" spans="1:16" s="23" customFormat="1" ht="18" customHeight="1">
      <c r="A64" s="26" t="s">
        <v>19</v>
      </c>
      <c r="B64" s="27">
        <f t="shared" si="13"/>
        <v>12400</v>
      </c>
      <c r="C64" s="28">
        <v>732</v>
      </c>
      <c r="D64" s="28">
        <v>807</v>
      </c>
      <c r="E64" s="28">
        <v>942</v>
      </c>
      <c r="F64" s="28">
        <v>1226</v>
      </c>
      <c r="G64" s="28">
        <v>1074</v>
      </c>
      <c r="H64" s="28">
        <v>1149</v>
      </c>
      <c r="I64" s="28">
        <v>1154</v>
      </c>
      <c r="J64" s="28">
        <v>1283</v>
      </c>
      <c r="K64" s="28">
        <v>894</v>
      </c>
      <c r="L64" s="28">
        <v>890</v>
      </c>
      <c r="M64" s="28">
        <v>856</v>
      </c>
      <c r="N64" s="28">
        <v>1393</v>
      </c>
      <c r="O64" s="80" t="s">
        <v>214</v>
      </c>
      <c r="P64" s="20"/>
    </row>
    <row r="65" spans="1:16" s="23" customFormat="1" ht="18" customHeight="1">
      <c r="A65" s="32" t="s">
        <v>48</v>
      </c>
      <c r="B65" s="33">
        <f t="shared" si="13"/>
        <v>1783</v>
      </c>
      <c r="C65" s="34">
        <v>97</v>
      </c>
      <c r="D65" s="34">
        <v>74</v>
      </c>
      <c r="E65" s="34">
        <v>265</v>
      </c>
      <c r="F65" s="34">
        <v>113</v>
      </c>
      <c r="G65" s="34">
        <v>81</v>
      </c>
      <c r="H65" s="34">
        <v>149</v>
      </c>
      <c r="I65" s="34">
        <v>122</v>
      </c>
      <c r="J65" s="34">
        <v>158</v>
      </c>
      <c r="K65" s="34">
        <v>157</v>
      </c>
      <c r="L65" s="34">
        <v>167</v>
      </c>
      <c r="M65" s="34">
        <v>188</v>
      </c>
      <c r="N65" s="34">
        <v>212</v>
      </c>
      <c r="O65" s="85" t="s">
        <v>118</v>
      </c>
    </row>
    <row r="66" spans="1:16" s="23" customFormat="1" ht="20.25" customHeight="1">
      <c r="A66" s="10" t="s">
        <v>22</v>
      </c>
      <c r="B66" s="11">
        <f t="shared" si="13"/>
        <v>8271</v>
      </c>
      <c r="C66" s="11">
        <f t="shared" ref="C66:N66" si="16">SUM(C67:C68)</f>
        <v>536</v>
      </c>
      <c r="D66" s="11">
        <f t="shared" si="16"/>
        <v>386</v>
      </c>
      <c r="E66" s="11">
        <f t="shared" si="16"/>
        <v>666</v>
      </c>
      <c r="F66" s="11">
        <f t="shared" si="16"/>
        <v>752</v>
      </c>
      <c r="G66" s="11">
        <f t="shared" si="16"/>
        <v>694</v>
      </c>
      <c r="H66" s="11">
        <f t="shared" si="16"/>
        <v>1046</v>
      </c>
      <c r="I66" s="11">
        <f t="shared" si="16"/>
        <v>458</v>
      </c>
      <c r="J66" s="11">
        <f t="shared" si="16"/>
        <v>788</v>
      </c>
      <c r="K66" s="11">
        <f t="shared" si="16"/>
        <v>818</v>
      </c>
      <c r="L66" s="11">
        <f t="shared" si="16"/>
        <v>656</v>
      </c>
      <c r="M66" s="11">
        <f t="shared" si="16"/>
        <v>462</v>
      </c>
      <c r="N66" s="11">
        <f t="shared" si="16"/>
        <v>1009</v>
      </c>
      <c r="O66" s="84" t="s">
        <v>128</v>
      </c>
      <c r="P66" s="20"/>
    </row>
    <row r="67" spans="1:16" s="23" customFormat="1" ht="18" customHeight="1">
      <c r="A67" s="35" t="s">
        <v>23</v>
      </c>
      <c r="B67" s="27">
        <f t="shared" si="13"/>
        <v>4503</v>
      </c>
      <c r="C67" s="28">
        <v>249</v>
      </c>
      <c r="D67" s="28">
        <v>170</v>
      </c>
      <c r="E67" s="28">
        <v>381</v>
      </c>
      <c r="F67" s="28">
        <v>444</v>
      </c>
      <c r="G67" s="28">
        <v>363</v>
      </c>
      <c r="H67" s="28">
        <v>716</v>
      </c>
      <c r="I67" s="28">
        <v>264</v>
      </c>
      <c r="J67" s="28">
        <v>318</v>
      </c>
      <c r="K67" s="28">
        <v>465</v>
      </c>
      <c r="L67" s="28">
        <v>344</v>
      </c>
      <c r="M67" s="28">
        <v>198</v>
      </c>
      <c r="N67" s="28">
        <v>591</v>
      </c>
      <c r="O67" s="81" t="s">
        <v>215</v>
      </c>
    </row>
    <row r="68" spans="1:16" s="23" customFormat="1" ht="18" customHeight="1">
      <c r="A68" s="36" t="s">
        <v>48</v>
      </c>
      <c r="B68" s="33">
        <f t="shared" si="13"/>
        <v>3768</v>
      </c>
      <c r="C68" s="34">
        <v>287</v>
      </c>
      <c r="D68" s="34">
        <v>216</v>
      </c>
      <c r="E68" s="34">
        <v>285</v>
      </c>
      <c r="F68" s="34">
        <v>308</v>
      </c>
      <c r="G68" s="34">
        <v>331</v>
      </c>
      <c r="H68" s="34">
        <v>330</v>
      </c>
      <c r="I68" s="34">
        <v>194</v>
      </c>
      <c r="J68" s="34">
        <v>470</v>
      </c>
      <c r="K68" s="34">
        <v>353</v>
      </c>
      <c r="L68" s="34">
        <v>312</v>
      </c>
      <c r="M68" s="34">
        <v>264</v>
      </c>
      <c r="N68" s="34">
        <v>418</v>
      </c>
      <c r="O68" s="86" t="s">
        <v>118</v>
      </c>
      <c r="P68" s="20"/>
    </row>
    <row r="69" spans="1:16" s="23" customFormat="1" ht="24.75" customHeight="1">
      <c r="A69" s="10" t="s">
        <v>24</v>
      </c>
      <c r="B69" s="11">
        <f t="shared" si="13"/>
        <v>32970</v>
      </c>
      <c r="C69" s="11">
        <f t="shared" ref="C69:N69" si="17">SUM(C70:C73)</f>
        <v>2396</v>
      </c>
      <c r="D69" s="11">
        <f t="shared" si="17"/>
        <v>2541</v>
      </c>
      <c r="E69" s="11">
        <f t="shared" si="17"/>
        <v>3069</v>
      </c>
      <c r="F69" s="11">
        <f t="shared" si="17"/>
        <v>2809</v>
      </c>
      <c r="G69" s="11">
        <f t="shared" si="17"/>
        <v>2416</v>
      </c>
      <c r="H69" s="11">
        <f t="shared" si="17"/>
        <v>2354</v>
      </c>
      <c r="I69" s="11">
        <f t="shared" si="17"/>
        <v>2486</v>
      </c>
      <c r="J69" s="11">
        <f t="shared" si="17"/>
        <v>2312</v>
      </c>
      <c r="K69" s="11">
        <f t="shared" si="17"/>
        <v>2392</v>
      </c>
      <c r="L69" s="11">
        <f t="shared" si="17"/>
        <v>3106</v>
      </c>
      <c r="M69" s="11">
        <f t="shared" si="17"/>
        <v>3023</v>
      </c>
      <c r="N69" s="11">
        <f t="shared" si="17"/>
        <v>4066</v>
      </c>
      <c r="O69" s="84" t="s">
        <v>170</v>
      </c>
    </row>
    <row r="70" spans="1:16" s="23" customFormat="1" ht="18" customHeight="1">
      <c r="A70" s="35" t="s">
        <v>165</v>
      </c>
      <c r="B70" s="27">
        <f t="shared" si="13"/>
        <v>3675</v>
      </c>
      <c r="C70" s="28">
        <v>263</v>
      </c>
      <c r="D70" s="28">
        <v>306</v>
      </c>
      <c r="E70" s="28">
        <v>282</v>
      </c>
      <c r="F70" s="28">
        <v>322</v>
      </c>
      <c r="G70" s="28">
        <v>329</v>
      </c>
      <c r="H70" s="28">
        <v>240</v>
      </c>
      <c r="I70" s="28">
        <v>291</v>
      </c>
      <c r="J70" s="28">
        <v>261</v>
      </c>
      <c r="K70" s="28">
        <v>331</v>
      </c>
      <c r="L70" s="28">
        <v>382</v>
      </c>
      <c r="M70" s="28">
        <v>279</v>
      </c>
      <c r="N70" s="28">
        <v>389</v>
      </c>
      <c r="O70" s="81" t="s">
        <v>216</v>
      </c>
      <c r="P70" s="20"/>
    </row>
    <row r="71" spans="1:16" s="23" customFormat="1" ht="18" customHeight="1">
      <c r="A71" s="35" t="s">
        <v>25</v>
      </c>
      <c r="B71" s="27">
        <f t="shared" si="13"/>
        <v>6098</v>
      </c>
      <c r="C71" s="28">
        <v>494</v>
      </c>
      <c r="D71" s="28">
        <v>539</v>
      </c>
      <c r="E71" s="28">
        <v>510</v>
      </c>
      <c r="F71" s="28">
        <v>483</v>
      </c>
      <c r="G71" s="28">
        <v>393</v>
      </c>
      <c r="H71" s="28">
        <v>357</v>
      </c>
      <c r="I71" s="28">
        <v>443</v>
      </c>
      <c r="J71" s="28">
        <v>439</v>
      </c>
      <c r="K71" s="28">
        <v>421</v>
      </c>
      <c r="L71" s="28">
        <v>569</v>
      </c>
      <c r="M71" s="28">
        <v>547</v>
      </c>
      <c r="N71" s="28">
        <v>903</v>
      </c>
      <c r="O71" s="81" t="s">
        <v>129</v>
      </c>
    </row>
    <row r="72" spans="1:16" s="23" customFormat="1" ht="18" customHeight="1">
      <c r="A72" s="35" t="s">
        <v>166</v>
      </c>
      <c r="B72" s="27">
        <f t="shared" si="13"/>
        <v>20034</v>
      </c>
      <c r="C72" s="28">
        <v>1405</v>
      </c>
      <c r="D72" s="28">
        <v>1487</v>
      </c>
      <c r="E72" s="28">
        <v>1974</v>
      </c>
      <c r="F72" s="28">
        <v>1721</v>
      </c>
      <c r="G72" s="28">
        <v>1397</v>
      </c>
      <c r="H72" s="28">
        <v>1501</v>
      </c>
      <c r="I72" s="28">
        <v>1522</v>
      </c>
      <c r="J72" s="28">
        <v>1411</v>
      </c>
      <c r="K72" s="28">
        <v>1442</v>
      </c>
      <c r="L72" s="28">
        <v>1835</v>
      </c>
      <c r="M72" s="28">
        <v>1856</v>
      </c>
      <c r="N72" s="28">
        <v>2483</v>
      </c>
      <c r="O72" s="81" t="s">
        <v>217</v>
      </c>
      <c r="P72" s="20"/>
    </row>
    <row r="73" spans="1:16" s="23" customFormat="1" ht="18" customHeight="1">
      <c r="A73" s="36" t="s">
        <v>48</v>
      </c>
      <c r="B73" s="33">
        <f t="shared" si="13"/>
        <v>3163</v>
      </c>
      <c r="C73" s="34">
        <v>234</v>
      </c>
      <c r="D73" s="34">
        <v>209</v>
      </c>
      <c r="E73" s="34">
        <v>303</v>
      </c>
      <c r="F73" s="34">
        <v>283</v>
      </c>
      <c r="G73" s="34">
        <v>297</v>
      </c>
      <c r="H73" s="34">
        <v>256</v>
      </c>
      <c r="I73" s="34">
        <v>230</v>
      </c>
      <c r="J73" s="34">
        <v>201</v>
      </c>
      <c r="K73" s="34">
        <v>198</v>
      </c>
      <c r="L73" s="34">
        <v>320</v>
      </c>
      <c r="M73" s="34">
        <v>341</v>
      </c>
      <c r="N73" s="34">
        <v>291</v>
      </c>
      <c r="O73" s="86" t="s">
        <v>118</v>
      </c>
    </row>
    <row r="74" spans="1:16" s="23" customFormat="1" ht="22.5" customHeight="1">
      <c r="A74" s="10" t="s">
        <v>26</v>
      </c>
      <c r="B74" s="11">
        <f t="shared" si="13"/>
        <v>18761</v>
      </c>
      <c r="C74" s="11">
        <f>SUM(C75:C77)</f>
        <v>1530</v>
      </c>
      <c r="D74" s="11">
        <f t="shared" ref="D74:N74" si="18">SUM(D75:D77)</f>
        <v>983</v>
      </c>
      <c r="E74" s="11">
        <f t="shared" si="18"/>
        <v>1508</v>
      </c>
      <c r="F74" s="11">
        <f t="shared" si="18"/>
        <v>1760</v>
      </c>
      <c r="G74" s="11">
        <f t="shared" si="18"/>
        <v>1431</v>
      </c>
      <c r="H74" s="11">
        <f t="shared" si="18"/>
        <v>1742</v>
      </c>
      <c r="I74" s="11">
        <f t="shared" si="18"/>
        <v>1788</v>
      </c>
      <c r="J74" s="11">
        <f t="shared" si="18"/>
        <v>1575</v>
      </c>
      <c r="K74" s="11">
        <f t="shared" si="18"/>
        <v>1979</v>
      </c>
      <c r="L74" s="11">
        <f t="shared" si="18"/>
        <v>1580</v>
      </c>
      <c r="M74" s="11">
        <f t="shared" si="18"/>
        <v>1266</v>
      </c>
      <c r="N74" s="11">
        <f t="shared" si="18"/>
        <v>1619</v>
      </c>
      <c r="O74" s="84" t="s">
        <v>218</v>
      </c>
      <c r="P74" s="20"/>
    </row>
    <row r="75" spans="1:16" s="23" customFormat="1" ht="18" customHeight="1">
      <c r="A75" s="35" t="s">
        <v>27</v>
      </c>
      <c r="B75" s="11">
        <f t="shared" si="13"/>
        <v>16915</v>
      </c>
      <c r="C75" s="28">
        <v>1397</v>
      </c>
      <c r="D75" s="28">
        <v>865</v>
      </c>
      <c r="E75" s="28">
        <v>1339</v>
      </c>
      <c r="F75" s="28">
        <v>1607</v>
      </c>
      <c r="G75" s="28">
        <v>1311</v>
      </c>
      <c r="H75" s="28">
        <v>1585</v>
      </c>
      <c r="I75" s="28">
        <v>1581</v>
      </c>
      <c r="J75" s="28">
        <v>1409</v>
      </c>
      <c r="K75" s="28">
        <v>1776</v>
      </c>
      <c r="L75" s="28">
        <v>1411</v>
      </c>
      <c r="M75" s="28">
        <v>1167</v>
      </c>
      <c r="N75" s="28">
        <v>1467</v>
      </c>
      <c r="O75" s="81" t="s">
        <v>130</v>
      </c>
    </row>
    <row r="76" spans="1:16" s="23" customFormat="1" ht="18" customHeight="1">
      <c r="A76" s="35" t="s">
        <v>167</v>
      </c>
      <c r="B76" s="11">
        <f t="shared" si="13"/>
        <v>1791</v>
      </c>
      <c r="C76" s="28">
        <v>130</v>
      </c>
      <c r="D76" s="28">
        <v>118</v>
      </c>
      <c r="E76" s="28">
        <v>156</v>
      </c>
      <c r="F76" s="28">
        <v>147</v>
      </c>
      <c r="G76" s="28">
        <v>115</v>
      </c>
      <c r="H76" s="28">
        <v>157</v>
      </c>
      <c r="I76" s="28">
        <v>200</v>
      </c>
      <c r="J76" s="28">
        <v>164</v>
      </c>
      <c r="K76" s="28">
        <v>199</v>
      </c>
      <c r="L76" s="28">
        <v>165</v>
      </c>
      <c r="M76" s="28">
        <v>93</v>
      </c>
      <c r="N76" s="28">
        <v>147</v>
      </c>
      <c r="O76" s="81" t="s">
        <v>219</v>
      </c>
      <c r="P76" s="20"/>
    </row>
    <row r="77" spans="1:16" s="23" customFormat="1" ht="18" customHeight="1">
      <c r="A77" s="36" t="s">
        <v>48</v>
      </c>
      <c r="B77" s="12">
        <f t="shared" si="13"/>
        <v>55</v>
      </c>
      <c r="C77" s="34">
        <v>3</v>
      </c>
      <c r="D77" s="34">
        <v>0</v>
      </c>
      <c r="E77" s="34">
        <v>13</v>
      </c>
      <c r="F77" s="34">
        <v>6</v>
      </c>
      <c r="G77" s="34">
        <v>5</v>
      </c>
      <c r="H77" s="34">
        <v>0</v>
      </c>
      <c r="I77" s="34">
        <v>7</v>
      </c>
      <c r="J77" s="34">
        <v>2</v>
      </c>
      <c r="K77" s="34">
        <v>4</v>
      </c>
      <c r="L77" s="34">
        <v>4</v>
      </c>
      <c r="M77" s="34">
        <v>6</v>
      </c>
      <c r="N77" s="34">
        <v>5</v>
      </c>
      <c r="O77" s="86" t="s">
        <v>118</v>
      </c>
    </row>
    <row r="78" spans="1:16" s="23" customFormat="1" ht="18.75" customHeight="1">
      <c r="A78" s="10" t="s">
        <v>43</v>
      </c>
      <c r="B78" s="11">
        <f t="shared" si="13"/>
        <v>32050</v>
      </c>
      <c r="C78" s="11">
        <f>SUM(C79:C83)</f>
        <v>2312</v>
      </c>
      <c r="D78" s="11">
        <f t="shared" ref="D78:N78" si="19">SUM(D79:D83)</f>
        <v>1949</v>
      </c>
      <c r="E78" s="11">
        <f t="shared" si="19"/>
        <v>2404</v>
      </c>
      <c r="F78" s="11">
        <f t="shared" si="19"/>
        <v>2434</v>
      </c>
      <c r="G78" s="11">
        <f t="shared" si="19"/>
        <v>1772</v>
      </c>
      <c r="H78" s="11">
        <f t="shared" si="19"/>
        <v>4500</v>
      </c>
      <c r="I78" s="11">
        <f t="shared" si="19"/>
        <v>1220</v>
      </c>
      <c r="J78" s="11">
        <f t="shared" si="19"/>
        <v>5573</v>
      </c>
      <c r="K78" s="11">
        <f t="shared" si="19"/>
        <v>2333</v>
      </c>
      <c r="L78" s="11">
        <f t="shared" si="19"/>
        <v>3826</v>
      </c>
      <c r="M78" s="11">
        <f t="shared" si="19"/>
        <v>1569</v>
      </c>
      <c r="N78" s="11">
        <f t="shared" si="19"/>
        <v>2158</v>
      </c>
      <c r="O78" s="84" t="s">
        <v>220</v>
      </c>
      <c r="P78" s="20"/>
    </row>
    <row r="79" spans="1:16" s="23" customFormat="1" ht="19.5" customHeight="1">
      <c r="A79" s="35" t="s">
        <v>44</v>
      </c>
      <c r="B79" s="27">
        <f t="shared" si="13"/>
        <v>4622</v>
      </c>
      <c r="C79" s="28">
        <v>297</v>
      </c>
      <c r="D79" s="28">
        <v>859</v>
      </c>
      <c r="E79" s="28">
        <v>278</v>
      </c>
      <c r="F79" s="28">
        <v>396</v>
      </c>
      <c r="G79" s="28">
        <v>226</v>
      </c>
      <c r="H79" s="28">
        <v>377</v>
      </c>
      <c r="I79" s="28">
        <v>119</v>
      </c>
      <c r="J79" s="28">
        <v>642</v>
      </c>
      <c r="K79" s="28">
        <v>328</v>
      </c>
      <c r="L79" s="28">
        <v>675</v>
      </c>
      <c r="M79" s="28">
        <v>149</v>
      </c>
      <c r="N79" s="28">
        <v>276</v>
      </c>
      <c r="O79" s="81" t="s">
        <v>131</v>
      </c>
    </row>
    <row r="80" spans="1:16" s="23" customFormat="1" ht="18" customHeight="1">
      <c r="A80" s="35" t="s">
        <v>45</v>
      </c>
      <c r="B80" s="27">
        <f t="shared" si="13"/>
        <v>1817</v>
      </c>
      <c r="C80" s="28">
        <v>88</v>
      </c>
      <c r="D80" s="28">
        <v>98</v>
      </c>
      <c r="E80" s="28">
        <v>173</v>
      </c>
      <c r="F80" s="28">
        <v>184</v>
      </c>
      <c r="G80" s="28">
        <v>117</v>
      </c>
      <c r="H80" s="28">
        <v>156</v>
      </c>
      <c r="I80" s="28">
        <v>129</v>
      </c>
      <c r="J80" s="28">
        <v>251</v>
      </c>
      <c r="K80" s="28">
        <v>159</v>
      </c>
      <c r="L80" s="28">
        <v>228</v>
      </c>
      <c r="M80" s="28">
        <v>115</v>
      </c>
      <c r="N80" s="28">
        <v>119</v>
      </c>
      <c r="O80" s="81" t="s">
        <v>221</v>
      </c>
      <c r="P80" s="20"/>
    </row>
    <row r="81" spans="1:16" s="23" customFormat="1" ht="18" customHeight="1">
      <c r="A81" s="35" t="s">
        <v>46</v>
      </c>
      <c r="B81" s="27">
        <f t="shared" si="13"/>
        <v>10477</v>
      </c>
      <c r="C81" s="28">
        <v>1198</v>
      </c>
      <c r="D81" s="28">
        <v>405</v>
      </c>
      <c r="E81" s="28">
        <v>1047</v>
      </c>
      <c r="F81" s="28">
        <v>518</v>
      </c>
      <c r="G81" s="28">
        <v>426</v>
      </c>
      <c r="H81" s="28">
        <v>1708</v>
      </c>
      <c r="I81" s="28">
        <v>263</v>
      </c>
      <c r="J81" s="28">
        <v>2261</v>
      </c>
      <c r="K81" s="28">
        <v>668</v>
      </c>
      <c r="L81" s="28">
        <v>1150</v>
      </c>
      <c r="M81" s="28">
        <v>364</v>
      </c>
      <c r="N81" s="28">
        <v>469</v>
      </c>
      <c r="O81" s="81" t="s">
        <v>222</v>
      </c>
    </row>
    <row r="82" spans="1:16" s="23" customFormat="1" ht="18" customHeight="1">
      <c r="A82" s="35" t="s">
        <v>47</v>
      </c>
      <c r="B82" s="27">
        <f t="shared" si="13"/>
        <v>5936</v>
      </c>
      <c r="C82" s="28">
        <v>321</v>
      </c>
      <c r="D82" s="28">
        <v>148</v>
      </c>
      <c r="E82" s="28">
        <v>329</v>
      </c>
      <c r="F82" s="28">
        <v>553</v>
      </c>
      <c r="G82" s="28">
        <v>392</v>
      </c>
      <c r="H82" s="28">
        <v>916</v>
      </c>
      <c r="I82" s="28">
        <v>309</v>
      </c>
      <c r="J82" s="28">
        <v>894</v>
      </c>
      <c r="K82" s="28">
        <v>413</v>
      </c>
      <c r="L82" s="28">
        <v>677</v>
      </c>
      <c r="M82" s="28">
        <v>466</v>
      </c>
      <c r="N82" s="28">
        <v>518</v>
      </c>
      <c r="O82" s="81" t="s">
        <v>223</v>
      </c>
      <c r="P82" s="20"/>
    </row>
    <row r="83" spans="1:16" s="23" customFormat="1" ht="18" customHeight="1">
      <c r="A83" s="36" t="s">
        <v>48</v>
      </c>
      <c r="B83" s="33">
        <f>SUM(C83:N83)</f>
        <v>9198</v>
      </c>
      <c r="C83" s="34">
        <v>408</v>
      </c>
      <c r="D83" s="34">
        <v>439</v>
      </c>
      <c r="E83" s="34">
        <v>577</v>
      </c>
      <c r="F83" s="34">
        <v>783</v>
      </c>
      <c r="G83" s="34">
        <v>611</v>
      </c>
      <c r="H83" s="34">
        <v>1343</v>
      </c>
      <c r="I83" s="34">
        <v>400</v>
      </c>
      <c r="J83" s="34">
        <v>1525</v>
      </c>
      <c r="K83" s="34">
        <v>765</v>
      </c>
      <c r="L83" s="34">
        <v>1096</v>
      </c>
      <c r="M83" s="34">
        <v>475</v>
      </c>
      <c r="N83" s="34">
        <v>776</v>
      </c>
      <c r="O83" s="81" t="s">
        <v>118</v>
      </c>
    </row>
    <row r="84" spans="1:16" s="23" customFormat="1" ht="18" customHeight="1">
      <c r="A84" s="10" t="s">
        <v>226</v>
      </c>
      <c r="B84" s="11">
        <f t="shared" ref="B84:B85" si="20">SUM(C84:N84)</f>
        <v>90</v>
      </c>
      <c r="C84" s="88" t="s">
        <v>28</v>
      </c>
      <c r="D84" s="88" t="s">
        <v>28</v>
      </c>
      <c r="E84" s="88" t="s">
        <v>28</v>
      </c>
      <c r="F84" s="88" t="s">
        <v>28</v>
      </c>
      <c r="G84" s="88" t="s">
        <v>28</v>
      </c>
      <c r="H84" s="88" t="s">
        <v>28</v>
      </c>
      <c r="I84" s="88" t="s">
        <v>28</v>
      </c>
      <c r="J84" s="88" t="s">
        <v>28</v>
      </c>
      <c r="K84" s="28">
        <v>21</v>
      </c>
      <c r="L84" s="28">
        <v>21</v>
      </c>
      <c r="M84" s="28">
        <v>12</v>
      </c>
      <c r="N84" s="28">
        <v>36</v>
      </c>
      <c r="O84" s="82" t="s">
        <v>228</v>
      </c>
    </row>
    <row r="85" spans="1:16" s="23" customFormat="1" ht="18" customHeight="1">
      <c r="A85" s="18" t="s">
        <v>227</v>
      </c>
      <c r="B85" s="12">
        <f t="shared" si="20"/>
        <v>33</v>
      </c>
      <c r="C85" s="89" t="s">
        <v>28</v>
      </c>
      <c r="D85" s="89" t="s">
        <v>28</v>
      </c>
      <c r="E85" s="89" t="s">
        <v>28</v>
      </c>
      <c r="F85" s="89" t="s">
        <v>28</v>
      </c>
      <c r="G85" s="89" t="s">
        <v>28</v>
      </c>
      <c r="H85" s="89" t="s">
        <v>28</v>
      </c>
      <c r="I85" s="89" t="s">
        <v>28</v>
      </c>
      <c r="J85" s="89" t="s">
        <v>28</v>
      </c>
      <c r="K85" s="34">
        <v>2</v>
      </c>
      <c r="L85" s="34">
        <v>14</v>
      </c>
      <c r="M85" s="34">
        <v>10</v>
      </c>
      <c r="N85" s="34">
        <v>7</v>
      </c>
      <c r="O85" s="87" t="s">
        <v>118</v>
      </c>
    </row>
    <row r="86" spans="1:16" s="23" customFormat="1" ht="17.25" customHeight="1">
      <c r="A86" s="37" t="s">
        <v>229</v>
      </c>
      <c r="B86" s="37"/>
      <c r="C86" s="37"/>
      <c r="D86" s="37"/>
      <c r="E86" s="37"/>
      <c r="F86" s="37"/>
      <c r="G86" s="37"/>
      <c r="H86" s="37"/>
      <c r="I86" s="37"/>
      <c r="J86" s="37"/>
      <c r="K86" s="37"/>
      <c r="L86" s="37"/>
      <c r="M86" s="70"/>
      <c r="N86" s="70"/>
      <c r="O86" s="7" t="s">
        <v>230</v>
      </c>
      <c r="P86" s="20"/>
    </row>
    <row r="87" spans="1:16" s="23" customFormat="1" ht="17.25" customHeight="1">
      <c r="A87" s="38" t="s">
        <v>176</v>
      </c>
      <c r="B87" s="37"/>
      <c r="C87" s="37"/>
      <c r="D87" s="37"/>
      <c r="E87" s="37"/>
      <c r="F87" s="37"/>
      <c r="G87" s="37"/>
      <c r="H87" s="37"/>
      <c r="I87" s="37"/>
      <c r="J87" s="37"/>
      <c r="K87" s="37"/>
      <c r="L87" s="37"/>
      <c r="M87" s="37"/>
      <c r="N87" s="37"/>
      <c r="O87" s="69" t="s">
        <v>231</v>
      </c>
    </row>
    <row r="88" spans="1:16" ht="12.75" customHeight="1">
      <c r="C88" s="39"/>
      <c r="D88" s="39"/>
      <c r="E88" s="39"/>
      <c r="F88" s="39"/>
      <c r="G88" s="39"/>
      <c r="H88" s="39"/>
      <c r="I88" s="39"/>
      <c r="J88" s="39"/>
      <c r="K88" s="39"/>
      <c r="L88" s="39"/>
      <c r="M88" s="39"/>
      <c r="N88" s="39"/>
    </row>
    <row r="89" spans="1:16" ht="12.75" customHeight="1">
      <c r="C89" s="39"/>
      <c r="D89" s="39"/>
      <c r="E89" s="39"/>
      <c r="F89" s="39"/>
      <c r="G89" s="39"/>
      <c r="H89" s="39"/>
      <c r="I89" s="39"/>
      <c r="J89" s="39"/>
      <c r="K89" s="39"/>
      <c r="L89" s="39"/>
      <c r="M89" s="39"/>
      <c r="N89" s="39"/>
    </row>
    <row r="90" spans="1:16">
      <c r="C90" s="39"/>
      <c r="D90" s="39"/>
      <c r="E90" s="39"/>
      <c r="F90" s="39"/>
      <c r="G90" s="39"/>
      <c r="H90" s="39"/>
      <c r="I90" s="39"/>
      <c r="J90" s="39"/>
      <c r="K90" s="39"/>
      <c r="L90" s="39"/>
      <c r="M90" s="39"/>
      <c r="N90" s="39"/>
    </row>
  </sheetData>
  <mergeCells count="2">
    <mergeCell ref="A2:O2"/>
    <mergeCell ref="A1:O1"/>
  </mergeCells>
  <printOptions horizontalCentered="1"/>
  <pageMargins left="0.17" right="0.16" top="0.59" bottom="0.511811023622047" header="0.196850393700787" footer="0.196850393700787"/>
  <pageSetup paperSize="9" scale="59" orientation="portrait" r:id="rId1"/>
  <headerFooter alignWithMargins="0"/>
  <colBreaks count="1" manualBreakCount="1">
    <brk id="15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10.1 figures workings</vt:lpstr>
      <vt:lpstr>10.9 </vt:lpstr>
      <vt:lpstr>'10.9 '!Print_Titles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F.shifaza</cp:lastModifiedBy>
  <cp:lastPrinted>2015-01-11T06:08:22Z</cp:lastPrinted>
  <dcterms:created xsi:type="dcterms:W3CDTF">2007-02-07T06:41:32Z</dcterms:created>
  <dcterms:modified xsi:type="dcterms:W3CDTF">2015-01-11T06:25:31Z</dcterms:modified>
</cp:coreProperties>
</file>