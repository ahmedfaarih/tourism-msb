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/>
  <bookViews>
    <workbookView xWindow="11592" yWindow="960" windowWidth="7320" windowHeight="4128" tabRatio="749" firstSheet="1" activeTab="1"/>
  </bookViews>
  <sheets>
    <sheet name="10.1 figures workings" sheetId="44" state="hidden" r:id="rId1"/>
    <sheet name="10.8" sheetId="41" r:id="rId2"/>
  </sheets>
  <definedNames>
    <definedName name="\a">[1]TCARR2000!#REF!</definedName>
    <definedName name="asd">#REF!</definedName>
    <definedName name="fgh">#REF!</definedName>
    <definedName name="fgnjvhkj">#REF!</definedName>
    <definedName name="new">[2]TCARR2001!#REF!</definedName>
    <definedName name="_xlnm.Print_Area" localSheetId="1">'10.8'!$A$1:$K$60</definedName>
    <definedName name="Print_Area_MI">#REF!</definedName>
    <definedName name="ttttt">#REF!</definedName>
  </definedNames>
  <calcPr calcId="124519"/>
</workbook>
</file>

<file path=xl/calcChain.xml><?xml version="1.0" encoding="utf-8"?>
<calcChain xmlns="http://schemas.openxmlformats.org/spreadsheetml/2006/main">
  <c r="H5" i="41"/>
  <c r="K60" i="44"/>
  <c r="J60"/>
  <c r="I60"/>
  <c r="H60"/>
  <c r="K59"/>
  <c r="J59"/>
  <c r="I59"/>
  <c r="H59"/>
  <c r="K58"/>
  <c r="J58"/>
  <c r="I58"/>
  <c r="H58"/>
  <c r="K57"/>
  <c r="J57"/>
  <c r="I57"/>
  <c r="H57"/>
  <c r="K56"/>
  <c r="J56"/>
  <c r="I56"/>
  <c r="H56"/>
  <c r="K55"/>
  <c r="J55"/>
  <c r="I55"/>
  <c r="H55"/>
  <c r="K54"/>
  <c r="J54"/>
  <c r="I54"/>
  <c r="H54"/>
  <c r="K53"/>
  <c r="J53"/>
  <c r="I53"/>
  <c r="H53"/>
  <c r="K52"/>
  <c r="J52"/>
  <c r="I52"/>
  <c r="H52"/>
  <c r="K51"/>
  <c r="J51"/>
  <c r="I51"/>
  <c r="H51"/>
  <c r="K50"/>
  <c r="J50"/>
  <c r="I50"/>
  <c r="H50"/>
  <c r="K49"/>
  <c r="J49"/>
  <c r="I49"/>
  <c r="H49"/>
  <c r="K48"/>
  <c r="J48"/>
  <c r="I48"/>
  <c r="H48"/>
  <c r="K47"/>
  <c r="J47"/>
  <c r="I47"/>
  <c r="H47"/>
  <c r="K46"/>
  <c r="J46"/>
  <c r="I46"/>
  <c r="H46"/>
  <c r="K45"/>
  <c r="J45"/>
  <c r="I45"/>
  <c r="H45"/>
  <c r="K44"/>
  <c r="J44"/>
  <c r="I44"/>
  <c r="H44"/>
  <c r="K43"/>
  <c r="J43"/>
  <c r="I43"/>
  <c r="H43"/>
  <c r="K42"/>
  <c r="J42"/>
  <c r="I42"/>
  <c r="H42"/>
  <c r="K41"/>
  <c r="J41"/>
  <c r="I41"/>
  <c r="H41"/>
  <c r="K40"/>
  <c r="J40"/>
  <c r="I40"/>
  <c r="H40"/>
  <c r="K39"/>
  <c r="J39"/>
  <c r="I39"/>
  <c r="H39"/>
  <c r="K38"/>
  <c r="J38"/>
  <c r="I38"/>
  <c r="H38"/>
  <c r="K37"/>
  <c r="J37"/>
  <c r="I37"/>
  <c r="H37"/>
  <c r="K36"/>
  <c r="J36"/>
  <c r="I36"/>
  <c r="H36"/>
  <c r="K35"/>
  <c r="J35"/>
  <c r="I35"/>
  <c r="H35"/>
  <c r="K34"/>
  <c r="J34"/>
  <c r="I34"/>
  <c r="H34"/>
  <c r="K33"/>
  <c r="J33"/>
  <c r="I33"/>
  <c r="H33"/>
  <c r="K32"/>
  <c r="J32"/>
  <c r="I32"/>
  <c r="H32"/>
  <c r="K31"/>
  <c r="J31"/>
  <c r="I31"/>
  <c r="H31"/>
  <c r="K30"/>
  <c r="J30"/>
  <c r="I30"/>
  <c r="H30"/>
  <c r="K29"/>
  <c r="J29"/>
  <c r="I29"/>
  <c r="H29"/>
  <c r="K28"/>
  <c r="J28"/>
  <c r="I28"/>
  <c r="H28"/>
  <c r="K27"/>
  <c r="J27"/>
  <c r="I27"/>
  <c r="H27"/>
  <c r="K26"/>
  <c r="J26"/>
  <c r="I26"/>
  <c r="H26"/>
  <c r="K25"/>
  <c r="J25"/>
  <c r="I25"/>
  <c r="H25"/>
  <c r="K24"/>
  <c r="J24"/>
  <c r="I24"/>
  <c r="H24"/>
  <c r="K23"/>
  <c r="J23"/>
  <c r="I23"/>
  <c r="H23"/>
  <c r="K22"/>
  <c r="J22"/>
  <c r="I22"/>
  <c r="H22"/>
  <c r="K21"/>
  <c r="J21"/>
  <c r="I21"/>
  <c r="H21"/>
  <c r="K20"/>
  <c r="J20"/>
  <c r="I20"/>
  <c r="H20"/>
  <c r="K19"/>
  <c r="J19"/>
  <c r="I19"/>
  <c r="H19"/>
  <c r="K18"/>
  <c r="J18"/>
  <c r="I18"/>
  <c r="H18"/>
  <c r="K17"/>
  <c r="J17"/>
  <c r="I17"/>
  <c r="H17"/>
  <c r="K16"/>
  <c r="J16"/>
  <c r="I16"/>
  <c r="H16"/>
  <c r="K15"/>
  <c r="J15"/>
  <c r="I15"/>
  <c r="H15"/>
  <c r="K14"/>
  <c r="J14"/>
  <c r="I14"/>
  <c r="H14"/>
  <c r="K13"/>
  <c r="J13"/>
  <c r="I13"/>
  <c r="H13"/>
  <c r="K12"/>
  <c r="J12"/>
  <c r="I12"/>
  <c r="H12"/>
  <c r="K11"/>
  <c r="J11"/>
  <c r="I11"/>
  <c r="H11"/>
  <c r="K10"/>
  <c r="J10"/>
  <c r="I10"/>
  <c r="H10"/>
  <c r="K9"/>
  <c r="J9"/>
  <c r="I9"/>
  <c r="H9"/>
  <c r="K8"/>
  <c r="J8"/>
  <c r="I8"/>
  <c r="H8"/>
  <c r="K7"/>
  <c r="J7"/>
  <c r="I7"/>
  <c r="H7"/>
  <c r="Q2"/>
  <c r="P2"/>
  <c r="O2"/>
  <c r="N2"/>
  <c r="M2"/>
  <c r="F5" i="41"/>
  <c r="G5"/>
  <c r="E5"/>
  <c r="D5"/>
  <c r="C5"/>
  <c r="B5"/>
  <c r="I23"/>
  <c r="I22"/>
  <c r="I21"/>
  <c r="I20"/>
  <c r="I18"/>
  <c r="I17"/>
  <c r="I16"/>
  <c r="I14"/>
  <c r="I13"/>
  <c r="I11"/>
  <c r="I10"/>
  <c r="I15" l="1"/>
  <c r="I9"/>
  <c r="I12"/>
  <c r="I6"/>
  <c r="I5"/>
  <c r="I8"/>
  <c r="I7"/>
  <c r="I19"/>
  <c r="S1" i="44"/>
</calcChain>
</file>

<file path=xl/sharedStrings.xml><?xml version="1.0" encoding="utf-8"?>
<sst xmlns="http://schemas.openxmlformats.org/spreadsheetml/2006/main" count="164" uniqueCount="139">
  <si>
    <t>Resorts</t>
  </si>
  <si>
    <t xml:space="preserve">% Share </t>
  </si>
  <si>
    <t>North Maalhosmadulu (R)</t>
  </si>
  <si>
    <t>South Maalhosmadulu (B)</t>
  </si>
  <si>
    <t>Faadhippolhu (Lh)</t>
  </si>
  <si>
    <t>Male' Atoll (K)</t>
  </si>
  <si>
    <t>North Ari Atoll (AA)</t>
  </si>
  <si>
    <t>South Ari Atoll (ADh)</t>
  </si>
  <si>
    <t>Felidhu Atoll (V)</t>
  </si>
  <si>
    <t>Mulakatholhu (M)</t>
  </si>
  <si>
    <t>North Nilandhe Atoll (F)</t>
  </si>
  <si>
    <t>South Nilandhe Atoll (D)</t>
  </si>
  <si>
    <t>2008</t>
  </si>
  <si>
    <t>Addu Atoll (S)</t>
  </si>
  <si>
    <t>North Thiladhunmathi Atoll (HA)</t>
  </si>
  <si>
    <t>South Miladhunmadulu Atoll (N)</t>
  </si>
  <si>
    <t>udwdwA egcnirevurutwf</t>
  </si>
  <si>
    <t>Sh</t>
  </si>
  <si>
    <t>N</t>
  </si>
  <si>
    <t>R</t>
  </si>
  <si>
    <t>Lh</t>
  </si>
  <si>
    <t>K</t>
  </si>
  <si>
    <t>L</t>
  </si>
  <si>
    <t>M</t>
  </si>
  <si>
    <t>S</t>
  </si>
  <si>
    <t>B</t>
  </si>
  <si>
    <t>2009</t>
  </si>
  <si>
    <t>North Huvadhu Atoll (GA)</t>
  </si>
  <si>
    <t>V</t>
  </si>
  <si>
    <t xml:space="preserve">   Austria</t>
  </si>
  <si>
    <t xml:space="preserve">   Belgium</t>
  </si>
  <si>
    <t xml:space="preserve">   Czech Republic</t>
  </si>
  <si>
    <t xml:space="preserve">   Denmark</t>
  </si>
  <si>
    <t xml:space="preserve">   Finland</t>
  </si>
  <si>
    <t xml:space="preserve">   France</t>
  </si>
  <si>
    <t xml:space="preserve">   Germany</t>
  </si>
  <si>
    <t xml:space="preserve">   Greece</t>
  </si>
  <si>
    <t xml:space="preserve">   Hungary</t>
  </si>
  <si>
    <t xml:space="preserve">   Ireland</t>
  </si>
  <si>
    <t xml:space="preserve">   Israel</t>
  </si>
  <si>
    <t xml:space="preserve">   Italy</t>
  </si>
  <si>
    <t xml:space="preserve">   Netherlands</t>
  </si>
  <si>
    <t xml:space="preserve">   Norway</t>
  </si>
  <si>
    <t xml:space="preserve">   Poland</t>
  </si>
  <si>
    <t xml:space="preserve">   Portugal</t>
  </si>
  <si>
    <t xml:space="preserve">   Russia</t>
  </si>
  <si>
    <t xml:space="preserve">   Slovakia</t>
  </si>
  <si>
    <t xml:space="preserve">   Slovenia</t>
  </si>
  <si>
    <t xml:space="preserve">   Spain</t>
  </si>
  <si>
    <t xml:space="preserve">   Sweden</t>
  </si>
  <si>
    <t xml:space="preserve">   Switzerland</t>
  </si>
  <si>
    <t xml:space="preserve">   Turkey</t>
  </si>
  <si>
    <t xml:space="preserve">   Ukraine</t>
  </si>
  <si>
    <t xml:space="preserve">   United Kingdom</t>
  </si>
  <si>
    <t xml:space="preserve">   Other Europe</t>
  </si>
  <si>
    <t xml:space="preserve">   Bangladesh</t>
  </si>
  <si>
    <t xml:space="preserve">   China</t>
  </si>
  <si>
    <t xml:space="preserve">   India</t>
  </si>
  <si>
    <t xml:space="preserve">   Indonesia</t>
  </si>
  <si>
    <t xml:space="preserve">   Japan</t>
  </si>
  <si>
    <t xml:space="preserve">   Korea</t>
  </si>
  <si>
    <t xml:space="preserve">   Malaysia</t>
  </si>
  <si>
    <t xml:space="preserve">   Pakistan</t>
  </si>
  <si>
    <t xml:space="preserve">   Philippines</t>
  </si>
  <si>
    <t xml:space="preserve">   Singapore</t>
  </si>
  <si>
    <t xml:space="preserve">   Sri Lanka</t>
  </si>
  <si>
    <t xml:space="preserve">   Taiwan</t>
  </si>
  <si>
    <t xml:space="preserve">   Thailand</t>
  </si>
  <si>
    <t xml:space="preserve">   Other Asia</t>
  </si>
  <si>
    <t xml:space="preserve">    South Africa</t>
  </si>
  <si>
    <t xml:space="preserve">   Other Africa</t>
  </si>
  <si>
    <t xml:space="preserve">   Brazil</t>
  </si>
  <si>
    <t xml:space="preserve">   Canada</t>
  </si>
  <si>
    <t xml:space="preserve">   U.S.A</t>
  </si>
  <si>
    <t xml:space="preserve">   Other Americas</t>
  </si>
  <si>
    <t xml:space="preserve">   Australia</t>
  </si>
  <si>
    <t xml:space="preserve">   New Zealand</t>
  </si>
  <si>
    <t xml:space="preserve">   Other Oceania</t>
  </si>
  <si>
    <t xml:space="preserve">   Kuwait</t>
  </si>
  <si>
    <t xml:space="preserve">   Lebanon</t>
  </si>
  <si>
    <t xml:space="preserve">   Saudi Arabia</t>
  </si>
  <si>
    <t xml:space="preserve">   United Arab Emirates</t>
  </si>
  <si>
    <t xml:space="preserve">   Other Middle East</t>
  </si>
  <si>
    <t>ޖުމްލަ</t>
  </si>
  <si>
    <t>2010</t>
  </si>
  <si>
    <t>No. of Tourists</t>
  </si>
  <si>
    <t>% change over previous year</t>
  </si>
  <si>
    <t>މާޅޮސްމަޑުލު އުތުރުބުރި (ރ)</t>
  </si>
  <si>
    <t>މާޅޮސްމަޑުލު ދެކުނުބުރި (ބ)</t>
  </si>
  <si>
    <t>ފާދިއްޕޮޅު (ޅ)</t>
  </si>
  <si>
    <t>މާލެ އަތޮޅު (ކ)</t>
  </si>
  <si>
    <t>އަރިއަތޮޅު ދެކުނުބުރި (އދ)</t>
  </si>
  <si>
    <t>ފެލިދެ އަތޮޅު (ވ)</t>
  </si>
  <si>
    <t>އަތޮޅުތައް</t>
  </si>
  <si>
    <t>މުލަކަތޮޅު (މ)</t>
  </si>
  <si>
    <t>ނިލަންދެ އަތޮޅު އުތުރުބުރި (ފ)</t>
  </si>
  <si>
    <t>ނިލަންދެ އަތޮޅު ދެކުނުބުރި (ދ)</t>
  </si>
  <si>
    <t>ތިލަދުންމަތި އުތުރުބުރި (ހއ)</t>
  </si>
  <si>
    <t>އައްޑު އަތޮޅު (ސ)</t>
  </si>
  <si>
    <t>މިލަދުންމަޑޫލު ދެކުނުބުރި (ނ)</t>
  </si>
  <si>
    <t>ހުވަދު އަތޮޅު އުތުރުބުރި (ގއ)</t>
  </si>
  <si>
    <t>އަރިއަތޮޅު އުތުރުބުރި (އއ)</t>
  </si>
  <si>
    <t>2011</t>
  </si>
  <si>
    <t>South Huvadhu Atoll (GDh)</t>
  </si>
  <si>
    <t>Laamu Atoll (L)</t>
  </si>
  <si>
    <t>އިތުރުވި މިންވަރު</t>
  </si>
  <si>
    <t>ހައްދުންމަތި (ލ)</t>
  </si>
  <si>
    <t>ހުވަދު އަތޮޅު ދެކުނުބުރި (ގދ)</t>
  </si>
  <si>
    <t>2012</t>
  </si>
  <si>
    <t>2012 - 2008 ,udwdwA egcnirevurutwf iawaejcaWr cnutogegukwtumuawq : 10.1 ulwvWt</t>
  </si>
  <si>
    <t>Table 10.1 :   FLOW OF TOURISTS BY NATIONALITY, 2008 -  2012</t>
  </si>
  <si>
    <t>North Miladhunmadulu Atoll (Sh)</t>
  </si>
  <si>
    <t>މިލަދުންމަޑޫލު އުތުރުބުރި (ށ)</t>
  </si>
  <si>
    <t>folds increase</t>
  </si>
  <si>
    <t>000</t>
  </si>
  <si>
    <t>Country of
 Nationality</t>
  </si>
  <si>
    <t>Top ten tourism markets accounts for 77% of all the tourist arrivals in 2012</t>
  </si>
  <si>
    <t xml:space="preserve">Chinese tourist arrivals have increased over five folds during the last five years. It grew from 42 thousand in 2008 to 230 thousand in 2012 </t>
  </si>
  <si>
    <t>All Resorts ( include marinas)</t>
  </si>
  <si>
    <t>High concentration of tourist beds near the capital Male/</t>
  </si>
  <si>
    <t>65% of the tourist beds are concentrated in the 3 Atolls Kaafu (40%), AA (9%)and Adh (17%) Atolls.</t>
  </si>
  <si>
    <t>beds</t>
  </si>
  <si>
    <t>bed capacity</t>
  </si>
  <si>
    <t>no. of resorts</t>
  </si>
  <si>
    <t>HA</t>
  </si>
  <si>
    <t>AA</t>
  </si>
  <si>
    <t>F</t>
  </si>
  <si>
    <t>D</t>
  </si>
  <si>
    <t>GA</t>
  </si>
  <si>
    <t>GDh</t>
  </si>
  <si>
    <t>ADh</t>
  </si>
  <si>
    <t>in 2013</t>
  </si>
  <si>
    <t>Table 10.8 :   BED CAPACITY OF TOURIST RESORTS BY ATOLL, 2007- 2013</t>
  </si>
  <si>
    <t>ތާވަލު 10.8: ރިސޯޓުތަކުގެ އެނދުގެ ޖާގަ އަތޮޅުތަކަށް ބެހިފައިވާ ގޮތް، 2007 - 2013</t>
  </si>
  <si>
    <t>Source: Ministry of Tourism</t>
  </si>
  <si>
    <t>cmwzirUT cfoa  IrcTcsinim :ctWrwf ivcaed utWmUluAwm</t>
  </si>
  <si>
    <t>Thaa Atoll (Th)</t>
  </si>
  <si>
    <t>ކޮޅުމަޑުލު (ތ)</t>
  </si>
  <si>
    <t>Th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</si>
</sst>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7" formatCode="0.0"/>
    <numFmt numFmtId="168" formatCode="0.00_)"/>
    <numFmt numFmtId="169" formatCode="_(* #,##0_);_(* \(#,##0\);_(* &quot;-&quot;??_);_(@_)"/>
    <numFmt numFmtId="170" formatCode="#,##0;[Red]#,##0"/>
  </numFmts>
  <fonts count="32">
    <font>
      <sz val="10"/>
      <name val="Arial"/>
    </font>
    <font>
      <sz val="10"/>
      <name val="Arial"/>
      <family val="2"/>
    </font>
    <font>
      <b/>
      <i/>
      <sz val="16"/>
      <name val="Helv"/>
    </font>
    <font>
      <sz val="10"/>
      <name val="Courier"/>
      <family val="3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9"/>
      <name val="A_Randhoo"/>
    </font>
    <font>
      <b/>
      <sz val="10"/>
      <name val="A_Randhoo"/>
    </font>
    <font>
      <sz val="10"/>
      <name val="Helv"/>
    </font>
    <font>
      <b/>
      <sz val="10"/>
      <name val="Faruma"/>
    </font>
    <font>
      <sz val="10"/>
      <name val="Faruma"/>
    </font>
    <font>
      <b/>
      <sz val="10"/>
      <name val="TimesNewRomanPS"/>
    </font>
    <font>
      <sz val="10"/>
      <name val="Arial"/>
      <family val="2"/>
    </font>
    <font>
      <b/>
      <sz val="12"/>
      <name val="A_Randhoo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  <font>
      <sz val="10"/>
      <color theme="1"/>
      <name val="Faruma"/>
    </font>
    <font>
      <sz val="10"/>
      <color theme="1"/>
      <name val="Arial"/>
      <family val="2"/>
    </font>
    <font>
      <i/>
      <sz val="9"/>
      <color theme="1"/>
      <name val="Arial"/>
      <family val="2"/>
    </font>
    <font>
      <i/>
      <sz val="9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theme="1"/>
      <name val="Faruma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2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hair">
        <color theme="1" tint="4.9989318521683403E-2"/>
      </bottom>
      <diagonal/>
    </border>
    <border>
      <left/>
      <right/>
      <top style="thin">
        <color indexed="64"/>
      </top>
      <bottom style="hair">
        <color theme="1" tint="4.9989318521683403E-2"/>
      </bottom>
      <diagonal/>
    </border>
    <border>
      <left/>
      <right style="thin">
        <color theme="0"/>
      </right>
      <top style="thin">
        <color indexed="64"/>
      </top>
      <bottom style="hair">
        <color theme="1" tint="4.9989318521683403E-2"/>
      </bottom>
      <diagonal/>
    </border>
  </borders>
  <cellStyleXfs count="12">
    <xf numFmtId="0" fontId="0" fillId="0" borderId="0"/>
    <xf numFmtId="0" fontId="1" fillId="0" borderId="0"/>
    <xf numFmtId="43" fontId="1" fillId="0" borderId="0" applyFont="0" applyFill="0" applyBorder="0" applyAlignment="0" applyProtection="0"/>
    <xf numFmtId="168" fontId="2" fillId="0" borderId="0"/>
    <xf numFmtId="0" fontId="1" fillId="0" borderId="0"/>
    <xf numFmtId="1" fontId="13" fillId="0" borderId="1" applyNumberFormat="0"/>
    <xf numFmtId="0" fontId="1" fillId="0" borderId="0"/>
    <xf numFmtId="0" fontId="16" fillId="0" borderId="0"/>
    <xf numFmtId="0" fontId="14" fillId="0" borderId="0"/>
    <xf numFmtId="0" fontId="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0">
    <xf numFmtId="0" fontId="0" fillId="0" borderId="0" xfId="0"/>
    <xf numFmtId="0" fontId="0" fillId="2" borderId="0" xfId="0" applyFill="1"/>
    <xf numFmtId="49" fontId="18" fillId="2" borderId="3" xfId="0" applyNumberFormat="1" applyFont="1" applyFill="1" applyBorder="1" applyAlignment="1" applyProtection="1">
      <alignment horizontal="right" vertical="center"/>
    </xf>
    <xf numFmtId="0" fontId="18" fillId="2" borderId="2" xfId="0" applyFont="1" applyFill="1" applyBorder="1" applyAlignment="1" applyProtection="1">
      <alignment horizontal="right" vertical="center"/>
    </xf>
    <xf numFmtId="0" fontId="21" fillId="2" borderId="0" xfId="0" applyFont="1" applyFill="1" applyAlignment="1" applyProtection="1">
      <alignment horizontal="left" vertical="center"/>
    </xf>
    <xf numFmtId="37" fontId="5" fillId="2" borderId="0" xfId="0" applyNumberFormat="1" applyFont="1" applyFill="1" applyAlignment="1" applyProtection="1">
      <alignment horizontal="right" vertical="center"/>
    </xf>
    <xf numFmtId="0" fontId="5" fillId="2" borderId="0" xfId="0" applyFont="1" applyFill="1" applyAlignment="1">
      <alignment vertical="center"/>
    </xf>
    <xf numFmtId="0" fontId="8" fillId="2" borderId="0" xfId="0" applyFont="1" applyFill="1" applyBorder="1" applyAlignment="1">
      <alignment horizontal="right" vertical="center"/>
    </xf>
    <xf numFmtId="0" fontId="1" fillId="2" borderId="15" xfId="4" applyFont="1" applyFill="1" applyBorder="1"/>
    <xf numFmtId="0" fontId="5" fillId="2" borderId="15" xfId="4" applyFont="1" applyFill="1" applyBorder="1" applyAlignment="1">
      <alignment vertical="center"/>
    </xf>
    <xf numFmtId="0" fontId="5" fillId="2" borderId="0" xfId="4" applyFont="1" applyFill="1" applyBorder="1" applyAlignment="1">
      <alignment vertical="center"/>
    </xf>
    <xf numFmtId="0" fontId="23" fillId="2" borderId="18" xfId="4" applyFont="1" applyFill="1" applyBorder="1" applyAlignment="1">
      <alignment horizontal="center" vertical="center"/>
    </xf>
    <xf numFmtId="0" fontId="22" fillId="2" borderId="18" xfId="4" applyFont="1" applyFill="1" applyBorder="1" applyAlignment="1">
      <alignment horizontal="right"/>
    </xf>
    <xf numFmtId="1" fontId="23" fillId="2" borderId="19" xfId="4" applyNumberFormat="1" applyFont="1" applyFill="1" applyBorder="1" applyAlignment="1">
      <alignment vertical="center"/>
    </xf>
    <xf numFmtId="1" fontId="23" fillId="2" borderId="19" xfId="4" applyNumberFormat="1" applyFont="1" applyFill="1" applyBorder="1" applyAlignment="1">
      <alignment horizontal="right" vertical="center"/>
    </xf>
    <xf numFmtId="0" fontId="23" fillId="2" borderId="20" xfId="4" applyFont="1" applyFill="1" applyBorder="1" applyAlignment="1">
      <alignment horizontal="center" vertical="center"/>
    </xf>
    <xf numFmtId="0" fontId="24" fillId="2" borderId="20" xfId="4" applyFont="1" applyFill="1" applyBorder="1" applyAlignment="1" applyProtection="1">
      <alignment horizontal="right" vertical="center"/>
    </xf>
    <xf numFmtId="0" fontId="23" fillId="2" borderId="17" xfId="4" applyFont="1" applyFill="1" applyBorder="1" applyAlignment="1" applyProtection="1">
      <alignment horizontal="left" vertical="center"/>
    </xf>
    <xf numFmtId="3" fontId="23" fillId="2" borderId="17" xfId="4" applyNumberFormat="1" applyFont="1" applyFill="1" applyBorder="1" applyAlignment="1">
      <alignment horizontal="right" vertical="center"/>
    </xf>
    <xf numFmtId="3" fontId="23" fillId="2" borderId="17" xfId="4" applyNumberFormat="1" applyFont="1" applyFill="1" applyBorder="1" applyAlignment="1">
      <alignment horizontal="center" vertical="center"/>
    </xf>
    <xf numFmtId="0" fontId="24" fillId="2" borderId="17" xfId="4" applyFont="1" applyFill="1" applyBorder="1" applyAlignment="1" applyProtection="1">
      <alignment horizontal="right" vertical="center"/>
    </xf>
    <xf numFmtId="0" fontId="1" fillId="2" borderId="15" xfId="4" applyFont="1" applyFill="1" applyBorder="1" applyAlignment="1">
      <alignment vertical="center"/>
    </xf>
    <xf numFmtId="3" fontId="22" fillId="2" borderId="15" xfId="4" applyNumberFormat="1" applyFont="1" applyFill="1" applyBorder="1" applyAlignment="1">
      <alignment horizontal="right" vertical="center"/>
    </xf>
    <xf numFmtId="3" fontId="20" fillId="2" borderId="15" xfId="4" applyNumberFormat="1" applyFont="1" applyFill="1" applyBorder="1" applyAlignment="1">
      <alignment horizontal="right" vertical="center"/>
    </xf>
    <xf numFmtId="3" fontId="22" fillId="2" borderId="15" xfId="4" applyNumberFormat="1" applyFont="1" applyFill="1" applyBorder="1" applyAlignment="1">
      <alignment horizontal="center" vertical="center"/>
    </xf>
    <xf numFmtId="0" fontId="25" fillId="2" borderId="15" xfId="4" applyFont="1" applyFill="1" applyBorder="1" applyAlignment="1">
      <alignment horizontal="right" vertical="center"/>
    </xf>
    <xf numFmtId="0" fontId="25" fillId="2" borderId="15" xfId="4" applyFont="1" applyFill="1" applyBorder="1" applyAlignment="1" applyProtection="1">
      <alignment horizontal="right" vertical="center"/>
    </xf>
    <xf numFmtId="0" fontId="22" fillId="2" borderId="15" xfId="4" applyFont="1" applyFill="1" applyBorder="1" applyAlignment="1" applyProtection="1">
      <alignment horizontal="left" vertical="center"/>
    </xf>
    <xf numFmtId="3" fontId="22" fillId="2" borderId="15" xfId="4" applyNumberFormat="1" applyFont="1" applyFill="1" applyBorder="1" applyAlignment="1" applyProtection="1">
      <alignment horizontal="right" vertical="center"/>
      <protection locked="0"/>
    </xf>
    <xf numFmtId="3" fontId="22" fillId="2" borderId="16" xfId="4" applyNumberFormat="1" applyFont="1" applyFill="1" applyBorder="1" applyAlignment="1">
      <alignment horizontal="right" vertical="center"/>
    </xf>
    <xf numFmtId="0" fontId="25" fillId="2" borderId="16" xfId="4" applyFont="1" applyFill="1" applyBorder="1" applyAlignment="1" applyProtection="1">
      <alignment horizontal="right" vertical="center"/>
    </xf>
    <xf numFmtId="0" fontId="1" fillId="2" borderId="16" xfId="4" applyFont="1" applyFill="1" applyBorder="1" applyAlignment="1">
      <alignment vertical="center"/>
    </xf>
    <xf numFmtId="3" fontId="22" fillId="2" borderId="0" xfId="4" applyNumberFormat="1" applyFont="1" applyFill="1" applyBorder="1" applyAlignment="1">
      <alignment horizontal="right" vertical="center"/>
    </xf>
    <xf numFmtId="3" fontId="20" fillId="2" borderId="0" xfId="4" applyNumberFormat="1" applyFont="1" applyFill="1" applyBorder="1" applyAlignment="1">
      <alignment horizontal="right" vertical="center"/>
    </xf>
    <xf numFmtId="0" fontId="25" fillId="2" borderId="0" xfId="4" applyFont="1" applyFill="1" applyBorder="1" applyAlignment="1" applyProtection="1">
      <alignment horizontal="right" vertical="center"/>
    </xf>
    <xf numFmtId="3" fontId="22" fillId="2" borderId="17" xfId="4" applyNumberFormat="1" applyFont="1" applyFill="1" applyBorder="1" applyAlignment="1">
      <alignment horizontal="right" vertical="center"/>
    </xf>
    <xf numFmtId="3" fontId="20" fillId="2" borderId="17" xfId="4" applyNumberFormat="1" applyFont="1" applyFill="1" applyBorder="1" applyAlignment="1">
      <alignment horizontal="right" vertical="center"/>
    </xf>
    <xf numFmtId="0" fontId="25" fillId="2" borderId="17" xfId="4" applyFont="1" applyFill="1" applyBorder="1" applyAlignment="1" applyProtection="1">
      <alignment horizontal="right" vertical="center"/>
    </xf>
    <xf numFmtId="0" fontId="1" fillId="2" borderId="17" xfId="4" applyFont="1" applyFill="1" applyBorder="1" applyAlignment="1">
      <alignment vertical="center"/>
    </xf>
    <xf numFmtId="3" fontId="22" fillId="2" borderId="20" xfId="4" applyNumberFormat="1" applyFont="1" applyFill="1" applyBorder="1" applyAlignment="1">
      <alignment horizontal="right" vertical="center"/>
    </xf>
    <xf numFmtId="3" fontId="20" fillId="2" borderId="20" xfId="4" applyNumberFormat="1" applyFont="1" applyFill="1" applyBorder="1" applyAlignment="1">
      <alignment horizontal="right" vertical="center"/>
    </xf>
    <xf numFmtId="3" fontId="22" fillId="2" borderId="20" xfId="4" applyNumberFormat="1" applyFont="1" applyFill="1" applyBorder="1" applyAlignment="1">
      <alignment horizontal="center" vertical="center"/>
    </xf>
    <xf numFmtId="0" fontId="25" fillId="2" borderId="20" xfId="4" applyFont="1" applyFill="1" applyBorder="1" applyAlignment="1">
      <alignment horizontal="right" vertical="center"/>
    </xf>
    <xf numFmtId="0" fontId="26" fillId="2" borderId="15" xfId="4" applyFont="1" applyFill="1" applyBorder="1"/>
    <xf numFmtId="0" fontId="27" fillId="2" borderId="15" xfId="4" applyFont="1" applyFill="1" applyBorder="1" applyAlignment="1" applyProtection="1">
      <alignment horizontal="left" vertical="center"/>
    </xf>
    <xf numFmtId="3" fontId="26" fillId="2" borderId="15" xfId="4" applyNumberFormat="1" applyFont="1" applyFill="1" applyBorder="1"/>
    <xf numFmtId="0" fontId="4" fillId="2" borderId="0" xfId="0" applyFont="1" applyFill="1" applyBorder="1" applyAlignment="1" applyProtection="1">
      <alignment horizontal="center" vertical="center"/>
    </xf>
    <xf numFmtId="0" fontId="28" fillId="2" borderId="15" xfId="4" applyFont="1" applyFill="1" applyBorder="1" applyAlignment="1" applyProtection="1">
      <alignment horizontal="left" vertical="center"/>
    </xf>
    <xf numFmtId="0" fontId="29" fillId="2" borderId="15" xfId="4" applyFont="1" applyFill="1" applyBorder="1"/>
    <xf numFmtId="0" fontId="22" fillId="2" borderId="15" xfId="4" applyFont="1" applyFill="1" applyBorder="1" applyAlignment="1">
      <alignment horizontal="left" vertical="center"/>
    </xf>
    <xf numFmtId="0" fontId="22" fillId="2" borderId="16" xfId="4" applyFont="1" applyFill="1" applyBorder="1" applyAlignment="1">
      <alignment horizontal="left" vertical="center"/>
    </xf>
    <xf numFmtId="0" fontId="22" fillId="2" borderId="0" xfId="4" applyFont="1" applyFill="1" applyBorder="1" applyAlignment="1">
      <alignment horizontal="left" vertical="center"/>
    </xf>
    <xf numFmtId="0" fontId="22" fillId="2" borderId="17" xfId="4" applyFont="1" applyFill="1" applyBorder="1" applyAlignment="1">
      <alignment horizontal="left" vertical="center"/>
    </xf>
    <xf numFmtId="0" fontId="22" fillId="2" borderId="20" xfId="4" applyFont="1" applyFill="1" applyBorder="1" applyAlignment="1">
      <alignment horizontal="left" vertical="center"/>
    </xf>
    <xf numFmtId="49" fontId="18" fillId="3" borderId="12" xfId="0" applyNumberFormat="1" applyFont="1" applyFill="1" applyBorder="1" applyAlignment="1" applyProtection="1">
      <alignment horizontal="right" vertical="center"/>
    </xf>
    <xf numFmtId="167" fontId="0" fillId="4" borderId="0" xfId="0" applyNumberFormat="1" applyFill="1"/>
    <xf numFmtId="0" fontId="0" fillId="4" borderId="0" xfId="0" applyFill="1"/>
    <xf numFmtId="169" fontId="19" fillId="4" borderId="8" xfId="2" applyNumberFormat="1" applyFont="1" applyFill="1" applyBorder="1" applyAlignment="1" applyProtection="1">
      <alignment horizontal="left" vertical="center"/>
    </xf>
    <xf numFmtId="170" fontId="19" fillId="4" borderId="9" xfId="2" applyNumberFormat="1" applyFont="1" applyFill="1" applyBorder="1" applyAlignment="1">
      <alignment vertical="center"/>
    </xf>
    <xf numFmtId="0" fontId="0" fillId="4" borderId="0" xfId="0" quotePrefix="1" applyFill="1"/>
    <xf numFmtId="170" fontId="19" fillId="4" borderId="0" xfId="2" applyNumberFormat="1" applyFont="1" applyFill="1" applyBorder="1" applyAlignment="1">
      <alignment vertical="center"/>
    </xf>
    <xf numFmtId="170" fontId="19" fillId="4" borderId="7" xfId="2" applyNumberFormat="1" applyFont="1" applyFill="1" applyBorder="1" applyAlignment="1">
      <alignment vertical="center"/>
    </xf>
    <xf numFmtId="0" fontId="18" fillId="2" borderId="4" xfId="0" applyFont="1" applyFill="1" applyBorder="1" applyAlignment="1" applyProtection="1">
      <alignment horizontal="right" vertical="center"/>
    </xf>
    <xf numFmtId="0" fontId="18" fillId="3" borderId="6" xfId="0" applyFont="1" applyFill="1" applyBorder="1" applyAlignment="1" applyProtection="1">
      <alignment horizontal="right" vertical="center"/>
    </xf>
    <xf numFmtId="167" fontId="19" fillId="4" borderId="0" xfId="0" applyNumberFormat="1" applyFont="1" applyFill="1" applyBorder="1" applyAlignment="1">
      <alignment vertical="center"/>
    </xf>
    <xf numFmtId="167" fontId="17" fillId="4" borderId="0" xfId="0" applyNumberFormat="1" applyFont="1" applyFill="1" applyBorder="1" applyAlignment="1">
      <alignment vertical="center"/>
    </xf>
    <xf numFmtId="167" fontId="17" fillId="4" borderId="7" xfId="0" applyNumberFormat="1" applyFont="1" applyFill="1" applyBorder="1" applyAlignment="1">
      <alignment vertical="center"/>
    </xf>
    <xf numFmtId="169" fontId="19" fillId="2" borderId="8" xfId="2" applyNumberFormat="1" applyFont="1" applyFill="1" applyBorder="1" applyAlignment="1" applyProtection="1">
      <alignment horizontal="left" vertical="center"/>
    </xf>
    <xf numFmtId="170" fontId="19" fillId="2" borderId="9" xfId="2" applyNumberFormat="1" applyFont="1" applyFill="1" applyBorder="1" applyAlignment="1">
      <alignment vertical="center"/>
    </xf>
    <xf numFmtId="170" fontId="19" fillId="2" borderId="0" xfId="2" applyNumberFormat="1" applyFont="1" applyFill="1" applyBorder="1" applyAlignment="1">
      <alignment vertical="center"/>
    </xf>
    <xf numFmtId="170" fontId="19" fillId="3" borderId="7" xfId="2" applyNumberFormat="1" applyFont="1" applyFill="1" applyBorder="1" applyAlignment="1">
      <alignment vertical="center"/>
    </xf>
    <xf numFmtId="167" fontId="19" fillId="2" borderId="0" xfId="0" applyNumberFormat="1" applyFont="1" applyFill="1" applyBorder="1" applyAlignment="1">
      <alignment vertical="center"/>
    </xf>
    <xf numFmtId="167" fontId="17" fillId="2" borderId="0" xfId="0" applyNumberFormat="1" applyFont="1" applyFill="1" applyBorder="1" applyAlignment="1">
      <alignment vertical="center"/>
    </xf>
    <xf numFmtId="167" fontId="17" fillId="3" borderId="7" xfId="0" applyNumberFormat="1" applyFont="1" applyFill="1" applyBorder="1" applyAlignment="1">
      <alignment vertical="center"/>
    </xf>
    <xf numFmtId="169" fontId="19" fillId="2" borderId="10" xfId="2" applyNumberFormat="1" applyFont="1" applyFill="1" applyBorder="1" applyAlignment="1" applyProtection="1">
      <alignment horizontal="left" vertical="center"/>
    </xf>
    <xf numFmtId="170" fontId="19" fillId="2" borderId="11" xfId="2" applyNumberFormat="1" applyFont="1" applyFill="1" applyBorder="1" applyAlignment="1">
      <alignment vertical="center"/>
    </xf>
    <xf numFmtId="170" fontId="19" fillId="2" borderId="2" xfId="2" applyNumberFormat="1" applyFont="1" applyFill="1" applyBorder="1" applyAlignment="1">
      <alignment vertical="center"/>
    </xf>
    <xf numFmtId="170" fontId="19" fillId="3" borderId="6" xfId="2" applyNumberFormat="1" applyFont="1" applyFill="1" applyBorder="1" applyAlignment="1">
      <alignment vertical="center"/>
    </xf>
    <xf numFmtId="167" fontId="19" fillId="2" borderId="2" xfId="0" applyNumberFormat="1" applyFont="1" applyFill="1" applyBorder="1" applyAlignment="1">
      <alignment vertical="center"/>
    </xf>
    <xf numFmtId="167" fontId="17" fillId="2" borderId="2" xfId="0" applyNumberFormat="1" applyFont="1" applyFill="1" applyBorder="1" applyAlignment="1">
      <alignment vertical="center"/>
    </xf>
    <xf numFmtId="167" fontId="17" fillId="3" borderId="6" xfId="0" applyNumberFormat="1" applyFont="1" applyFill="1" applyBorder="1" applyAlignment="1">
      <alignment vertical="center"/>
    </xf>
    <xf numFmtId="0" fontId="7" fillId="2" borderId="0" xfId="0" applyFont="1" applyFill="1" applyAlignment="1" applyProtection="1">
      <alignment horizontal="center" vertical="center"/>
    </xf>
    <xf numFmtId="0" fontId="26" fillId="4" borderId="15" xfId="4" applyFont="1" applyFill="1" applyBorder="1"/>
    <xf numFmtId="0" fontId="22" fillId="4" borderId="15" xfId="4" applyFont="1" applyFill="1" applyBorder="1" applyAlignment="1">
      <alignment vertical="center"/>
    </xf>
    <xf numFmtId="1" fontId="26" fillId="4" borderId="15" xfId="4" applyNumberFormat="1" applyFont="1" applyFill="1" applyBorder="1"/>
    <xf numFmtId="0" fontId="22" fillId="4" borderId="15" xfId="4" applyFont="1" applyFill="1" applyBorder="1" applyAlignment="1" applyProtection="1">
      <alignment horizontal="left" vertical="center"/>
    </xf>
    <xf numFmtId="0" fontId="22" fillId="4" borderId="16" xfId="4" applyFont="1" applyFill="1" applyBorder="1" applyAlignment="1">
      <alignment vertical="center"/>
    </xf>
    <xf numFmtId="0" fontId="22" fillId="4" borderId="0" xfId="4" applyFont="1" applyFill="1" applyBorder="1" applyAlignment="1">
      <alignment vertical="center"/>
    </xf>
    <xf numFmtId="0" fontId="22" fillId="4" borderId="17" xfId="4" applyFont="1" applyFill="1" applyBorder="1" applyAlignment="1">
      <alignment vertical="center"/>
    </xf>
    <xf numFmtId="0" fontId="22" fillId="4" borderId="20" xfId="4" applyFont="1" applyFill="1" applyBorder="1" applyAlignment="1">
      <alignment vertical="center"/>
    </xf>
    <xf numFmtId="0" fontId="27" fillId="2" borderId="17" xfId="4" applyFont="1" applyFill="1" applyBorder="1" applyAlignment="1" applyProtection="1">
      <alignment horizontal="left" vertical="center"/>
    </xf>
    <xf numFmtId="0" fontId="1" fillId="2" borderId="0" xfId="4" applyFont="1" applyFill="1" applyBorder="1" applyAlignment="1">
      <alignment vertical="center"/>
    </xf>
    <xf numFmtId="0" fontId="12" fillId="2" borderId="17" xfId="4" applyFont="1" applyFill="1" applyBorder="1" applyAlignment="1" applyProtection="1">
      <alignment horizontal="right" vertical="center"/>
    </xf>
    <xf numFmtId="0" fontId="0" fillId="5" borderId="0" xfId="0" applyFill="1"/>
    <xf numFmtId="169" fontId="0" fillId="5" borderId="0" xfId="2" applyNumberFormat="1" applyFont="1" applyFill="1"/>
    <xf numFmtId="0" fontId="18" fillId="2" borderId="2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18" fillId="2" borderId="5" xfId="0" applyFont="1" applyFill="1" applyBorder="1" applyAlignment="1" applyProtection="1">
      <alignment horizontal="left" vertical="center" wrapText="1"/>
    </xf>
    <xf numFmtId="0" fontId="18" fillId="2" borderId="0" xfId="0" applyFont="1" applyFill="1" applyBorder="1" applyAlignment="1" applyProtection="1">
      <alignment horizontal="left" vertical="center"/>
    </xf>
    <xf numFmtId="0" fontId="18" fillId="2" borderId="2" xfId="0" applyFont="1" applyFill="1" applyBorder="1" applyAlignment="1" applyProtection="1">
      <alignment horizontal="left" vertical="center"/>
    </xf>
    <xf numFmtId="0" fontId="0" fillId="2" borderId="5" xfId="0" applyFill="1" applyBorder="1"/>
    <xf numFmtId="0" fontId="0" fillId="2" borderId="13" xfId="0" applyFill="1" applyBorder="1"/>
    <xf numFmtId="0" fontId="11" fillId="2" borderId="14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31" fillId="2" borderId="16" xfId="4" applyFont="1" applyFill="1" applyBorder="1" applyAlignment="1" applyProtection="1">
      <alignment horizontal="center" vertical="center" wrapText="1"/>
    </xf>
    <xf numFmtId="0" fontId="23" fillId="2" borderId="21" xfId="4" applyFont="1" applyFill="1" applyBorder="1" applyAlignment="1" applyProtection="1">
      <alignment horizontal="center" vertical="center"/>
    </xf>
    <xf numFmtId="0" fontId="23" fillId="2" borderId="19" xfId="4" applyFont="1" applyFill="1" applyBorder="1" applyAlignment="1" applyProtection="1">
      <alignment horizontal="center" vertical="center"/>
    </xf>
    <xf numFmtId="0" fontId="30" fillId="2" borderId="22" xfId="4" applyFont="1" applyFill="1" applyBorder="1" applyAlignment="1">
      <alignment horizontal="center"/>
    </xf>
    <xf numFmtId="0" fontId="30" fillId="2" borderId="23" xfId="4" applyFont="1" applyFill="1" applyBorder="1" applyAlignment="1">
      <alignment horizontal="center"/>
    </xf>
    <xf numFmtId="0" fontId="30" fillId="2" borderId="24" xfId="4" applyFont="1" applyFill="1" applyBorder="1" applyAlignment="1">
      <alignment horizontal="center"/>
    </xf>
    <xf numFmtId="0" fontId="23" fillId="2" borderId="25" xfId="4" applyFont="1" applyFill="1" applyBorder="1" applyAlignment="1">
      <alignment horizontal="center" vertical="center" wrapText="1"/>
    </xf>
    <xf numFmtId="0" fontId="23" fillId="2" borderId="26" xfId="4" applyFont="1" applyFill="1" applyBorder="1" applyAlignment="1">
      <alignment horizontal="center" vertical="center" wrapText="1"/>
    </xf>
    <xf numFmtId="0" fontId="23" fillId="2" borderId="27" xfId="4" applyFont="1" applyFill="1" applyBorder="1" applyAlignment="1">
      <alignment horizontal="center" vertical="center" wrapText="1"/>
    </xf>
  </cellXfs>
  <cellStyles count="12">
    <cellStyle name="1" xfId="1"/>
    <cellStyle name="Comma" xfId="2" builtinId="3"/>
    <cellStyle name="Normal" xfId="0" builtinId="0"/>
    <cellStyle name="Normal - Style1" xfId="3"/>
    <cellStyle name="Normal 2" xfId="4"/>
    <cellStyle name="Normal 2 2" xfId="5"/>
    <cellStyle name="Normal 3" xfId="6"/>
    <cellStyle name="Normal 4 2" xfId="7"/>
    <cellStyle name="Normal 5" xfId="8"/>
    <cellStyle name="Normal 5 2" xfId="9"/>
    <cellStyle name="Percent 2" xfId="10"/>
    <cellStyle name="Percent 2 2" xfId="11"/>
  </cellStyles>
  <dxfs count="0"/>
  <tableStyles count="0" defaultTableStyle="TableStyleMedium9" defaultPivotStyle="PivotStyleLight16"/>
  <colors>
    <mruColors>
      <color rgb="FFFF3333"/>
      <color rgb="FFFF8989"/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4583333333333368"/>
          <c:y val="0.11342592592592604"/>
          <c:w val="0.82083333333333364"/>
          <c:h val="0.51157407407407463"/>
        </c:manualLayout>
      </c:layout>
      <c:barChart>
        <c:barDir val="col"/>
        <c:grouping val="clustered"/>
        <c:ser>
          <c:idx val="0"/>
          <c:order val="0"/>
          <c:dLbls>
            <c:showVal val="1"/>
          </c:dLbls>
          <c:cat>
            <c:strRef>
              <c:f>'10.1 figures workings'!$A$7:$A$16</c:f>
              <c:strCache>
                <c:ptCount val="10"/>
                <c:pt idx="0">
                  <c:v>   China</c:v>
                </c:pt>
                <c:pt idx="1">
                  <c:v>   Germany</c:v>
                </c:pt>
                <c:pt idx="2">
                  <c:v>   United Kingdom</c:v>
                </c:pt>
                <c:pt idx="3">
                  <c:v>   Russia</c:v>
                </c:pt>
                <c:pt idx="4">
                  <c:v>   Italy</c:v>
                </c:pt>
                <c:pt idx="5">
                  <c:v>   France</c:v>
                </c:pt>
                <c:pt idx="6">
                  <c:v>   Japan</c:v>
                </c:pt>
                <c:pt idx="7">
                  <c:v>   Switzerland</c:v>
                </c:pt>
                <c:pt idx="8">
                  <c:v>   India</c:v>
                </c:pt>
                <c:pt idx="9">
                  <c:v>   Korea</c:v>
                </c:pt>
              </c:strCache>
            </c:strRef>
          </c:cat>
          <c:val>
            <c:numRef>
              <c:f>'10.1 figures workings'!$F$7:$F$16</c:f>
              <c:numCache>
                <c:formatCode>#,##0;[Red]#,##0</c:formatCode>
                <c:ptCount val="10"/>
                <c:pt idx="0">
                  <c:v>229551</c:v>
                </c:pt>
                <c:pt idx="1">
                  <c:v>98351</c:v>
                </c:pt>
                <c:pt idx="2">
                  <c:v>91776</c:v>
                </c:pt>
                <c:pt idx="3">
                  <c:v>66378</c:v>
                </c:pt>
                <c:pt idx="4">
                  <c:v>62782</c:v>
                </c:pt>
                <c:pt idx="5">
                  <c:v>56775</c:v>
                </c:pt>
                <c:pt idx="6">
                  <c:v>36438</c:v>
                </c:pt>
                <c:pt idx="7">
                  <c:v>35457</c:v>
                </c:pt>
                <c:pt idx="8">
                  <c:v>31721</c:v>
                </c:pt>
                <c:pt idx="9">
                  <c:v>23933</c:v>
                </c:pt>
              </c:numCache>
            </c:numRef>
          </c:val>
        </c:ser>
        <c:axId val="64967808"/>
        <c:axId val="64969344"/>
      </c:barChart>
      <c:catAx>
        <c:axId val="64967808"/>
        <c:scaling>
          <c:orientation val="minMax"/>
        </c:scaling>
        <c:axPos val="b"/>
        <c:numFmt formatCode="General" sourceLinked="1"/>
        <c:tickLblPos val="nextTo"/>
        <c:crossAx val="64969344"/>
        <c:crosses val="autoZero"/>
        <c:auto val="1"/>
        <c:lblAlgn val="ctr"/>
        <c:lblOffset val="100"/>
      </c:catAx>
      <c:valAx>
        <c:axId val="64969344"/>
        <c:scaling>
          <c:orientation val="minMax"/>
        </c:scaling>
        <c:axPos val="l"/>
        <c:majorGridlines/>
        <c:numFmt formatCode="#,##0;[Red]#,##0" sourceLinked="1"/>
        <c:tickLblPos val="nextTo"/>
        <c:crossAx val="64967808"/>
        <c:crosses val="autoZero"/>
        <c:crossBetween val="between"/>
      </c:valAx>
    </c:plotArea>
    <c:plotVisOnly val="1"/>
    <c:dispBlanksAs val="gap"/>
  </c:chart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4775240594925634"/>
          <c:y val="0.16702573636628754"/>
          <c:w val="0.82169203849519057"/>
          <c:h val="0.68259988334791477"/>
        </c:manualLayout>
      </c:layout>
      <c:barChart>
        <c:barDir val="col"/>
        <c:grouping val="clustered"/>
        <c:ser>
          <c:idx val="0"/>
          <c:order val="0"/>
          <c:dLbls>
            <c:dLblPos val="outEnd"/>
            <c:showVal val="1"/>
          </c:dLbls>
          <c:cat>
            <c:strRef>
              <c:f>'[3]10.1 (2)fig'!$M$1:$Q$1</c:f>
              <c:strCache>
                <c:ptCount val="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</c:strCache>
            </c:strRef>
          </c:cat>
          <c:val>
            <c:numRef>
              <c:f>'[3]10.1 (2)fig'!$M$4:$Q$4</c:f>
              <c:numCache>
                <c:formatCode>General</c:formatCode>
                <c:ptCount val="5"/>
                <c:pt idx="0">
                  <c:v>41511</c:v>
                </c:pt>
                <c:pt idx="1">
                  <c:v>60666</c:v>
                </c:pt>
                <c:pt idx="2">
                  <c:v>118961</c:v>
                </c:pt>
                <c:pt idx="3">
                  <c:v>198655</c:v>
                </c:pt>
                <c:pt idx="4">
                  <c:v>229551</c:v>
                </c:pt>
              </c:numCache>
            </c:numRef>
          </c:val>
        </c:ser>
        <c:axId val="64997248"/>
        <c:axId val="64998784"/>
      </c:barChart>
      <c:catAx>
        <c:axId val="64997248"/>
        <c:scaling>
          <c:orientation val="minMax"/>
        </c:scaling>
        <c:axPos val="b"/>
        <c:numFmt formatCode="General" sourceLinked="1"/>
        <c:tickLblPos val="nextTo"/>
        <c:crossAx val="64998784"/>
        <c:crosses val="autoZero"/>
        <c:auto val="1"/>
        <c:lblAlgn val="ctr"/>
        <c:lblOffset val="100"/>
      </c:catAx>
      <c:valAx>
        <c:axId val="64998784"/>
        <c:scaling>
          <c:orientation val="minMax"/>
        </c:scaling>
        <c:axPos val="l"/>
        <c:numFmt formatCode="General" sourceLinked="1"/>
        <c:tickLblPos val="nextTo"/>
        <c:crossAx val="64997248"/>
        <c:crosses val="autoZero"/>
        <c:crossBetween val="between"/>
      </c:valAx>
    </c:plotArea>
    <c:plotVisOnly val="1"/>
    <c:dispBlanksAs val="gap"/>
  </c:chart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Figure 10.12: Number of resorts by Atoll, 2013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10462472525179478"/>
          <c:y val="0.12317002041411511"/>
          <c:w val="0.8706422847921651"/>
          <c:h val="0.71877223680373392"/>
        </c:manualLayout>
      </c:layout>
      <c:barChart>
        <c:barDir val="col"/>
        <c:grouping val="clustered"/>
        <c:ser>
          <c:idx val="1"/>
          <c:order val="0"/>
          <c:spPr>
            <a:solidFill>
              <a:schemeClr val="accent5">
                <a:lumMod val="75000"/>
              </a:schemeClr>
            </a:solidFill>
          </c:spPr>
          <c:dLbls>
            <c:showVal val="1"/>
          </c:dLbls>
          <c:cat>
            <c:strRef>
              <c:f>'10.8'!$T$25:$T$42</c:f>
              <c:strCache>
                <c:ptCount val="18"/>
                <c:pt idx="0">
                  <c:v>HA</c:v>
                </c:pt>
                <c:pt idx="1">
                  <c:v>Sh</c:v>
                </c:pt>
                <c:pt idx="2">
                  <c:v>N</c:v>
                </c:pt>
                <c:pt idx="3">
                  <c:v>R</c:v>
                </c:pt>
                <c:pt idx="4">
                  <c:v>B</c:v>
                </c:pt>
                <c:pt idx="5">
                  <c:v>Lh</c:v>
                </c:pt>
                <c:pt idx="6">
                  <c:v>K</c:v>
                </c:pt>
                <c:pt idx="7">
                  <c:v>AA</c:v>
                </c:pt>
                <c:pt idx="8">
                  <c:v>ADh</c:v>
                </c:pt>
                <c:pt idx="9">
                  <c:v>V</c:v>
                </c:pt>
                <c:pt idx="10">
                  <c:v>M</c:v>
                </c:pt>
                <c:pt idx="11">
                  <c:v>F</c:v>
                </c:pt>
                <c:pt idx="12">
                  <c:v>D</c:v>
                </c:pt>
                <c:pt idx="13">
                  <c:v>Th</c:v>
                </c:pt>
                <c:pt idx="14">
                  <c:v>L</c:v>
                </c:pt>
                <c:pt idx="15">
                  <c:v>GA</c:v>
                </c:pt>
                <c:pt idx="16">
                  <c:v>GDh</c:v>
                </c:pt>
                <c:pt idx="17">
                  <c:v>S</c:v>
                </c:pt>
              </c:strCache>
            </c:strRef>
          </c:cat>
          <c:val>
            <c:numRef>
              <c:f>'10.8'!$V$25:$V$42</c:f>
              <c:numCache>
                <c:formatCode>General</c:formatCode>
                <c:ptCount val="18"/>
                <c:pt idx="0">
                  <c:v>3</c:v>
                </c:pt>
                <c:pt idx="1">
                  <c:v>1</c:v>
                </c:pt>
                <c:pt idx="2">
                  <c:v>4</c:v>
                </c:pt>
                <c:pt idx="3">
                  <c:v>1</c:v>
                </c:pt>
                <c:pt idx="4">
                  <c:v>8</c:v>
                </c:pt>
                <c:pt idx="5">
                  <c:v>5</c:v>
                </c:pt>
                <c:pt idx="6">
                  <c:v>43</c:v>
                </c:pt>
                <c:pt idx="7">
                  <c:v>11</c:v>
                </c:pt>
                <c:pt idx="8">
                  <c:v>16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1</c:v>
                </c:pt>
                <c:pt idx="15">
                  <c:v>4</c:v>
                </c:pt>
                <c:pt idx="16">
                  <c:v>1</c:v>
                </c:pt>
                <c:pt idx="17">
                  <c:v>2</c:v>
                </c:pt>
              </c:numCache>
            </c:numRef>
          </c:val>
        </c:ser>
        <c:gapWidth val="40"/>
        <c:axId val="69821952"/>
        <c:axId val="69823488"/>
      </c:barChart>
      <c:catAx>
        <c:axId val="6982195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69823488"/>
        <c:crosses val="autoZero"/>
        <c:auto val="1"/>
        <c:lblAlgn val="ctr"/>
        <c:lblOffset val="100"/>
      </c:catAx>
      <c:valAx>
        <c:axId val="69823488"/>
        <c:scaling>
          <c:orientation val="minMax"/>
        </c:scaling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layout>
            <c:manualLayout>
              <c:xMode val="edge"/>
              <c:yMode val="edge"/>
              <c:x val="5.7213056972832844E-3"/>
              <c:y val="0.34256561679790032"/>
            </c:manualLayout>
          </c:layout>
        </c:title>
        <c:numFmt formatCode="General" sourceLinked="1"/>
        <c:tickLblPos val="nextTo"/>
        <c:crossAx val="69821952"/>
        <c:crosses val="autoZero"/>
        <c:crossBetween val="between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</c:chart>
  <c:spPr>
    <a:solidFill>
      <a:schemeClr val="accent5">
        <a:lumMod val="60000"/>
        <a:lumOff val="40000"/>
      </a:schemeClr>
    </a:solidFill>
  </c:sp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/>
            </a:pPr>
            <a:r>
              <a:rPr lang="en-US" sz="1050" b="1" i="0" baseline="0"/>
              <a:t>Figure 10.13: Number of beds of tourist resorts by Atolls, 2013  </a:t>
            </a:r>
            <a:endParaRPr lang="en-US" sz="1050"/>
          </a:p>
        </c:rich>
      </c:tx>
      <c:layout>
        <c:manualLayout>
          <c:xMode val="edge"/>
          <c:yMode val="edge"/>
          <c:x val="0.23030319249309544"/>
          <c:y val="4.3636714528331122E-2"/>
        </c:manualLayout>
      </c:layout>
    </c:title>
    <c:plotArea>
      <c:layout>
        <c:manualLayout>
          <c:layoutTarget val="inner"/>
          <c:xMode val="edge"/>
          <c:yMode val="edge"/>
          <c:x val="0.13867638446020694"/>
          <c:y val="0.1684970651395849"/>
          <c:w val="0.83663217717620009"/>
          <c:h val="0.6740199475065628"/>
        </c:manualLayout>
      </c:layout>
      <c:barChart>
        <c:barDir val="col"/>
        <c:grouping val="clustered"/>
        <c:ser>
          <c:idx val="0"/>
          <c:order val="0"/>
          <c:spPr>
            <a:solidFill>
              <a:schemeClr val="accent5">
                <a:lumMod val="75000"/>
              </a:schemeClr>
            </a:solidFill>
          </c:spPr>
          <c:dLbls>
            <c:txPr>
              <a:bodyPr/>
              <a:lstStyle/>
              <a:p>
                <a:pPr>
                  <a:defRPr sz="900"/>
                </a:pPr>
                <a:endParaRPr lang="en-US"/>
              </a:p>
            </c:txPr>
            <c:showVal val="1"/>
          </c:dLbls>
          <c:cat>
            <c:strRef>
              <c:f>'10.8'!$T$25:$T$42</c:f>
              <c:strCache>
                <c:ptCount val="18"/>
                <c:pt idx="0">
                  <c:v>HA</c:v>
                </c:pt>
                <c:pt idx="1">
                  <c:v>Sh</c:v>
                </c:pt>
                <c:pt idx="2">
                  <c:v>N</c:v>
                </c:pt>
                <c:pt idx="3">
                  <c:v>R</c:v>
                </c:pt>
                <c:pt idx="4">
                  <c:v>B</c:v>
                </c:pt>
                <c:pt idx="5">
                  <c:v>Lh</c:v>
                </c:pt>
                <c:pt idx="6">
                  <c:v>K</c:v>
                </c:pt>
                <c:pt idx="7">
                  <c:v>AA</c:v>
                </c:pt>
                <c:pt idx="8">
                  <c:v>ADh</c:v>
                </c:pt>
                <c:pt idx="9">
                  <c:v>V</c:v>
                </c:pt>
                <c:pt idx="10">
                  <c:v>M</c:v>
                </c:pt>
                <c:pt idx="11">
                  <c:v>F</c:v>
                </c:pt>
                <c:pt idx="12">
                  <c:v>D</c:v>
                </c:pt>
                <c:pt idx="13">
                  <c:v>Th</c:v>
                </c:pt>
                <c:pt idx="14">
                  <c:v>L</c:v>
                </c:pt>
                <c:pt idx="15">
                  <c:v>GA</c:v>
                </c:pt>
                <c:pt idx="16">
                  <c:v>GDh</c:v>
                </c:pt>
                <c:pt idx="17">
                  <c:v>S</c:v>
                </c:pt>
              </c:strCache>
            </c:strRef>
          </c:cat>
          <c:val>
            <c:numRef>
              <c:f>'10.8'!$U$25:$U$42</c:f>
              <c:numCache>
                <c:formatCode>_(* #,##0_);_(* \(#,##0\);_(* "-"??_);_(@_)</c:formatCode>
                <c:ptCount val="18"/>
                <c:pt idx="0">
                  <c:v>456</c:v>
                </c:pt>
                <c:pt idx="1">
                  <c:v>97</c:v>
                </c:pt>
                <c:pt idx="2">
                  <c:v>796</c:v>
                </c:pt>
                <c:pt idx="3">
                  <c:v>470</c:v>
                </c:pt>
                <c:pt idx="4">
                  <c:v>1668</c:v>
                </c:pt>
                <c:pt idx="5">
                  <c:v>1476</c:v>
                </c:pt>
                <c:pt idx="6">
                  <c:v>9264</c:v>
                </c:pt>
                <c:pt idx="7">
                  <c:v>1988</c:v>
                </c:pt>
                <c:pt idx="8">
                  <c:v>3818</c:v>
                </c:pt>
                <c:pt idx="9">
                  <c:v>402</c:v>
                </c:pt>
                <c:pt idx="10">
                  <c:v>400</c:v>
                </c:pt>
                <c:pt idx="11">
                  <c:v>250</c:v>
                </c:pt>
                <c:pt idx="12">
                  <c:v>590</c:v>
                </c:pt>
                <c:pt idx="13">
                  <c:v>46</c:v>
                </c:pt>
                <c:pt idx="14">
                  <c:v>194</c:v>
                </c:pt>
                <c:pt idx="15">
                  <c:v>524</c:v>
                </c:pt>
                <c:pt idx="16">
                  <c:v>200</c:v>
                </c:pt>
                <c:pt idx="17">
                  <c:v>830</c:v>
                </c:pt>
              </c:numCache>
            </c:numRef>
          </c:val>
        </c:ser>
        <c:gapWidth val="23"/>
        <c:axId val="69856256"/>
        <c:axId val="69886720"/>
      </c:barChart>
      <c:catAx>
        <c:axId val="69856256"/>
        <c:scaling>
          <c:orientation val="minMax"/>
        </c:scaling>
        <c:axPos val="b"/>
        <c:numFmt formatCode="General" sourceLinked="1"/>
        <c:majorTickMark val="none"/>
        <c:tickLblPos val="nextTo"/>
        <c:crossAx val="69886720"/>
        <c:crosses val="autoZero"/>
        <c:auto val="1"/>
        <c:lblAlgn val="ctr"/>
        <c:lblOffset val="100"/>
      </c:catAx>
      <c:valAx>
        <c:axId val="69886720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layout>
            <c:manualLayout>
              <c:xMode val="edge"/>
              <c:yMode val="edge"/>
              <c:x val="7.9582797248383425E-3"/>
              <c:y val="0.37854523699243481"/>
            </c:manualLayout>
          </c:layout>
        </c:title>
        <c:numFmt formatCode="#,##0" sourceLinked="0"/>
        <c:tickLblPos val="nextTo"/>
        <c:crossAx val="69856256"/>
        <c:crosses val="autoZero"/>
        <c:crossBetween val="between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</c:chart>
  <c:spPr>
    <a:solidFill>
      <a:schemeClr val="accent5">
        <a:lumMod val="60000"/>
        <a:lumOff val="40000"/>
      </a:schemeClr>
    </a:solidFill>
  </c:sp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238125</xdr:colOff>
      <xdr:row>4</xdr:row>
      <xdr:rowOff>114300</xdr:rowOff>
    </xdr:from>
    <xdr:to>
      <xdr:col>20</xdr:col>
      <xdr:colOff>542925</xdr:colOff>
      <xdr:row>21</xdr:row>
      <xdr:rowOff>66675</xdr:rowOff>
    </xdr:to>
    <xdr:graphicFrame macro="">
      <xdr:nvGraphicFramePr>
        <xdr:cNvPr id="241676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190500</xdr:colOff>
      <xdr:row>25</xdr:row>
      <xdr:rowOff>28575</xdr:rowOff>
    </xdr:from>
    <xdr:to>
      <xdr:col>20</xdr:col>
      <xdr:colOff>495300</xdr:colOff>
      <xdr:row>42</xdr:row>
      <xdr:rowOff>19050</xdr:rowOff>
    </xdr:to>
    <xdr:graphicFrame macro="">
      <xdr:nvGraphicFramePr>
        <xdr:cNvPr id="241677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1800225</xdr:colOff>
      <xdr:row>24</xdr:row>
      <xdr:rowOff>152400</xdr:rowOff>
    </xdr:from>
    <xdr:to>
      <xdr:col>9</xdr:col>
      <xdr:colOff>304800</xdr:colOff>
      <xdr:row>41</xdr:row>
      <xdr:rowOff>0</xdr:rowOff>
    </xdr:to>
    <xdr:graphicFrame macro="">
      <xdr:nvGraphicFramePr>
        <xdr:cNvPr id="2316411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1819275</xdr:colOff>
      <xdr:row>41</xdr:row>
      <xdr:rowOff>152400</xdr:rowOff>
    </xdr:from>
    <xdr:to>
      <xdr:col>9</xdr:col>
      <xdr:colOff>304800</xdr:colOff>
      <xdr:row>57</xdr:row>
      <xdr:rowOff>152400</xdr:rowOff>
    </xdr:to>
    <xdr:graphicFrame macro="">
      <xdr:nvGraphicFramePr>
        <xdr:cNvPr id="231641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2D050"/>
  </sheetPr>
  <dimension ref="A1:U62"/>
  <sheetViews>
    <sheetView topLeftCell="A27" workbookViewId="0">
      <selection activeCell="M20" sqref="M20"/>
    </sheetView>
  </sheetViews>
  <sheetFormatPr defaultColWidth="9.109375" defaultRowHeight="13.2"/>
  <cols>
    <col min="1" max="1" width="16.33203125" style="1" customWidth="1"/>
    <col min="2" max="2" width="8.109375" style="1" customWidth="1"/>
    <col min="3" max="4" width="8.6640625" style="1" customWidth="1"/>
    <col min="5" max="6" width="9.109375" style="1" customWidth="1"/>
    <col min="7" max="7" width="7" style="1" customWidth="1"/>
    <col min="8" max="9" width="7.33203125" style="1" customWidth="1"/>
    <col min="10" max="11" width="7.88671875" style="1" customWidth="1"/>
    <col min="12" max="16384" width="9.109375" style="1"/>
  </cols>
  <sheetData>
    <row r="1" spans="1:21" ht="24" customHeight="1">
      <c r="A1" s="99" t="s">
        <v>109</v>
      </c>
      <c r="B1" s="99"/>
      <c r="C1" s="99"/>
      <c r="D1" s="99"/>
      <c r="E1" s="99"/>
      <c r="F1" s="99"/>
      <c r="G1" s="99"/>
      <c r="H1" s="99"/>
      <c r="I1" s="99"/>
      <c r="J1" s="99"/>
      <c r="K1" s="99"/>
      <c r="M1" s="2" t="s">
        <v>12</v>
      </c>
      <c r="N1" s="2" t="s">
        <v>26</v>
      </c>
      <c r="O1" s="2" t="s">
        <v>84</v>
      </c>
      <c r="P1" s="2" t="s">
        <v>102</v>
      </c>
      <c r="Q1" s="54" t="s">
        <v>108</v>
      </c>
      <c r="S1" s="55">
        <f>Q2/M2</f>
        <v>5.5298836452988356</v>
      </c>
      <c r="T1" s="56" t="s">
        <v>113</v>
      </c>
      <c r="U1" s="56"/>
    </row>
    <row r="2" spans="1:21" ht="9.75" customHeight="1">
      <c r="A2" s="100" t="s">
        <v>110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57" t="s">
        <v>56</v>
      </c>
      <c r="M2" s="58">
        <f>M4/1000</f>
        <v>41.511000000000003</v>
      </c>
      <c r="N2" s="58">
        <f>N4/1000</f>
        <v>60.665999999999997</v>
      </c>
      <c r="O2" s="58">
        <f>O4/1000</f>
        <v>118.961</v>
      </c>
      <c r="P2" s="58">
        <f>P4/1000</f>
        <v>198.655</v>
      </c>
      <c r="Q2" s="58">
        <f>Q4/1000</f>
        <v>229.55099999999999</v>
      </c>
      <c r="R2" s="59" t="s">
        <v>114</v>
      </c>
    </row>
    <row r="3" spans="1:21" ht="3.75" customHeight="1">
      <c r="A3" s="46"/>
      <c r="B3" s="46"/>
      <c r="C3" s="46"/>
      <c r="D3" s="46"/>
      <c r="E3" s="46"/>
      <c r="F3" s="46"/>
      <c r="G3" s="46"/>
      <c r="H3" s="46"/>
      <c r="I3" s="46"/>
      <c r="J3" s="46"/>
      <c r="K3" s="46"/>
    </row>
    <row r="4" spans="1:21" ht="21" customHeight="1">
      <c r="A4" s="101" t="s">
        <v>115</v>
      </c>
      <c r="B4" s="96" t="s">
        <v>16</v>
      </c>
      <c r="C4" s="104"/>
      <c r="D4" s="104"/>
      <c r="E4" s="104"/>
      <c r="F4" s="105"/>
      <c r="G4" s="106" t="s">
        <v>105</v>
      </c>
      <c r="H4" s="98"/>
      <c r="I4" s="98"/>
      <c r="J4" s="98"/>
      <c r="K4" s="107"/>
      <c r="L4" s="57" t="s">
        <v>56</v>
      </c>
      <c r="M4" s="58">
        <v>41511</v>
      </c>
      <c r="N4" s="58">
        <v>60666</v>
      </c>
      <c r="O4" s="60">
        <v>118961</v>
      </c>
      <c r="P4" s="60">
        <v>198655</v>
      </c>
      <c r="Q4" s="61">
        <v>229551</v>
      </c>
    </row>
    <row r="5" spans="1:21" ht="13.5" customHeight="1">
      <c r="A5" s="102"/>
      <c r="B5" s="95" t="s">
        <v>85</v>
      </c>
      <c r="C5" s="95"/>
      <c r="D5" s="95"/>
      <c r="E5" s="95"/>
      <c r="F5" s="108"/>
      <c r="G5" s="109" t="s">
        <v>86</v>
      </c>
      <c r="H5" s="97"/>
      <c r="I5" s="97"/>
      <c r="J5" s="97"/>
      <c r="K5" s="110"/>
    </row>
    <row r="6" spans="1:21" ht="15" customHeight="1">
      <c r="A6" s="103"/>
      <c r="B6" s="2" t="s">
        <v>12</v>
      </c>
      <c r="C6" s="2" t="s">
        <v>26</v>
      </c>
      <c r="D6" s="2" t="s">
        <v>84</v>
      </c>
      <c r="E6" s="2" t="s">
        <v>102</v>
      </c>
      <c r="F6" s="54" t="s">
        <v>108</v>
      </c>
      <c r="G6" s="62">
        <v>2008</v>
      </c>
      <c r="H6" s="3">
        <v>2009</v>
      </c>
      <c r="I6" s="3">
        <v>2010</v>
      </c>
      <c r="J6" s="3">
        <v>2011</v>
      </c>
      <c r="K6" s="63">
        <v>2012</v>
      </c>
    </row>
    <row r="7" spans="1:21" ht="12.75" customHeight="1">
      <c r="A7" s="57" t="s">
        <v>56</v>
      </c>
      <c r="B7" s="58">
        <v>41511</v>
      </c>
      <c r="C7" s="58">
        <v>60666</v>
      </c>
      <c r="D7" s="60">
        <v>118961</v>
      </c>
      <c r="E7" s="60">
        <v>198655</v>
      </c>
      <c r="F7" s="61">
        <v>229551</v>
      </c>
      <c r="G7" s="64">
        <v>15.385256837891928</v>
      </c>
      <c r="H7" s="64">
        <f t="shared" ref="H7:K38" si="0">(C7-B7)/B7*100</f>
        <v>46.144395461443956</v>
      </c>
      <c r="I7" s="65">
        <f t="shared" si="0"/>
        <v>96.091715293574651</v>
      </c>
      <c r="J7" s="65">
        <f t="shared" si="0"/>
        <v>66.991703163221558</v>
      </c>
      <c r="K7" s="66">
        <f t="shared" si="0"/>
        <v>15.552591175656289</v>
      </c>
    </row>
    <row r="8" spans="1:21" ht="12.75" customHeight="1">
      <c r="A8" s="57" t="s">
        <v>35</v>
      </c>
      <c r="B8" s="58">
        <v>69240</v>
      </c>
      <c r="C8" s="58">
        <v>69085</v>
      </c>
      <c r="D8" s="60">
        <v>77108</v>
      </c>
      <c r="E8" s="60">
        <v>90517</v>
      </c>
      <c r="F8" s="61">
        <v>98351</v>
      </c>
      <c r="G8" s="64">
        <v>-4.1912853367280576</v>
      </c>
      <c r="H8" s="64">
        <f t="shared" si="0"/>
        <v>-0.2238590410167533</v>
      </c>
      <c r="I8" s="65">
        <f t="shared" si="0"/>
        <v>11.613230078888325</v>
      </c>
      <c r="J8" s="65">
        <f t="shared" si="0"/>
        <v>17.389894693157647</v>
      </c>
      <c r="K8" s="66">
        <f t="shared" si="0"/>
        <v>8.654727841179005</v>
      </c>
    </row>
    <row r="9" spans="1:21" ht="12.75" customHeight="1">
      <c r="A9" s="57" t="s">
        <v>53</v>
      </c>
      <c r="B9" s="58">
        <v>116821</v>
      </c>
      <c r="C9" s="58">
        <v>105950</v>
      </c>
      <c r="D9" s="60">
        <v>114158</v>
      </c>
      <c r="E9" s="60">
        <v>104508</v>
      </c>
      <c r="F9" s="61">
        <v>91776</v>
      </c>
      <c r="G9" s="64">
        <v>-6.6611802681410701</v>
      </c>
      <c r="H9" s="64">
        <f t="shared" si="0"/>
        <v>-9.3056899016443957</v>
      </c>
      <c r="I9" s="65">
        <f t="shared" si="0"/>
        <v>7.7470504955167536</v>
      </c>
      <c r="J9" s="65">
        <f t="shared" si="0"/>
        <v>-8.4531964470295549</v>
      </c>
      <c r="K9" s="66">
        <f t="shared" si="0"/>
        <v>-12.182799402916524</v>
      </c>
    </row>
    <row r="10" spans="1:21" ht="12.75" customHeight="1">
      <c r="A10" s="57" t="s">
        <v>45</v>
      </c>
      <c r="B10" s="58">
        <v>48978</v>
      </c>
      <c r="C10" s="58">
        <v>40014</v>
      </c>
      <c r="D10" s="60">
        <v>49111</v>
      </c>
      <c r="E10" s="60">
        <v>63936</v>
      </c>
      <c r="F10" s="61">
        <v>66378</v>
      </c>
      <c r="G10" s="64">
        <v>53.801224682053693</v>
      </c>
      <c r="H10" s="64">
        <f t="shared" si="0"/>
        <v>-18.302094818081589</v>
      </c>
      <c r="I10" s="65">
        <f t="shared" si="0"/>
        <v>22.734542909981506</v>
      </c>
      <c r="J10" s="65">
        <f t="shared" si="0"/>
        <v>30.186719879456742</v>
      </c>
      <c r="K10" s="66">
        <f t="shared" si="0"/>
        <v>3.8194444444444446</v>
      </c>
    </row>
    <row r="11" spans="1:21" ht="12.75" customHeight="1">
      <c r="A11" s="57" t="s">
        <v>40</v>
      </c>
      <c r="B11" s="58">
        <v>103824</v>
      </c>
      <c r="C11" s="58">
        <v>89292</v>
      </c>
      <c r="D11" s="60">
        <v>89596</v>
      </c>
      <c r="E11" s="60">
        <v>83088</v>
      </c>
      <c r="F11" s="61">
        <v>62782</v>
      </c>
      <c r="G11" s="64">
        <v>-11.44772529553247</v>
      </c>
      <c r="H11" s="64">
        <f t="shared" si="0"/>
        <v>-13.996763754045308</v>
      </c>
      <c r="I11" s="65">
        <f t="shared" si="0"/>
        <v>0.34045603189535456</v>
      </c>
      <c r="J11" s="65">
        <f t="shared" si="0"/>
        <v>-7.2637171302290273</v>
      </c>
      <c r="K11" s="66">
        <f t="shared" si="0"/>
        <v>-24.439148854226843</v>
      </c>
    </row>
    <row r="12" spans="1:21" ht="12.75" customHeight="1">
      <c r="A12" s="57" t="s">
        <v>34</v>
      </c>
      <c r="B12" s="58">
        <v>48100</v>
      </c>
      <c r="C12" s="58">
        <v>50373</v>
      </c>
      <c r="D12" s="60">
        <v>54789</v>
      </c>
      <c r="E12" s="60">
        <v>59694</v>
      </c>
      <c r="F12" s="61">
        <v>56775</v>
      </c>
      <c r="G12" s="64">
        <v>6.1786715525043601</v>
      </c>
      <c r="H12" s="64">
        <f t="shared" si="0"/>
        <v>4.7255717255717258</v>
      </c>
      <c r="I12" s="65">
        <f t="shared" si="0"/>
        <v>8.766601155380858</v>
      </c>
      <c r="J12" s="65">
        <f t="shared" si="0"/>
        <v>8.9525269670919343</v>
      </c>
      <c r="K12" s="66">
        <f t="shared" si="0"/>
        <v>-4.889938687305257</v>
      </c>
    </row>
    <row r="13" spans="1:21" ht="12.75" customHeight="1">
      <c r="A13" s="57" t="s">
        <v>59</v>
      </c>
      <c r="B13" s="58">
        <v>38193</v>
      </c>
      <c r="C13" s="58">
        <v>36641</v>
      </c>
      <c r="D13" s="60">
        <v>38791</v>
      </c>
      <c r="E13" s="60">
        <v>35782</v>
      </c>
      <c r="F13" s="61">
        <v>36438</v>
      </c>
      <c r="G13" s="64">
        <v>-7.120449405413293</v>
      </c>
      <c r="H13" s="64">
        <f t="shared" si="0"/>
        <v>-4.063571858717566</v>
      </c>
      <c r="I13" s="65">
        <f t="shared" si="0"/>
        <v>5.8677437842853637</v>
      </c>
      <c r="J13" s="65">
        <f t="shared" si="0"/>
        <v>-7.7569539326132348</v>
      </c>
      <c r="K13" s="66">
        <f t="shared" si="0"/>
        <v>1.8333240176625119</v>
      </c>
    </row>
    <row r="14" spans="1:21" ht="12.75" customHeight="1">
      <c r="A14" s="57" t="s">
        <v>50</v>
      </c>
      <c r="B14" s="58">
        <v>26983</v>
      </c>
      <c r="C14" s="58">
        <v>26783</v>
      </c>
      <c r="D14" s="60">
        <v>27766</v>
      </c>
      <c r="E14" s="60">
        <v>32504</v>
      </c>
      <c r="F14" s="61">
        <v>35457</v>
      </c>
      <c r="G14" s="64">
        <v>3.0554176373983117</v>
      </c>
      <c r="H14" s="64">
        <f t="shared" si="0"/>
        <v>-0.74120742689841757</v>
      </c>
      <c r="I14" s="65">
        <f t="shared" si="0"/>
        <v>3.6702385841765301</v>
      </c>
      <c r="J14" s="65">
        <f t="shared" si="0"/>
        <v>17.064035150903983</v>
      </c>
      <c r="K14" s="66">
        <f t="shared" si="0"/>
        <v>9.0850356879153349</v>
      </c>
    </row>
    <row r="15" spans="1:21" ht="12.75" customHeight="1">
      <c r="A15" s="57" t="s">
        <v>57</v>
      </c>
      <c r="B15" s="58">
        <v>16663</v>
      </c>
      <c r="C15" s="58">
        <v>15850</v>
      </c>
      <c r="D15" s="60">
        <v>25756</v>
      </c>
      <c r="E15" s="60">
        <v>30978</v>
      </c>
      <c r="F15" s="61">
        <v>31721</v>
      </c>
      <c r="G15" s="64">
        <v>-3.832169446528539</v>
      </c>
      <c r="H15" s="64">
        <f t="shared" si="0"/>
        <v>-4.8790733961471524</v>
      </c>
      <c r="I15" s="65">
        <f t="shared" si="0"/>
        <v>62.498422712933753</v>
      </c>
      <c r="J15" s="65">
        <f t="shared" si="0"/>
        <v>20.274887404876534</v>
      </c>
      <c r="K15" s="66">
        <f t="shared" si="0"/>
        <v>2.3984763380463554</v>
      </c>
    </row>
    <row r="16" spans="1:21" ht="12.75" customHeight="1">
      <c r="A16" s="57" t="s">
        <v>60</v>
      </c>
      <c r="B16" s="58">
        <v>20934</v>
      </c>
      <c r="C16" s="58">
        <v>16135</v>
      </c>
      <c r="D16" s="60">
        <v>24808</v>
      </c>
      <c r="E16" s="60">
        <v>25285</v>
      </c>
      <c r="F16" s="61">
        <v>23933</v>
      </c>
      <c r="G16" s="64">
        <v>-0.20022883295194507</v>
      </c>
      <c r="H16" s="64">
        <f t="shared" si="0"/>
        <v>-22.92442915830706</v>
      </c>
      <c r="I16" s="65">
        <f t="shared" si="0"/>
        <v>53.752711496746208</v>
      </c>
      <c r="J16" s="65">
        <f t="shared" si="0"/>
        <v>1.9227668494034182</v>
      </c>
      <c r="K16" s="66">
        <f t="shared" si="0"/>
        <v>-5.3470437017994854</v>
      </c>
    </row>
    <row r="17" spans="1:15" ht="12.75" customHeight="1">
      <c r="A17" s="67" t="s">
        <v>54</v>
      </c>
      <c r="B17" s="68">
        <v>9482</v>
      </c>
      <c r="C17" s="68">
        <v>9476</v>
      </c>
      <c r="D17" s="69">
        <v>10220</v>
      </c>
      <c r="E17" s="69">
        <v>12088</v>
      </c>
      <c r="F17" s="70">
        <v>18612</v>
      </c>
      <c r="G17" s="71">
        <v>16.272225628448805</v>
      </c>
      <c r="H17" s="71">
        <f t="shared" si="0"/>
        <v>-6.3277789495886944E-2</v>
      </c>
      <c r="I17" s="72">
        <f t="shared" si="0"/>
        <v>7.8514140987758552</v>
      </c>
      <c r="J17" s="72">
        <f t="shared" si="0"/>
        <v>18.277886497064578</v>
      </c>
      <c r="K17" s="73">
        <f t="shared" si="0"/>
        <v>53.970880211780283</v>
      </c>
    </row>
    <row r="18" spans="1:15" ht="12.75" customHeight="1">
      <c r="A18" s="67" t="s">
        <v>29</v>
      </c>
      <c r="B18" s="68">
        <v>13462</v>
      </c>
      <c r="C18" s="68">
        <v>13274</v>
      </c>
      <c r="D18" s="69">
        <v>14944</v>
      </c>
      <c r="E18" s="69">
        <v>16655</v>
      </c>
      <c r="F18" s="70">
        <v>18164</v>
      </c>
      <c r="G18" s="71">
        <v>-1.5431873034447401</v>
      </c>
      <c r="H18" s="71">
        <f t="shared" si="0"/>
        <v>-1.3965235477640767</v>
      </c>
      <c r="I18" s="72">
        <f t="shared" si="0"/>
        <v>12.580985384963087</v>
      </c>
      <c r="J18" s="72">
        <f t="shared" si="0"/>
        <v>11.44941113490364</v>
      </c>
      <c r="K18" s="73">
        <f t="shared" si="0"/>
        <v>9.0603422395676976</v>
      </c>
    </row>
    <row r="19" spans="1:15" ht="12.75" customHeight="1">
      <c r="A19" s="67" t="s">
        <v>73</v>
      </c>
      <c r="B19" s="68">
        <v>8853</v>
      </c>
      <c r="C19" s="68">
        <v>9438</v>
      </c>
      <c r="D19" s="69">
        <v>11482</v>
      </c>
      <c r="E19" s="69">
        <v>14490</v>
      </c>
      <c r="F19" s="70">
        <v>16049</v>
      </c>
      <c r="G19" s="71">
        <v>-5.2952503209242625</v>
      </c>
      <c r="H19" s="71">
        <f t="shared" si="0"/>
        <v>6.607929515418502</v>
      </c>
      <c r="I19" s="72">
        <f t="shared" si="0"/>
        <v>21.657130748039837</v>
      </c>
      <c r="J19" s="72">
        <f t="shared" si="0"/>
        <v>26.197526563316497</v>
      </c>
      <c r="K19" s="73">
        <f t="shared" si="0"/>
        <v>10.759144237405106</v>
      </c>
    </row>
    <row r="20" spans="1:15" ht="12.75" customHeight="1">
      <c r="A20" s="67" t="s">
        <v>75</v>
      </c>
      <c r="B20" s="68">
        <v>9368</v>
      </c>
      <c r="C20" s="68">
        <v>7392</v>
      </c>
      <c r="D20" s="69">
        <v>9622</v>
      </c>
      <c r="E20" s="69">
        <v>12778</v>
      </c>
      <c r="F20" s="70">
        <v>15208</v>
      </c>
      <c r="G20" s="71">
        <v>-0.40399744843716773</v>
      </c>
      <c r="H20" s="71">
        <f t="shared" si="0"/>
        <v>-21.093082835183605</v>
      </c>
      <c r="I20" s="72">
        <f t="shared" si="0"/>
        <v>30.167748917748916</v>
      </c>
      <c r="J20" s="72">
        <f t="shared" si="0"/>
        <v>32.799833714404492</v>
      </c>
      <c r="K20" s="73">
        <f t="shared" si="0"/>
        <v>19.017060572859602</v>
      </c>
    </row>
    <row r="21" spans="1:15" ht="12.75" customHeight="1">
      <c r="A21" s="67" t="s">
        <v>64</v>
      </c>
      <c r="B21" s="68">
        <v>4956</v>
      </c>
      <c r="C21" s="68">
        <v>5214</v>
      </c>
      <c r="D21" s="69">
        <v>5332</v>
      </c>
      <c r="E21" s="69">
        <v>7990</v>
      </c>
      <c r="F21" s="70">
        <v>9625</v>
      </c>
      <c r="G21" s="71">
        <v>11.220825852782765</v>
      </c>
      <c r="H21" s="71">
        <f t="shared" si="0"/>
        <v>5.2058111380145284</v>
      </c>
      <c r="I21" s="72">
        <f t="shared" si="0"/>
        <v>2.263137706175681</v>
      </c>
      <c r="J21" s="72">
        <f t="shared" si="0"/>
        <v>49.849962490622659</v>
      </c>
      <c r="K21" s="73">
        <f t="shared" si="0"/>
        <v>20.463078848560702</v>
      </c>
    </row>
    <row r="22" spans="1:15" ht="12.75" customHeight="1">
      <c r="A22" s="67" t="s">
        <v>65</v>
      </c>
      <c r="B22" s="68">
        <v>9752</v>
      </c>
      <c r="C22" s="68">
        <v>7833</v>
      </c>
      <c r="D22" s="69">
        <v>7872</v>
      </c>
      <c r="E22" s="69">
        <v>9670</v>
      </c>
      <c r="F22" s="70">
        <v>8860</v>
      </c>
      <c r="G22" s="71">
        <v>1.015123264967889</v>
      </c>
      <c r="H22" s="71">
        <f t="shared" si="0"/>
        <v>-19.678014766201805</v>
      </c>
      <c r="I22" s="72">
        <f t="shared" si="0"/>
        <v>0.49789352738414405</v>
      </c>
      <c r="J22" s="72">
        <f t="shared" si="0"/>
        <v>22.840447154471544</v>
      </c>
      <c r="K22" s="73">
        <f t="shared" si="0"/>
        <v>-8.3764219234746644</v>
      </c>
    </row>
    <row r="23" spans="1:15" ht="12.75" customHeight="1">
      <c r="A23" s="67" t="s">
        <v>48</v>
      </c>
      <c r="B23" s="68">
        <v>8217</v>
      </c>
      <c r="C23" s="68">
        <v>7279</v>
      </c>
      <c r="D23" s="69">
        <v>8912</v>
      </c>
      <c r="E23" s="69">
        <v>9710</v>
      </c>
      <c r="F23" s="70">
        <v>8824</v>
      </c>
      <c r="G23" s="71">
        <v>-6.6037735849056602</v>
      </c>
      <c r="H23" s="71">
        <f t="shared" si="0"/>
        <v>-11.415358403310211</v>
      </c>
      <c r="I23" s="72">
        <f t="shared" si="0"/>
        <v>22.434400329715622</v>
      </c>
      <c r="J23" s="72">
        <f t="shared" si="0"/>
        <v>8.9542190305206457</v>
      </c>
      <c r="K23" s="73">
        <f t="shared" si="0"/>
        <v>-9.1246138002059727</v>
      </c>
      <c r="O23" s="56" t="s">
        <v>116</v>
      </c>
    </row>
    <row r="24" spans="1:15" ht="12.75" customHeight="1">
      <c r="A24" s="67" t="s">
        <v>52</v>
      </c>
      <c r="B24" s="68">
        <v>5399</v>
      </c>
      <c r="C24" s="68">
        <v>4643</v>
      </c>
      <c r="D24" s="69">
        <v>5445</v>
      </c>
      <c r="E24" s="69">
        <v>6729</v>
      </c>
      <c r="F24" s="70">
        <v>8044</v>
      </c>
      <c r="G24" s="71">
        <v>52.299012693935119</v>
      </c>
      <c r="H24" s="71">
        <f t="shared" si="0"/>
        <v>-14.002593072791258</v>
      </c>
      <c r="I24" s="72">
        <f t="shared" si="0"/>
        <v>17.273314667241007</v>
      </c>
      <c r="J24" s="72">
        <f t="shared" si="0"/>
        <v>23.581267217630856</v>
      </c>
      <c r="K24" s="73">
        <f t="shared" si="0"/>
        <v>19.542279684945758</v>
      </c>
    </row>
    <row r="25" spans="1:15" ht="12.75" customHeight="1">
      <c r="A25" s="67" t="s">
        <v>80</v>
      </c>
      <c r="B25" s="68">
        <v>2747</v>
      </c>
      <c r="C25" s="68">
        <v>3036</v>
      </c>
      <c r="D25" s="69">
        <v>4040</v>
      </c>
      <c r="E25" s="69">
        <v>5005</v>
      </c>
      <c r="F25" s="70">
        <v>7263</v>
      </c>
      <c r="G25" s="71">
        <v>41.597938144329902</v>
      </c>
      <c r="H25" s="71">
        <f t="shared" si="0"/>
        <v>10.520567892246087</v>
      </c>
      <c r="I25" s="72">
        <f t="shared" si="0"/>
        <v>33.06982872200264</v>
      </c>
      <c r="J25" s="72">
        <f t="shared" si="0"/>
        <v>23.886138613861384</v>
      </c>
      <c r="K25" s="73">
        <f t="shared" si="0"/>
        <v>45.114885114885119</v>
      </c>
    </row>
    <row r="26" spans="1:15" ht="12.75" customHeight="1">
      <c r="A26" s="67" t="s">
        <v>67</v>
      </c>
      <c r="B26" s="68">
        <v>3952</v>
      </c>
      <c r="C26" s="68">
        <v>3813</v>
      </c>
      <c r="D26" s="69">
        <v>5397</v>
      </c>
      <c r="E26" s="69">
        <v>6214</v>
      </c>
      <c r="F26" s="70">
        <v>6896</v>
      </c>
      <c r="G26" s="71">
        <v>7.8897078897078892</v>
      </c>
      <c r="H26" s="71">
        <f t="shared" si="0"/>
        <v>-3.5172064777327936</v>
      </c>
      <c r="I26" s="72">
        <f t="shared" si="0"/>
        <v>41.542092840283239</v>
      </c>
      <c r="J26" s="72">
        <f t="shared" si="0"/>
        <v>15.138039651658328</v>
      </c>
      <c r="K26" s="73">
        <f t="shared" si="0"/>
        <v>10.975217251367878</v>
      </c>
    </row>
    <row r="27" spans="1:15" ht="12.75" customHeight="1">
      <c r="A27" s="67" t="s">
        <v>61</v>
      </c>
      <c r="B27" s="68">
        <v>3137</v>
      </c>
      <c r="C27" s="68">
        <v>3139</v>
      </c>
      <c r="D27" s="69">
        <v>3894</v>
      </c>
      <c r="E27" s="69">
        <v>6055</v>
      </c>
      <c r="F27" s="70">
        <v>6766</v>
      </c>
      <c r="G27" s="71">
        <v>4.6015338446148721</v>
      </c>
      <c r="H27" s="71">
        <f t="shared" si="0"/>
        <v>6.3755180108383797E-2</v>
      </c>
      <c r="I27" s="72">
        <f t="shared" si="0"/>
        <v>24.052245938196879</v>
      </c>
      <c r="J27" s="72">
        <f t="shared" si="0"/>
        <v>55.495634309193633</v>
      </c>
      <c r="K27" s="73">
        <f t="shared" si="0"/>
        <v>11.742361684558217</v>
      </c>
    </row>
    <row r="28" spans="1:15" ht="12.75" customHeight="1">
      <c r="A28" s="67" t="s">
        <v>41</v>
      </c>
      <c r="B28" s="68">
        <v>5595</v>
      </c>
      <c r="C28" s="68">
        <v>5355</v>
      </c>
      <c r="D28" s="69">
        <v>5682</v>
      </c>
      <c r="E28" s="69">
        <v>5693</v>
      </c>
      <c r="F28" s="70">
        <v>6077</v>
      </c>
      <c r="G28" s="71">
        <v>-13.644080876678499</v>
      </c>
      <c r="H28" s="71">
        <f t="shared" si="0"/>
        <v>-4.2895442359249332</v>
      </c>
      <c r="I28" s="72">
        <f t="shared" si="0"/>
        <v>6.1064425770308119</v>
      </c>
      <c r="J28" s="72">
        <f t="shared" si="0"/>
        <v>0.19359380499824005</v>
      </c>
      <c r="K28" s="73">
        <f t="shared" si="0"/>
        <v>6.745125592833304</v>
      </c>
    </row>
    <row r="29" spans="1:15" ht="12.75" customHeight="1">
      <c r="A29" s="67" t="s">
        <v>82</v>
      </c>
      <c r="B29" s="68">
        <v>2585</v>
      </c>
      <c r="C29" s="68">
        <v>2744</v>
      </c>
      <c r="D29" s="69">
        <v>3336</v>
      </c>
      <c r="E29" s="69">
        <v>4130</v>
      </c>
      <c r="F29" s="70">
        <v>5880</v>
      </c>
      <c r="G29" s="71">
        <v>26.777832270720943</v>
      </c>
      <c r="H29" s="71">
        <f t="shared" si="0"/>
        <v>6.1508704061895552</v>
      </c>
      <c r="I29" s="72">
        <f t="shared" si="0"/>
        <v>21.574344023323615</v>
      </c>
      <c r="J29" s="72">
        <f t="shared" si="0"/>
        <v>23.800959232613909</v>
      </c>
      <c r="K29" s="73">
        <f t="shared" si="0"/>
        <v>42.372881355932201</v>
      </c>
    </row>
    <row r="30" spans="1:15" ht="12.75" customHeight="1">
      <c r="A30" s="67" t="s">
        <v>31</v>
      </c>
      <c r="B30" s="68">
        <v>3811</v>
      </c>
      <c r="C30" s="68">
        <v>3851</v>
      </c>
      <c r="D30" s="69">
        <v>5137</v>
      </c>
      <c r="E30" s="69">
        <v>6471</v>
      </c>
      <c r="F30" s="70">
        <v>5588</v>
      </c>
      <c r="G30" s="71">
        <v>37.780187997107738</v>
      </c>
      <c r="H30" s="71">
        <f t="shared" si="0"/>
        <v>1.0495932826029915</v>
      </c>
      <c r="I30" s="72">
        <f t="shared" si="0"/>
        <v>33.393923656193195</v>
      </c>
      <c r="J30" s="72">
        <f t="shared" si="0"/>
        <v>25.968464084095778</v>
      </c>
      <c r="K30" s="73">
        <f t="shared" si="0"/>
        <v>-13.645495286663575</v>
      </c>
    </row>
    <row r="31" spans="1:15" ht="12.75" customHeight="1">
      <c r="A31" s="67" t="s">
        <v>51</v>
      </c>
      <c r="B31" s="68">
        <v>3235</v>
      </c>
      <c r="C31" s="68">
        <v>2758</v>
      </c>
      <c r="D31" s="69">
        <v>4637</v>
      </c>
      <c r="E31" s="69">
        <v>4542</v>
      </c>
      <c r="F31" s="70">
        <v>5416</v>
      </c>
      <c r="G31" s="71">
        <v>32.473382473382472</v>
      </c>
      <c r="H31" s="71">
        <f t="shared" si="0"/>
        <v>-14.744976816074187</v>
      </c>
      <c r="I31" s="72">
        <f t="shared" si="0"/>
        <v>68.129079042784625</v>
      </c>
      <c r="J31" s="72">
        <f t="shared" si="0"/>
        <v>-2.0487384084537417</v>
      </c>
      <c r="K31" s="73">
        <f t="shared" si="0"/>
        <v>19.242624394539849</v>
      </c>
    </row>
    <row r="32" spans="1:15" ht="12.75" customHeight="1">
      <c r="A32" s="67" t="s">
        <v>49</v>
      </c>
      <c r="B32" s="68">
        <v>3542</v>
      </c>
      <c r="C32" s="68">
        <v>3165</v>
      </c>
      <c r="D32" s="69">
        <v>3638</v>
      </c>
      <c r="E32" s="69">
        <v>4896</v>
      </c>
      <c r="F32" s="70">
        <v>5230</v>
      </c>
      <c r="G32" s="71">
        <v>64.820846905537451</v>
      </c>
      <c r="H32" s="71">
        <f t="shared" si="0"/>
        <v>-10.643704121964992</v>
      </c>
      <c r="I32" s="72">
        <f t="shared" si="0"/>
        <v>14.944707740916272</v>
      </c>
      <c r="J32" s="72">
        <f t="shared" si="0"/>
        <v>34.579439252336449</v>
      </c>
      <c r="K32" s="73">
        <f t="shared" si="0"/>
        <v>6.8218954248366011</v>
      </c>
    </row>
    <row r="33" spans="1:14" ht="12.75" customHeight="1">
      <c r="A33" s="67" t="s">
        <v>72</v>
      </c>
      <c r="B33" s="68">
        <v>2966</v>
      </c>
      <c r="C33" s="68">
        <v>3043</v>
      </c>
      <c r="D33" s="69">
        <v>3815</v>
      </c>
      <c r="E33" s="69">
        <v>4690</v>
      </c>
      <c r="F33" s="70">
        <v>5070</v>
      </c>
      <c r="G33" s="71">
        <v>4.0336723956506493</v>
      </c>
      <c r="H33" s="71">
        <f t="shared" si="0"/>
        <v>2.5960890087660147</v>
      </c>
      <c r="I33" s="72">
        <f t="shared" si="0"/>
        <v>25.369700953006902</v>
      </c>
      <c r="J33" s="72">
        <f t="shared" si="0"/>
        <v>22.935779816513762</v>
      </c>
      <c r="K33" s="73">
        <f t="shared" si="0"/>
        <v>8.1023454157782524</v>
      </c>
    </row>
    <row r="34" spans="1:14" ht="12.75" customHeight="1">
      <c r="A34" s="67" t="s">
        <v>66</v>
      </c>
      <c r="B34" s="68">
        <v>2233</v>
      </c>
      <c r="C34" s="68">
        <v>1975</v>
      </c>
      <c r="D34" s="69">
        <v>3831</v>
      </c>
      <c r="E34" s="69">
        <v>5305</v>
      </c>
      <c r="F34" s="70">
        <v>4430</v>
      </c>
      <c r="G34" s="71">
        <v>10.654112983151636</v>
      </c>
      <c r="H34" s="71">
        <f t="shared" si="0"/>
        <v>-11.553963278101209</v>
      </c>
      <c r="I34" s="72">
        <f t="shared" si="0"/>
        <v>93.974683544303801</v>
      </c>
      <c r="J34" s="72">
        <f t="shared" si="0"/>
        <v>38.475593839728525</v>
      </c>
      <c r="K34" s="73">
        <f t="shared" si="0"/>
        <v>-16.493873704052781</v>
      </c>
    </row>
    <row r="35" spans="1:14" ht="12.75" customHeight="1">
      <c r="A35" s="67" t="s">
        <v>81</v>
      </c>
      <c r="B35" s="68">
        <v>1394</v>
      </c>
      <c r="C35" s="68">
        <v>1580</v>
      </c>
      <c r="D35" s="69">
        <v>1699</v>
      </c>
      <c r="E35" s="69">
        <v>2292</v>
      </c>
      <c r="F35" s="70">
        <v>4047</v>
      </c>
      <c r="G35" s="71">
        <v>72.738537794299873</v>
      </c>
      <c r="H35" s="71">
        <f t="shared" si="0"/>
        <v>13.342898134863701</v>
      </c>
      <c r="I35" s="72">
        <f t="shared" si="0"/>
        <v>7.5316455696202533</v>
      </c>
      <c r="J35" s="72">
        <f t="shared" si="0"/>
        <v>34.90288404944085</v>
      </c>
      <c r="K35" s="73">
        <f t="shared" si="0"/>
        <v>76.570680628272243</v>
      </c>
    </row>
    <row r="36" spans="1:14" ht="12.75" customHeight="1">
      <c r="A36" s="67" t="s">
        <v>69</v>
      </c>
      <c r="B36" s="68">
        <v>3732</v>
      </c>
      <c r="C36" s="68">
        <v>2975</v>
      </c>
      <c r="D36" s="69">
        <v>3157</v>
      </c>
      <c r="E36" s="69">
        <v>3684</v>
      </c>
      <c r="F36" s="70">
        <v>3967</v>
      </c>
      <c r="G36" s="71">
        <v>13.331308836926814</v>
      </c>
      <c r="H36" s="71">
        <f t="shared" si="0"/>
        <v>-20.284030010718112</v>
      </c>
      <c r="I36" s="72">
        <f t="shared" si="0"/>
        <v>6.1176470588235299</v>
      </c>
      <c r="J36" s="72">
        <f t="shared" si="0"/>
        <v>16.69306303452645</v>
      </c>
      <c r="K36" s="73">
        <f t="shared" si="0"/>
        <v>7.681867535287731</v>
      </c>
    </row>
    <row r="37" spans="1:14" ht="12.75" customHeight="1">
      <c r="A37" s="67" t="s">
        <v>43</v>
      </c>
      <c r="B37" s="68">
        <v>3325</v>
      </c>
      <c r="C37" s="68">
        <v>3357</v>
      </c>
      <c r="D37" s="69">
        <v>3795</v>
      </c>
      <c r="E37" s="69">
        <v>4158</v>
      </c>
      <c r="F37" s="70">
        <v>3918</v>
      </c>
      <c r="G37" s="71">
        <v>25.047010154193305</v>
      </c>
      <c r="H37" s="71">
        <f t="shared" si="0"/>
        <v>0.96240601503759393</v>
      </c>
      <c r="I37" s="72">
        <f t="shared" si="0"/>
        <v>13.047363717605004</v>
      </c>
      <c r="J37" s="72">
        <f t="shared" si="0"/>
        <v>9.5652173913043477</v>
      </c>
      <c r="K37" s="73">
        <f t="shared" si="0"/>
        <v>-5.7720057720057723</v>
      </c>
    </row>
    <row r="38" spans="1:14" ht="12.75" customHeight="1">
      <c r="A38" s="67" t="s">
        <v>44</v>
      </c>
      <c r="B38" s="68">
        <v>4150</v>
      </c>
      <c r="C38" s="68">
        <v>4822</v>
      </c>
      <c r="D38" s="69">
        <v>4555</v>
      </c>
      <c r="E38" s="69">
        <v>4434</v>
      </c>
      <c r="F38" s="70">
        <v>3660</v>
      </c>
      <c r="G38" s="71">
        <v>-0.90735434574976126</v>
      </c>
      <c r="H38" s="71">
        <f t="shared" si="0"/>
        <v>16.192771084337348</v>
      </c>
      <c r="I38" s="72">
        <f t="shared" si="0"/>
        <v>-5.5371215263376188</v>
      </c>
      <c r="J38" s="72">
        <f t="shared" si="0"/>
        <v>-2.6564215148188803</v>
      </c>
      <c r="K38" s="73">
        <f t="shared" si="0"/>
        <v>-17.456021650879567</v>
      </c>
    </row>
    <row r="39" spans="1:14" ht="12.75" customHeight="1">
      <c r="A39" s="67" t="s">
        <v>32</v>
      </c>
      <c r="B39" s="68">
        <v>1834</v>
      </c>
      <c r="C39" s="68">
        <v>1722</v>
      </c>
      <c r="D39" s="69">
        <v>2422</v>
      </c>
      <c r="E39" s="69">
        <v>3173</v>
      </c>
      <c r="F39" s="70">
        <v>3493</v>
      </c>
      <c r="G39" s="71">
        <v>0.82462891698735563</v>
      </c>
      <c r="H39" s="71">
        <f t="shared" ref="H39:K60" si="1">(C39-B39)/B39*100</f>
        <v>-6.1068702290076331</v>
      </c>
      <c r="I39" s="72">
        <f t="shared" si="1"/>
        <v>40.650406504065039</v>
      </c>
      <c r="J39" s="72">
        <f t="shared" si="1"/>
        <v>31.007431874483899</v>
      </c>
      <c r="K39" s="73">
        <f t="shared" si="1"/>
        <v>10.085092971950834</v>
      </c>
    </row>
    <row r="40" spans="1:14" ht="12.75" customHeight="1">
      <c r="A40" s="67" t="s">
        <v>70</v>
      </c>
      <c r="B40" s="68">
        <v>1962</v>
      </c>
      <c r="C40" s="68">
        <v>2059</v>
      </c>
      <c r="D40" s="69">
        <v>2471</v>
      </c>
      <c r="E40" s="69">
        <v>2781</v>
      </c>
      <c r="F40" s="70">
        <v>3128</v>
      </c>
      <c r="G40" s="71">
        <v>26.336123631680618</v>
      </c>
      <c r="H40" s="71">
        <f t="shared" si="1"/>
        <v>4.9439347604485224</v>
      </c>
      <c r="I40" s="72">
        <f t="shared" si="1"/>
        <v>20.009713453132587</v>
      </c>
      <c r="J40" s="72">
        <f t="shared" si="1"/>
        <v>12.545528126264671</v>
      </c>
      <c r="K40" s="73">
        <f t="shared" si="1"/>
        <v>12.47752606975908</v>
      </c>
    </row>
    <row r="41" spans="1:14" ht="12.75" customHeight="1">
      <c r="A41" s="67" t="s">
        <v>71</v>
      </c>
      <c r="B41" s="68">
        <v>1327</v>
      </c>
      <c r="C41" s="68">
        <v>1304</v>
      </c>
      <c r="D41" s="69">
        <v>1761</v>
      </c>
      <c r="E41" s="69">
        <v>2342</v>
      </c>
      <c r="F41" s="70">
        <v>3061</v>
      </c>
      <c r="G41" s="71">
        <v>87.429378531073439</v>
      </c>
      <c r="H41" s="71">
        <f t="shared" si="1"/>
        <v>-1.7332328560663148</v>
      </c>
      <c r="I41" s="72">
        <f t="shared" si="1"/>
        <v>35.04601226993865</v>
      </c>
      <c r="J41" s="72">
        <f t="shared" si="1"/>
        <v>32.992617830777967</v>
      </c>
      <c r="K41" s="73">
        <f t="shared" si="1"/>
        <v>30.700256191289498</v>
      </c>
    </row>
    <row r="42" spans="1:14" ht="12.75" customHeight="1">
      <c r="A42" s="67" t="s">
        <v>78</v>
      </c>
      <c r="B42" s="68">
        <v>1340</v>
      </c>
      <c r="C42" s="68">
        <v>1181</v>
      </c>
      <c r="D42" s="69">
        <v>1409</v>
      </c>
      <c r="E42" s="69">
        <v>1797</v>
      </c>
      <c r="F42" s="70">
        <v>2987</v>
      </c>
      <c r="G42" s="71">
        <v>33.466135458167329</v>
      </c>
      <c r="H42" s="71">
        <f t="shared" si="1"/>
        <v>-11.865671641791046</v>
      </c>
      <c r="I42" s="72">
        <f t="shared" si="1"/>
        <v>19.30567315834039</v>
      </c>
      <c r="J42" s="72">
        <f t="shared" si="1"/>
        <v>27.537260468417319</v>
      </c>
      <c r="K42" s="73">
        <f t="shared" si="1"/>
        <v>66.221480244852543</v>
      </c>
    </row>
    <row r="43" spans="1:14" ht="12.75" customHeight="1">
      <c r="A43" s="67" t="s">
        <v>42</v>
      </c>
      <c r="B43" s="68">
        <v>2596</v>
      </c>
      <c r="C43" s="68">
        <v>2120</v>
      </c>
      <c r="D43" s="69">
        <v>2153</v>
      </c>
      <c r="E43" s="69">
        <v>2775</v>
      </c>
      <c r="F43" s="70">
        <v>2902</v>
      </c>
      <c r="G43" s="71">
        <v>43.584070796460175</v>
      </c>
      <c r="H43" s="71">
        <f t="shared" si="1"/>
        <v>-18.335901386748844</v>
      </c>
      <c r="I43" s="72">
        <f t="shared" si="1"/>
        <v>1.5566037735849056</v>
      </c>
      <c r="J43" s="72">
        <f t="shared" si="1"/>
        <v>28.889921040408733</v>
      </c>
      <c r="K43" s="73">
        <f t="shared" si="1"/>
        <v>4.576576576576576</v>
      </c>
    </row>
    <row r="44" spans="1:14" ht="12.75" customHeight="1">
      <c r="A44" s="67" t="s">
        <v>46</v>
      </c>
      <c r="B44" s="68">
        <v>1916</v>
      </c>
      <c r="C44" s="68">
        <v>1970</v>
      </c>
      <c r="D44" s="69">
        <v>2348</v>
      </c>
      <c r="E44" s="69">
        <v>2822</v>
      </c>
      <c r="F44" s="70">
        <v>2636</v>
      </c>
      <c r="G44" s="71">
        <v>30.428863172226006</v>
      </c>
      <c r="H44" s="71">
        <f t="shared" si="1"/>
        <v>2.8183716075156577</v>
      </c>
      <c r="I44" s="72">
        <f t="shared" si="1"/>
        <v>19.18781725888325</v>
      </c>
      <c r="J44" s="72">
        <f t="shared" si="1"/>
        <v>20.187393526405451</v>
      </c>
      <c r="K44" s="73">
        <f t="shared" si="1"/>
        <v>-6.5910701630049608</v>
      </c>
    </row>
    <row r="45" spans="1:14" ht="12.75" customHeight="1">
      <c r="A45" s="67" t="s">
        <v>74</v>
      </c>
      <c r="B45" s="68">
        <v>1334</v>
      </c>
      <c r="C45" s="68">
        <v>1374</v>
      </c>
      <c r="D45" s="69">
        <v>1543</v>
      </c>
      <c r="E45" s="69">
        <v>2132</v>
      </c>
      <c r="F45" s="70">
        <v>2594</v>
      </c>
      <c r="G45" s="71">
        <v>3.3307513555383426</v>
      </c>
      <c r="H45" s="71">
        <f t="shared" si="1"/>
        <v>2.9985007496251872</v>
      </c>
      <c r="I45" s="72">
        <f t="shared" si="1"/>
        <v>12.299854439592432</v>
      </c>
      <c r="J45" s="72">
        <f t="shared" si="1"/>
        <v>38.172391445236556</v>
      </c>
      <c r="K45" s="73">
        <f t="shared" si="1"/>
        <v>21.669793621013135</v>
      </c>
      <c r="N45" s="56" t="s">
        <v>117</v>
      </c>
    </row>
    <row r="46" spans="1:14" ht="12" customHeight="1">
      <c r="A46" s="67" t="s">
        <v>39</v>
      </c>
      <c r="B46" s="68">
        <v>1588</v>
      </c>
      <c r="C46" s="68">
        <v>1380</v>
      </c>
      <c r="D46" s="69">
        <v>2113</v>
      </c>
      <c r="E46" s="69">
        <v>2433</v>
      </c>
      <c r="F46" s="70">
        <v>2569</v>
      </c>
      <c r="G46" s="71">
        <v>21.406727828746178</v>
      </c>
      <c r="H46" s="71">
        <f t="shared" si="1"/>
        <v>-13.09823677581864</v>
      </c>
      <c r="I46" s="72">
        <f t="shared" si="1"/>
        <v>53.115942028985508</v>
      </c>
      <c r="J46" s="72">
        <f t="shared" si="1"/>
        <v>15.144344533838144</v>
      </c>
      <c r="K46" s="73">
        <f t="shared" si="1"/>
        <v>5.589806822852446</v>
      </c>
    </row>
    <row r="47" spans="1:14" ht="12.75" customHeight="1">
      <c r="A47" s="67" t="s">
        <v>38</v>
      </c>
      <c r="B47" s="68">
        <v>2884</v>
      </c>
      <c r="C47" s="68">
        <v>2420</v>
      </c>
      <c r="D47" s="69">
        <v>2514</v>
      </c>
      <c r="E47" s="69">
        <v>2444</v>
      </c>
      <c r="F47" s="70">
        <v>2483</v>
      </c>
      <c r="G47" s="71">
        <v>-8.3862770012706473</v>
      </c>
      <c r="H47" s="71">
        <f t="shared" si="1"/>
        <v>-16.08876560332871</v>
      </c>
      <c r="I47" s="72">
        <f t="shared" si="1"/>
        <v>3.884297520661157</v>
      </c>
      <c r="J47" s="72">
        <f t="shared" si="1"/>
        <v>-2.7844073190135243</v>
      </c>
      <c r="K47" s="73">
        <f t="shared" si="1"/>
        <v>1.5957446808510638</v>
      </c>
    </row>
    <row r="48" spans="1:14" ht="12.75" customHeight="1">
      <c r="A48" s="67" t="s">
        <v>37</v>
      </c>
      <c r="B48" s="68">
        <v>2052</v>
      </c>
      <c r="C48" s="68">
        <v>1848</v>
      </c>
      <c r="D48" s="69">
        <v>2434</v>
      </c>
      <c r="E48" s="69">
        <v>2596</v>
      </c>
      <c r="F48" s="70">
        <v>2408</v>
      </c>
      <c r="G48" s="71">
        <v>-20.093457943925234</v>
      </c>
      <c r="H48" s="71">
        <f t="shared" si="1"/>
        <v>-9.9415204678362574</v>
      </c>
      <c r="I48" s="72">
        <f t="shared" si="1"/>
        <v>31.70995670995671</v>
      </c>
      <c r="J48" s="72">
        <f t="shared" si="1"/>
        <v>6.6557107641741986</v>
      </c>
      <c r="K48" s="73">
        <f t="shared" si="1"/>
        <v>-7.2419106317411401</v>
      </c>
    </row>
    <row r="49" spans="1:11" ht="12.75" customHeight="1">
      <c r="A49" s="67" t="s">
        <v>68</v>
      </c>
      <c r="B49" s="68">
        <v>1065</v>
      </c>
      <c r="C49" s="68">
        <v>1182</v>
      </c>
      <c r="D49" s="69">
        <v>1575</v>
      </c>
      <c r="E49" s="69">
        <v>2485</v>
      </c>
      <c r="F49" s="70">
        <v>2345</v>
      </c>
      <c r="G49" s="71">
        <v>-45.412608918503331</v>
      </c>
      <c r="H49" s="71">
        <f t="shared" si="1"/>
        <v>10.985915492957748</v>
      </c>
      <c r="I49" s="72">
        <f t="shared" si="1"/>
        <v>33.248730964467008</v>
      </c>
      <c r="J49" s="72">
        <f t="shared" si="1"/>
        <v>57.777777777777771</v>
      </c>
      <c r="K49" s="73">
        <f t="shared" si="1"/>
        <v>-5.6338028169014089</v>
      </c>
    </row>
    <row r="50" spans="1:11" ht="12.75" customHeight="1">
      <c r="A50" s="67" t="s">
        <v>63</v>
      </c>
      <c r="B50" s="68">
        <v>871</v>
      </c>
      <c r="C50" s="68">
        <v>979</v>
      </c>
      <c r="D50" s="69">
        <v>1066</v>
      </c>
      <c r="E50" s="69">
        <v>1652</v>
      </c>
      <c r="F50" s="70">
        <v>2265</v>
      </c>
      <c r="G50" s="71">
        <v>-11.303462321792262</v>
      </c>
      <c r="H50" s="71">
        <f t="shared" si="1"/>
        <v>12.399540757749714</v>
      </c>
      <c r="I50" s="72">
        <f t="shared" si="1"/>
        <v>8.88661899897855</v>
      </c>
      <c r="J50" s="72">
        <f t="shared" si="1"/>
        <v>54.971857410881796</v>
      </c>
      <c r="K50" s="73">
        <f t="shared" si="1"/>
        <v>37.106537530266344</v>
      </c>
    </row>
    <row r="51" spans="1:11" ht="12.75" customHeight="1">
      <c r="A51" s="67" t="s">
        <v>36</v>
      </c>
      <c r="B51" s="68">
        <v>4926</v>
      </c>
      <c r="C51" s="68">
        <v>5406</v>
      </c>
      <c r="D51" s="69">
        <v>4630</v>
      </c>
      <c r="E51" s="69">
        <v>3009</v>
      </c>
      <c r="F51" s="70">
        <v>2058</v>
      </c>
      <c r="G51" s="71">
        <v>1.5670103092783505</v>
      </c>
      <c r="H51" s="71">
        <f t="shared" si="1"/>
        <v>9.7442143727161987</v>
      </c>
      <c r="I51" s="72">
        <f t="shared" si="1"/>
        <v>-14.354421013688496</v>
      </c>
      <c r="J51" s="72">
        <f t="shared" si="1"/>
        <v>-35.010799136069117</v>
      </c>
      <c r="K51" s="73">
        <f t="shared" si="1"/>
        <v>-31.605184446660019</v>
      </c>
    </row>
    <row r="52" spans="1:11" ht="12.75" customHeight="1">
      <c r="A52" s="67" t="s">
        <v>62</v>
      </c>
      <c r="B52" s="68">
        <v>1191</v>
      </c>
      <c r="C52" s="68">
        <v>1046</v>
      </c>
      <c r="D52" s="69">
        <v>1256</v>
      </c>
      <c r="E52" s="69">
        <v>1842</v>
      </c>
      <c r="F52" s="70">
        <v>1857</v>
      </c>
      <c r="G52" s="71">
        <v>17.5715695952616</v>
      </c>
      <c r="H52" s="71">
        <f t="shared" si="1"/>
        <v>-12.174643157010916</v>
      </c>
      <c r="I52" s="72">
        <f t="shared" si="1"/>
        <v>20.076481835564053</v>
      </c>
      <c r="J52" s="72">
        <f t="shared" si="1"/>
        <v>46.656050955414017</v>
      </c>
      <c r="K52" s="73">
        <f t="shared" si="1"/>
        <v>0.81433224755700329</v>
      </c>
    </row>
    <row r="53" spans="1:11" ht="12.75" customHeight="1">
      <c r="A53" s="67" t="s">
        <v>58</v>
      </c>
      <c r="B53" s="68">
        <v>581</v>
      </c>
      <c r="C53" s="68">
        <v>677</v>
      </c>
      <c r="D53" s="69">
        <v>818</v>
      </c>
      <c r="E53" s="69">
        <v>1283</v>
      </c>
      <c r="F53" s="70">
        <v>1772</v>
      </c>
      <c r="G53" s="71">
        <v>-38.388123011664902</v>
      </c>
      <c r="H53" s="71">
        <f t="shared" si="1"/>
        <v>16.523235800344235</v>
      </c>
      <c r="I53" s="72">
        <f t="shared" si="1"/>
        <v>20.827178729689809</v>
      </c>
      <c r="J53" s="72">
        <f t="shared" si="1"/>
        <v>56.845965770171148</v>
      </c>
      <c r="K53" s="73">
        <f t="shared" si="1"/>
        <v>38.113795791114576</v>
      </c>
    </row>
    <row r="54" spans="1:11" ht="12.75" customHeight="1">
      <c r="A54" s="67" t="s">
        <v>79</v>
      </c>
      <c r="B54" s="68">
        <v>1139</v>
      </c>
      <c r="C54" s="68">
        <v>984</v>
      </c>
      <c r="D54" s="69">
        <v>1145</v>
      </c>
      <c r="E54" s="69">
        <v>1346</v>
      </c>
      <c r="F54" s="70">
        <v>1666</v>
      </c>
      <c r="G54" s="71">
        <v>72.575757575757578</v>
      </c>
      <c r="H54" s="71">
        <f t="shared" si="1"/>
        <v>-13.608428446005268</v>
      </c>
      <c r="I54" s="72">
        <f t="shared" si="1"/>
        <v>16.361788617886177</v>
      </c>
      <c r="J54" s="72">
        <f t="shared" si="1"/>
        <v>17.554585152838428</v>
      </c>
      <c r="K54" s="73">
        <f t="shared" si="1"/>
        <v>23.774145616641899</v>
      </c>
    </row>
    <row r="55" spans="1:11" ht="12.75" customHeight="1">
      <c r="A55" s="67" t="s">
        <v>76</v>
      </c>
      <c r="B55" s="68">
        <v>1184</v>
      </c>
      <c r="C55" s="68">
        <v>991</v>
      </c>
      <c r="D55" s="69">
        <v>1103</v>
      </c>
      <c r="E55" s="69">
        <v>1390</v>
      </c>
      <c r="F55" s="70">
        <v>1579</v>
      </c>
      <c r="G55" s="71">
        <v>3.6777583187390541</v>
      </c>
      <c r="H55" s="71">
        <f t="shared" si="1"/>
        <v>-16.300675675675674</v>
      </c>
      <c r="I55" s="72">
        <f t="shared" si="1"/>
        <v>11.301715438950556</v>
      </c>
      <c r="J55" s="72">
        <f t="shared" si="1"/>
        <v>26.019945602901178</v>
      </c>
      <c r="K55" s="73">
        <f t="shared" si="1"/>
        <v>13.597122302158274</v>
      </c>
    </row>
    <row r="56" spans="1:11" ht="12.75" customHeight="1">
      <c r="A56" s="67" t="s">
        <v>30</v>
      </c>
      <c r="B56" s="68">
        <v>3368</v>
      </c>
      <c r="C56" s="68">
        <v>3437</v>
      </c>
      <c r="D56" s="69">
        <v>4386</v>
      </c>
      <c r="E56" s="69">
        <v>5738</v>
      </c>
      <c r="F56" s="70">
        <v>1509</v>
      </c>
      <c r="G56" s="71">
        <v>-5.1801801801801801</v>
      </c>
      <c r="H56" s="71">
        <f t="shared" si="1"/>
        <v>2.0486935866983371</v>
      </c>
      <c r="I56" s="72">
        <f t="shared" si="1"/>
        <v>27.611288914751235</v>
      </c>
      <c r="J56" s="72">
        <f t="shared" si="1"/>
        <v>30.825353397172822</v>
      </c>
      <c r="K56" s="73">
        <f t="shared" si="1"/>
        <v>-73.701638201463922</v>
      </c>
    </row>
    <row r="57" spans="1:11" ht="12.75" customHeight="1">
      <c r="A57" s="67" t="s">
        <v>33</v>
      </c>
      <c r="B57" s="68">
        <v>865</v>
      </c>
      <c r="C57" s="68">
        <v>1088</v>
      </c>
      <c r="D57" s="69">
        <v>1281</v>
      </c>
      <c r="E57" s="69">
        <v>1535</v>
      </c>
      <c r="F57" s="70">
        <v>1402</v>
      </c>
      <c r="G57" s="71">
        <v>9.6324461343472745</v>
      </c>
      <c r="H57" s="71">
        <f t="shared" si="1"/>
        <v>25.780346820809246</v>
      </c>
      <c r="I57" s="72">
        <f t="shared" si="1"/>
        <v>17.738970588235293</v>
      </c>
      <c r="J57" s="72">
        <f t="shared" si="1"/>
        <v>19.828259172521467</v>
      </c>
      <c r="K57" s="73">
        <f t="shared" si="1"/>
        <v>-8.664495114006515</v>
      </c>
    </row>
    <row r="58" spans="1:11" ht="12.75" customHeight="1">
      <c r="A58" s="67" t="s">
        <v>47</v>
      </c>
      <c r="B58" s="68">
        <v>1372</v>
      </c>
      <c r="C58" s="68">
        <v>1324</v>
      </c>
      <c r="D58" s="69">
        <v>1647</v>
      </c>
      <c r="E58" s="69">
        <v>1609</v>
      </c>
      <c r="F58" s="70">
        <v>1295</v>
      </c>
      <c r="G58" s="71">
        <v>13.953488372093023</v>
      </c>
      <c r="H58" s="71">
        <f t="shared" si="1"/>
        <v>-3.4985422740524781</v>
      </c>
      <c r="I58" s="72">
        <f t="shared" si="1"/>
        <v>24.395770392749245</v>
      </c>
      <c r="J58" s="72">
        <f t="shared" si="1"/>
        <v>-2.3072252580449302</v>
      </c>
      <c r="K58" s="73">
        <f t="shared" si="1"/>
        <v>-19.515226848974518</v>
      </c>
    </row>
    <row r="59" spans="1:11" ht="12.75" customHeight="1">
      <c r="A59" s="67" t="s">
        <v>55</v>
      </c>
      <c r="B59" s="68">
        <v>455</v>
      </c>
      <c r="C59" s="68">
        <v>388</v>
      </c>
      <c r="D59" s="69">
        <v>525</v>
      </c>
      <c r="E59" s="69">
        <v>1496</v>
      </c>
      <c r="F59" s="70">
        <v>1221</v>
      </c>
      <c r="G59" s="71">
        <v>-64.563862928348911</v>
      </c>
      <c r="H59" s="71">
        <f t="shared" si="1"/>
        <v>-14.725274725274726</v>
      </c>
      <c r="I59" s="72">
        <f t="shared" si="1"/>
        <v>35.309278350515463</v>
      </c>
      <c r="J59" s="72">
        <f t="shared" si="1"/>
        <v>184.95238095238096</v>
      </c>
      <c r="K59" s="73">
        <f t="shared" si="1"/>
        <v>-18.382352941176471</v>
      </c>
    </row>
    <row r="60" spans="1:11" ht="12.75" customHeight="1">
      <c r="A60" s="74" t="s">
        <v>77</v>
      </c>
      <c r="B60" s="75">
        <v>22</v>
      </c>
      <c r="C60" s="75">
        <v>21</v>
      </c>
      <c r="D60" s="76">
        <v>31</v>
      </c>
      <c r="E60" s="76">
        <v>27</v>
      </c>
      <c r="F60" s="77">
        <v>39</v>
      </c>
      <c r="G60" s="78">
        <v>-80.530973451327441</v>
      </c>
      <c r="H60" s="78">
        <f t="shared" si="1"/>
        <v>-4.5454545454545459</v>
      </c>
      <c r="I60" s="79">
        <f t="shared" si="1"/>
        <v>47.619047619047613</v>
      </c>
      <c r="J60" s="79">
        <f t="shared" si="1"/>
        <v>-12.903225806451612</v>
      </c>
      <c r="K60" s="80">
        <f t="shared" si="1"/>
        <v>44.444444444444443</v>
      </c>
    </row>
    <row r="61" spans="1:11">
      <c r="A61" s="4"/>
      <c r="B61" s="5"/>
      <c r="C61" s="5"/>
      <c r="D61" s="5"/>
      <c r="E61" s="5"/>
      <c r="F61" s="5"/>
      <c r="G61" s="81"/>
      <c r="H61" s="6"/>
      <c r="I61" s="6"/>
      <c r="J61" s="6"/>
      <c r="K61" s="6"/>
    </row>
    <row r="62" spans="1:11" ht="12" customHeight="1">
      <c r="A62" s="4"/>
      <c r="B62" s="5"/>
      <c r="C62" s="5"/>
      <c r="D62" s="5"/>
      <c r="E62" s="5"/>
      <c r="F62" s="5"/>
      <c r="G62" s="81"/>
      <c r="H62" s="6"/>
      <c r="I62" s="6"/>
      <c r="J62" s="6"/>
      <c r="K62" s="6"/>
    </row>
  </sheetData>
  <mergeCells count="7">
    <mergeCell ref="A1:K1"/>
    <mergeCell ref="A2:K2"/>
    <mergeCell ref="A4:A6"/>
    <mergeCell ref="B4:F4"/>
    <mergeCell ref="G4:K4"/>
    <mergeCell ref="B5:F5"/>
    <mergeCell ref="G5:K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Y107"/>
  <sheetViews>
    <sheetView tabSelected="1" workbookViewId="0">
      <selection activeCell="C20" sqref="C20"/>
    </sheetView>
  </sheetViews>
  <sheetFormatPr defaultColWidth="9.109375" defaultRowHeight="13.2"/>
  <cols>
    <col min="1" max="1" width="28.109375" style="43" customWidth="1"/>
    <col min="2" max="8" width="8.6640625" style="43" customWidth="1"/>
    <col min="9" max="9" width="17" style="43" customWidth="1"/>
    <col min="10" max="10" width="20.44140625" style="43" customWidth="1"/>
    <col min="11" max="11" width="2" style="8" customWidth="1"/>
    <col min="12" max="20" width="9.109375" style="8"/>
    <col min="21" max="21" width="9.44140625" style="8" bestFit="1" customWidth="1"/>
    <col min="22" max="16384" width="9.109375" style="8"/>
  </cols>
  <sheetData>
    <row r="1" spans="1:25" ht="18.75" customHeight="1">
      <c r="A1" s="114" t="s">
        <v>133</v>
      </c>
      <c r="B1" s="115"/>
      <c r="C1" s="115"/>
      <c r="D1" s="115"/>
      <c r="E1" s="115"/>
      <c r="F1" s="115"/>
      <c r="G1" s="115"/>
      <c r="H1" s="115"/>
      <c r="I1" s="115"/>
      <c r="J1" s="116"/>
    </row>
    <row r="2" spans="1:25" ht="18.75" customHeight="1">
      <c r="A2" s="111" t="s">
        <v>132</v>
      </c>
      <c r="B2" s="111"/>
      <c r="C2" s="111"/>
      <c r="D2" s="111"/>
      <c r="E2" s="111"/>
      <c r="F2" s="111"/>
      <c r="G2" s="111"/>
      <c r="H2" s="111"/>
      <c r="I2" s="111"/>
      <c r="J2" s="111"/>
      <c r="T2" s="82" t="s">
        <v>119</v>
      </c>
      <c r="U2" s="82"/>
      <c r="V2" s="82"/>
      <c r="W2" s="82"/>
      <c r="X2" s="82"/>
      <c r="Y2" s="82"/>
    </row>
    <row r="3" spans="1:25" ht="13.5" customHeight="1">
      <c r="A3" s="112" t="s">
        <v>0</v>
      </c>
      <c r="B3" s="117"/>
      <c r="C3" s="118"/>
      <c r="D3" s="118"/>
      <c r="E3" s="118"/>
      <c r="F3" s="118"/>
      <c r="G3" s="118"/>
      <c r="H3" s="119"/>
      <c r="I3" s="11" t="s">
        <v>1</v>
      </c>
      <c r="J3" s="12"/>
      <c r="T3" s="82" t="s">
        <v>120</v>
      </c>
      <c r="U3" s="82"/>
      <c r="V3" s="82"/>
      <c r="W3" s="82"/>
      <c r="X3" s="82"/>
      <c r="Y3" s="82"/>
    </row>
    <row r="4" spans="1:25" ht="15.9" customHeight="1">
      <c r="A4" s="113"/>
      <c r="B4" s="14">
        <v>2007</v>
      </c>
      <c r="C4" s="13">
        <v>2008</v>
      </c>
      <c r="D4" s="13">
        <v>2009</v>
      </c>
      <c r="E4" s="13">
        <v>2010</v>
      </c>
      <c r="F4" s="13">
        <v>2011</v>
      </c>
      <c r="G4" s="13">
        <v>2012</v>
      </c>
      <c r="H4" s="13">
        <v>2013</v>
      </c>
      <c r="I4" s="15" t="s">
        <v>131</v>
      </c>
      <c r="J4" s="16" t="s">
        <v>93</v>
      </c>
      <c r="T4" s="43"/>
      <c r="U4" s="43"/>
      <c r="V4" s="43"/>
      <c r="W4" s="43"/>
      <c r="X4" s="43"/>
      <c r="Y4" s="43"/>
    </row>
    <row r="5" spans="1:25" s="21" customFormat="1" ht="17.25" customHeight="1">
      <c r="A5" s="17" t="s">
        <v>118</v>
      </c>
      <c r="B5" s="18">
        <f t="shared" ref="B5:G5" si="0">SUM(B6:B23)</f>
        <v>19028</v>
      </c>
      <c r="C5" s="18">
        <f t="shared" si="0"/>
        <v>19860</v>
      </c>
      <c r="D5" s="18">
        <f t="shared" si="0"/>
        <v>20942</v>
      </c>
      <c r="E5" s="18">
        <f t="shared" si="0"/>
        <v>21232</v>
      </c>
      <c r="F5" s="18">
        <f>SUM(F6:F23)</f>
        <v>22120</v>
      </c>
      <c r="G5" s="18">
        <f t="shared" si="0"/>
        <v>22889</v>
      </c>
      <c r="H5" s="18">
        <f>SUM(H6:H23)</f>
        <v>23469</v>
      </c>
      <c r="I5" s="19">
        <f>H5/H5*100</f>
        <v>100</v>
      </c>
      <c r="J5" s="20" t="s">
        <v>83</v>
      </c>
      <c r="T5" s="82"/>
      <c r="U5" s="82" t="s">
        <v>121</v>
      </c>
      <c r="V5" s="82" t="s">
        <v>122</v>
      </c>
      <c r="W5" s="82" t="s">
        <v>123</v>
      </c>
      <c r="X5" s="43"/>
      <c r="Y5" s="43"/>
    </row>
    <row r="6" spans="1:25" s="21" customFormat="1" ht="18.75" customHeight="1">
      <c r="A6" s="49" t="s">
        <v>14</v>
      </c>
      <c r="B6" s="22">
        <v>390</v>
      </c>
      <c r="C6" s="22">
        <v>432</v>
      </c>
      <c r="D6" s="22">
        <v>432</v>
      </c>
      <c r="E6" s="22">
        <v>456</v>
      </c>
      <c r="F6" s="23">
        <v>456</v>
      </c>
      <c r="G6" s="23">
        <v>456</v>
      </c>
      <c r="H6" s="23">
        <v>456</v>
      </c>
      <c r="I6" s="24">
        <f>(H6/$H$5)*100</f>
        <v>1.9429886232902978</v>
      </c>
      <c r="J6" s="25" t="s">
        <v>97</v>
      </c>
      <c r="T6" s="83" t="s">
        <v>124</v>
      </c>
      <c r="U6" s="23">
        <v>456</v>
      </c>
      <c r="V6" s="84">
        <v>1.9922233387216599</v>
      </c>
      <c r="W6" s="82">
        <v>3</v>
      </c>
      <c r="X6" s="43"/>
      <c r="Y6" s="43"/>
    </row>
    <row r="7" spans="1:25" s="21" customFormat="1" ht="18.75" customHeight="1">
      <c r="A7" s="49" t="s">
        <v>111</v>
      </c>
      <c r="B7" s="22">
        <v>0</v>
      </c>
      <c r="C7" s="22">
        <v>0</v>
      </c>
      <c r="D7" s="22">
        <v>0</v>
      </c>
      <c r="E7" s="22">
        <v>0</v>
      </c>
      <c r="F7" s="22">
        <v>0</v>
      </c>
      <c r="G7" s="23">
        <v>97</v>
      </c>
      <c r="H7" s="23">
        <v>97</v>
      </c>
      <c r="I7" s="24">
        <f>(H7/$H$5)*100</f>
        <v>0.4133111764455239</v>
      </c>
      <c r="J7" s="26" t="s">
        <v>112</v>
      </c>
      <c r="T7" s="83" t="s">
        <v>17</v>
      </c>
      <c r="U7" s="23">
        <v>97</v>
      </c>
      <c r="V7" s="84">
        <v>0.42378435056140507</v>
      </c>
      <c r="W7" s="82">
        <v>1</v>
      </c>
      <c r="X7" s="43"/>
      <c r="Y7" s="43"/>
    </row>
    <row r="8" spans="1:25" s="21" customFormat="1" ht="18.75" customHeight="1">
      <c r="A8" s="49" t="s">
        <v>15</v>
      </c>
      <c r="B8" s="22">
        <v>0</v>
      </c>
      <c r="C8" s="22">
        <v>400</v>
      </c>
      <c r="D8" s="22">
        <v>490</v>
      </c>
      <c r="E8" s="22">
        <v>542</v>
      </c>
      <c r="F8" s="23">
        <v>542</v>
      </c>
      <c r="G8" s="23">
        <v>542</v>
      </c>
      <c r="H8" s="23">
        <v>796</v>
      </c>
      <c r="I8" s="24">
        <f t="shared" ref="I8:I23" si="1">(H8/$H$5)*100</f>
        <v>3.3917082108313097</v>
      </c>
      <c r="J8" s="26" t="s">
        <v>99</v>
      </c>
      <c r="T8" s="83" t="s">
        <v>18</v>
      </c>
      <c r="U8" s="23">
        <v>796</v>
      </c>
      <c r="V8" s="84">
        <v>2.3679496701472322</v>
      </c>
      <c r="W8" s="82">
        <v>2</v>
      </c>
      <c r="X8" s="43"/>
      <c r="Y8" s="43"/>
    </row>
    <row r="9" spans="1:25" s="9" customFormat="1" ht="18.75" customHeight="1">
      <c r="A9" s="27" t="s">
        <v>2</v>
      </c>
      <c r="B9" s="22">
        <v>470</v>
      </c>
      <c r="C9" s="22">
        <v>470</v>
      </c>
      <c r="D9" s="22">
        <v>470</v>
      </c>
      <c r="E9" s="22">
        <v>470</v>
      </c>
      <c r="F9" s="22">
        <v>470</v>
      </c>
      <c r="G9" s="22">
        <v>470</v>
      </c>
      <c r="H9" s="22">
        <v>470</v>
      </c>
      <c r="I9" s="24">
        <f>(H9/$H$5)*100</f>
        <v>2.0026417827772804</v>
      </c>
      <c r="J9" s="26" t="s">
        <v>87</v>
      </c>
      <c r="T9" s="85" t="s">
        <v>19</v>
      </c>
      <c r="U9" s="22">
        <v>470</v>
      </c>
      <c r="V9" s="84">
        <v>2.0533880903490758</v>
      </c>
      <c r="W9" s="82">
        <v>1</v>
      </c>
      <c r="X9" s="43"/>
      <c r="Y9" s="43"/>
    </row>
    <row r="10" spans="1:25" s="9" customFormat="1" ht="18.75" customHeight="1">
      <c r="A10" s="27" t="s">
        <v>3</v>
      </c>
      <c r="B10" s="28">
        <v>1240</v>
      </c>
      <c r="C10" s="28">
        <v>1240</v>
      </c>
      <c r="D10" s="28">
        <v>1240</v>
      </c>
      <c r="E10" s="28">
        <v>1288</v>
      </c>
      <c r="F10" s="28">
        <v>1398</v>
      </c>
      <c r="G10" s="28">
        <v>1660</v>
      </c>
      <c r="H10" s="28">
        <v>1668</v>
      </c>
      <c r="I10" s="24">
        <f t="shared" si="1"/>
        <v>7.1072478588776686</v>
      </c>
      <c r="J10" s="26" t="s">
        <v>88</v>
      </c>
      <c r="T10" s="85" t="s">
        <v>25</v>
      </c>
      <c r="U10" s="28">
        <v>1668</v>
      </c>
      <c r="V10" s="84">
        <v>7.2523919786797144</v>
      </c>
      <c r="W10" s="82">
        <v>8</v>
      </c>
      <c r="X10" s="43"/>
      <c r="Y10" s="43"/>
    </row>
    <row r="11" spans="1:25" s="9" customFormat="1" ht="18.75" customHeight="1">
      <c r="A11" s="27" t="s">
        <v>4</v>
      </c>
      <c r="B11" s="28">
        <v>1276</v>
      </c>
      <c r="C11" s="28">
        <v>1294</v>
      </c>
      <c r="D11" s="28">
        <v>1336</v>
      </c>
      <c r="E11" s="28">
        <v>1336</v>
      </c>
      <c r="F11" s="28">
        <v>1336</v>
      </c>
      <c r="G11" s="28">
        <v>1336</v>
      </c>
      <c r="H11" s="28">
        <v>1476</v>
      </c>
      <c r="I11" s="24">
        <f t="shared" si="1"/>
        <v>6.2891473859133322</v>
      </c>
      <c r="J11" s="26" t="s">
        <v>89</v>
      </c>
      <c r="T11" s="85" t="s">
        <v>20</v>
      </c>
      <c r="U11" s="28">
        <v>1476</v>
      </c>
      <c r="V11" s="84">
        <v>5.8368648695880117</v>
      </c>
      <c r="W11" s="82">
        <v>4</v>
      </c>
      <c r="X11" s="43"/>
      <c r="Y11" s="43"/>
    </row>
    <row r="12" spans="1:25" s="9" customFormat="1" ht="18.75" customHeight="1">
      <c r="A12" s="27" t="s">
        <v>5</v>
      </c>
      <c r="B12" s="28">
        <v>8724</v>
      </c>
      <c r="C12" s="28">
        <v>8914</v>
      </c>
      <c r="D12" s="28">
        <v>8982</v>
      </c>
      <c r="E12" s="28">
        <v>9050</v>
      </c>
      <c r="F12" s="28">
        <v>9128</v>
      </c>
      <c r="G12" s="28">
        <v>9132</v>
      </c>
      <c r="H12" s="28">
        <v>9264</v>
      </c>
      <c r="I12" s="24">
        <f>(H12/$H$5)*100</f>
        <v>39.473347820529206</v>
      </c>
      <c r="J12" s="26" t="s">
        <v>90</v>
      </c>
      <c r="T12" s="85" t="s">
        <v>21</v>
      </c>
      <c r="U12" s="28">
        <v>9264</v>
      </c>
      <c r="V12" s="84">
        <v>39.896893704399496</v>
      </c>
      <c r="W12" s="82">
        <v>43</v>
      </c>
      <c r="X12" s="43"/>
      <c r="Y12" s="43"/>
    </row>
    <row r="13" spans="1:25" s="9" customFormat="1" ht="18.75" customHeight="1">
      <c r="A13" s="27" t="s">
        <v>6</v>
      </c>
      <c r="B13" s="28">
        <v>1858</v>
      </c>
      <c r="C13" s="28">
        <v>1928</v>
      </c>
      <c r="D13" s="28">
        <v>1988</v>
      </c>
      <c r="E13" s="28">
        <v>1988</v>
      </c>
      <c r="F13" s="28">
        <v>1988</v>
      </c>
      <c r="G13" s="28">
        <v>1988</v>
      </c>
      <c r="H13" s="28">
        <v>1988</v>
      </c>
      <c r="I13" s="24">
        <f t="shared" si="1"/>
        <v>8.4707486471515612</v>
      </c>
      <c r="J13" s="26" t="s">
        <v>101</v>
      </c>
      <c r="T13" s="85" t="s">
        <v>125</v>
      </c>
      <c r="U13" s="28">
        <v>1988</v>
      </c>
      <c r="V13" s="84">
        <v>8.6853947310935382</v>
      </c>
      <c r="W13" s="82">
        <v>11</v>
      </c>
      <c r="X13" s="43"/>
      <c r="Y13" s="43"/>
    </row>
    <row r="14" spans="1:25" s="21" customFormat="1" ht="18.75" customHeight="1">
      <c r="A14" s="27" t="s">
        <v>7</v>
      </c>
      <c r="B14" s="28">
        <v>3200</v>
      </c>
      <c r="C14" s="28">
        <v>3312</v>
      </c>
      <c r="D14" s="28">
        <v>3538</v>
      </c>
      <c r="E14" s="28">
        <v>3586</v>
      </c>
      <c r="F14" s="28">
        <v>3818</v>
      </c>
      <c r="G14" s="28">
        <v>3818</v>
      </c>
      <c r="H14" s="28">
        <v>3818</v>
      </c>
      <c r="I14" s="24">
        <f t="shared" si="1"/>
        <v>16.268268780092889</v>
      </c>
      <c r="J14" s="26" t="s">
        <v>91</v>
      </c>
      <c r="T14" s="85" t="s">
        <v>130</v>
      </c>
      <c r="U14" s="28">
        <v>3818</v>
      </c>
      <c r="V14" s="84">
        <v>16.680501550963346</v>
      </c>
      <c r="W14" s="82">
        <v>16</v>
      </c>
      <c r="X14" s="43"/>
      <c r="Y14" s="43"/>
    </row>
    <row r="15" spans="1:25" s="21" customFormat="1" ht="18.75" customHeight="1">
      <c r="A15" s="27" t="s">
        <v>8</v>
      </c>
      <c r="B15" s="22">
        <v>350</v>
      </c>
      <c r="C15" s="22">
        <v>350</v>
      </c>
      <c r="D15" s="22">
        <v>350</v>
      </c>
      <c r="E15" s="22">
        <v>350</v>
      </c>
      <c r="F15" s="22">
        <v>350</v>
      </c>
      <c r="G15" s="22">
        <v>402</v>
      </c>
      <c r="H15" s="22">
        <v>402</v>
      </c>
      <c r="I15" s="24">
        <f>(H15/$H$5)*100</f>
        <v>1.7128978652690783</v>
      </c>
      <c r="J15" s="26" t="s">
        <v>92</v>
      </c>
      <c r="T15" s="85" t="s">
        <v>28</v>
      </c>
      <c r="U15" s="22">
        <v>402</v>
      </c>
      <c r="V15" s="84">
        <v>1.7563021538730395</v>
      </c>
      <c r="W15" s="82">
        <v>2</v>
      </c>
      <c r="X15" s="43"/>
      <c r="Y15" s="43"/>
    </row>
    <row r="16" spans="1:25" s="21" customFormat="1" ht="18.75" customHeight="1">
      <c r="A16" s="49" t="s">
        <v>9</v>
      </c>
      <c r="B16" s="22">
        <v>400</v>
      </c>
      <c r="C16" s="22">
        <v>400</v>
      </c>
      <c r="D16" s="22">
        <v>400</v>
      </c>
      <c r="E16" s="22">
        <v>400</v>
      </c>
      <c r="F16" s="22">
        <v>400</v>
      </c>
      <c r="G16" s="22">
        <v>400</v>
      </c>
      <c r="H16" s="22">
        <v>400</v>
      </c>
      <c r="I16" s="24">
        <f t="shared" si="1"/>
        <v>1.7043759853423663</v>
      </c>
      <c r="J16" s="25" t="s">
        <v>94</v>
      </c>
      <c r="T16" s="83" t="s">
        <v>23</v>
      </c>
      <c r="U16" s="22">
        <v>400</v>
      </c>
      <c r="V16" s="84">
        <v>1.7475643322119796</v>
      </c>
      <c r="W16" s="82">
        <v>2</v>
      </c>
      <c r="X16" s="43"/>
      <c r="Y16" s="43"/>
    </row>
    <row r="17" spans="1:25" s="21" customFormat="1" ht="18.75" customHeight="1">
      <c r="A17" s="49" t="s">
        <v>10</v>
      </c>
      <c r="B17" s="22">
        <v>250</v>
      </c>
      <c r="C17" s="22">
        <v>250</v>
      </c>
      <c r="D17" s="22">
        <v>250</v>
      </c>
      <c r="E17" s="22">
        <v>250</v>
      </c>
      <c r="F17" s="22">
        <v>250</v>
      </c>
      <c r="G17" s="22">
        <v>250</v>
      </c>
      <c r="H17" s="22">
        <v>250</v>
      </c>
      <c r="I17" s="24">
        <f t="shared" si="1"/>
        <v>1.0652349908389791</v>
      </c>
      <c r="J17" s="26" t="s">
        <v>95</v>
      </c>
      <c r="T17" s="83" t="s">
        <v>126</v>
      </c>
      <c r="U17" s="22">
        <v>250</v>
      </c>
      <c r="V17" s="84">
        <v>1.0922277076324873</v>
      </c>
      <c r="W17" s="82">
        <v>1</v>
      </c>
      <c r="X17" s="43"/>
      <c r="Y17" s="43"/>
    </row>
    <row r="18" spans="1:25" s="31" customFormat="1" ht="18.75" customHeight="1">
      <c r="A18" s="50" t="s">
        <v>11</v>
      </c>
      <c r="B18" s="29">
        <v>324</v>
      </c>
      <c r="C18" s="29">
        <v>324</v>
      </c>
      <c r="D18" s="29">
        <v>436</v>
      </c>
      <c r="E18" s="29">
        <v>436</v>
      </c>
      <c r="F18" s="29">
        <v>436</v>
      </c>
      <c r="G18" s="29">
        <v>590</v>
      </c>
      <c r="H18" s="29">
        <v>590</v>
      </c>
      <c r="I18" s="24">
        <f t="shared" si="1"/>
        <v>2.5139545783799906</v>
      </c>
      <c r="J18" s="30" t="s">
        <v>96</v>
      </c>
      <c r="T18" s="86" t="s">
        <v>127</v>
      </c>
      <c r="U18" s="29">
        <v>590</v>
      </c>
      <c r="V18" s="84">
        <v>2.57765739001267</v>
      </c>
      <c r="W18" s="82">
        <v>3</v>
      </c>
      <c r="X18" s="43"/>
      <c r="Y18" s="43"/>
    </row>
    <row r="19" spans="1:25" s="91" customFormat="1" ht="18.75" customHeight="1">
      <c r="A19" s="51" t="s">
        <v>136</v>
      </c>
      <c r="B19" s="32">
        <v>0</v>
      </c>
      <c r="C19" s="32">
        <v>0</v>
      </c>
      <c r="D19" s="32">
        <v>0</v>
      </c>
      <c r="E19" s="32">
        <v>0</v>
      </c>
      <c r="F19" s="32">
        <v>0</v>
      </c>
      <c r="G19" s="32">
        <v>0</v>
      </c>
      <c r="H19" s="32">
        <v>46</v>
      </c>
      <c r="I19" s="24">
        <f t="shared" si="1"/>
        <v>0.19600323831437216</v>
      </c>
      <c r="J19" s="92" t="s">
        <v>137</v>
      </c>
      <c r="T19" s="87" t="s">
        <v>138</v>
      </c>
      <c r="U19" s="32">
        <v>46</v>
      </c>
      <c r="V19" s="84"/>
      <c r="W19" s="82"/>
      <c r="X19" s="43"/>
      <c r="Y19" s="43"/>
    </row>
    <row r="20" spans="1:25" s="10" customFormat="1" ht="18.75" customHeight="1">
      <c r="A20" s="51" t="s">
        <v>104</v>
      </c>
      <c r="B20" s="32">
        <v>0</v>
      </c>
      <c r="C20" s="32">
        <v>0</v>
      </c>
      <c r="D20" s="32">
        <v>0</v>
      </c>
      <c r="E20" s="32">
        <v>0</v>
      </c>
      <c r="F20" s="33">
        <v>194</v>
      </c>
      <c r="G20" s="33">
        <v>194</v>
      </c>
      <c r="H20" s="33">
        <v>194</v>
      </c>
      <c r="I20" s="24">
        <f t="shared" si="1"/>
        <v>0.8266223528910478</v>
      </c>
      <c r="J20" s="34" t="s">
        <v>106</v>
      </c>
      <c r="T20" s="87" t="s">
        <v>22</v>
      </c>
      <c r="U20" s="33">
        <v>194</v>
      </c>
      <c r="V20" s="84">
        <v>0.84756870112281013</v>
      </c>
      <c r="W20" s="82">
        <v>1</v>
      </c>
      <c r="X20" s="43"/>
      <c r="Y20" s="43"/>
    </row>
    <row r="21" spans="1:25" s="38" customFormat="1" ht="18.75" customHeight="1">
      <c r="A21" s="52" t="s">
        <v>27</v>
      </c>
      <c r="B21" s="35">
        <v>0</v>
      </c>
      <c r="C21" s="35">
        <v>0</v>
      </c>
      <c r="D21" s="35">
        <v>200</v>
      </c>
      <c r="E21" s="35">
        <v>250</v>
      </c>
      <c r="F21" s="36">
        <v>324</v>
      </c>
      <c r="G21" s="36">
        <v>524</v>
      </c>
      <c r="H21" s="36">
        <v>524</v>
      </c>
      <c r="I21" s="24">
        <f t="shared" si="1"/>
        <v>2.2327325407985001</v>
      </c>
      <c r="J21" s="37" t="s">
        <v>100</v>
      </c>
      <c r="T21" s="88" t="s">
        <v>128</v>
      </c>
      <c r="U21" s="36">
        <v>524</v>
      </c>
      <c r="V21" s="84">
        <v>2.2893092751976933</v>
      </c>
      <c r="W21" s="82">
        <v>4</v>
      </c>
      <c r="X21" s="43"/>
      <c r="Y21" s="43"/>
    </row>
    <row r="22" spans="1:25" s="21" customFormat="1" ht="18.75" customHeight="1">
      <c r="A22" s="49" t="s">
        <v>103</v>
      </c>
      <c r="B22" s="22">
        <v>0</v>
      </c>
      <c r="C22" s="22">
        <v>0</v>
      </c>
      <c r="D22" s="22">
        <v>0</v>
      </c>
      <c r="E22" s="22">
        <v>0</v>
      </c>
      <c r="F22" s="23">
        <v>200</v>
      </c>
      <c r="G22" s="23">
        <v>200</v>
      </c>
      <c r="H22" s="23">
        <v>200</v>
      </c>
      <c r="I22" s="24">
        <f t="shared" si="1"/>
        <v>0.85218799267118317</v>
      </c>
      <c r="J22" s="37" t="s">
        <v>107</v>
      </c>
      <c r="T22" s="83" t="s">
        <v>129</v>
      </c>
      <c r="U22" s="23">
        <v>200</v>
      </c>
      <c r="V22" s="84">
        <v>0.8737821661059898</v>
      </c>
      <c r="W22" s="82">
        <v>1</v>
      </c>
      <c r="X22" s="43"/>
      <c r="Y22" s="43"/>
    </row>
    <row r="23" spans="1:25" s="21" customFormat="1" ht="18.75" customHeight="1">
      <c r="A23" s="53" t="s">
        <v>13</v>
      </c>
      <c r="B23" s="39">
        <v>546</v>
      </c>
      <c r="C23" s="39">
        <v>546</v>
      </c>
      <c r="D23" s="39">
        <v>830</v>
      </c>
      <c r="E23" s="39">
        <v>830</v>
      </c>
      <c r="F23" s="40">
        <v>830</v>
      </c>
      <c r="G23" s="40">
        <v>830</v>
      </c>
      <c r="H23" s="40">
        <v>830</v>
      </c>
      <c r="I23" s="41">
        <f t="shared" si="1"/>
        <v>3.5365801695854104</v>
      </c>
      <c r="J23" s="42" t="s">
        <v>98</v>
      </c>
      <c r="T23" s="89" t="s">
        <v>24</v>
      </c>
      <c r="U23" s="40">
        <v>830</v>
      </c>
      <c r="V23" s="84">
        <v>3.6261959893398572</v>
      </c>
      <c r="W23" s="82">
        <v>2</v>
      </c>
      <c r="X23" s="43"/>
      <c r="Y23" s="43"/>
    </row>
    <row r="24" spans="1:25" ht="20.25" customHeight="1">
      <c r="A24" s="47" t="s">
        <v>134</v>
      </c>
      <c r="B24" s="44"/>
      <c r="C24" s="44"/>
      <c r="D24" s="44"/>
      <c r="E24" s="44"/>
      <c r="F24" s="44"/>
      <c r="G24" s="44"/>
      <c r="H24" s="44"/>
      <c r="I24" s="90"/>
      <c r="J24" s="7" t="s">
        <v>135</v>
      </c>
    </row>
    <row r="25" spans="1:25" ht="24" customHeight="1">
      <c r="T25" s="83" t="s">
        <v>124</v>
      </c>
      <c r="U25" s="94">
        <v>456</v>
      </c>
      <c r="V25" s="93">
        <v>3</v>
      </c>
    </row>
    <row r="26" spans="1:25" ht="13.8">
      <c r="A26" s="48"/>
      <c r="T26" s="83" t="s">
        <v>17</v>
      </c>
      <c r="U26" s="94">
        <v>97</v>
      </c>
      <c r="V26" s="93">
        <v>1</v>
      </c>
    </row>
    <row r="27" spans="1:25" ht="13.8">
      <c r="A27" s="48"/>
      <c r="E27" s="45"/>
      <c r="F27" s="45"/>
      <c r="G27" s="45"/>
      <c r="H27" s="45"/>
      <c r="T27" s="83" t="s">
        <v>18</v>
      </c>
      <c r="U27" s="94">
        <v>796</v>
      </c>
      <c r="V27" s="93">
        <v>4</v>
      </c>
    </row>
    <row r="28" spans="1:25" ht="13.8">
      <c r="T28" s="85" t="s">
        <v>19</v>
      </c>
      <c r="U28" s="94">
        <v>470</v>
      </c>
      <c r="V28" s="93">
        <v>1</v>
      </c>
    </row>
    <row r="29" spans="1:25" ht="13.8">
      <c r="K29" s="43"/>
      <c r="L29" s="43"/>
      <c r="M29" s="43"/>
      <c r="N29" s="43"/>
      <c r="O29" s="43"/>
      <c r="T29" s="85" t="s">
        <v>25</v>
      </c>
      <c r="U29" s="94">
        <v>1668</v>
      </c>
      <c r="V29" s="93">
        <v>8</v>
      </c>
    </row>
    <row r="30" spans="1:25" ht="13.8">
      <c r="K30" s="43"/>
      <c r="L30" s="43"/>
      <c r="M30" s="43"/>
      <c r="N30" s="43"/>
      <c r="O30" s="43"/>
      <c r="T30" s="85" t="s">
        <v>20</v>
      </c>
      <c r="U30" s="94">
        <v>1476</v>
      </c>
      <c r="V30" s="93">
        <v>5</v>
      </c>
    </row>
    <row r="31" spans="1:25" ht="13.8">
      <c r="K31" s="43"/>
      <c r="L31" s="43"/>
      <c r="M31" s="43"/>
      <c r="N31" s="43"/>
      <c r="O31" s="43"/>
      <c r="T31" s="85" t="s">
        <v>21</v>
      </c>
      <c r="U31" s="94">
        <v>9264</v>
      </c>
      <c r="V31" s="93">
        <v>43</v>
      </c>
    </row>
    <row r="32" spans="1:25" ht="13.8">
      <c r="K32" s="43"/>
      <c r="L32" s="43"/>
      <c r="M32" s="43"/>
      <c r="N32" s="43"/>
      <c r="O32" s="43"/>
      <c r="T32" s="85" t="s">
        <v>125</v>
      </c>
      <c r="U32" s="94">
        <v>1988</v>
      </c>
      <c r="V32" s="93">
        <v>11</v>
      </c>
    </row>
    <row r="33" spans="11:22" ht="13.8">
      <c r="K33" s="43"/>
      <c r="L33" s="43"/>
      <c r="M33" s="43"/>
      <c r="N33" s="43"/>
      <c r="O33" s="43"/>
      <c r="T33" s="85" t="s">
        <v>130</v>
      </c>
      <c r="U33" s="94">
        <v>3818</v>
      </c>
      <c r="V33" s="93">
        <v>16</v>
      </c>
    </row>
    <row r="34" spans="11:22" ht="13.8">
      <c r="K34" s="43"/>
      <c r="L34" s="43"/>
      <c r="M34" s="43"/>
      <c r="N34" s="43"/>
      <c r="O34" s="43"/>
      <c r="T34" s="85" t="s">
        <v>28</v>
      </c>
      <c r="U34" s="94">
        <v>402</v>
      </c>
      <c r="V34" s="93">
        <v>2</v>
      </c>
    </row>
    <row r="35" spans="11:22" ht="13.8">
      <c r="K35" s="43"/>
      <c r="L35" s="43"/>
      <c r="M35" s="43"/>
      <c r="N35" s="43"/>
      <c r="O35" s="43"/>
      <c r="T35" s="83" t="s">
        <v>23</v>
      </c>
      <c r="U35" s="94">
        <v>400</v>
      </c>
      <c r="V35" s="93">
        <v>2</v>
      </c>
    </row>
    <row r="36" spans="11:22" ht="13.8">
      <c r="K36" s="43"/>
      <c r="L36" s="43"/>
      <c r="M36" s="43"/>
      <c r="N36" s="43"/>
      <c r="O36" s="43"/>
      <c r="T36" s="83" t="s">
        <v>126</v>
      </c>
      <c r="U36" s="94">
        <v>250</v>
      </c>
      <c r="V36" s="93">
        <v>1</v>
      </c>
    </row>
    <row r="37" spans="11:22" ht="13.8">
      <c r="K37" s="43"/>
      <c r="L37" s="43"/>
      <c r="M37" s="43"/>
      <c r="N37" s="43"/>
      <c r="O37" s="43"/>
      <c r="T37" s="86" t="s">
        <v>127</v>
      </c>
      <c r="U37" s="94">
        <v>590</v>
      </c>
      <c r="V37" s="93">
        <v>3</v>
      </c>
    </row>
    <row r="38" spans="11:22" ht="13.8">
      <c r="K38" s="43"/>
      <c r="L38" s="43"/>
      <c r="M38" s="43"/>
      <c r="N38" s="43"/>
      <c r="O38" s="43"/>
      <c r="T38" s="87" t="s">
        <v>138</v>
      </c>
      <c r="U38" s="94">
        <v>46</v>
      </c>
      <c r="V38" s="93">
        <v>1</v>
      </c>
    </row>
    <row r="39" spans="11:22" ht="13.8">
      <c r="K39" s="43"/>
      <c r="L39" s="43"/>
      <c r="M39" s="43"/>
      <c r="N39" s="43"/>
      <c r="O39" s="43"/>
      <c r="T39" s="87" t="s">
        <v>22</v>
      </c>
      <c r="U39" s="94">
        <v>194</v>
      </c>
      <c r="V39" s="93">
        <v>1</v>
      </c>
    </row>
    <row r="40" spans="11:22" ht="13.8">
      <c r="K40" s="43"/>
      <c r="L40" s="43"/>
      <c r="M40" s="43"/>
      <c r="N40" s="43"/>
      <c r="O40" s="43"/>
      <c r="T40" s="88" t="s">
        <v>128</v>
      </c>
      <c r="U40" s="94">
        <v>524</v>
      </c>
      <c r="V40" s="93">
        <v>4</v>
      </c>
    </row>
    <row r="41" spans="11:22" ht="13.8">
      <c r="K41" s="43"/>
      <c r="L41" s="43"/>
      <c r="M41" s="43"/>
      <c r="N41" s="43"/>
      <c r="O41" s="43"/>
      <c r="T41" s="83" t="s">
        <v>129</v>
      </c>
      <c r="U41" s="94">
        <v>200</v>
      </c>
      <c r="V41" s="93">
        <v>1</v>
      </c>
    </row>
    <row r="42" spans="11:22" ht="13.8">
      <c r="K42" s="43"/>
      <c r="L42" s="43"/>
      <c r="M42" s="43"/>
      <c r="N42" s="43"/>
      <c r="O42" s="43"/>
      <c r="T42" s="89" t="s">
        <v>24</v>
      </c>
      <c r="U42" s="94">
        <v>830</v>
      </c>
      <c r="V42" s="93">
        <v>2</v>
      </c>
    </row>
    <row r="43" spans="11:22">
      <c r="K43" s="43"/>
      <c r="L43" s="43"/>
      <c r="M43" s="43"/>
      <c r="N43" s="43"/>
      <c r="O43" s="43"/>
    </row>
    <row r="44" spans="11:22">
      <c r="K44" s="43"/>
      <c r="L44" s="43"/>
      <c r="M44" s="43"/>
      <c r="N44" s="43"/>
      <c r="O44" s="43"/>
    </row>
    <row r="45" spans="11:22">
      <c r="K45" s="43"/>
      <c r="L45" s="43"/>
      <c r="M45" s="43"/>
      <c r="N45" s="43"/>
      <c r="O45" s="43"/>
    </row>
    <row r="46" spans="11:22">
      <c r="K46" s="43"/>
      <c r="L46" s="43"/>
      <c r="M46" s="43"/>
      <c r="N46" s="43"/>
      <c r="O46" s="43"/>
    </row>
    <row r="47" spans="11:22">
      <c r="K47" s="43"/>
      <c r="L47" s="43"/>
      <c r="M47" s="43"/>
      <c r="N47" s="43"/>
      <c r="O47" s="43"/>
    </row>
    <row r="48" spans="11:22">
      <c r="K48" s="43"/>
      <c r="L48" s="43"/>
      <c r="M48" s="43"/>
      <c r="N48" s="43"/>
      <c r="O48" s="43"/>
    </row>
    <row r="49" spans="11:15">
      <c r="K49" s="43"/>
      <c r="L49" s="43"/>
      <c r="M49" s="43"/>
      <c r="N49" s="43"/>
      <c r="O49" s="43"/>
    </row>
    <row r="50" spans="11:15">
      <c r="K50" s="43"/>
      <c r="L50" s="43"/>
      <c r="M50" s="43"/>
      <c r="N50" s="43"/>
      <c r="O50" s="43"/>
    </row>
    <row r="51" spans="11:15">
      <c r="K51" s="43"/>
      <c r="L51" s="43"/>
      <c r="M51" s="43"/>
      <c r="N51" s="43"/>
      <c r="O51" s="43"/>
    </row>
    <row r="52" spans="11:15">
      <c r="K52" s="43"/>
      <c r="L52" s="43"/>
      <c r="M52" s="43"/>
      <c r="N52" s="43"/>
      <c r="O52" s="43"/>
    </row>
    <row r="53" spans="11:15">
      <c r="K53" s="43"/>
      <c r="L53" s="43"/>
      <c r="M53" s="43"/>
      <c r="N53" s="43"/>
      <c r="O53" s="43"/>
    </row>
    <row r="54" spans="11:15">
      <c r="K54" s="43"/>
      <c r="L54" s="43"/>
      <c r="M54" s="43"/>
      <c r="N54" s="43"/>
      <c r="O54" s="43"/>
    </row>
    <row r="55" spans="11:15">
      <c r="K55" s="43"/>
      <c r="L55" s="43"/>
      <c r="M55" s="43"/>
      <c r="N55" s="43"/>
      <c r="O55" s="43"/>
    </row>
    <row r="56" spans="11:15">
      <c r="K56" s="43"/>
      <c r="L56" s="43"/>
      <c r="M56" s="43"/>
      <c r="N56" s="43"/>
      <c r="O56" s="43"/>
    </row>
    <row r="57" spans="11:15">
      <c r="K57" s="43"/>
      <c r="L57" s="43"/>
      <c r="M57" s="43"/>
      <c r="N57" s="43"/>
      <c r="O57" s="43"/>
    </row>
    <row r="58" spans="11:15">
      <c r="K58" s="43"/>
      <c r="L58" s="43"/>
      <c r="M58" s="43"/>
      <c r="N58" s="43"/>
      <c r="O58" s="43"/>
    </row>
    <row r="59" spans="11:15">
      <c r="K59" s="43"/>
      <c r="L59" s="43"/>
      <c r="M59" s="43"/>
      <c r="N59" s="43"/>
      <c r="O59" s="43"/>
    </row>
    <row r="60" spans="11:15">
      <c r="K60" s="43"/>
      <c r="L60" s="43"/>
      <c r="M60" s="43"/>
      <c r="N60" s="43"/>
      <c r="O60" s="43"/>
    </row>
    <row r="61" spans="11:15">
      <c r="K61" s="43"/>
      <c r="L61" s="43"/>
      <c r="M61" s="43"/>
      <c r="N61" s="43"/>
      <c r="O61" s="43"/>
    </row>
    <row r="62" spans="11:15">
      <c r="K62" s="43"/>
      <c r="L62" s="43"/>
      <c r="M62" s="43"/>
      <c r="N62" s="43"/>
      <c r="O62" s="43"/>
    </row>
    <row r="63" spans="11:15">
      <c r="K63" s="43"/>
      <c r="L63" s="43"/>
      <c r="M63" s="43"/>
      <c r="N63" s="43"/>
      <c r="O63" s="43"/>
    </row>
    <row r="64" spans="11:15">
      <c r="K64" s="43"/>
      <c r="L64" s="43"/>
      <c r="M64" s="43"/>
      <c r="N64" s="43"/>
      <c r="O64" s="43"/>
    </row>
    <row r="65" spans="11:15">
      <c r="K65" s="43"/>
      <c r="L65" s="43"/>
      <c r="M65" s="43"/>
      <c r="N65" s="43"/>
      <c r="O65" s="43"/>
    </row>
    <row r="66" spans="11:15">
      <c r="K66" s="43"/>
      <c r="L66" s="43"/>
      <c r="M66" s="43"/>
      <c r="N66" s="43"/>
      <c r="O66" s="43"/>
    </row>
    <row r="67" spans="11:15">
      <c r="K67" s="43"/>
      <c r="L67" s="43"/>
      <c r="M67" s="43"/>
      <c r="N67" s="43"/>
      <c r="O67" s="43"/>
    </row>
    <row r="68" spans="11:15">
      <c r="K68" s="43"/>
      <c r="L68" s="43"/>
      <c r="M68" s="43"/>
      <c r="N68" s="43"/>
      <c r="O68" s="43"/>
    </row>
    <row r="69" spans="11:15">
      <c r="K69" s="43"/>
      <c r="L69" s="43"/>
      <c r="M69" s="43"/>
      <c r="N69" s="43"/>
      <c r="O69" s="43"/>
    </row>
    <row r="70" spans="11:15">
      <c r="K70" s="43"/>
      <c r="L70" s="43"/>
      <c r="M70" s="43"/>
      <c r="N70" s="43"/>
      <c r="O70" s="43"/>
    </row>
    <row r="71" spans="11:15">
      <c r="K71" s="43"/>
      <c r="L71" s="43"/>
      <c r="M71" s="43"/>
      <c r="N71" s="43"/>
      <c r="O71" s="43"/>
    </row>
    <row r="72" spans="11:15">
      <c r="K72" s="43"/>
      <c r="L72" s="43"/>
      <c r="M72" s="43"/>
      <c r="N72" s="43"/>
      <c r="O72" s="43"/>
    </row>
    <row r="73" spans="11:15">
      <c r="K73" s="43"/>
      <c r="L73" s="43"/>
      <c r="M73" s="43"/>
      <c r="N73" s="43"/>
      <c r="O73" s="43"/>
    </row>
    <row r="74" spans="11:15">
      <c r="K74" s="43"/>
      <c r="L74" s="43"/>
      <c r="M74" s="43"/>
      <c r="N74" s="43"/>
      <c r="O74" s="43"/>
    </row>
    <row r="75" spans="11:15">
      <c r="K75" s="43"/>
      <c r="L75" s="43"/>
      <c r="M75" s="43"/>
      <c r="N75" s="43"/>
      <c r="O75" s="43"/>
    </row>
    <row r="76" spans="11:15">
      <c r="K76" s="43"/>
      <c r="L76" s="43"/>
      <c r="M76" s="43"/>
      <c r="N76" s="43"/>
      <c r="O76" s="43"/>
    </row>
    <row r="77" spans="11:15">
      <c r="K77" s="43"/>
      <c r="L77" s="43"/>
      <c r="M77" s="43"/>
      <c r="N77" s="43"/>
      <c r="O77" s="43"/>
    </row>
    <row r="78" spans="11:15">
      <c r="K78" s="43"/>
      <c r="L78" s="43"/>
      <c r="M78" s="43"/>
      <c r="N78" s="43"/>
      <c r="O78" s="43"/>
    </row>
    <row r="79" spans="11:15">
      <c r="K79" s="43"/>
      <c r="L79" s="43"/>
      <c r="M79" s="43"/>
      <c r="N79" s="43"/>
      <c r="O79" s="43"/>
    </row>
    <row r="80" spans="11:15">
      <c r="K80" s="43"/>
      <c r="L80" s="43"/>
      <c r="M80" s="43"/>
      <c r="N80" s="43"/>
      <c r="O80" s="43"/>
    </row>
    <row r="81" spans="11:15">
      <c r="K81" s="43"/>
      <c r="L81" s="43"/>
      <c r="M81" s="43"/>
      <c r="N81" s="43"/>
      <c r="O81" s="43"/>
    </row>
    <row r="82" spans="11:15">
      <c r="K82" s="43"/>
      <c r="L82" s="43"/>
      <c r="M82" s="43"/>
      <c r="N82" s="43"/>
      <c r="O82" s="43"/>
    </row>
    <row r="83" spans="11:15">
      <c r="K83" s="43"/>
      <c r="L83" s="43"/>
      <c r="M83" s="43"/>
      <c r="N83" s="43"/>
      <c r="O83" s="43"/>
    </row>
    <row r="84" spans="11:15">
      <c r="K84" s="43"/>
      <c r="L84" s="43"/>
      <c r="M84" s="43"/>
      <c r="N84" s="43"/>
      <c r="O84" s="43"/>
    </row>
    <row r="85" spans="11:15">
      <c r="K85" s="43"/>
      <c r="L85" s="43"/>
      <c r="M85" s="43"/>
      <c r="N85" s="43"/>
      <c r="O85" s="43"/>
    </row>
    <row r="86" spans="11:15">
      <c r="K86" s="43"/>
      <c r="L86" s="43"/>
      <c r="M86" s="43"/>
      <c r="N86" s="43"/>
      <c r="O86" s="43"/>
    </row>
    <row r="87" spans="11:15">
      <c r="K87" s="43"/>
      <c r="L87" s="43"/>
      <c r="M87" s="43"/>
      <c r="N87" s="43"/>
      <c r="O87" s="43"/>
    </row>
    <row r="88" spans="11:15">
      <c r="K88" s="43"/>
      <c r="L88" s="43"/>
      <c r="M88" s="43"/>
      <c r="N88" s="43"/>
      <c r="O88" s="43"/>
    </row>
    <row r="89" spans="11:15">
      <c r="K89" s="43"/>
      <c r="L89" s="43"/>
      <c r="M89" s="43"/>
      <c r="N89" s="43"/>
      <c r="O89" s="43"/>
    </row>
    <row r="90" spans="11:15">
      <c r="K90" s="43"/>
      <c r="L90" s="43"/>
      <c r="M90" s="43"/>
      <c r="N90" s="43"/>
      <c r="O90" s="43"/>
    </row>
    <row r="91" spans="11:15">
      <c r="K91" s="43"/>
      <c r="L91" s="43"/>
      <c r="M91" s="43"/>
      <c r="N91" s="43"/>
      <c r="O91" s="43"/>
    </row>
    <row r="92" spans="11:15">
      <c r="K92" s="43"/>
      <c r="L92" s="43"/>
      <c r="M92" s="43"/>
      <c r="N92" s="43"/>
      <c r="O92" s="43"/>
    </row>
    <row r="93" spans="11:15">
      <c r="K93" s="43"/>
      <c r="L93" s="43"/>
      <c r="M93" s="43"/>
      <c r="N93" s="43"/>
      <c r="O93" s="43"/>
    </row>
    <row r="94" spans="11:15">
      <c r="K94" s="43"/>
      <c r="L94" s="43"/>
      <c r="M94" s="43"/>
      <c r="N94" s="43"/>
      <c r="O94" s="43"/>
    </row>
    <row r="95" spans="11:15">
      <c r="K95" s="43"/>
      <c r="L95" s="43"/>
      <c r="M95" s="43"/>
      <c r="N95" s="43"/>
      <c r="O95" s="43"/>
    </row>
    <row r="96" spans="11:15">
      <c r="K96" s="43"/>
      <c r="L96" s="43"/>
      <c r="M96" s="43"/>
      <c r="N96" s="43"/>
      <c r="O96" s="43"/>
    </row>
    <row r="97" spans="11:15">
      <c r="K97" s="43"/>
      <c r="L97" s="43"/>
      <c r="M97" s="43"/>
      <c r="N97" s="43"/>
      <c r="O97" s="43"/>
    </row>
    <row r="98" spans="11:15">
      <c r="K98" s="43"/>
      <c r="L98" s="43"/>
      <c r="M98" s="43"/>
      <c r="N98" s="43"/>
      <c r="O98" s="43"/>
    </row>
    <row r="99" spans="11:15">
      <c r="K99" s="43"/>
      <c r="L99" s="43"/>
      <c r="M99" s="43"/>
      <c r="N99" s="43"/>
      <c r="O99" s="43"/>
    </row>
    <row r="100" spans="11:15">
      <c r="K100" s="43"/>
      <c r="L100" s="43"/>
      <c r="M100" s="43"/>
      <c r="N100" s="43"/>
      <c r="O100" s="43"/>
    </row>
    <row r="101" spans="11:15">
      <c r="K101" s="43"/>
      <c r="L101" s="43"/>
      <c r="M101" s="43"/>
      <c r="N101" s="43"/>
      <c r="O101" s="43"/>
    </row>
    <row r="102" spans="11:15">
      <c r="K102" s="43"/>
      <c r="L102" s="43"/>
      <c r="M102" s="43"/>
      <c r="N102" s="43"/>
      <c r="O102" s="43"/>
    </row>
    <row r="103" spans="11:15">
      <c r="K103" s="43"/>
      <c r="L103" s="43"/>
      <c r="M103" s="43"/>
      <c r="N103" s="43"/>
      <c r="O103" s="43"/>
    </row>
    <row r="104" spans="11:15">
      <c r="K104" s="43"/>
      <c r="L104" s="43"/>
      <c r="M104" s="43"/>
      <c r="N104" s="43"/>
      <c r="O104" s="43"/>
    </row>
    <row r="105" spans="11:15">
      <c r="K105" s="43"/>
      <c r="L105" s="43"/>
      <c r="M105" s="43"/>
      <c r="N105" s="43"/>
      <c r="O105" s="43"/>
    </row>
    <row r="106" spans="11:15">
      <c r="K106" s="43"/>
      <c r="L106" s="43"/>
      <c r="M106" s="43"/>
      <c r="N106" s="43"/>
      <c r="O106" s="43"/>
    </row>
    <row r="107" spans="11:15">
      <c r="K107" s="43"/>
      <c r="L107" s="43"/>
      <c r="M107" s="43"/>
      <c r="N107" s="43"/>
      <c r="O107" s="43"/>
    </row>
  </sheetData>
  <mergeCells count="4">
    <mergeCell ref="A2:J2"/>
    <mergeCell ref="A3:A4"/>
    <mergeCell ref="A1:J1"/>
    <mergeCell ref="B3:H3"/>
  </mergeCells>
  <pageMargins left="0.28000000000000003" right="0.33" top="0.51" bottom="0.75" header="0.3" footer="0.3"/>
  <pageSetup paperSize="9"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10.1 figures workings</vt:lpstr>
      <vt:lpstr>10.8</vt:lpstr>
      <vt:lpstr>'10.8'!Print_Area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F.shifaza</cp:lastModifiedBy>
  <cp:lastPrinted>2015-01-11T06:08:22Z</cp:lastPrinted>
  <dcterms:created xsi:type="dcterms:W3CDTF">2007-02-07T06:41:32Z</dcterms:created>
  <dcterms:modified xsi:type="dcterms:W3CDTF">2015-01-11T06:25:09Z</dcterms:modified>
</cp:coreProperties>
</file>