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11592" yWindow="960" windowWidth="7320" windowHeight="4128" tabRatio="749" firstSheet="1" activeTab="1"/>
  </bookViews>
  <sheets>
    <sheet name="10.1 figures workings" sheetId="44" state="hidden" r:id="rId1"/>
    <sheet name="10.7" sheetId="40" r:id="rId2"/>
  </sheet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Print_Area_MI">#REF!</definedName>
    <definedName name="ttttt">#REF!</definedName>
  </definedNames>
  <calcPr calcId="124519"/>
</workbook>
</file>

<file path=xl/calcChain.xml><?xml version="1.0" encoding="utf-8"?>
<calcChain xmlns="http://schemas.openxmlformats.org/spreadsheetml/2006/main">
  <c r="B20" i="40"/>
  <c r="B19"/>
  <c r="B18" l="1"/>
  <c r="N5" l="1"/>
  <c r="M5"/>
  <c r="L5"/>
  <c r="K5"/>
  <c r="J5"/>
  <c r="I5"/>
  <c r="H5"/>
  <c r="G5"/>
  <c r="F5"/>
  <c r="E5"/>
  <c r="D5"/>
  <c r="C5"/>
  <c r="B6"/>
  <c r="B7"/>
  <c r="B8"/>
  <c r="B9"/>
  <c r="B10"/>
  <c r="B17"/>
  <c r="B16"/>
  <c r="B15"/>
  <c r="B14"/>
  <c r="B13"/>
  <c r="B12"/>
  <c r="D11"/>
  <c r="E11"/>
  <c r="F11"/>
  <c r="G11"/>
  <c r="G4" s="1"/>
  <c r="H11"/>
  <c r="I11"/>
  <c r="J11"/>
  <c r="K11"/>
  <c r="L11"/>
  <c r="M11"/>
  <c r="N11"/>
  <c r="C11"/>
  <c r="K60" i="44"/>
  <c r="J60"/>
  <c r="I60"/>
  <c r="H60"/>
  <c r="K59"/>
  <c r="J59"/>
  <c r="I59"/>
  <c r="H59"/>
  <c r="K58"/>
  <c r="J58"/>
  <c r="I58"/>
  <c r="H58"/>
  <c r="K57"/>
  <c r="J57"/>
  <c r="I57"/>
  <c r="H57"/>
  <c r="K56"/>
  <c r="J56"/>
  <c r="I56"/>
  <c r="H56"/>
  <c r="K55"/>
  <c r="J55"/>
  <c r="I55"/>
  <c r="H55"/>
  <c r="K54"/>
  <c r="J54"/>
  <c r="I54"/>
  <c r="H54"/>
  <c r="K53"/>
  <c r="J53"/>
  <c r="I53"/>
  <c r="H53"/>
  <c r="K52"/>
  <c r="J52"/>
  <c r="I52"/>
  <c r="H52"/>
  <c r="K51"/>
  <c r="J51"/>
  <c r="I51"/>
  <c r="H51"/>
  <c r="K50"/>
  <c r="J50"/>
  <c r="I50"/>
  <c r="H50"/>
  <c r="K49"/>
  <c r="J49"/>
  <c r="I49"/>
  <c r="H49"/>
  <c r="K48"/>
  <c r="J48"/>
  <c r="I48"/>
  <c r="H48"/>
  <c r="K47"/>
  <c r="J47"/>
  <c r="I47"/>
  <c r="H47"/>
  <c r="K46"/>
  <c r="J46"/>
  <c r="I46"/>
  <c r="H46"/>
  <c r="K45"/>
  <c r="J45"/>
  <c r="I45"/>
  <c r="H45"/>
  <c r="K44"/>
  <c r="J44"/>
  <c r="I44"/>
  <c r="H44"/>
  <c r="K43"/>
  <c r="J43"/>
  <c r="I43"/>
  <c r="H43"/>
  <c r="K42"/>
  <c r="J42"/>
  <c r="I42"/>
  <c r="H42"/>
  <c r="K41"/>
  <c r="J41"/>
  <c r="I41"/>
  <c r="H41"/>
  <c r="K40"/>
  <c r="J40"/>
  <c r="I40"/>
  <c r="H40"/>
  <c r="K39"/>
  <c r="J39"/>
  <c r="I39"/>
  <c r="H39"/>
  <c r="K38"/>
  <c r="J38"/>
  <c r="I38"/>
  <c r="H38"/>
  <c r="K37"/>
  <c r="J37"/>
  <c r="I37"/>
  <c r="H37"/>
  <c r="K36"/>
  <c r="J36"/>
  <c r="I36"/>
  <c r="H36"/>
  <c r="K35"/>
  <c r="J35"/>
  <c r="I35"/>
  <c r="H35"/>
  <c r="K34"/>
  <c r="J34"/>
  <c r="I34"/>
  <c r="H34"/>
  <c r="K33"/>
  <c r="J33"/>
  <c r="I33"/>
  <c r="H33"/>
  <c r="K32"/>
  <c r="J32"/>
  <c r="I32"/>
  <c r="H32"/>
  <c r="K31"/>
  <c r="J31"/>
  <c r="I31"/>
  <c r="H31"/>
  <c r="K30"/>
  <c r="J30"/>
  <c r="I30"/>
  <c r="H30"/>
  <c r="K29"/>
  <c r="J29"/>
  <c r="I29"/>
  <c r="H29"/>
  <c r="K28"/>
  <c r="J28"/>
  <c r="I28"/>
  <c r="H28"/>
  <c r="K27"/>
  <c r="J27"/>
  <c r="I27"/>
  <c r="H27"/>
  <c r="K26"/>
  <c r="J26"/>
  <c r="I26"/>
  <c r="H26"/>
  <c r="K25"/>
  <c r="J25"/>
  <c r="I25"/>
  <c r="H25"/>
  <c r="K24"/>
  <c r="J24"/>
  <c r="I24"/>
  <c r="H24"/>
  <c r="K23"/>
  <c r="J23"/>
  <c r="I23"/>
  <c r="H23"/>
  <c r="K22"/>
  <c r="J22"/>
  <c r="I22"/>
  <c r="H22"/>
  <c r="K21"/>
  <c r="J21"/>
  <c r="I21"/>
  <c r="H21"/>
  <c r="K20"/>
  <c r="J20"/>
  <c r="I20"/>
  <c r="H20"/>
  <c r="K19"/>
  <c r="J19"/>
  <c r="I19"/>
  <c r="H19"/>
  <c r="K18"/>
  <c r="J18"/>
  <c r="I18"/>
  <c r="H18"/>
  <c r="K17"/>
  <c r="J17"/>
  <c r="I17"/>
  <c r="H17"/>
  <c r="K16"/>
  <c r="J16"/>
  <c r="I16"/>
  <c r="H16"/>
  <c r="K15"/>
  <c r="J15"/>
  <c r="I15"/>
  <c r="H15"/>
  <c r="K14"/>
  <c r="J14"/>
  <c r="I14"/>
  <c r="H14"/>
  <c r="K13"/>
  <c r="J13"/>
  <c r="I13"/>
  <c r="H13"/>
  <c r="K12"/>
  <c r="J12"/>
  <c r="I12"/>
  <c r="H12"/>
  <c r="K11"/>
  <c r="J11"/>
  <c r="I11"/>
  <c r="H11"/>
  <c r="K10"/>
  <c r="J10"/>
  <c r="I10"/>
  <c r="H10"/>
  <c r="K9"/>
  <c r="J9"/>
  <c r="I9"/>
  <c r="H9"/>
  <c r="K8"/>
  <c r="J8"/>
  <c r="I8"/>
  <c r="H8"/>
  <c r="K7"/>
  <c r="J7"/>
  <c r="I7"/>
  <c r="H7"/>
  <c r="Q2"/>
  <c r="P2"/>
  <c r="O2"/>
  <c r="N2"/>
  <c r="M2"/>
  <c r="F4" i="40" l="1"/>
  <c r="K4"/>
  <c r="M4"/>
  <c r="L4"/>
  <c r="N4"/>
  <c r="C4"/>
  <c r="D4"/>
  <c r="E4"/>
  <c r="H4"/>
  <c r="I4"/>
  <c r="J4"/>
  <c r="B11"/>
  <c r="B5"/>
  <c r="B4" s="1"/>
  <c r="S1" i="44"/>
</calcChain>
</file>

<file path=xl/sharedStrings.xml><?xml version="1.0" encoding="utf-8"?>
<sst xmlns="http://schemas.openxmlformats.org/spreadsheetml/2006/main" count="180" uniqueCount="136">
  <si>
    <t>Country of Nationality</t>
  </si>
  <si>
    <t>Total</t>
  </si>
  <si>
    <t>Europe</t>
  </si>
  <si>
    <t>Asia</t>
  </si>
  <si>
    <t>Africa</t>
  </si>
  <si>
    <t>America</t>
  </si>
  <si>
    <t>Oceania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</si>
  <si>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</si>
  <si>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</si>
  <si>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</si>
  <si>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</si>
  <si>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</si>
  <si>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</si>
  <si>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</si>
  <si>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</si>
  <si>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</si>
  <si>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</si>
  <si>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</si>
  <si>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Sep</t>
  </si>
  <si>
    <t>2008</t>
  </si>
  <si>
    <t>Middle East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</si>
  <si>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</si>
  <si>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</si>
  <si>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</si>
  <si>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</si>
  <si>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</si>
  <si>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</si>
  <si>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</si>
  <si>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</si>
  <si>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</si>
  <si>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</si>
  <si>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</si>
  <si>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</si>
  <si>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</si>
  <si>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</si>
  <si>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</si>
  <si>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</si>
  <si>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</si>
  <si>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</si>
  <si>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</si>
  <si>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</si>
  <si>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</si>
  <si>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</si>
  <si>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</si>
  <si>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</si>
  <si>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</si>
  <si>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</si>
  <si>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</si>
  <si>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</si>
  <si>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</si>
  <si>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</si>
  <si>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</si>
  <si>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</si>
  <si>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</si>
  <si>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</si>
  <si>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</si>
  <si>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</si>
  <si>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</si>
  <si>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</si>
  <si>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</si>
  <si>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</si>
  <si>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</si>
  <si>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</si>
  <si>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</si>
  <si>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</si>
  <si>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</si>
  <si>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</si>
  <si>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</si>
  <si>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</si>
  <si>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</si>
  <si>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</si>
  <si>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</si>
  <si>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</si>
  <si>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</si>
  <si>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</si>
  <si>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</si>
  <si>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</si>
  <si>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ޖުމްލަ</t>
  </si>
  <si>
    <t>ޔޫރަޕް</t>
  </si>
  <si>
    <t>އޭޝިއާ</t>
  </si>
  <si>
    <t>އެފްރިކާ</t>
  </si>
  <si>
    <t>2010</t>
  </si>
  <si>
    <t>Central/Eastern Europe</t>
  </si>
  <si>
    <t>Northern Europe</t>
  </si>
  <si>
    <t>Southern Europe</t>
  </si>
  <si>
    <t>Western Europe</t>
  </si>
  <si>
    <t>East/Mediterranean Europe</t>
  </si>
  <si>
    <t>North East Asia</t>
  </si>
  <si>
    <t>South East Asia</t>
  </si>
  <si>
    <t>South Asia</t>
  </si>
  <si>
    <t>No. of Tourists</t>
  </si>
  <si>
    <t>% change over previous year</t>
  </si>
  <si>
    <t xml:space="preserve">   މެދު/އިރުމަތި ޔޫރަޕް</t>
  </si>
  <si>
    <t xml:space="preserve">   އުތުރު ޔޫރަޕް</t>
  </si>
  <si>
    <t xml:space="preserve">   ދެކުނު ޔޫރަޕް</t>
  </si>
  <si>
    <t xml:space="preserve">   ހުޅަނގު ޔޫރަޕް</t>
  </si>
  <si>
    <t xml:space="preserve">   އިރުމަތި/މެޑިޓަރޭނިއަން ޔޫރަޕް</t>
  </si>
  <si>
    <t xml:space="preserve">   ހުޅަނގު އުތުރު އޭޝިއާ</t>
  </si>
  <si>
    <t xml:space="preserve">   ހުޅަނގު ދެކުނު އޭޝިއާ</t>
  </si>
  <si>
    <t xml:space="preserve">   ދެކުނު އޭޝިއާ</t>
  </si>
  <si>
    <t>އެމެރިކާ</t>
  </si>
  <si>
    <t>އޯޝަނިޔާ</t>
  </si>
  <si>
    <t>މެދު އިރުމަތި</t>
  </si>
  <si>
    <t>ޤައުމިއްޔަތު/ 
މަސް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</si>
  <si>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</si>
  <si>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</si>
  <si>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</si>
  <si>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</si>
  <si>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</si>
  <si>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</si>
  <si>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</si>
  <si>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</si>
  <si>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</si>
  <si>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</si>
  <si>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</si>
  <si>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</si>
  <si>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</si>
  <si>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</si>
  <si>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</si>
  <si>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</si>
  <si>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</si>
  <si>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</si>
  <si>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</si>
  <si>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</si>
  <si>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</si>
  <si>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</si>
  <si>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</si>
  <si>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2013 udwdwA egcnirevurutwf iawaejcaWr cnutogegukwtumuawq uhwmcswmikea : 10.7 ulwvWt</t>
  </si>
  <si>
    <t>Table 10.7 :   MONTHLY DISTRIBUTION OF TOURIST ARRIVALS BY NATIONALITY, 2013</t>
  </si>
  <si>
    <t xml:space="preserve">UN Passport Holders </t>
  </si>
  <si>
    <t>Others/Not Stated</t>
  </si>
  <si>
    <t>Source: Ministry of Tourism</t>
  </si>
  <si>
    <t>cmwzirUT cfoa  IrcTcsinim :ctWrwf ivcaed utWmUluAwm</t>
  </si>
  <si>
    <t>ބަޔާން ނުކުރާ</t>
  </si>
  <si>
    <t xml:space="preserve">cnwxErcgimea cDcnea cnwxErcgimia cfoa cTcnwmcTWpiD                  </t>
  </si>
  <si>
    <t xml:space="preserve">             Department of Immigration &amp; Emigration</t>
  </si>
</sst>
</file>

<file path=xl/styles.xml><?xml version="1.0" encoding="utf-8"?>
<styleSheet xmlns="http://schemas.openxmlformats.org/spreadsheetml/2006/main">
  <numFmts count="7">
    <numFmt numFmtId="43" formatCode="_(* #,##0.00_);_(* \(#,##0.00\);_(* &quot;-&quot;??_);_(@_)"/>
    <numFmt numFmtId="164" formatCode="General_)"/>
    <numFmt numFmtId="165" formatCode="#,##0.0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28">
    <font>
      <sz val="10"/>
      <name val="Arial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sz val="10"/>
      <name val="Helv"/>
    </font>
    <font>
      <b/>
      <sz val="10"/>
      <name val="Faruma"/>
    </font>
    <font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b/>
      <sz val="9"/>
      <name val="Faruma"/>
    </font>
    <font>
      <b/>
      <sz val="9"/>
      <name val="Calibri"/>
      <family val="2"/>
    </font>
    <font>
      <b/>
      <sz val="11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14" fillId="0" borderId="1" applyNumberFormat="0"/>
    <xf numFmtId="0" fontId="1" fillId="0" borderId="0"/>
    <xf numFmtId="0" fontId="20" fillId="0" borderId="0"/>
    <xf numFmtId="0" fontId="15" fillId="0" borderId="0"/>
    <xf numFmtId="0" fontId="1" fillId="0" borderId="0"/>
    <xf numFmtId="0" fontId="3" fillId="0" borderId="0"/>
    <xf numFmtId="0" fontId="3" fillId="0" borderId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0" fillId="2" borderId="0" xfId="0" applyFill="1"/>
    <xf numFmtId="49" fontId="22" fillId="2" borderId="3" xfId="0" applyNumberFormat="1" applyFont="1" applyFill="1" applyBorder="1" applyAlignment="1" applyProtection="1">
      <alignment horizontal="right" vertical="center"/>
    </xf>
    <xf numFmtId="0" fontId="22" fillId="2" borderId="2" xfId="0" applyFont="1" applyFill="1" applyBorder="1" applyAlignment="1" applyProtection="1">
      <alignment horizontal="right" vertical="center"/>
    </xf>
    <xf numFmtId="0" fontId="25" fillId="2" borderId="0" xfId="0" applyFont="1" applyFill="1" applyAlignment="1" applyProtection="1">
      <alignment horizontal="left" vertical="center"/>
    </xf>
    <xf numFmtId="37" fontId="6" fillId="2" borderId="0" xfId="0" applyNumberFormat="1" applyFont="1" applyFill="1" applyAlignment="1" applyProtection="1">
      <alignment horizontal="right" vertical="center"/>
    </xf>
    <xf numFmtId="0" fontId="6" fillId="2" borderId="0" xfId="0" applyFont="1" applyFill="1" applyAlignment="1">
      <alignment vertical="center"/>
    </xf>
    <xf numFmtId="0" fontId="9" fillId="2" borderId="0" xfId="0" applyFont="1" applyFill="1" applyBorder="1" applyAlignment="1">
      <alignment horizontal="right" vertical="center"/>
    </xf>
    <xf numFmtId="164" fontId="1" fillId="2" borderId="15" xfId="11" applyNumberFormat="1" applyFont="1" applyFill="1" applyBorder="1" applyAlignment="1">
      <alignment vertical="center"/>
    </xf>
    <xf numFmtId="0" fontId="1" fillId="2" borderId="15" xfId="4" applyFont="1" applyFill="1" applyBorder="1"/>
    <xf numFmtId="0" fontId="21" fillId="2" borderId="16" xfId="4" applyFont="1" applyFill="1" applyBorder="1" applyAlignment="1" applyProtection="1">
      <alignment horizontal="left" vertical="center"/>
    </xf>
    <xf numFmtId="0" fontId="17" fillId="2" borderId="16" xfId="4" applyFont="1" applyFill="1" applyBorder="1" applyAlignment="1" applyProtection="1">
      <alignment horizontal="right" vertical="center" wrapText="1"/>
    </xf>
    <xf numFmtId="0" fontId="6" fillId="2" borderId="15" xfId="4" applyFont="1" applyFill="1" applyBorder="1" applyAlignment="1">
      <alignment vertical="center"/>
    </xf>
    <xf numFmtId="0" fontId="5" fillId="2" borderId="17" xfId="4" applyFont="1" applyFill="1" applyBorder="1"/>
    <xf numFmtId="0" fontId="6" fillId="2" borderId="0" xfId="4" applyFont="1" applyFill="1" applyBorder="1"/>
    <xf numFmtId="0" fontId="6" fillId="2" borderId="0" xfId="4" applyFont="1" applyFill="1" applyBorder="1" applyAlignment="1">
      <alignment vertical="center"/>
    </xf>
    <xf numFmtId="0" fontId="5" fillId="2" borderId="0" xfId="4" applyFont="1" applyFill="1" applyBorder="1" applyAlignment="1">
      <alignment vertical="center"/>
    </xf>
    <xf numFmtId="0" fontId="5" fillId="2" borderId="0" xfId="4" applyFont="1" applyFill="1" applyBorder="1"/>
    <xf numFmtId="0" fontId="8" fillId="2" borderId="18" xfId="4" applyFont="1" applyFill="1" applyBorder="1" applyAlignment="1" applyProtection="1">
      <alignment horizontal="left" vertical="center"/>
    </xf>
    <xf numFmtId="169" fontId="8" fillId="2" borderId="18" xfId="4" applyNumberFormat="1" applyFont="1" applyFill="1" applyBorder="1" applyAlignment="1" applyProtection="1">
      <alignment horizontal="left" vertical="center"/>
    </xf>
    <xf numFmtId="0" fontId="6" fillId="2" borderId="18" xfId="4" applyFont="1" applyFill="1" applyBorder="1" applyAlignment="1">
      <alignment vertical="center"/>
    </xf>
    <xf numFmtId="0" fontId="6" fillId="2" borderId="18" xfId="4" applyFont="1" applyFill="1" applyBorder="1"/>
    <xf numFmtId="0" fontId="8" fillId="2" borderId="15" xfId="4" applyFont="1" applyFill="1" applyBorder="1" applyAlignment="1" applyProtection="1">
      <alignment horizontal="left" vertical="center"/>
    </xf>
    <xf numFmtId="0" fontId="9" fillId="2" borderId="0" xfId="4" applyFont="1" applyFill="1" applyAlignment="1">
      <alignment horizontal="right" vertical="center"/>
    </xf>
    <xf numFmtId="0" fontId="6" fillId="2" borderId="15" xfId="4" applyFont="1" applyFill="1" applyBorder="1"/>
    <xf numFmtId="3" fontId="1" fillId="2" borderId="15" xfId="4" applyNumberFormat="1" applyFont="1" applyFill="1" applyBorder="1"/>
    <xf numFmtId="0" fontId="4" fillId="2" borderId="0" xfId="0" applyFont="1" applyFill="1" applyBorder="1" applyAlignment="1" applyProtection="1">
      <alignment horizontal="center" vertical="center"/>
    </xf>
    <xf numFmtId="169" fontId="22" fillId="2" borderId="19" xfId="2" applyNumberFormat="1" applyFont="1" applyFill="1" applyBorder="1" applyAlignment="1" applyProtection="1">
      <alignment horizontal="right" vertical="center"/>
    </xf>
    <xf numFmtId="169" fontId="5" fillId="2" borderId="0" xfId="4" applyNumberFormat="1" applyFont="1" applyFill="1" applyBorder="1" applyAlignment="1">
      <alignment vertical="center"/>
    </xf>
    <xf numFmtId="0" fontId="25" fillId="2" borderId="15" xfId="4" applyFont="1" applyFill="1" applyBorder="1" applyAlignment="1" applyProtection="1">
      <alignment horizontal="left" vertical="center"/>
    </xf>
    <xf numFmtId="0" fontId="26" fillId="2" borderId="0" xfId="0" applyFont="1" applyFill="1" applyAlignment="1" applyProtection="1">
      <alignment horizontal="left" vertical="center"/>
    </xf>
    <xf numFmtId="169" fontId="22" fillId="2" borderId="0" xfId="2" applyNumberFormat="1" applyFont="1" applyFill="1" applyBorder="1" applyAlignment="1" applyProtection="1">
      <alignment horizontal="right" vertical="center"/>
    </xf>
    <xf numFmtId="169" fontId="24" fillId="2" borderId="0" xfId="2" applyNumberFormat="1" applyFont="1" applyFill="1" applyBorder="1" applyAlignment="1" applyProtection="1">
      <alignment horizontal="right" vertical="center"/>
    </xf>
    <xf numFmtId="169" fontId="22" fillId="2" borderId="2" xfId="2" applyNumberFormat="1" applyFont="1" applyFill="1" applyBorder="1" applyAlignment="1" applyProtection="1">
      <alignment horizontal="right" vertical="center"/>
    </xf>
    <xf numFmtId="0" fontId="22" fillId="2" borderId="0" xfId="4" applyFont="1" applyFill="1" applyBorder="1" applyAlignment="1" applyProtection="1">
      <alignment vertical="center"/>
    </xf>
    <xf numFmtId="17" fontId="24" fillId="2" borderId="0" xfId="9" applyNumberFormat="1" applyFont="1" applyFill="1" applyBorder="1" applyAlignment="1">
      <alignment horizontal="left" vertical="center" indent="1"/>
    </xf>
    <xf numFmtId="17" fontId="24" fillId="2" borderId="0" xfId="9" applyNumberFormat="1" applyFont="1" applyFill="1" applyBorder="1" applyAlignment="1">
      <alignment horizontal="left" vertical="center" wrapText="1" indent="1"/>
    </xf>
    <xf numFmtId="0" fontId="22" fillId="2" borderId="2" xfId="4" applyFont="1" applyFill="1" applyBorder="1" applyAlignment="1" applyProtection="1">
      <alignment vertical="center"/>
    </xf>
    <xf numFmtId="0" fontId="21" fillId="2" borderId="16" xfId="4" applyFont="1" applyFill="1" applyBorder="1" applyAlignment="1" applyProtection="1">
      <alignment horizontal="right" vertical="center" wrapText="1"/>
    </xf>
    <xf numFmtId="165" fontId="12" fillId="2" borderId="19" xfId="4" applyNumberFormat="1" applyFont="1" applyFill="1" applyBorder="1" applyAlignment="1">
      <alignment horizontal="right"/>
    </xf>
    <xf numFmtId="165" fontId="13" fillId="2" borderId="0" xfId="4" applyNumberFormat="1" applyFont="1" applyFill="1" applyBorder="1" applyAlignment="1">
      <alignment horizontal="right"/>
    </xf>
    <xf numFmtId="165" fontId="12" fillId="2" borderId="0" xfId="4" applyNumberFormat="1" applyFont="1" applyFill="1" applyBorder="1" applyAlignment="1">
      <alignment horizontal="right"/>
    </xf>
    <xf numFmtId="0" fontId="22" fillId="2" borderId="19" xfId="4" applyFont="1" applyFill="1" applyBorder="1" applyAlignment="1" applyProtection="1">
      <alignment vertical="center"/>
    </xf>
    <xf numFmtId="169" fontId="24" fillId="2" borderId="2" xfId="2" applyNumberFormat="1" applyFont="1" applyFill="1" applyBorder="1" applyAlignment="1" applyProtection="1">
      <alignment horizontal="right" vertical="center"/>
    </xf>
    <xf numFmtId="49" fontId="22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3" fillId="4" borderId="8" xfId="2" applyNumberFormat="1" applyFont="1" applyFill="1" applyBorder="1" applyAlignment="1" applyProtection="1">
      <alignment horizontal="left" vertical="center"/>
    </xf>
    <xf numFmtId="170" fontId="23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23" fillId="4" borderId="0" xfId="2" applyNumberFormat="1" applyFont="1" applyFill="1" applyBorder="1" applyAlignment="1">
      <alignment vertical="center"/>
    </xf>
    <xf numFmtId="170" fontId="23" fillId="4" borderId="7" xfId="2" applyNumberFormat="1" applyFont="1" applyFill="1" applyBorder="1" applyAlignment="1">
      <alignment vertical="center"/>
    </xf>
    <xf numFmtId="0" fontId="22" fillId="2" borderId="4" xfId="0" applyFont="1" applyFill="1" applyBorder="1" applyAlignment="1" applyProtection="1">
      <alignment horizontal="right" vertical="center"/>
    </xf>
    <xf numFmtId="0" fontId="22" fillId="3" borderId="6" xfId="0" applyFont="1" applyFill="1" applyBorder="1" applyAlignment="1" applyProtection="1">
      <alignment horizontal="right" vertical="center"/>
    </xf>
    <xf numFmtId="167" fontId="23" fillId="4" borderId="0" xfId="0" applyNumberFormat="1" applyFont="1" applyFill="1" applyBorder="1" applyAlignment="1">
      <alignment vertical="center"/>
    </xf>
    <xf numFmtId="167" fontId="21" fillId="4" borderId="0" xfId="0" applyNumberFormat="1" applyFont="1" applyFill="1" applyBorder="1" applyAlignment="1">
      <alignment vertical="center"/>
    </xf>
    <xf numFmtId="167" fontId="21" fillId="4" borderId="7" xfId="0" applyNumberFormat="1" applyFont="1" applyFill="1" applyBorder="1" applyAlignment="1">
      <alignment vertical="center"/>
    </xf>
    <xf numFmtId="169" fontId="23" fillId="2" borderId="8" xfId="2" applyNumberFormat="1" applyFont="1" applyFill="1" applyBorder="1" applyAlignment="1" applyProtection="1">
      <alignment horizontal="left" vertical="center"/>
    </xf>
    <xf numFmtId="170" fontId="23" fillId="2" borderId="9" xfId="2" applyNumberFormat="1" applyFont="1" applyFill="1" applyBorder="1" applyAlignment="1">
      <alignment vertical="center"/>
    </xf>
    <xf numFmtId="170" fontId="23" fillId="2" borderId="0" xfId="2" applyNumberFormat="1" applyFont="1" applyFill="1" applyBorder="1" applyAlignment="1">
      <alignment vertical="center"/>
    </xf>
    <xf numFmtId="170" fontId="23" fillId="3" borderId="7" xfId="2" applyNumberFormat="1" applyFont="1" applyFill="1" applyBorder="1" applyAlignment="1">
      <alignment vertical="center"/>
    </xf>
    <xf numFmtId="167" fontId="23" fillId="2" borderId="0" xfId="0" applyNumberFormat="1" applyFont="1" applyFill="1" applyBorder="1" applyAlignment="1">
      <alignment vertical="center"/>
    </xf>
    <xf numFmtId="167" fontId="21" fillId="2" borderId="0" xfId="0" applyNumberFormat="1" applyFont="1" applyFill="1" applyBorder="1" applyAlignment="1">
      <alignment vertical="center"/>
    </xf>
    <xf numFmtId="167" fontId="21" fillId="3" borderId="7" xfId="0" applyNumberFormat="1" applyFont="1" applyFill="1" applyBorder="1" applyAlignment="1">
      <alignment vertical="center"/>
    </xf>
    <xf numFmtId="169" fontId="23" fillId="2" borderId="10" xfId="2" applyNumberFormat="1" applyFont="1" applyFill="1" applyBorder="1" applyAlignment="1" applyProtection="1">
      <alignment horizontal="left" vertical="center"/>
    </xf>
    <xf numFmtId="170" fontId="23" fillId="2" borderId="11" xfId="2" applyNumberFormat="1" applyFont="1" applyFill="1" applyBorder="1" applyAlignment="1">
      <alignment vertical="center"/>
    </xf>
    <xf numFmtId="170" fontId="23" fillId="2" borderId="2" xfId="2" applyNumberFormat="1" applyFont="1" applyFill="1" applyBorder="1" applyAlignment="1">
      <alignment vertical="center"/>
    </xf>
    <xf numFmtId="170" fontId="23" fillId="3" borderId="6" xfId="2" applyNumberFormat="1" applyFont="1" applyFill="1" applyBorder="1" applyAlignment="1">
      <alignment vertical="center"/>
    </xf>
    <xf numFmtId="167" fontId="23" fillId="2" borderId="2" xfId="0" applyNumberFormat="1" applyFont="1" applyFill="1" applyBorder="1" applyAlignment="1">
      <alignment vertical="center"/>
    </xf>
    <xf numFmtId="167" fontId="21" fillId="2" borderId="2" xfId="0" applyNumberFormat="1" applyFont="1" applyFill="1" applyBorder="1" applyAlignment="1">
      <alignment vertical="center"/>
    </xf>
    <xf numFmtId="167" fontId="21" fillId="3" borderId="6" xfId="0" applyNumberFormat="1" applyFont="1" applyFill="1" applyBorder="1" applyAlignment="1">
      <alignment vertical="center"/>
    </xf>
    <xf numFmtId="0" fontId="8" fillId="2" borderId="0" xfId="0" applyFont="1" applyFill="1" applyAlignment="1" applyProtection="1">
      <alignment horizontal="center" vertical="center"/>
    </xf>
    <xf numFmtId="0" fontId="17" fillId="2" borderId="2" xfId="4" applyFont="1" applyFill="1" applyBorder="1"/>
    <xf numFmtId="169" fontId="8" fillId="2" borderId="15" xfId="4" applyNumberFormat="1" applyFont="1" applyFill="1" applyBorder="1" applyAlignment="1" applyProtection="1">
      <alignment horizontal="left" vertical="center"/>
    </xf>
    <xf numFmtId="0" fontId="22" fillId="2" borderId="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22" fillId="2" borderId="5" xfId="0" applyFont="1" applyFill="1" applyBorder="1" applyAlignment="1" applyProtection="1">
      <alignment horizontal="left" vertical="center" wrapText="1"/>
    </xf>
    <xf numFmtId="0" fontId="22" fillId="2" borderId="0" xfId="0" applyFont="1" applyFill="1" applyBorder="1" applyAlignment="1" applyProtection="1">
      <alignment horizontal="left" vertical="center"/>
    </xf>
    <xf numFmtId="0" fontId="22" fillId="2" borderId="2" xfId="0" applyFont="1" applyFill="1" applyBorder="1" applyAlignment="1" applyProtection="1">
      <alignment horizontal="left" vertical="center"/>
    </xf>
    <xf numFmtId="0" fontId="0" fillId="2" borderId="5" xfId="0" applyFill="1" applyBorder="1"/>
    <xf numFmtId="0" fontId="0" fillId="2" borderId="13" xfId="0" applyFill="1" applyBorder="1"/>
    <xf numFmtId="0" fontId="12" fillId="2" borderId="14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164" fontId="19" fillId="2" borderId="15" xfId="10" applyNumberFormat="1" applyFont="1" applyFill="1" applyBorder="1" applyAlignment="1">
      <alignment horizontal="center" vertical="center"/>
    </xf>
    <xf numFmtId="0" fontId="27" fillId="2" borderId="17" xfId="4" applyFont="1" applyFill="1" applyBorder="1" applyAlignment="1" applyProtection="1">
      <alignment horizontal="center" vertical="center"/>
    </xf>
  </cellXfs>
  <cellStyles count="14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Normal_VIII-8 (Tourism) 2" xfId="10"/>
    <cellStyle name="Normal_VIII-8 (Tourism) 2 3" xfId="11"/>
    <cellStyle name="Percent 2" xfId="12"/>
    <cellStyle name="Percent 2 2" xfId="13"/>
  </cellStyles>
  <dxfs count="0"/>
  <tableStyles count="0" defaultTableStyle="TableStyleMedium9" defaultPivotStyle="PivotStyleLight16"/>
  <colors>
    <mruColors>
      <color rgb="FFFF3333"/>
      <color rgb="FFFF8989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583333333333368"/>
          <c:y val="0.11342592592592604"/>
          <c:w val="0.82083333333333364"/>
          <c:h val="0.51157407407407463"/>
        </c:manualLayout>
      </c:layout>
      <c:barChart>
        <c:barDir val="col"/>
        <c:grouping val="clustered"/>
        <c:ser>
          <c:idx val="0"/>
          <c:order val="0"/>
          <c:dLbls>
            <c:showVal val="1"/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axId val="64829312"/>
        <c:axId val="64830848"/>
      </c:barChart>
      <c:catAx>
        <c:axId val="64829312"/>
        <c:scaling>
          <c:orientation val="minMax"/>
        </c:scaling>
        <c:axPos val="b"/>
        <c:numFmt formatCode="General" sourceLinked="1"/>
        <c:tickLblPos val="nextTo"/>
        <c:crossAx val="64830848"/>
        <c:crosses val="autoZero"/>
        <c:auto val="1"/>
        <c:lblAlgn val="ctr"/>
        <c:lblOffset val="100"/>
      </c:catAx>
      <c:valAx>
        <c:axId val="64830848"/>
        <c:scaling>
          <c:orientation val="minMax"/>
        </c:scaling>
        <c:axPos val="l"/>
        <c:majorGridlines/>
        <c:numFmt formatCode="#,##0;[Red]#,##0" sourceLinked="1"/>
        <c:tickLblPos val="nextTo"/>
        <c:crossAx val="64829312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057"/>
          <c:h val="0.68259988334791477"/>
        </c:manualLayout>
      </c:layout>
      <c:barChart>
        <c:barDir val="col"/>
        <c:grouping val="clustered"/>
        <c:ser>
          <c:idx val="0"/>
          <c:order val="0"/>
          <c:dLbls>
            <c:dLblPos val="outEnd"/>
            <c:showVal val="1"/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axId val="64858752"/>
        <c:axId val="64860544"/>
      </c:barChart>
      <c:catAx>
        <c:axId val="64858752"/>
        <c:scaling>
          <c:orientation val="minMax"/>
        </c:scaling>
        <c:axPos val="b"/>
        <c:numFmt formatCode="General" sourceLinked="1"/>
        <c:tickLblPos val="nextTo"/>
        <c:crossAx val="64860544"/>
        <c:crosses val="autoZero"/>
        <c:auto val="1"/>
        <c:lblAlgn val="ctr"/>
        <c:lblOffset val="100"/>
      </c:catAx>
      <c:valAx>
        <c:axId val="64860544"/>
        <c:scaling>
          <c:orientation val="minMax"/>
        </c:scaling>
        <c:axPos val="l"/>
        <c:numFmt formatCode="General" sourceLinked="1"/>
        <c:tickLblPos val="nextTo"/>
        <c:crossAx val="64858752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Figure 10.10: Monthly tourist arrivals by European Market, 2013 </a:t>
            </a:r>
          </a:p>
        </c:rich>
      </c:tx>
      <c:layout>
        <c:manualLayout>
          <c:xMode val="edge"/>
          <c:yMode val="edge"/>
          <c:x val="0.22357387910780815"/>
          <c:y val="3.0303030303030311E-2"/>
        </c:manualLayout>
      </c:layout>
    </c:title>
    <c:plotArea>
      <c:layout>
        <c:manualLayout>
          <c:layoutTarget val="inner"/>
          <c:xMode val="edge"/>
          <c:yMode val="edge"/>
          <c:x val="0.15299851563498384"/>
          <c:y val="0.13419748667780196"/>
          <c:w val="0.82696039399569432"/>
          <c:h val="0.56357193987115251"/>
        </c:manualLayout>
      </c:layout>
      <c:lineChart>
        <c:grouping val="standard"/>
        <c:ser>
          <c:idx val="0"/>
          <c:order val="0"/>
          <c:tx>
            <c:strRef>
              <c:f>'10.7'!$X$28</c:f>
              <c:strCache>
                <c:ptCount val="1"/>
                <c:pt idx="0">
                  <c:v>Central/Eastern Europe</c:v>
                </c:pt>
              </c:strCache>
            </c:strRef>
          </c:tx>
          <c:spPr>
            <a:ln>
              <a:solidFill>
                <a:schemeClr val="tx1">
                  <a:lumMod val="85000"/>
                  <a:lumOff val="15000"/>
                </a:schemeClr>
              </a:solidFill>
            </a:ln>
          </c:spPr>
          <c:marker>
            <c:symbol val="none"/>
          </c:marker>
          <c:cat>
            <c:strRef>
              <c:f>'10.7'!$Y$27:$AJ$27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'10.7'!$Y$28:$AJ$28</c:f>
              <c:numCache>
                <c:formatCode>_(* #,##0_);_(* \(#,##0\);_(* "-"??_);_(@_)</c:formatCode>
                <c:ptCount val="12"/>
                <c:pt idx="0">
                  <c:v>14136</c:v>
                </c:pt>
                <c:pt idx="1">
                  <c:v>11519</c:v>
                </c:pt>
                <c:pt idx="2">
                  <c:v>13618</c:v>
                </c:pt>
                <c:pt idx="3">
                  <c:v>10332</c:v>
                </c:pt>
                <c:pt idx="4">
                  <c:v>8002</c:v>
                </c:pt>
                <c:pt idx="5">
                  <c:v>6235</c:v>
                </c:pt>
                <c:pt idx="6">
                  <c:v>7038</c:v>
                </c:pt>
                <c:pt idx="7">
                  <c:v>7298</c:v>
                </c:pt>
                <c:pt idx="8">
                  <c:v>7036</c:v>
                </c:pt>
                <c:pt idx="9">
                  <c:v>9437</c:v>
                </c:pt>
                <c:pt idx="10">
                  <c:v>11877</c:v>
                </c:pt>
                <c:pt idx="11">
                  <c:v>13040</c:v>
                </c:pt>
              </c:numCache>
            </c:numRef>
          </c:val>
        </c:ser>
        <c:ser>
          <c:idx val="1"/>
          <c:order val="1"/>
          <c:tx>
            <c:strRef>
              <c:f>'10.7'!$X$29</c:f>
              <c:strCache>
                <c:ptCount val="1"/>
                <c:pt idx="0">
                  <c:v>Northern Europe</c:v>
                </c:pt>
              </c:strCache>
            </c:strRef>
          </c:tx>
          <c:spPr>
            <a:ln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'10.7'!$Y$27:$AJ$27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'10.7'!$Y$29:$AJ$29</c:f>
              <c:numCache>
                <c:formatCode>_(* #,##0_);_(* \(#,##0\);_(* "-"??_);_(@_)</c:formatCode>
                <c:ptCount val="12"/>
                <c:pt idx="0">
                  <c:v>8114</c:v>
                </c:pt>
                <c:pt idx="1">
                  <c:v>9626</c:v>
                </c:pt>
                <c:pt idx="2">
                  <c:v>10201</c:v>
                </c:pt>
                <c:pt idx="3">
                  <c:v>9682</c:v>
                </c:pt>
                <c:pt idx="4">
                  <c:v>7601</c:v>
                </c:pt>
                <c:pt idx="5">
                  <c:v>6036</c:v>
                </c:pt>
                <c:pt idx="6">
                  <c:v>8535</c:v>
                </c:pt>
                <c:pt idx="7">
                  <c:v>8251</c:v>
                </c:pt>
                <c:pt idx="8">
                  <c:v>7656</c:v>
                </c:pt>
                <c:pt idx="9">
                  <c:v>9686</c:v>
                </c:pt>
                <c:pt idx="10">
                  <c:v>8134</c:v>
                </c:pt>
                <c:pt idx="11">
                  <c:v>9582</c:v>
                </c:pt>
              </c:numCache>
            </c:numRef>
          </c:val>
        </c:ser>
        <c:ser>
          <c:idx val="2"/>
          <c:order val="2"/>
          <c:tx>
            <c:strRef>
              <c:f>'10.7'!$X$30</c:f>
              <c:strCache>
                <c:ptCount val="1"/>
                <c:pt idx="0">
                  <c:v>Southern Europe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'10.7'!$Y$27:$AJ$27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'10.7'!$Y$30:$AJ$30</c:f>
              <c:numCache>
                <c:formatCode>_(* #,##0_);_(* \(#,##0\);_(* "-"??_);_(@_)</c:formatCode>
                <c:ptCount val="12"/>
                <c:pt idx="0">
                  <c:v>8326</c:v>
                </c:pt>
                <c:pt idx="1">
                  <c:v>8946</c:v>
                </c:pt>
                <c:pt idx="2">
                  <c:v>10057</c:v>
                </c:pt>
                <c:pt idx="3">
                  <c:v>6957</c:v>
                </c:pt>
                <c:pt idx="4">
                  <c:v>3033</c:v>
                </c:pt>
                <c:pt idx="5">
                  <c:v>3030</c:v>
                </c:pt>
                <c:pt idx="6">
                  <c:v>4934</c:v>
                </c:pt>
                <c:pt idx="7">
                  <c:v>8446</c:v>
                </c:pt>
                <c:pt idx="8">
                  <c:v>5052</c:v>
                </c:pt>
                <c:pt idx="9">
                  <c:v>5363</c:v>
                </c:pt>
                <c:pt idx="10">
                  <c:v>5292</c:v>
                </c:pt>
                <c:pt idx="11">
                  <c:v>9928</c:v>
                </c:pt>
              </c:numCache>
            </c:numRef>
          </c:val>
        </c:ser>
        <c:ser>
          <c:idx val="3"/>
          <c:order val="3"/>
          <c:tx>
            <c:strRef>
              <c:f>'10.7'!$X$31</c:f>
              <c:strCache>
                <c:ptCount val="1"/>
                <c:pt idx="0">
                  <c:v>Western Europe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'10.7'!$Y$27:$AJ$27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'10.7'!$Y$31:$AJ$31</c:f>
              <c:numCache>
                <c:formatCode>_(* #,##0_);_(* \(#,##0\);_(* "-"??_);_(@_)</c:formatCode>
                <c:ptCount val="12"/>
                <c:pt idx="0">
                  <c:v>20250</c:v>
                </c:pt>
                <c:pt idx="1">
                  <c:v>23019</c:v>
                </c:pt>
                <c:pt idx="2">
                  <c:v>26478</c:v>
                </c:pt>
                <c:pt idx="3">
                  <c:v>21051</c:v>
                </c:pt>
                <c:pt idx="4">
                  <c:v>15811</c:v>
                </c:pt>
                <c:pt idx="5">
                  <c:v>7870</c:v>
                </c:pt>
                <c:pt idx="6">
                  <c:v>11469</c:v>
                </c:pt>
                <c:pt idx="7">
                  <c:v>11798</c:v>
                </c:pt>
                <c:pt idx="8">
                  <c:v>14253</c:v>
                </c:pt>
                <c:pt idx="9">
                  <c:v>20444</c:v>
                </c:pt>
                <c:pt idx="10">
                  <c:v>19792</c:v>
                </c:pt>
                <c:pt idx="11">
                  <c:v>20420</c:v>
                </c:pt>
              </c:numCache>
            </c:numRef>
          </c:val>
        </c:ser>
        <c:ser>
          <c:idx val="4"/>
          <c:order val="4"/>
          <c:tx>
            <c:strRef>
              <c:f>'10.7'!$X$32</c:f>
              <c:strCache>
                <c:ptCount val="1"/>
                <c:pt idx="0">
                  <c:v>East/Mediterranean Europe</c:v>
                </c:pt>
              </c:strCache>
            </c:strRef>
          </c:tx>
          <c:spPr>
            <a:ln>
              <a:solidFill>
                <a:sysClr val="windowText" lastClr="000000">
                  <a:lumMod val="65000"/>
                  <a:lumOff val="35000"/>
                </a:sysClr>
              </a:solidFill>
            </a:ln>
          </c:spPr>
          <c:marker>
            <c:symbol val="none"/>
          </c:marker>
          <c:cat>
            <c:strRef>
              <c:f>'10.7'!$Y$27:$AJ$27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'10.7'!$Y$32:$AJ$32</c:f>
              <c:numCache>
                <c:formatCode>_(* #,##0_);_(* \(#,##0\);_(* "-"??_);_(@_)</c:formatCode>
                <c:ptCount val="12"/>
                <c:pt idx="0">
                  <c:v>1495</c:v>
                </c:pt>
                <c:pt idx="1">
                  <c:v>985</c:v>
                </c:pt>
                <c:pt idx="2">
                  <c:v>850</c:v>
                </c:pt>
                <c:pt idx="3">
                  <c:v>956</c:v>
                </c:pt>
                <c:pt idx="4">
                  <c:v>720</c:v>
                </c:pt>
                <c:pt idx="5">
                  <c:v>1067</c:v>
                </c:pt>
                <c:pt idx="6">
                  <c:v>725</c:v>
                </c:pt>
                <c:pt idx="7">
                  <c:v>847</c:v>
                </c:pt>
                <c:pt idx="8">
                  <c:v>1577</c:v>
                </c:pt>
                <c:pt idx="9">
                  <c:v>1600</c:v>
                </c:pt>
                <c:pt idx="10">
                  <c:v>799</c:v>
                </c:pt>
                <c:pt idx="11">
                  <c:v>962</c:v>
                </c:pt>
              </c:numCache>
            </c:numRef>
          </c:val>
        </c:ser>
        <c:marker val="1"/>
        <c:axId val="69913984"/>
        <c:axId val="69919872"/>
      </c:lineChart>
      <c:catAx>
        <c:axId val="69913984"/>
        <c:scaling>
          <c:orientation val="minMax"/>
        </c:scaling>
        <c:axPos val="b"/>
        <c:numFmt formatCode="General" sourceLinked="1"/>
        <c:majorTickMark val="none"/>
        <c:tickLblPos val="nextTo"/>
        <c:crossAx val="69919872"/>
        <c:crosses val="autoZero"/>
        <c:auto val="1"/>
        <c:lblAlgn val="ctr"/>
        <c:lblOffset val="100"/>
      </c:catAx>
      <c:valAx>
        <c:axId val="6991987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8.5644912363483042E-3"/>
              <c:y val="0.2997458840372228"/>
            </c:manualLayout>
          </c:layout>
        </c:title>
        <c:numFmt formatCode="_(* #,##0_);_(* \(#,##0\);_(* &quot;-&quot;??_);_(@_)" sourceLinked="1"/>
        <c:majorTickMark val="none"/>
        <c:tickLblPos val="nextTo"/>
        <c:crossAx val="6991398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3.0712593510080901E-2"/>
          <c:y val="0.83321164399904568"/>
          <c:w val="0.96707894659235005"/>
          <c:h val="0.16608526206951402"/>
        </c:manualLayout>
      </c:layout>
    </c:legend>
    <c:plotVisOnly val="1"/>
    <c:dispBlanksAs val="gap"/>
  </c:chart>
  <c:spPr>
    <a:solidFill>
      <a:schemeClr val="accent5">
        <a:lumMod val="40000"/>
        <a:lumOff val="60000"/>
      </a:schemeClr>
    </a:solidFill>
  </c:spPr>
  <c:printSettings>
    <c:headerFooter/>
    <c:pageMargins b="0.750000000000001" l="0.70000000000000062" r="0.70000000000000062" t="0.750000000000001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 sz="1000"/>
            </a:pPr>
            <a:r>
              <a:rPr lang="en-US" sz="1000" b="1" i="0" baseline="0"/>
              <a:t>Figure 10.11: Monthly tourist arrivals by Asian Market, 2013 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5817256521310935"/>
          <c:y val="0.1545517753677017"/>
          <c:w val="0.81446408095242273"/>
          <c:h val="0.60450770068835735"/>
        </c:manualLayout>
      </c:layout>
      <c:lineChart>
        <c:grouping val="standard"/>
        <c:ser>
          <c:idx val="0"/>
          <c:order val="0"/>
          <c:tx>
            <c:strRef>
              <c:f>'10.7'!$X$37</c:f>
              <c:strCache>
                <c:ptCount val="1"/>
                <c:pt idx="0">
                  <c:v>North East Asia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'10.7'!$Y$36:$AJ$36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'10.7'!$Y$37:$AJ$37</c:f>
              <c:numCache>
                <c:formatCode>_(* #,##0_);_(* \(#,##0\);_(* "-"??_);_(@_)</c:formatCode>
                <c:ptCount val="12"/>
                <c:pt idx="0">
                  <c:v>23447</c:v>
                </c:pt>
                <c:pt idx="1">
                  <c:v>38388</c:v>
                </c:pt>
                <c:pt idx="2">
                  <c:v>23679</c:v>
                </c:pt>
                <c:pt idx="3">
                  <c:v>26339</c:v>
                </c:pt>
                <c:pt idx="4">
                  <c:v>28710</c:v>
                </c:pt>
                <c:pt idx="5">
                  <c:v>33389</c:v>
                </c:pt>
                <c:pt idx="6">
                  <c:v>42082</c:v>
                </c:pt>
                <c:pt idx="7">
                  <c:v>42785</c:v>
                </c:pt>
                <c:pt idx="8">
                  <c:v>42166</c:v>
                </c:pt>
                <c:pt idx="9">
                  <c:v>43586</c:v>
                </c:pt>
                <c:pt idx="10">
                  <c:v>33905</c:v>
                </c:pt>
                <c:pt idx="11">
                  <c:v>29637</c:v>
                </c:pt>
              </c:numCache>
            </c:numRef>
          </c:val>
        </c:ser>
        <c:ser>
          <c:idx val="1"/>
          <c:order val="1"/>
          <c:tx>
            <c:strRef>
              <c:f>'10.7'!$X$38</c:f>
              <c:strCache>
                <c:ptCount val="1"/>
                <c:pt idx="0">
                  <c:v>South East Asia</c:v>
                </c:pt>
              </c:strCache>
            </c:strRef>
          </c:tx>
          <c:spPr>
            <a:ln>
              <a:solidFill>
                <a:schemeClr val="tx1">
                  <a:lumMod val="65000"/>
                  <a:lumOff val="35000"/>
                </a:schemeClr>
              </a:solidFill>
            </a:ln>
          </c:spPr>
          <c:marker>
            <c:symbol val="none"/>
          </c:marker>
          <c:cat>
            <c:strRef>
              <c:f>'10.7'!$Y$36:$AJ$36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'10.7'!$Y$38:$AJ$38</c:f>
              <c:numCache>
                <c:formatCode>_(* #,##0_);_(* \(#,##0\);_(* "-"??_);_(@_)</c:formatCode>
                <c:ptCount val="12"/>
                <c:pt idx="0">
                  <c:v>1665</c:v>
                </c:pt>
                <c:pt idx="1">
                  <c:v>1751</c:v>
                </c:pt>
                <c:pt idx="2">
                  <c:v>2708</c:v>
                </c:pt>
                <c:pt idx="3">
                  <c:v>3411</c:v>
                </c:pt>
                <c:pt idx="4">
                  <c:v>3890</c:v>
                </c:pt>
                <c:pt idx="5">
                  <c:v>4233</c:v>
                </c:pt>
                <c:pt idx="6">
                  <c:v>3357</c:v>
                </c:pt>
                <c:pt idx="7">
                  <c:v>3900</c:v>
                </c:pt>
                <c:pt idx="8">
                  <c:v>3422</c:v>
                </c:pt>
                <c:pt idx="9">
                  <c:v>3698</c:v>
                </c:pt>
                <c:pt idx="10">
                  <c:v>3504</c:v>
                </c:pt>
                <c:pt idx="11">
                  <c:v>5305</c:v>
                </c:pt>
              </c:numCache>
            </c:numRef>
          </c:val>
        </c:ser>
        <c:ser>
          <c:idx val="2"/>
          <c:order val="2"/>
          <c:tx>
            <c:strRef>
              <c:f>'10.7'!$X$39</c:f>
              <c:strCache>
                <c:ptCount val="1"/>
                <c:pt idx="0">
                  <c:v>South Asia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'10.7'!$Y$36:$AJ$36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'10.7'!$Y$39:$AJ$39</c:f>
              <c:numCache>
                <c:formatCode>_(* #,##0_);_(* \(#,##0\);_(* "-"??_);_(@_)</c:formatCode>
                <c:ptCount val="12"/>
                <c:pt idx="0">
                  <c:v>4662</c:v>
                </c:pt>
                <c:pt idx="1">
                  <c:v>4652</c:v>
                </c:pt>
                <c:pt idx="2">
                  <c:v>4260</c:v>
                </c:pt>
                <c:pt idx="3">
                  <c:v>4153</c:v>
                </c:pt>
                <c:pt idx="4">
                  <c:v>5346</c:v>
                </c:pt>
                <c:pt idx="5">
                  <c:v>4991</c:v>
                </c:pt>
                <c:pt idx="6">
                  <c:v>3880</c:v>
                </c:pt>
                <c:pt idx="7">
                  <c:v>4765</c:v>
                </c:pt>
                <c:pt idx="8">
                  <c:v>3591</c:v>
                </c:pt>
                <c:pt idx="9">
                  <c:v>4314</c:v>
                </c:pt>
                <c:pt idx="10">
                  <c:v>4939</c:v>
                </c:pt>
                <c:pt idx="11">
                  <c:v>7243</c:v>
                </c:pt>
              </c:numCache>
            </c:numRef>
          </c:val>
        </c:ser>
        <c:marker val="1"/>
        <c:axId val="70028288"/>
        <c:axId val="70034176"/>
      </c:lineChart>
      <c:catAx>
        <c:axId val="70028288"/>
        <c:scaling>
          <c:orientation val="minMax"/>
        </c:scaling>
        <c:axPos val="b"/>
        <c:numFmt formatCode="General" sourceLinked="1"/>
        <c:majorTickMark val="none"/>
        <c:tickLblPos val="nextTo"/>
        <c:crossAx val="70034176"/>
        <c:crosses val="autoZero"/>
        <c:auto val="1"/>
        <c:lblAlgn val="ctr"/>
        <c:lblOffset val="100"/>
      </c:catAx>
      <c:valAx>
        <c:axId val="7003417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1.5393676529805306E-2"/>
              <c:y val="0.34681800623978676"/>
            </c:manualLayout>
          </c:layout>
        </c:title>
        <c:numFmt formatCode="_(* #,##0_);_(* \(#,##0\);_(* &quot;-&quot;??_);_(@_)" sourceLinked="1"/>
        <c:majorTickMark val="none"/>
        <c:tickLblPos val="nextTo"/>
        <c:crossAx val="70028288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2736305374027876"/>
          <c:y val="0.90199574109840064"/>
          <c:w val="0.8056626932723987"/>
          <c:h val="6.5966225919873403E-2"/>
        </c:manualLayout>
      </c:layout>
    </c:legend>
    <c:plotVisOnly val="1"/>
    <c:dispBlanksAs val="gap"/>
  </c:chart>
  <c:spPr>
    <a:solidFill>
      <a:schemeClr val="accent5">
        <a:lumMod val="40000"/>
        <a:lumOff val="60000"/>
      </a:schemeClr>
    </a:solidFill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23</xdr:row>
      <xdr:rowOff>142875</xdr:rowOff>
    </xdr:from>
    <xdr:to>
      <xdr:col>6</xdr:col>
      <xdr:colOff>295275</xdr:colOff>
      <xdr:row>37</xdr:row>
      <xdr:rowOff>121920</xdr:rowOff>
    </xdr:to>
    <xdr:graphicFrame macro="">
      <xdr:nvGraphicFramePr>
        <xdr:cNvPr id="231128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561975</xdr:colOff>
      <xdr:row>23</xdr:row>
      <xdr:rowOff>152401</xdr:rowOff>
    </xdr:from>
    <xdr:to>
      <xdr:col>14</xdr:col>
      <xdr:colOff>1264920</xdr:colOff>
      <xdr:row>37</xdr:row>
      <xdr:rowOff>152401</xdr:rowOff>
    </xdr:to>
    <xdr:graphicFrame macro="">
      <xdr:nvGraphicFramePr>
        <xdr:cNvPr id="2311285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U62"/>
  <sheetViews>
    <sheetView topLeftCell="A27" workbookViewId="0">
      <selection activeCell="M20" sqref="M20"/>
    </sheetView>
  </sheetViews>
  <sheetFormatPr defaultColWidth="9.109375" defaultRowHeight="13.2"/>
  <cols>
    <col min="1" max="1" width="16.33203125" style="1" customWidth="1"/>
    <col min="2" max="2" width="8.109375" style="1" customWidth="1"/>
    <col min="3" max="4" width="8.6640625" style="1" customWidth="1"/>
    <col min="5" max="6" width="9.109375" style="1" customWidth="1"/>
    <col min="7" max="7" width="7" style="1" customWidth="1"/>
    <col min="8" max="9" width="7.33203125" style="1" customWidth="1"/>
    <col min="10" max="11" width="7.88671875" style="1" customWidth="1"/>
    <col min="12" max="16384" width="9.109375" style="1"/>
  </cols>
  <sheetData>
    <row r="1" spans="1:21" ht="24" customHeight="1">
      <c r="A1" s="78" t="s">
        <v>120</v>
      </c>
      <c r="B1" s="78"/>
      <c r="C1" s="78"/>
      <c r="D1" s="78"/>
      <c r="E1" s="78"/>
      <c r="F1" s="78"/>
      <c r="G1" s="78"/>
      <c r="H1" s="78"/>
      <c r="I1" s="78"/>
      <c r="J1" s="78"/>
      <c r="K1" s="78"/>
      <c r="M1" s="2" t="s">
        <v>19</v>
      </c>
      <c r="N1" s="2" t="s">
        <v>22</v>
      </c>
      <c r="O1" s="2" t="s">
        <v>81</v>
      </c>
      <c r="P1" s="2" t="s">
        <v>117</v>
      </c>
      <c r="Q1" s="44" t="s">
        <v>119</v>
      </c>
      <c r="S1" s="45">
        <f>Q2/M2</f>
        <v>5.5298836452988356</v>
      </c>
      <c r="T1" s="46" t="s">
        <v>122</v>
      </c>
      <c r="U1" s="46"/>
    </row>
    <row r="2" spans="1:21" ht="9.75" customHeight="1">
      <c r="A2" s="79" t="s">
        <v>121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47" t="s">
        <v>50</v>
      </c>
      <c r="M2" s="48">
        <f>M4/1000</f>
        <v>41.511000000000003</v>
      </c>
      <c r="N2" s="48">
        <f>N4/1000</f>
        <v>60.665999999999997</v>
      </c>
      <c r="O2" s="48">
        <f>O4/1000</f>
        <v>118.961</v>
      </c>
      <c r="P2" s="48">
        <f>P4/1000</f>
        <v>198.655</v>
      </c>
      <c r="Q2" s="48">
        <f>Q4/1000</f>
        <v>229.55099999999999</v>
      </c>
      <c r="R2" s="49" t="s">
        <v>123</v>
      </c>
    </row>
    <row r="3" spans="1:21" ht="3.7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21" ht="21" customHeight="1">
      <c r="A4" s="80" t="s">
        <v>124</v>
      </c>
      <c r="B4" s="75" t="s">
        <v>21</v>
      </c>
      <c r="C4" s="83"/>
      <c r="D4" s="83"/>
      <c r="E4" s="83"/>
      <c r="F4" s="84"/>
      <c r="G4" s="85" t="s">
        <v>118</v>
      </c>
      <c r="H4" s="77"/>
      <c r="I4" s="77"/>
      <c r="J4" s="77"/>
      <c r="K4" s="86"/>
      <c r="L4" s="47" t="s">
        <v>50</v>
      </c>
      <c r="M4" s="48">
        <v>41511</v>
      </c>
      <c r="N4" s="48">
        <v>60666</v>
      </c>
      <c r="O4" s="50">
        <v>118961</v>
      </c>
      <c r="P4" s="50">
        <v>198655</v>
      </c>
      <c r="Q4" s="51">
        <v>229551</v>
      </c>
    </row>
    <row r="5" spans="1:21" ht="13.5" customHeight="1">
      <c r="A5" s="81"/>
      <c r="B5" s="74" t="s">
        <v>90</v>
      </c>
      <c r="C5" s="74"/>
      <c r="D5" s="74"/>
      <c r="E5" s="74"/>
      <c r="F5" s="87"/>
      <c r="G5" s="88" t="s">
        <v>91</v>
      </c>
      <c r="H5" s="76"/>
      <c r="I5" s="76"/>
      <c r="J5" s="76"/>
      <c r="K5" s="89"/>
    </row>
    <row r="6" spans="1:21" ht="15" customHeight="1">
      <c r="A6" s="82"/>
      <c r="B6" s="2" t="s">
        <v>19</v>
      </c>
      <c r="C6" s="2" t="s">
        <v>22</v>
      </c>
      <c r="D6" s="2" t="s">
        <v>81</v>
      </c>
      <c r="E6" s="2" t="s">
        <v>117</v>
      </c>
      <c r="F6" s="44" t="s">
        <v>119</v>
      </c>
      <c r="G6" s="52">
        <v>2008</v>
      </c>
      <c r="H6" s="3">
        <v>2009</v>
      </c>
      <c r="I6" s="3">
        <v>2010</v>
      </c>
      <c r="J6" s="3">
        <v>2011</v>
      </c>
      <c r="K6" s="53">
        <v>2012</v>
      </c>
    </row>
    <row r="7" spans="1:21" ht="12.75" customHeight="1">
      <c r="A7" s="47" t="s">
        <v>50</v>
      </c>
      <c r="B7" s="48">
        <v>41511</v>
      </c>
      <c r="C7" s="48">
        <v>60666</v>
      </c>
      <c r="D7" s="50">
        <v>118961</v>
      </c>
      <c r="E7" s="50">
        <v>198655</v>
      </c>
      <c r="F7" s="51">
        <v>229551</v>
      </c>
      <c r="G7" s="54">
        <v>15.385256837891928</v>
      </c>
      <c r="H7" s="54">
        <f t="shared" ref="H7:K38" si="0">(C7-B7)/B7*100</f>
        <v>46.144395461443956</v>
      </c>
      <c r="I7" s="55">
        <f t="shared" si="0"/>
        <v>96.091715293574651</v>
      </c>
      <c r="J7" s="55">
        <f t="shared" si="0"/>
        <v>66.991703163221558</v>
      </c>
      <c r="K7" s="56">
        <f t="shared" si="0"/>
        <v>15.552591175656289</v>
      </c>
    </row>
    <row r="8" spans="1:21" ht="12.75" customHeight="1">
      <c r="A8" s="47" t="s">
        <v>29</v>
      </c>
      <c r="B8" s="48">
        <v>69240</v>
      </c>
      <c r="C8" s="48">
        <v>69085</v>
      </c>
      <c r="D8" s="50">
        <v>77108</v>
      </c>
      <c r="E8" s="50">
        <v>90517</v>
      </c>
      <c r="F8" s="51">
        <v>98351</v>
      </c>
      <c r="G8" s="54">
        <v>-4.1912853367280576</v>
      </c>
      <c r="H8" s="54">
        <f t="shared" si="0"/>
        <v>-0.2238590410167533</v>
      </c>
      <c r="I8" s="55">
        <f t="shared" si="0"/>
        <v>11.613230078888325</v>
      </c>
      <c r="J8" s="55">
        <f t="shared" si="0"/>
        <v>17.389894693157647</v>
      </c>
      <c r="K8" s="56">
        <f t="shared" si="0"/>
        <v>8.654727841179005</v>
      </c>
    </row>
    <row r="9" spans="1:21" ht="12.75" customHeight="1">
      <c r="A9" s="47" t="s">
        <v>47</v>
      </c>
      <c r="B9" s="48">
        <v>116821</v>
      </c>
      <c r="C9" s="48">
        <v>105950</v>
      </c>
      <c r="D9" s="50">
        <v>114158</v>
      </c>
      <c r="E9" s="50">
        <v>104508</v>
      </c>
      <c r="F9" s="51">
        <v>91776</v>
      </c>
      <c r="G9" s="54">
        <v>-6.6611802681410701</v>
      </c>
      <c r="H9" s="54">
        <f t="shared" si="0"/>
        <v>-9.3056899016443957</v>
      </c>
      <c r="I9" s="55">
        <f t="shared" si="0"/>
        <v>7.7470504955167536</v>
      </c>
      <c r="J9" s="55">
        <f t="shared" si="0"/>
        <v>-8.4531964470295549</v>
      </c>
      <c r="K9" s="56">
        <f t="shared" si="0"/>
        <v>-12.182799402916524</v>
      </c>
    </row>
    <row r="10" spans="1:21" ht="12.75" customHeight="1">
      <c r="A10" s="47" t="s">
        <v>39</v>
      </c>
      <c r="B10" s="48">
        <v>48978</v>
      </c>
      <c r="C10" s="48">
        <v>40014</v>
      </c>
      <c r="D10" s="50">
        <v>49111</v>
      </c>
      <c r="E10" s="50">
        <v>63936</v>
      </c>
      <c r="F10" s="51">
        <v>66378</v>
      </c>
      <c r="G10" s="54">
        <v>53.801224682053693</v>
      </c>
      <c r="H10" s="54">
        <f t="shared" si="0"/>
        <v>-18.302094818081589</v>
      </c>
      <c r="I10" s="55">
        <f t="shared" si="0"/>
        <v>22.734542909981506</v>
      </c>
      <c r="J10" s="55">
        <f t="shared" si="0"/>
        <v>30.186719879456742</v>
      </c>
      <c r="K10" s="56">
        <f t="shared" si="0"/>
        <v>3.8194444444444446</v>
      </c>
    </row>
    <row r="11" spans="1:21" ht="12.75" customHeight="1">
      <c r="A11" s="47" t="s">
        <v>34</v>
      </c>
      <c r="B11" s="48">
        <v>103824</v>
      </c>
      <c r="C11" s="48">
        <v>89292</v>
      </c>
      <c r="D11" s="50">
        <v>89596</v>
      </c>
      <c r="E11" s="50">
        <v>83088</v>
      </c>
      <c r="F11" s="51">
        <v>62782</v>
      </c>
      <c r="G11" s="54">
        <v>-11.44772529553247</v>
      </c>
      <c r="H11" s="54">
        <f t="shared" si="0"/>
        <v>-13.996763754045308</v>
      </c>
      <c r="I11" s="55">
        <f t="shared" si="0"/>
        <v>0.34045603189535456</v>
      </c>
      <c r="J11" s="55">
        <f t="shared" si="0"/>
        <v>-7.2637171302290273</v>
      </c>
      <c r="K11" s="56">
        <f t="shared" si="0"/>
        <v>-24.439148854226843</v>
      </c>
    </row>
    <row r="12" spans="1:21" ht="12.75" customHeight="1">
      <c r="A12" s="47" t="s">
        <v>28</v>
      </c>
      <c r="B12" s="48">
        <v>48100</v>
      </c>
      <c r="C12" s="48">
        <v>50373</v>
      </c>
      <c r="D12" s="50">
        <v>54789</v>
      </c>
      <c r="E12" s="50">
        <v>59694</v>
      </c>
      <c r="F12" s="51">
        <v>56775</v>
      </c>
      <c r="G12" s="54">
        <v>6.1786715525043601</v>
      </c>
      <c r="H12" s="54">
        <f t="shared" si="0"/>
        <v>4.7255717255717258</v>
      </c>
      <c r="I12" s="55">
        <f t="shared" si="0"/>
        <v>8.766601155380858</v>
      </c>
      <c r="J12" s="55">
        <f t="shared" si="0"/>
        <v>8.9525269670919343</v>
      </c>
      <c r="K12" s="56">
        <f t="shared" si="0"/>
        <v>-4.889938687305257</v>
      </c>
    </row>
    <row r="13" spans="1:21" ht="12.75" customHeight="1">
      <c r="A13" s="47" t="s">
        <v>53</v>
      </c>
      <c r="B13" s="48">
        <v>38193</v>
      </c>
      <c r="C13" s="48">
        <v>36641</v>
      </c>
      <c r="D13" s="50">
        <v>38791</v>
      </c>
      <c r="E13" s="50">
        <v>35782</v>
      </c>
      <c r="F13" s="51">
        <v>36438</v>
      </c>
      <c r="G13" s="54">
        <v>-7.120449405413293</v>
      </c>
      <c r="H13" s="54">
        <f t="shared" si="0"/>
        <v>-4.063571858717566</v>
      </c>
      <c r="I13" s="55">
        <f t="shared" si="0"/>
        <v>5.8677437842853637</v>
      </c>
      <c r="J13" s="55">
        <f t="shared" si="0"/>
        <v>-7.7569539326132348</v>
      </c>
      <c r="K13" s="56">
        <f t="shared" si="0"/>
        <v>1.8333240176625119</v>
      </c>
    </row>
    <row r="14" spans="1:21" ht="12.75" customHeight="1">
      <c r="A14" s="47" t="s">
        <v>44</v>
      </c>
      <c r="B14" s="48">
        <v>26983</v>
      </c>
      <c r="C14" s="48">
        <v>26783</v>
      </c>
      <c r="D14" s="50">
        <v>27766</v>
      </c>
      <c r="E14" s="50">
        <v>32504</v>
      </c>
      <c r="F14" s="51">
        <v>35457</v>
      </c>
      <c r="G14" s="54">
        <v>3.0554176373983117</v>
      </c>
      <c r="H14" s="54">
        <f t="shared" si="0"/>
        <v>-0.74120742689841757</v>
      </c>
      <c r="I14" s="55">
        <f t="shared" si="0"/>
        <v>3.6702385841765301</v>
      </c>
      <c r="J14" s="55">
        <f t="shared" si="0"/>
        <v>17.064035150903983</v>
      </c>
      <c r="K14" s="56">
        <f t="shared" si="0"/>
        <v>9.0850356879153349</v>
      </c>
    </row>
    <row r="15" spans="1:21" ht="12.75" customHeight="1">
      <c r="A15" s="47" t="s">
        <v>51</v>
      </c>
      <c r="B15" s="48">
        <v>16663</v>
      </c>
      <c r="C15" s="48">
        <v>15850</v>
      </c>
      <c r="D15" s="50">
        <v>25756</v>
      </c>
      <c r="E15" s="50">
        <v>30978</v>
      </c>
      <c r="F15" s="51">
        <v>31721</v>
      </c>
      <c r="G15" s="54">
        <v>-3.832169446528539</v>
      </c>
      <c r="H15" s="54">
        <f t="shared" si="0"/>
        <v>-4.8790733961471524</v>
      </c>
      <c r="I15" s="55">
        <f t="shared" si="0"/>
        <v>62.498422712933753</v>
      </c>
      <c r="J15" s="55">
        <f t="shared" si="0"/>
        <v>20.274887404876534</v>
      </c>
      <c r="K15" s="56">
        <f t="shared" si="0"/>
        <v>2.3984763380463554</v>
      </c>
    </row>
    <row r="16" spans="1:21" ht="12.75" customHeight="1">
      <c r="A16" s="47" t="s">
        <v>54</v>
      </c>
      <c r="B16" s="48">
        <v>20934</v>
      </c>
      <c r="C16" s="48">
        <v>16135</v>
      </c>
      <c r="D16" s="50">
        <v>24808</v>
      </c>
      <c r="E16" s="50">
        <v>25285</v>
      </c>
      <c r="F16" s="51">
        <v>23933</v>
      </c>
      <c r="G16" s="54">
        <v>-0.20022883295194507</v>
      </c>
      <c r="H16" s="54">
        <f t="shared" si="0"/>
        <v>-22.92442915830706</v>
      </c>
      <c r="I16" s="55">
        <f t="shared" si="0"/>
        <v>53.752711496746208</v>
      </c>
      <c r="J16" s="55">
        <f t="shared" si="0"/>
        <v>1.9227668494034182</v>
      </c>
      <c r="K16" s="56">
        <f t="shared" si="0"/>
        <v>-5.3470437017994854</v>
      </c>
    </row>
    <row r="17" spans="1:15" ht="12.75" customHeight="1">
      <c r="A17" s="57" t="s">
        <v>48</v>
      </c>
      <c r="B17" s="58">
        <v>9482</v>
      </c>
      <c r="C17" s="58">
        <v>9476</v>
      </c>
      <c r="D17" s="59">
        <v>10220</v>
      </c>
      <c r="E17" s="59">
        <v>12088</v>
      </c>
      <c r="F17" s="60">
        <v>18612</v>
      </c>
      <c r="G17" s="61">
        <v>16.272225628448805</v>
      </c>
      <c r="H17" s="61">
        <f t="shared" si="0"/>
        <v>-6.3277789495886944E-2</v>
      </c>
      <c r="I17" s="62">
        <f t="shared" si="0"/>
        <v>7.8514140987758552</v>
      </c>
      <c r="J17" s="62">
        <f t="shared" si="0"/>
        <v>18.277886497064578</v>
      </c>
      <c r="K17" s="63">
        <f t="shared" si="0"/>
        <v>53.970880211780283</v>
      </c>
    </row>
    <row r="18" spans="1:15" ht="12.75" customHeight="1">
      <c r="A18" s="57" t="s">
        <v>23</v>
      </c>
      <c r="B18" s="58">
        <v>13462</v>
      </c>
      <c r="C18" s="58">
        <v>13274</v>
      </c>
      <c r="D18" s="59">
        <v>14944</v>
      </c>
      <c r="E18" s="59">
        <v>16655</v>
      </c>
      <c r="F18" s="60">
        <v>18164</v>
      </c>
      <c r="G18" s="61">
        <v>-1.5431873034447401</v>
      </c>
      <c r="H18" s="61">
        <f t="shared" si="0"/>
        <v>-1.3965235477640767</v>
      </c>
      <c r="I18" s="62">
        <f t="shared" si="0"/>
        <v>12.580985384963087</v>
      </c>
      <c r="J18" s="62">
        <f t="shared" si="0"/>
        <v>11.44941113490364</v>
      </c>
      <c r="K18" s="63">
        <f t="shared" si="0"/>
        <v>9.0603422395676976</v>
      </c>
    </row>
    <row r="19" spans="1:15" ht="12.75" customHeight="1">
      <c r="A19" s="57" t="s">
        <v>67</v>
      </c>
      <c r="B19" s="58">
        <v>8853</v>
      </c>
      <c r="C19" s="58">
        <v>9438</v>
      </c>
      <c r="D19" s="59">
        <v>11482</v>
      </c>
      <c r="E19" s="59">
        <v>14490</v>
      </c>
      <c r="F19" s="60">
        <v>16049</v>
      </c>
      <c r="G19" s="61">
        <v>-5.2952503209242625</v>
      </c>
      <c r="H19" s="61">
        <f t="shared" si="0"/>
        <v>6.607929515418502</v>
      </c>
      <c r="I19" s="62">
        <f t="shared" si="0"/>
        <v>21.657130748039837</v>
      </c>
      <c r="J19" s="62">
        <f t="shared" si="0"/>
        <v>26.197526563316497</v>
      </c>
      <c r="K19" s="63">
        <f t="shared" si="0"/>
        <v>10.759144237405106</v>
      </c>
    </row>
    <row r="20" spans="1:15" ht="12.75" customHeight="1">
      <c r="A20" s="57" t="s">
        <v>69</v>
      </c>
      <c r="B20" s="58">
        <v>9368</v>
      </c>
      <c r="C20" s="58">
        <v>7392</v>
      </c>
      <c r="D20" s="59">
        <v>9622</v>
      </c>
      <c r="E20" s="59">
        <v>12778</v>
      </c>
      <c r="F20" s="60">
        <v>15208</v>
      </c>
      <c r="G20" s="61">
        <v>-0.40399744843716773</v>
      </c>
      <c r="H20" s="61">
        <f t="shared" si="0"/>
        <v>-21.093082835183605</v>
      </c>
      <c r="I20" s="62">
        <f t="shared" si="0"/>
        <v>30.167748917748916</v>
      </c>
      <c r="J20" s="62">
        <f t="shared" si="0"/>
        <v>32.799833714404492</v>
      </c>
      <c r="K20" s="63">
        <f t="shared" si="0"/>
        <v>19.017060572859602</v>
      </c>
    </row>
    <row r="21" spans="1:15" ht="12.75" customHeight="1">
      <c r="A21" s="57" t="s">
        <v>58</v>
      </c>
      <c r="B21" s="58">
        <v>4956</v>
      </c>
      <c r="C21" s="58">
        <v>5214</v>
      </c>
      <c r="D21" s="59">
        <v>5332</v>
      </c>
      <c r="E21" s="59">
        <v>7990</v>
      </c>
      <c r="F21" s="60">
        <v>9625</v>
      </c>
      <c r="G21" s="61">
        <v>11.220825852782765</v>
      </c>
      <c r="H21" s="61">
        <f t="shared" si="0"/>
        <v>5.2058111380145284</v>
      </c>
      <c r="I21" s="62">
        <f t="shared" si="0"/>
        <v>2.263137706175681</v>
      </c>
      <c r="J21" s="62">
        <f t="shared" si="0"/>
        <v>49.849962490622659</v>
      </c>
      <c r="K21" s="63">
        <f t="shared" si="0"/>
        <v>20.463078848560702</v>
      </c>
    </row>
    <row r="22" spans="1:15" ht="12.75" customHeight="1">
      <c r="A22" s="57" t="s">
        <v>59</v>
      </c>
      <c r="B22" s="58">
        <v>9752</v>
      </c>
      <c r="C22" s="58">
        <v>7833</v>
      </c>
      <c r="D22" s="59">
        <v>7872</v>
      </c>
      <c r="E22" s="59">
        <v>9670</v>
      </c>
      <c r="F22" s="60">
        <v>8860</v>
      </c>
      <c r="G22" s="61">
        <v>1.015123264967889</v>
      </c>
      <c r="H22" s="61">
        <f t="shared" si="0"/>
        <v>-19.678014766201805</v>
      </c>
      <c r="I22" s="62">
        <f t="shared" si="0"/>
        <v>0.49789352738414405</v>
      </c>
      <c r="J22" s="62">
        <f t="shared" si="0"/>
        <v>22.840447154471544</v>
      </c>
      <c r="K22" s="63">
        <f t="shared" si="0"/>
        <v>-8.3764219234746644</v>
      </c>
    </row>
    <row r="23" spans="1:15" ht="12.75" customHeight="1">
      <c r="A23" s="57" t="s">
        <v>42</v>
      </c>
      <c r="B23" s="58">
        <v>8217</v>
      </c>
      <c r="C23" s="58">
        <v>7279</v>
      </c>
      <c r="D23" s="59">
        <v>8912</v>
      </c>
      <c r="E23" s="59">
        <v>9710</v>
      </c>
      <c r="F23" s="60">
        <v>8824</v>
      </c>
      <c r="G23" s="61">
        <v>-6.6037735849056602</v>
      </c>
      <c r="H23" s="61">
        <f t="shared" si="0"/>
        <v>-11.415358403310211</v>
      </c>
      <c r="I23" s="62">
        <f t="shared" si="0"/>
        <v>22.434400329715622</v>
      </c>
      <c r="J23" s="62">
        <f t="shared" si="0"/>
        <v>8.9542190305206457</v>
      </c>
      <c r="K23" s="63">
        <f t="shared" si="0"/>
        <v>-9.1246138002059727</v>
      </c>
      <c r="O23" s="46" t="s">
        <v>125</v>
      </c>
    </row>
    <row r="24" spans="1:15" ht="12.75" customHeight="1">
      <c r="A24" s="57" t="s">
        <v>46</v>
      </c>
      <c r="B24" s="58">
        <v>5399</v>
      </c>
      <c r="C24" s="58">
        <v>4643</v>
      </c>
      <c r="D24" s="59">
        <v>5445</v>
      </c>
      <c r="E24" s="59">
        <v>6729</v>
      </c>
      <c r="F24" s="60">
        <v>8044</v>
      </c>
      <c r="G24" s="61">
        <v>52.299012693935119</v>
      </c>
      <c r="H24" s="61">
        <f t="shared" si="0"/>
        <v>-14.002593072791258</v>
      </c>
      <c r="I24" s="62">
        <f t="shared" si="0"/>
        <v>17.273314667241007</v>
      </c>
      <c r="J24" s="62">
        <f t="shared" si="0"/>
        <v>23.581267217630856</v>
      </c>
      <c r="K24" s="63">
        <f t="shared" si="0"/>
        <v>19.542279684945758</v>
      </c>
    </row>
    <row r="25" spans="1:15" ht="12.75" customHeight="1">
      <c r="A25" s="57" t="s">
        <v>74</v>
      </c>
      <c r="B25" s="58">
        <v>2747</v>
      </c>
      <c r="C25" s="58">
        <v>3036</v>
      </c>
      <c r="D25" s="59">
        <v>4040</v>
      </c>
      <c r="E25" s="59">
        <v>5005</v>
      </c>
      <c r="F25" s="60">
        <v>7263</v>
      </c>
      <c r="G25" s="61">
        <v>41.597938144329902</v>
      </c>
      <c r="H25" s="61">
        <f t="shared" si="0"/>
        <v>10.520567892246087</v>
      </c>
      <c r="I25" s="62">
        <f t="shared" si="0"/>
        <v>33.06982872200264</v>
      </c>
      <c r="J25" s="62">
        <f t="shared" si="0"/>
        <v>23.886138613861384</v>
      </c>
      <c r="K25" s="63">
        <f t="shared" si="0"/>
        <v>45.114885114885119</v>
      </c>
    </row>
    <row r="26" spans="1:15" ht="12.75" customHeight="1">
      <c r="A26" s="57" t="s">
        <v>61</v>
      </c>
      <c r="B26" s="58">
        <v>3952</v>
      </c>
      <c r="C26" s="58">
        <v>3813</v>
      </c>
      <c r="D26" s="59">
        <v>5397</v>
      </c>
      <c r="E26" s="59">
        <v>6214</v>
      </c>
      <c r="F26" s="60">
        <v>6896</v>
      </c>
      <c r="G26" s="61">
        <v>7.8897078897078892</v>
      </c>
      <c r="H26" s="61">
        <f t="shared" si="0"/>
        <v>-3.5172064777327936</v>
      </c>
      <c r="I26" s="62">
        <f t="shared" si="0"/>
        <v>41.542092840283239</v>
      </c>
      <c r="J26" s="62">
        <f t="shared" si="0"/>
        <v>15.138039651658328</v>
      </c>
      <c r="K26" s="63">
        <f t="shared" si="0"/>
        <v>10.975217251367878</v>
      </c>
    </row>
    <row r="27" spans="1:15" ht="12.75" customHeight="1">
      <c r="A27" s="57" t="s">
        <v>55</v>
      </c>
      <c r="B27" s="58">
        <v>3137</v>
      </c>
      <c r="C27" s="58">
        <v>3139</v>
      </c>
      <c r="D27" s="59">
        <v>3894</v>
      </c>
      <c r="E27" s="59">
        <v>6055</v>
      </c>
      <c r="F27" s="60">
        <v>6766</v>
      </c>
      <c r="G27" s="61">
        <v>4.6015338446148721</v>
      </c>
      <c r="H27" s="61">
        <f t="shared" si="0"/>
        <v>6.3755180108383797E-2</v>
      </c>
      <c r="I27" s="62">
        <f t="shared" si="0"/>
        <v>24.052245938196879</v>
      </c>
      <c r="J27" s="62">
        <f t="shared" si="0"/>
        <v>55.495634309193633</v>
      </c>
      <c r="K27" s="63">
        <f t="shared" si="0"/>
        <v>11.742361684558217</v>
      </c>
    </row>
    <row r="28" spans="1:15" ht="12.75" customHeight="1">
      <c r="A28" s="57" t="s">
        <v>35</v>
      </c>
      <c r="B28" s="58">
        <v>5595</v>
      </c>
      <c r="C28" s="58">
        <v>5355</v>
      </c>
      <c r="D28" s="59">
        <v>5682</v>
      </c>
      <c r="E28" s="59">
        <v>5693</v>
      </c>
      <c r="F28" s="60">
        <v>6077</v>
      </c>
      <c r="G28" s="61">
        <v>-13.644080876678499</v>
      </c>
      <c r="H28" s="61">
        <f t="shared" si="0"/>
        <v>-4.2895442359249332</v>
      </c>
      <c r="I28" s="62">
        <f t="shared" si="0"/>
        <v>6.1064425770308119</v>
      </c>
      <c r="J28" s="62">
        <f t="shared" si="0"/>
        <v>0.19359380499824005</v>
      </c>
      <c r="K28" s="63">
        <f t="shared" si="0"/>
        <v>6.745125592833304</v>
      </c>
    </row>
    <row r="29" spans="1:15" ht="12.75" customHeight="1">
      <c r="A29" s="57" t="s">
        <v>76</v>
      </c>
      <c r="B29" s="58">
        <v>2585</v>
      </c>
      <c r="C29" s="58">
        <v>2744</v>
      </c>
      <c r="D29" s="59">
        <v>3336</v>
      </c>
      <c r="E29" s="59">
        <v>4130</v>
      </c>
      <c r="F29" s="60">
        <v>5880</v>
      </c>
      <c r="G29" s="61">
        <v>26.777832270720943</v>
      </c>
      <c r="H29" s="61">
        <f t="shared" si="0"/>
        <v>6.1508704061895552</v>
      </c>
      <c r="I29" s="62">
        <f t="shared" si="0"/>
        <v>21.574344023323615</v>
      </c>
      <c r="J29" s="62">
        <f t="shared" si="0"/>
        <v>23.800959232613909</v>
      </c>
      <c r="K29" s="63">
        <f t="shared" si="0"/>
        <v>42.372881355932201</v>
      </c>
    </row>
    <row r="30" spans="1:15" ht="12.75" customHeight="1">
      <c r="A30" s="57" t="s">
        <v>25</v>
      </c>
      <c r="B30" s="58">
        <v>3811</v>
      </c>
      <c r="C30" s="58">
        <v>3851</v>
      </c>
      <c r="D30" s="59">
        <v>5137</v>
      </c>
      <c r="E30" s="59">
        <v>6471</v>
      </c>
      <c r="F30" s="60">
        <v>5588</v>
      </c>
      <c r="G30" s="61">
        <v>37.780187997107738</v>
      </c>
      <c r="H30" s="61">
        <f t="shared" si="0"/>
        <v>1.0495932826029915</v>
      </c>
      <c r="I30" s="62">
        <f t="shared" si="0"/>
        <v>33.393923656193195</v>
      </c>
      <c r="J30" s="62">
        <f t="shared" si="0"/>
        <v>25.968464084095778</v>
      </c>
      <c r="K30" s="63">
        <f t="shared" si="0"/>
        <v>-13.645495286663575</v>
      </c>
    </row>
    <row r="31" spans="1:15" ht="12.75" customHeight="1">
      <c r="A31" s="57" t="s">
        <v>45</v>
      </c>
      <c r="B31" s="58">
        <v>3235</v>
      </c>
      <c r="C31" s="58">
        <v>2758</v>
      </c>
      <c r="D31" s="59">
        <v>4637</v>
      </c>
      <c r="E31" s="59">
        <v>4542</v>
      </c>
      <c r="F31" s="60">
        <v>5416</v>
      </c>
      <c r="G31" s="61">
        <v>32.473382473382472</v>
      </c>
      <c r="H31" s="61">
        <f t="shared" si="0"/>
        <v>-14.744976816074187</v>
      </c>
      <c r="I31" s="62">
        <f t="shared" si="0"/>
        <v>68.129079042784625</v>
      </c>
      <c r="J31" s="62">
        <f t="shared" si="0"/>
        <v>-2.0487384084537417</v>
      </c>
      <c r="K31" s="63">
        <f t="shared" si="0"/>
        <v>19.242624394539849</v>
      </c>
    </row>
    <row r="32" spans="1:15" ht="12.75" customHeight="1">
      <c r="A32" s="57" t="s">
        <v>43</v>
      </c>
      <c r="B32" s="58">
        <v>3542</v>
      </c>
      <c r="C32" s="58">
        <v>3165</v>
      </c>
      <c r="D32" s="59">
        <v>3638</v>
      </c>
      <c r="E32" s="59">
        <v>4896</v>
      </c>
      <c r="F32" s="60">
        <v>5230</v>
      </c>
      <c r="G32" s="61">
        <v>64.820846905537451</v>
      </c>
      <c r="H32" s="61">
        <f t="shared" si="0"/>
        <v>-10.643704121964992</v>
      </c>
      <c r="I32" s="62">
        <f t="shared" si="0"/>
        <v>14.944707740916272</v>
      </c>
      <c r="J32" s="62">
        <f t="shared" si="0"/>
        <v>34.579439252336449</v>
      </c>
      <c r="K32" s="63">
        <f t="shared" si="0"/>
        <v>6.8218954248366011</v>
      </c>
    </row>
    <row r="33" spans="1:14" ht="12.75" customHeight="1">
      <c r="A33" s="57" t="s">
        <v>66</v>
      </c>
      <c r="B33" s="58">
        <v>2966</v>
      </c>
      <c r="C33" s="58">
        <v>3043</v>
      </c>
      <c r="D33" s="59">
        <v>3815</v>
      </c>
      <c r="E33" s="59">
        <v>4690</v>
      </c>
      <c r="F33" s="60">
        <v>5070</v>
      </c>
      <c r="G33" s="61">
        <v>4.0336723956506493</v>
      </c>
      <c r="H33" s="61">
        <f t="shared" si="0"/>
        <v>2.5960890087660147</v>
      </c>
      <c r="I33" s="62">
        <f t="shared" si="0"/>
        <v>25.369700953006902</v>
      </c>
      <c r="J33" s="62">
        <f t="shared" si="0"/>
        <v>22.935779816513762</v>
      </c>
      <c r="K33" s="63">
        <f t="shared" si="0"/>
        <v>8.1023454157782524</v>
      </c>
    </row>
    <row r="34" spans="1:14" ht="12.75" customHeight="1">
      <c r="A34" s="57" t="s">
        <v>60</v>
      </c>
      <c r="B34" s="58">
        <v>2233</v>
      </c>
      <c r="C34" s="58">
        <v>1975</v>
      </c>
      <c r="D34" s="59">
        <v>3831</v>
      </c>
      <c r="E34" s="59">
        <v>5305</v>
      </c>
      <c r="F34" s="60">
        <v>4430</v>
      </c>
      <c r="G34" s="61">
        <v>10.654112983151636</v>
      </c>
      <c r="H34" s="61">
        <f t="shared" si="0"/>
        <v>-11.553963278101209</v>
      </c>
      <c r="I34" s="62">
        <f t="shared" si="0"/>
        <v>93.974683544303801</v>
      </c>
      <c r="J34" s="62">
        <f t="shared" si="0"/>
        <v>38.475593839728525</v>
      </c>
      <c r="K34" s="63">
        <f t="shared" si="0"/>
        <v>-16.493873704052781</v>
      </c>
    </row>
    <row r="35" spans="1:14" ht="12.75" customHeight="1">
      <c r="A35" s="57" t="s">
        <v>75</v>
      </c>
      <c r="B35" s="58">
        <v>1394</v>
      </c>
      <c r="C35" s="58">
        <v>1580</v>
      </c>
      <c r="D35" s="59">
        <v>1699</v>
      </c>
      <c r="E35" s="59">
        <v>2292</v>
      </c>
      <c r="F35" s="60">
        <v>4047</v>
      </c>
      <c r="G35" s="61">
        <v>72.738537794299873</v>
      </c>
      <c r="H35" s="61">
        <f t="shared" si="0"/>
        <v>13.342898134863701</v>
      </c>
      <c r="I35" s="62">
        <f t="shared" si="0"/>
        <v>7.5316455696202533</v>
      </c>
      <c r="J35" s="62">
        <f t="shared" si="0"/>
        <v>34.90288404944085</v>
      </c>
      <c r="K35" s="63">
        <f t="shared" si="0"/>
        <v>76.570680628272243</v>
      </c>
    </row>
    <row r="36" spans="1:14" ht="12.75" customHeight="1">
      <c r="A36" s="57" t="s">
        <v>63</v>
      </c>
      <c r="B36" s="58">
        <v>3732</v>
      </c>
      <c r="C36" s="58">
        <v>2975</v>
      </c>
      <c r="D36" s="59">
        <v>3157</v>
      </c>
      <c r="E36" s="59">
        <v>3684</v>
      </c>
      <c r="F36" s="60">
        <v>3967</v>
      </c>
      <c r="G36" s="61">
        <v>13.331308836926814</v>
      </c>
      <c r="H36" s="61">
        <f t="shared" si="0"/>
        <v>-20.284030010718112</v>
      </c>
      <c r="I36" s="62">
        <f t="shared" si="0"/>
        <v>6.1176470588235299</v>
      </c>
      <c r="J36" s="62">
        <f t="shared" si="0"/>
        <v>16.69306303452645</v>
      </c>
      <c r="K36" s="63">
        <f t="shared" si="0"/>
        <v>7.681867535287731</v>
      </c>
    </row>
    <row r="37" spans="1:14" ht="12.75" customHeight="1">
      <c r="A37" s="57" t="s">
        <v>37</v>
      </c>
      <c r="B37" s="58">
        <v>3325</v>
      </c>
      <c r="C37" s="58">
        <v>3357</v>
      </c>
      <c r="D37" s="59">
        <v>3795</v>
      </c>
      <c r="E37" s="59">
        <v>4158</v>
      </c>
      <c r="F37" s="60">
        <v>3918</v>
      </c>
      <c r="G37" s="61">
        <v>25.047010154193305</v>
      </c>
      <c r="H37" s="61">
        <f t="shared" si="0"/>
        <v>0.96240601503759393</v>
      </c>
      <c r="I37" s="62">
        <f t="shared" si="0"/>
        <v>13.047363717605004</v>
      </c>
      <c r="J37" s="62">
        <f t="shared" si="0"/>
        <v>9.5652173913043477</v>
      </c>
      <c r="K37" s="63">
        <f t="shared" si="0"/>
        <v>-5.7720057720057723</v>
      </c>
    </row>
    <row r="38" spans="1:14" ht="12.75" customHeight="1">
      <c r="A38" s="57" t="s">
        <v>38</v>
      </c>
      <c r="B38" s="58">
        <v>4150</v>
      </c>
      <c r="C38" s="58">
        <v>4822</v>
      </c>
      <c r="D38" s="59">
        <v>4555</v>
      </c>
      <c r="E38" s="59">
        <v>4434</v>
      </c>
      <c r="F38" s="60">
        <v>3660</v>
      </c>
      <c r="G38" s="61">
        <v>-0.90735434574976126</v>
      </c>
      <c r="H38" s="61">
        <f t="shared" si="0"/>
        <v>16.192771084337348</v>
      </c>
      <c r="I38" s="62">
        <f t="shared" si="0"/>
        <v>-5.5371215263376188</v>
      </c>
      <c r="J38" s="62">
        <f t="shared" si="0"/>
        <v>-2.6564215148188803</v>
      </c>
      <c r="K38" s="63">
        <f t="shared" si="0"/>
        <v>-17.456021650879567</v>
      </c>
    </row>
    <row r="39" spans="1:14" ht="12.75" customHeight="1">
      <c r="A39" s="57" t="s">
        <v>26</v>
      </c>
      <c r="B39" s="58">
        <v>1834</v>
      </c>
      <c r="C39" s="58">
        <v>1722</v>
      </c>
      <c r="D39" s="59">
        <v>2422</v>
      </c>
      <c r="E39" s="59">
        <v>3173</v>
      </c>
      <c r="F39" s="60">
        <v>3493</v>
      </c>
      <c r="G39" s="61">
        <v>0.82462891698735563</v>
      </c>
      <c r="H39" s="61">
        <f t="shared" ref="H39:K60" si="1">(C39-B39)/B39*100</f>
        <v>-6.1068702290076331</v>
      </c>
      <c r="I39" s="62">
        <f t="shared" si="1"/>
        <v>40.650406504065039</v>
      </c>
      <c r="J39" s="62">
        <f t="shared" si="1"/>
        <v>31.007431874483899</v>
      </c>
      <c r="K39" s="63">
        <f t="shared" si="1"/>
        <v>10.085092971950834</v>
      </c>
    </row>
    <row r="40" spans="1:14" ht="12.75" customHeight="1">
      <c r="A40" s="57" t="s">
        <v>64</v>
      </c>
      <c r="B40" s="58">
        <v>1962</v>
      </c>
      <c r="C40" s="58">
        <v>2059</v>
      </c>
      <c r="D40" s="59">
        <v>2471</v>
      </c>
      <c r="E40" s="59">
        <v>2781</v>
      </c>
      <c r="F40" s="60">
        <v>3128</v>
      </c>
      <c r="G40" s="61">
        <v>26.336123631680618</v>
      </c>
      <c r="H40" s="61">
        <f t="shared" si="1"/>
        <v>4.9439347604485224</v>
      </c>
      <c r="I40" s="62">
        <f t="shared" si="1"/>
        <v>20.009713453132587</v>
      </c>
      <c r="J40" s="62">
        <f t="shared" si="1"/>
        <v>12.545528126264671</v>
      </c>
      <c r="K40" s="63">
        <f t="shared" si="1"/>
        <v>12.47752606975908</v>
      </c>
    </row>
    <row r="41" spans="1:14" ht="12.75" customHeight="1">
      <c r="A41" s="57" t="s">
        <v>65</v>
      </c>
      <c r="B41" s="58">
        <v>1327</v>
      </c>
      <c r="C41" s="58">
        <v>1304</v>
      </c>
      <c r="D41" s="59">
        <v>1761</v>
      </c>
      <c r="E41" s="59">
        <v>2342</v>
      </c>
      <c r="F41" s="60">
        <v>3061</v>
      </c>
      <c r="G41" s="61">
        <v>87.429378531073439</v>
      </c>
      <c r="H41" s="61">
        <f t="shared" si="1"/>
        <v>-1.7332328560663148</v>
      </c>
      <c r="I41" s="62">
        <f t="shared" si="1"/>
        <v>35.04601226993865</v>
      </c>
      <c r="J41" s="62">
        <f t="shared" si="1"/>
        <v>32.992617830777967</v>
      </c>
      <c r="K41" s="63">
        <f t="shared" si="1"/>
        <v>30.700256191289498</v>
      </c>
    </row>
    <row r="42" spans="1:14" ht="12.75" customHeight="1">
      <c r="A42" s="57" t="s">
        <v>72</v>
      </c>
      <c r="B42" s="58">
        <v>1340</v>
      </c>
      <c r="C42" s="58">
        <v>1181</v>
      </c>
      <c r="D42" s="59">
        <v>1409</v>
      </c>
      <c r="E42" s="59">
        <v>1797</v>
      </c>
      <c r="F42" s="60">
        <v>2987</v>
      </c>
      <c r="G42" s="61">
        <v>33.466135458167329</v>
      </c>
      <c r="H42" s="61">
        <f t="shared" si="1"/>
        <v>-11.865671641791046</v>
      </c>
      <c r="I42" s="62">
        <f t="shared" si="1"/>
        <v>19.30567315834039</v>
      </c>
      <c r="J42" s="62">
        <f t="shared" si="1"/>
        <v>27.537260468417319</v>
      </c>
      <c r="K42" s="63">
        <f t="shared" si="1"/>
        <v>66.221480244852543</v>
      </c>
    </row>
    <row r="43" spans="1:14" ht="12.75" customHeight="1">
      <c r="A43" s="57" t="s">
        <v>36</v>
      </c>
      <c r="B43" s="58">
        <v>2596</v>
      </c>
      <c r="C43" s="58">
        <v>2120</v>
      </c>
      <c r="D43" s="59">
        <v>2153</v>
      </c>
      <c r="E43" s="59">
        <v>2775</v>
      </c>
      <c r="F43" s="60">
        <v>2902</v>
      </c>
      <c r="G43" s="61">
        <v>43.584070796460175</v>
      </c>
      <c r="H43" s="61">
        <f t="shared" si="1"/>
        <v>-18.335901386748844</v>
      </c>
      <c r="I43" s="62">
        <f t="shared" si="1"/>
        <v>1.5566037735849056</v>
      </c>
      <c r="J43" s="62">
        <f t="shared" si="1"/>
        <v>28.889921040408733</v>
      </c>
      <c r="K43" s="63">
        <f t="shared" si="1"/>
        <v>4.576576576576576</v>
      </c>
    </row>
    <row r="44" spans="1:14" ht="12.75" customHeight="1">
      <c r="A44" s="57" t="s">
        <v>40</v>
      </c>
      <c r="B44" s="58">
        <v>1916</v>
      </c>
      <c r="C44" s="58">
        <v>1970</v>
      </c>
      <c r="D44" s="59">
        <v>2348</v>
      </c>
      <c r="E44" s="59">
        <v>2822</v>
      </c>
      <c r="F44" s="60">
        <v>2636</v>
      </c>
      <c r="G44" s="61">
        <v>30.428863172226006</v>
      </c>
      <c r="H44" s="61">
        <f t="shared" si="1"/>
        <v>2.8183716075156577</v>
      </c>
      <c r="I44" s="62">
        <f t="shared" si="1"/>
        <v>19.18781725888325</v>
      </c>
      <c r="J44" s="62">
        <f t="shared" si="1"/>
        <v>20.187393526405451</v>
      </c>
      <c r="K44" s="63">
        <f t="shared" si="1"/>
        <v>-6.5910701630049608</v>
      </c>
    </row>
    <row r="45" spans="1:14" ht="12.75" customHeight="1">
      <c r="A45" s="57" t="s">
        <v>68</v>
      </c>
      <c r="B45" s="58">
        <v>1334</v>
      </c>
      <c r="C45" s="58">
        <v>1374</v>
      </c>
      <c r="D45" s="59">
        <v>1543</v>
      </c>
      <c r="E45" s="59">
        <v>2132</v>
      </c>
      <c r="F45" s="60">
        <v>2594</v>
      </c>
      <c r="G45" s="61">
        <v>3.3307513555383426</v>
      </c>
      <c r="H45" s="61">
        <f t="shared" si="1"/>
        <v>2.9985007496251872</v>
      </c>
      <c r="I45" s="62">
        <f t="shared" si="1"/>
        <v>12.299854439592432</v>
      </c>
      <c r="J45" s="62">
        <f t="shared" si="1"/>
        <v>38.172391445236556</v>
      </c>
      <c r="K45" s="63">
        <f t="shared" si="1"/>
        <v>21.669793621013135</v>
      </c>
      <c r="N45" s="46" t="s">
        <v>126</v>
      </c>
    </row>
    <row r="46" spans="1:14" ht="12" customHeight="1">
      <c r="A46" s="57" t="s">
        <v>33</v>
      </c>
      <c r="B46" s="58">
        <v>1588</v>
      </c>
      <c r="C46" s="58">
        <v>1380</v>
      </c>
      <c r="D46" s="59">
        <v>2113</v>
      </c>
      <c r="E46" s="59">
        <v>2433</v>
      </c>
      <c r="F46" s="60">
        <v>2569</v>
      </c>
      <c r="G46" s="61">
        <v>21.406727828746178</v>
      </c>
      <c r="H46" s="61">
        <f t="shared" si="1"/>
        <v>-13.09823677581864</v>
      </c>
      <c r="I46" s="62">
        <f t="shared" si="1"/>
        <v>53.115942028985508</v>
      </c>
      <c r="J46" s="62">
        <f t="shared" si="1"/>
        <v>15.144344533838144</v>
      </c>
      <c r="K46" s="63">
        <f t="shared" si="1"/>
        <v>5.589806822852446</v>
      </c>
    </row>
    <row r="47" spans="1:14" ht="12.75" customHeight="1">
      <c r="A47" s="57" t="s">
        <v>32</v>
      </c>
      <c r="B47" s="58">
        <v>2884</v>
      </c>
      <c r="C47" s="58">
        <v>2420</v>
      </c>
      <c r="D47" s="59">
        <v>2514</v>
      </c>
      <c r="E47" s="59">
        <v>2444</v>
      </c>
      <c r="F47" s="60">
        <v>2483</v>
      </c>
      <c r="G47" s="61">
        <v>-8.3862770012706473</v>
      </c>
      <c r="H47" s="61">
        <f t="shared" si="1"/>
        <v>-16.08876560332871</v>
      </c>
      <c r="I47" s="62">
        <f t="shared" si="1"/>
        <v>3.884297520661157</v>
      </c>
      <c r="J47" s="62">
        <f t="shared" si="1"/>
        <v>-2.7844073190135243</v>
      </c>
      <c r="K47" s="63">
        <f t="shared" si="1"/>
        <v>1.5957446808510638</v>
      </c>
    </row>
    <row r="48" spans="1:14" ht="12.75" customHeight="1">
      <c r="A48" s="57" t="s">
        <v>31</v>
      </c>
      <c r="B48" s="58">
        <v>2052</v>
      </c>
      <c r="C48" s="58">
        <v>1848</v>
      </c>
      <c r="D48" s="59">
        <v>2434</v>
      </c>
      <c r="E48" s="59">
        <v>2596</v>
      </c>
      <c r="F48" s="60">
        <v>2408</v>
      </c>
      <c r="G48" s="61">
        <v>-20.093457943925234</v>
      </c>
      <c r="H48" s="61">
        <f t="shared" si="1"/>
        <v>-9.9415204678362574</v>
      </c>
      <c r="I48" s="62">
        <f t="shared" si="1"/>
        <v>31.70995670995671</v>
      </c>
      <c r="J48" s="62">
        <f t="shared" si="1"/>
        <v>6.6557107641741986</v>
      </c>
      <c r="K48" s="63">
        <f t="shared" si="1"/>
        <v>-7.2419106317411401</v>
      </c>
    </row>
    <row r="49" spans="1:11" ht="12.75" customHeight="1">
      <c r="A49" s="57" t="s">
        <v>62</v>
      </c>
      <c r="B49" s="58">
        <v>1065</v>
      </c>
      <c r="C49" s="58">
        <v>1182</v>
      </c>
      <c r="D49" s="59">
        <v>1575</v>
      </c>
      <c r="E49" s="59">
        <v>2485</v>
      </c>
      <c r="F49" s="60">
        <v>2345</v>
      </c>
      <c r="G49" s="61">
        <v>-45.412608918503331</v>
      </c>
      <c r="H49" s="61">
        <f t="shared" si="1"/>
        <v>10.985915492957748</v>
      </c>
      <c r="I49" s="62">
        <f t="shared" si="1"/>
        <v>33.248730964467008</v>
      </c>
      <c r="J49" s="62">
        <f t="shared" si="1"/>
        <v>57.777777777777771</v>
      </c>
      <c r="K49" s="63">
        <f t="shared" si="1"/>
        <v>-5.6338028169014089</v>
      </c>
    </row>
    <row r="50" spans="1:11" ht="12.75" customHeight="1">
      <c r="A50" s="57" t="s">
        <v>57</v>
      </c>
      <c r="B50" s="58">
        <v>871</v>
      </c>
      <c r="C50" s="58">
        <v>979</v>
      </c>
      <c r="D50" s="59">
        <v>1066</v>
      </c>
      <c r="E50" s="59">
        <v>1652</v>
      </c>
      <c r="F50" s="60">
        <v>2265</v>
      </c>
      <c r="G50" s="61">
        <v>-11.303462321792262</v>
      </c>
      <c r="H50" s="61">
        <f t="shared" si="1"/>
        <v>12.399540757749714</v>
      </c>
      <c r="I50" s="62">
        <f t="shared" si="1"/>
        <v>8.88661899897855</v>
      </c>
      <c r="J50" s="62">
        <f t="shared" si="1"/>
        <v>54.971857410881796</v>
      </c>
      <c r="K50" s="63">
        <f t="shared" si="1"/>
        <v>37.106537530266344</v>
      </c>
    </row>
    <row r="51" spans="1:11" ht="12.75" customHeight="1">
      <c r="A51" s="57" t="s">
        <v>30</v>
      </c>
      <c r="B51" s="58">
        <v>4926</v>
      </c>
      <c r="C51" s="58">
        <v>5406</v>
      </c>
      <c r="D51" s="59">
        <v>4630</v>
      </c>
      <c r="E51" s="59">
        <v>3009</v>
      </c>
      <c r="F51" s="60">
        <v>2058</v>
      </c>
      <c r="G51" s="61">
        <v>1.5670103092783505</v>
      </c>
      <c r="H51" s="61">
        <f t="shared" si="1"/>
        <v>9.7442143727161987</v>
      </c>
      <c r="I51" s="62">
        <f t="shared" si="1"/>
        <v>-14.354421013688496</v>
      </c>
      <c r="J51" s="62">
        <f t="shared" si="1"/>
        <v>-35.010799136069117</v>
      </c>
      <c r="K51" s="63">
        <f t="shared" si="1"/>
        <v>-31.605184446660019</v>
      </c>
    </row>
    <row r="52" spans="1:11" ht="12.75" customHeight="1">
      <c r="A52" s="57" t="s">
        <v>56</v>
      </c>
      <c r="B52" s="58">
        <v>1191</v>
      </c>
      <c r="C52" s="58">
        <v>1046</v>
      </c>
      <c r="D52" s="59">
        <v>1256</v>
      </c>
      <c r="E52" s="59">
        <v>1842</v>
      </c>
      <c r="F52" s="60">
        <v>1857</v>
      </c>
      <c r="G52" s="61">
        <v>17.5715695952616</v>
      </c>
      <c r="H52" s="61">
        <f t="shared" si="1"/>
        <v>-12.174643157010916</v>
      </c>
      <c r="I52" s="62">
        <f t="shared" si="1"/>
        <v>20.076481835564053</v>
      </c>
      <c r="J52" s="62">
        <f t="shared" si="1"/>
        <v>46.656050955414017</v>
      </c>
      <c r="K52" s="63">
        <f t="shared" si="1"/>
        <v>0.81433224755700329</v>
      </c>
    </row>
    <row r="53" spans="1:11" ht="12.75" customHeight="1">
      <c r="A53" s="57" t="s">
        <v>52</v>
      </c>
      <c r="B53" s="58">
        <v>581</v>
      </c>
      <c r="C53" s="58">
        <v>677</v>
      </c>
      <c r="D53" s="59">
        <v>818</v>
      </c>
      <c r="E53" s="59">
        <v>1283</v>
      </c>
      <c r="F53" s="60">
        <v>1772</v>
      </c>
      <c r="G53" s="61">
        <v>-38.388123011664902</v>
      </c>
      <c r="H53" s="61">
        <f t="shared" si="1"/>
        <v>16.523235800344235</v>
      </c>
      <c r="I53" s="62">
        <f t="shared" si="1"/>
        <v>20.827178729689809</v>
      </c>
      <c r="J53" s="62">
        <f t="shared" si="1"/>
        <v>56.845965770171148</v>
      </c>
      <c r="K53" s="63">
        <f t="shared" si="1"/>
        <v>38.113795791114576</v>
      </c>
    </row>
    <row r="54" spans="1:11" ht="12.75" customHeight="1">
      <c r="A54" s="57" t="s">
        <v>73</v>
      </c>
      <c r="B54" s="58">
        <v>1139</v>
      </c>
      <c r="C54" s="58">
        <v>984</v>
      </c>
      <c r="D54" s="59">
        <v>1145</v>
      </c>
      <c r="E54" s="59">
        <v>1346</v>
      </c>
      <c r="F54" s="60">
        <v>1666</v>
      </c>
      <c r="G54" s="61">
        <v>72.575757575757578</v>
      </c>
      <c r="H54" s="61">
        <f t="shared" si="1"/>
        <v>-13.608428446005268</v>
      </c>
      <c r="I54" s="62">
        <f t="shared" si="1"/>
        <v>16.361788617886177</v>
      </c>
      <c r="J54" s="62">
        <f t="shared" si="1"/>
        <v>17.554585152838428</v>
      </c>
      <c r="K54" s="63">
        <f t="shared" si="1"/>
        <v>23.774145616641899</v>
      </c>
    </row>
    <row r="55" spans="1:11" ht="12.75" customHeight="1">
      <c r="A55" s="57" t="s">
        <v>70</v>
      </c>
      <c r="B55" s="58">
        <v>1184</v>
      </c>
      <c r="C55" s="58">
        <v>991</v>
      </c>
      <c r="D55" s="59">
        <v>1103</v>
      </c>
      <c r="E55" s="59">
        <v>1390</v>
      </c>
      <c r="F55" s="60">
        <v>1579</v>
      </c>
      <c r="G55" s="61">
        <v>3.6777583187390541</v>
      </c>
      <c r="H55" s="61">
        <f t="shared" si="1"/>
        <v>-16.300675675675674</v>
      </c>
      <c r="I55" s="62">
        <f t="shared" si="1"/>
        <v>11.301715438950556</v>
      </c>
      <c r="J55" s="62">
        <f t="shared" si="1"/>
        <v>26.019945602901178</v>
      </c>
      <c r="K55" s="63">
        <f t="shared" si="1"/>
        <v>13.597122302158274</v>
      </c>
    </row>
    <row r="56" spans="1:11" ht="12.75" customHeight="1">
      <c r="A56" s="57" t="s">
        <v>24</v>
      </c>
      <c r="B56" s="58">
        <v>3368</v>
      </c>
      <c r="C56" s="58">
        <v>3437</v>
      </c>
      <c r="D56" s="59">
        <v>4386</v>
      </c>
      <c r="E56" s="59">
        <v>5738</v>
      </c>
      <c r="F56" s="60">
        <v>1509</v>
      </c>
      <c r="G56" s="61">
        <v>-5.1801801801801801</v>
      </c>
      <c r="H56" s="61">
        <f t="shared" si="1"/>
        <v>2.0486935866983371</v>
      </c>
      <c r="I56" s="62">
        <f t="shared" si="1"/>
        <v>27.611288914751235</v>
      </c>
      <c r="J56" s="62">
        <f t="shared" si="1"/>
        <v>30.825353397172822</v>
      </c>
      <c r="K56" s="63">
        <f t="shared" si="1"/>
        <v>-73.701638201463922</v>
      </c>
    </row>
    <row r="57" spans="1:11" ht="12.75" customHeight="1">
      <c r="A57" s="57" t="s">
        <v>27</v>
      </c>
      <c r="B57" s="58">
        <v>865</v>
      </c>
      <c r="C57" s="58">
        <v>1088</v>
      </c>
      <c r="D57" s="59">
        <v>1281</v>
      </c>
      <c r="E57" s="59">
        <v>1535</v>
      </c>
      <c r="F57" s="60">
        <v>1402</v>
      </c>
      <c r="G57" s="61">
        <v>9.6324461343472745</v>
      </c>
      <c r="H57" s="61">
        <f t="shared" si="1"/>
        <v>25.780346820809246</v>
      </c>
      <c r="I57" s="62">
        <f t="shared" si="1"/>
        <v>17.738970588235293</v>
      </c>
      <c r="J57" s="62">
        <f t="shared" si="1"/>
        <v>19.828259172521467</v>
      </c>
      <c r="K57" s="63">
        <f t="shared" si="1"/>
        <v>-8.664495114006515</v>
      </c>
    </row>
    <row r="58" spans="1:11" ht="12.75" customHeight="1">
      <c r="A58" s="57" t="s">
        <v>41</v>
      </c>
      <c r="B58" s="58">
        <v>1372</v>
      </c>
      <c r="C58" s="58">
        <v>1324</v>
      </c>
      <c r="D58" s="59">
        <v>1647</v>
      </c>
      <c r="E58" s="59">
        <v>1609</v>
      </c>
      <c r="F58" s="60">
        <v>1295</v>
      </c>
      <c r="G58" s="61">
        <v>13.953488372093023</v>
      </c>
      <c r="H58" s="61">
        <f t="shared" si="1"/>
        <v>-3.4985422740524781</v>
      </c>
      <c r="I58" s="62">
        <f t="shared" si="1"/>
        <v>24.395770392749245</v>
      </c>
      <c r="J58" s="62">
        <f t="shared" si="1"/>
        <v>-2.3072252580449302</v>
      </c>
      <c r="K58" s="63">
        <f t="shared" si="1"/>
        <v>-19.515226848974518</v>
      </c>
    </row>
    <row r="59" spans="1:11" ht="12.75" customHeight="1">
      <c r="A59" s="57" t="s">
        <v>49</v>
      </c>
      <c r="B59" s="58">
        <v>455</v>
      </c>
      <c r="C59" s="58">
        <v>388</v>
      </c>
      <c r="D59" s="59">
        <v>525</v>
      </c>
      <c r="E59" s="59">
        <v>1496</v>
      </c>
      <c r="F59" s="60">
        <v>1221</v>
      </c>
      <c r="G59" s="61">
        <v>-64.563862928348911</v>
      </c>
      <c r="H59" s="61">
        <f t="shared" si="1"/>
        <v>-14.725274725274726</v>
      </c>
      <c r="I59" s="62">
        <f t="shared" si="1"/>
        <v>35.309278350515463</v>
      </c>
      <c r="J59" s="62">
        <f t="shared" si="1"/>
        <v>184.95238095238096</v>
      </c>
      <c r="K59" s="63">
        <f t="shared" si="1"/>
        <v>-18.382352941176471</v>
      </c>
    </row>
    <row r="60" spans="1:11" ht="12.75" customHeight="1">
      <c r="A60" s="64" t="s">
        <v>71</v>
      </c>
      <c r="B60" s="65">
        <v>22</v>
      </c>
      <c r="C60" s="65">
        <v>21</v>
      </c>
      <c r="D60" s="66">
        <v>31</v>
      </c>
      <c r="E60" s="66">
        <v>27</v>
      </c>
      <c r="F60" s="67">
        <v>39</v>
      </c>
      <c r="G60" s="68">
        <v>-80.530973451327441</v>
      </c>
      <c r="H60" s="68">
        <f t="shared" si="1"/>
        <v>-4.5454545454545459</v>
      </c>
      <c r="I60" s="69">
        <f t="shared" si="1"/>
        <v>47.619047619047613</v>
      </c>
      <c r="J60" s="69">
        <f t="shared" si="1"/>
        <v>-12.903225806451612</v>
      </c>
      <c r="K60" s="70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71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71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AJ39"/>
  <sheetViews>
    <sheetView tabSelected="1" zoomScale="89" zoomScaleNormal="89" zoomScaleSheetLayoutView="75" workbookViewId="0">
      <selection activeCell="E3" sqref="E3"/>
    </sheetView>
  </sheetViews>
  <sheetFormatPr defaultColWidth="9.109375" defaultRowHeight="13.2"/>
  <cols>
    <col min="1" max="1" width="24.44140625" style="9" customWidth="1"/>
    <col min="2" max="3" width="10.6640625" style="9" customWidth="1"/>
    <col min="4" max="4" width="10.33203125" style="9" customWidth="1"/>
    <col min="5" max="5" width="10.5546875" style="9" customWidth="1"/>
    <col min="6" max="6" width="10.33203125" style="9" customWidth="1"/>
    <col min="7" max="7" width="9.5546875" style="9" customWidth="1"/>
    <col min="8" max="8" width="9.109375" style="9" customWidth="1"/>
    <col min="9" max="9" width="9.33203125" style="9" customWidth="1"/>
    <col min="10" max="10" width="8.6640625" style="9" customWidth="1"/>
    <col min="11" max="11" width="9.44140625" style="9" customWidth="1"/>
    <col min="12" max="12" width="8.6640625" style="9" customWidth="1"/>
    <col min="13" max="13" width="9" style="9" customWidth="1"/>
    <col min="14" max="14" width="9.5546875" style="9" customWidth="1"/>
    <col min="15" max="15" width="21.5546875" style="9" customWidth="1"/>
    <col min="16" max="23" width="9.109375" style="9"/>
    <col min="24" max="24" width="13.6640625" style="9" customWidth="1"/>
    <col min="25" max="16384" width="9.109375" style="9"/>
  </cols>
  <sheetData>
    <row r="1" spans="1:36" s="8" customFormat="1" ht="19.5" customHeight="1">
      <c r="A1" s="90" t="s">
        <v>127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</row>
    <row r="2" spans="1:36" ht="16.5" customHeight="1">
      <c r="A2" s="91" t="s">
        <v>128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</row>
    <row r="3" spans="1:36" s="12" customFormat="1" ht="29.25" customHeight="1">
      <c r="A3" s="10" t="s">
        <v>0</v>
      </c>
      <c r="B3" s="38" t="s">
        <v>104</v>
      </c>
      <c r="C3" s="38" t="s">
        <v>105</v>
      </c>
      <c r="D3" s="38" t="s">
        <v>106</v>
      </c>
      <c r="E3" s="38" t="s">
        <v>107</v>
      </c>
      <c r="F3" s="38" t="s">
        <v>108</v>
      </c>
      <c r="G3" s="38" t="s">
        <v>109</v>
      </c>
      <c r="H3" s="38" t="s">
        <v>110</v>
      </c>
      <c r="I3" s="38" t="s">
        <v>111</v>
      </c>
      <c r="J3" s="38" t="s">
        <v>112</v>
      </c>
      <c r="K3" s="38" t="s">
        <v>113</v>
      </c>
      <c r="L3" s="38" t="s">
        <v>114</v>
      </c>
      <c r="M3" s="38" t="s">
        <v>115</v>
      </c>
      <c r="N3" s="38" t="s">
        <v>116</v>
      </c>
      <c r="O3" s="11" t="s">
        <v>103</v>
      </c>
    </row>
    <row r="4" spans="1:36" s="13" customFormat="1" ht="17.25" customHeight="1">
      <c r="A4" s="42" t="s">
        <v>1</v>
      </c>
      <c r="B4" s="27">
        <f>B5+B11+B15+B16+B17+B18+B19+B20</f>
        <v>1125202</v>
      </c>
      <c r="C4" s="27">
        <f t="shared" ref="C4:J4" si="0">C5+C11+C15+C16+C17+C18</f>
        <v>88869</v>
      </c>
      <c r="D4" s="27">
        <f t="shared" si="0"/>
        <v>104745</v>
      </c>
      <c r="E4" s="27">
        <f t="shared" si="0"/>
        <v>99498</v>
      </c>
      <c r="F4" s="27">
        <f t="shared" si="0"/>
        <v>90636</v>
      </c>
      <c r="G4" s="27">
        <f t="shared" si="0"/>
        <v>79426</v>
      </c>
      <c r="H4" s="27">
        <f t="shared" si="0"/>
        <v>76493</v>
      </c>
      <c r="I4" s="27">
        <f t="shared" si="0"/>
        <v>87972</v>
      </c>
      <c r="J4" s="27">
        <f t="shared" si="0"/>
        <v>98338</v>
      </c>
      <c r="K4" s="27">
        <f>K5+K11+K15+K16+K17+K18+K19+K20</f>
        <v>92298</v>
      </c>
      <c r="L4" s="27">
        <f>L5+L11+L15+L16+L17+L18+L19+L20</f>
        <v>107331</v>
      </c>
      <c r="M4" s="27">
        <f>M5+M11+M15+M16+M17+M18+M19+M20</f>
        <v>94584</v>
      </c>
      <c r="N4" s="27">
        <f>N5+N11+N15+N16+N17+N18+N19+N20</f>
        <v>105012</v>
      </c>
      <c r="O4" s="39" t="s">
        <v>77</v>
      </c>
    </row>
    <row r="5" spans="1:36" s="17" customFormat="1" ht="17.25" customHeight="1">
      <c r="A5" s="34" t="s">
        <v>2</v>
      </c>
      <c r="B5" s="31">
        <f t="shared" ref="B5:N5" si="1">SUM(B6:B10)</f>
        <v>527274</v>
      </c>
      <c r="C5" s="31">
        <f t="shared" si="1"/>
        <v>52321</v>
      </c>
      <c r="D5" s="31">
        <f t="shared" si="1"/>
        <v>54095</v>
      </c>
      <c r="E5" s="31">
        <f t="shared" si="1"/>
        <v>61204</v>
      </c>
      <c r="F5" s="31">
        <f t="shared" si="1"/>
        <v>48978</v>
      </c>
      <c r="G5" s="31">
        <f t="shared" si="1"/>
        <v>35167</v>
      </c>
      <c r="H5" s="31">
        <f t="shared" si="1"/>
        <v>24238</v>
      </c>
      <c r="I5" s="31">
        <f t="shared" si="1"/>
        <v>32701</v>
      </c>
      <c r="J5" s="31">
        <f t="shared" si="1"/>
        <v>36640</v>
      </c>
      <c r="K5" s="31">
        <f t="shared" si="1"/>
        <v>35574</v>
      </c>
      <c r="L5" s="31">
        <f t="shared" si="1"/>
        <v>46530</v>
      </c>
      <c r="M5" s="31">
        <f t="shared" si="1"/>
        <v>45894</v>
      </c>
      <c r="N5" s="31">
        <f t="shared" si="1"/>
        <v>53932</v>
      </c>
      <c r="O5" s="41" t="s">
        <v>78</v>
      </c>
      <c r="P5" s="28"/>
      <c r="Q5" s="28"/>
      <c r="R5" s="28"/>
      <c r="S5" s="28"/>
      <c r="T5" s="28"/>
      <c r="U5" s="28"/>
      <c r="V5" s="28"/>
    </row>
    <row r="6" spans="1:36" s="14" customFormat="1" ht="17.25" customHeight="1">
      <c r="A6" s="35" t="s">
        <v>82</v>
      </c>
      <c r="B6" s="32">
        <f t="shared" ref="B6:B17" si="2">SUM(C6:N6)</f>
        <v>119568</v>
      </c>
      <c r="C6" s="32">
        <v>14136</v>
      </c>
      <c r="D6" s="32">
        <v>11519</v>
      </c>
      <c r="E6" s="32">
        <v>13618</v>
      </c>
      <c r="F6" s="32">
        <v>10332</v>
      </c>
      <c r="G6" s="32">
        <v>8002</v>
      </c>
      <c r="H6" s="32">
        <v>6235</v>
      </c>
      <c r="I6" s="32">
        <v>7038</v>
      </c>
      <c r="J6" s="32">
        <v>7298</v>
      </c>
      <c r="K6" s="32">
        <v>7036</v>
      </c>
      <c r="L6" s="32">
        <v>9437</v>
      </c>
      <c r="M6" s="32">
        <v>11877</v>
      </c>
      <c r="N6" s="32">
        <v>13040</v>
      </c>
      <c r="O6" s="40" t="s">
        <v>92</v>
      </c>
    </row>
    <row r="7" spans="1:36" s="14" customFormat="1" ht="17.25" customHeight="1">
      <c r="A7" s="35" t="s">
        <v>83</v>
      </c>
      <c r="B7" s="32">
        <f t="shared" si="2"/>
        <v>103104</v>
      </c>
      <c r="C7" s="32">
        <v>8114</v>
      </c>
      <c r="D7" s="32">
        <v>9626</v>
      </c>
      <c r="E7" s="32">
        <v>10201</v>
      </c>
      <c r="F7" s="32">
        <v>9682</v>
      </c>
      <c r="G7" s="32">
        <v>7601</v>
      </c>
      <c r="H7" s="32">
        <v>6036</v>
      </c>
      <c r="I7" s="32">
        <v>8535</v>
      </c>
      <c r="J7" s="32">
        <v>8251</v>
      </c>
      <c r="K7" s="32">
        <v>7656</v>
      </c>
      <c r="L7" s="32">
        <v>9686</v>
      </c>
      <c r="M7" s="32">
        <v>8134</v>
      </c>
      <c r="N7" s="32">
        <v>9582</v>
      </c>
      <c r="O7" s="40" t="s">
        <v>93</v>
      </c>
    </row>
    <row r="8" spans="1:36" s="14" customFormat="1" ht="17.25" customHeight="1">
      <c r="A8" s="35" t="s">
        <v>84</v>
      </c>
      <c r="B8" s="32">
        <f t="shared" si="2"/>
        <v>79364</v>
      </c>
      <c r="C8" s="32">
        <v>8326</v>
      </c>
      <c r="D8" s="32">
        <v>8946</v>
      </c>
      <c r="E8" s="32">
        <v>10057</v>
      </c>
      <c r="F8" s="32">
        <v>6957</v>
      </c>
      <c r="G8" s="32">
        <v>3033</v>
      </c>
      <c r="H8" s="32">
        <v>3030</v>
      </c>
      <c r="I8" s="32">
        <v>4934</v>
      </c>
      <c r="J8" s="32">
        <v>8446</v>
      </c>
      <c r="K8" s="32">
        <v>5052</v>
      </c>
      <c r="L8" s="32">
        <v>5363</v>
      </c>
      <c r="M8" s="32">
        <v>5292</v>
      </c>
      <c r="N8" s="32">
        <v>9928</v>
      </c>
      <c r="O8" s="40" t="s">
        <v>94</v>
      </c>
    </row>
    <row r="9" spans="1:36" s="14" customFormat="1" ht="17.25" customHeight="1">
      <c r="A9" s="35" t="s">
        <v>85</v>
      </c>
      <c r="B9" s="32">
        <f t="shared" si="2"/>
        <v>212655</v>
      </c>
      <c r="C9" s="32">
        <v>20250</v>
      </c>
      <c r="D9" s="32">
        <v>23019</v>
      </c>
      <c r="E9" s="32">
        <v>26478</v>
      </c>
      <c r="F9" s="32">
        <v>21051</v>
      </c>
      <c r="G9" s="32">
        <v>15811</v>
      </c>
      <c r="H9" s="32">
        <v>7870</v>
      </c>
      <c r="I9" s="32">
        <v>11469</v>
      </c>
      <c r="J9" s="32">
        <v>11798</v>
      </c>
      <c r="K9" s="32">
        <v>14253</v>
      </c>
      <c r="L9" s="32">
        <v>20444</v>
      </c>
      <c r="M9" s="32">
        <v>19792</v>
      </c>
      <c r="N9" s="32">
        <v>20420</v>
      </c>
      <c r="O9" s="40" t="s">
        <v>95</v>
      </c>
      <c r="P9" s="15"/>
    </row>
    <row r="10" spans="1:36" s="14" customFormat="1" ht="17.25" customHeight="1">
      <c r="A10" s="36" t="s">
        <v>86</v>
      </c>
      <c r="B10" s="32">
        <f t="shared" si="2"/>
        <v>12583</v>
      </c>
      <c r="C10" s="32">
        <v>1495</v>
      </c>
      <c r="D10" s="32">
        <v>985</v>
      </c>
      <c r="E10" s="32">
        <v>850</v>
      </c>
      <c r="F10" s="32">
        <v>956</v>
      </c>
      <c r="G10" s="32">
        <v>720</v>
      </c>
      <c r="H10" s="32">
        <v>1067</v>
      </c>
      <c r="I10" s="32">
        <v>725</v>
      </c>
      <c r="J10" s="32">
        <v>847</v>
      </c>
      <c r="K10" s="32">
        <v>1577</v>
      </c>
      <c r="L10" s="32">
        <v>1600</v>
      </c>
      <c r="M10" s="32">
        <v>799</v>
      </c>
      <c r="N10" s="32">
        <v>962</v>
      </c>
      <c r="O10" s="40" t="s">
        <v>96</v>
      </c>
      <c r="P10" s="15"/>
    </row>
    <row r="11" spans="1:36" s="17" customFormat="1" ht="17.25" customHeight="1">
      <c r="A11" s="34" t="s">
        <v>3</v>
      </c>
      <c r="B11" s="31">
        <f t="shared" si="2"/>
        <v>505753</v>
      </c>
      <c r="C11" s="31">
        <f>SUM(C12:C14)</f>
        <v>29774</v>
      </c>
      <c r="D11" s="31">
        <f t="shared" ref="D11:N11" si="3">SUM(D12:D14)</f>
        <v>44791</v>
      </c>
      <c r="E11" s="31">
        <f t="shared" si="3"/>
        <v>30647</v>
      </c>
      <c r="F11" s="31">
        <f t="shared" si="3"/>
        <v>33903</v>
      </c>
      <c r="G11" s="31">
        <f t="shared" si="3"/>
        <v>37946</v>
      </c>
      <c r="H11" s="31">
        <f t="shared" si="3"/>
        <v>42613</v>
      </c>
      <c r="I11" s="31">
        <f t="shared" si="3"/>
        <v>49319</v>
      </c>
      <c r="J11" s="31">
        <f t="shared" si="3"/>
        <v>51450</v>
      </c>
      <c r="K11" s="31">
        <f t="shared" si="3"/>
        <v>49179</v>
      </c>
      <c r="L11" s="31">
        <f t="shared" si="3"/>
        <v>51598</v>
      </c>
      <c r="M11" s="31">
        <f t="shared" si="3"/>
        <v>42348</v>
      </c>
      <c r="N11" s="31">
        <f t="shared" si="3"/>
        <v>42185</v>
      </c>
      <c r="O11" s="41" t="s">
        <v>79</v>
      </c>
      <c r="P11" s="16"/>
    </row>
    <row r="12" spans="1:36" s="14" customFormat="1" ht="17.25" customHeight="1">
      <c r="A12" s="35" t="s">
        <v>87</v>
      </c>
      <c r="B12" s="32">
        <f t="shared" si="2"/>
        <v>408113</v>
      </c>
      <c r="C12" s="32">
        <v>23447</v>
      </c>
      <c r="D12" s="32">
        <v>38388</v>
      </c>
      <c r="E12" s="32">
        <v>23679</v>
      </c>
      <c r="F12" s="32">
        <v>26339</v>
      </c>
      <c r="G12" s="32">
        <v>28710</v>
      </c>
      <c r="H12" s="32">
        <v>33389</v>
      </c>
      <c r="I12" s="32">
        <v>42082</v>
      </c>
      <c r="J12" s="32">
        <v>42785</v>
      </c>
      <c r="K12" s="32">
        <v>42166</v>
      </c>
      <c r="L12" s="32">
        <v>43586</v>
      </c>
      <c r="M12" s="32">
        <v>33905</v>
      </c>
      <c r="N12" s="32">
        <v>29637</v>
      </c>
      <c r="O12" s="40" t="s">
        <v>97</v>
      </c>
    </row>
    <row r="13" spans="1:36" s="14" customFormat="1" ht="17.25" customHeight="1">
      <c r="A13" s="35" t="s">
        <v>88</v>
      </c>
      <c r="B13" s="32">
        <f t="shared" si="2"/>
        <v>40844</v>
      </c>
      <c r="C13" s="32">
        <v>1665</v>
      </c>
      <c r="D13" s="32">
        <v>1751</v>
      </c>
      <c r="E13" s="32">
        <v>2708</v>
      </c>
      <c r="F13" s="32">
        <v>3411</v>
      </c>
      <c r="G13" s="32">
        <v>3890</v>
      </c>
      <c r="H13" s="32">
        <v>4233</v>
      </c>
      <c r="I13" s="32">
        <v>3357</v>
      </c>
      <c r="J13" s="32">
        <v>3900</v>
      </c>
      <c r="K13" s="32">
        <v>3422</v>
      </c>
      <c r="L13" s="32">
        <v>3698</v>
      </c>
      <c r="M13" s="32">
        <v>3504</v>
      </c>
      <c r="N13" s="32">
        <v>5305</v>
      </c>
      <c r="O13" s="40" t="s">
        <v>98</v>
      </c>
    </row>
    <row r="14" spans="1:36" s="14" customFormat="1" ht="17.25" customHeight="1">
      <c r="A14" s="35" t="s">
        <v>89</v>
      </c>
      <c r="B14" s="32">
        <f t="shared" si="2"/>
        <v>56796</v>
      </c>
      <c r="C14" s="32">
        <v>4662</v>
      </c>
      <c r="D14" s="32">
        <v>4652</v>
      </c>
      <c r="E14" s="32">
        <v>4260</v>
      </c>
      <c r="F14" s="32">
        <v>4153</v>
      </c>
      <c r="G14" s="32">
        <v>5346</v>
      </c>
      <c r="H14" s="32">
        <v>4991</v>
      </c>
      <c r="I14" s="32">
        <v>3880</v>
      </c>
      <c r="J14" s="32">
        <v>4765</v>
      </c>
      <c r="K14" s="32">
        <v>3591</v>
      </c>
      <c r="L14" s="32">
        <v>4314</v>
      </c>
      <c r="M14" s="32">
        <v>4939</v>
      </c>
      <c r="N14" s="32">
        <v>7243</v>
      </c>
      <c r="O14" s="40" t="s">
        <v>99</v>
      </c>
      <c r="P14" s="15"/>
    </row>
    <row r="15" spans="1:36" s="17" customFormat="1" ht="17.25" customHeight="1">
      <c r="A15" s="34" t="s">
        <v>6</v>
      </c>
      <c r="B15" s="31">
        <f t="shared" si="2"/>
        <v>18761</v>
      </c>
      <c r="C15" s="31">
        <v>1530</v>
      </c>
      <c r="D15" s="31">
        <v>983</v>
      </c>
      <c r="E15" s="31">
        <v>1508</v>
      </c>
      <c r="F15" s="31">
        <v>1760</v>
      </c>
      <c r="G15" s="31">
        <v>1431</v>
      </c>
      <c r="H15" s="31">
        <v>1742</v>
      </c>
      <c r="I15" s="31">
        <v>1788</v>
      </c>
      <c r="J15" s="31">
        <v>1575</v>
      </c>
      <c r="K15" s="31">
        <v>1979</v>
      </c>
      <c r="L15" s="31">
        <v>1580</v>
      </c>
      <c r="M15" s="31">
        <v>1266</v>
      </c>
      <c r="N15" s="31">
        <v>1619</v>
      </c>
      <c r="O15" s="41" t="s">
        <v>80</v>
      </c>
      <c r="P15" s="16"/>
      <c r="X15" s="34"/>
      <c r="Y15" s="9" t="s">
        <v>7</v>
      </c>
      <c r="Z15" s="9" t="s">
        <v>8</v>
      </c>
      <c r="AA15" s="9" t="s">
        <v>9</v>
      </c>
      <c r="AB15" s="9" t="s">
        <v>10</v>
      </c>
      <c r="AC15" s="9" t="s">
        <v>11</v>
      </c>
      <c r="AD15" s="9" t="s">
        <v>12</v>
      </c>
      <c r="AE15" s="9" t="s">
        <v>13</v>
      </c>
      <c r="AF15" s="9" t="s">
        <v>14</v>
      </c>
      <c r="AG15" s="9" t="s">
        <v>18</v>
      </c>
      <c r="AH15" s="9" t="s">
        <v>15</v>
      </c>
      <c r="AI15" s="9" t="s">
        <v>16</v>
      </c>
      <c r="AJ15" s="9" t="s">
        <v>17</v>
      </c>
    </row>
    <row r="16" spans="1:36" s="17" customFormat="1" ht="17.25" customHeight="1">
      <c r="A16" s="34" t="s">
        <v>4</v>
      </c>
      <c r="B16" s="31">
        <f t="shared" si="2"/>
        <v>8271</v>
      </c>
      <c r="C16" s="31">
        <v>536</v>
      </c>
      <c r="D16" s="31">
        <v>386</v>
      </c>
      <c r="E16" s="31">
        <v>666</v>
      </c>
      <c r="F16" s="31">
        <v>752</v>
      </c>
      <c r="G16" s="31">
        <v>694</v>
      </c>
      <c r="H16" s="31">
        <v>1046</v>
      </c>
      <c r="I16" s="31">
        <v>458</v>
      </c>
      <c r="J16" s="31">
        <v>788</v>
      </c>
      <c r="K16" s="31">
        <v>818</v>
      </c>
      <c r="L16" s="31">
        <v>656</v>
      </c>
      <c r="M16" s="31">
        <v>462</v>
      </c>
      <c r="N16" s="31">
        <v>1009</v>
      </c>
      <c r="O16" s="41" t="s">
        <v>100</v>
      </c>
      <c r="X16" s="35" t="s">
        <v>82</v>
      </c>
      <c r="Y16" s="32">
        <v>11735</v>
      </c>
      <c r="Z16" s="32">
        <v>9376</v>
      </c>
      <c r="AA16" s="32">
        <v>10498</v>
      </c>
      <c r="AB16" s="32">
        <v>9194</v>
      </c>
      <c r="AC16" s="32">
        <v>5717</v>
      </c>
      <c r="AD16" s="32">
        <v>4949</v>
      </c>
      <c r="AE16" s="32">
        <v>5968</v>
      </c>
      <c r="AF16" s="32">
        <v>6525</v>
      </c>
      <c r="AG16" s="32">
        <v>6122</v>
      </c>
      <c r="AH16" s="32">
        <v>8042</v>
      </c>
      <c r="AI16" s="32">
        <v>10241</v>
      </c>
      <c r="AJ16" s="32">
        <v>11730</v>
      </c>
    </row>
    <row r="17" spans="1:36" s="17" customFormat="1" ht="17.25" customHeight="1">
      <c r="A17" s="34" t="s">
        <v>5</v>
      </c>
      <c r="B17" s="31">
        <f t="shared" si="2"/>
        <v>32970</v>
      </c>
      <c r="C17" s="31">
        <v>2396</v>
      </c>
      <c r="D17" s="31">
        <v>2541</v>
      </c>
      <c r="E17" s="31">
        <v>3069</v>
      </c>
      <c r="F17" s="31">
        <v>2809</v>
      </c>
      <c r="G17" s="31">
        <v>2416</v>
      </c>
      <c r="H17" s="31">
        <v>2354</v>
      </c>
      <c r="I17" s="31">
        <v>2486</v>
      </c>
      <c r="J17" s="31">
        <v>2312</v>
      </c>
      <c r="K17" s="31">
        <v>2392</v>
      </c>
      <c r="L17" s="31">
        <v>3106</v>
      </c>
      <c r="M17" s="31">
        <v>3023</v>
      </c>
      <c r="N17" s="31">
        <v>4066</v>
      </c>
      <c r="O17" s="41" t="s">
        <v>101</v>
      </c>
      <c r="P17" s="16"/>
      <c r="X17" s="35" t="s">
        <v>83</v>
      </c>
      <c r="Y17" s="32">
        <v>8676</v>
      </c>
      <c r="Z17" s="32">
        <v>11024</v>
      </c>
      <c r="AA17" s="32">
        <v>9757</v>
      </c>
      <c r="AB17" s="32">
        <v>9953</v>
      </c>
      <c r="AC17" s="32">
        <v>7298</v>
      </c>
      <c r="AD17" s="32">
        <v>6953</v>
      </c>
      <c r="AE17" s="32">
        <v>8681</v>
      </c>
      <c r="AF17" s="32">
        <v>8202</v>
      </c>
      <c r="AG17" s="32">
        <v>7951</v>
      </c>
      <c r="AH17" s="32">
        <v>10322</v>
      </c>
      <c r="AI17" s="32">
        <v>8423</v>
      </c>
      <c r="AJ17" s="32">
        <v>10110</v>
      </c>
    </row>
    <row r="18" spans="1:36" s="17" customFormat="1" ht="17.25" customHeight="1">
      <c r="A18" s="34" t="s">
        <v>20</v>
      </c>
      <c r="B18" s="31">
        <f t="shared" ref="B18" si="4">SUM(C18:N18)</f>
        <v>32050</v>
      </c>
      <c r="C18" s="31">
        <v>2312</v>
      </c>
      <c r="D18" s="31">
        <v>1949</v>
      </c>
      <c r="E18" s="31">
        <v>2404</v>
      </c>
      <c r="F18" s="31">
        <v>2434</v>
      </c>
      <c r="G18" s="31">
        <v>1772</v>
      </c>
      <c r="H18" s="31">
        <v>4500</v>
      </c>
      <c r="I18" s="31">
        <v>1220</v>
      </c>
      <c r="J18" s="31">
        <v>5573</v>
      </c>
      <c r="K18" s="31">
        <v>2333</v>
      </c>
      <c r="L18" s="31">
        <v>3826</v>
      </c>
      <c r="M18" s="31">
        <v>1569</v>
      </c>
      <c r="N18" s="31">
        <v>2158</v>
      </c>
      <c r="O18" s="41" t="s">
        <v>102</v>
      </c>
      <c r="P18" s="16"/>
      <c r="X18" s="35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</row>
    <row r="19" spans="1:36" s="17" customFormat="1" ht="17.25" customHeight="1">
      <c r="A19" s="34" t="s">
        <v>129</v>
      </c>
      <c r="B19" s="31">
        <f>SUM(K19:N19)</f>
        <v>90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2">
        <v>21</v>
      </c>
      <c r="L19" s="32">
        <v>21</v>
      </c>
      <c r="M19" s="32">
        <v>12</v>
      </c>
      <c r="N19" s="32">
        <v>36</v>
      </c>
      <c r="O19" s="41"/>
      <c r="P19" s="16"/>
      <c r="X19" s="35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</row>
    <row r="20" spans="1:36" s="17" customFormat="1" ht="17.25" customHeight="1">
      <c r="A20" s="37" t="s">
        <v>130</v>
      </c>
      <c r="B20" s="33">
        <f>SUM(K20:N20)</f>
        <v>33</v>
      </c>
      <c r="C20" s="33">
        <v>0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43">
        <v>2</v>
      </c>
      <c r="L20" s="43">
        <v>14</v>
      </c>
      <c r="M20" s="43">
        <v>10</v>
      </c>
      <c r="N20" s="43">
        <v>7</v>
      </c>
      <c r="O20" s="72" t="s">
        <v>133</v>
      </c>
      <c r="P20" s="16"/>
      <c r="X20" s="35" t="s">
        <v>84</v>
      </c>
      <c r="Y20" s="32">
        <v>11617</v>
      </c>
      <c r="Z20" s="32">
        <v>10008</v>
      </c>
      <c r="AA20" s="32">
        <v>8730</v>
      </c>
      <c r="AB20" s="32">
        <v>7603</v>
      </c>
      <c r="AC20" s="32">
        <v>3055</v>
      </c>
      <c r="AD20" s="32">
        <v>2984</v>
      </c>
      <c r="AE20" s="32">
        <v>4751</v>
      </c>
      <c r="AF20" s="32">
        <v>7710</v>
      </c>
      <c r="AG20" s="32">
        <v>4735</v>
      </c>
      <c r="AH20" s="32">
        <v>5531</v>
      </c>
      <c r="AI20" s="32">
        <v>4856</v>
      </c>
      <c r="AJ20" s="32">
        <v>9707</v>
      </c>
    </row>
    <row r="21" spans="1:36" s="21" customFormat="1" ht="15.75" customHeight="1">
      <c r="A21" s="30" t="s">
        <v>131</v>
      </c>
      <c r="B21" s="18"/>
      <c r="C21" s="19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7" t="s">
        <v>132</v>
      </c>
      <c r="P21" s="20"/>
      <c r="X21" s="35" t="s">
        <v>85</v>
      </c>
      <c r="Y21" s="32">
        <v>22013</v>
      </c>
      <c r="Z21" s="32">
        <v>26651</v>
      </c>
      <c r="AA21" s="32">
        <v>25139</v>
      </c>
      <c r="AB21" s="32">
        <v>23908</v>
      </c>
      <c r="AC21" s="32">
        <v>16085</v>
      </c>
      <c r="AD21" s="32">
        <v>8191</v>
      </c>
      <c r="AE21" s="32">
        <v>12680</v>
      </c>
      <c r="AF21" s="32">
        <v>12434</v>
      </c>
      <c r="AG21" s="32">
        <v>14241</v>
      </c>
      <c r="AH21" s="32">
        <v>20578</v>
      </c>
      <c r="AI21" s="32">
        <v>19732</v>
      </c>
      <c r="AJ21" s="32">
        <v>19165</v>
      </c>
    </row>
    <row r="22" spans="1:36" s="24" customFormat="1" ht="13.5" customHeight="1">
      <c r="A22" s="29" t="s">
        <v>135</v>
      </c>
      <c r="B22" s="22"/>
      <c r="C22" s="73"/>
      <c r="D22" s="22"/>
      <c r="E22" s="22"/>
      <c r="F22" s="22"/>
      <c r="G22" s="22"/>
      <c r="H22" s="22"/>
      <c r="I22" s="22"/>
      <c r="J22" s="22"/>
      <c r="K22" s="22"/>
      <c r="L22" s="22"/>
      <c r="M22" s="22"/>
      <c r="O22" s="23" t="s">
        <v>134</v>
      </c>
      <c r="X22" s="36" t="s">
        <v>86</v>
      </c>
      <c r="Y22" s="32">
        <v>716</v>
      </c>
      <c r="Z22" s="32">
        <v>618</v>
      </c>
      <c r="AA22" s="32">
        <v>505</v>
      </c>
      <c r="AB22" s="32">
        <v>535</v>
      </c>
      <c r="AC22" s="32">
        <v>445</v>
      </c>
      <c r="AD22" s="32">
        <v>605</v>
      </c>
      <c r="AE22" s="32">
        <v>624</v>
      </c>
      <c r="AF22" s="32">
        <v>617</v>
      </c>
      <c r="AG22" s="32">
        <v>926</v>
      </c>
      <c r="AH22" s="32">
        <v>1056</v>
      </c>
      <c r="AI22" s="32">
        <v>596</v>
      </c>
      <c r="AJ22" s="32">
        <v>1013</v>
      </c>
    </row>
    <row r="23" spans="1:36"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spans="1:36"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7" spans="1:36" ht="13.8">
      <c r="X27" s="34"/>
      <c r="Y27" s="9" t="s">
        <v>7</v>
      </c>
      <c r="Z27" s="9" t="s">
        <v>8</v>
      </c>
      <c r="AA27" s="9" t="s">
        <v>9</v>
      </c>
      <c r="AB27" s="9" t="s">
        <v>10</v>
      </c>
      <c r="AC27" s="9" t="s">
        <v>11</v>
      </c>
      <c r="AD27" s="9" t="s">
        <v>12</v>
      </c>
      <c r="AE27" s="9" t="s">
        <v>13</v>
      </c>
      <c r="AF27" s="9" t="s">
        <v>14</v>
      </c>
      <c r="AG27" s="9" t="s">
        <v>18</v>
      </c>
      <c r="AH27" s="9" t="s">
        <v>15</v>
      </c>
      <c r="AI27" s="9" t="s">
        <v>16</v>
      </c>
      <c r="AJ27" s="9" t="s">
        <v>17</v>
      </c>
    </row>
    <row r="28" spans="1:36" ht="13.8">
      <c r="A28" s="34"/>
      <c r="B28" s="31"/>
      <c r="X28" s="35" t="s">
        <v>82</v>
      </c>
      <c r="Y28" s="32">
        <v>14136</v>
      </c>
      <c r="Z28" s="32">
        <v>11519</v>
      </c>
      <c r="AA28" s="32">
        <v>13618</v>
      </c>
      <c r="AB28" s="32">
        <v>10332</v>
      </c>
      <c r="AC28" s="32">
        <v>8002</v>
      </c>
      <c r="AD28" s="32">
        <v>6235</v>
      </c>
      <c r="AE28" s="32">
        <v>7038</v>
      </c>
      <c r="AF28" s="32">
        <v>7298</v>
      </c>
      <c r="AG28" s="32">
        <v>7036</v>
      </c>
      <c r="AH28" s="32">
        <v>9437</v>
      </c>
      <c r="AI28" s="32">
        <v>11877</v>
      </c>
      <c r="AJ28" s="32">
        <v>13040</v>
      </c>
    </row>
    <row r="29" spans="1:36" ht="13.8">
      <c r="A29" s="34"/>
      <c r="B29" s="31"/>
      <c r="X29" s="35" t="s">
        <v>83</v>
      </c>
      <c r="Y29" s="32">
        <v>8114</v>
      </c>
      <c r="Z29" s="32">
        <v>9626</v>
      </c>
      <c r="AA29" s="32">
        <v>10201</v>
      </c>
      <c r="AB29" s="32">
        <v>9682</v>
      </c>
      <c r="AC29" s="32">
        <v>7601</v>
      </c>
      <c r="AD29" s="32">
        <v>6036</v>
      </c>
      <c r="AE29" s="32">
        <v>8535</v>
      </c>
      <c r="AF29" s="32">
        <v>8251</v>
      </c>
      <c r="AG29" s="32">
        <v>7656</v>
      </c>
      <c r="AH29" s="32">
        <v>9686</v>
      </c>
      <c r="AI29" s="32">
        <v>8134</v>
      </c>
      <c r="AJ29" s="32">
        <v>9582</v>
      </c>
    </row>
    <row r="30" spans="1:36" ht="13.8">
      <c r="A30" s="34"/>
      <c r="B30" s="31"/>
      <c r="X30" s="35" t="s">
        <v>84</v>
      </c>
      <c r="Y30" s="32">
        <v>8326</v>
      </c>
      <c r="Z30" s="32">
        <v>8946</v>
      </c>
      <c r="AA30" s="32">
        <v>10057</v>
      </c>
      <c r="AB30" s="32">
        <v>6957</v>
      </c>
      <c r="AC30" s="32">
        <v>3033</v>
      </c>
      <c r="AD30" s="32">
        <v>3030</v>
      </c>
      <c r="AE30" s="32">
        <v>4934</v>
      </c>
      <c r="AF30" s="32">
        <v>8446</v>
      </c>
      <c r="AG30" s="32">
        <v>5052</v>
      </c>
      <c r="AH30" s="32">
        <v>5363</v>
      </c>
      <c r="AI30" s="32">
        <v>5292</v>
      </c>
      <c r="AJ30" s="32">
        <v>9928</v>
      </c>
    </row>
    <row r="31" spans="1:36" ht="13.8">
      <c r="A31" s="34"/>
      <c r="B31" s="34"/>
      <c r="C31" s="34"/>
      <c r="X31" s="35" t="s">
        <v>85</v>
      </c>
      <c r="Y31" s="32">
        <v>20250</v>
      </c>
      <c r="Z31" s="32">
        <v>23019</v>
      </c>
      <c r="AA31" s="32">
        <v>26478</v>
      </c>
      <c r="AB31" s="32">
        <v>21051</v>
      </c>
      <c r="AC31" s="32">
        <v>15811</v>
      </c>
      <c r="AD31" s="32">
        <v>7870</v>
      </c>
      <c r="AE31" s="32">
        <v>11469</v>
      </c>
      <c r="AF31" s="32">
        <v>11798</v>
      </c>
      <c r="AG31" s="32">
        <v>14253</v>
      </c>
      <c r="AH31" s="32">
        <v>20444</v>
      </c>
      <c r="AI31" s="32">
        <v>19792</v>
      </c>
      <c r="AJ31" s="32">
        <v>20420</v>
      </c>
    </row>
    <row r="32" spans="1:36" ht="27.6">
      <c r="A32" s="34"/>
      <c r="B32" s="34"/>
      <c r="C32" s="34"/>
      <c r="X32" s="36" t="s">
        <v>86</v>
      </c>
      <c r="Y32" s="32">
        <v>1495</v>
      </c>
      <c r="Z32" s="32">
        <v>985</v>
      </c>
      <c r="AA32" s="32">
        <v>850</v>
      </c>
      <c r="AB32" s="32">
        <v>956</v>
      </c>
      <c r="AC32" s="32">
        <v>720</v>
      </c>
      <c r="AD32" s="32">
        <v>1067</v>
      </c>
      <c r="AE32" s="32">
        <v>725</v>
      </c>
      <c r="AF32" s="32">
        <v>847</v>
      </c>
      <c r="AG32" s="32">
        <v>1577</v>
      </c>
      <c r="AH32" s="32">
        <v>1600</v>
      </c>
      <c r="AI32" s="32">
        <v>799</v>
      </c>
      <c r="AJ32" s="32">
        <v>962</v>
      </c>
    </row>
    <row r="33" spans="1:36" ht="13.8">
      <c r="A33" s="34"/>
      <c r="B33" s="34"/>
      <c r="C33" s="34"/>
    </row>
    <row r="34" spans="1:36" ht="13.8">
      <c r="A34" s="34"/>
      <c r="B34" s="34"/>
      <c r="C34" s="34"/>
    </row>
    <row r="35" spans="1:36" ht="13.8">
      <c r="A35" s="34"/>
      <c r="B35" s="34"/>
      <c r="C35" s="34"/>
    </row>
    <row r="36" spans="1:36" ht="13.8">
      <c r="X36" s="34"/>
      <c r="Y36" s="9" t="s">
        <v>7</v>
      </c>
      <c r="Z36" s="9" t="s">
        <v>8</v>
      </c>
      <c r="AA36" s="9" t="s">
        <v>9</v>
      </c>
      <c r="AB36" s="9" t="s">
        <v>10</v>
      </c>
      <c r="AC36" s="9" t="s">
        <v>11</v>
      </c>
      <c r="AD36" s="9" t="s">
        <v>12</v>
      </c>
      <c r="AE36" s="9" t="s">
        <v>13</v>
      </c>
      <c r="AF36" s="9" t="s">
        <v>14</v>
      </c>
      <c r="AG36" s="9" t="s">
        <v>18</v>
      </c>
      <c r="AH36" s="9" t="s">
        <v>15</v>
      </c>
      <c r="AI36" s="9" t="s">
        <v>16</v>
      </c>
      <c r="AJ36" s="9" t="s">
        <v>17</v>
      </c>
    </row>
    <row r="37" spans="1:36" ht="13.8">
      <c r="X37" s="35" t="s">
        <v>87</v>
      </c>
      <c r="Y37" s="32">
        <v>23447</v>
      </c>
      <c r="Z37" s="32">
        <v>38388</v>
      </c>
      <c r="AA37" s="32">
        <v>23679</v>
      </c>
      <c r="AB37" s="32">
        <v>26339</v>
      </c>
      <c r="AC37" s="32">
        <v>28710</v>
      </c>
      <c r="AD37" s="32">
        <v>33389</v>
      </c>
      <c r="AE37" s="32">
        <v>42082</v>
      </c>
      <c r="AF37" s="32">
        <v>42785</v>
      </c>
      <c r="AG37" s="32">
        <v>42166</v>
      </c>
      <c r="AH37" s="32">
        <v>43586</v>
      </c>
      <c r="AI37" s="32">
        <v>33905</v>
      </c>
      <c r="AJ37" s="32">
        <v>29637</v>
      </c>
    </row>
    <row r="38" spans="1:36" ht="13.8">
      <c r="X38" s="35" t="s">
        <v>88</v>
      </c>
      <c r="Y38" s="32">
        <v>1665</v>
      </c>
      <c r="Z38" s="32">
        <v>1751</v>
      </c>
      <c r="AA38" s="32">
        <v>2708</v>
      </c>
      <c r="AB38" s="32">
        <v>3411</v>
      </c>
      <c r="AC38" s="32">
        <v>3890</v>
      </c>
      <c r="AD38" s="32">
        <v>4233</v>
      </c>
      <c r="AE38" s="32">
        <v>3357</v>
      </c>
      <c r="AF38" s="32">
        <v>3900</v>
      </c>
      <c r="AG38" s="32">
        <v>3422</v>
      </c>
      <c r="AH38" s="32">
        <v>3698</v>
      </c>
      <c r="AI38" s="32">
        <v>3504</v>
      </c>
      <c r="AJ38" s="32">
        <v>5305</v>
      </c>
    </row>
    <row r="39" spans="1:36" ht="13.8">
      <c r="X39" s="35" t="s">
        <v>89</v>
      </c>
      <c r="Y39" s="32">
        <v>4662</v>
      </c>
      <c r="Z39" s="32">
        <v>4652</v>
      </c>
      <c r="AA39" s="32">
        <v>4260</v>
      </c>
      <c r="AB39" s="32">
        <v>4153</v>
      </c>
      <c r="AC39" s="32">
        <v>5346</v>
      </c>
      <c r="AD39" s="32">
        <v>4991</v>
      </c>
      <c r="AE39" s="32">
        <v>3880</v>
      </c>
      <c r="AF39" s="32">
        <v>4765</v>
      </c>
      <c r="AG39" s="32">
        <v>3591</v>
      </c>
      <c r="AH39" s="32">
        <v>4314</v>
      </c>
      <c r="AI39" s="32">
        <v>4939</v>
      </c>
      <c r="AJ39" s="32">
        <v>7243</v>
      </c>
    </row>
  </sheetData>
  <mergeCells count="2">
    <mergeCell ref="A1:O1"/>
    <mergeCell ref="A2:O2"/>
  </mergeCells>
  <printOptions horizontalCentered="1"/>
  <pageMargins left="0.2" right="0.25" top="0.75" bottom="0.33" header="0.3" footer="0.3"/>
  <pageSetup paperSize="9" scale="85" orientation="landscape" horizontalDpi="300" verticalDpi="300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10.1 figures workings</vt:lpstr>
      <vt:lpstr>10.7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F.shifaza</cp:lastModifiedBy>
  <cp:lastPrinted>2015-01-11T06:08:22Z</cp:lastPrinted>
  <dcterms:created xsi:type="dcterms:W3CDTF">2007-02-07T06:41:32Z</dcterms:created>
  <dcterms:modified xsi:type="dcterms:W3CDTF">2015-01-11T06:24:34Z</dcterms:modified>
</cp:coreProperties>
</file>