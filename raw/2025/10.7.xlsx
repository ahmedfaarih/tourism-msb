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184E64F0-9C7B-457E-85C9-A0CEE63264D6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7" sheetId="7" r:id="rId1"/>
  </sheets>
  <definedNames>
    <definedName name="_xlnm.Print_Area" localSheetId="0">'10.7'!$A$1:$L$41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7" l="1"/>
  <c r="I17" i="7"/>
  <c r="I16" i="7"/>
  <c r="I15" i="7"/>
  <c r="I14" i="7"/>
  <c r="I13" i="7"/>
  <c r="I12" i="7"/>
  <c r="I11" i="7"/>
  <c r="I10" i="7"/>
  <c r="I9" i="7"/>
  <c r="I8" i="7"/>
  <c r="I7" i="7"/>
  <c r="K6" i="7"/>
  <c r="J6" i="7"/>
  <c r="H6" i="7"/>
  <c r="G6" i="7"/>
  <c r="I6" i="7" l="1"/>
  <c r="D18" i="7" l="1"/>
  <c r="D17" i="7"/>
  <c r="D16" i="7"/>
  <c r="D15" i="7"/>
  <c r="D14" i="7"/>
  <c r="D13" i="7"/>
  <c r="D12" i="7"/>
  <c r="D11" i="7"/>
  <c r="D10" i="7"/>
  <c r="D9" i="7"/>
  <c r="D8" i="7"/>
  <c r="D7" i="7"/>
  <c r="F6" i="7"/>
  <c r="E6" i="7"/>
  <c r="C6" i="7"/>
  <c r="B6" i="7"/>
  <c r="D6" i="7" l="1"/>
</calcChain>
</file>

<file path=xl/sharedStrings.xml><?xml version="1.0" encoding="utf-8"?>
<sst xmlns="http://schemas.openxmlformats.org/spreadsheetml/2006/main" count="40" uniqueCount="31">
  <si>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</si>
  <si>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</si>
  <si>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</si>
  <si>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</si>
  <si>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</si>
  <si>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</si>
  <si>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</si>
  <si>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</si>
  <si>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</si>
  <si>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</si>
  <si>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</si>
  <si>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</si>
  <si>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</si>
  <si>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</si>
  <si>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</si>
  <si>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</si>
  <si>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</si>
  <si>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</si>
  <si>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</si>
  <si>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</si>
  <si>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</si>
  <si>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</si>
  <si>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</si>
  <si>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</si>
  <si>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</si>
  <si>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</si>
  <si>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</si>
  <si>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</si>
  <si>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</si>
  <si>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2024 - 2023  ,urwvcnim unuverukcnunEb wgWj egudnea iaWa wgWj eg udnea egukwtudnwLua IrWfws uhwmcswmikea : 10.7 ulwvWt</t>
  </si>
  <si>
    <t>Table  10.7: BED CAPACITY AND UTILIZATION OF SAFARI VESSELS BY MONTH,  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</si>
</sst>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8"/>
      <color theme="1"/>
      <name val="A_Faseyha"/>
    </font>
    <font>
      <sz val="8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71" fontId="14" fillId="0" borderId="0"/>
    <xf numFmtId="1" fontId="15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5" fillId="0" borderId="12" applyNumberFormat="0"/>
    <xf numFmtId="0" fontId="1" fillId="0" borderId="0"/>
    <xf numFmtId="0" fontId="3" fillId="0" borderId="0"/>
    <xf numFmtId="0" fontId="19" fillId="0" borderId="0" applyFill="0" applyProtection="0"/>
    <xf numFmtId="1" fontId="15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3" fillId="0" borderId="0"/>
    <xf numFmtId="0" fontId="19" fillId="0" borderId="0" applyFill="0" applyProtection="0"/>
    <xf numFmtId="1" fontId="15" fillId="0" borderId="12" applyNumberFormat="0"/>
    <xf numFmtId="0" fontId="1" fillId="0" borderId="0"/>
    <xf numFmtId="0" fontId="2" fillId="0" borderId="0"/>
    <xf numFmtId="0" fontId="20" fillId="0" borderId="0"/>
    <xf numFmtId="0" fontId="21" fillId="0" borderId="0"/>
    <xf numFmtId="0" fontId="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0" fontId="1" fillId="0" borderId="0"/>
    <xf numFmtId="0" fontId="1" fillId="0" borderId="0"/>
    <xf numFmtId="0" fontId="22" fillId="0" borderId="0" applyBorder="0"/>
    <xf numFmtId="0" fontId="22" fillId="0" borderId="0"/>
    <xf numFmtId="0" fontId="1" fillId="0" borderId="0"/>
    <xf numFmtId="0" fontId="3" fillId="0" borderId="0"/>
    <xf numFmtId="0" fontId="3" fillId="0" borderId="0"/>
    <xf numFmtId="1" fontId="15" fillId="0" borderId="12" applyNumberFormat="0"/>
    <xf numFmtId="0" fontId="22" fillId="0" borderId="0" applyBorder="0"/>
    <xf numFmtId="0" fontId="22" fillId="0" borderId="0" applyBorder="0"/>
    <xf numFmtId="0" fontId="3" fillId="0" borderId="0"/>
    <xf numFmtId="0" fontId="2" fillId="0" borderId="0"/>
  </cellStyleXfs>
  <cellXfs count="38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164" fontId="17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79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10.11:  Bed capacity and beds in operation in safari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100" b="1" i="0" baseline="0">
                <a:effectLst/>
              </a:rPr>
              <a:t> , 2024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700043966376075"/>
          <c:y val="5.6435007250594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58008808290315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'10.7'!$G$5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'10.7'!$A$7:$A$18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'10.7'!$G$7:$G$18</c:f>
              <c:numCache>
                <c:formatCode>#,##0</c:formatCode>
                <c:ptCount val="12"/>
                <c:pt idx="0">
                  <c:v>2794</c:v>
                </c:pt>
                <c:pt idx="1">
                  <c:v>2824</c:v>
                </c:pt>
                <c:pt idx="2">
                  <c:v>2862</c:v>
                </c:pt>
                <c:pt idx="3">
                  <c:v>2862</c:v>
                </c:pt>
                <c:pt idx="4">
                  <c:v>2950</c:v>
                </c:pt>
                <c:pt idx="5">
                  <c:v>2953</c:v>
                </c:pt>
                <c:pt idx="6">
                  <c:v>2933</c:v>
                </c:pt>
                <c:pt idx="7">
                  <c:v>2990</c:v>
                </c:pt>
                <c:pt idx="8">
                  <c:v>2942</c:v>
                </c:pt>
                <c:pt idx="9">
                  <c:v>2994</c:v>
                </c:pt>
                <c:pt idx="10">
                  <c:v>3028</c:v>
                </c:pt>
                <c:pt idx="11">
                  <c:v>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53E-B050-5126D987D595}"/>
            </c:ext>
          </c:extLst>
        </c:ser>
        <c:ser>
          <c:idx val="1"/>
          <c:order val="1"/>
          <c:tx>
            <c:strRef>
              <c:f>'10.7'!$H$5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'10.7'!$H$7:$H$18</c:f>
              <c:numCache>
                <c:formatCode>#,##0</c:formatCode>
                <c:ptCount val="12"/>
                <c:pt idx="0">
                  <c:v>2794</c:v>
                </c:pt>
                <c:pt idx="1">
                  <c:v>2824</c:v>
                </c:pt>
                <c:pt idx="2">
                  <c:v>2862</c:v>
                </c:pt>
                <c:pt idx="3">
                  <c:v>2862</c:v>
                </c:pt>
                <c:pt idx="4">
                  <c:v>2950</c:v>
                </c:pt>
                <c:pt idx="5">
                  <c:v>2953</c:v>
                </c:pt>
                <c:pt idx="6">
                  <c:v>2933</c:v>
                </c:pt>
                <c:pt idx="7">
                  <c:v>2990</c:v>
                </c:pt>
                <c:pt idx="8">
                  <c:v>2942</c:v>
                </c:pt>
                <c:pt idx="9">
                  <c:v>2994</c:v>
                </c:pt>
                <c:pt idx="10">
                  <c:v>3028</c:v>
                </c:pt>
                <c:pt idx="11">
                  <c:v>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53E-B050-5126D987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503158028065407"/>
          <c:y val="0.17494042332592558"/>
          <c:w val="0.42125167233498467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593064</xdr:colOff>
      <xdr:row>21</xdr:row>
      <xdr:rowOff>107829</xdr:rowOff>
    </xdr:from>
    <xdr:to>
      <xdr:col>9</xdr:col>
      <xdr:colOff>548135</xdr:colOff>
      <xdr:row>36</xdr:row>
      <xdr:rowOff>62901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1"/>
  <sheetViews>
    <sheetView tabSelected="1" view="pageBreakPreview" zoomScale="106" zoomScaleNormal="100" zoomScaleSheetLayoutView="106" workbookViewId="0">
      <selection activeCell="J30" sqref="J30"/>
    </sheetView>
  </sheetViews>
  <sheetFormatPr defaultColWidth="9.140625" defaultRowHeight="12"/>
  <cols>
    <col min="1" max="1" width="13.7109375" style="3" customWidth="1"/>
    <col min="2" max="2" width="18.28515625" style="3" customWidth="1"/>
    <col min="3" max="5" width="12.7109375" style="3" customWidth="1"/>
    <col min="6" max="6" width="19" style="3" customWidth="1"/>
    <col min="7" max="7" width="15" style="3" customWidth="1"/>
    <col min="8" max="8" width="14.7109375" style="3" customWidth="1"/>
    <col min="9" max="9" width="17.85546875" style="3" customWidth="1"/>
    <col min="10" max="10" width="15.28515625" style="3" customWidth="1"/>
    <col min="11" max="11" width="16.7109375" style="3" customWidth="1"/>
    <col min="12" max="16384" width="9.140625" style="3"/>
  </cols>
  <sheetData>
    <row r="1" spans="1:11" ht="17.25" customHeight="1">
      <c r="A1" s="37" t="s">
        <v>29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s="4" customFormat="1" ht="18.75" customHeight="1">
      <c r="A3" s="31" t="s">
        <v>2</v>
      </c>
      <c r="B3" s="34">
        <v>2023</v>
      </c>
      <c r="C3" s="35"/>
      <c r="D3" s="35"/>
      <c r="E3" s="35"/>
      <c r="F3" s="35"/>
      <c r="G3" s="34">
        <v>2024</v>
      </c>
      <c r="H3" s="35"/>
      <c r="I3" s="35"/>
      <c r="J3" s="35"/>
      <c r="K3" s="35"/>
    </row>
    <row r="4" spans="1:11" s="4" customFormat="1" ht="52.5" customHeight="1">
      <c r="A4" s="32"/>
      <c r="B4" s="5" t="s">
        <v>3</v>
      </c>
      <c r="C4" s="6" t="s">
        <v>4</v>
      </c>
      <c r="D4" s="6" t="s">
        <v>1</v>
      </c>
      <c r="E4" s="6" t="s">
        <v>5</v>
      </c>
      <c r="F4" s="6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</row>
    <row r="5" spans="1:11" s="4" customFormat="1" ht="46.5" customHeight="1">
      <c r="A5" s="33"/>
      <c r="B5" s="28" t="s">
        <v>11</v>
      </c>
      <c r="C5" s="27" t="s">
        <v>7</v>
      </c>
      <c r="D5" s="27" t="s">
        <v>8</v>
      </c>
      <c r="E5" s="27" t="s">
        <v>9</v>
      </c>
      <c r="F5" s="27" t="s">
        <v>10</v>
      </c>
      <c r="G5" s="28" t="s">
        <v>11</v>
      </c>
      <c r="H5" s="27" t="s">
        <v>28</v>
      </c>
      <c r="I5" s="27" t="s">
        <v>8</v>
      </c>
      <c r="J5" s="27" t="s">
        <v>9</v>
      </c>
      <c r="K5" s="27" t="s">
        <v>10</v>
      </c>
    </row>
    <row r="6" spans="1:11" s="4" customFormat="1" ht="16.5" customHeight="1">
      <c r="A6" s="7" t="s">
        <v>12</v>
      </c>
      <c r="B6" s="8">
        <f>AVERAGE(B7:B18)</f>
        <v>3085.5</v>
      </c>
      <c r="C6" s="9">
        <f>AVERAGE(C7:C18)</f>
        <v>3085.5</v>
      </c>
      <c r="D6" s="10">
        <f>AVERAGE(D7:D18)</f>
        <v>100</v>
      </c>
      <c r="E6" s="10">
        <f>AVERAGE(E7:E18)</f>
        <v>23.474999999999998</v>
      </c>
      <c r="F6" s="22">
        <f>SUM(F7:F18)</f>
        <v>262683.00001366669</v>
      </c>
      <c r="G6" s="8">
        <f>AVERAGE(G7:G18)</f>
        <v>2934.1666666666665</v>
      </c>
      <c r="H6" s="9">
        <f>AVERAGE(H7:H18)</f>
        <v>2934.1666666666665</v>
      </c>
      <c r="I6" s="10">
        <f>AVERAGE(I7:I18)</f>
        <v>100</v>
      </c>
      <c r="J6" s="10">
        <f>AVERAGE(J7:J18)</f>
        <v>27.28995874899152</v>
      </c>
      <c r="K6" s="22">
        <f>SUM(K7:K18)</f>
        <v>292043.51169000193</v>
      </c>
    </row>
    <row r="7" spans="1:11" s="4" customFormat="1" ht="16.5" customHeight="1">
      <c r="A7" s="11" t="s">
        <v>13</v>
      </c>
      <c r="B7" s="12">
        <v>3079</v>
      </c>
      <c r="C7" s="2">
        <v>3079</v>
      </c>
      <c r="D7" s="13">
        <f>C7/B7*100</f>
        <v>100</v>
      </c>
      <c r="E7" s="13">
        <v>32.299999999999997</v>
      </c>
      <c r="F7" s="23">
        <v>30867.730715287518</v>
      </c>
      <c r="G7" s="12">
        <v>2794</v>
      </c>
      <c r="H7" s="2">
        <v>2794</v>
      </c>
      <c r="I7" s="13">
        <f>H7/G7*100</f>
        <v>100</v>
      </c>
      <c r="J7" s="13">
        <v>31.257628596338272</v>
      </c>
      <c r="K7" s="23">
        <v>27073.482432432433</v>
      </c>
    </row>
    <row r="8" spans="1:11" s="4" customFormat="1" ht="16.5" customHeight="1">
      <c r="A8" s="11" t="s">
        <v>14</v>
      </c>
      <c r="B8" s="12">
        <v>3129</v>
      </c>
      <c r="C8" s="2">
        <v>3129</v>
      </c>
      <c r="D8" s="13">
        <f t="shared" ref="D8:D18" si="0">C8/B8*100</f>
        <v>100</v>
      </c>
      <c r="E8" s="13">
        <v>36.5</v>
      </c>
      <c r="F8" s="23">
        <v>32010.098630136985</v>
      </c>
      <c r="G8" s="12">
        <v>2824</v>
      </c>
      <c r="H8" s="2">
        <v>2824</v>
      </c>
      <c r="I8" s="13">
        <f t="shared" ref="I8:I18" si="1">H8/G8*100</f>
        <v>100</v>
      </c>
      <c r="J8" s="13">
        <v>36.869263210121559</v>
      </c>
      <c r="K8" s="23">
        <v>30194.451798561153</v>
      </c>
    </row>
    <row r="9" spans="1:11" s="4" customFormat="1" ht="16.5" customHeight="1">
      <c r="A9" s="11" t="s">
        <v>15</v>
      </c>
      <c r="B9" s="12">
        <v>3129</v>
      </c>
      <c r="C9" s="2">
        <v>3129</v>
      </c>
      <c r="D9" s="13">
        <f t="shared" si="0"/>
        <v>100</v>
      </c>
      <c r="E9" s="13">
        <v>34.4</v>
      </c>
      <c r="F9" s="23">
        <v>33413.196861626246</v>
      </c>
      <c r="G9" s="12">
        <v>2862</v>
      </c>
      <c r="H9" s="2">
        <v>2862</v>
      </c>
      <c r="I9" s="13">
        <f t="shared" si="1"/>
        <v>100</v>
      </c>
      <c r="J9" s="13">
        <v>39.936913181694969</v>
      </c>
      <c r="K9" s="23">
        <v>35432.828113063406</v>
      </c>
    </row>
    <row r="10" spans="1:11" s="4" customFormat="1" ht="16.5" customHeight="1">
      <c r="A10" s="11" t="s">
        <v>16</v>
      </c>
      <c r="B10" s="12">
        <v>3103</v>
      </c>
      <c r="C10" s="2">
        <v>3103</v>
      </c>
      <c r="D10" s="13">
        <f t="shared" si="0"/>
        <v>100</v>
      </c>
      <c r="E10" s="13">
        <v>32.4</v>
      </c>
      <c r="F10" s="23">
        <v>30130.892443208159</v>
      </c>
      <c r="G10" s="12">
        <v>2862</v>
      </c>
      <c r="H10" s="2">
        <v>2862</v>
      </c>
      <c r="I10" s="13">
        <f t="shared" si="1"/>
        <v>100</v>
      </c>
      <c r="J10" s="13">
        <v>34.228136882129277</v>
      </c>
      <c r="K10" s="23">
        <v>29388.278326996198</v>
      </c>
    </row>
    <row r="11" spans="1:11" s="4" customFormat="1" ht="16.5" customHeight="1">
      <c r="A11" s="11" t="s">
        <v>17</v>
      </c>
      <c r="B11" s="12">
        <v>3125</v>
      </c>
      <c r="C11" s="2">
        <v>3125</v>
      </c>
      <c r="D11" s="13">
        <f t="shared" si="0"/>
        <v>100</v>
      </c>
      <c r="E11" s="13">
        <v>14.4</v>
      </c>
      <c r="F11" s="23">
        <v>13921.029337379869</v>
      </c>
      <c r="G11" s="12">
        <v>2950</v>
      </c>
      <c r="H11" s="2">
        <v>2950</v>
      </c>
      <c r="I11" s="13">
        <f t="shared" si="1"/>
        <v>100</v>
      </c>
      <c r="J11" s="13">
        <v>22.042610429226812</v>
      </c>
      <c r="K11" s="23">
        <v>20157.967237527922</v>
      </c>
    </row>
    <row r="12" spans="1:11" s="4" customFormat="1" ht="16.5" customHeight="1">
      <c r="A12" s="11" t="s">
        <v>18</v>
      </c>
      <c r="B12" s="12">
        <v>3139</v>
      </c>
      <c r="C12" s="2">
        <v>3139</v>
      </c>
      <c r="D12" s="13">
        <f t="shared" si="0"/>
        <v>100</v>
      </c>
      <c r="E12" s="13">
        <v>9.4</v>
      </c>
      <c r="F12" s="23">
        <v>8822.8005633802823</v>
      </c>
      <c r="G12" s="12">
        <v>2953</v>
      </c>
      <c r="H12" s="2">
        <v>2953</v>
      </c>
      <c r="I12" s="13">
        <f t="shared" si="1"/>
        <v>100</v>
      </c>
      <c r="J12" s="13">
        <v>10.402869757174393</v>
      </c>
      <c r="K12" s="23">
        <v>9215.9023178807947</v>
      </c>
    </row>
    <row r="13" spans="1:11" s="4" customFormat="1" ht="16.5" customHeight="1">
      <c r="A13" s="11" t="s">
        <v>19</v>
      </c>
      <c r="B13" s="12">
        <v>3181</v>
      </c>
      <c r="C13" s="2">
        <v>3181</v>
      </c>
      <c r="D13" s="13">
        <f t="shared" si="0"/>
        <v>100</v>
      </c>
      <c r="E13" s="13">
        <v>11.4</v>
      </c>
      <c r="F13" s="23">
        <v>11267.119241192411</v>
      </c>
      <c r="G13" s="12">
        <v>2933</v>
      </c>
      <c r="H13" s="2">
        <v>2933</v>
      </c>
      <c r="I13" s="13">
        <f t="shared" si="1"/>
        <v>100</v>
      </c>
      <c r="J13" s="13">
        <v>14.548356404039165</v>
      </c>
      <c r="K13" s="23">
        <v>13227.802093244529</v>
      </c>
    </row>
    <row r="14" spans="1:11" s="4" customFormat="1" ht="16.5" customHeight="1">
      <c r="A14" s="11" t="s">
        <v>20</v>
      </c>
      <c r="B14" s="12">
        <v>3181</v>
      </c>
      <c r="C14" s="2">
        <v>3181</v>
      </c>
      <c r="D14" s="13">
        <f t="shared" si="0"/>
        <v>100</v>
      </c>
      <c r="E14" s="13">
        <v>15.7</v>
      </c>
      <c r="F14" s="23">
        <v>15526.5645342312</v>
      </c>
      <c r="G14" s="12">
        <v>2990</v>
      </c>
      <c r="H14" s="2">
        <v>2990</v>
      </c>
      <c r="I14" s="13">
        <f t="shared" si="1"/>
        <v>100</v>
      </c>
      <c r="J14" s="13">
        <v>25.672686114112263</v>
      </c>
      <c r="K14" s="23">
        <v>23796.012759170655</v>
      </c>
    </row>
    <row r="15" spans="1:11" s="4" customFormat="1" ht="16.5" customHeight="1">
      <c r="A15" s="11" t="s">
        <v>21</v>
      </c>
      <c r="B15" s="12">
        <v>3181</v>
      </c>
      <c r="C15" s="2">
        <v>3181</v>
      </c>
      <c r="D15" s="13">
        <f t="shared" si="0"/>
        <v>100</v>
      </c>
      <c r="E15" s="13">
        <v>19.3</v>
      </c>
      <c r="F15" s="23">
        <v>18381.705198776759</v>
      </c>
      <c r="G15" s="12">
        <v>2942</v>
      </c>
      <c r="H15" s="2">
        <v>2942</v>
      </c>
      <c r="I15" s="13">
        <f t="shared" si="1"/>
        <v>100</v>
      </c>
      <c r="J15" s="13">
        <v>22.46833737537052</v>
      </c>
      <c r="K15" s="23">
        <v>19830.554567502022</v>
      </c>
    </row>
    <row r="16" spans="1:11" s="4" customFormat="1" ht="16.5" customHeight="1">
      <c r="A16" s="11" t="s">
        <v>22</v>
      </c>
      <c r="B16" s="12">
        <v>3208</v>
      </c>
      <c r="C16" s="2">
        <v>3208</v>
      </c>
      <c r="D16" s="13">
        <f t="shared" si="0"/>
        <v>100</v>
      </c>
      <c r="E16" s="13">
        <v>28.2</v>
      </c>
      <c r="F16" s="23">
        <v>28075.702650290885</v>
      </c>
      <c r="G16" s="12">
        <v>2994</v>
      </c>
      <c r="H16" s="2">
        <v>2994</v>
      </c>
      <c r="I16" s="13">
        <f t="shared" si="1"/>
        <v>100</v>
      </c>
      <c r="J16" s="13">
        <v>28.513254551261575</v>
      </c>
      <c r="K16" s="23">
        <v>26464.29207920792</v>
      </c>
    </row>
    <row r="17" spans="1:25" s="4" customFormat="1" ht="16.5" customHeight="1">
      <c r="A17" s="11" t="s">
        <v>23</v>
      </c>
      <c r="B17" s="12">
        <v>2741</v>
      </c>
      <c r="C17" s="2">
        <v>2741</v>
      </c>
      <c r="D17" s="13">
        <f t="shared" si="0"/>
        <v>100</v>
      </c>
      <c r="E17" s="13">
        <v>28.4</v>
      </c>
      <c r="F17" s="23">
        <v>23373.77593722755</v>
      </c>
      <c r="G17" s="12">
        <v>3028</v>
      </c>
      <c r="H17" s="2">
        <v>3028</v>
      </c>
      <c r="I17" s="13">
        <f t="shared" si="1"/>
        <v>100</v>
      </c>
      <c r="J17" s="13">
        <v>31.842966194111234</v>
      </c>
      <c r="K17" s="23">
        <v>28926.150490730644</v>
      </c>
    </row>
    <row r="18" spans="1:25" s="4" customFormat="1" ht="16.5" customHeight="1">
      <c r="A18" s="14" t="s">
        <v>24</v>
      </c>
      <c r="B18" s="15">
        <v>2830</v>
      </c>
      <c r="C18" s="16">
        <v>2830</v>
      </c>
      <c r="D18" s="17">
        <f t="shared" si="0"/>
        <v>100</v>
      </c>
      <c r="E18" s="17">
        <v>19.3</v>
      </c>
      <c r="F18" s="24">
        <v>16892.383900928791</v>
      </c>
      <c r="G18" s="15">
        <v>3078</v>
      </c>
      <c r="H18" s="16">
        <v>3078</v>
      </c>
      <c r="I18" s="17">
        <f t="shared" si="1"/>
        <v>100</v>
      </c>
      <c r="J18" s="17">
        <v>29.696482292318233</v>
      </c>
      <c r="K18" s="24">
        <v>28335.78947368421</v>
      </c>
    </row>
    <row r="19" spans="1:25" ht="19.5" customHeight="1">
      <c r="A19" s="1" t="s">
        <v>0</v>
      </c>
      <c r="B19" s="19"/>
      <c r="C19" s="25"/>
      <c r="D19" s="25"/>
      <c r="E19" s="25"/>
      <c r="F19" s="26" t="s">
        <v>25</v>
      </c>
      <c r="G19" s="26"/>
      <c r="H19" s="26"/>
      <c r="I19" s="26"/>
      <c r="J19" s="26"/>
      <c r="K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1.25" customHeight="1">
      <c r="A20" s="29" t="s">
        <v>26</v>
      </c>
      <c r="B20" s="21"/>
    </row>
    <row r="21" spans="1:25" ht="11.25" customHeight="1">
      <c r="A21" s="30" t="s">
        <v>27</v>
      </c>
      <c r="B21" s="21"/>
    </row>
    <row r="22" spans="1:25" ht="18.75" customHeight="1">
      <c r="A22" s="18"/>
      <c r="B22" s="21"/>
    </row>
    <row r="23" spans="1:25" ht="18.75" customHeight="1">
      <c r="A23" s="18"/>
      <c r="B23" s="21"/>
    </row>
    <row r="24" spans="1:25" ht="18.75" customHeight="1">
      <c r="A24" s="18"/>
      <c r="B24" s="21"/>
    </row>
    <row r="25" spans="1:25" ht="18.75" customHeight="1">
      <c r="A25" s="18"/>
      <c r="B25" s="13"/>
    </row>
    <row r="26" spans="1:25" ht="18.75" customHeight="1">
      <c r="A26" s="18"/>
      <c r="B26" s="13"/>
    </row>
    <row r="27" spans="1:25" ht="18.75" customHeight="1">
      <c r="A27" s="18"/>
      <c r="B27" s="13"/>
    </row>
    <row r="28" spans="1:25" ht="18.75" customHeight="1">
      <c r="A28" s="18"/>
      <c r="B28" s="13"/>
    </row>
    <row r="29" spans="1:25" ht="18.75" customHeight="1">
      <c r="A29" s="18"/>
      <c r="B29" s="13"/>
    </row>
    <row r="30" spans="1:25" ht="18.75" customHeight="1">
      <c r="A30" s="18"/>
      <c r="B30" s="13"/>
    </row>
    <row r="31" spans="1:25" ht="9.75" customHeight="1">
      <c r="A31" s="18"/>
      <c r="B31" s="13"/>
    </row>
    <row r="32" spans="1:25" ht="18.75" customHeight="1">
      <c r="A32" s="18"/>
      <c r="B32" s="13"/>
    </row>
    <row r="33" spans="1:13" ht="18.75" customHeight="1">
      <c r="A33" s="18"/>
      <c r="B33" s="13"/>
    </row>
    <row r="34" spans="1:13" ht="12.75">
      <c r="B34" s="13"/>
    </row>
    <row r="35" spans="1:13" ht="12.75">
      <c r="B35" s="13"/>
    </row>
    <row r="36" spans="1:13" ht="12.75">
      <c r="B36" s="13"/>
      <c r="F36" s="4"/>
      <c r="G36" s="4"/>
      <c r="H36" s="4"/>
      <c r="I36" s="4"/>
      <c r="J36" s="4"/>
      <c r="K36" s="4"/>
      <c r="L36" s="4"/>
      <c r="M36" s="4"/>
    </row>
    <row r="50" spans="6:13" ht="12.75">
      <c r="F50" s="4"/>
      <c r="G50" s="4"/>
      <c r="H50" s="4"/>
      <c r="I50" s="4"/>
      <c r="J50" s="4"/>
      <c r="K50" s="4"/>
      <c r="L50" s="4"/>
      <c r="M50" s="4"/>
    </row>
    <row r="70" spans="15:15">
      <c r="O70" s="20"/>
    </row>
    <row r="71" spans="15:15">
      <c r="O71" s="20"/>
    </row>
  </sheetData>
  <mergeCells count="5">
    <mergeCell ref="A1:K1"/>
    <mergeCell ref="A2:K2"/>
    <mergeCell ref="A3:A5"/>
    <mergeCell ref="G3:K3"/>
    <mergeCell ref="B3:F3"/>
  </mergeCells>
  <pageMargins left="0.7" right="0.7" top="0.75" bottom="0.75" header="0.3" footer="0.3"/>
  <pageSetup paperSize="9" scale="5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2025-06-01T07:18:51Z</cp:lastPrinted>
  <dcterms:created xsi:type="dcterms:W3CDTF">2019-02-27T06:18:18Z</dcterms:created>
  <dcterms:modified xsi:type="dcterms:W3CDTF">2025-06-01T07:19:33Z</dcterms:modified>
</cp:coreProperties>
</file>