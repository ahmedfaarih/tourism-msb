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ourism\"/>
    </mc:Choice>
  </mc:AlternateContent>
  <xr:revisionPtr revIDLastSave="0" documentId="13_ncr:1_{2106E7A7-6AD2-4B2E-80EB-6E8C1DD0E115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6" sheetId="6" r:id="rId1"/>
  </sheets>
  <definedNames>
    <definedName name="_xlnm.Print_Area" localSheetId="0">'10.6'!$A$1:$K$46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6" l="1"/>
  <c r="I18" i="6"/>
  <c r="I17" i="6"/>
  <c r="I16" i="6"/>
  <c r="I15" i="6"/>
  <c r="I14" i="6"/>
  <c r="I13" i="6"/>
  <c r="I12" i="6"/>
  <c r="I11" i="6"/>
  <c r="I10" i="6"/>
  <c r="I9" i="6"/>
  <c r="I8" i="6"/>
  <c r="K7" i="6"/>
  <c r="J7" i="6"/>
  <c r="H7" i="6"/>
  <c r="G7" i="6"/>
  <c r="I7" i="6" l="1"/>
  <c r="D19" i="6" l="1"/>
  <c r="D18" i="6"/>
  <c r="D17" i="6"/>
  <c r="D16" i="6"/>
  <c r="D15" i="6"/>
  <c r="D14" i="6"/>
  <c r="D13" i="6"/>
  <c r="D12" i="6"/>
  <c r="D11" i="6"/>
  <c r="D10" i="6"/>
  <c r="D9" i="6"/>
  <c r="D8" i="6"/>
  <c r="F7" i="6"/>
  <c r="E7" i="6"/>
  <c r="C7" i="6"/>
  <c r="B7" i="6"/>
  <c r="D7" i="6" l="1"/>
</calcChain>
</file>

<file path=xl/sharedStrings.xml><?xml version="1.0" encoding="utf-8"?>
<sst xmlns="http://schemas.openxmlformats.org/spreadsheetml/2006/main" count="40" uniqueCount="31">
  <si>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</si>
  <si>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</si>
  <si>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</si>
  <si>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</si>
  <si>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</si>
  <si>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</si>
  <si>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</si>
  <si>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</si>
  <si>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</si>
  <si>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</si>
  <si>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</si>
  <si>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</si>
  <si>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</si>
  <si>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</si>
  <si>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</si>
  <si>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</si>
  <si>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</si>
  <si>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</si>
  <si>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</si>
  <si>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</si>
  <si>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</si>
  <si>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</si>
  <si>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</si>
  <si>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</si>
  <si>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</si>
  <si>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</si>
  <si>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</si>
  <si>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</si>
  <si>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Beds in operation</t>
  </si>
  <si>
    <t>2024 - 2023  ,urwvcnim unuverukcnunEb wgWjegudnea iaWa wgWj egudnea egukwtcsuawhcTcseg uhwmcswmikea : 10.6 ulwvWt</t>
  </si>
  <si>
    <t>Table  10.6: BED CAPACITY AND UTILIZATION OF GUEST HOUSES BY MONTH,  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</si>
</sst>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7" formatCode="#,##0.0"/>
    <numFmt numFmtId="171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2"/>
      <color theme="1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9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2" fillId="0" borderId="0"/>
    <xf numFmtId="0" fontId="3" fillId="0" borderId="0"/>
    <xf numFmtId="43" fontId="3" fillId="0" borderId="0" applyFont="0" applyFill="0" applyBorder="0" applyAlignment="0" applyProtection="0"/>
    <xf numFmtId="171" fontId="13" fillId="0" borderId="0"/>
    <xf numFmtId="1" fontId="14" fillId="0" borderId="12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2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  <xf numFmtId="0" fontId="3" fillId="0" borderId="0"/>
    <xf numFmtId="1" fontId="14" fillId="0" borderId="12" applyNumberFormat="0"/>
    <xf numFmtId="0" fontId="1" fillId="0" borderId="0"/>
    <xf numFmtId="0" fontId="4" fillId="0" borderId="0"/>
    <xf numFmtId="0" fontId="17" fillId="0" borderId="0" applyFill="0" applyProtection="0"/>
    <xf numFmtId="1" fontId="14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4" fillId="0" borderId="0"/>
    <xf numFmtId="0" fontId="17" fillId="0" borderId="0" applyFill="0" applyProtection="0"/>
    <xf numFmtId="1" fontId="14" fillId="0" borderId="12" applyNumberFormat="0"/>
    <xf numFmtId="0" fontId="1" fillId="0" borderId="0"/>
    <xf numFmtId="0" fontId="3" fillId="0" borderId="0"/>
    <xf numFmtId="0" fontId="18" fillId="0" borderId="0"/>
    <xf numFmtId="0" fontId="19" fillId="0" borderId="0"/>
    <xf numFmtId="0" fontId="3" fillId="0" borderId="0"/>
    <xf numFmtId="0" fontId="18" fillId="0" borderId="0"/>
    <xf numFmtId="0" fontId="20" fillId="0" borderId="0"/>
    <xf numFmtId="0" fontId="18" fillId="0" borderId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20" fillId="0" borderId="0" applyBorder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0" fillId="0" borderId="0" applyBorder="0"/>
    <xf numFmtId="0" fontId="1" fillId="0" borderId="0"/>
    <xf numFmtId="0" fontId="1" fillId="0" borderId="0"/>
    <xf numFmtId="1" fontId="14" fillId="0" borderId="12" applyNumberFormat="0"/>
    <xf numFmtId="1" fontId="14" fillId="0" borderId="12" applyNumberFormat="0"/>
    <xf numFmtId="1" fontId="14" fillId="0" borderId="12" applyNumberFormat="0"/>
    <xf numFmtId="1" fontId="14" fillId="0" borderId="12" applyNumberFormat="0"/>
    <xf numFmtId="1" fontId="14" fillId="0" borderId="12" applyNumberFormat="0"/>
    <xf numFmtId="1" fontId="14" fillId="0" borderId="12" applyNumberFormat="0"/>
    <xf numFmtId="1" fontId="14" fillId="0" borderId="12" applyNumberFormat="0"/>
    <xf numFmtId="0" fontId="1" fillId="0" borderId="0"/>
    <xf numFmtId="0" fontId="1" fillId="0" borderId="0"/>
    <xf numFmtId="0" fontId="20" fillId="0" borderId="0" applyBorder="0"/>
    <xf numFmtId="0" fontId="20" fillId="0" borderId="0"/>
    <xf numFmtId="0" fontId="1" fillId="0" borderId="0"/>
    <xf numFmtId="0" fontId="4" fillId="0" borderId="0"/>
    <xf numFmtId="0" fontId="4" fillId="0" borderId="0"/>
    <xf numFmtId="1" fontId="14" fillId="0" borderId="12" applyNumberFormat="0"/>
    <xf numFmtId="0" fontId="20" fillId="0" borderId="0" applyBorder="0"/>
    <xf numFmtId="0" fontId="20" fillId="0" borderId="0" applyBorder="0"/>
    <xf numFmtId="0" fontId="4" fillId="0" borderId="0"/>
    <xf numFmtId="0" fontId="3" fillId="0" borderId="0"/>
  </cellStyleXfs>
  <cellXfs count="36">
    <xf numFmtId="0" fontId="0" fillId="0" borderId="0" xfId="0"/>
    <xf numFmtId="0" fontId="5" fillId="2" borderId="0" xfId="0" applyFont="1" applyFill="1" applyAlignment="1">
      <alignment horizontal="lef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9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right" vertical="center" wrapText="1"/>
    </xf>
    <xf numFmtId="3" fontId="2" fillId="2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indent="3"/>
    </xf>
    <xf numFmtId="0" fontId="2" fillId="2" borderId="0" xfId="0" applyFont="1" applyFill="1" applyAlignment="1">
      <alignment horizontal="left" vertical="center" wrapText="1"/>
    </xf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167" fontId="2" fillId="2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3" fontId="0" fillId="2" borderId="11" xfId="0" applyNumberFormat="1" applyFill="1" applyBorder="1" applyAlignment="1">
      <alignment horizontal="right" vertical="center"/>
    </xf>
    <xf numFmtId="164" fontId="0" fillId="2" borderId="1" xfId="0" applyNumberFormat="1" applyFill="1" applyBorder="1" applyAlignment="1">
      <alignment horizontal="center" vertical="center"/>
    </xf>
    <xf numFmtId="3" fontId="0" fillId="2" borderId="9" xfId="0" applyNumberFormat="1" applyFill="1" applyBorder="1" applyAlignment="1">
      <alignment horizontal="right" vertical="center"/>
    </xf>
    <xf numFmtId="3" fontId="2" fillId="2" borderId="10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left" vertical="center" indent="1"/>
    </xf>
    <xf numFmtId="0" fontId="0" fillId="2" borderId="1" xfId="0" applyFill="1" applyBorder="1" applyAlignment="1">
      <alignment horizontal="left" vertical="center" indent="1"/>
    </xf>
    <xf numFmtId="0" fontId="10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3" fontId="0" fillId="2" borderId="5" xfId="0" applyNumberFormat="1" applyFill="1" applyBorder="1" applyAlignment="1">
      <alignment horizontal="right" vertical="center"/>
    </xf>
  </cellXfs>
  <cellStyles count="79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18" xfId="64" xr:uid="{C428DA61-20F8-4842-A18B-7FA043B482A4}"/>
    <cellStyle name="Normal 19" xfId="65" xr:uid="{EACCE844-16D2-420C-B840-ACEE6225450A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2 5 2" xfId="67" xr:uid="{C22BCFAD-F32E-457E-938E-ABEE683A2342}"/>
    <cellStyle name="Normal 2 6" xfId="68" xr:uid="{FEC1E65A-B873-4B1D-8CA3-90C7267B1DBB}"/>
    <cellStyle name="Normal 2 7" xfId="71" xr:uid="{1F813466-FC69-4C83-8E34-944476152EEC}"/>
    <cellStyle name="Normal 20" xfId="66" xr:uid="{6BBCB359-6445-479F-B974-2714BC50CD98}"/>
    <cellStyle name="Normal 21" xfId="72" xr:uid="{ED747AB2-D527-4275-89BF-F4D42E0C64B3}"/>
    <cellStyle name="Normal 22" xfId="73" xr:uid="{8E332121-172D-4CE3-830C-64EBB89E6CB3}"/>
    <cellStyle name="Normal 23" xfId="74" xr:uid="{DB6A6BF5-DDB4-454B-9671-9B4525D9FEF0}"/>
    <cellStyle name="Normal 24" xfId="75" xr:uid="{DB5E392E-84E8-49A0-A5E9-BE8B736EFA85}"/>
    <cellStyle name="Normal 25" xfId="76" xr:uid="{6753E3D1-5C90-4E93-BA77-A2FB0D20D5D4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2 3" xfId="78" xr:uid="{2702B235-7DDF-4A16-AFF9-4947AD331AEF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3 6" xfId="69" xr:uid="{147BF9F4-9920-475F-AFAF-1D72BEB5A6F8}"/>
    <cellStyle name="Normal 3 7" xfId="70" xr:uid="{C369A487-A923-4CFF-B26E-A8A707B5AE2D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4 5" xfId="77" xr:uid="{29A6969F-54E4-4383-BF5F-A7F4F715B13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CFDFE"/>
      <color rgb="FF003399"/>
      <color rgb="FF7E5400"/>
      <color rgb="FF33CCCC"/>
      <color rgb="FFF3F6FB"/>
      <color rgb="FFEEEEEE"/>
      <color rgb="FFFFF7E7"/>
      <color rgb="FFAEAAAA"/>
      <color rgb="FF9BC2E6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10.10:  Bed capacity and beds in operation in</a:t>
            </a:r>
            <a:r>
              <a:rPr lang="en-US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 Guest Houses</a:t>
            </a:r>
            <a:r>
              <a:rPr lang="en-US" sz="1200" b="1" i="0" baseline="0">
                <a:effectLst/>
              </a:rPr>
              <a:t>, 2024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4379309430904933"/>
          <c:y val="4.03598665211096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138863235587776E-2"/>
          <c:y val="0.14802589676290465"/>
          <c:w val="0.90029650250643645"/>
          <c:h val="0.691134768153980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'10.6'!$G$6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strRef>
              <c:f>'10.6'!$A$8:$A$19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'10.6'!$G$8:$G$19</c:f>
              <c:numCache>
                <c:formatCode>#,##0</c:formatCode>
                <c:ptCount val="12"/>
                <c:pt idx="0">
                  <c:v>13829</c:v>
                </c:pt>
                <c:pt idx="1">
                  <c:v>14003</c:v>
                </c:pt>
                <c:pt idx="2">
                  <c:v>14211</c:v>
                </c:pt>
                <c:pt idx="3">
                  <c:v>14385</c:v>
                </c:pt>
                <c:pt idx="4">
                  <c:v>14421</c:v>
                </c:pt>
                <c:pt idx="5">
                  <c:v>14575</c:v>
                </c:pt>
                <c:pt idx="6">
                  <c:v>14727</c:v>
                </c:pt>
                <c:pt idx="7">
                  <c:v>14845</c:v>
                </c:pt>
                <c:pt idx="8">
                  <c:v>15037</c:v>
                </c:pt>
                <c:pt idx="9">
                  <c:v>14997</c:v>
                </c:pt>
                <c:pt idx="10">
                  <c:v>15325</c:v>
                </c:pt>
                <c:pt idx="11">
                  <c:v>15491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6-4C33-930A-E5B6914CD652}"/>
            </c:ext>
          </c:extLst>
        </c:ser>
        <c:ser>
          <c:idx val="1"/>
          <c:order val="1"/>
          <c:tx>
            <c:strRef>
              <c:f>'10.6'!$H$6</c:f>
              <c:strCache>
                <c:ptCount val="1"/>
                <c:pt idx="0">
                  <c:v>Beds in operation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'10.6'!$A$8:$A$19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'10.6'!$H$8:$H$19</c:f>
              <c:numCache>
                <c:formatCode>#,##0</c:formatCode>
                <c:ptCount val="12"/>
                <c:pt idx="0">
                  <c:v>13829</c:v>
                </c:pt>
                <c:pt idx="1">
                  <c:v>14003</c:v>
                </c:pt>
                <c:pt idx="2">
                  <c:v>14211</c:v>
                </c:pt>
                <c:pt idx="3">
                  <c:v>14385</c:v>
                </c:pt>
                <c:pt idx="4">
                  <c:v>14421</c:v>
                </c:pt>
                <c:pt idx="5">
                  <c:v>14575</c:v>
                </c:pt>
                <c:pt idx="6">
                  <c:v>14727</c:v>
                </c:pt>
                <c:pt idx="7">
                  <c:v>14845</c:v>
                </c:pt>
                <c:pt idx="8">
                  <c:v>15037</c:v>
                </c:pt>
                <c:pt idx="9">
                  <c:v>14997</c:v>
                </c:pt>
                <c:pt idx="10">
                  <c:v>15325</c:v>
                </c:pt>
                <c:pt idx="11">
                  <c:v>15491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6-4C33-930A-E5B6914CD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4768200"/>
        <c:axId val="404768592"/>
      </c:barChart>
      <c:catAx>
        <c:axId val="40476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592"/>
        <c:crosses val="autoZero"/>
        <c:auto val="1"/>
        <c:lblAlgn val="ctr"/>
        <c:lblOffset val="100"/>
        <c:noMultiLvlLbl val="0"/>
      </c:catAx>
      <c:valAx>
        <c:axId val="404768592"/>
        <c:scaling>
          <c:orientation val="minMax"/>
          <c:max val="16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7682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7.8449064120356307E-2"/>
          <c:y val="0.15800160979877506"/>
          <c:w val="0.35730125952250286"/>
          <c:h val="6.1751808462966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1285874</xdr:colOff>
      <xdr:row>24</xdr:row>
      <xdr:rowOff>38100</xdr:rowOff>
    </xdr:from>
    <xdr:to>
      <xdr:col>10</xdr:col>
      <xdr:colOff>457200</xdr:colOff>
      <xdr:row>44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53"/>
  <sheetViews>
    <sheetView tabSelected="1" zoomScaleNormal="100" workbookViewId="0">
      <selection activeCell="Q13" sqref="Q13"/>
    </sheetView>
  </sheetViews>
  <sheetFormatPr defaultColWidth="9.140625" defaultRowHeight="12"/>
  <cols>
    <col min="1" max="1" width="19.28515625" style="2" customWidth="1"/>
    <col min="2" max="6" width="15.140625" style="2" customWidth="1"/>
    <col min="7" max="7" width="13.42578125" style="2" bestFit="1" customWidth="1"/>
    <col min="8" max="8" width="10.28515625" style="2" customWidth="1"/>
    <col min="9" max="9" width="14.28515625" style="2" customWidth="1"/>
    <col min="10" max="10" width="10.7109375" style="2" customWidth="1"/>
    <col min="11" max="11" width="11.42578125" style="2" customWidth="1"/>
    <col min="12" max="16384" width="9.140625" style="2"/>
  </cols>
  <sheetData>
    <row r="1" spans="1:11" ht="18.75">
      <c r="A1" s="34" t="s">
        <v>29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2.75">
      <c r="A2" s="28" t="s">
        <v>30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12.75">
      <c r="A3" s="12"/>
    </row>
    <row r="4" spans="1:11" s="3" customFormat="1" ht="12.75">
      <c r="A4" s="29" t="s">
        <v>2</v>
      </c>
      <c r="B4" s="32">
        <v>2023</v>
      </c>
      <c r="C4" s="33"/>
      <c r="D4" s="33"/>
      <c r="E4" s="33"/>
      <c r="F4" s="33"/>
      <c r="G4" s="32">
        <v>2024</v>
      </c>
      <c r="H4" s="33"/>
      <c r="I4" s="33"/>
      <c r="J4" s="33"/>
      <c r="K4" s="33"/>
    </row>
    <row r="5" spans="1:11" s="3" customFormat="1" ht="56.25" customHeight="1">
      <c r="A5" s="30"/>
      <c r="B5" s="4" t="s">
        <v>3</v>
      </c>
      <c r="C5" s="5" t="s">
        <v>4</v>
      </c>
      <c r="D5" s="5" t="s">
        <v>1</v>
      </c>
      <c r="E5" s="5" t="s">
        <v>5</v>
      </c>
      <c r="F5" s="5" t="s">
        <v>6</v>
      </c>
      <c r="G5" s="4" t="s">
        <v>3</v>
      </c>
      <c r="H5" s="5" t="s">
        <v>4</v>
      </c>
      <c r="I5" s="5" t="s">
        <v>1</v>
      </c>
      <c r="J5" s="5" t="s">
        <v>5</v>
      </c>
      <c r="K5" s="5" t="s">
        <v>6</v>
      </c>
    </row>
    <row r="6" spans="1:11" s="3" customFormat="1" ht="51.75" customHeight="1">
      <c r="A6" s="31"/>
      <c r="B6" s="14" t="s">
        <v>11</v>
      </c>
      <c r="C6" s="13" t="s">
        <v>7</v>
      </c>
      <c r="D6" s="13" t="s">
        <v>8</v>
      </c>
      <c r="E6" s="13" t="s">
        <v>9</v>
      </c>
      <c r="F6" s="9" t="s">
        <v>10</v>
      </c>
      <c r="G6" s="14" t="s">
        <v>11</v>
      </c>
      <c r="H6" s="13" t="s">
        <v>28</v>
      </c>
      <c r="I6" s="13" t="s">
        <v>8</v>
      </c>
      <c r="J6" s="13" t="s">
        <v>9</v>
      </c>
      <c r="K6" s="9" t="s">
        <v>10</v>
      </c>
    </row>
    <row r="7" spans="1:11" s="3" customFormat="1" ht="18.75" customHeight="1">
      <c r="A7" s="17" t="s">
        <v>12</v>
      </c>
      <c r="B7" s="25">
        <f>AVERAGE(B8:B19)</f>
        <v>14784.583333333334</v>
      </c>
      <c r="C7" s="10">
        <f>AVERAGE(C8:C19)</f>
        <v>14784.583333333334</v>
      </c>
      <c r="D7" s="20">
        <f>AVERAGE(D8:D19)</f>
        <v>100</v>
      </c>
      <c r="E7" s="20">
        <f>AVERAGE(E8:E19)</f>
        <v>42.708333333333336</v>
      </c>
      <c r="F7" s="10">
        <f>SUM(F8:F19)</f>
        <v>2294204.278236107</v>
      </c>
      <c r="G7" s="25">
        <f>AVERAGE(G8:G19)</f>
        <v>14653.833333333334</v>
      </c>
      <c r="H7" s="10">
        <f>AVERAGE(H8:H19)</f>
        <v>14653.833333333334</v>
      </c>
      <c r="I7" s="20">
        <f>AVERAGE(I8:I19)</f>
        <v>100</v>
      </c>
      <c r="J7" s="20">
        <f>AVERAGE(J8:J19)</f>
        <v>37.201937135104274</v>
      </c>
      <c r="K7" s="10">
        <f>SUM(K8:K19)</f>
        <v>1989011.3395382215</v>
      </c>
    </row>
    <row r="8" spans="1:11" s="3" customFormat="1" ht="15">
      <c r="A8" s="26" t="s">
        <v>13</v>
      </c>
      <c r="B8" s="22">
        <v>14486</v>
      </c>
      <c r="C8" s="18">
        <v>14486</v>
      </c>
      <c r="D8" s="21">
        <f>C8/B8*100</f>
        <v>100</v>
      </c>
      <c r="E8" s="21">
        <v>50.3</v>
      </c>
      <c r="F8" s="35">
        <v>225877.13595765794</v>
      </c>
      <c r="G8" s="18">
        <v>13829</v>
      </c>
      <c r="H8" s="18">
        <v>13829</v>
      </c>
      <c r="I8" s="21">
        <f>H8/G8*100</f>
        <v>100</v>
      </c>
      <c r="J8" s="21">
        <v>52.094902271035537</v>
      </c>
      <c r="K8" s="18">
        <v>223330.32508690664</v>
      </c>
    </row>
    <row r="9" spans="1:11" s="3" customFormat="1" ht="15">
      <c r="A9" s="26" t="s">
        <v>14</v>
      </c>
      <c r="B9" s="22">
        <v>14570</v>
      </c>
      <c r="C9" s="18">
        <v>14570</v>
      </c>
      <c r="D9" s="21">
        <f t="shared" ref="D9:D19" si="0">C9/B9*100</f>
        <v>100</v>
      </c>
      <c r="E9" s="21">
        <v>53.3</v>
      </c>
      <c r="F9" s="18">
        <v>217610.46626984127</v>
      </c>
      <c r="G9" s="22">
        <v>14003</v>
      </c>
      <c r="H9" s="18">
        <v>14003</v>
      </c>
      <c r="I9" s="21">
        <f t="shared" ref="I9:I19" si="1">H9/G9*100</f>
        <v>100</v>
      </c>
      <c r="J9" s="21">
        <v>53.39546095543939</v>
      </c>
      <c r="K9" s="18">
        <v>216832.02553011515</v>
      </c>
    </row>
    <row r="10" spans="1:11" s="3" customFormat="1" ht="15">
      <c r="A10" s="26" t="s">
        <v>15</v>
      </c>
      <c r="B10" s="22">
        <v>14672</v>
      </c>
      <c r="C10" s="18">
        <v>14672</v>
      </c>
      <c r="D10" s="21">
        <f t="shared" si="0"/>
        <v>100</v>
      </c>
      <c r="E10" s="21">
        <v>48.9</v>
      </c>
      <c r="F10" s="18">
        <v>222318.18240830899</v>
      </c>
      <c r="G10" s="22">
        <v>14211</v>
      </c>
      <c r="H10" s="18">
        <v>14211</v>
      </c>
      <c r="I10" s="21">
        <f t="shared" si="1"/>
        <v>100</v>
      </c>
      <c r="J10" s="21">
        <v>45.783854022345913</v>
      </c>
      <c r="K10" s="18">
        <v>201696.64834858288</v>
      </c>
    </row>
    <row r="11" spans="1:11" s="3" customFormat="1" ht="15">
      <c r="A11" s="26" t="s">
        <v>16</v>
      </c>
      <c r="B11" s="22">
        <v>14744</v>
      </c>
      <c r="C11" s="18">
        <v>14744</v>
      </c>
      <c r="D11" s="21">
        <f t="shared" si="0"/>
        <v>100</v>
      </c>
      <c r="E11" s="21">
        <v>40.5</v>
      </c>
      <c r="F11" s="18">
        <v>178927.18644067796</v>
      </c>
      <c r="G11" s="22">
        <v>14385</v>
      </c>
      <c r="H11" s="18">
        <v>14385</v>
      </c>
      <c r="I11" s="21">
        <f t="shared" si="1"/>
        <v>100</v>
      </c>
      <c r="J11" s="21">
        <v>35.516942439446169</v>
      </c>
      <c r="K11" s="18">
        <v>153273.36509742995</v>
      </c>
    </row>
    <row r="12" spans="1:11" s="3" customFormat="1" ht="15">
      <c r="A12" s="26" t="s">
        <v>17</v>
      </c>
      <c r="B12" s="22">
        <v>14810</v>
      </c>
      <c r="C12" s="18">
        <v>14810</v>
      </c>
      <c r="D12" s="21">
        <f t="shared" si="0"/>
        <v>100</v>
      </c>
      <c r="E12" s="21">
        <v>31.1</v>
      </c>
      <c r="F12" s="18">
        <v>142877.76931070315</v>
      </c>
      <c r="G12" s="22">
        <v>14421</v>
      </c>
      <c r="H12" s="18">
        <v>14421</v>
      </c>
      <c r="I12" s="21">
        <f t="shared" si="1"/>
        <v>100</v>
      </c>
      <c r="J12" s="21">
        <v>21.499719083499858</v>
      </c>
      <c r="K12" s="18">
        <v>96114.709159976948</v>
      </c>
    </row>
    <row r="13" spans="1:11" s="3" customFormat="1" ht="15">
      <c r="A13" s="26" t="s">
        <v>18</v>
      </c>
      <c r="B13" s="22">
        <v>14924</v>
      </c>
      <c r="C13" s="18">
        <v>14924</v>
      </c>
      <c r="D13" s="21">
        <f t="shared" si="0"/>
        <v>100</v>
      </c>
      <c r="E13" s="21">
        <v>30.7</v>
      </c>
      <c r="F13" s="18">
        <v>137410.06596592968</v>
      </c>
      <c r="G13" s="22">
        <v>14575</v>
      </c>
      <c r="H13" s="18">
        <v>14575</v>
      </c>
      <c r="I13" s="21">
        <f t="shared" si="1"/>
        <v>100</v>
      </c>
      <c r="J13" s="21">
        <v>22.735987610315672</v>
      </c>
      <c r="K13" s="18">
        <v>99413.105826105282</v>
      </c>
    </row>
    <row r="14" spans="1:11" s="3" customFormat="1" ht="15">
      <c r="A14" s="26" t="s">
        <v>19</v>
      </c>
      <c r="B14" s="22">
        <v>14958</v>
      </c>
      <c r="C14" s="18">
        <v>14958</v>
      </c>
      <c r="D14" s="21">
        <f t="shared" si="0"/>
        <v>100</v>
      </c>
      <c r="E14" s="21">
        <v>39.200000000000003</v>
      </c>
      <c r="F14" s="18">
        <v>181928.69296613324</v>
      </c>
      <c r="G14" s="22">
        <v>14727</v>
      </c>
      <c r="H14" s="18">
        <v>14727</v>
      </c>
      <c r="I14" s="21">
        <f t="shared" si="1"/>
        <v>100</v>
      </c>
      <c r="J14" s="21">
        <v>31.804768940850646</v>
      </c>
      <c r="K14" s="18">
        <v>145200.53797949132</v>
      </c>
    </row>
    <row r="15" spans="1:11" s="3" customFormat="1" ht="15">
      <c r="A15" s="26" t="s">
        <v>20</v>
      </c>
      <c r="B15" s="22">
        <v>14994</v>
      </c>
      <c r="C15" s="18">
        <v>14994</v>
      </c>
      <c r="D15" s="21">
        <f t="shared" si="0"/>
        <v>100</v>
      </c>
      <c r="E15" s="21">
        <v>41</v>
      </c>
      <c r="F15" s="18">
        <v>190455.5834882856</v>
      </c>
      <c r="G15" s="22">
        <v>14845</v>
      </c>
      <c r="H15" s="18">
        <v>14845</v>
      </c>
      <c r="I15" s="21">
        <f t="shared" si="1"/>
        <v>100</v>
      </c>
      <c r="J15" s="21">
        <v>32.125042969686866</v>
      </c>
      <c r="K15" s="18">
        <v>147837.84149435046</v>
      </c>
    </row>
    <row r="16" spans="1:11" s="3" customFormat="1" ht="15">
      <c r="A16" s="26" t="s">
        <v>21</v>
      </c>
      <c r="B16" s="22">
        <v>15104</v>
      </c>
      <c r="C16" s="18">
        <v>15104</v>
      </c>
      <c r="D16" s="21">
        <f t="shared" si="0"/>
        <v>100</v>
      </c>
      <c r="E16" s="21">
        <v>36.4</v>
      </c>
      <c r="F16" s="18">
        <v>164854.84659746251</v>
      </c>
      <c r="G16" s="22">
        <v>15037</v>
      </c>
      <c r="H16" s="18">
        <v>15037</v>
      </c>
      <c r="I16" s="21">
        <f t="shared" si="1"/>
        <v>100</v>
      </c>
      <c r="J16" s="21">
        <v>31.42026631104476</v>
      </c>
      <c r="K16" s="18">
        <v>141739.96335575401</v>
      </c>
    </row>
    <row r="17" spans="1:11" s="3" customFormat="1" ht="15">
      <c r="A17" s="26" t="s">
        <v>22</v>
      </c>
      <c r="B17" s="22">
        <v>15162</v>
      </c>
      <c r="C17" s="18">
        <v>15162</v>
      </c>
      <c r="D17" s="21">
        <f t="shared" si="0"/>
        <v>100</v>
      </c>
      <c r="E17" s="21">
        <v>36.700000000000003</v>
      </c>
      <c r="F17" s="18">
        <v>172288.80916030533</v>
      </c>
      <c r="G17" s="22">
        <v>14997</v>
      </c>
      <c r="H17" s="18">
        <v>14997</v>
      </c>
      <c r="I17" s="21">
        <f t="shared" si="1"/>
        <v>100</v>
      </c>
      <c r="J17" s="21">
        <v>32.598930572709087</v>
      </c>
      <c r="K17" s="18">
        <v>151554.71015766464</v>
      </c>
    </row>
    <row r="18" spans="1:11" s="3" customFormat="1" ht="15">
      <c r="A18" s="26" t="s">
        <v>23</v>
      </c>
      <c r="B18" s="22">
        <v>15228</v>
      </c>
      <c r="C18" s="18">
        <v>15228</v>
      </c>
      <c r="D18" s="21">
        <f t="shared" si="0"/>
        <v>100</v>
      </c>
      <c r="E18" s="21">
        <v>47.2</v>
      </c>
      <c r="F18" s="18">
        <v>215749.37404580152</v>
      </c>
      <c r="G18" s="22">
        <v>15325</v>
      </c>
      <c r="H18" s="18">
        <v>15325</v>
      </c>
      <c r="I18" s="21">
        <f t="shared" si="1"/>
        <v>100</v>
      </c>
      <c r="J18" s="21">
        <v>38.701232583900364</v>
      </c>
      <c r="K18" s="18">
        <v>177928.91680448194</v>
      </c>
    </row>
    <row r="19" spans="1:11" s="3" customFormat="1" ht="15">
      <c r="A19" s="27" t="s">
        <v>24</v>
      </c>
      <c r="B19" s="24">
        <v>13763</v>
      </c>
      <c r="C19" s="19">
        <v>13763</v>
      </c>
      <c r="D19" s="23">
        <f t="shared" si="0"/>
        <v>100</v>
      </c>
      <c r="E19" s="23">
        <v>57.2</v>
      </c>
      <c r="F19" s="19">
        <v>243906.16562499999</v>
      </c>
      <c r="G19" s="24">
        <v>15491</v>
      </c>
      <c r="H19" s="19">
        <v>15491</v>
      </c>
      <c r="I19" s="23">
        <f t="shared" si="1"/>
        <v>100</v>
      </c>
      <c r="J19" s="23">
        <v>48.74613786097698</v>
      </c>
      <c r="K19" s="19">
        <v>234089.19069736227</v>
      </c>
    </row>
    <row r="20" spans="1:11" ht="20.25" customHeight="1">
      <c r="A20" s="1" t="s">
        <v>0</v>
      </c>
      <c r="B20" s="6"/>
      <c r="C20" s="6"/>
      <c r="D20" s="7"/>
      <c r="F20" s="11" t="s">
        <v>25</v>
      </c>
    </row>
    <row r="21" spans="1:11">
      <c r="A21" s="15" t="s">
        <v>26</v>
      </c>
    </row>
    <row r="22" spans="1:11">
      <c r="A22" s="16" t="s">
        <v>27</v>
      </c>
    </row>
    <row r="23" spans="1:11">
      <c r="A23" s="8"/>
    </row>
    <row r="24" spans="1:11">
      <c r="A24" s="8"/>
    </row>
    <row r="25" spans="1:11">
      <c r="A25" s="8"/>
    </row>
    <row r="26" spans="1:11">
      <c r="A26" s="8"/>
    </row>
    <row r="27" spans="1:11">
      <c r="A27" s="8"/>
    </row>
    <row r="28" spans="1:11">
      <c r="A28" s="8"/>
    </row>
    <row r="29" spans="1:11">
      <c r="A29" s="8"/>
    </row>
    <row r="30" spans="1:11">
      <c r="A30" s="8"/>
    </row>
    <row r="31" spans="1:11">
      <c r="A31" s="8"/>
    </row>
    <row r="32" spans="1:11">
      <c r="A32" s="8"/>
    </row>
    <row r="33" spans="1:5">
      <c r="A33" s="8"/>
    </row>
    <row r="34" spans="1:5">
      <c r="A34" s="8"/>
    </row>
    <row r="35" spans="1:5">
      <c r="A35" s="8"/>
    </row>
    <row r="39" spans="1:5" ht="12.75">
      <c r="E39" s="3"/>
    </row>
    <row r="53" spans="2:4" ht="12.75">
      <c r="B53" s="3"/>
      <c r="C53" s="3"/>
      <c r="D53" s="3"/>
    </row>
  </sheetData>
  <mergeCells count="5">
    <mergeCell ref="A1:K1"/>
    <mergeCell ref="A2:K2"/>
    <mergeCell ref="A4:A6"/>
    <mergeCell ref="G4:K4"/>
    <mergeCell ref="B4:F4"/>
  </mergeCells>
  <pageMargins left="0.7" right="0.7" top="0.75" bottom="0.75" header="0.3" footer="0.3"/>
  <pageSetup paperSize="9" scale="7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10.6</vt:lpstr>
      <vt:lpstr>'10.6'!Print_Area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2025-06-01T07:17:37Z</cp:lastPrinted>
  <dcterms:created xsi:type="dcterms:W3CDTF">2019-02-27T06:18:18Z</dcterms:created>
  <dcterms:modified xsi:type="dcterms:W3CDTF">2025-06-01T07:18:18Z</dcterms:modified>
</cp:coreProperties>
</file>