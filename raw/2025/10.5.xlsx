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ourism\"/>
    </mc:Choice>
  </mc:AlternateContent>
  <xr:revisionPtr revIDLastSave="0" documentId="13_ncr:1_{2C43D94B-8865-4AC5-933F-011211630EB8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5" sheetId="5" r:id="rId1"/>
  </sheets>
  <definedNames>
    <definedName name="_xlnm.Print_Area" localSheetId="0">'10.5'!$A$1:$L$37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C6" i="5"/>
  <c r="B6" i="5"/>
  <c r="I18" i="5" l="1"/>
  <c r="I17" i="5"/>
  <c r="I16" i="5"/>
  <c r="I15" i="5"/>
  <c r="I14" i="5"/>
  <c r="I13" i="5"/>
  <c r="I12" i="5"/>
  <c r="I11" i="5"/>
  <c r="I10" i="5"/>
  <c r="I9" i="5"/>
  <c r="I8" i="5"/>
  <c r="I7" i="5"/>
  <c r="K6" i="5"/>
  <c r="J6" i="5"/>
  <c r="I6" i="5" l="1"/>
  <c r="D18" i="5" l="1"/>
  <c r="D17" i="5"/>
  <c r="D16" i="5"/>
  <c r="D15" i="5"/>
  <c r="D14" i="5"/>
  <c r="D13" i="5"/>
  <c r="D12" i="5"/>
  <c r="D11" i="5"/>
  <c r="D10" i="5"/>
  <c r="D9" i="5"/>
  <c r="D8" i="5"/>
  <c r="D7" i="5"/>
  <c r="F6" i="5"/>
  <c r="E6" i="5"/>
  <c r="D6" i="5" l="1"/>
</calcChain>
</file>

<file path=xl/sharedStrings.xml><?xml version="1.0" encoding="utf-8"?>
<sst xmlns="http://schemas.openxmlformats.org/spreadsheetml/2006/main" count="40" uniqueCount="31">
  <si>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</si>
  <si>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</si>
  <si>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</si>
  <si>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</si>
  <si>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</si>
  <si>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</si>
  <si>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</si>
  <si>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</si>
  <si>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</si>
  <si>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</si>
  <si>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</si>
  <si>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</si>
  <si>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</si>
  <si>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</si>
  <si>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</si>
  <si>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</si>
  <si>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</si>
  <si>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</si>
  <si>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</si>
  <si>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</si>
  <si>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</si>
  <si>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</si>
  <si>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</si>
  <si>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</si>
  <si>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</si>
  <si>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</si>
  <si>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</si>
  <si>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</si>
  <si>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</si>
  <si>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2024 - 2023  ,urwvcnim unuverukcnunEb wgWjegudnea iaWa wgWj egudnea egukwtWToh uhwmcswmikea : 10.5 ulwvWt</t>
  </si>
  <si>
    <t>Table  10.5: BED CAPACITY AND UTILIZATION OF HOTELS BY MONTH, 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</si>
</sst>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0" fontId="2" fillId="0" borderId="0"/>
    <xf numFmtId="43" fontId="2" fillId="0" borderId="0" applyFont="0" applyFill="0" applyBorder="0" applyAlignment="0" applyProtection="0"/>
    <xf numFmtId="171" fontId="13" fillId="0" borderId="0"/>
    <xf numFmtId="1" fontId="14" fillId="0" borderId="1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4" fillId="0" borderId="13" applyNumberFormat="0"/>
    <xf numFmtId="0" fontId="1" fillId="0" borderId="0"/>
    <xf numFmtId="0" fontId="3" fillId="0" borderId="0"/>
    <xf numFmtId="0" fontId="17" fillId="0" borderId="0" applyFill="0" applyProtection="0"/>
    <xf numFmtId="1" fontId="14" fillId="0" borderId="13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3" fillId="0" borderId="0"/>
    <xf numFmtId="0" fontId="17" fillId="0" borderId="0" applyFill="0" applyProtection="0"/>
    <xf numFmtId="1" fontId="14" fillId="0" borderId="13" applyNumberFormat="0"/>
    <xf numFmtId="0" fontId="1" fillId="0" borderId="0"/>
    <xf numFmtId="0" fontId="2" fillId="0" borderId="0"/>
    <xf numFmtId="0" fontId="18" fillId="0" borderId="0"/>
    <xf numFmtId="0" fontId="19" fillId="0" borderId="0"/>
    <xf numFmtId="0" fontId="2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0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Border="0"/>
    <xf numFmtId="0" fontId="1" fillId="0" borderId="0"/>
    <xf numFmtId="0" fontId="1" fillId="0" borderId="0"/>
    <xf numFmtId="1" fontId="14" fillId="0" borderId="13" applyNumberFormat="0"/>
    <xf numFmtId="1" fontId="14" fillId="0" borderId="13" applyNumberFormat="0"/>
    <xf numFmtId="1" fontId="14" fillId="0" borderId="13" applyNumberFormat="0"/>
    <xf numFmtId="1" fontId="14" fillId="0" borderId="13" applyNumberFormat="0"/>
    <xf numFmtId="1" fontId="14" fillId="0" borderId="13" applyNumberFormat="0"/>
    <xf numFmtId="1" fontId="14" fillId="0" borderId="13" applyNumberFormat="0"/>
    <xf numFmtId="1" fontId="14" fillId="0" borderId="13" applyNumberFormat="0"/>
    <xf numFmtId="0" fontId="1" fillId="0" borderId="0"/>
    <xf numFmtId="0" fontId="1" fillId="0" borderId="0"/>
    <xf numFmtId="0" fontId="20" fillId="0" borderId="0" applyBorder="0"/>
    <xf numFmtId="0" fontId="20" fillId="0" borderId="0"/>
    <xf numFmtId="0" fontId="1" fillId="0" borderId="0"/>
    <xf numFmtId="0" fontId="3" fillId="0" borderId="0"/>
    <xf numFmtId="0" fontId="3" fillId="0" borderId="0"/>
    <xf numFmtId="1" fontId="14" fillId="0" borderId="13" applyNumberFormat="0"/>
    <xf numFmtId="0" fontId="20" fillId="0" borderId="0" applyBorder="0"/>
    <xf numFmtId="0" fontId="20" fillId="0" borderId="0" applyBorder="0"/>
    <xf numFmtId="0" fontId="3" fillId="0" borderId="0"/>
    <xf numFmtId="0" fontId="2" fillId="0" borderId="0"/>
  </cellStyleXfs>
  <cellXfs count="39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 vertical="center"/>
    </xf>
    <xf numFmtId="3" fontId="7" fillId="2" borderId="2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7" xfId="0" applyNumberFormat="1" applyFont="1" applyFill="1" applyBorder="1" applyAlignment="1">
      <alignment horizontal="center" vertical="center" wrapText="1"/>
    </xf>
    <xf numFmtId="37" fontId="8" fillId="2" borderId="8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1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2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3" fontId="7" fillId="2" borderId="10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6" fillId="2" borderId="2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horizontal="right" vertical="center"/>
    </xf>
    <xf numFmtId="0" fontId="6" fillId="2" borderId="10" xfId="0" applyFont="1" applyFill="1" applyBorder="1" applyAlignment="1">
      <alignment horizontal="right" vertical="center" wrapText="1"/>
    </xf>
    <xf numFmtId="37" fontId="8" fillId="2" borderId="8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16" fillId="2" borderId="0" xfId="0" applyFont="1" applyFill="1" applyAlignment="1">
      <alignment vertical="center"/>
    </xf>
    <xf numFmtId="3" fontId="6" fillId="2" borderId="1" xfId="0" applyNumberFormat="1" applyFont="1" applyFill="1" applyBorder="1" applyAlignment="1">
      <alignment horizontal="center"/>
    </xf>
    <xf numFmtId="0" fontId="21" fillId="2" borderId="0" xfId="0" applyFont="1" applyFill="1"/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79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CFDFE"/>
      <color rgb="FF003399"/>
      <color rgb="FF7E5400"/>
      <color rgb="FF33CCCC"/>
      <color rgb="FFF3F6FB"/>
      <color rgb="FFEEEEEE"/>
      <color rgb="FFFFF7E7"/>
      <color rgb="FFAEAAAA"/>
      <color rgb="FF9BC2E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10.9: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2024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6005066685742556"/>
          <c:y val="2.7818623899006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5253015152247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'10.5'!$G$5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'10.5'!$A$7:$A$18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'10.5'!$G$7:$G$18</c:f>
              <c:numCache>
                <c:formatCode>#,##0</c:formatCode>
                <c:ptCount val="12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2016</c:v>
                </c:pt>
                <c:pt idx="5">
                  <c:v>1956</c:v>
                </c:pt>
                <c:pt idx="6">
                  <c:v>1956</c:v>
                </c:pt>
                <c:pt idx="7">
                  <c:v>1956</c:v>
                </c:pt>
                <c:pt idx="8">
                  <c:v>1956</c:v>
                </c:pt>
                <c:pt idx="9">
                  <c:v>2028</c:v>
                </c:pt>
                <c:pt idx="10">
                  <c:v>2028</c:v>
                </c:pt>
                <c:pt idx="11">
                  <c:v>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'10.5'!$H$5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'10.5'!$H$7:$H$18</c:f>
              <c:numCache>
                <c:formatCode>#,##0</c:formatCode>
                <c:ptCount val="12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2016</c:v>
                </c:pt>
                <c:pt idx="5">
                  <c:v>1956</c:v>
                </c:pt>
                <c:pt idx="6">
                  <c:v>1956</c:v>
                </c:pt>
                <c:pt idx="7">
                  <c:v>1956</c:v>
                </c:pt>
                <c:pt idx="8">
                  <c:v>1956</c:v>
                </c:pt>
                <c:pt idx="9">
                  <c:v>2028</c:v>
                </c:pt>
                <c:pt idx="10">
                  <c:v>2028</c:v>
                </c:pt>
                <c:pt idx="11">
                  <c:v>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3104"/>
        <c:axId val="404764672"/>
      </c:barChart>
      <c:catAx>
        <c:axId val="4047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672"/>
        <c:crosses val="autoZero"/>
        <c:auto val="1"/>
        <c:lblAlgn val="ctr"/>
        <c:lblOffset val="100"/>
        <c:noMultiLvlLbl val="0"/>
      </c:catAx>
      <c:valAx>
        <c:axId val="404764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83113411142788"/>
          <c:y val="0.17721205094761927"/>
          <c:w val="0.6615334678754059"/>
          <c:h val="7.2624825405596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533396</xdr:colOff>
      <xdr:row>21</xdr:row>
      <xdr:rowOff>152400</xdr:rowOff>
    </xdr:from>
    <xdr:to>
      <xdr:col>11</xdr:col>
      <xdr:colOff>352424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3"/>
  <sheetViews>
    <sheetView tabSelected="1" zoomScaleNormal="100" zoomScaleSheetLayoutView="93" workbookViewId="0">
      <selection activeCell="Q10" sqref="Q10"/>
    </sheetView>
  </sheetViews>
  <sheetFormatPr defaultColWidth="9.140625" defaultRowHeight="12"/>
  <cols>
    <col min="1" max="1" width="13.7109375" style="6" customWidth="1"/>
    <col min="2" max="6" width="11.5703125" style="6" customWidth="1"/>
    <col min="7" max="8" width="9.140625" style="6"/>
    <col min="9" max="9" width="11.42578125" style="6" customWidth="1"/>
    <col min="10" max="10" width="11.5703125" style="6" customWidth="1"/>
    <col min="11" max="16384" width="9.140625" style="6"/>
  </cols>
  <sheetData>
    <row r="1" spans="1:11" ht="17.25" customHeight="1">
      <c r="A1" s="30" t="s">
        <v>29</v>
      </c>
      <c r="B1" s="30"/>
      <c r="C1" s="30"/>
      <c r="D1" s="30"/>
      <c r="E1" s="30"/>
      <c r="F1" s="30"/>
    </row>
    <row r="2" spans="1:11" ht="24" customHeight="1">
      <c r="A2" s="38" t="s">
        <v>30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s="7" customFormat="1" ht="18.75" customHeight="1">
      <c r="A3" s="33" t="s">
        <v>2</v>
      </c>
      <c r="B3" s="36">
        <v>2023</v>
      </c>
      <c r="C3" s="37"/>
      <c r="D3" s="37"/>
      <c r="E3" s="37"/>
      <c r="F3" s="37"/>
      <c r="G3" s="36">
        <v>2024</v>
      </c>
      <c r="H3" s="37"/>
      <c r="I3" s="37"/>
      <c r="J3" s="37"/>
      <c r="K3" s="37"/>
    </row>
    <row r="4" spans="1:11" s="7" customFormat="1" ht="72" customHeight="1">
      <c r="A4" s="34"/>
      <c r="B4" s="8" t="s">
        <v>3</v>
      </c>
      <c r="C4" s="9" t="s">
        <v>4</v>
      </c>
      <c r="D4" s="9" t="s">
        <v>1</v>
      </c>
      <c r="E4" s="9" t="s">
        <v>5</v>
      </c>
      <c r="F4" s="27" t="s">
        <v>6</v>
      </c>
      <c r="G4" s="8" t="s">
        <v>3</v>
      </c>
      <c r="H4" s="9" t="s">
        <v>4</v>
      </c>
      <c r="I4" s="9" t="s">
        <v>1</v>
      </c>
      <c r="J4" s="9" t="s">
        <v>5</v>
      </c>
      <c r="K4" s="27" t="s">
        <v>6</v>
      </c>
    </row>
    <row r="5" spans="1:11" s="7" customFormat="1" ht="46.5" customHeight="1">
      <c r="A5" s="35"/>
      <c r="B5" s="26" t="s">
        <v>11</v>
      </c>
      <c r="C5" s="24" t="s">
        <v>7</v>
      </c>
      <c r="D5" s="24" t="s">
        <v>8</v>
      </c>
      <c r="E5" s="24" t="s">
        <v>9</v>
      </c>
      <c r="F5" s="24" t="s">
        <v>10</v>
      </c>
      <c r="G5" s="26" t="s">
        <v>11</v>
      </c>
      <c r="H5" s="24" t="s">
        <v>28</v>
      </c>
      <c r="I5" s="24" t="s">
        <v>8</v>
      </c>
      <c r="J5" s="24" t="s">
        <v>9</v>
      </c>
      <c r="K5" s="24" t="s">
        <v>10</v>
      </c>
    </row>
    <row r="6" spans="1:11" s="7" customFormat="1" ht="15.75" customHeight="1">
      <c r="A6" s="10" t="s">
        <v>12</v>
      </c>
      <c r="B6" s="11">
        <f>AVERAGE(B7:B18)</f>
        <v>1765</v>
      </c>
      <c r="C6" s="12">
        <f>AVERAGE(C7:C18)</f>
        <v>1765</v>
      </c>
      <c r="D6" s="13">
        <f>AVERAGE(D7:D18)</f>
        <v>100</v>
      </c>
      <c r="E6" s="13">
        <f>AVERAGE(E7:E18)</f>
        <v>34.949999999999996</v>
      </c>
      <c r="F6" s="2">
        <f>SUM(F7:F18)</f>
        <v>224951.74479365774</v>
      </c>
      <c r="G6" s="11">
        <f>AVERAGE(G7:G18)</f>
        <v>1999</v>
      </c>
      <c r="H6" s="31">
        <f>AVERAGE(H7:H18)</f>
        <v>1999</v>
      </c>
      <c r="I6" s="13">
        <f>AVERAGE(I7:I18)</f>
        <v>100</v>
      </c>
      <c r="J6" s="13">
        <f>AVERAGE(J7:J18)</f>
        <v>28.37641510653803</v>
      </c>
      <c r="K6" s="2">
        <f>SUM(K7:K18)</f>
        <v>207686.79266109783</v>
      </c>
    </row>
    <row r="7" spans="1:11" s="7" customFormat="1" ht="16.5" customHeight="1">
      <c r="A7" s="14" t="s">
        <v>13</v>
      </c>
      <c r="B7" s="15">
        <v>1640</v>
      </c>
      <c r="C7" s="3">
        <v>1640</v>
      </c>
      <c r="D7" s="16">
        <f>C7/B7*100</f>
        <v>100</v>
      </c>
      <c r="E7" s="16">
        <v>39.1</v>
      </c>
      <c r="F7" s="4">
        <v>19859.261447562778</v>
      </c>
      <c r="G7" s="15">
        <v>2016</v>
      </c>
      <c r="H7" s="3">
        <v>2016</v>
      </c>
      <c r="I7" s="16">
        <f>H7/G7*100</f>
        <v>100</v>
      </c>
      <c r="J7" s="16">
        <v>33.602150537634408</v>
      </c>
      <c r="K7" s="4">
        <v>21000</v>
      </c>
    </row>
    <row r="8" spans="1:11" s="7" customFormat="1" ht="16.5" customHeight="1">
      <c r="A8" s="14" t="s">
        <v>14</v>
      </c>
      <c r="B8" s="15">
        <v>1640</v>
      </c>
      <c r="C8" s="3">
        <v>1640</v>
      </c>
      <c r="D8" s="16">
        <f t="shared" ref="D8:D18" si="0">C8/B8*100</f>
        <v>100</v>
      </c>
      <c r="E8" s="16">
        <v>47</v>
      </c>
      <c r="F8" s="4">
        <v>21603.272727272728</v>
      </c>
      <c r="G8" s="15">
        <v>2016</v>
      </c>
      <c r="H8" s="3">
        <v>2016</v>
      </c>
      <c r="I8" s="16">
        <f t="shared" ref="I8:I18" si="1">H8/G8*100</f>
        <v>100</v>
      </c>
      <c r="J8" s="16">
        <v>43.188970990695132</v>
      </c>
      <c r="K8" s="4">
        <v>25250</v>
      </c>
    </row>
    <row r="9" spans="1:11" s="7" customFormat="1" ht="16.5" customHeight="1">
      <c r="A9" s="14" t="s">
        <v>15</v>
      </c>
      <c r="B9" s="15">
        <v>1640</v>
      </c>
      <c r="C9" s="3">
        <v>1640</v>
      </c>
      <c r="D9" s="16">
        <f t="shared" si="0"/>
        <v>100</v>
      </c>
      <c r="E9" s="16">
        <v>38.4</v>
      </c>
      <c r="F9" s="4">
        <v>19513.289256198346</v>
      </c>
      <c r="G9" s="15">
        <v>2016</v>
      </c>
      <c r="H9" s="3">
        <v>2016</v>
      </c>
      <c r="I9" s="16">
        <f t="shared" si="1"/>
        <v>100</v>
      </c>
      <c r="J9" s="16">
        <v>31.50441628264209</v>
      </c>
      <c r="K9" s="4">
        <v>19689</v>
      </c>
    </row>
    <row r="10" spans="1:11" s="7" customFormat="1" ht="16.5" customHeight="1">
      <c r="A10" s="14" t="s">
        <v>16</v>
      </c>
      <c r="B10" s="15">
        <v>1640</v>
      </c>
      <c r="C10" s="3">
        <v>1640</v>
      </c>
      <c r="D10" s="16">
        <f t="shared" si="0"/>
        <v>100</v>
      </c>
      <c r="E10" s="16">
        <v>34.4</v>
      </c>
      <c r="F10" s="4">
        <v>16939.438016528926</v>
      </c>
      <c r="G10" s="15">
        <v>2016</v>
      </c>
      <c r="H10" s="3">
        <v>2016</v>
      </c>
      <c r="I10" s="16">
        <f t="shared" si="1"/>
        <v>100</v>
      </c>
      <c r="J10" s="16">
        <v>26.742724867724871</v>
      </c>
      <c r="K10" s="4">
        <v>16174</v>
      </c>
    </row>
    <row r="11" spans="1:11" s="7" customFormat="1" ht="16.5" customHeight="1">
      <c r="A11" s="14" t="s">
        <v>17</v>
      </c>
      <c r="B11" s="15">
        <v>1640</v>
      </c>
      <c r="C11" s="3">
        <v>1640</v>
      </c>
      <c r="D11" s="16">
        <f t="shared" si="0"/>
        <v>100</v>
      </c>
      <c r="E11" s="16">
        <v>29.1</v>
      </c>
      <c r="F11" s="4">
        <v>14780.330578512398</v>
      </c>
      <c r="G11" s="15">
        <v>2016</v>
      </c>
      <c r="H11" s="3">
        <v>2016</v>
      </c>
      <c r="I11" s="16">
        <f t="shared" si="1"/>
        <v>100</v>
      </c>
      <c r="J11" s="16">
        <v>18.81400409626216</v>
      </c>
      <c r="K11" s="4">
        <v>11758</v>
      </c>
    </row>
    <row r="12" spans="1:11" s="7" customFormat="1" ht="16.5" customHeight="1">
      <c r="A12" s="14" t="s">
        <v>18</v>
      </c>
      <c r="B12" s="15">
        <v>1640</v>
      </c>
      <c r="C12" s="3">
        <v>1640</v>
      </c>
      <c r="D12" s="16">
        <f t="shared" si="0"/>
        <v>100</v>
      </c>
      <c r="E12" s="16">
        <v>25.6</v>
      </c>
      <c r="F12" s="4">
        <v>12587.338842975207</v>
      </c>
      <c r="G12" s="15">
        <v>1956</v>
      </c>
      <c r="H12" s="3">
        <v>1956</v>
      </c>
      <c r="I12" s="16">
        <f t="shared" si="1"/>
        <v>100</v>
      </c>
      <c r="J12" s="16">
        <v>17.91397214453864</v>
      </c>
      <c r="K12" s="4">
        <v>10511.918854415275</v>
      </c>
    </row>
    <row r="13" spans="1:11" s="7" customFormat="1" ht="16.5" customHeight="1">
      <c r="A13" s="14" t="s">
        <v>19</v>
      </c>
      <c r="B13" s="15">
        <v>1640</v>
      </c>
      <c r="C13" s="3">
        <v>1640</v>
      </c>
      <c r="D13" s="16">
        <f t="shared" si="0"/>
        <v>100</v>
      </c>
      <c r="E13" s="16">
        <v>31.5</v>
      </c>
      <c r="F13" s="4">
        <v>16013.719008264463</v>
      </c>
      <c r="G13" s="15">
        <v>1956</v>
      </c>
      <c r="H13" s="3">
        <v>1956</v>
      </c>
      <c r="I13" s="16">
        <f t="shared" si="1"/>
        <v>100</v>
      </c>
      <c r="J13" s="16">
        <v>23.828629730898616</v>
      </c>
      <c r="K13" s="4">
        <v>14448.727923627685</v>
      </c>
    </row>
    <row r="14" spans="1:11" s="7" customFormat="1" ht="16.5" customHeight="1">
      <c r="A14" s="14" t="s">
        <v>20</v>
      </c>
      <c r="B14" s="15">
        <v>1940</v>
      </c>
      <c r="C14" s="3">
        <v>1940</v>
      </c>
      <c r="D14" s="16">
        <f t="shared" si="0"/>
        <v>100</v>
      </c>
      <c r="E14" s="16">
        <v>38.299999999999997</v>
      </c>
      <c r="F14" s="4">
        <v>23063.553719008265</v>
      </c>
      <c r="G14" s="15">
        <v>1956</v>
      </c>
      <c r="H14" s="3">
        <v>1956</v>
      </c>
      <c r="I14" s="16">
        <f t="shared" si="1"/>
        <v>100</v>
      </c>
      <c r="J14" s="16">
        <v>29.739668031200221</v>
      </c>
      <c r="K14" s="4">
        <v>18032.945107398569</v>
      </c>
    </row>
    <row r="15" spans="1:11" s="7" customFormat="1" ht="16.5" customHeight="1">
      <c r="A15" s="14" t="s">
        <v>21</v>
      </c>
      <c r="B15" s="15">
        <v>1940</v>
      </c>
      <c r="C15" s="3">
        <v>1940</v>
      </c>
      <c r="D15" s="16">
        <f t="shared" si="0"/>
        <v>100</v>
      </c>
      <c r="E15" s="16">
        <v>30</v>
      </c>
      <c r="F15" s="4">
        <v>17466.413223140495</v>
      </c>
      <c r="G15" s="15">
        <v>1956</v>
      </c>
      <c r="H15" s="3">
        <v>1956</v>
      </c>
      <c r="I15" s="16">
        <f t="shared" si="1"/>
        <v>100</v>
      </c>
      <c r="J15" s="16">
        <v>22.55423615483355</v>
      </c>
      <c r="K15" s="4">
        <v>13234.825775656325</v>
      </c>
    </row>
    <row r="16" spans="1:11" s="7" customFormat="1" ht="16.5" customHeight="1">
      <c r="A16" s="14" t="s">
        <v>22</v>
      </c>
      <c r="B16" s="15">
        <v>1940</v>
      </c>
      <c r="C16" s="3">
        <v>1940</v>
      </c>
      <c r="D16" s="16">
        <f t="shared" si="0"/>
        <v>100</v>
      </c>
      <c r="E16" s="16">
        <v>34.299999999999997</v>
      </c>
      <c r="F16" s="4">
        <v>20627.382671480143</v>
      </c>
      <c r="G16" s="15">
        <v>2028</v>
      </c>
      <c r="H16" s="3">
        <v>2028</v>
      </c>
      <c r="I16" s="16">
        <f t="shared" si="1"/>
        <v>100</v>
      </c>
      <c r="J16" s="16">
        <v>34.502548991537829</v>
      </c>
      <c r="K16" s="4">
        <v>21691.0625</v>
      </c>
    </row>
    <row r="17" spans="1:11" s="7" customFormat="1" ht="16.5" customHeight="1">
      <c r="A17" s="14" t="s">
        <v>23</v>
      </c>
      <c r="B17" s="15">
        <v>1940</v>
      </c>
      <c r="C17" s="3">
        <v>1940</v>
      </c>
      <c r="D17" s="16">
        <f t="shared" si="0"/>
        <v>100</v>
      </c>
      <c r="E17" s="16">
        <v>32.200000000000003</v>
      </c>
      <c r="F17" s="4">
        <v>18735.782881002087</v>
      </c>
      <c r="G17" s="15">
        <v>2028</v>
      </c>
      <c r="H17" s="3">
        <v>2028</v>
      </c>
      <c r="I17" s="16">
        <f t="shared" si="1"/>
        <v>100</v>
      </c>
      <c r="J17" s="16">
        <v>31.86030982905983</v>
      </c>
      <c r="K17" s="4">
        <v>19383.8125</v>
      </c>
    </row>
    <row r="18" spans="1:11" s="7" customFormat="1" ht="16.5" customHeight="1">
      <c r="A18" s="17" t="s">
        <v>24</v>
      </c>
      <c r="B18" s="18">
        <v>1940</v>
      </c>
      <c r="C18" s="19">
        <v>1940</v>
      </c>
      <c r="D18" s="20">
        <f t="shared" si="0"/>
        <v>100</v>
      </c>
      <c r="E18" s="20">
        <v>39.5</v>
      </c>
      <c r="F18" s="5">
        <v>23761.962421711898</v>
      </c>
      <c r="G18" s="18">
        <v>2028</v>
      </c>
      <c r="H18" s="19">
        <v>2028</v>
      </c>
      <c r="I18" s="20">
        <f t="shared" si="1"/>
        <v>100</v>
      </c>
      <c r="J18" s="20">
        <v>26.265349621429024</v>
      </c>
      <c r="K18" s="5">
        <v>16512.5</v>
      </c>
    </row>
    <row r="19" spans="1:11" ht="19.5" customHeight="1">
      <c r="A19" s="1" t="s">
        <v>0</v>
      </c>
      <c r="B19" s="23"/>
      <c r="E19" s="7"/>
      <c r="F19" s="25" t="s">
        <v>25</v>
      </c>
    </row>
    <row r="20" spans="1:11" ht="12.75" customHeight="1">
      <c r="A20" s="28" t="s">
        <v>26</v>
      </c>
    </row>
    <row r="21" spans="1:11" ht="12.75" customHeight="1">
      <c r="A21" s="29" t="s">
        <v>27</v>
      </c>
    </row>
    <row r="22" spans="1:11" ht="18.75" customHeight="1">
      <c r="A22" s="21"/>
    </row>
    <row r="23" spans="1:11" ht="18.75" customHeight="1">
      <c r="A23" s="21"/>
    </row>
    <row r="24" spans="1:11" ht="18.75" customHeight="1">
      <c r="A24" s="21"/>
    </row>
    <row r="25" spans="1:11" ht="18.75" customHeight="1">
      <c r="A25" s="21"/>
      <c r="E25" s="22"/>
    </row>
    <row r="26" spans="1:11" ht="18.75" customHeight="1">
      <c r="A26" s="21"/>
      <c r="E26" s="22"/>
    </row>
    <row r="27" spans="1:11" ht="18.75" customHeight="1">
      <c r="A27" s="21"/>
      <c r="E27" s="22"/>
    </row>
    <row r="28" spans="1:11" ht="18.75" customHeight="1">
      <c r="A28" s="21"/>
      <c r="E28" s="22"/>
    </row>
    <row r="29" spans="1:11" ht="18.75" customHeight="1">
      <c r="A29" s="21"/>
      <c r="E29" s="22"/>
    </row>
    <row r="30" spans="1:11" ht="18.75" customHeight="1">
      <c r="A30" s="21"/>
      <c r="E30" s="22"/>
    </row>
    <row r="31" spans="1:11" ht="18.75" customHeight="1">
      <c r="A31" s="21"/>
      <c r="E31" s="22"/>
    </row>
    <row r="32" spans="1:11" ht="9.75" customHeight="1">
      <c r="A32" s="21"/>
      <c r="E32" s="22"/>
    </row>
    <row r="33" spans="1:16" ht="18.75" customHeight="1">
      <c r="A33" s="21"/>
      <c r="E33" s="22"/>
    </row>
    <row r="34" spans="1:16" ht="18.75" customHeight="1">
      <c r="A34" s="21"/>
      <c r="E34" s="22"/>
    </row>
    <row r="35" spans="1:16">
      <c r="E35" s="22"/>
    </row>
    <row r="36" spans="1:16">
      <c r="E36" s="22"/>
    </row>
    <row r="37" spans="1:16">
      <c r="E37" s="22"/>
      <c r="P37" s="32"/>
    </row>
    <row r="38" spans="1:16">
      <c r="E38" s="22"/>
    </row>
    <row r="39" spans="1:16" ht="12.75">
      <c r="C39" s="7"/>
      <c r="D39" s="7"/>
      <c r="E39" s="7"/>
      <c r="F39" s="7"/>
    </row>
    <row r="40" spans="1:16" ht="12.75">
      <c r="C40" s="7"/>
      <c r="D40" s="7"/>
      <c r="E40" s="7"/>
      <c r="F40" s="7"/>
    </row>
    <row r="41" spans="1:16" ht="12.75">
      <c r="C41" s="7"/>
      <c r="D41" s="7"/>
      <c r="E41" s="7"/>
      <c r="F41" s="7"/>
    </row>
    <row r="42" spans="1:16" ht="12.75">
      <c r="C42" s="7"/>
      <c r="D42" s="7"/>
      <c r="E42" s="7"/>
      <c r="F42" s="7"/>
    </row>
    <row r="43" spans="1:16" ht="12.75">
      <c r="C43" s="7"/>
      <c r="D43" s="7"/>
      <c r="E43" s="7"/>
      <c r="F43" s="7"/>
    </row>
    <row r="44" spans="1:16" ht="12.75">
      <c r="C44" s="7"/>
      <c r="D44" s="7"/>
      <c r="E44" s="7"/>
      <c r="F44" s="7"/>
    </row>
    <row r="45" spans="1:16" ht="12.75">
      <c r="C45" s="7"/>
      <c r="D45" s="7"/>
      <c r="E45" s="7"/>
      <c r="F45" s="7"/>
    </row>
    <row r="46" spans="1:16" ht="12.75">
      <c r="C46" s="7"/>
      <c r="D46" s="7"/>
      <c r="E46" s="7"/>
      <c r="F46" s="7"/>
    </row>
    <row r="47" spans="1:16" ht="12.75">
      <c r="C47" s="7"/>
      <c r="D47" s="7"/>
      <c r="E47" s="7"/>
      <c r="F47" s="7"/>
    </row>
    <row r="48" spans="1:16" ht="12.75">
      <c r="C48" s="7"/>
      <c r="D48" s="7"/>
      <c r="E48" s="7"/>
      <c r="F48" s="7"/>
    </row>
    <row r="49" spans="3:6" ht="12.75">
      <c r="C49" s="7"/>
      <c r="D49" s="7"/>
      <c r="E49" s="7"/>
      <c r="F49" s="7"/>
    </row>
    <row r="50" spans="3:6" ht="12.75">
      <c r="C50" s="7"/>
      <c r="D50" s="7"/>
      <c r="E50" s="7"/>
      <c r="F50" s="7"/>
    </row>
    <row r="51" spans="3:6" ht="12.75">
      <c r="C51" s="7"/>
      <c r="D51" s="7"/>
      <c r="E51" s="7"/>
      <c r="F51" s="7"/>
    </row>
    <row r="52" spans="3:6" ht="12.75">
      <c r="C52" s="7"/>
      <c r="D52" s="7"/>
      <c r="E52" s="7"/>
      <c r="F52" s="7"/>
    </row>
    <row r="53" spans="3:6" ht="12.75">
      <c r="C53" s="7"/>
      <c r="D53" s="7"/>
      <c r="E53" s="7"/>
      <c r="F53" s="7"/>
    </row>
    <row r="55" spans="3:6">
      <c r="E55" s="22"/>
    </row>
    <row r="56" spans="3:6">
      <c r="E56" s="22"/>
    </row>
    <row r="57" spans="3:6">
      <c r="E57" s="22"/>
    </row>
    <row r="58" spans="3:6">
      <c r="E58" s="22"/>
    </row>
    <row r="59" spans="3:6">
      <c r="E59" s="22"/>
    </row>
    <row r="60" spans="3:6">
      <c r="E60" s="22"/>
    </row>
    <row r="61" spans="3:6">
      <c r="E61" s="22"/>
    </row>
    <row r="62" spans="3:6">
      <c r="E62" s="22"/>
    </row>
    <row r="63" spans="3:6">
      <c r="E63" s="22"/>
    </row>
    <row r="64" spans="3:6">
      <c r="E64" s="22"/>
    </row>
    <row r="65" spans="5:5">
      <c r="E65" s="22"/>
    </row>
    <row r="66" spans="5:5">
      <c r="E66" s="22"/>
    </row>
    <row r="67" spans="5:5">
      <c r="E67" s="22"/>
    </row>
    <row r="68" spans="5:5">
      <c r="E68" s="22"/>
    </row>
    <row r="69" spans="5:5">
      <c r="E69" s="22"/>
    </row>
    <row r="70" spans="5:5">
      <c r="E70" s="22"/>
    </row>
    <row r="71" spans="5:5">
      <c r="E71" s="22"/>
    </row>
    <row r="72" spans="5:5">
      <c r="E72" s="22"/>
    </row>
    <row r="73" spans="5:5">
      <c r="E73" s="22"/>
    </row>
  </sheetData>
  <mergeCells count="4">
    <mergeCell ref="A2:K2"/>
    <mergeCell ref="A3:A5"/>
    <mergeCell ref="G3:K3"/>
    <mergeCell ref="B3:F3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2025-06-01T07:16:26Z</cp:lastPrinted>
  <dcterms:created xsi:type="dcterms:W3CDTF">2019-02-27T06:18:18Z</dcterms:created>
  <dcterms:modified xsi:type="dcterms:W3CDTF">2025-06-01T07:17:02Z</dcterms:modified>
</cp:coreProperties>
</file>