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ourism\"/>
    </mc:Choice>
  </mc:AlternateContent>
  <xr:revisionPtr revIDLastSave="0" documentId="13_ncr:1_{66023E5E-F086-44E9-8D37-C6FB5D93A434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3" sheetId="3" r:id="rId1"/>
  </sheets>
  <definedNames>
    <definedName name="_xlnm.Print_Area" localSheetId="0">'10.3'!$A$1:$O$60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146" i="3" l="1"/>
  <c r="AQ147" i="3"/>
  <c r="AQ148" i="3"/>
  <c r="AQ149" i="3"/>
  <c r="AQ150" i="3"/>
  <c r="AQ151" i="3"/>
  <c r="AQ152" i="3"/>
  <c r="AQ153" i="3"/>
  <c r="AQ154" i="3"/>
  <c r="AQ155" i="3"/>
  <c r="AQ156" i="3"/>
  <c r="AQ134" i="3"/>
  <c r="AQ135" i="3"/>
  <c r="AQ136" i="3"/>
  <c r="AQ137" i="3"/>
  <c r="AQ138" i="3"/>
  <c r="AQ139" i="3"/>
  <c r="AQ140" i="3"/>
  <c r="AQ141" i="3"/>
  <c r="AQ142" i="3"/>
  <c r="AQ143" i="3"/>
  <c r="AQ144" i="3"/>
  <c r="AQ133" i="3"/>
  <c r="K18" i="3" l="1"/>
  <c r="K17" i="3"/>
  <c r="K16" i="3"/>
  <c r="K15" i="3"/>
  <c r="K14" i="3"/>
  <c r="K13" i="3"/>
  <c r="K12" i="3"/>
  <c r="K11" i="3"/>
  <c r="K10" i="3"/>
  <c r="K9" i="3"/>
  <c r="K8" i="3"/>
  <c r="K7" i="3"/>
  <c r="N6" i="3"/>
  <c r="AQ145" i="3" s="1"/>
  <c r="M6" i="3"/>
  <c r="L6" i="3"/>
  <c r="J6" i="3"/>
  <c r="I6" i="3"/>
  <c r="K6" i="3" l="1"/>
  <c r="G6" i="3" l="1"/>
  <c r="E18" i="3" l="1"/>
  <c r="E17" i="3"/>
  <c r="E16" i="3"/>
  <c r="E15" i="3"/>
  <c r="E14" i="3"/>
  <c r="E13" i="3"/>
  <c r="E12" i="3"/>
  <c r="E11" i="3"/>
  <c r="E10" i="3"/>
  <c r="E9" i="3"/>
  <c r="E8" i="3"/>
  <c r="E7" i="3"/>
  <c r="H6" i="3"/>
  <c r="F6" i="3"/>
  <c r="D6" i="3"/>
  <c r="C6" i="3"/>
  <c r="E6" i="3" l="1"/>
  <c r="AQ122" i="3"/>
  <c r="AQ123" i="3"/>
  <c r="AQ124" i="3"/>
  <c r="AQ125" i="3"/>
  <c r="AQ126" i="3"/>
  <c r="AQ127" i="3"/>
  <c r="AQ128" i="3"/>
  <c r="AQ129" i="3"/>
  <c r="AQ130" i="3"/>
  <c r="AQ131" i="3"/>
  <c r="AQ132" i="3"/>
  <c r="AQ121" i="3"/>
  <c r="BD17" i="3"/>
  <c r="BE17" i="3"/>
  <c r="BD18" i="3"/>
  <c r="BE18" i="3"/>
  <c r="BD19" i="3"/>
  <c r="BE19" i="3"/>
  <c r="BD20" i="3"/>
  <c r="BE20" i="3"/>
  <c r="BD21" i="3"/>
  <c r="BE21" i="3"/>
  <c r="BD22" i="3"/>
  <c r="BE22" i="3"/>
  <c r="BD23" i="3"/>
  <c r="BE23" i="3"/>
  <c r="BD24" i="3"/>
  <c r="BE24" i="3"/>
  <c r="BD25" i="3"/>
  <c r="BE25" i="3"/>
  <c r="BD26" i="3"/>
  <c r="BE26" i="3"/>
  <c r="BD27" i="3"/>
  <c r="BE27" i="3"/>
  <c r="BE16" i="3"/>
  <c r="BD16" i="3"/>
  <c r="AQ110" i="3" l="1"/>
  <c r="AQ111" i="3"/>
  <c r="AQ112" i="3"/>
  <c r="AQ113" i="3"/>
  <c r="AQ114" i="3"/>
  <c r="AQ115" i="3"/>
  <c r="AQ116" i="3"/>
  <c r="AQ117" i="3"/>
  <c r="AQ118" i="3"/>
  <c r="AQ119" i="3"/>
  <c r="AQ120" i="3"/>
  <c r="AQ109" i="3"/>
  <c r="AQ97" i="3"/>
  <c r="AQ98" i="3" l="1"/>
  <c r="AQ99" i="3"/>
  <c r="AQ100" i="3"/>
  <c r="AQ101" i="3"/>
  <c r="AQ102" i="3"/>
  <c r="AQ103" i="3"/>
  <c r="AQ104" i="3"/>
  <c r="AQ105" i="3"/>
  <c r="AQ106" i="3"/>
  <c r="AQ107" i="3"/>
  <c r="AQ108" i="3"/>
  <c r="AQ86" i="3" l="1"/>
  <c r="AQ87" i="3"/>
  <c r="AQ88" i="3"/>
  <c r="AQ89" i="3"/>
  <c r="AQ90" i="3"/>
  <c r="AQ91" i="3"/>
  <c r="AQ92" i="3"/>
  <c r="AQ93" i="3"/>
  <c r="AQ94" i="3"/>
  <c r="AQ95" i="3"/>
  <c r="AQ96" i="3"/>
  <c r="AQ85" i="3"/>
  <c r="AQ84" i="3" l="1"/>
  <c r="AQ83" i="3"/>
  <c r="AQ82" i="3"/>
  <c r="AQ81" i="3"/>
  <c r="AQ80" i="3"/>
  <c r="AQ79" i="3"/>
  <c r="AQ78" i="3"/>
  <c r="AQ77" i="3"/>
  <c r="AQ76" i="3"/>
  <c r="AQ75" i="3"/>
  <c r="AQ74" i="3"/>
  <c r="AQ73" i="3"/>
  <c r="AQ72" i="3"/>
  <c r="AQ71" i="3"/>
  <c r="AQ70" i="3"/>
  <c r="AQ69" i="3"/>
  <c r="AQ68" i="3"/>
  <c r="AQ67" i="3"/>
  <c r="AQ66" i="3"/>
  <c r="AQ65" i="3"/>
  <c r="AQ64" i="3"/>
  <c r="AQ63" i="3"/>
  <c r="AQ62" i="3"/>
  <c r="AQ61" i="3"/>
  <c r="AQ60" i="3"/>
  <c r="AQ59" i="3"/>
  <c r="AQ58" i="3"/>
  <c r="AQ57" i="3"/>
  <c r="AQ56" i="3"/>
  <c r="AQ55" i="3"/>
  <c r="AQ54" i="3"/>
  <c r="AQ53" i="3"/>
  <c r="AQ52" i="3"/>
  <c r="AQ51" i="3"/>
  <c r="AQ50" i="3"/>
  <c r="AQ49" i="3"/>
  <c r="AQ36" i="3"/>
  <c r="AQ35" i="3"/>
  <c r="AQ34" i="3"/>
  <c r="AQ33" i="3"/>
  <c r="AQ32" i="3"/>
  <c r="AQ31" i="3"/>
  <c r="AQ30" i="3"/>
  <c r="AQ29" i="3"/>
  <c r="AQ28" i="3"/>
  <c r="AQ27" i="3"/>
  <c r="AQ26" i="3"/>
  <c r="AQ25" i="3"/>
</calcChain>
</file>

<file path=xl/sharedStrings.xml><?xml version="1.0" encoding="utf-8"?>
<sst xmlns="http://schemas.openxmlformats.org/spreadsheetml/2006/main" count="180" uniqueCount="46">
  <si>
    <t>Source: Ministry of Tourism</t>
  </si>
  <si>
    <t>cmwzirUT cfoa IrcTcsinim :ctWrwf ivcaed utWmUluAwm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</si>
  <si>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</si>
  <si>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</si>
  <si>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</si>
  <si>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</si>
  <si>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</si>
  <si>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</si>
  <si>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ފަތުރުވެރިން އެވަރެޖްކޮށް ހޭދަކޮށްފައިވާ މުއްދަތު</t>
  </si>
  <si>
    <t>Beds in
 operation</t>
  </si>
  <si>
    <t xml:space="preserve">% share of registered beds in operation </t>
  </si>
  <si>
    <t>Bed Capacity
 Utilization Rate %</t>
  </si>
  <si>
    <t>Tourist Bednights</t>
  </si>
  <si>
    <t>Average Duration of stay (days)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</si>
  <si>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</si>
  <si>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</si>
  <si>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</si>
  <si>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</si>
  <si>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</si>
  <si>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</si>
  <si>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</si>
  <si>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</si>
  <si>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</si>
  <si>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</si>
  <si>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</si>
  <si>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</si>
  <si>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</si>
  <si>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</si>
  <si>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</si>
  <si>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</si>
  <si>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</si>
  <si>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</si>
  <si>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</si>
  <si>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</si>
  <si>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</si>
  <si>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</si>
  <si>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</si>
  <si>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</si>
  <si>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</si>
  <si>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</si>
  <si>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May, June and July 2020, Average Duration of Stay is based on estimated number of tourists in the Maldives.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</si>
  <si>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</si>
  <si>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</si>
  <si>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 10.3: BED CAPACITY AND UTILIZATION BY MONTH,  2023-2024</t>
  </si>
  <si>
    <t>2024 - 2023  ,urwvcnim unuverukcnunEb wgWjegudnea iaWa wgWj egudnea uhwmcswmikea : 10.3 ulwvWt</t>
  </si>
  <si>
    <t>Beds in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</si>
</sst>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9"/>
      <name val="A_Faseyha"/>
    </font>
    <font>
      <sz val="9"/>
      <name val="A_Faseyha"/>
    </font>
    <font>
      <sz val="9"/>
      <color rgb="FFFF0000"/>
      <name val="Arial"/>
      <family val="2"/>
    </font>
    <font>
      <sz val="9"/>
      <color rgb="FFFF0000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9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171" fontId="16" fillId="0" borderId="0"/>
    <xf numFmtId="1" fontId="17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7" fillId="0" borderId="12" applyNumberFormat="0"/>
    <xf numFmtId="0" fontId="1" fillId="0" borderId="0"/>
    <xf numFmtId="0" fontId="3" fillId="0" borderId="0"/>
    <xf numFmtId="0" fontId="22" fillId="0" borderId="0" applyFill="0" applyProtection="0"/>
    <xf numFmtId="1" fontId="17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3" fillId="0" borderId="0"/>
    <xf numFmtId="0" fontId="22" fillId="0" borderId="0" applyFill="0" applyProtection="0"/>
    <xf numFmtId="1" fontId="17" fillId="0" borderId="12" applyNumberFormat="0"/>
    <xf numFmtId="0" fontId="1" fillId="0" borderId="0"/>
    <xf numFmtId="0" fontId="2" fillId="0" borderId="0"/>
    <xf numFmtId="0" fontId="23" fillId="0" borderId="0"/>
    <xf numFmtId="0" fontId="24" fillId="0" borderId="0"/>
    <xf numFmtId="0" fontId="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5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5" fillId="0" borderId="0" applyBorder="0"/>
    <xf numFmtId="0" fontId="1" fillId="0" borderId="0"/>
    <xf numFmtId="0" fontId="1" fillId="0" borderId="0"/>
    <xf numFmtId="1" fontId="17" fillId="0" borderId="12" applyNumberFormat="0"/>
    <xf numFmtId="1" fontId="17" fillId="0" borderId="12" applyNumberFormat="0"/>
    <xf numFmtId="1" fontId="17" fillId="0" borderId="12" applyNumberFormat="0"/>
    <xf numFmtId="1" fontId="17" fillId="0" borderId="12" applyNumberFormat="0"/>
    <xf numFmtId="1" fontId="17" fillId="0" borderId="12" applyNumberFormat="0"/>
    <xf numFmtId="1" fontId="17" fillId="0" borderId="12" applyNumberFormat="0"/>
    <xf numFmtId="1" fontId="17" fillId="0" borderId="12" applyNumberFormat="0"/>
    <xf numFmtId="0" fontId="1" fillId="0" borderId="0"/>
    <xf numFmtId="0" fontId="1" fillId="0" borderId="0"/>
    <xf numFmtId="0" fontId="25" fillId="0" borderId="0" applyBorder="0"/>
    <xf numFmtId="0" fontId="25" fillId="0" borderId="0"/>
    <xf numFmtId="0" fontId="1" fillId="0" borderId="0"/>
    <xf numFmtId="0" fontId="3" fillId="0" borderId="0"/>
    <xf numFmtId="0" fontId="3" fillId="0" borderId="0"/>
    <xf numFmtId="1" fontId="17" fillId="0" borderId="12" applyNumberFormat="0"/>
    <xf numFmtId="0" fontId="25" fillId="0" borderId="0" applyBorder="0"/>
    <xf numFmtId="0" fontId="25" fillId="0" borderId="0" applyBorder="0"/>
    <xf numFmtId="0" fontId="3" fillId="0" borderId="0"/>
    <xf numFmtId="0" fontId="2" fillId="0" borderId="0"/>
  </cellStyleXfs>
  <cellXfs count="66">
    <xf numFmtId="0" fontId="0" fillId="0" borderId="0" xfId="0"/>
    <xf numFmtId="0" fontId="4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center"/>
    </xf>
    <xf numFmtId="167" fontId="9" fillId="2" borderId="0" xfId="0" applyNumberFormat="1" applyFont="1" applyFill="1"/>
    <xf numFmtId="164" fontId="9" fillId="2" borderId="0" xfId="0" applyNumberFormat="1" applyFont="1" applyFill="1"/>
    <xf numFmtId="0" fontId="12" fillId="2" borderId="1" xfId="0" applyFont="1" applyFill="1" applyBorder="1" applyAlignment="1">
      <alignment horizontal="center" vertical="center" wrapText="1"/>
    </xf>
    <xf numFmtId="3" fontId="9" fillId="2" borderId="0" xfId="0" applyNumberFormat="1" applyFont="1" applyFill="1"/>
    <xf numFmtId="0" fontId="9" fillId="2" borderId="0" xfId="0" applyFont="1" applyFill="1" applyAlignment="1">
      <alignment horizontal="left" vertical="center"/>
    </xf>
    <xf numFmtId="3" fontId="13" fillId="2" borderId="0" xfId="0" applyNumberFormat="1" applyFont="1" applyFill="1" applyAlignment="1">
      <alignment horizontal="center"/>
    </xf>
    <xf numFmtId="168" fontId="13" fillId="2" borderId="0" xfId="0" applyNumberFormat="1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3" fontId="9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167" fontId="9" fillId="2" borderId="0" xfId="0" applyNumberFormat="1" applyFont="1" applyFill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right" vertical="center"/>
    </xf>
    <xf numFmtId="37" fontId="8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7" fontId="20" fillId="2" borderId="0" xfId="0" applyNumberFormat="1" applyFont="1" applyFill="1"/>
    <xf numFmtId="164" fontId="20" fillId="2" borderId="0" xfId="0" applyNumberFormat="1" applyFont="1" applyFill="1"/>
    <xf numFmtId="0" fontId="20" fillId="2" borderId="0" xfId="0" applyFont="1" applyFill="1"/>
    <xf numFmtId="0" fontId="21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164" fontId="7" fillId="2" borderId="1" xfId="0" applyNumberFormat="1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67" fontId="6" fillId="2" borderId="0" xfId="0" applyNumberFormat="1" applyFont="1" applyFill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3" fontId="7" fillId="2" borderId="9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167" fontId="9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</cellXfs>
  <cellStyles count="79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18" xfId="64" xr:uid="{C428DA61-20F8-4842-A18B-7FA043B482A4}"/>
    <cellStyle name="Normal 19" xfId="65" xr:uid="{EACCE844-16D2-420C-B840-ACEE6225450A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2 5 2" xfId="67" xr:uid="{C22BCFAD-F32E-457E-938E-ABEE683A2342}"/>
    <cellStyle name="Normal 2 6" xfId="68" xr:uid="{FEC1E65A-B873-4B1D-8CA3-90C7267B1DBB}"/>
    <cellStyle name="Normal 2 7" xfId="71" xr:uid="{1F813466-FC69-4C83-8E34-944476152EEC}"/>
    <cellStyle name="Normal 20" xfId="66" xr:uid="{6BBCB359-6445-479F-B974-2714BC50CD98}"/>
    <cellStyle name="Normal 21" xfId="72" xr:uid="{ED747AB2-D527-4275-89BF-F4D42E0C64B3}"/>
    <cellStyle name="Normal 22" xfId="73" xr:uid="{8E332121-172D-4CE3-830C-64EBB89E6CB3}"/>
    <cellStyle name="Normal 23" xfId="74" xr:uid="{DB6A6BF5-DDB4-454B-9671-9B4525D9FEF0}"/>
    <cellStyle name="Normal 24" xfId="75" xr:uid="{DB5E392E-84E8-49A0-A5E9-BE8B736EFA85}"/>
    <cellStyle name="Normal 25" xfId="76" xr:uid="{6753E3D1-5C90-4E93-BA77-A2FB0D20D5D4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2 3" xfId="78" xr:uid="{2702B235-7DDF-4A16-AFF9-4947AD331AEF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3 6" xfId="69" xr:uid="{147BF9F4-9920-475F-AFAF-1D72BEB5A6F8}"/>
    <cellStyle name="Normal 3 7" xfId="70" xr:uid="{C369A487-A923-4CFF-B26E-A8A707B5AE2D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4 5" xfId="77" xr:uid="{29A6969F-54E4-4383-BF5F-A7F4F715B13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CFDFE"/>
      <color rgb="FF003399"/>
      <color rgb="FF7E5400"/>
      <color rgb="FF33CCCC"/>
      <color rgb="FFF3F6FB"/>
      <color rgb="FFEEEEEE"/>
      <color rgb="FFFFF7E7"/>
      <color rgb="FFAEAAAA"/>
      <color rgb="FF9BC2E6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10.7: Average duration of stay of tourists, 2023 - 2024</a:t>
            </a:r>
          </a:p>
        </c:rich>
      </c:tx>
      <c:layout>
        <c:manualLayout>
          <c:xMode val="edge"/>
          <c:yMode val="edge"/>
          <c:x val="0.20004409457667005"/>
          <c:y val="4.5386795248124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795045173224705E-2"/>
          <c:y val="0.16089124850407638"/>
          <c:w val="0.91400258136049828"/>
          <c:h val="0.75414467122674478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003399"/>
              </a:solidFill>
            </a:ln>
          </c:spPr>
          <c:marker>
            <c:symbol val="diamond"/>
            <c:size val="6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</c:spPr>
          </c:marker>
          <c:cat>
            <c:strRef>
              <c:f>'10.3'!$AP$133:$AP$156</c:f>
              <c:strCache>
                <c:ptCount val="24"/>
                <c:pt idx="0">
                  <c:v>Jan-23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Jan-24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'10.3'!$AQ$133:$AQ$156</c:f>
              <c:numCache>
                <c:formatCode>#,##0.0</c:formatCode>
                <c:ptCount val="24"/>
                <c:pt idx="0">
                  <c:v>8.1</c:v>
                </c:pt>
                <c:pt idx="1">
                  <c:v>8</c:v>
                </c:pt>
                <c:pt idx="2">
                  <c:v>7.8</c:v>
                </c:pt>
                <c:pt idx="3">
                  <c:v>7.6</c:v>
                </c:pt>
                <c:pt idx="4">
                  <c:v>7.2</c:v>
                </c:pt>
                <c:pt idx="5">
                  <c:v>7.1</c:v>
                </c:pt>
                <c:pt idx="6">
                  <c:v>7.7</c:v>
                </c:pt>
                <c:pt idx="7">
                  <c:v>7.5</c:v>
                </c:pt>
                <c:pt idx="8">
                  <c:v>7.2</c:v>
                </c:pt>
                <c:pt idx="9">
                  <c:v>7.5</c:v>
                </c:pt>
                <c:pt idx="10">
                  <c:v>7.6</c:v>
                </c:pt>
                <c:pt idx="11">
                  <c:v>7.7</c:v>
                </c:pt>
                <c:pt idx="12">
                  <c:v>7.3788388063520829</c:v>
                </c:pt>
                <c:pt idx="13">
                  <c:v>7.9</c:v>
                </c:pt>
                <c:pt idx="14">
                  <c:v>7.8</c:v>
                </c:pt>
                <c:pt idx="15">
                  <c:v>8.0474913417991303</c:v>
                </c:pt>
                <c:pt idx="16">
                  <c:v>7.6</c:v>
                </c:pt>
                <c:pt idx="17">
                  <c:v>7.3</c:v>
                </c:pt>
                <c:pt idx="18">
                  <c:v>7.2</c:v>
                </c:pt>
                <c:pt idx="19">
                  <c:v>7.7</c:v>
                </c:pt>
                <c:pt idx="20">
                  <c:v>7.7</c:v>
                </c:pt>
                <c:pt idx="21">
                  <c:v>6.893582887700533</c:v>
                </c:pt>
                <c:pt idx="22">
                  <c:v>6.6521505376344088</c:v>
                </c:pt>
                <c:pt idx="23">
                  <c:v>6.7238636363636397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86-4E8E-8481-5D609907F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016680"/>
        <c:axId val="400021776"/>
      </c:lineChart>
      <c:catAx>
        <c:axId val="400016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="ctr" anchorCtr="0"/>
          <a:lstStyle/>
          <a:p>
            <a:pPr>
              <a:defRPr sz="800">
                <a:latin typeface="+mn-lt"/>
              </a:defRPr>
            </a:pPr>
            <a:endParaRPr lang="en-US"/>
          </a:p>
        </c:txPr>
        <c:crossAx val="400021776"/>
        <c:crosses val="autoZero"/>
        <c:auto val="1"/>
        <c:lblAlgn val="ctr"/>
        <c:lblOffset val="100"/>
        <c:noMultiLvlLbl val="0"/>
      </c:catAx>
      <c:valAx>
        <c:axId val="400021776"/>
        <c:scaling>
          <c:orientation val="minMax"/>
          <c:max val="20"/>
          <c:min val="0"/>
        </c:scaling>
        <c:delete val="0"/>
        <c:axPos val="l"/>
        <c:majorGridlines>
          <c:spPr>
            <a:ln w="12700"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Average Number of days</a:t>
                </a:r>
              </a:p>
            </c:rich>
          </c:tx>
          <c:layout>
            <c:manualLayout>
              <c:xMode val="edge"/>
              <c:yMode val="edge"/>
              <c:x val="4.0054180419253783E-3"/>
              <c:y val="8.7282570480811436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0016680"/>
        <c:crosses val="autoZero"/>
        <c:crossBetween val="between"/>
        <c:majorUnit val="2"/>
      </c:valAx>
      <c:spPr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900" b="1" i="0" baseline="0">
                <a:effectLst/>
              </a:rPr>
              <a:t>Figure 10.6:  Bed capacity and beds in operation in resorts,hotels, guest houses and safari vessels, 2024</a:t>
            </a:r>
            <a:endParaRPr lang="en-US" sz="900">
              <a:effectLst/>
            </a:endParaRPr>
          </a:p>
        </c:rich>
      </c:tx>
      <c:layout>
        <c:manualLayout>
          <c:xMode val="edge"/>
          <c:yMode val="edge"/>
          <c:x val="0.1805367890538507"/>
          <c:y val="6.8720173970413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95249996887629E-2"/>
          <c:y val="0.20870813886414391"/>
          <c:w val="0.90305061855186097"/>
          <c:h val="0.67663323512954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'10.3'!$I$5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strRef>
              <c:f>'10.3'!$A$7:$A$18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'10.3'!$I$7:$I$18</c:f>
              <c:numCache>
                <c:formatCode>#,##0</c:formatCode>
                <c:ptCount val="12"/>
                <c:pt idx="0">
                  <c:v>62720</c:v>
                </c:pt>
                <c:pt idx="1">
                  <c:v>63092</c:v>
                </c:pt>
                <c:pt idx="2">
                  <c:v>63338</c:v>
                </c:pt>
                <c:pt idx="3">
                  <c:v>63544</c:v>
                </c:pt>
                <c:pt idx="4">
                  <c:v>63706</c:v>
                </c:pt>
                <c:pt idx="5">
                  <c:v>63803</c:v>
                </c:pt>
                <c:pt idx="6">
                  <c:v>63945</c:v>
                </c:pt>
                <c:pt idx="7">
                  <c:v>64120</c:v>
                </c:pt>
                <c:pt idx="8">
                  <c:v>64344</c:v>
                </c:pt>
                <c:pt idx="9">
                  <c:v>64682</c:v>
                </c:pt>
                <c:pt idx="10">
                  <c:v>65062</c:v>
                </c:pt>
                <c:pt idx="11">
                  <c:v>65286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5-49BA-9436-E2340D30CC13}"/>
            </c:ext>
          </c:extLst>
        </c:ser>
        <c:ser>
          <c:idx val="1"/>
          <c:order val="1"/>
          <c:tx>
            <c:strRef>
              <c:f>'10.3'!$J$5</c:f>
              <c:strCache>
                <c:ptCount val="1"/>
                <c:pt idx="0">
                  <c:v>Beds in operation</c:v>
                </c:pt>
              </c:strCache>
            </c:strRef>
          </c:tx>
          <c:spPr>
            <a:solidFill>
              <a:srgbClr val="EEEEEE"/>
            </a:solidFill>
            <a:ln>
              <a:noFill/>
            </a:ln>
            <a:effectLst/>
          </c:spPr>
          <c:invertIfNegative val="0"/>
          <c:cat>
            <c:strRef>
              <c:f>'10.3'!$A$7:$A$18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'10.3'!$J$7:$J$18</c:f>
              <c:numCache>
                <c:formatCode>#,##0</c:formatCode>
                <c:ptCount val="12"/>
                <c:pt idx="0">
                  <c:v>61036</c:v>
                </c:pt>
                <c:pt idx="1">
                  <c:v>61311</c:v>
                </c:pt>
                <c:pt idx="2">
                  <c:v>61555</c:v>
                </c:pt>
                <c:pt idx="3">
                  <c:v>61761</c:v>
                </c:pt>
                <c:pt idx="4">
                  <c:v>61616</c:v>
                </c:pt>
                <c:pt idx="5">
                  <c:v>61475</c:v>
                </c:pt>
                <c:pt idx="6">
                  <c:v>61075</c:v>
                </c:pt>
                <c:pt idx="7">
                  <c:v>61104</c:v>
                </c:pt>
                <c:pt idx="8">
                  <c:v>61274</c:v>
                </c:pt>
                <c:pt idx="9">
                  <c:v>62540</c:v>
                </c:pt>
                <c:pt idx="10">
                  <c:v>62920</c:v>
                </c:pt>
                <c:pt idx="11">
                  <c:v>63336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5-49BA-9436-E2340D30C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00019424"/>
        <c:axId val="400015112"/>
      </c:barChart>
      <c:catAx>
        <c:axId val="4000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5112"/>
        <c:crosses val="autoZero"/>
        <c:auto val="1"/>
        <c:lblAlgn val="ctr"/>
        <c:lblOffset val="100"/>
        <c:noMultiLvlLbl val="0"/>
      </c:catAx>
      <c:valAx>
        <c:axId val="400015112"/>
        <c:scaling>
          <c:orientation val="minMax"/>
          <c:max val="7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942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7243906336629674E-2"/>
          <c:y val="0.19433959293842698"/>
          <c:w val="0.34557480262975271"/>
          <c:h val="7.7168601460200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491525</xdr:colOff>
      <xdr:row>37</xdr:row>
      <xdr:rowOff>49017</xdr:rowOff>
    </xdr:from>
    <xdr:to>
      <xdr:col>12</xdr:col>
      <xdr:colOff>707486</xdr:colOff>
      <xdr:row>57</xdr:row>
      <xdr:rowOff>111516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541248</xdr:colOff>
      <xdr:row>22</xdr:row>
      <xdr:rowOff>158750</xdr:rowOff>
    </xdr:from>
    <xdr:to>
      <xdr:col>13</xdr:col>
      <xdr:colOff>2097</xdr:colOff>
      <xdr:row>36</xdr:row>
      <xdr:rowOff>127406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56"/>
  <sheetViews>
    <sheetView tabSelected="1" zoomScale="106" zoomScaleNormal="106" workbookViewId="0">
      <pane xSplit="2" ySplit="5" topLeftCell="C30" activePane="bottomRight" state="frozen"/>
      <selection pane="topRight" activeCell="AG1" sqref="AG1"/>
      <selection pane="bottomLeft" activeCell="A6" sqref="A6"/>
      <selection pane="bottomRight" activeCell="H7" sqref="H7"/>
    </sheetView>
  </sheetViews>
  <sheetFormatPr defaultColWidth="9.140625" defaultRowHeight="12"/>
  <cols>
    <col min="1" max="1" width="16.85546875" style="5" customWidth="1"/>
    <col min="2" max="2" width="2.42578125" style="5" hidden="1" customWidth="1"/>
    <col min="3" max="4" width="11.28515625" style="5" customWidth="1"/>
    <col min="5" max="5" width="14.85546875" style="5" customWidth="1"/>
    <col min="6" max="14" width="11.28515625" style="5" customWidth="1"/>
    <col min="15" max="15" width="4.140625" style="5" customWidth="1"/>
    <col min="16" max="36" width="11.28515625" style="5" customWidth="1"/>
    <col min="37" max="16384" width="9.140625" style="5"/>
  </cols>
  <sheetData>
    <row r="1" spans="1:57" ht="17.25" customHeight="1">
      <c r="A1" s="65" t="s">
        <v>44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</row>
    <row r="2" spans="1:57" ht="24" customHeight="1">
      <c r="A2" s="58" t="s">
        <v>43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</row>
    <row r="3" spans="1:57" s="6" customFormat="1" ht="18.75" customHeight="1">
      <c r="A3" s="60" t="s">
        <v>3</v>
      </c>
      <c r="C3" s="63">
        <v>2023</v>
      </c>
      <c r="D3" s="64"/>
      <c r="E3" s="64"/>
      <c r="F3" s="64"/>
      <c r="G3" s="64"/>
      <c r="H3" s="64"/>
      <c r="I3" s="63">
        <v>2024</v>
      </c>
      <c r="J3" s="64"/>
      <c r="K3" s="64"/>
      <c r="L3" s="64"/>
      <c r="M3" s="64"/>
      <c r="N3" s="64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</row>
    <row r="4" spans="1:57" s="6" customFormat="1" ht="72" customHeight="1">
      <c r="A4" s="61"/>
      <c r="C4" s="7" t="s">
        <v>4</v>
      </c>
      <c r="D4" s="8" t="s">
        <v>5</v>
      </c>
      <c r="E4" s="8" t="s">
        <v>2</v>
      </c>
      <c r="F4" s="8" t="s">
        <v>6</v>
      </c>
      <c r="G4" s="8" t="s">
        <v>7</v>
      </c>
      <c r="H4" s="8" t="s">
        <v>8</v>
      </c>
      <c r="I4" s="7" t="s">
        <v>4</v>
      </c>
      <c r="J4" s="8" t="s">
        <v>5</v>
      </c>
      <c r="K4" s="8" t="s">
        <v>2</v>
      </c>
      <c r="L4" s="8" t="s">
        <v>6</v>
      </c>
      <c r="M4" s="8" t="s">
        <v>7</v>
      </c>
      <c r="N4" s="8" t="s">
        <v>8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L4" s="59"/>
      <c r="AM4" s="59"/>
      <c r="AN4" s="59"/>
      <c r="AO4" s="59"/>
      <c r="AP4" s="59"/>
      <c r="AQ4" s="59"/>
    </row>
    <row r="5" spans="1:57" s="6" customFormat="1" ht="46.5" customHeight="1">
      <c r="A5" s="62"/>
      <c r="C5" s="43" t="s">
        <v>14</v>
      </c>
      <c r="D5" s="42" t="s">
        <v>9</v>
      </c>
      <c r="E5" s="42" t="s">
        <v>10</v>
      </c>
      <c r="F5" s="42" t="s">
        <v>11</v>
      </c>
      <c r="G5" s="42" t="s">
        <v>12</v>
      </c>
      <c r="H5" s="42" t="s">
        <v>13</v>
      </c>
      <c r="I5" s="43" t="s">
        <v>14</v>
      </c>
      <c r="J5" s="42" t="s">
        <v>45</v>
      </c>
      <c r="K5" s="42" t="s">
        <v>10</v>
      </c>
      <c r="L5" s="42" t="s">
        <v>11</v>
      </c>
      <c r="M5" s="42" t="s">
        <v>12</v>
      </c>
      <c r="N5" s="42" t="s">
        <v>13</v>
      </c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</row>
    <row r="6" spans="1:57" s="6" customFormat="1" ht="16.5" customHeight="1">
      <c r="A6" s="9" t="s">
        <v>15</v>
      </c>
      <c r="C6" s="47">
        <f>AVERAGE(C7:C18)</f>
        <v>62367.083333333336</v>
      </c>
      <c r="D6" s="48">
        <f>AVERAGE(D7:D18)</f>
        <v>61579.75</v>
      </c>
      <c r="E6" s="49">
        <f>AVERAGE(E7:E18)</f>
        <v>98.735771742785218</v>
      </c>
      <c r="F6" s="49">
        <f>AVERAGE(F7:F18)</f>
        <v>57.6</v>
      </c>
      <c r="G6" s="2">
        <f>SUM(G7:G18)</f>
        <v>12906378.346717887</v>
      </c>
      <c r="H6" s="49">
        <f>AVERAGE(H7:H18)</f>
        <v>7.583333333333333</v>
      </c>
      <c r="I6" s="47">
        <f>AVERAGE(I7:I18)</f>
        <v>63970.166666666664</v>
      </c>
      <c r="J6" s="48">
        <f>AVERAGE(J7:J18)</f>
        <v>61750.25</v>
      </c>
      <c r="K6" s="49">
        <f>AVERAGE(K7:K18)</f>
        <v>96.532328863829605</v>
      </c>
      <c r="L6" s="49">
        <f>AVERAGE(L7:L18)</f>
        <v>59.298875644651929</v>
      </c>
      <c r="M6" s="2">
        <f>SUM(M7:M18)</f>
        <v>13396034.456283361</v>
      </c>
      <c r="N6" s="49">
        <f>AVERAGE(N7:N18)</f>
        <v>7.3788388063520829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57" s="6" customFormat="1" ht="16.5" customHeight="1">
      <c r="A7" s="11" t="s">
        <v>16</v>
      </c>
      <c r="C7" s="50">
        <v>61216</v>
      </c>
      <c r="D7" s="51">
        <v>60254</v>
      </c>
      <c r="E7" s="13">
        <f t="shared" ref="E7:E18" si="0">D7/C7*100</f>
        <v>98.428515420805013</v>
      </c>
      <c r="F7" s="52">
        <v>71.8</v>
      </c>
      <c r="G7" s="3">
        <v>1340468.7854954551</v>
      </c>
      <c r="H7" s="55">
        <v>8.1</v>
      </c>
      <c r="I7" s="50">
        <v>62720</v>
      </c>
      <c r="J7" s="51">
        <v>61036</v>
      </c>
      <c r="K7" s="13">
        <f t="shared" ref="K7:K18" si="1">J7/I7*100</f>
        <v>97.315051020408163</v>
      </c>
      <c r="L7" s="52">
        <v>71.64755262406797</v>
      </c>
      <c r="M7" s="3">
        <v>1355654.80680841</v>
      </c>
      <c r="N7" s="55">
        <v>7.9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spans="1:57" s="6" customFormat="1" ht="16.5" customHeight="1">
      <c r="A8" s="11" t="s">
        <v>17</v>
      </c>
      <c r="C8" s="50">
        <v>61350</v>
      </c>
      <c r="D8" s="51">
        <v>60388</v>
      </c>
      <c r="E8" s="13">
        <f t="shared" si="0"/>
        <v>98.431947840260804</v>
      </c>
      <c r="F8" s="52">
        <v>75.900000000000006</v>
      </c>
      <c r="G8" s="3">
        <v>1282815.6760906836</v>
      </c>
      <c r="H8" s="55">
        <v>8</v>
      </c>
      <c r="I8" s="50">
        <v>63092</v>
      </c>
      <c r="J8" s="51">
        <v>61311</v>
      </c>
      <c r="K8" s="13">
        <f t="shared" si="1"/>
        <v>97.17713814746719</v>
      </c>
      <c r="L8" s="52">
        <v>81.289150896724053</v>
      </c>
      <c r="M8" s="3">
        <v>1445336.547882424</v>
      </c>
      <c r="N8" s="55">
        <v>7.8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spans="1:57" s="6" customFormat="1" ht="16.5" customHeight="1">
      <c r="A9" s="11" t="s">
        <v>18</v>
      </c>
      <c r="C9" s="50">
        <v>61644</v>
      </c>
      <c r="D9" s="51">
        <v>60682</v>
      </c>
      <c r="E9" s="13">
        <f t="shared" si="0"/>
        <v>98.439426383751865</v>
      </c>
      <c r="F9" s="52">
        <v>66.2</v>
      </c>
      <c r="G9" s="3">
        <v>1244688.7864587356</v>
      </c>
      <c r="H9" s="55">
        <v>7.8</v>
      </c>
      <c r="I9" s="50">
        <v>63338</v>
      </c>
      <c r="J9" s="51">
        <v>61555</v>
      </c>
      <c r="K9" s="13">
        <f t="shared" si="1"/>
        <v>97.184944267264513</v>
      </c>
      <c r="L9" s="52">
        <v>70.835292475868812</v>
      </c>
      <c r="M9" s="3">
        <v>1351682.5927891524</v>
      </c>
      <c r="N9" s="55">
        <v>8.0474913417991303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57" s="6" customFormat="1" ht="16.5" customHeight="1">
      <c r="A10" s="11" t="s">
        <v>19</v>
      </c>
      <c r="C10" s="50">
        <v>61702</v>
      </c>
      <c r="D10" s="51">
        <v>60728</v>
      </c>
      <c r="E10" s="13">
        <f t="shared" si="0"/>
        <v>98.421445009886227</v>
      </c>
      <c r="F10" s="52">
        <v>64</v>
      </c>
      <c r="G10" s="3">
        <v>1165424.0233137847</v>
      </c>
      <c r="H10" s="55">
        <v>7.6</v>
      </c>
      <c r="I10" s="50">
        <v>63544</v>
      </c>
      <c r="J10" s="51">
        <v>61761</v>
      </c>
      <c r="K10" s="13">
        <f t="shared" si="1"/>
        <v>97.194070250535063</v>
      </c>
      <c r="L10" s="52">
        <v>64.134839259250469</v>
      </c>
      <c r="M10" s="3">
        <v>1188309.5422471706</v>
      </c>
      <c r="N10" s="55">
        <v>7.6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spans="1:57" s="6" customFormat="1" ht="16.5" customHeight="1">
      <c r="A11" s="11" t="s">
        <v>20</v>
      </c>
      <c r="C11" s="50">
        <v>61570</v>
      </c>
      <c r="D11" s="51">
        <v>60838</v>
      </c>
      <c r="E11" s="13">
        <f t="shared" si="0"/>
        <v>98.811109306480432</v>
      </c>
      <c r="F11" s="52">
        <v>43.8</v>
      </c>
      <c r="G11" s="3">
        <v>825161.40556539781</v>
      </c>
      <c r="H11" s="55">
        <v>7.2</v>
      </c>
      <c r="I11" s="50">
        <v>63706</v>
      </c>
      <c r="J11" s="51">
        <v>61616</v>
      </c>
      <c r="K11" s="13">
        <f t="shared" si="1"/>
        <v>96.719304304147187</v>
      </c>
      <c r="L11" s="52">
        <v>44.236759288450322</v>
      </c>
      <c r="M11" s="3">
        <v>844964.56969831802</v>
      </c>
      <c r="N11" s="55">
        <v>7.3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57" s="6" customFormat="1" ht="16.5" customHeight="1">
      <c r="A12" s="11" t="s">
        <v>21</v>
      </c>
      <c r="C12" s="50">
        <v>61698</v>
      </c>
      <c r="D12" s="51">
        <v>61112</v>
      </c>
      <c r="E12" s="13">
        <f t="shared" si="0"/>
        <v>99.050212324548596</v>
      </c>
      <c r="F12" s="52">
        <v>43.4</v>
      </c>
      <c r="G12" s="3">
        <v>796244.65711217758</v>
      </c>
      <c r="H12" s="55">
        <v>7.1</v>
      </c>
      <c r="I12" s="50">
        <v>63803</v>
      </c>
      <c r="J12" s="51">
        <v>61475</v>
      </c>
      <c r="K12" s="13">
        <f t="shared" si="1"/>
        <v>96.351268749118375</v>
      </c>
      <c r="L12" s="52">
        <v>39.580743916431985</v>
      </c>
      <c r="M12" s="3">
        <v>729967.86967879685</v>
      </c>
      <c r="N12" s="55">
        <v>7.2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57" s="6" customFormat="1" ht="16.5" customHeight="1">
      <c r="A13" s="11" t="s">
        <v>22</v>
      </c>
      <c r="C13" s="50">
        <v>62300</v>
      </c>
      <c r="D13" s="51">
        <v>61692</v>
      </c>
      <c r="E13" s="13">
        <f t="shared" si="0"/>
        <v>99.024077046548953</v>
      </c>
      <c r="F13" s="52">
        <v>47.6</v>
      </c>
      <c r="G13" s="3">
        <v>909846.38488471729</v>
      </c>
      <c r="H13" s="55">
        <v>7.7</v>
      </c>
      <c r="I13" s="50">
        <v>63945</v>
      </c>
      <c r="J13" s="51">
        <v>61075</v>
      </c>
      <c r="K13" s="13">
        <f t="shared" si="1"/>
        <v>95.511767925561031</v>
      </c>
      <c r="L13" s="52">
        <v>56.195136861566773</v>
      </c>
      <c r="M13" s="3">
        <v>1063956.5749842592</v>
      </c>
      <c r="N13" s="55">
        <v>7.7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57" s="6" customFormat="1" ht="16.5" customHeight="1">
      <c r="A14" s="11" t="s">
        <v>23</v>
      </c>
      <c r="C14" s="50">
        <v>63142</v>
      </c>
      <c r="D14" s="51">
        <v>62266</v>
      </c>
      <c r="E14" s="13">
        <f t="shared" si="0"/>
        <v>98.612650850464036</v>
      </c>
      <c r="F14" s="52">
        <v>57.5</v>
      </c>
      <c r="G14" s="3">
        <v>1108996.2484387148</v>
      </c>
      <c r="H14" s="55">
        <v>7.5</v>
      </c>
      <c r="I14" s="50">
        <v>64120</v>
      </c>
      <c r="J14" s="51">
        <v>61104</v>
      </c>
      <c r="K14" s="13">
        <f t="shared" si="1"/>
        <v>95.296319401122901</v>
      </c>
      <c r="L14" s="52">
        <v>61.664826092407722</v>
      </c>
      <c r="M14" s="3">
        <v>1168069.9354006492</v>
      </c>
      <c r="N14" s="55">
        <v>7.7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spans="1:57" s="6" customFormat="1" ht="16.5" customHeight="1">
      <c r="A15" s="11" t="s">
        <v>24</v>
      </c>
      <c r="C15" s="50">
        <v>63260</v>
      </c>
      <c r="D15" s="51">
        <v>62924</v>
      </c>
      <c r="E15" s="13">
        <f t="shared" si="0"/>
        <v>99.4688586784698</v>
      </c>
      <c r="F15" s="52">
        <v>45.1</v>
      </c>
      <c r="G15" s="3">
        <v>852131.42220048269</v>
      </c>
      <c r="H15" s="55">
        <v>7.2</v>
      </c>
      <c r="I15" s="50">
        <v>64344</v>
      </c>
      <c r="J15" s="51">
        <v>61274</v>
      </c>
      <c r="K15" s="13">
        <f t="shared" si="1"/>
        <v>95.228770359318659</v>
      </c>
      <c r="L15" s="52">
        <v>44.873340291176071</v>
      </c>
      <c r="M15" s="3">
        <v>824870.71590045677</v>
      </c>
      <c r="N15" s="55">
        <v>6.893582887700533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BC15" s="5"/>
      <c r="BD15" s="18" t="s">
        <v>14</v>
      </c>
      <c r="BE15" s="18" t="s">
        <v>28</v>
      </c>
    </row>
    <row r="16" spans="1:57" s="6" customFormat="1" ht="16.5" customHeight="1">
      <c r="A16" s="11" t="s">
        <v>25</v>
      </c>
      <c r="C16" s="50">
        <v>63885</v>
      </c>
      <c r="D16" s="51">
        <v>63127</v>
      </c>
      <c r="E16" s="13">
        <f t="shared" si="0"/>
        <v>98.813492995225801</v>
      </c>
      <c r="F16" s="52">
        <v>55.7</v>
      </c>
      <c r="G16" s="3">
        <v>1090723.7213819372</v>
      </c>
      <c r="H16" s="55">
        <v>7.5</v>
      </c>
      <c r="I16" s="50">
        <v>64682</v>
      </c>
      <c r="J16" s="51">
        <v>62540</v>
      </c>
      <c r="K16" s="13">
        <f t="shared" si="1"/>
        <v>96.688414087381346</v>
      </c>
      <c r="L16" s="52">
        <v>58.411769822775248</v>
      </c>
      <c r="M16" s="3">
        <v>1132452.3462620729</v>
      </c>
      <c r="N16" s="55">
        <v>6.6521505376344088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BC16" s="20" t="s">
        <v>29</v>
      </c>
      <c r="BD16" s="12" t="e">
        <f>#REF!</f>
        <v>#REF!</v>
      </c>
      <c r="BE16" s="21" t="e">
        <f>#REF!</f>
        <v>#REF!</v>
      </c>
    </row>
    <row r="17" spans="1:57" s="6" customFormat="1" ht="16.5" customHeight="1">
      <c r="A17" s="11" t="s">
        <v>26</v>
      </c>
      <c r="C17" s="50">
        <v>63980</v>
      </c>
      <c r="D17" s="51">
        <v>63134</v>
      </c>
      <c r="E17" s="13">
        <f t="shared" si="0"/>
        <v>98.677711784932782</v>
      </c>
      <c r="F17" s="52">
        <v>60.7</v>
      </c>
      <c r="G17" s="3">
        <v>1149201.6374202347</v>
      </c>
      <c r="H17" s="55">
        <v>7.6</v>
      </c>
      <c r="I17" s="50">
        <v>65062</v>
      </c>
      <c r="J17" s="51">
        <v>62920</v>
      </c>
      <c r="K17" s="13">
        <f t="shared" si="1"/>
        <v>96.7077556791983</v>
      </c>
      <c r="L17" s="52">
        <v>52.945957362585673</v>
      </c>
      <c r="M17" s="3">
        <v>999407.89117616706</v>
      </c>
      <c r="N17" s="55">
        <v>6.7238636363636397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BC17" s="20" t="s">
        <v>30</v>
      </c>
      <c r="BD17" s="12" t="e">
        <f>#REF!</f>
        <v>#REF!</v>
      </c>
      <c r="BE17" s="21" t="e">
        <f>#REF!</f>
        <v>#REF!</v>
      </c>
    </row>
    <row r="18" spans="1:57" s="6" customFormat="1" ht="16.5" customHeight="1">
      <c r="A18" s="14" t="s">
        <v>27</v>
      </c>
      <c r="C18" s="53">
        <v>62658</v>
      </c>
      <c r="D18" s="54">
        <v>61812</v>
      </c>
      <c r="E18" s="15">
        <f t="shared" si="0"/>
        <v>98.649813272048263</v>
      </c>
      <c r="F18" s="46">
        <v>59.5</v>
      </c>
      <c r="G18" s="4">
        <v>1140675.598355568</v>
      </c>
      <c r="H18" s="56">
        <v>7.7</v>
      </c>
      <c r="I18" s="53">
        <v>65286</v>
      </c>
      <c r="J18" s="54">
        <v>63336</v>
      </c>
      <c r="K18" s="15">
        <f t="shared" si="1"/>
        <v>97.013142174432502</v>
      </c>
      <c r="L18" s="46">
        <v>65.771138844518049</v>
      </c>
      <c r="M18" s="4">
        <v>1291361.0634554827</v>
      </c>
      <c r="N18" s="56">
        <v>7.0289772727272712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BC18" s="20" t="s">
        <v>31</v>
      </c>
      <c r="BD18" s="12" t="e">
        <f>#REF!</f>
        <v>#REF!</v>
      </c>
      <c r="BE18" s="21" t="e">
        <f>#REF!</f>
        <v>#REF!</v>
      </c>
    </row>
    <row r="19" spans="1:57" s="37" customFormat="1" ht="13.5" customHeight="1">
      <c r="A19" s="44" t="s">
        <v>41</v>
      </c>
      <c r="C19" s="35"/>
      <c r="D19" s="35"/>
      <c r="E19" s="36"/>
      <c r="I19" s="38"/>
      <c r="J19" s="38"/>
      <c r="K19" s="38"/>
      <c r="L19" s="38"/>
      <c r="M19" s="38"/>
      <c r="N19" s="32" t="s">
        <v>1</v>
      </c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BC19" s="39" t="s">
        <v>32</v>
      </c>
      <c r="BD19" s="12" t="e">
        <f>#REF!</f>
        <v>#REF!</v>
      </c>
      <c r="BE19" s="21" t="e">
        <f>#REF!</f>
        <v>#REF!</v>
      </c>
    </row>
    <row r="20" spans="1:57" ht="13.5" customHeight="1">
      <c r="A20" s="45" t="s">
        <v>40</v>
      </c>
      <c r="C20" s="16"/>
      <c r="D20" s="16"/>
      <c r="E20" s="17"/>
      <c r="BC20" s="20" t="s">
        <v>20</v>
      </c>
      <c r="BD20" s="12" t="e">
        <f>#REF!</f>
        <v>#REF!</v>
      </c>
      <c r="BE20" s="21" t="e">
        <f>#REF!</f>
        <v>#REF!</v>
      </c>
    </row>
    <row r="21" spans="1:57" ht="13.5" customHeight="1">
      <c r="A21" s="45" t="s">
        <v>42</v>
      </c>
      <c r="C21" s="16"/>
      <c r="D21" s="16"/>
      <c r="BC21" s="20" t="s">
        <v>33</v>
      </c>
      <c r="BD21" s="12" t="e">
        <f>#REF!</f>
        <v>#REF!</v>
      </c>
      <c r="BE21" s="21" t="e">
        <f>#REF!</f>
        <v>#REF!</v>
      </c>
    </row>
    <row r="22" spans="1:57" ht="18.75" customHeight="1">
      <c r="A22" s="1" t="s">
        <v>0</v>
      </c>
      <c r="C22" s="16"/>
      <c r="D22" s="16"/>
      <c r="BC22" s="20" t="s">
        <v>34</v>
      </c>
      <c r="BD22" s="12" t="e">
        <f>#REF!</f>
        <v>#REF!</v>
      </c>
      <c r="BE22" s="21" t="e">
        <f>#REF!</f>
        <v>#REF!</v>
      </c>
    </row>
    <row r="23" spans="1:57" ht="18.75" customHeight="1">
      <c r="A23" s="20"/>
      <c r="C23" s="16"/>
      <c r="D23" s="16"/>
      <c r="BC23" s="20" t="s">
        <v>35</v>
      </c>
      <c r="BD23" s="12" t="e">
        <f>#REF!</f>
        <v>#REF!</v>
      </c>
      <c r="BE23" s="21" t="e">
        <f>#REF!</f>
        <v>#REF!</v>
      </c>
    </row>
    <row r="24" spans="1:57" ht="18.75" customHeight="1">
      <c r="A24" s="20"/>
      <c r="C24" s="16"/>
      <c r="D24" s="16"/>
      <c r="BC24" s="20" t="s">
        <v>36</v>
      </c>
      <c r="BD24" s="12" t="e">
        <f>#REF!</f>
        <v>#REF!</v>
      </c>
      <c r="BE24" s="21" t="e">
        <f>#REF!</f>
        <v>#REF!</v>
      </c>
    </row>
    <row r="25" spans="1:57" ht="18.75" customHeight="1">
      <c r="A25" s="20"/>
      <c r="C25" s="16"/>
      <c r="D25" s="16"/>
      <c r="AP25" s="22">
        <v>41640</v>
      </c>
      <c r="AQ25" s="23" t="e">
        <f>#REF!</f>
        <v>#REF!</v>
      </c>
      <c r="BC25" s="20" t="s">
        <v>37</v>
      </c>
      <c r="BD25" s="12" t="e">
        <f>#REF!</f>
        <v>#REF!</v>
      </c>
      <c r="BE25" s="21" t="e">
        <f>#REF!</f>
        <v>#REF!</v>
      </c>
    </row>
    <row r="26" spans="1:57" ht="18.75" customHeight="1">
      <c r="A26" s="20"/>
      <c r="C26" s="16"/>
      <c r="D26" s="16"/>
      <c r="AP26" s="24" t="s">
        <v>17</v>
      </c>
      <c r="AQ26" s="23" t="e">
        <f>#REF!</f>
        <v>#REF!</v>
      </c>
      <c r="BC26" s="20" t="s">
        <v>38</v>
      </c>
      <c r="BD26" s="12" t="e">
        <f>#REF!</f>
        <v>#REF!</v>
      </c>
      <c r="BE26" s="21" t="e">
        <f>#REF!</f>
        <v>#REF!</v>
      </c>
    </row>
    <row r="27" spans="1:57" ht="18.75" customHeight="1">
      <c r="A27" s="20"/>
      <c r="C27" s="16"/>
      <c r="D27" s="16"/>
      <c r="AP27" s="24" t="s">
        <v>18</v>
      </c>
      <c r="AQ27" s="23" t="e">
        <f>#REF!</f>
        <v>#REF!</v>
      </c>
      <c r="BC27" s="20" t="s">
        <v>39</v>
      </c>
      <c r="BD27" s="12" t="e">
        <f>#REF!</f>
        <v>#REF!</v>
      </c>
      <c r="BE27" s="21" t="e">
        <f>#REF!</f>
        <v>#REF!</v>
      </c>
    </row>
    <row r="28" spans="1:57" ht="18.75" customHeight="1">
      <c r="A28" s="20"/>
      <c r="C28" s="16"/>
      <c r="D28" s="16"/>
      <c r="AP28" s="24" t="s">
        <v>19</v>
      </c>
      <c r="AQ28" s="23" t="e">
        <f>#REF!</f>
        <v>#REF!</v>
      </c>
      <c r="BC28" s="6"/>
      <c r="BD28" s="6"/>
      <c r="BE28" s="6"/>
    </row>
    <row r="29" spans="1:57" ht="18.75" customHeight="1">
      <c r="A29" s="20"/>
      <c r="C29" s="16"/>
      <c r="D29" s="16"/>
      <c r="AP29" s="24" t="s">
        <v>20</v>
      </c>
      <c r="AQ29" s="23" t="e">
        <f>#REF!</f>
        <v>#REF!</v>
      </c>
    </row>
    <row r="30" spans="1:57" ht="18.75" customHeight="1">
      <c r="A30" s="20"/>
      <c r="C30" s="16"/>
      <c r="D30" s="16"/>
      <c r="E30" s="19"/>
      <c r="AP30" s="24" t="s">
        <v>21</v>
      </c>
      <c r="AQ30" s="23" t="e">
        <f>#REF!</f>
        <v>#REF!</v>
      </c>
    </row>
    <row r="31" spans="1:57" ht="18.75" customHeight="1">
      <c r="A31" s="20"/>
      <c r="C31" s="16"/>
      <c r="D31" s="16"/>
      <c r="E31" s="19"/>
      <c r="AP31" s="24" t="s">
        <v>22</v>
      </c>
      <c r="AQ31" s="23" t="e">
        <f>#REF!</f>
        <v>#REF!</v>
      </c>
    </row>
    <row r="32" spans="1:57" ht="9.75" customHeight="1">
      <c r="A32" s="20"/>
      <c r="C32" s="25"/>
      <c r="D32" s="25"/>
      <c r="E32" s="25"/>
      <c r="AP32" s="24" t="s">
        <v>23</v>
      </c>
      <c r="AQ32" s="23" t="e">
        <f>#REF!</f>
        <v>#REF!</v>
      </c>
    </row>
    <row r="33" spans="1:43" ht="18.75" customHeight="1">
      <c r="A33" s="20"/>
      <c r="C33" s="26"/>
      <c r="D33" s="26"/>
      <c r="E33" s="26"/>
      <c r="AP33" s="24" t="s">
        <v>24</v>
      </c>
      <c r="AQ33" s="23" t="e">
        <f>#REF!</f>
        <v>#REF!</v>
      </c>
    </row>
    <row r="34" spans="1:43" ht="18.75" customHeight="1">
      <c r="A34" s="20"/>
      <c r="C34" s="26"/>
      <c r="D34" s="26"/>
      <c r="E34" s="26"/>
      <c r="AP34" s="24" t="s">
        <v>25</v>
      </c>
      <c r="AQ34" s="23" t="e">
        <f>#REF!</f>
        <v>#REF!</v>
      </c>
    </row>
    <row r="35" spans="1:43">
      <c r="C35" s="26"/>
      <c r="D35" s="26"/>
      <c r="E35" s="26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P35" s="24" t="s">
        <v>26</v>
      </c>
      <c r="AQ35" s="23" t="e">
        <f>#REF!</f>
        <v>#REF!</v>
      </c>
    </row>
    <row r="36" spans="1:43">
      <c r="C36" s="26"/>
      <c r="D36" s="26"/>
      <c r="E36" s="26"/>
      <c r="F36" s="20"/>
      <c r="AP36" s="28" t="s">
        <v>27</v>
      </c>
      <c r="AQ36" s="23" t="e">
        <f>#REF!</f>
        <v>#REF!</v>
      </c>
    </row>
    <row r="37" spans="1:43">
      <c r="C37" s="26"/>
      <c r="D37" s="26"/>
      <c r="E37" s="26"/>
      <c r="F37" s="20"/>
      <c r="AP37" s="22">
        <v>42005</v>
      </c>
      <c r="AQ37" s="23">
        <v>6.4986144447992746</v>
      </c>
    </row>
    <row r="38" spans="1:43">
      <c r="C38" s="26"/>
      <c r="D38" s="26"/>
      <c r="E38" s="26"/>
      <c r="F38" s="20"/>
      <c r="AP38" s="24" t="s">
        <v>17</v>
      </c>
      <c r="AQ38" s="23">
        <v>5.6647325430819802</v>
      </c>
    </row>
    <row r="39" spans="1:43">
      <c r="C39" s="26"/>
      <c r="D39" s="26"/>
      <c r="E39" s="26"/>
      <c r="F39" s="20"/>
      <c r="AP39" s="24" t="s">
        <v>18</v>
      </c>
      <c r="AQ39" s="23">
        <v>5.8371209762779399</v>
      </c>
    </row>
    <row r="40" spans="1:43">
      <c r="C40" s="26"/>
      <c r="D40" s="26"/>
      <c r="E40" s="26"/>
      <c r="F40" s="20"/>
      <c r="AP40" s="24" t="s">
        <v>19</v>
      </c>
      <c r="AQ40" s="23">
        <v>5.8961776960544592</v>
      </c>
    </row>
    <row r="41" spans="1:43">
      <c r="C41" s="26"/>
      <c r="D41" s="26"/>
      <c r="E41" s="26"/>
      <c r="F41" s="20"/>
      <c r="AP41" s="24" t="s">
        <v>20</v>
      </c>
      <c r="AQ41" s="23">
        <v>5.8370252335174913</v>
      </c>
    </row>
    <row r="42" spans="1:43">
      <c r="C42" s="26"/>
      <c r="D42" s="26"/>
      <c r="E42" s="26"/>
      <c r="F42" s="20"/>
      <c r="AP42" s="24" t="s">
        <v>21</v>
      </c>
      <c r="AQ42" s="23">
        <v>5.3335091895075211</v>
      </c>
    </row>
    <row r="43" spans="1:43">
      <c r="C43" s="26"/>
      <c r="D43" s="26"/>
      <c r="E43" s="26"/>
      <c r="F43" s="20"/>
      <c r="AP43" s="24" t="s">
        <v>22</v>
      </c>
      <c r="AQ43" s="23">
        <v>5.2416292086454837</v>
      </c>
    </row>
    <row r="44" spans="1:43">
      <c r="C44" s="26"/>
      <c r="D44" s="26"/>
      <c r="E44" s="26"/>
      <c r="F44" s="20"/>
      <c r="AP44" s="24" t="s">
        <v>23</v>
      </c>
      <c r="AQ44" s="23">
        <v>5.5166509296920392</v>
      </c>
    </row>
    <row r="45" spans="1:43">
      <c r="F45" s="20"/>
      <c r="AP45" s="24" t="s">
        <v>24</v>
      </c>
      <c r="AQ45" s="23">
        <v>5.4870643171990663</v>
      </c>
    </row>
    <row r="46" spans="1:43">
      <c r="F46" s="20"/>
      <c r="AP46" s="24" t="s">
        <v>25</v>
      </c>
      <c r="AQ46" s="23">
        <v>5.783171244952511</v>
      </c>
    </row>
    <row r="47" spans="1:43">
      <c r="F47" s="20"/>
      <c r="AP47" s="24" t="s">
        <v>26</v>
      </c>
      <c r="AQ47" s="23">
        <v>5.9014498215433724</v>
      </c>
    </row>
    <row r="48" spans="1:43">
      <c r="AP48" s="28" t="s">
        <v>27</v>
      </c>
      <c r="AQ48" s="23">
        <v>4.9508699844870234</v>
      </c>
    </row>
    <row r="49" spans="42:43">
      <c r="AP49" s="22">
        <v>42370</v>
      </c>
      <c r="AQ49" s="23" t="e">
        <f>#REF!</f>
        <v>#REF!</v>
      </c>
    </row>
    <row r="50" spans="42:43">
      <c r="AP50" s="20" t="s">
        <v>30</v>
      </c>
      <c r="AQ50" s="23" t="e">
        <f>#REF!</f>
        <v>#REF!</v>
      </c>
    </row>
    <row r="51" spans="42:43">
      <c r="AP51" s="20" t="s">
        <v>31</v>
      </c>
      <c r="AQ51" s="23" t="e">
        <f>#REF!</f>
        <v>#REF!</v>
      </c>
    </row>
    <row r="52" spans="42:43">
      <c r="AP52" s="20" t="s">
        <v>32</v>
      </c>
      <c r="AQ52" s="23" t="e">
        <f>#REF!</f>
        <v>#REF!</v>
      </c>
    </row>
    <row r="53" spans="42:43">
      <c r="AP53" s="20" t="s">
        <v>20</v>
      </c>
      <c r="AQ53" s="23" t="e">
        <f>#REF!</f>
        <v>#REF!</v>
      </c>
    </row>
    <row r="54" spans="42:43">
      <c r="AP54" s="20" t="s">
        <v>33</v>
      </c>
      <c r="AQ54" s="23" t="e">
        <f>#REF!</f>
        <v>#REF!</v>
      </c>
    </row>
    <row r="55" spans="42:43">
      <c r="AP55" s="20" t="s">
        <v>34</v>
      </c>
      <c r="AQ55" s="23" t="e">
        <f>#REF!</f>
        <v>#REF!</v>
      </c>
    </row>
    <row r="56" spans="42:43">
      <c r="AP56" s="20" t="s">
        <v>35</v>
      </c>
      <c r="AQ56" s="23" t="e">
        <f>#REF!</f>
        <v>#REF!</v>
      </c>
    </row>
    <row r="57" spans="42:43">
      <c r="AP57" s="20" t="s">
        <v>36</v>
      </c>
      <c r="AQ57" s="23" t="e">
        <f>#REF!</f>
        <v>#REF!</v>
      </c>
    </row>
    <row r="58" spans="42:43">
      <c r="AP58" s="20" t="s">
        <v>37</v>
      </c>
      <c r="AQ58" s="23" t="e">
        <f>#REF!</f>
        <v>#REF!</v>
      </c>
    </row>
    <row r="59" spans="42:43">
      <c r="AP59" s="20" t="s">
        <v>38</v>
      </c>
      <c r="AQ59" s="23" t="e">
        <f>#REF!</f>
        <v>#REF!</v>
      </c>
    </row>
    <row r="60" spans="42:43">
      <c r="AP60" s="20" t="s">
        <v>39</v>
      </c>
      <c r="AQ60" s="23" t="e">
        <f>#REF!</f>
        <v>#REF!</v>
      </c>
    </row>
    <row r="61" spans="42:43">
      <c r="AP61" s="22">
        <v>42736</v>
      </c>
      <c r="AQ61" s="29" t="e">
        <f>#REF!</f>
        <v>#REF!</v>
      </c>
    </row>
    <row r="62" spans="42:43">
      <c r="AP62" s="20" t="s">
        <v>30</v>
      </c>
      <c r="AQ62" s="29" t="e">
        <f>#REF!</f>
        <v>#REF!</v>
      </c>
    </row>
    <row r="63" spans="42:43">
      <c r="AP63" s="20" t="s">
        <v>31</v>
      </c>
      <c r="AQ63" s="29" t="e">
        <f>#REF!</f>
        <v>#REF!</v>
      </c>
    </row>
    <row r="64" spans="42:43">
      <c r="AP64" s="20" t="s">
        <v>32</v>
      </c>
      <c r="AQ64" s="29" t="e">
        <f>#REF!</f>
        <v>#REF!</v>
      </c>
    </row>
    <row r="65" spans="42:43">
      <c r="AP65" s="20" t="s">
        <v>20</v>
      </c>
      <c r="AQ65" s="29" t="e">
        <f>#REF!</f>
        <v>#REF!</v>
      </c>
    </row>
    <row r="66" spans="42:43">
      <c r="AP66" s="20" t="s">
        <v>33</v>
      </c>
      <c r="AQ66" s="29" t="e">
        <f>#REF!</f>
        <v>#REF!</v>
      </c>
    </row>
    <row r="67" spans="42:43">
      <c r="AP67" s="20" t="s">
        <v>34</v>
      </c>
      <c r="AQ67" s="29" t="e">
        <f>#REF!</f>
        <v>#REF!</v>
      </c>
    </row>
    <row r="68" spans="42:43">
      <c r="AP68" s="20" t="s">
        <v>35</v>
      </c>
      <c r="AQ68" s="29" t="e">
        <f>#REF!</f>
        <v>#REF!</v>
      </c>
    </row>
    <row r="69" spans="42:43">
      <c r="AP69" s="20" t="s">
        <v>36</v>
      </c>
      <c r="AQ69" s="29" t="e">
        <f>#REF!</f>
        <v>#REF!</v>
      </c>
    </row>
    <row r="70" spans="42:43">
      <c r="AP70" s="20" t="s">
        <v>37</v>
      </c>
      <c r="AQ70" s="29" t="e">
        <f>#REF!</f>
        <v>#REF!</v>
      </c>
    </row>
    <row r="71" spans="42:43">
      <c r="AP71" s="20" t="s">
        <v>38</v>
      </c>
      <c r="AQ71" s="29" t="e">
        <f>#REF!</f>
        <v>#REF!</v>
      </c>
    </row>
    <row r="72" spans="42:43">
      <c r="AP72" s="20" t="s">
        <v>39</v>
      </c>
      <c r="AQ72" s="30" t="e">
        <f>#REF!</f>
        <v>#REF!</v>
      </c>
    </row>
    <row r="73" spans="42:43">
      <c r="AP73" s="22">
        <v>43101</v>
      </c>
      <c r="AQ73" s="29" t="e">
        <f>#REF!</f>
        <v>#REF!</v>
      </c>
    </row>
    <row r="74" spans="42:43">
      <c r="AP74" s="20" t="s">
        <v>30</v>
      </c>
      <c r="AQ74" s="29" t="e">
        <f>#REF!</f>
        <v>#REF!</v>
      </c>
    </row>
    <row r="75" spans="42:43">
      <c r="AP75" s="20" t="s">
        <v>31</v>
      </c>
      <c r="AQ75" s="29" t="e">
        <f>#REF!</f>
        <v>#REF!</v>
      </c>
    </row>
    <row r="76" spans="42:43">
      <c r="AP76" s="20" t="s">
        <v>32</v>
      </c>
      <c r="AQ76" s="29" t="e">
        <f>#REF!</f>
        <v>#REF!</v>
      </c>
    </row>
    <row r="77" spans="42:43">
      <c r="AP77" s="20" t="s">
        <v>20</v>
      </c>
      <c r="AQ77" s="29" t="e">
        <f>#REF!</f>
        <v>#REF!</v>
      </c>
    </row>
    <row r="78" spans="42:43">
      <c r="AP78" s="20" t="s">
        <v>33</v>
      </c>
      <c r="AQ78" s="29" t="e">
        <f>#REF!</f>
        <v>#REF!</v>
      </c>
    </row>
    <row r="79" spans="42:43">
      <c r="AP79" s="20" t="s">
        <v>34</v>
      </c>
      <c r="AQ79" s="29" t="e">
        <f>#REF!</f>
        <v>#REF!</v>
      </c>
    </row>
    <row r="80" spans="42:43">
      <c r="AP80" s="20" t="s">
        <v>35</v>
      </c>
      <c r="AQ80" s="29" t="e">
        <f>#REF!</f>
        <v>#REF!</v>
      </c>
    </row>
    <row r="81" spans="42:43">
      <c r="AP81" s="20" t="s">
        <v>36</v>
      </c>
      <c r="AQ81" s="29" t="e">
        <f>#REF!</f>
        <v>#REF!</v>
      </c>
    </row>
    <row r="82" spans="42:43">
      <c r="AP82" s="20" t="s">
        <v>37</v>
      </c>
      <c r="AQ82" s="29" t="e">
        <f>#REF!</f>
        <v>#REF!</v>
      </c>
    </row>
    <row r="83" spans="42:43">
      <c r="AP83" s="20" t="s">
        <v>38</v>
      </c>
      <c r="AQ83" s="29" t="e">
        <f>#REF!</f>
        <v>#REF!</v>
      </c>
    </row>
    <row r="84" spans="42:43">
      <c r="AP84" s="20" t="s">
        <v>39</v>
      </c>
      <c r="AQ84" s="29" t="e">
        <f>#REF!</f>
        <v>#REF!</v>
      </c>
    </row>
    <row r="85" spans="42:43">
      <c r="AP85" s="22">
        <v>43466</v>
      </c>
      <c r="AQ85" s="29" t="e">
        <f>#REF!</f>
        <v>#REF!</v>
      </c>
    </row>
    <row r="86" spans="42:43">
      <c r="AP86" s="20" t="s">
        <v>30</v>
      </c>
      <c r="AQ86" s="29" t="e">
        <f>#REF!</f>
        <v>#REF!</v>
      </c>
    </row>
    <row r="87" spans="42:43">
      <c r="AP87" s="20" t="s">
        <v>31</v>
      </c>
      <c r="AQ87" s="29" t="e">
        <f>#REF!</f>
        <v>#REF!</v>
      </c>
    </row>
    <row r="88" spans="42:43">
      <c r="AP88" s="20" t="s">
        <v>32</v>
      </c>
      <c r="AQ88" s="29" t="e">
        <f>#REF!</f>
        <v>#REF!</v>
      </c>
    </row>
    <row r="89" spans="42:43">
      <c r="AP89" s="20" t="s">
        <v>20</v>
      </c>
      <c r="AQ89" s="29" t="e">
        <f>#REF!</f>
        <v>#REF!</v>
      </c>
    </row>
    <row r="90" spans="42:43">
      <c r="AP90" s="20" t="s">
        <v>33</v>
      </c>
      <c r="AQ90" s="29" t="e">
        <f>#REF!</f>
        <v>#REF!</v>
      </c>
    </row>
    <row r="91" spans="42:43">
      <c r="AP91" s="20" t="s">
        <v>34</v>
      </c>
      <c r="AQ91" s="29" t="e">
        <f>#REF!</f>
        <v>#REF!</v>
      </c>
    </row>
    <row r="92" spans="42:43">
      <c r="AP92" s="20" t="s">
        <v>35</v>
      </c>
      <c r="AQ92" s="29" t="e">
        <f>#REF!</f>
        <v>#REF!</v>
      </c>
    </row>
    <row r="93" spans="42:43">
      <c r="AP93" s="20" t="s">
        <v>36</v>
      </c>
      <c r="AQ93" s="29" t="e">
        <f>#REF!</f>
        <v>#REF!</v>
      </c>
    </row>
    <row r="94" spans="42:43">
      <c r="AP94" s="20" t="s">
        <v>37</v>
      </c>
      <c r="AQ94" s="29" t="e">
        <f>#REF!</f>
        <v>#REF!</v>
      </c>
    </row>
    <row r="95" spans="42:43">
      <c r="AP95" s="20" t="s">
        <v>38</v>
      </c>
      <c r="AQ95" s="29" t="e">
        <f>#REF!</f>
        <v>#REF!</v>
      </c>
    </row>
    <row r="96" spans="42:43">
      <c r="AP96" s="20" t="s">
        <v>39</v>
      </c>
      <c r="AQ96" s="29" t="e">
        <f>#REF!</f>
        <v>#REF!</v>
      </c>
    </row>
    <row r="97" spans="42:43">
      <c r="AP97" s="22">
        <v>43831</v>
      </c>
      <c r="AQ97" s="29" t="e">
        <f>#REF!</f>
        <v>#REF!</v>
      </c>
    </row>
    <row r="98" spans="42:43">
      <c r="AP98" s="20" t="s">
        <v>30</v>
      </c>
      <c r="AQ98" s="29" t="e">
        <f>#REF!</f>
        <v>#REF!</v>
      </c>
    </row>
    <row r="99" spans="42:43">
      <c r="AP99" s="20" t="s">
        <v>31</v>
      </c>
      <c r="AQ99" s="29" t="e">
        <f>#REF!</f>
        <v>#REF!</v>
      </c>
    </row>
    <row r="100" spans="42:43">
      <c r="AP100" s="20" t="s">
        <v>32</v>
      </c>
      <c r="AQ100" s="29" t="e">
        <f>#REF!</f>
        <v>#REF!</v>
      </c>
    </row>
    <row r="101" spans="42:43">
      <c r="AP101" s="20" t="s">
        <v>20</v>
      </c>
      <c r="AQ101" s="29" t="e">
        <f>#REF!</f>
        <v>#REF!</v>
      </c>
    </row>
    <row r="102" spans="42:43">
      <c r="AP102" s="20" t="s">
        <v>33</v>
      </c>
      <c r="AQ102" s="29" t="e">
        <f>#REF!</f>
        <v>#REF!</v>
      </c>
    </row>
    <row r="103" spans="42:43">
      <c r="AP103" s="20" t="s">
        <v>34</v>
      </c>
      <c r="AQ103" s="29" t="e">
        <f>#REF!</f>
        <v>#REF!</v>
      </c>
    </row>
    <row r="104" spans="42:43">
      <c r="AP104" s="20" t="s">
        <v>35</v>
      </c>
      <c r="AQ104" s="29" t="e">
        <f>#REF!</f>
        <v>#REF!</v>
      </c>
    </row>
    <row r="105" spans="42:43">
      <c r="AP105" s="20" t="s">
        <v>36</v>
      </c>
      <c r="AQ105" s="29" t="e">
        <f>#REF!</f>
        <v>#REF!</v>
      </c>
    </row>
    <row r="106" spans="42:43">
      <c r="AP106" s="20" t="s">
        <v>37</v>
      </c>
      <c r="AQ106" s="29" t="e">
        <f>#REF!</f>
        <v>#REF!</v>
      </c>
    </row>
    <row r="107" spans="42:43">
      <c r="AP107" s="20" t="s">
        <v>38</v>
      </c>
      <c r="AQ107" s="29" t="e">
        <f>#REF!</f>
        <v>#REF!</v>
      </c>
    </row>
    <row r="108" spans="42:43">
      <c r="AP108" s="20" t="s">
        <v>39</v>
      </c>
      <c r="AQ108" s="29" t="e">
        <f>#REF!</f>
        <v>#REF!</v>
      </c>
    </row>
    <row r="109" spans="42:43">
      <c r="AP109" s="22">
        <v>44197</v>
      </c>
      <c r="AQ109" s="31" t="e">
        <f>#REF!</f>
        <v>#REF!</v>
      </c>
    </row>
    <row r="110" spans="42:43">
      <c r="AP110" s="20" t="s">
        <v>30</v>
      </c>
      <c r="AQ110" s="31" t="e">
        <f>#REF!</f>
        <v>#REF!</v>
      </c>
    </row>
    <row r="111" spans="42:43">
      <c r="AP111" s="20" t="s">
        <v>31</v>
      </c>
      <c r="AQ111" s="31" t="e">
        <f>#REF!</f>
        <v>#REF!</v>
      </c>
    </row>
    <row r="112" spans="42:43">
      <c r="AP112" s="20" t="s">
        <v>32</v>
      </c>
      <c r="AQ112" s="31" t="e">
        <f>#REF!</f>
        <v>#REF!</v>
      </c>
    </row>
    <row r="113" spans="42:43">
      <c r="AP113" s="20" t="s">
        <v>20</v>
      </c>
      <c r="AQ113" s="31" t="e">
        <f>#REF!</f>
        <v>#REF!</v>
      </c>
    </row>
    <row r="114" spans="42:43">
      <c r="AP114" s="20" t="s">
        <v>33</v>
      </c>
      <c r="AQ114" s="31" t="e">
        <f>#REF!</f>
        <v>#REF!</v>
      </c>
    </row>
    <row r="115" spans="42:43">
      <c r="AP115" s="20" t="s">
        <v>34</v>
      </c>
      <c r="AQ115" s="31" t="e">
        <f>#REF!</f>
        <v>#REF!</v>
      </c>
    </row>
    <row r="116" spans="42:43">
      <c r="AP116" s="20" t="s">
        <v>35</v>
      </c>
      <c r="AQ116" s="31" t="e">
        <f>#REF!</f>
        <v>#REF!</v>
      </c>
    </row>
    <row r="117" spans="42:43">
      <c r="AP117" s="20" t="s">
        <v>36</v>
      </c>
      <c r="AQ117" s="31" t="e">
        <f>#REF!</f>
        <v>#REF!</v>
      </c>
    </row>
    <row r="118" spans="42:43">
      <c r="AP118" s="20" t="s">
        <v>37</v>
      </c>
      <c r="AQ118" s="31" t="e">
        <f>#REF!</f>
        <v>#REF!</v>
      </c>
    </row>
    <row r="119" spans="42:43">
      <c r="AP119" s="20" t="s">
        <v>38</v>
      </c>
      <c r="AQ119" s="31" t="e">
        <f>#REF!</f>
        <v>#REF!</v>
      </c>
    </row>
    <row r="120" spans="42:43">
      <c r="AP120" s="20" t="s">
        <v>39</v>
      </c>
      <c r="AQ120" s="31" t="e">
        <f>#REF!</f>
        <v>#REF!</v>
      </c>
    </row>
    <row r="121" spans="42:43">
      <c r="AP121" s="22">
        <v>44562</v>
      </c>
      <c r="AQ121" s="57" t="e">
        <f>#REF!</f>
        <v>#REF!</v>
      </c>
    </row>
    <row r="122" spans="42:43">
      <c r="AP122" s="20" t="s">
        <v>30</v>
      </c>
      <c r="AQ122" s="57" t="e">
        <f>#REF!</f>
        <v>#REF!</v>
      </c>
    </row>
    <row r="123" spans="42:43">
      <c r="AP123" s="20" t="s">
        <v>31</v>
      </c>
      <c r="AQ123" s="57" t="e">
        <f>#REF!</f>
        <v>#REF!</v>
      </c>
    </row>
    <row r="124" spans="42:43">
      <c r="AP124" s="20" t="s">
        <v>32</v>
      </c>
      <c r="AQ124" s="57" t="e">
        <f>#REF!</f>
        <v>#REF!</v>
      </c>
    </row>
    <row r="125" spans="42:43">
      <c r="AP125" s="20" t="s">
        <v>20</v>
      </c>
      <c r="AQ125" s="57" t="e">
        <f>#REF!</f>
        <v>#REF!</v>
      </c>
    </row>
    <row r="126" spans="42:43">
      <c r="AP126" s="20" t="s">
        <v>33</v>
      </c>
      <c r="AQ126" s="57" t="e">
        <f>#REF!</f>
        <v>#REF!</v>
      </c>
    </row>
    <row r="127" spans="42:43">
      <c r="AP127" s="20" t="s">
        <v>34</v>
      </c>
      <c r="AQ127" s="57" t="e">
        <f>#REF!</f>
        <v>#REF!</v>
      </c>
    </row>
    <row r="128" spans="42:43">
      <c r="AP128" s="20" t="s">
        <v>35</v>
      </c>
      <c r="AQ128" s="57" t="e">
        <f>#REF!</f>
        <v>#REF!</v>
      </c>
    </row>
    <row r="129" spans="42:43">
      <c r="AP129" s="20" t="s">
        <v>36</v>
      </c>
      <c r="AQ129" s="57" t="e">
        <f>#REF!</f>
        <v>#REF!</v>
      </c>
    </row>
    <row r="130" spans="42:43">
      <c r="AP130" s="20" t="s">
        <v>37</v>
      </c>
      <c r="AQ130" s="57" t="e">
        <f>#REF!</f>
        <v>#REF!</v>
      </c>
    </row>
    <row r="131" spans="42:43">
      <c r="AP131" s="20" t="s">
        <v>38</v>
      </c>
      <c r="AQ131" s="57" t="e">
        <f>#REF!</f>
        <v>#REF!</v>
      </c>
    </row>
    <row r="132" spans="42:43">
      <c r="AP132" s="20" t="s">
        <v>39</v>
      </c>
      <c r="AQ132" s="57" t="e">
        <f>#REF!</f>
        <v>#REF!</v>
      </c>
    </row>
    <row r="133" spans="42:43">
      <c r="AP133" s="22">
        <v>44927</v>
      </c>
      <c r="AQ133" s="57">
        <f>H7</f>
        <v>8.1</v>
      </c>
    </row>
    <row r="134" spans="42:43">
      <c r="AP134" s="20" t="s">
        <v>30</v>
      </c>
      <c r="AQ134" s="57">
        <f t="shared" ref="AQ134:AQ144" si="2">H8</f>
        <v>8</v>
      </c>
    </row>
    <row r="135" spans="42:43">
      <c r="AP135" s="20" t="s">
        <v>31</v>
      </c>
      <c r="AQ135" s="57">
        <f t="shared" si="2"/>
        <v>7.8</v>
      </c>
    </row>
    <row r="136" spans="42:43">
      <c r="AP136" s="20" t="s">
        <v>32</v>
      </c>
      <c r="AQ136" s="57">
        <f t="shared" si="2"/>
        <v>7.6</v>
      </c>
    </row>
    <row r="137" spans="42:43">
      <c r="AP137" s="20" t="s">
        <v>20</v>
      </c>
      <c r="AQ137" s="57">
        <f t="shared" si="2"/>
        <v>7.2</v>
      </c>
    </row>
    <row r="138" spans="42:43">
      <c r="AP138" s="20" t="s">
        <v>33</v>
      </c>
      <c r="AQ138" s="57">
        <f t="shared" si="2"/>
        <v>7.1</v>
      </c>
    </row>
    <row r="139" spans="42:43">
      <c r="AP139" s="20" t="s">
        <v>34</v>
      </c>
      <c r="AQ139" s="57">
        <f t="shared" si="2"/>
        <v>7.7</v>
      </c>
    </row>
    <row r="140" spans="42:43">
      <c r="AP140" s="20" t="s">
        <v>35</v>
      </c>
      <c r="AQ140" s="57">
        <f t="shared" si="2"/>
        <v>7.5</v>
      </c>
    </row>
    <row r="141" spans="42:43">
      <c r="AP141" s="20" t="s">
        <v>36</v>
      </c>
      <c r="AQ141" s="57">
        <f t="shared" si="2"/>
        <v>7.2</v>
      </c>
    </row>
    <row r="142" spans="42:43">
      <c r="AP142" s="20" t="s">
        <v>37</v>
      </c>
      <c r="AQ142" s="57">
        <f t="shared" si="2"/>
        <v>7.5</v>
      </c>
    </row>
    <row r="143" spans="42:43">
      <c r="AP143" s="20" t="s">
        <v>38</v>
      </c>
      <c r="AQ143" s="57">
        <f t="shared" si="2"/>
        <v>7.6</v>
      </c>
    </row>
    <row r="144" spans="42:43">
      <c r="AP144" s="20" t="s">
        <v>39</v>
      </c>
      <c r="AQ144" s="57">
        <f t="shared" si="2"/>
        <v>7.7</v>
      </c>
    </row>
    <row r="145" spans="42:43">
      <c r="AP145" s="22">
        <v>45292</v>
      </c>
      <c r="AQ145" s="57">
        <f>N6</f>
        <v>7.3788388063520829</v>
      </c>
    </row>
    <row r="146" spans="42:43">
      <c r="AP146" s="20" t="s">
        <v>30</v>
      </c>
      <c r="AQ146" s="57">
        <f t="shared" ref="AQ146:AQ156" si="3">N7</f>
        <v>7.9</v>
      </c>
    </row>
    <row r="147" spans="42:43">
      <c r="AP147" s="20" t="s">
        <v>31</v>
      </c>
      <c r="AQ147" s="57">
        <f t="shared" si="3"/>
        <v>7.8</v>
      </c>
    </row>
    <row r="148" spans="42:43">
      <c r="AP148" s="20" t="s">
        <v>32</v>
      </c>
      <c r="AQ148" s="57">
        <f t="shared" si="3"/>
        <v>8.0474913417991303</v>
      </c>
    </row>
    <row r="149" spans="42:43">
      <c r="AP149" s="20" t="s">
        <v>20</v>
      </c>
      <c r="AQ149" s="57">
        <f t="shared" si="3"/>
        <v>7.6</v>
      </c>
    </row>
    <row r="150" spans="42:43">
      <c r="AP150" s="20" t="s">
        <v>33</v>
      </c>
      <c r="AQ150" s="57">
        <f t="shared" si="3"/>
        <v>7.3</v>
      </c>
    </row>
    <row r="151" spans="42:43">
      <c r="AP151" s="20" t="s">
        <v>34</v>
      </c>
      <c r="AQ151" s="57">
        <f t="shared" si="3"/>
        <v>7.2</v>
      </c>
    </row>
    <row r="152" spans="42:43">
      <c r="AP152" s="20" t="s">
        <v>35</v>
      </c>
      <c r="AQ152" s="57">
        <f t="shared" si="3"/>
        <v>7.7</v>
      </c>
    </row>
    <row r="153" spans="42:43">
      <c r="AP153" s="20" t="s">
        <v>36</v>
      </c>
      <c r="AQ153" s="57">
        <f t="shared" si="3"/>
        <v>7.7</v>
      </c>
    </row>
    <row r="154" spans="42:43">
      <c r="AP154" s="20" t="s">
        <v>37</v>
      </c>
      <c r="AQ154" s="57">
        <f t="shared" si="3"/>
        <v>6.893582887700533</v>
      </c>
    </row>
    <row r="155" spans="42:43">
      <c r="AP155" s="20" t="s">
        <v>38</v>
      </c>
      <c r="AQ155" s="57">
        <f t="shared" si="3"/>
        <v>6.6521505376344088</v>
      </c>
    </row>
    <row r="156" spans="42:43">
      <c r="AP156" s="20" t="s">
        <v>39</v>
      </c>
      <c r="AQ156" s="57">
        <f t="shared" si="3"/>
        <v>6.7238636363636397</v>
      </c>
    </row>
  </sheetData>
  <mergeCells count="6">
    <mergeCell ref="A1:N1"/>
    <mergeCell ref="A2:N2"/>
    <mergeCell ref="AL4:AQ4"/>
    <mergeCell ref="A3:A5"/>
    <mergeCell ref="C3:H3"/>
    <mergeCell ref="I3:N3"/>
  </mergeCells>
  <pageMargins left="0.7" right="0.7" top="0.75" bottom="0.75" header="0.3" footer="0.3"/>
  <pageSetup paperSize="9" scale="73" orientation="landscape" horizontalDpi="4294967295" verticalDpi="4294967295" r:id="rId1"/>
  <rowBreaks count="1" manualBreakCount="1">
    <brk id="22" max="6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10.3</vt:lpstr>
      <vt:lpstr>'10.3'!Print_Area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2025-06-01T07:11:00Z</cp:lastPrinted>
  <dcterms:created xsi:type="dcterms:W3CDTF">2019-02-27T06:18:18Z</dcterms:created>
  <dcterms:modified xsi:type="dcterms:W3CDTF">2025-06-01T07:11:45Z</dcterms:modified>
</cp:coreProperties>
</file>