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B2698F27-FE61-48B5-8251-D2B11F3B7812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4" sheetId="4" r:id="rId1"/>
  </sheets>
  <externalReferences>
    <externalReference r:id="rId2"/>
  </externalReferences>
  <definedNames>
    <definedName name="_xlnm.Print_Area" localSheetId="0">'10.4'!$A$1:$L$44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1" i="4" l="1"/>
  <c r="AP21" i="4"/>
  <c r="I9" i="4" l="1"/>
  <c r="I10" i="4"/>
  <c r="I11" i="4"/>
  <c r="I12" i="4"/>
  <c r="I13" i="4"/>
  <c r="I14" i="4"/>
  <c r="I15" i="4"/>
  <c r="I16" i="4"/>
  <c r="I17" i="4"/>
  <c r="I18" i="4"/>
  <c r="I19" i="4"/>
  <c r="I8" i="4"/>
  <c r="AQ22" i="4" l="1"/>
  <c r="AQ23" i="4"/>
  <c r="AQ24" i="4"/>
  <c r="AQ25" i="4"/>
  <c r="AQ26" i="4"/>
  <c r="AQ27" i="4"/>
  <c r="AQ28" i="4"/>
  <c r="AQ29" i="4"/>
  <c r="AQ30" i="4"/>
  <c r="AQ31" i="4"/>
  <c r="AQ32" i="4"/>
  <c r="AP22" i="4"/>
  <c r="AP23" i="4"/>
  <c r="AP24" i="4"/>
  <c r="AP25" i="4"/>
  <c r="AP26" i="4"/>
  <c r="AP27" i="4"/>
  <c r="AP28" i="4"/>
  <c r="AP29" i="4"/>
  <c r="AP30" i="4"/>
  <c r="AP31" i="4"/>
  <c r="AP32" i="4"/>
  <c r="K7" i="4"/>
  <c r="J7" i="4"/>
  <c r="I7" i="4"/>
  <c r="H7" i="4"/>
  <c r="G7" i="4"/>
  <c r="F7" i="4" l="1"/>
  <c r="E7" i="4"/>
  <c r="D7" i="4"/>
  <c r="C7" i="4"/>
  <c r="B7" i="4"/>
</calcChain>
</file>

<file path=xl/sharedStrings.xml><?xml version="1.0" encoding="utf-8"?>
<sst xmlns="http://schemas.openxmlformats.org/spreadsheetml/2006/main" count="54" uniqueCount="42">
  <si>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</si>
  <si>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</si>
  <si>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</si>
  <si>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</si>
  <si>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</si>
  <si>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</si>
  <si>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</si>
  <si>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</si>
  <si>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</si>
  <si>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</si>
  <si>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</si>
  <si>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</si>
  <si>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</si>
  <si>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</si>
  <si>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</si>
  <si>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</si>
  <si>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</si>
  <si>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</si>
  <si>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</si>
  <si>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</si>
  <si>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</si>
  <si>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</si>
  <si>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</si>
  <si>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</si>
  <si>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</si>
  <si>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</si>
  <si>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</si>
  <si>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</si>
  <si>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</si>
  <si>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</si>
  <si>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</si>
  <si>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</si>
  <si>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</si>
  <si>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</si>
  <si>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</si>
  <si>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</si>
  <si>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</si>
  <si>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</si>
  <si>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</si>
  <si>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</si>
  <si>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10.4: BED CAPACITY AND UTILIZATION OF RESORTS BY MONTH,  2020 - 2021</t>
  </si>
  <si>
    <t>2021 - 2020  ,urwvcnim unuverukcnunEb wgWjegudnea iaWa wgWj egudnea egukwtuTOsir uhwmcswmikea : 10.4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</si>
</sst>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#,##0.0"/>
    <numFmt numFmtId="168" formatCode="[$-409]mmm\-yy;@"/>
    <numFmt numFmtId="171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sz val="9"/>
      <name val="A_Faseyha"/>
    </font>
    <font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71" fontId="17" fillId="0" borderId="0"/>
    <xf numFmtId="1" fontId="18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8" fillId="0" borderId="12" applyNumberFormat="0"/>
    <xf numFmtId="0" fontId="1" fillId="0" borderId="0"/>
    <xf numFmtId="0" fontId="3" fillId="0" borderId="0"/>
    <xf numFmtId="0" fontId="22" fillId="0" borderId="0" applyFill="0" applyProtection="0"/>
    <xf numFmtId="1" fontId="18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3" fillId="0" borderId="0"/>
    <xf numFmtId="0" fontId="22" fillId="0" borderId="0" applyFill="0" applyProtection="0"/>
  </cellStyleXfs>
  <cellXfs count="42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168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166" fontId="6" fillId="2" borderId="0" xfId="1" applyNumberFormat="1" applyFont="1" applyFill="1" applyAlignment="1">
      <alignment horizontal="right" vertical="center"/>
    </xf>
    <xf numFmtId="166" fontId="7" fillId="2" borderId="0" xfId="1" applyNumberFormat="1" applyFont="1" applyFill="1" applyBorder="1" applyAlignment="1">
      <alignment horizontal="right" vertical="center"/>
    </xf>
    <xf numFmtId="166" fontId="7" fillId="2" borderId="1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0" fontId="21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2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36">
    <cellStyle name="1" xfId="6" xr:uid="{00000000-0005-0000-0000-000000000000}"/>
    <cellStyle name="Comma" xfId="1" builtinId="3"/>
    <cellStyle name="Comma 2" xfId="20" xr:uid="{00000000-0005-0000-0000-000002000000}"/>
    <cellStyle name="Comma 2 2 2 5" xfId="28" xr:uid="{923A80DF-8391-490C-A9FC-9B04BA3FF02C}"/>
    <cellStyle name="Comma 3" xfId="7" xr:uid="{00000000-0005-0000-0000-000003000000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3" xfId="22" xr:uid="{2E2FEFD2-ABBD-420D-8461-C8F503FDA24A}"/>
    <cellStyle name="Normal 2 3" xfId="24" xr:uid="{48422FEC-E0BC-428C-9750-2D76D2E13FBF}"/>
    <cellStyle name="Normal 2 3 2" xfId="35" xr:uid="{53720891-5BB7-4072-A4AA-9D579EA571CD}"/>
    <cellStyle name="Normal 2 4" xfId="26" xr:uid="{84E1C268-3A16-4FB7-A335-F22068D33369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3" xfId="31" xr:uid="{6720CF7E-3D28-49D4-A4F3-23A341275CC3}"/>
    <cellStyle name="Normal 5" xfId="12" xr:uid="{00000000-0005-0000-0000-00000E000000}"/>
    <cellStyle name="Normal 5 2" xfId="4" xr:uid="{00000000-0005-0000-0000-00000F000000}"/>
    <cellStyle name="Normal 5 3" xfId="29" xr:uid="{F16A05F5-F806-4902-9DAF-1592A0EB3B8F}"/>
    <cellStyle name="Normal 6" xfId="17" xr:uid="{00000000-0005-0000-0000-000010000000}"/>
    <cellStyle name="Normal 6 2" xfId="33" xr:uid="{28DCBC0B-46D7-4D92-ADC4-A6E5B7FB0383}"/>
    <cellStyle name="Normal 7" xfId="18" xr:uid="{00000000-0005-0000-0000-000011000000}"/>
    <cellStyle name="Normal 7 2" xfId="34" xr:uid="{F94E59D5-A861-4070-A967-F13E24BDD6F0}"/>
    <cellStyle name="Normal 8" xfId="19" xr:uid="{00000000-0005-0000-0000-000012000000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resorts , 2021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9376625060904604"/>
          <c:y val="4.7686959484046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646198871158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'10.4'!$AP$20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'10.4'!$AO$21:$AO$32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'10.4'!$AP$21:$AP$32</c:f>
              <c:numCache>
                <c:formatCode>#,##0</c:formatCode>
                <c:ptCount val="12"/>
                <c:pt idx="0">
                  <c:v>37194</c:v>
                </c:pt>
                <c:pt idx="1">
                  <c:v>37248</c:v>
                </c:pt>
                <c:pt idx="2">
                  <c:v>37384</c:v>
                </c:pt>
                <c:pt idx="3">
                  <c:v>38072</c:v>
                </c:pt>
                <c:pt idx="4">
                  <c:v>38082</c:v>
                </c:pt>
                <c:pt idx="5">
                  <c:v>38088</c:v>
                </c:pt>
                <c:pt idx="6">
                  <c:v>38394</c:v>
                </c:pt>
                <c:pt idx="7">
                  <c:v>38554</c:v>
                </c:pt>
                <c:pt idx="8">
                  <c:v>38818</c:v>
                </c:pt>
                <c:pt idx="9">
                  <c:v>38924</c:v>
                </c:pt>
                <c:pt idx="10">
                  <c:v>39204</c:v>
                </c:pt>
                <c:pt idx="11">
                  <c:v>39604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A-4B78-BFEE-5F455A783DF5}"/>
            </c:ext>
          </c:extLst>
        </c:ser>
        <c:ser>
          <c:idx val="1"/>
          <c:order val="1"/>
          <c:tx>
            <c:strRef>
              <c:f>'10.4'!$AQ$20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FFD5D5"/>
            </a:solidFill>
            <a:ln>
              <a:noFill/>
            </a:ln>
            <a:effectLst/>
          </c:spPr>
          <c:invertIfNegative val="0"/>
          <c:cat>
            <c:strRef>
              <c:f>'10.4'!$AO$21:$AO$32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'10.4'!$AQ$21:$AQ$32</c:f>
              <c:numCache>
                <c:formatCode>#,##0</c:formatCode>
                <c:ptCount val="12"/>
                <c:pt idx="0">
                  <c:v>33846</c:v>
                </c:pt>
                <c:pt idx="1">
                  <c:v>34618</c:v>
                </c:pt>
                <c:pt idx="2">
                  <c:v>34784</c:v>
                </c:pt>
                <c:pt idx="3">
                  <c:v>36244</c:v>
                </c:pt>
                <c:pt idx="4">
                  <c:v>36254</c:v>
                </c:pt>
                <c:pt idx="5">
                  <c:v>36466</c:v>
                </c:pt>
                <c:pt idx="6">
                  <c:v>36672</c:v>
                </c:pt>
                <c:pt idx="7">
                  <c:v>36832</c:v>
                </c:pt>
                <c:pt idx="8">
                  <c:v>36912</c:v>
                </c:pt>
                <c:pt idx="9">
                  <c:v>37352</c:v>
                </c:pt>
                <c:pt idx="10">
                  <c:v>37632</c:v>
                </c:pt>
                <c:pt idx="11">
                  <c:v>38226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A-4B78-BFEE-5F455A78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0018640"/>
        <c:axId val="400020992"/>
      </c:barChart>
      <c:catAx>
        <c:axId val="4000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0992"/>
        <c:crosses val="autoZero"/>
        <c:auto val="1"/>
        <c:lblAlgn val="ctr"/>
        <c:lblOffset val="100"/>
        <c:noMultiLvlLbl val="0"/>
      </c:catAx>
      <c:valAx>
        <c:axId val="400020992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86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119767171960651"/>
          <c:y val="0.90526962890700591"/>
          <c:w val="0.40792415233810059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23</xdr:row>
      <xdr:rowOff>19050</xdr:rowOff>
    </xdr:from>
    <xdr:to>
      <xdr:col>10</xdr:col>
      <xdr:colOff>285750</xdr:colOff>
      <xdr:row>43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T37"/>
  <sheetViews>
    <sheetView tabSelected="1" zoomScaleNormal="100" workbookViewId="0">
      <selection activeCell="N10" sqref="N1:N1048576"/>
    </sheetView>
  </sheetViews>
  <sheetFormatPr defaultColWidth="9.140625" defaultRowHeight="12"/>
  <cols>
    <col min="1" max="1" width="13.7109375" style="3" customWidth="1"/>
    <col min="2" max="11" width="13" style="3" customWidth="1"/>
    <col min="12" max="12" width="3" style="3" customWidth="1"/>
    <col min="13" max="16384" width="9.140625" style="3"/>
  </cols>
  <sheetData>
    <row r="1" spans="1:39" ht="14.25">
      <c r="A1" s="35" t="s">
        <v>41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9" ht="12.75">
      <c r="A2" s="36" t="s">
        <v>40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22"/>
    </row>
    <row r="3" spans="1:39" ht="12.7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22"/>
    </row>
    <row r="4" spans="1:39" s="4" customFormat="1" ht="12.75">
      <c r="A4" s="37" t="s">
        <v>3</v>
      </c>
      <c r="B4" s="40">
        <v>2020</v>
      </c>
      <c r="C4" s="41"/>
      <c r="D4" s="41"/>
      <c r="E4" s="41"/>
      <c r="F4" s="41"/>
      <c r="G4" s="40">
        <v>2021</v>
      </c>
      <c r="H4" s="41"/>
      <c r="I4" s="41"/>
      <c r="J4" s="41"/>
      <c r="K4" s="41"/>
      <c r="L4" s="23"/>
    </row>
    <row r="5" spans="1:39" s="4" customFormat="1" ht="63.75" customHeight="1">
      <c r="A5" s="38"/>
      <c r="B5" s="5" t="s">
        <v>4</v>
      </c>
      <c r="C5" s="6" t="s">
        <v>5</v>
      </c>
      <c r="D5" s="6" t="s">
        <v>2</v>
      </c>
      <c r="E5" s="6" t="s">
        <v>6</v>
      </c>
      <c r="F5" s="6" t="s">
        <v>7</v>
      </c>
      <c r="G5" s="5" t="s">
        <v>4</v>
      </c>
      <c r="H5" s="6" t="s">
        <v>5</v>
      </c>
      <c r="I5" s="6" t="s">
        <v>2</v>
      </c>
      <c r="J5" s="6" t="s">
        <v>6</v>
      </c>
      <c r="K5" s="6" t="s">
        <v>7</v>
      </c>
      <c r="L5" s="23"/>
    </row>
    <row r="6" spans="1:39" s="4" customFormat="1" ht="51">
      <c r="A6" s="39"/>
      <c r="B6" s="32" t="s">
        <v>12</v>
      </c>
      <c r="C6" s="31" t="s">
        <v>8</v>
      </c>
      <c r="D6" s="31" t="s">
        <v>9</v>
      </c>
      <c r="E6" s="31" t="s">
        <v>10</v>
      </c>
      <c r="F6" s="24" t="s">
        <v>11</v>
      </c>
      <c r="G6" s="32" t="s">
        <v>12</v>
      </c>
      <c r="H6" s="31" t="s">
        <v>8</v>
      </c>
      <c r="I6" s="31" t="s">
        <v>9</v>
      </c>
      <c r="J6" s="31" t="s">
        <v>10</v>
      </c>
      <c r="K6" s="24" t="s">
        <v>11</v>
      </c>
      <c r="L6" s="23"/>
    </row>
    <row r="7" spans="1:39" s="4" customFormat="1" ht="18.75" customHeight="1">
      <c r="A7" s="7" t="s">
        <v>13</v>
      </c>
      <c r="B7" s="8">
        <f>AVERAGE(B8:B19)</f>
        <v>37566.333333333336</v>
      </c>
      <c r="C7" s="9">
        <f>AVERAGE(C8:C19)</f>
        <v>21445.666666666668</v>
      </c>
      <c r="D7" s="10">
        <f>AVERAGE(D8:D19)</f>
        <v>57.094233269850641</v>
      </c>
      <c r="E7" s="10">
        <f>AVERAGE(E8:E19)</f>
        <v>28.978640707515321</v>
      </c>
      <c r="F7" s="25">
        <f>SUM(F8:F19)</f>
        <v>3357345.18568527</v>
      </c>
      <c r="G7" s="8">
        <f>AVERAGE(G8:G19)</f>
        <v>38297.166666666664</v>
      </c>
      <c r="H7" s="9">
        <f>AVERAGE(H8:H19)</f>
        <v>36319.833333333336</v>
      </c>
      <c r="I7" s="10">
        <f>AVERAGE(I8:I19)</f>
        <v>94.811104233702324</v>
      </c>
      <c r="J7" s="10">
        <f>AVERAGE(J8:J19)</f>
        <v>64.766666666666666</v>
      </c>
      <c r="K7" s="25">
        <f>SUM(K8:K19)</f>
        <v>8602827</v>
      </c>
      <c r="L7" s="23"/>
    </row>
    <row r="8" spans="1:39" s="4" customFormat="1" ht="18.75" customHeight="1">
      <c r="A8" s="11" t="s">
        <v>14</v>
      </c>
      <c r="B8" s="12">
        <v>37394</v>
      </c>
      <c r="C8" s="2">
        <v>36094</v>
      </c>
      <c r="D8" s="13">
        <v>96.523506444884205</v>
      </c>
      <c r="E8" s="13">
        <v>83.216709817367573</v>
      </c>
      <c r="F8" s="26">
        <v>931123.41648590018</v>
      </c>
      <c r="G8" s="12">
        <v>37194</v>
      </c>
      <c r="H8" s="2">
        <v>33846</v>
      </c>
      <c r="I8" s="13">
        <f t="shared" ref="I8:I19" si="0">H8/G8*100</f>
        <v>90.998548152927896</v>
      </c>
      <c r="J8" s="13">
        <v>71.900000000000006</v>
      </c>
      <c r="K8" s="26">
        <v>754600</v>
      </c>
      <c r="L8" s="23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s="4" customFormat="1" ht="18.75" customHeight="1">
      <c r="A9" s="11" t="s">
        <v>15</v>
      </c>
      <c r="B9" s="12">
        <v>37522</v>
      </c>
      <c r="C9" s="2">
        <v>36222</v>
      </c>
      <c r="D9" s="13">
        <v>96.535365918661057</v>
      </c>
      <c r="E9" s="13">
        <v>79.284757759816344</v>
      </c>
      <c r="F9" s="26">
        <v>832837.22371705959</v>
      </c>
      <c r="G9" s="12">
        <v>37248</v>
      </c>
      <c r="H9" s="2">
        <v>34618</v>
      </c>
      <c r="I9" s="13">
        <f t="shared" si="0"/>
        <v>92.93921821305841</v>
      </c>
      <c r="J9" s="13">
        <v>68.2</v>
      </c>
      <c r="K9" s="26">
        <v>660702</v>
      </c>
      <c r="L9" s="23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s="4" customFormat="1" ht="18.75" customHeight="1">
      <c r="A10" s="11" t="s">
        <v>16</v>
      </c>
      <c r="B10" s="12">
        <v>37522</v>
      </c>
      <c r="C10" s="2">
        <v>36222</v>
      </c>
      <c r="D10" s="13">
        <v>96.535365918661057</v>
      </c>
      <c r="E10" s="13">
        <v>41.80475367158656</v>
      </c>
      <c r="F10" s="26">
        <v>469418.05412258458</v>
      </c>
      <c r="G10" s="12">
        <v>37384</v>
      </c>
      <c r="H10" s="2">
        <v>34784</v>
      </c>
      <c r="I10" s="13">
        <f t="shared" si="0"/>
        <v>93.045153006633853</v>
      </c>
      <c r="J10" s="13">
        <v>69.5</v>
      </c>
      <c r="K10" s="26">
        <v>749448</v>
      </c>
      <c r="L10" s="23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s="4" customFormat="1" ht="18.75" customHeight="1">
      <c r="A11" s="11" t="s">
        <v>17</v>
      </c>
      <c r="B11" s="12">
        <v>37522</v>
      </c>
      <c r="C11" s="2">
        <v>7064</v>
      </c>
      <c r="D11" s="13">
        <v>18.826288577367944</v>
      </c>
      <c r="E11" s="13">
        <v>3.8354191497814853</v>
      </c>
      <c r="F11" s="26">
        <v>8128.0202622169245</v>
      </c>
      <c r="G11" s="12">
        <v>38072</v>
      </c>
      <c r="H11" s="2">
        <v>36244</v>
      </c>
      <c r="I11" s="13">
        <f t="shared" si="0"/>
        <v>95.198571128388323</v>
      </c>
      <c r="J11" s="13">
        <v>58.1</v>
      </c>
      <c r="K11" s="26">
        <v>631468</v>
      </c>
      <c r="L11" s="23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s="4" customFormat="1" ht="18.75" customHeight="1">
      <c r="A12" s="11" t="s">
        <v>18</v>
      </c>
      <c r="B12" s="12">
        <v>37522</v>
      </c>
      <c r="C12" s="2">
        <v>2904</v>
      </c>
      <c r="D12" s="13">
        <v>7.7394595170833105</v>
      </c>
      <c r="E12" s="13">
        <v>5.1859739128330471</v>
      </c>
      <c r="F12" s="26">
        <v>4668.6211552888226</v>
      </c>
      <c r="G12" s="12">
        <v>38082</v>
      </c>
      <c r="H12" s="2">
        <v>36254</v>
      </c>
      <c r="I12" s="13">
        <f t="shared" si="0"/>
        <v>95.199831941599712</v>
      </c>
      <c r="J12" s="13">
        <v>46.5</v>
      </c>
      <c r="K12" s="26">
        <v>522161</v>
      </c>
      <c r="L12" s="23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s="4" customFormat="1" ht="18.75" customHeight="1">
      <c r="A13" s="11" t="s">
        <v>19</v>
      </c>
      <c r="B13" s="12">
        <v>37522</v>
      </c>
      <c r="C13" s="2">
        <v>3004</v>
      </c>
      <c r="D13" s="13">
        <v>8.005969831032461</v>
      </c>
      <c r="E13" s="13">
        <v>2.5042178838274287</v>
      </c>
      <c r="F13" s="26">
        <v>2256.8011569052783</v>
      </c>
      <c r="G13" s="12">
        <v>38088</v>
      </c>
      <c r="H13" s="2">
        <v>36466</v>
      </c>
      <c r="I13" s="13">
        <f t="shared" si="0"/>
        <v>95.74144087376601</v>
      </c>
      <c r="J13" s="13">
        <v>38.200000000000003</v>
      </c>
      <c r="K13" s="26">
        <v>417923</v>
      </c>
      <c r="L13" s="23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s="4" customFormat="1" ht="18.75" customHeight="1">
      <c r="A14" s="11" t="s">
        <v>20</v>
      </c>
      <c r="B14" s="12">
        <v>37522</v>
      </c>
      <c r="C14" s="2">
        <v>9180</v>
      </c>
      <c r="D14" s="13">
        <v>24.465646820531955</v>
      </c>
      <c r="E14" s="13">
        <v>8.466309880362024</v>
      </c>
      <c r="F14" s="26">
        <v>24093.424657534248</v>
      </c>
      <c r="G14" s="12">
        <v>38394</v>
      </c>
      <c r="H14" s="2">
        <v>36672</v>
      </c>
      <c r="I14" s="13">
        <f t="shared" si="0"/>
        <v>95.514924206907324</v>
      </c>
      <c r="J14" s="13">
        <v>60.8</v>
      </c>
      <c r="K14" s="26">
        <v>690829</v>
      </c>
      <c r="L14" s="23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s="4" customFormat="1" ht="18.75" customHeight="1">
      <c r="A15" s="11" t="s">
        <v>21</v>
      </c>
      <c r="B15" s="12">
        <v>37614</v>
      </c>
      <c r="C15" s="2">
        <v>16222</v>
      </c>
      <c r="D15" s="13">
        <v>43.127558887648213</v>
      </c>
      <c r="E15" s="13">
        <v>12.458847142403327</v>
      </c>
      <c r="F15" s="26">
        <v>62653.299686660699</v>
      </c>
      <c r="G15" s="12">
        <v>38554</v>
      </c>
      <c r="H15" s="2">
        <v>36832</v>
      </c>
      <c r="I15" s="13">
        <f t="shared" si="0"/>
        <v>95.533537376147734</v>
      </c>
      <c r="J15" s="13">
        <v>70.900000000000006</v>
      </c>
      <c r="K15" s="26">
        <v>809181</v>
      </c>
      <c r="L15" s="23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s="4" customFormat="1" ht="18.75" customHeight="1">
      <c r="A16" s="11" t="s">
        <v>22</v>
      </c>
      <c r="B16" s="12">
        <v>37622</v>
      </c>
      <c r="C16" s="2">
        <v>20922</v>
      </c>
      <c r="D16" s="13">
        <v>55.611078624209242</v>
      </c>
      <c r="E16" s="13">
        <v>10.30312823164426</v>
      </c>
      <c r="F16" s="26">
        <v>64668.614658738363</v>
      </c>
      <c r="G16" s="12">
        <v>38818</v>
      </c>
      <c r="H16" s="2">
        <v>36912</v>
      </c>
      <c r="I16" s="13">
        <f t="shared" si="0"/>
        <v>95.089906744293884</v>
      </c>
      <c r="J16" s="13">
        <v>53.5</v>
      </c>
      <c r="K16" s="26">
        <v>592148</v>
      </c>
      <c r="L16" s="23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43" s="4" customFormat="1" ht="18.75" customHeight="1">
      <c r="A17" s="11" t="s">
        <v>23</v>
      </c>
      <c r="B17" s="12">
        <v>37900</v>
      </c>
      <c r="C17" s="2">
        <v>26580</v>
      </c>
      <c r="D17" s="13">
        <v>70.131926121372032</v>
      </c>
      <c r="E17" s="13">
        <v>18.153538893723479</v>
      </c>
      <c r="F17" s="26">
        <v>149581.52977650272</v>
      </c>
      <c r="G17" s="12">
        <v>38924</v>
      </c>
      <c r="H17" s="2">
        <v>37352</v>
      </c>
      <c r="I17" s="13">
        <f t="shared" si="0"/>
        <v>95.961360600143877</v>
      </c>
      <c r="J17" s="13">
        <v>75.400000000000006</v>
      </c>
      <c r="K17" s="26">
        <v>872758</v>
      </c>
      <c r="L17" s="23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43" s="4" customFormat="1" ht="18.75" customHeight="1">
      <c r="A18" s="11" t="s">
        <v>24</v>
      </c>
      <c r="B18" s="12">
        <v>38000</v>
      </c>
      <c r="C18" s="2">
        <v>30136</v>
      </c>
      <c r="D18" s="13">
        <v>79.305263157894728</v>
      </c>
      <c r="E18" s="13">
        <v>27.692678942678938</v>
      </c>
      <c r="F18" s="26">
        <v>250363.97178497177</v>
      </c>
      <c r="G18" s="12">
        <v>39204</v>
      </c>
      <c r="H18" s="2">
        <v>37632</v>
      </c>
      <c r="I18" s="13">
        <f t="shared" si="0"/>
        <v>95.990205081114183</v>
      </c>
      <c r="J18" s="13">
        <v>80</v>
      </c>
      <c r="K18" s="26">
        <v>903651</v>
      </c>
      <c r="L18" s="23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43" s="4" customFormat="1" ht="18.75" customHeight="1">
      <c r="A19" s="14" t="s">
        <v>25</v>
      </c>
      <c r="B19" s="15">
        <v>37134</v>
      </c>
      <c r="C19" s="16">
        <v>32798</v>
      </c>
      <c r="D19" s="17">
        <v>88.323369418861418</v>
      </c>
      <c r="E19" s="17">
        <v>54.837353204159399</v>
      </c>
      <c r="F19" s="27">
        <v>557552.20822090621</v>
      </c>
      <c r="G19" s="15">
        <v>39604</v>
      </c>
      <c r="H19" s="16">
        <v>38226</v>
      </c>
      <c r="I19" s="17">
        <f t="shared" si="0"/>
        <v>96.520553479446519</v>
      </c>
      <c r="J19" s="17">
        <v>84.2</v>
      </c>
      <c r="K19" s="27">
        <v>997958</v>
      </c>
      <c r="L19" s="23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  <row r="20" spans="1:43" ht="15" customHeight="1">
      <c r="A20" s="1" t="s">
        <v>0</v>
      </c>
      <c r="B20" s="21"/>
      <c r="C20" s="23"/>
      <c r="D20" s="23"/>
      <c r="E20" s="23"/>
      <c r="F20" s="29"/>
      <c r="G20" s="21"/>
      <c r="H20" s="23"/>
      <c r="I20" s="23"/>
      <c r="J20" s="23"/>
      <c r="K20" s="29" t="s">
        <v>1</v>
      </c>
      <c r="L20" s="23"/>
      <c r="AP20" s="18" t="s">
        <v>12</v>
      </c>
      <c r="AQ20" s="18" t="s">
        <v>26</v>
      </c>
    </row>
    <row r="21" spans="1:43" ht="12.75">
      <c r="A21" s="33" t="s">
        <v>38</v>
      </c>
      <c r="L21" s="23"/>
      <c r="AO21" s="19" t="s">
        <v>27</v>
      </c>
      <c r="AP21" s="12">
        <f>G8</f>
        <v>37194</v>
      </c>
      <c r="AQ21" s="12">
        <f>H8</f>
        <v>33846</v>
      </c>
    </row>
    <row r="22" spans="1:43" ht="12.75">
      <c r="A22" s="34" t="s">
        <v>39</v>
      </c>
      <c r="B22" s="21"/>
      <c r="C22" s="23"/>
      <c r="D22" s="23"/>
      <c r="E22" s="23"/>
      <c r="F22" s="23"/>
      <c r="G22" s="21"/>
      <c r="H22" s="23"/>
      <c r="I22" s="23"/>
      <c r="J22" s="23"/>
      <c r="K22" s="23"/>
      <c r="L22" s="23"/>
      <c r="AO22" s="19" t="s">
        <v>28</v>
      </c>
      <c r="AP22" s="12">
        <f t="shared" ref="AP22:AP32" si="1">G9</f>
        <v>37248</v>
      </c>
      <c r="AQ22" s="12">
        <f t="shared" ref="AQ22:AQ32" si="2">H9</f>
        <v>34618</v>
      </c>
    </row>
    <row r="23" spans="1:43" ht="12.75">
      <c r="A23" s="19"/>
      <c r="B23" s="21"/>
      <c r="C23" s="23"/>
      <c r="D23" s="23"/>
      <c r="E23" s="23"/>
      <c r="F23" s="23"/>
      <c r="G23" s="21"/>
      <c r="H23" s="23"/>
      <c r="I23" s="23"/>
      <c r="J23" s="23"/>
      <c r="K23" s="23"/>
      <c r="L23" s="23"/>
      <c r="AO23" s="19" t="s">
        <v>29</v>
      </c>
      <c r="AP23" s="12">
        <f t="shared" si="1"/>
        <v>37384</v>
      </c>
      <c r="AQ23" s="12">
        <f t="shared" si="2"/>
        <v>34784</v>
      </c>
    </row>
    <row r="24" spans="1:43" ht="12.75">
      <c r="A24" s="19"/>
      <c r="B24" s="21"/>
      <c r="C24" s="23"/>
      <c r="D24" s="23"/>
      <c r="E24" s="23"/>
      <c r="F24" s="23"/>
      <c r="G24" s="21"/>
      <c r="H24" s="23"/>
      <c r="I24" s="23"/>
      <c r="J24" s="23"/>
      <c r="K24" s="23"/>
      <c r="L24" s="23"/>
      <c r="AO24" s="19" t="s">
        <v>30</v>
      </c>
      <c r="AP24" s="12">
        <f t="shared" si="1"/>
        <v>38072</v>
      </c>
      <c r="AQ24" s="12">
        <f t="shared" si="2"/>
        <v>36244</v>
      </c>
    </row>
    <row r="25" spans="1:43" ht="12.75">
      <c r="A25" s="19"/>
      <c r="B25" s="21"/>
      <c r="C25" s="23"/>
      <c r="D25" s="23"/>
      <c r="E25" s="23"/>
      <c r="F25" s="23"/>
      <c r="G25" s="21"/>
      <c r="H25" s="23"/>
      <c r="I25" s="23"/>
      <c r="J25" s="23"/>
      <c r="K25" s="23"/>
      <c r="L25" s="23"/>
      <c r="AO25" s="19" t="s">
        <v>18</v>
      </c>
      <c r="AP25" s="12">
        <f t="shared" si="1"/>
        <v>38082</v>
      </c>
      <c r="AQ25" s="12">
        <f t="shared" si="2"/>
        <v>36254</v>
      </c>
    </row>
    <row r="26" spans="1:43" ht="12.75">
      <c r="A26" s="19"/>
      <c r="B26" s="20"/>
      <c r="C26" s="13"/>
      <c r="D26" s="13"/>
      <c r="E26" s="13"/>
      <c r="F26" s="13"/>
      <c r="G26" s="20"/>
      <c r="H26" s="13"/>
      <c r="I26" s="13"/>
      <c r="J26" s="13"/>
      <c r="K26" s="13"/>
      <c r="L26" s="13"/>
      <c r="AO26" s="19" t="s">
        <v>31</v>
      </c>
      <c r="AP26" s="12">
        <f t="shared" si="1"/>
        <v>38088</v>
      </c>
      <c r="AQ26" s="12">
        <f t="shared" si="2"/>
        <v>36466</v>
      </c>
    </row>
    <row r="27" spans="1:43" ht="12.75">
      <c r="A27" s="19"/>
      <c r="B27" s="21"/>
      <c r="C27" s="13"/>
      <c r="D27" s="13"/>
      <c r="E27" s="13"/>
      <c r="F27" s="13"/>
      <c r="G27" s="21"/>
      <c r="H27" s="13"/>
      <c r="I27" s="13"/>
      <c r="J27" s="13"/>
      <c r="K27" s="13"/>
      <c r="L27" s="13"/>
      <c r="AO27" s="19" t="s">
        <v>32</v>
      </c>
      <c r="AP27" s="12">
        <f t="shared" si="1"/>
        <v>38394</v>
      </c>
      <c r="AQ27" s="12">
        <f t="shared" si="2"/>
        <v>36672</v>
      </c>
    </row>
    <row r="28" spans="1:43" ht="12.75">
      <c r="A28" s="19"/>
      <c r="B28" s="21"/>
      <c r="C28" s="13"/>
      <c r="D28" s="13"/>
      <c r="E28" s="13"/>
      <c r="F28" s="13"/>
      <c r="G28" s="21"/>
      <c r="H28" s="13"/>
      <c r="I28" s="13"/>
      <c r="J28" s="13"/>
      <c r="K28" s="13"/>
      <c r="L28" s="13"/>
      <c r="AO28" s="19" t="s">
        <v>33</v>
      </c>
      <c r="AP28" s="12">
        <f t="shared" si="1"/>
        <v>38554</v>
      </c>
      <c r="AQ28" s="12">
        <f t="shared" si="2"/>
        <v>36832</v>
      </c>
    </row>
    <row r="29" spans="1:43" ht="12.75">
      <c r="A29" s="19"/>
      <c r="B29" s="21"/>
      <c r="C29" s="13"/>
      <c r="D29" s="13"/>
      <c r="E29" s="13"/>
      <c r="F29" s="13"/>
      <c r="G29" s="21"/>
      <c r="H29" s="13"/>
      <c r="I29" s="13"/>
      <c r="J29" s="13"/>
      <c r="K29" s="13"/>
      <c r="L29" s="13"/>
      <c r="AO29" s="19" t="s">
        <v>34</v>
      </c>
      <c r="AP29" s="12">
        <f t="shared" si="1"/>
        <v>38818</v>
      </c>
      <c r="AQ29" s="12">
        <f t="shared" si="2"/>
        <v>36912</v>
      </c>
    </row>
    <row r="30" spans="1:43" ht="12.75">
      <c r="A30" s="19"/>
      <c r="B30" s="21"/>
      <c r="C30" s="13"/>
      <c r="D30" s="13"/>
      <c r="E30" s="13"/>
      <c r="F30" s="13"/>
      <c r="G30" s="21"/>
      <c r="H30" s="13"/>
      <c r="I30" s="13"/>
      <c r="J30" s="13"/>
      <c r="K30" s="13"/>
      <c r="L30" s="13"/>
      <c r="AO30" s="19" t="s">
        <v>35</v>
      </c>
      <c r="AP30" s="12">
        <f t="shared" si="1"/>
        <v>38924</v>
      </c>
      <c r="AQ30" s="12">
        <f t="shared" si="2"/>
        <v>37352</v>
      </c>
    </row>
    <row r="31" spans="1:43" ht="12.75">
      <c r="A31" s="19"/>
      <c r="B31" s="21"/>
      <c r="C31" s="13"/>
      <c r="D31" s="13"/>
      <c r="E31" s="13"/>
      <c r="F31" s="13"/>
      <c r="G31" s="21"/>
      <c r="H31" s="13"/>
      <c r="I31" s="13"/>
      <c r="J31" s="13"/>
      <c r="K31" s="13"/>
      <c r="L31" s="13"/>
      <c r="AO31" s="19" t="s">
        <v>36</v>
      </c>
      <c r="AP31" s="12">
        <f t="shared" si="1"/>
        <v>39204</v>
      </c>
      <c r="AQ31" s="12">
        <f t="shared" si="2"/>
        <v>37632</v>
      </c>
    </row>
    <row r="32" spans="1:43" ht="12.75">
      <c r="A32" s="19"/>
      <c r="B32" s="21"/>
      <c r="C32" s="13"/>
      <c r="D32" s="13"/>
      <c r="E32" s="13"/>
      <c r="F32" s="13"/>
      <c r="G32" s="21"/>
      <c r="H32" s="13"/>
      <c r="I32" s="13"/>
      <c r="J32" s="13"/>
      <c r="K32" s="13"/>
      <c r="L32" s="13"/>
      <c r="AO32" s="19" t="s">
        <v>37</v>
      </c>
      <c r="AP32" s="12">
        <f t="shared" si="1"/>
        <v>39604</v>
      </c>
      <c r="AQ32" s="12">
        <f t="shared" si="2"/>
        <v>38226</v>
      </c>
    </row>
    <row r="33" spans="1:12" ht="12.75">
      <c r="A33" s="19"/>
      <c r="B33" s="21"/>
      <c r="C33" s="13"/>
      <c r="D33" s="13"/>
      <c r="E33" s="13"/>
      <c r="F33" s="13"/>
      <c r="G33" s="21"/>
      <c r="H33" s="13"/>
      <c r="I33" s="13"/>
      <c r="J33" s="13"/>
      <c r="K33" s="13"/>
      <c r="L33" s="13"/>
    </row>
    <row r="34" spans="1:12" ht="12.75">
      <c r="A34" s="19"/>
      <c r="B34" s="21"/>
      <c r="C34" s="13"/>
      <c r="D34" s="13"/>
      <c r="E34" s="13"/>
      <c r="F34" s="13"/>
      <c r="G34" s="21"/>
      <c r="H34" s="13"/>
      <c r="I34" s="13"/>
      <c r="J34" s="13"/>
      <c r="K34" s="13"/>
      <c r="L34" s="13"/>
    </row>
    <row r="35" spans="1:12" ht="12.75">
      <c r="B35" s="21"/>
      <c r="C35" s="13"/>
      <c r="D35" s="13"/>
      <c r="E35" s="13"/>
      <c r="F35" s="13"/>
      <c r="G35" s="21"/>
      <c r="H35" s="13"/>
      <c r="I35" s="13"/>
      <c r="J35" s="13"/>
      <c r="K35" s="13"/>
      <c r="L35" s="13"/>
    </row>
    <row r="36" spans="1:12" ht="12.75">
      <c r="B36" s="21"/>
      <c r="C36" s="13"/>
      <c r="D36" s="13"/>
      <c r="E36" s="13"/>
      <c r="F36" s="13"/>
      <c r="G36" s="21"/>
      <c r="H36" s="13"/>
      <c r="I36" s="13"/>
      <c r="J36" s="13"/>
      <c r="K36" s="13"/>
      <c r="L36" s="13"/>
    </row>
    <row r="37" spans="1:12" ht="12.75">
      <c r="B37" s="21"/>
      <c r="C37" s="13"/>
      <c r="D37" s="13"/>
      <c r="E37" s="13"/>
      <c r="F37" s="13"/>
      <c r="G37" s="21"/>
      <c r="H37" s="13"/>
      <c r="I37" s="13"/>
      <c r="J37" s="13"/>
      <c r="K37" s="13"/>
      <c r="L37" s="13"/>
    </row>
  </sheetData>
  <mergeCells count="5">
    <mergeCell ref="G4:K4"/>
    <mergeCell ref="A1:K1"/>
    <mergeCell ref="A2:K2"/>
    <mergeCell ref="B4:F4"/>
    <mergeCell ref="A4:A6"/>
  </mergeCells>
  <pageMargins left="0.7" right="0.7" top="0.75" bottom="0.75" header="0.3" footer="0.3"/>
  <pageSetup paperSize="9" scale="69" orientation="landscape" horizontalDpi="4294967295" verticalDpi="4294967295" r:id="rId1"/>
  <ignoredErrors>
    <ignoredError sqref="F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10.4</vt:lpstr>
      <vt:lpstr>'10.4'!Print_Area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2023-01-29T05:35:00Z</cp:lastPrinted>
  <dcterms:created xsi:type="dcterms:W3CDTF">2019-02-27T06:18:18Z</dcterms:created>
  <dcterms:modified xsi:type="dcterms:W3CDTF">2023-01-29T05:35:07Z</dcterms:modified>
</cp:coreProperties>
</file>