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ourism\"/>
    </mc:Choice>
  </mc:AlternateContent>
  <xr:revisionPtr revIDLastSave="0" documentId="13_ncr:1_{2A098548-3547-4A3E-82BD-46873F97B63A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10.13" sheetId="13" r:id="rId1"/>
  </sheets>
  <externalReferences>
    <externalReference r:id="rId2"/>
  </externalReferences>
  <definedNames>
    <definedName name="_xlnm.Print_Area" localSheetId="0">'10.13'!$A$1:$O$139</definedName>
    <definedName name="_xlnm.Print_Titles" localSheetId="0">'10.13'!$4:$4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13" l="1"/>
  <c r="C57" i="13" l="1"/>
  <c r="D57" i="13"/>
  <c r="E57" i="13"/>
  <c r="F57" i="13"/>
  <c r="G57" i="13"/>
  <c r="H57" i="13"/>
  <c r="I57" i="13"/>
  <c r="J57" i="13"/>
  <c r="K57" i="13"/>
  <c r="L57" i="13"/>
  <c r="M57" i="13"/>
  <c r="N57" i="13"/>
  <c r="C29" i="13"/>
  <c r="D29" i="13"/>
  <c r="E29" i="13"/>
  <c r="F29" i="13"/>
  <c r="G29" i="13"/>
  <c r="I29" i="13"/>
  <c r="J29" i="13"/>
  <c r="K29" i="13"/>
  <c r="L29" i="13"/>
  <c r="M29" i="13"/>
  <c r="N29" i="13"/>
  <c r="E66" i="13" l="1"/>
  <c r="F66" i="13"/>
  <c r="G66" i="13"/>
  <c r="H66" i="13"/>
  <c r="I66" i="13"/>
  <c r="J66" i="13"/>
  <c r="K66" i="13"/>
  <c r="L66" i="13"/>
  <c r="M66" i="13"/>
  <c r="N66" i="13"/>
  <c r="F51" i="13"/>
  <c r="G51" i="13"/>
  <c r="H51" i="13"/>
  <c r="I51" i="13"/>
  <c r="J51" i="13"/>
  <c r="K51" i="13"/>
  <c r="L51" i="13"/>
  <c r="M51" i="13"/>
  <c r="N51" i="13"/>
  <c r="E46" i="13"/>
  <c r="F46" i="13"/>
  <c r="G46" i="13"/>
  <c r="H46" i="13"/>
  <c r="I46" i="13"/>
  <c r="J46" i="13"/>
  <c r="K46" i="13"/>
  <c r="L46" i="13"/>
  <c r="M46" i="13"/>
  <c r="N46" i="13"/>
  <c r="E38" i="13"/>
  <c r="F38" i="13"/>
  <c r="G38" i="13"/>
  <c r="H38" i="13"/>
  <c r="I38" i="13"/>
  <c r="J38" i="13"/>
  <c r="K38" i="13"/>
  <c r="L38" i="13"/>
  <c r="M38" i="13"/>
  <c r="N38" i="13"/>
  <c r="E21" i="13"/>
  <c r="F21" i="13"/>
  <c r="G21" i="13"/>
  <c r="H21" i="13"/>
  <c r="I21" i="13"/>
  <c r="J21" i="13"/>
  <c r="K21" i="13"/>
  <c r="L21" i="13"/>
  <c r="M21" i="13"/>
  <c r="N21" i="13"/>
  <c r="E7" i="13"/>
  <c r="F7" i="13"/>
  <c r="G7" i="13"/>
  <c r="H7" i="13"/>
  <c r="I7" i="13"/>
  <c r="J7" i="13"/>
  <c r="K7" i="13"/>
  <c r="L7" i="13"/>
  <c r="M7" i="13"/>
  <c r="N7" i="13"/>
  <c r="D7" i="13"/>
  <c r="C7" i="13"/>
  <c r="K50" i="13" l="1"/>
  <c r="H50" i="13"/>
  <c r="G50" i="13"/>
  <c r="I50" i="13"/>
  <c r="M50" i="13"/>
  <c r="E6" i="13"/>
  <c r="M6" i="13"/>
  <c r="G6" i="13"/>
  <c r="H6" i="13"/>
  <c r="I6" i="13"/>
  <c r="J50" i="13"/>
  <c r="N50" i="13"/>
  <c r="J6" i="13"/>
  <c r="L50" i="13"/>
  <c r="F50" i="13"/>
  <c r="N6" i="13"/>
  <c r="F6" i="13"/>
  <c r="L6" i="13"/>
  <c r="K6" i="13"/>
  <c r="M73" i="13" l="1"/>
  <c r="B101" i="13" l="1"/>
  <c r="B100" i="13"/>
  <c r="B99" i="13"/>
  <c r="B98" i="13"/>
  <c r="B97" i="13"/>
  <c r="B96" i="13"/>
  <c r="B95" i="13"/>
  <c r="B94" i="13"/>
  <c r="B93" i="13"/>
  <c r="B92" i="13"/>
  <c r="B91" i="13"/>
  <c r="B90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8" i="13"/>
  <c r="B87" i="13"/>
  <c r="B86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4" i="13"/>
  <c r="B83" i="13"/>
  <c r="B82" i="13"/>
  <c r="B81" i="13"/>
  <c r="B80" i="13"/>
  <c r="B79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7" i="13"/>
  <c r="B76" i="13"/>
  <c r="B75" i="13"/>
  <c r="B74" i="13"/>
  <c r="N73" i="13"/>
  <c r="L73" i="13"/>
  <c r="K73" i="13"/>
  <c r="J73" i="13"/>
  <c r="I73" i="13"/>
  <c r="H73" i="13"/>
  <c r="G73" i="13"/>
  <c r="F73" i="13"/>
  <c r="E73" i="13"/>
  <c r="D73" i="13"/>
  <c r="C73" i="13"/>
  <c r="B72" i="13"/>
  <c r="B71" i="13"/>
  <c r="B70" i="13"/>
  <c r="B69" i="13"/>
  <c r="B68" i="13"/>
  <c r="B67" i="13"/>
  <c r="D66" i="13"/>
  <c r="C66" i="13"/>
  <c r="B65" i="13"/>
  <c r="B64" i="13"/>
  <c r="B63" i="13"/>
  <c r="B62" i="13"/>
  <c r="B61" i="13"/>
  <c r="B60" i="13"/>
  <c r="B59" i="13"/>
  <c r="B58" i="13"/>
  <c r="B56" i="13"/>
  <c r="B55" i="13"/>
  <c r="B54" i="13"/>
  <c r="B53" i="13"/>
  <c r="B52" i="13"/>
  <c r="E51" i="13"/>
  <c r="D51" i="13"/>
  <c r="C51" i="13"/>
  <c r="B49" i="13"/>
  <c r="B48" i="13"/>
  <c r="B47" i="13"/>
  <c r="D46" i="13"/>
  <c r="C46" i="13"/>
  <c r="B45" i="13"/>
  <c r="B44" i="13"/>
  <c r="B43" i="13"/>
  <c r="B42" i="13"/>
  <c r="B41" i="13"/>
  <c r="B40" i="13"/>
  <c r="B39" i="13"/>
  <c r="D38" i="13"/>
  <c r="C38" i="13"/>
  <c r="B37" i="13"/>
  <c r="B36" i="13"/>
  <c r="B35" i="13"/>
  <c r="B34" i="13"/>
  <c r="B33" i="13"/>
  <c r="B32" i="13"/>
  <c r="B31" i="13"/>
  <c r="B30" i="13"/>
  <c r="B28" i="13"/>
  <c r="B27" i="13"/>
  <c r="B26" i="13"/>
  <c r="B25" i="13"/>
  <c r="B24" i="13"/>
  <c r="B23" i="13"/>
  <c r="B22" i="13"/>
  <c r="D21" i="13"/>
  <c r="C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AU22" i="13"/>
  <c r="AS22" i="13"/>
  <c r="AM22" i="13"/>
  <c r="L5" i="13" l="1"/>
  <c r="N5" i="13"/>
  <c r="J5" i="13"/>
  <c r="M5" i="13"/>
  <c r="K5" i="13"/>
  <c r="H5" i="13"/>
  <c r="AP21" i="13" s="1"/>
  <c r="F5" i="13"/>
  <c r="G5" i="13"/>
  <c r="AO21" i="13" s="1"/>
  <c r="E50" i="13"/>
  <c r="E5" i="13" s="1"/>
  <c r="I5" i="13"/>
  <c r="AK22" i="13"/>
  <c r="AL22" i="13"/>
  <c r="AT22" i="13"/>
  <c r="D50" i="13"/>
  <c r="AL23" i="13" s="1"/>
  <c r="AT23" i="13"/>
  <c r="AQ23" i="13"/>
  <c r="C50" i="13"/>
  <c r="AK23" i="13" s="1"/>
  <c r="AS23" i="13"/>
  <c r="AR23" i="13"/>
  <c r="AO22" i="13"/>
  <c r="AN22" i="13"/>
  <c r="AV22" i="13"/>
  <c r="B46" i="13"/>
  <c r="B66" i="13"/>
  <c r="B21" i="13"/>
  <c r="AP22" i="13"/>
  <c r="B73" i="13"/>
  <c r="B78" i="13"/>
  <c r="AQ22" i="13"/>
  <c r="B51" i="13"/>
  <c r="B89" i="13"/>
  <c r="AR22" i="13"/>
  <c r="B57" i="13"/>
  <c r="B85" i="13"/>
  <c r="B29" i="13"/>
  <c r="B38" i="13"/>
  <c r="B7" i="13"/>
  <c r="D6" i="13"/>
  <c r="AN23" i="13"/>
  <c r="AV23" i="13"/>
  <c r="AU23" i="13"/>
  <c r="AO23" i="13"/>
  <c r="C6" i="13"/>
  <c r="C5" i="13" l="1"/>
  <c r="AK21" i="13" s="1"/>
  <c r="AM23" i="13"/>
  <c r="AW23" i="13" s="1"/>
  <c r="D5" i="13"/>
  <c r="AL21" i="13" s="1"/>
  <c r="AL24" i="13" s="1"/>
  <c r="AS21" i="13"/>
  <c r="AS24" i="13" s="1"/>
  <c r="AP24" i="13"/>
  <c r="AR21" i="13"/>
  <c r="AR24" i="13" s="1"/>
  <c r="AT21" i="13"/>
  <c r="AT24" i="13" s="1"/>
  <c r="AM21" i="13"/>
  <c r="AQ21" i="13"/>
  <c r="AQ24" i="13" s="1"/>
  <c r="AV21" i="13"/>
  <c r="AV24" i="13" s="1"/>
  <c r="AN21" i="13"/>
  <c r="AN24" i="13" s="1"/>
  <c r="AU21" i="13"/>
  <c r="AU24" i="13" s="1"/>
  <c r="B50" i="13"/>
  <c r="AW22" i="13"/>
  <c r="AO24" i="13"/>
  <c r="B6" i="13"/>
  <c r="AM24" i="13" l="1"/>
  <c r="B5" i="13"/>
  <c r="AW21" i="13" l="1"/>
  <c r="AK24" i="13"/>
  <c r="AW24" i="13" s="1"/>
</calcChain>
</file>

<file path=xl/sharedStrings.xml><?xml version="1.0" encoding="utf-8"?>
<sst xmlns="http://schemas.openxmlformats.org/spreadsheetml/2006/main" count="234" uniqueCount="196">
  <si>
    <t>Total</t>
  </si>
  <si>
    <t>ޖުމްލަ</t>
  </si>
  <si>
    <t>Europe</t>
  </si>
  <si>
    <t>ޔޫރަޕް</t>
  </si>
  <si>
    <t>އޮސްޓްރިއާ</t>
  </si>
  <si>
    <t>ބެލްޖިއަމް</t>
  </si>
  <si>
    <t>ފިންލޭންޑް</t>
  </si>
  <si>
    <t>ފްރާންސް</t>
  </si>
  <si>
    <t>ގްރީސް</t>
  </si>
  <si>
    <t>އިޓަލީ</t>
  </si>
  <si>
    <t>ޕޯޗުގަލް</t>
  </si>
  <si>
    <t>ރަޝިއާ</t>
  </si>
  <si>
    <t>ސްލޮވޭކިއާ</t>
  </si>
  <si>
    <t>ސްޕެއިން</t>
  </si>
  <si>
    <t>ޔުނައިޓެޑް ކިންގްޑަމް</t>
  </si>
  <si>
    <t>އެހެނިހެން</t>
  </si>
  <si>
    <t>Asia</t>
  </si>
  <si>
    <t>އޭޝިއާ</t>
  </si>
  <si>
    <t>ޗައިނާ</t>
  </si>
  <si>
    <t>އިންޑިއާ</t>
  </si>
  <si>
    <t>އިންޑޮނޭޝިއާ</t>
  </si>
  <si>
    <t>ޖަޕާން</t>
  </si>
  <si>
    <t>ކޮރެއާ</t>
  </si>
  <si>
    <t>މެލޭޝިއާ</t>
  </si>
  <si>
    <t>ޕާކިސްތާން</t>
  </si>
  <si>
    <t>ޓައިވާން</t>
  </si>
  <si>
    <t>Africa</t>
  </si>
  <si>
    <t>އެފްރިކާ</t>
  </si>
  <si>
    <t>ކެނެޑާ</t>
  </si>
  <si>
    <t>Oceania</t>
  </si>
  <si>
    <t>އޮސްޓްރޭލިއާ</t>
  </si>
  <si>
    <t>Middle East</t>
  </si>
  <si>
    <t>ކުވެއިތު</t>
  </si>
  <si>
    <t>Source: Ministry of Tourism</t>
  </si>
  <si>
    <t>May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</si>
  <si>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</si>
  <si>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</si>
  <si>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</si>
  <si>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</si>
  <si>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</si>
  <si>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</si>
  <si>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</si>
  <si>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</si>
  <si>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</si>
  <si>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</si>
  <si>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</si>
  <si>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</si>
  <si>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Country of Nationality</t>
  </si>
  <si>
    <t>Central/Eastern Europe</t>
  </si>
  <si>
    <t>Northern Europe</t>
  </si>
  <si>
    <t>Southern Europe</t>
  </si>
  <si>
    <t>Western Europe</t>
  </si>
  <si>
    <t>East/Mediterranean Europe</t>
  </si>
  <si>
    <t>North East Asia</t>
  </si>
  <si>
    <t>South East Asia</t>
  </si>
  <si>
    <t>South Asia</t>
  </si>
  <si>
    <t>އެމެރިކާ</t>
  </si>
  <si>
    <t>America</t>
  </si>
  <si>
    <t xml:space="preserve">   Total</t>
  </si>
  <si>
    <t>ވަޒަންވެރިވެފައިވާ ޤައުމު</t>
  </si>
  <si>
    <t>މެދު އިރުމަތީ ޔޫރަޕް</t>
  </si>
  <si>
    <t>Belarus</t>
  </si>
  <si>
    <t>ބެލަރުސް</t>
  </si>
  <si>
    <t>Bulgaria</t>
  </si>
  <si>
    <t>ބަލްގޭރިއާ</t>
  </si>
  <si>
    <t>Czech Republic</t>
  </si>
  <si>
    <t>ޗެކް ރިޕަބްލިކް</t>
  </si>
  <si>
    <t>Hungary</t>
  </si>
  <si>
    <t>ހަންގޭރީ</t>
  </si>
  <si>
    <t>Kazakhstan</t>
  </si>
  <si>
    <t>ކަޒަކިސްތާން</t>
  </si>
  <si>
    <t>Latvia</t>
  </si>
  <si>
    <t>ލެޓްވިއާ</t>
  </si>
  <si>
    <t>Lithuania</t>
  </si>
  <si>
    <t>ލިތުއާނާ</t>
  </si>
  <si>
    <t>Poland</t>
  </si>
  <si>
    <t>ޕޮލަންޑް</t>
  </si>
  <si>
    <t>Romania</t>
  </si>
  <si>
    <t>ރޮމޭނިއާ</t>
  </si>
  <si>
    <t>Russia</t>
  </si>
  <si>
    <t>Slovakia</t>
  </si>
  <si>
    <t>Ukraine</t>
  </si>
  <si>
    <t>ޔޫކްރެއިން</t>
  </si>
  <si>
    <t>Others</t>
  </si>
  <si>
    <t>އުތުރު ޔޫރަޕް</t>
  </si>
  <si>
    <t>Denmark</t>
  </si>
  <si>
    <t>ޑެންމާކް</t>
  </si>
  <si>
    <t>Finland</t>
  </si>
  <si>
    <t>Ireland</t>
  </si>
  <si>
    <t>އަޔަލެންޑް</t>
  </si>
  <si>
    <t>Other continents</t>
  </si>
  <si>
    <t>Norway</t>
  </si>
  <si>
    <t>ނޯވޭ</t>
  </si>
  <si>
    <t>Sweden</t>
  </si>
  <si>
    <t>ސްވިޑެން</t>
  </si>
  <si>
    <t>United Kingdom</t>
  </si>
  <si>
    <t>ދެކުނު ޔޫރަޕް</t>
  </si>
  <si>
    <t>Croatia</t>
  </si>
  <si>
    <t>ކްރޮއޭޝިއާ</t>
  </si>
  <si>
    <t>Greece</t>
  </si>
  <si>
    <t>Italy</t>
  </si>
  <si>
    <t>Portugal</t>
  </si>
  <si>
    <t>Serbia</t>
  </si>
  <si>
    <t>ސަރބިއާ</t>
  </si>
  <si>
    <t>Slovenia</t>
  </si>
  <si>
    <t>ސްލޮވޭނިއާ</t>
  </si>
  <si>
    <t>Spain</t>
  </si>
  <si>
    <t>ހުޅަނގު ޔޫރަޕް</t>
  </si>
  <si>
    <t>Austria</t>
  </si>
  <si>
    <t>Belgium</t>
  </si>
  <si>
    <t>France</t>
  </si>
  <si>
    <t>Germany</t>
  </si>
  <si>
    <t>ޖަރުމަނީ</t>
  </si>
  <si>
    <t xml:space="preserve">Netherlands </t>
  </si>
  <si>
    <t>ނެދަލެންޑްސް</t>
  </si>
  <si>
    <t>Switzerland</t>
  </si>
  <si>
    <t>ސްވިޓްޒަލެންޑް</t>
  </si>
  <si>
    <t>..</t>
  </si>
  <si>
    <t>އިރުމަތީ ޔޫރަޕް</t>
  </si>
  <si>
    <t>Israel</t>
  </si>
  <si>
    <t>އިސްރާއީލް</t>
  </si>
  <si>
    <t>Turkey</t>
  </si>
  <si>
    <t>ތުރުކީ</t>
  </si>
  <si>
    <t>އިރު އުތުރު އޭޝިއާ</t>
  </si>
  <si>
    <t>China</t>
  </si>
  <si>
    <t>Japan</t>
  </si>
  <si>
    <t>Korea</t>
  </si>
  <si>
    <t>Taiwan</t>
  </si>
  <si>
    <t>އިރު ދެކުނު އޭޝިއާ</t>
  </si>
  <si>
    <t>Indonesia</t>
  </si>
  <si>
    <t>Malaysia</t>
  </si>
  <si>
    <t>Myanmar</t>
  </si>
  <si>
    <t>މިޔަންމާ</t>
  </si>
  <si>
    <t>Philippines</t>
  </si>
  <si>
    <t>ފިލިޕިންސް</t>
  </si>
  <si>
    <t>Singapore</t>
  </si>
  <si>
    <t>ސިންގަޕޯ</t>
  </si>
  <si>
    <t>Thailand</t>
  </si>
  <si>
    <t>ތައިލެންޑް</t>
  </si>
  <si>
    <t>Vietnam</t>
  </si>
  <si>
    <t>ވިއެޓްނާމް</t>
  </si>
  <si>
    <t>ދެކުނު އޭޝިއާ</t>
  </si>
  <si>
    <t>Bangladesh</t>
  </si>
  <si>
    <t>ބަންގްލަދެޝް</t>
  </si>
  <si>
    <t>India</t>
  </si>
  <si>
    <t>Iran</t>
  </si>
  <si>
    <t>އިރާން</t>
  </si>
  <si>
    <t>Pakistan</t>
  </si>
  <si>
    <t>Sri Lanka</t>
  </si>
  <si>
    <t>ސްރީ ލަންކާ</t>
  </si>
  <si>
    <t>Algeria</t>
  </si>
  <si>
    <t>އަލްޖީރިއާ</t>
  </si>
  <si>
    <t>Morocco</t>
  </si>
  <si>
    <t>މޮރޮކޯ</t>
  </si>
  <si>
    <t>South Africa</t>
  </si>
  <si>
    <t>ދެކުނު އެފްރިކާ</t>
  </si>
  <si>
    <t>Argentina</t>
  </si>
  <si>
    <t>އަރޖެންޓީނާ</t>
  </si>
  <si>
    <t>Brazil</t>
  </si>
  <si>
    <t>ބްރެޒިލް</t>
  </si>
  <si>
    <t>Canada</t>
  </si>
  <si>
    <t>Mexico</t>
  </si>
  <si>
    <t>މެކްސިކޯ</t>
  </si>
  <si>
    <t>United States</t>
  </si>
  <si>
    <t>ޔުނައިޓެޑް ސްޓޭޓްސް</t>
  </si>
  <si>
    <t>އޯޝިއާނާ</t>
  </si>
  <si>
    <t>Australia</t>
  </si>
  <si>
    <t>New Zealand</t>
  </si>
  <si>
    <t>ނިއުޒިލެންޑް</t>
  </si>
  <si>
    <t>މެދު އިރުމަތީ</t>
  </si>
  <si>
    <t>Egypt</t>
  </si>
  <si>
    <t>އިޖިޕްޓް</t>
  </si>
  <si>
    <t>Jordan</t>
  </si>
  <si>
    <t>ޖޯޑްން</t>
  </si>
  <si>
    <t>Kuwait</t>
  </si>
  <si>
    <t>Lebanon</t>
  </si>
  <si>
    <t>ލެބަނާން</t>
  </si>
  <si>
    <t>Oman</t>
  </si>
  <si>
    <t>އޮމާން</t>
  </si>
  <si>
    <t>Qatar</t>
  </si>
  <si>
    <t>ޤަތަރު</t>
  </si>
  <si>
    <t>Saudi Arabia</t>
  </si>
  <si>
    <t>ސައުދީ އަރަބިއްޔާ</t>
  </si>
  <si>
    <t>Syrian Arab Republic</t>
  </si>
  <si>
    <t>ސީރިއަން އަރަބް ރިޕަބްލިކް</t>
  </si>
  <si>
    <t>United Arab Emirates</t>
  </si>
  <si>
    <t>ޔުނައިޓެޑް އަރަބް އެމަރެޓްސް</t>
  </si>
  <si>
    <t>UN Passpoert holders</t>
  </si>
  <si>
    <t xml:space="preserve">ޔޫ އެން ޕާސްޕޯޓު ހޯލްޑަރސް </t>
  </si>
  <si>
    <t xml:space="preserve">Others Not Stated </t>
  </si>
  <si>
    <t>Maldives Immigration</t>
  </si>
  <si>
    <t>މޯލްޑިވްސް އިމިގްރޭޝަން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</si>
  <si>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</si>
  <si>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</si>
  <si>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10.13 :   MONTHLY DISTRIBUTION OF TOURIST ARRIVALS BY NATIONALITY, 2021</t>
  </si>
  <si>
    <t>ތާވަލު 10.13: ޤައުމުތަކުގެ ގޮތުން ރާއްޖެއައި ފަތުރުވެރިންގެ ޢަދަދު، މަސްމަހުގެ ގޮތުން،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</si>
</sst>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(* #,##0_);_(* \(#,##0\);_(* &quot;-&quot;??_);_(@_)"/>
    <numFmt numFmtId="171" formatCode="0.00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Faruma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name val="Faruma"/>
    </font>
    <font>
      <sz val="10"/>
      <name val="Courier"/>
      <family val="3"/>
    </font>
    <font>
      <sz val="9"/>
      <color theme="1"/>
      <name val="Faruma"/>
    </font>
    <font>
      <sz val="9"/>
      <name val="Faruma"/>
    </font>
    <font>
      <b/>
      <sz val="11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7" fillId="0" borderId="0"/>
    <xf numFmtId="0" fontId="3" fillId="0" borderId="0"/>
    <xf numFmtId="43" fontId="3" fillId="0" borderId="0" applyFont="0" applyFill="0" applyBorder="0" applyAlignment="0" applyProtection="0"/>
    <xf numFmtId="171" fontId="18" fillId="0" borderId="0"/>
    <xf numFmtId="1" fontId="19" fillId="0" borderId="4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7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7" fillId="0" borderId="0"/>
    <xf numFmtId="40" fontId="7" fillId="0" borderId="0" applyFont="0" applyFill="0" applyBorder="0" applyAlignment="0" applyProtection="0"/>
    <xf numFmtId="0" fontId="7" fillId="0" borderId="0"/>
    <xf numFmtId="0" fontId="3" fillId="0" borderId="0"/>
    <xf numFmtId="1" fontId="19" fillId="0" borderId="4" applyNumberFormat="0"/>
    <xf numFmtId="0" fontId="1" fillId="0" borderId="0"/>
    <xf numFmtId="0" fontId="7" fillId="0" borderId="0"/>
    <xf numFmtId="0" fontId="21" fillId="0" borderId="0" applyFill="0" applyProtection="0"/>
    <xf numFmtId="1" fontId="19" fillId="0" borderId="4" applyNumberFormat="0"/>
    <xf numFmtId="43" fontId="1" fillId="0" borderId="0" applyFont="0" applyFill="0" applyBorder="0" applyAlignment="0" applyProtection="0"/>
    <xf numFmtId="0" fontId="1" fillId="0" borderId="0"/>
    <xf numFmtId="0" fontId="22" fillId="0" borderId="0"/>
    <xf numFmtId="0" fontId="23" fillId="0" borderId="0"/>
    <xf numFmtId="0" fontId="22" fillId="0" borderId="0"/>
    <xf numFmtId="0" fontId="1" fillId="0" borderId="0"/>
    <xf numFmtId="0" fontId="7" fillId="0" borderId="0"/>
    <xf numFmtId="0" fontId="21" fillId="0" borderId="0" applyFill="0" applyProtection="0"/>
  </cellStyleXfs>
  <cellXfs count="53">
    <xf numFmtId="0" fontId="0" fillId="0" borderId="0" xfId="0"/>
    <xf numFmtId="0" fontId="9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5" fillId="2" borderId="0" xfId="2" applyFont="1" applyFill="1" applyAlignment="1">
      <alignment vertical="center"/>
    </xf>
    <xf numFmtId="166" fontId="5" fillId="2" borderId="0" xfId="1" applyNumberFormat="1" applyFont="1" applyFill="1" applyBorder="1" applyAlignment="1" applyProtection="1">
      <alignment horizontal="right" vertical="center"/>
    </xf>
    <xf numFmtId="166" fontId="11" fillId="2" borderId="0" xfId="1" applyNumberFormat="1" applyFont="1" applyFill="1" applyBorder="1" applyAlignment="1" applyProtection="1">
      <alignment horizontal="right" vertical="center"/>
    </xf>
    <xf numFmtId="166" fontId="5" fillId="2" borderId="2" xfId="1" applyNumberFormat="1" applyFont="1" applyFill="1" applyBorder="1" applyAlignment="1" applyProtection="1">
      <alignment horizontal="right" vertical="center"/>
    </xf>
    <xf numFmtId="0" fontId="11" fillId="2" borderId="0" xfId="2" applyFont="1" applyFill="1" applyAlignment="1">
      <alignment vertical="center"/>
    </xf>
    <xf numFmtId="0" fontId="11" fillId="2" borderId="0" xfId="2" applyFont="1" applyFill="1"/>
    <xf numFmtId="0" fontId="5" fillId="2" borderId="2" xfId="2" applyFont="1" applyFill="1" applyBorder="1" applyAlignment="1">
      <alignment horizontal="center" vertical="center"/>
    </xf>
    <xf numFmtId="166" fontId="5" fillId="2" borderId="2" xfId="2" applyNumberFormat="1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left" vertical="center"/>
    </xf>
    <xf numFmtId="0" fontId="5" fillId="2" borderId="2" xfId="2" applyFont="1" applyFill="1" applyBorder="1" applyAlignment="1">
      <alignment horizontal="right" vertical="center"/>
    </xf>
    <xf numFmtId="0" fontId="5" fillId="2" borderId="3" xfId="2" applyFont="1" applyFill="1" applyBorder="1" applyAlignment="1">
      <alignment horizontal="right" vertical="center"/>
    </xf>
    <xf numFmtId="0" fontId="12" fillId="2" borderId="3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166" fontId="5" fillId="2" borderId="1" xfId="1" applyNumberFormat="1" applyFont="1" applyFill="1" applyBorder="1" applyAlignment="1" applyProtection="1">
      <alignment horizontal="right" vertical="center"/>
    </xf>
    <xf numFmtId="0" fontId="12" fillId="2" borderId="1" xfId="2" applyFont="1" applyFill="1" applyBorder="1"/>
    <xf numFmtId="0" fontId="6" fillId="2" borderId="0" xfId="2" applyFont="1" applyFill="1"/>
    <xf numFmtId="166" fontId="6" fillId="2" borderId="0" xfId="2" applyNumberFormat="1" applyFont="1" applyFill="1"/>
    <xf numFmtId="0" fontId="5" fillId="2" borderId="0" xfId="2" applyFont="1" applyFill="1" applyAlignment="1">
      <alignment horizontal="left" vertical="center"/>
    </xf>
    <xf numFmtId="0" fontId="12" fillId="2" borderId="0" xfId="2" applyFont="1" applyFill="1"/>
    <xf numFmtId="166" fontId="6" fillId="2" borderId="0" xfId="2" applyNumberFormat="1" applyFont="1" applyFill="1" applyAlignment="1">
      <alignment vertical="center"/>
    </xf>
    <xf numFmtId="17" fontId="5" fillId="2" borderId="0" xfId="4" applyNumberFormat="1" applyFont="1" applyFill="1" applyAlignment="1">
      <alignment horizontal="left" vertical="center" indent="1"/>
    </xf>
    <xf numFmtId="0" fontId="4" fillId="2" borderId="0" xfId="2" applyFont="1" applyFill="1" applyAlignment="1">
      <alignment horizontal="right" vertical="center" indent="1"/>
    </xf>
    <xf numFmtId="0" fontId="11" fillId="2" borderId="0" xfId="4" applyFont="1" applyFill="1" applyAlignment="1">
      <alignment horizontal="left" vertical="center" indent="2"/>
    </xf>
    <xf numFmtId="166" fontId="5" fillId="2" borderId="0" xfId="1" applyNumberFormat="1" applyFont="1" applyFill="1" applyBorder="1" applyAlignment="1">
      <alignment vertical="center"/>
    </xf>
    <xf numFmtId="166" fontId="11" fillId="2" borderId="0" xfId="1" applyNumberFormat="1" applyFont="1" applyFill="1" applyBorder="1" applyAlignment="1">
      <alignment vertical="center"/>
    </xf>
    <xf numFmtId="0" fontId="15" fillId="2" borderId="0" xfId="2" applyFont="1" applyFill="1" applyAlignment="1">
      <alignment horizontal="right" indent="2"/>
    </xf>
    <xf numFmtId="0" fontId="11" fillId="2" borderId="0" xfId="4" quotePrefix="1" applyFont="1" applyFill="1" applyAlignment="1">
      <alignment horizontal="left" vertical="center" indent="2"/>
    </xf>
    <xf numFmtId="166" fontId="5" fillId="2" borderId="0" xfId="1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right" indent="1"/>
    </xf>
    <xf numFmtId="17" fontId="5" fillId="2" borderId="0" xfId="4" applyNumberFormat="1" applyFont="1" applyFill="1" applyAlignment="1">
      <alignment horizontal="left" vertical="center" wrapText="1" indent="1"/>
    </xf>
    <xf numFmtId="0" fontId="11" fillId="2" borderId="2" xfId="4" applyFont="1" applyFill="1" applyBorder="1" applyAlignment="1">
      <alignment horizontal="left" vertical="center" indent="2"/>
    </xf>
    <xf numFmtId="166" fontId="5" fillId="2" borderId="2" xfId="1" applyNumberFormat="1" applyFont="1" applyFill="1" applyBorder="1" applyAlignment="1">
      <alignment vertical="center"/>
    </xf>
    <xf numFmtId="166" fontId="11" fillId="2" borderId="2" xfId="1" applyNumberFormat="1" applyFont="1" applyFill="1" applyBorder="1" applyAlignment="1">
      <alignment vertical="center"/>
    </xf>
    <xf numFmtId="0" fontId="15" fillId="2" borderId="2" xfId="2" applyFont="1" applyFill="1" applyBorder="1" applyAlignment="1">
      <alignment horizontal="right" indent="2"/>
    </xf>
    <xf numFmtId="0" fontId="12" fillId="2" borderId="0" xfId="2" applyFont="1" applyFill="1" applyAlignment="1">
      <alignment horizontal="right" indent="1" readingOrder="1"/>
    </xf>
    <xf numFmtId="0" fontId="11" fillId="2" borderId="0" xfId="4" applyFont="1" applyFill="1" applyAlignment="1">
      <alignment horizontal="left" vertical="center" indent="1"/>
    </xf>
    <xf numFmtId="0" fontId="15" fillId="2" borderId="0" xfId="2" applyFont="1" applyFill="1" applyAlignment="1">
      <alignment horizontal="right" indent="1"/>
    </xf>
    <xf numFmtId="0" fontId="11" fillId="2" borderId="2" xfId="4" applyFont="1" applyFill="1" applyBorder="1" applyAlignment="1">
      <alignment horizontal="left" vertical="center" indent="1"/>
    </xf>
    <xf numFmtId="0" fontId="15" fillId="2" borderId="2" xfId="2" applyFont="1" applyFill="1" applyBorder="1" applyAlignment="1">
      <alignment horizontal="right" indent="1"/>
    </xf>
    <xf numFmtId="166" fontId="11" fillId="2" borderId="0" xfId="1" applyNumberFormat="1" applyFont="1" applyFill="1" applyBorder="1" applyAlignment="1">
      <alignment horizontal="right" vertical="center"/>
    </xf>
    <xf numFmtId="166" fontId="11" fillId="2" borderId="2" xfId="1" applyNumberFormat="1" applyFont="1" applyFill="1" applyBorder="1" applyAlignment="1">
      <alignment horizontal="right" vertical="center"/>
    </xf>
    <xf numFmtId="0" fontId="10" fillId="2" borderId="0" xfId="2" applyFont="1" applyFill="1" applyAlignment="1">
      <alignment horizontal="left" vertical="center"/>
    </xf>
    <xf numFmtId="0" fontId="10" fillId="2" borderId="1" xfId="2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 indent="3"/>
    </xf>
    <xf numFmtId="3" fontId="11" fillId="2" borderId="0" xfId="2" applyNumberFormat="1" applyFont="1" applyFill="1"/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 indent="3"/>
    </xf>
    <xf numFmtId="0" fontId="16" fillId="2" borderId="0" xfId="2" applyFont="1" applyFill="1" applyAlignment="1">
      <alignment horizontal="center" vertical="center"/>
    </xf>
    <xf numFmtId="0" fontId="2" fillId="2" borderId="0" xfId="2" applyFont="1" applyFill="1" applyAlignment="1">
      <alignment horizontal="center" vertical="center"/>
    </xf>
  </cellXfs>
  <cellStyles count="36">
    <cellStyle name="1" xfId="6" xr:uid="{00000000-0005-0000-0000-000000000000}"/>
    <cellStyle name="Comma" xfId="1" builtinId="3"/>
    <cellStyle name="Comma 2" xfId="20" xr:uid="{00000000-0005-0000-0000-000002000000}"/>
    <cellStyle name="Comma 2 2 2 5" xfId="28" xr:uid="{923A80DF-8391-490C-A9FC-9B04BA3FF02C}"/>
    <cellStyle name="Comma 3" xfId="7" xr:uid="{00000000-0005-0000-0000-000003000000}"/>
    <cellStyle name="Normal" xfId="0" builtinId="0"/>
    <cellStyle name="Normal - Style1" xfId="8" xr:uid="{00000000-0005-0000-0000-000005000000}"/>
    <cellStyle name="Normal 10" xfId="14" xr:uid="{00000000-0005-0000-0000-000006000000}"/>
    <cellStyle name="Normal 11" xfId="25" xr:uid="{95DB1E47-A717-4F50-B120-BDB4A6A98D35}"/>
    <cellStyle name="Normal 12" xfId="27" xr:uid="{5F37676F-9210-428B-A54A-88AF31197612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3" xfId="22" xr:uid="{2E2FEFD2-ABBD-420D-8461-C8F503FDA24A}"/>
    <cellStyle name="Normal 2 3" xfId="24" xr:uid="{48422FEC-E0BC-428C-9750-2D76D2E13FBF}"/>
    <cellStyle name="Normal 2 3 2" xfId="35" xr:uid="{53720891-5BB7-4072-A4AA-9D579EA571CD}"/>
    <cellStyle name="Normal 2 4" xfId="26" xr:uid="{84E1C268-3A16-4FB7-A335-F22068D33369}"/>
    <cellStyle name="Normal 2 5" xfId="30" xr:uid="{D29D2916-D641-4853-A275-3F08E70F8C7A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3" xfId="31" xr:uid="{6720CF7E-3D28-49D4-A4F3-23A341275CC3}"/>
    <cellStyle name="Normal 5" xfId="12" xr:uid="{00000000-0005-0000-0000-00000E000000}"/>
    <cellStyle name="Normal 5 2" xfId="4" xr:uid="{00000000-0005-0000-0000-00000F000000}"/>
    <cellStyle name="Normal 5 3" xfId="29" xr:uid="{F16A05F5-F806-4902-9DAF-1592A0EB3B8F}"/>
    <cellStyle name="Normal 6" xfId="17" xr:uid="{00000000-0005-0000-0000-000010000000}"/>
    <cellStyle name="Normal 6 2" xfId="33" xr:uid="{28DCBC0B-46D7-4D92-ADC4-A6E5B7FB0383}"/>
    <cellStyle name="Normal 7" xfId="18" xr:uid="{00000000-0005-0000-0000-000011000000}"/>
    <cellStyle name="Normal 7 2" xfId="34" xr:uid="{F94E59D5-A861-4070-A967-F13E24BDD6F0}"/>
    <cellStyle name="Normal 8" xfId="19" xr:uid="{00000000-0005-0000-0000-000012000000}"/>
    <cellStyle name="Normal 9" xfId="5" xr:uid="{00000000-0005-0000-0000-000013000000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FB7B7"/>
      <color rgb="FFFF8585"/>
      <color rgb="FFFF3B3B"/>
      <color rgb="FFFFDDDD"/>
      <color rgb="FFFFFBFB"/>
      <color rgb="FFFFD5D5"/>
      <color rgb="FFFFCCCC"/>
      <color rgb="FFFFC1C1"/>
      <color rgb="FFFFB9B9"/>
      <color rgb="FFDD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>
                <a:latin typeface="Candara" pitchFamily="34" charset="0"/>
              </a:rPr>
              <a:t>Figure 10.21: Monthly tourist arrivals by continent, 2022</a:t>
            </a:r>
          </a:p>
        </c:rich>
      </c:tx>
      <c:layout>
        <c:manualLayout>
          <c:xMode val="edge"/>
          <c:yMode val="edge"/>
          <c:x val="0.30845712656267216"/>
          <c:y val="3.703695195061652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1370996945819224E-2"/>
          <c:y val="0.14862277631962667"/>
          <c:w val="0.89444701570498131"/>
          <c:h val="0.71963692038495153"/>
        </c:manualLayout>
      </c:layout>
      <c:lineChart>
        <c:grouping val="standard"/>
        <c:varyColors val="0"/>
        <c:ser>
          <c:idx val="1"/>
          <c:order val="1"/>
          <c:tx>
            <c:strRef>
              <c:f>'10.13'!$AJ$22</c:f>
              <c:strCache>
                <c:ptCount val="1"/>
                <c:pt idx="0">
                  <c:v>Europe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diamond"/>
            <c:size val="6"/>
            <c:spPr>
              <a:solidFill>
                <a:srgbClr val="FF8585"/>
              </a:solidFill>
              <a:ln>
                <a:noFill/>
              </a:ln>
            </c:spPr>
          </c:marker>
          <c:cat>
            <c:strRef>
              <c:f>'10.13'!$AK$20:$AV$20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'10.13'!$AK$22:$AV$22</c:f>
              <c:numCache>
                <c:formatCode>_(* #,##0_);_(* \(#,##0\);_(* "-"??_);_(@_)</c:formatCode>
                <c:ptCount val="12"/>
                <c:pt idx="0">
                  <c:v>63748</c:v>
                </c:pt>
                <c:pt idx="1">
                  <c:v>62686</c:v>
                </c:pt>
                <c:pt idx="2">
                  <c:v>69081</c:v>
                </c:pt>
                <c:pt idx="3">
                  <c:v>60919</c:v>
                </c:pt>
                <c:pt idx="4">
                  <c:v>44276</c:v>
                </c:pt>
                <c:pt idx="5">
                  <c:v>35997</c:v>
                </c:pt>
                <c:pt idx="6">
                  <c:v>53279</c:v>
                </c:pt>
                <c:pt idx="7">
                  <c:v>59580</c:v>
                </c:pt>
                <c:pt idx="8">
                  <c:v>46055</c:v>
                </c:pt>
                <c:pt idx="9">
                  <c:v>86309</c:v>
                </c:pt>
                <c:pt idx="10">
                  <c:v>86222</c:v>
                </c:pt>
                <c:pt idx="11">
                  <c:v>104308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26B-41EC-A07D-C41172FBA7F0}"/>
            </c:ext>
          </c:extLst>
        </c:ser>
        <c:ser>
          <c:idx val="2"/>
          <c:order val="2"/>
          <c:tx>
            <c:strRef>
              <c:f>'10.13'!$AJ$23</c:f>
              <c:strCache>
                <c:ptCount val="1"/>
                <c:pt idx="0">
                  <c:v>Asia</c:v>
                </c:pt>
              </c:strCache>
            </c:strRef>
          </c:tx>
          <c:spPr>
            <a:ln>
              <a:solidFill>
                <a:srgbClr val="FF8585"/>
              </a:solidFill>
            </a:ln>
          </c:spPr>
          <c:marker>
            <c:symbol val="square"/>
            <c:size val="5"/>
            <c:spPr>
              <a:solidFill>
                <a:srgbClr val="FFB7B7"/>
              </a:solidFill>
              <a:ln>
                <a:solidFill>
                  <a:srgbClr val="CA945E"/>
                </a:solidFill>
              </a:ln>
            </c:spPr>
          </c:marker>
          <c:cat>
            <c:strRef>
              <c:f>'10.13'!$AK$20:$AV$20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'10.13'!$AK$23:$AV$23</c:f>
              <c:numCache>
                <c:formatCode>_(* #,##0_);_(* \(#,##0\);_(* "-"??_);_(@_)</c:formatCode>
                <c:ptCount val="12"/>
                <c:pt idx="0">
                  <c:v>20906</c:v>
                </c:pt>
                <c:pt idx="1">
                  <c:v>27191</c:v>
                </c:pt>
                <c:pt idx="2">
                  <c:v>29452</c:v>
                </c:pt>
                <c:pt idx="3">
                  <c:v>20069</c:v>
                </c:pt>
                <c:pt idx="4">
                  <c:v>5167</c:v>
                </c:pt>
                <c:pt idx="5">
                  <c:v>0</c:v>
                </c:pt>
                <c:pt idx="6">
                  <c:v>15739</c:v>
                </c:pt>
                <c:pt idx="7">
                  <c:v>57792</c:v>
                </c:pt>
                <c:pt idx="8">
                  <c:v>47866</c:v>
                </c:pt>
                <c:pt idx="9">
                  <c:v>34933</c:v>
                </c:pt>
                <c:pt idx="10">
                  <c:v>36205</c:v>
                </c:pt>
                <c:pt idx="11">
                  <c:v>40018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26B-41EC-A07D-C41172FBA7F0}"/>
            </c:ext>
          </c:extLst>
        </c:ser>
        <c:ser>
          <c:idx val="3"/>
          <c:order val="3"/>
          <c:tx>
            <c:strRef>
              <c:f>'10.13'!$AJ$24</c:f>
              <c:strCache>
                <c:ptCount val="1"/>
                <c:pt idx="0">
                  <c:v>Other continents</c:v>
                </c:pt>
              </c:strCache>
            </c:strRef>
          </c:tx>
          <c:spPr>
            <a:ln>
              <a:solidFill>
                <a:srgbClr val="FF3B3B"/>
              </a:solidFill>
            </a:ln>
          </c:spPr>
          <c:marker>
            <c:spPr>
              <a:solidFill>
                <a:srgbClr val="C00000"/>
              </a:solidFill>
              <a:ln>
                <a:noFill/>
              </a:ln>
            </c:spPr>
          </c:marker>
          <c:cat>
            <c:strRef>
              <c:f>'10.13'!$AK$20:$AV$20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'10.13'!$AK$24:$AV$24</c:f>
              <c:numCache>
                <c:formatCode>General</c:formatCode>
                <c:ptCount val="12"/>
                <c:pt idx="0" formatCode="_(* #,##0_);_(* \(#,##0\);_(* &quot;-&quot;??_);_(@_)">
                  <c:v>7449</c:v>
                </c:pt>
                <c:pt idx="1">
                  <c:v>7005</c:v>
                </c:pt>
                <c:pt idx="2">
                  <c:v>11052</c:v>
                </c:pt>
                <c:pt idx="3">
                  <c:v>10212</c:v>
                </c:pt>
                <c:pt idx="4">
                  <c:v>15170</c:v>
                </c:pt>
                <c:pt idx="5">
                  <c:v>20169</c:v>
                </c:pt>
                <c:pt idx="6">
                  <c:v>32800</c:v>
                </c:pt>
                <c:pt idx="7">
                  <c:v>26227</c:v>
                </c:pt>
                <c:pt idx="8">
                  <c:v>20975</c:v>
                </c:pt>
                <c:pt idx="9">
                  <c:v>20824</c:v>
                </c:pt>
                <c:pt idx="10">
                  <c:v>22298</c:v>
                </c:pt>
                <c:pt idx="11">
                  <c:v>19958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6B-41EC-A07D-C41172FBA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31880"/>
        <c:axId val="1584303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'10.13'!$AJ$21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marker>
                  <c:symbol val="diamond"/>
                  <c:size val="6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'10.13'!$AK$20:$AV$20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'10.13'!$AK$21:$AV$21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2"/>
                      <c:pt idx="0">
                        <c:v>92103</c:v>
                      </c:pt>
                      <c:pt idx="1">
                        <c:v>96882</c:v>
                      </c:pt>
                      <c:pt idx="2">
                        <c:v>109585</c:v>
                      </c:pt>
                      <c:pt idx="3">
                        <c:v>91200</c:v>
                      </c:pt>
                      <c:pt idx="4">
                        <c:v>64613</c:v>
                      </c:pt>
                      <c:pt idx="5">
                        <c:v>56166</c:v>
                      </c:pt>
                      <c:pt idx="6">
                        <c:v>101818</c:v>
                      </c:pt>
                      <c:pt idx="7">
                        <c:v>143599</c:v>
                      </c:pt>
                      <c:pt idx="8">
                        <c:v>114896</c:v>
                      </c:pt>
                      <c:pt idx="9">
                        <c:v>142066</c:v>
                      </c:pt>
                      <c:pt idx="10">
                        <c:v>144725</c:v>
                      </c:pt>
                      <c:pt idx="11">
                        <c:v>164284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0-026B-41EC-A07D-C41172FBA7F0}"/>
                  </c:ext>
                </c:extLst>
              </c15:ser>
            </c15:filteredLineSeries>
          </c:ext>
        </c:extLst>
      </c:lineChart>
      <c:catAx>
        <c:axId val="158431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58430312"/>
        <c:crosses val="autoZero"/>
        <c:auto val="1"/>
        <c:lblAlgn val="ctr"/>
        <c:lblOffset val="100"/>
        <c:noMultiLvlLbl val="0"/>
      </c:catAx>
      <c:valAx>
        <c:axId val="158430312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15843188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3903887541885747"/>
          <c:y val="0.19905870461844444"/>
          <c:w val="0.39546927859429248"/>
          <c:h val="0.11279426212434579"/>
        </c:manualLayout>
      </c:layout>
      <c:overlay val="0"/>
      <c:txPr>
        <a:bodyPr/>
        <a:lstStyle/>
        <a:p>
          <a:pPr>
            <a:defRPr sz="1050" b="1"/>
          </a:pPr>
          <a:endParaRPr lang="en-US"/>
        </a:p>
      </c:txPr>
    </c:legend>
    <c:plotVisOnly val="1"/>
    <c:dispBlanksAs val="zero"/>
    <c:showDLblsOverMax val="0"/>
  </c:chart>
  <c:spPr>
    <a:solidFill>
      <a:srgbClr val="FFFBFB"/>
    </a:solidFill>
  </c:spPr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283745</xdr:colOff>
      <xdr:row>108</xdr:row>
      <xdr:rowOff>159920</xdr:rowOff>
    </xdr:from>
    <xdr:to>
      <xdr:col>13</xdr:col>
      <xdr:colOff>502476</xdr:colOff>
      <xdr:row>127</xdr:row>
      <xdr:rowOff>136372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0.0069</cdr:x>
      <cdr:y>0.04514</cdr:y>
    </cdr:from>
    <cdr:to>
      <cdr:x>0.12114</cdr:x>
      <cdr:y>0.09028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099" y="111357"/>
          <a:ext cx="647446" cy="1113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>
              <a:latin typeface="+mn-lt"/>
            </a:rPr>
            <a:t>Number</a:t>
          </a:r>
          <a:endParaRPr lang="en-US" sz="1100">
            <a:latin typeface="+mn-lt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W106"/>
  <sheetViews>
    <sheetView tabSelected="1" topLeftCell="B1" zoomScaleNormal="100" zoomScaleSheetLayoutView="100" workbookViewId="0">
      <selection activeCell="Q1" sqref="Q1:S1048576"/>
    </sheetView>
  </sheetViews>
  <sheetFormatPr defaultColWidth="9.140625" defaultRowHeight="12.75"/>
  <cols>
    <col min="1" max="1" width="21" style="8" customWidth="1"/>
    <col min="2" max="2" width="11.5703125" style="8" bestFit="1" customWidth="1"/>
    <col min="3" max="10" width="10.28515625" style="8" bestFit="1" customWidth="1"/>
    <col min="11" max="11" width="9.85546875" style="8" bestFit="1" customWidth="1"/>
    <col min="12" max="14" width="10.28515625" style="8" bestFit="1" customWidth="1"/>
    <col min="15" max="15" width="18.28515625" style="8" customWidth="1"/>
    <col min="16" max="48" width="9.140625" style="8"/>
    <col min="49" max="49" width="11.140625" style="8" customWidth="1"/>
    <col min="50" max="16384" width="9.140625" style="8"/>
  </cols>
  <sheetData>
    <row r="1" spans="1:49" s="7" customFormat="1" ht="18.75" customHeight="1">
      <c r="A1" s="51" t="s">
        <v>195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49" ht="17.25" customHeight="1">
      <c r="A2" s="52" t="s">
        <v>194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49" ht="12.75" customHeigh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49" s="15" customFormat="1" ht="18.75" customHeight="1">
      <c r="A4" s="11" t="s">
        <v>47</v>
      </c>
      <c r="B4" s="12" t="s">
        <v>58</v>
      </c>
      <c r="C4" s="12" t="s">
        <v>36</v>
      </c>
      <c r="D4" s="12" t="s">
        <v>37</v>
      </c>
      <c r="E4" s="12" t="s">
        <v>38</v>
      </c>
      <c r="F4" s="12" t="s">
        <v>39</v>
      </c>
      <c r="G4" s="12" t="s">
        <v>34</v>
      </c>
      <c r="H4" s="12" t="s">
        <v>40</v>
      </c>
      <c r="I4" s="12" t="s">
        <v>41</v>
      </c>
      <c r="J4" s="12" t="s">
        <v>42</v>
      </c>
      <c r="K4" s="12" t="s">
        <v>43</v>
      </c>
      <c r="L4" s="12" t="s">
        <v>44</v>
      </c>
      <c r="M4" s="12" t="s">
        <v>45</v>
      </c>
      <c r="N4" s="13" t="s">
        <v>46</v>
      </c>
      <c r="O4" s="14" t="s">
        <v>59</v>
      </c>
    </row>
    <row r="5" spans="1:49" s="19" customFormat="1" ht="18" customHeight="1">
      <c r="A5" s="16" t="s">
        <v>0</v>
      </c>
      <c r="B5" s="17">
        <f>SUM(C5:N5)</f>
        <v>1321937</v>
      </c>
      <c r="C5" s="17">
        <f>C6+C50+C73+C78+C85+C89+C100+C101</f>
        <v>92103</v>
      </c>
      <c r="D5" s="17">
        <f>D6+D50+D73+D78+D85+D89+D100+D101</f>
        <v>96882</v>
      </c>
      <c r="E5" s="17">
        <f t="shared" ref="E5:N5" si="0">E6+E50+E73+E78+E85+E89+E100+E101</f>
        <v>109585</v>
      </c>
      <c r="F5" s="17">
        <f t="shared" si="0"/>
        <v>91200</v>
      </c>
      <c r="G5" s="17">
        <f t="shared" si="0"/>
        <v>64613</v>
      </c>
      <c r="H5" s="17">
        <f t="shared" si="0"/>
        <v>56166</v>
      </c>
      <c r="I5" s="17">
        <f t="shared" si="0"/>
        <v>101818</v>
      </c>
      <c r="J5" s="17">
        <f t="shared" si="0"/>
        <v>143599</v>
      </c>
      <c r="K5" s="17">
        <f t="shared" si="0"/>
        <v>114896</v>
      </c>
      <c r="L5" s="17">
        <f t="shared" si="0"/>
        <v>142066</v>
      </c>
      <c r="M5" s="17">
        <f t="shared" si="0"/>
        <v>144725</v>
      </c>
      <c r="N5" s="17">
        <f t="shared" si="0"/>
        <v>164284</v>
      </c>
      <c r="O5" s="18" t="s">
        <v>1</v>
      </c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</row>
    <row r="6" spans="1:49" s="19" customFormat="1" ht="18" customHeight="1">
      <c r="A6" s="21" t="s">
        <v>2</v>
      </c>
      <c r="B6" s="4">
        <f>SUM(C6:N6)</f>
        <v>772460</v>
      </c>
      <c r="C6" s="4">
        <f>C7+C21+C29+C38+C46</f>
        <v>63748</v>
      </c>
      <c r="D6" s="4">
        <f t="shared" ref="D6:N6" si="1">D7+D21+D29+D38+D46</f>
        <v>62686</v>
      </c>
      <c r="E6" s="4">
        <f t="shared" si="1"/>
        <v>69081</v>
      </c>
      <c r="F6" s="4">
        <f t="shared" si="1"/>
        <v>60919</v>
      </c>
      <c r="G6" s="4">
        <f t="shared" si="1"/>
        <v>44276</v>
      </c>
      <c r="H6" s="4">
        <f t="shared" si="1"/>
        <v>35997</v>
      </c>
      <c r="I6" s="4">
        <f t="shared" si="1"/>
        <v>53279</v>
      </c>
      <c r="J6" s="4">
        <f t="shared" si="1"/>
        <v>59580</v>
      </c>
      <c r="K6" s="4">
        <f t="shared" si="1"/>
        <v>46055</v>
      </c>
      <c r="L6" s="4">
        <f t="shared" si="1"/>
        <v>86309</v>
      </c>
      <c r="M6" s="4">
        <f t="shared" si="1"/>
        <v>86222</v>
      </c>
      <c r="N6" s="4">
        <f t="shared" si="1"/>
        <v>104308</v>
      </c>
      <c r="O6" s="22" t="s">
        <v>3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</row>
    <row r="7" spans="1:49" s="19" customFormat="1" ht="18" customHeight="1">
      <c r="A7" s="24" t="s">
        <v>48</v>
      </c>
      <c r="B7" s="4">
        <f>SUM(C7:N7)</f>
        <v>390738</v>
      </c>
      <c r="C7" s="4">
        <f>SUM(C8:C20)</f>
        <v>46148</v>
      </c>
      <c r="D7" s="4">
        <f>SUM(D8:D20)</f>
        <v>45318</v>
      </c>
      <c r="E7" s="4">
        <f t="shared" ref="E7:N7" si="2">SUM(E8:E20)</f>
        <v>46554</v>
      </c>
      <c r="F7" s="4">
        <f t="shared" si="2"/>
        <v>39863</v>
      </c>
      <c r="G7" s="4">
        <f t="shared" si="2"/>
        <v>26965</v>
      </c>
      <c r="H7" s="4">
        <f t="shared" si="2"/>
        <v>23663</v>
      </c>
      <c r="I7" s="4">
        <f t="shared" si="2"/>
        <v>26038</v>
      </c>
      <c r="J7" s="4">
        <f t="shared" si="2"/>
        <v>24366</v>
      </c>
      <c r="K7" s="4">
        <f t="shared" si="2"/>
        <v>17726</v>
      </c>
      <c r="L7" s="4">
        <f t="shared" si="2"/>
        <v>28665</v>
      </c>
      <c r="M7" s="4">
        <f t="shared" si="2"/>
        <v>29425</v>
      </c>
      <c r="N7" s="4">
        <f t="shared" si="2"/>
        <v>36007</v>
      </c>
      <c r="O7" s="25" t="s">
        <v>60</v>
      </c>
    </row>
    <row r="8" spans="1:49" s="19" customFormat="1" ht="18" customHeight="1">
      <c r="A8" s="26" t="s">
        <v>61</v>
      </c>
      <c r="B8" s="27">
        <f>SUM(C8:N8)</f>
        <v>4987</v>
      </c>
      <c r="C8" s="28">
        <v>455</v>
      </c>
      <c r="D8" s="28">
        <v>465</v>
      </c>
      <c r="E8" s="28">
        <v>600</v>
      </c>
      <c r="F8" s="28">
        <v>450</v>
      </c>
      <c r="G8" s="28">
        <v>425</v>
      </c>
      <c r="H8" s="28">
        <v>261</v>
      </c>
      <c r="I8" s="28">
        <v>340</v>
      </c>
      <c r="J8" s="28">
        <v>399</v>
      </c>
      <c r="K8" s="28">
        <v>302</v>
      </c>
      <c r="L8" s="28">
        <v>382</v>
      </c>
      <c r="M8" s="28">
        <v>433</v>
      </c>
      <c r="N8" s="28">
        <v>475</v>
      </c>
      <c r="O8" s="29" t="s">
        <v>62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spans="1:49" s="19" customFormat="1" ht="18" customHeight="1">
      <c r="A9" s="26" t="s">
        <v>63</v>
      </c>
      <c r="B9" s="27">
        <f>SUM(C9:N9)</f>
        <v>8776</v>
      </c>
      <c r="C9" s="28">
        <v>973</v>
      </c>
      <c r="D9" s="28">
        <v>1735</v>
      </c>
      <c r="E9" s="28">
        <v>1330</v>
      </c>
      <c r="F9" s="28">
        <v>1626</v>
      </c>
      <c r="G9" s="28">
        <v>503</v>
      </c>
      <c r="H9" s="28">
        <v>79</v>
      </c>
      <c r="I9" s="28">
        <v>116</v>
      </c>
      <c r="J9" s="28">
        <v>186</v>
      </c>
      <c r="K9" s="28">
        <v>148</v>
      </c>
      <c r="L9" s="28">
        <v>307</v>
      </c>
      <c r="M9" s="28">
        <v>539</v>
      </c>
      <c r="N9" s="28">
        <v>1234</v>
      </c>
      <c r="O9" s="29" t="s">
        <v>64</v>
      </c>
    </row>
    <row r="10" spans="1:49" s="19" customFormat="1" ht="18" customHeight="1">
      <c r="A10" s="26" t="s">
        <v>65</v>
      </c>
      <c r="B10" s="27">
        <f t="shared" ref="B10:B84" si="3">SUM(C10:N10)</f>
        <v>18692</v>
      </c>
      <c r="C10" s="28">
        <v>1882</v>
      </c>
      <c r="D10" s="28">
        <v>3204</v>
      </c>
      <c r="E10" s="28">
        <v>2448</v>
      </c>
      <c r="F10" s="28">
        <v>1623</v>
      </c>
      <c r="G10" s="28">
        <v>780</v>
      </c>
      <c r="H10" s="28">
        <v>474</v>
      </c>
      <c r="I10" s="28">
        <v>1153</v>
      </c>
      <c r="J10" s="28">
        <v>896</v>
      </c>
      <c r="K10" s="28">
        <v>631</v>
      </c>
      <c r="L10" s="28">
        <v>1593</v>
      </c>
      <c r="M10" s="28">
        <v>2317</v>
      </c>
      <c r="N10" s="28">
        <v>1691</v>
      </c>
      <c r="O10" s="29" t="s">
        <v>66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1:49" s="19" customFormat="1" ht="18" customHeight="1">
      <c r="A11" s="30" t="s">
        <v>67</v>
      </c>
      <c r="B11" s="27">
        <f t="shared" si="3"/>
        <v>12582</v>
      </c>
      <c r="C11" s="28">
        <v>1162</v>
      </c>
      <c r="D11" s="28">
        <v>2041</v>
      </c>
      <c r="E11" s="28">
        <v>1637</v>
      </c>
      <c r="F11" s="28">
        <v>746</v>
      </c>
      <c r="G11" s="28">
        <v>476</v>
      </c>
      <c r="H11" s="28">
        <v>446</v>
      </c>
      <c r="I11" s="28">
        <v>807</v>
      </c>
      <c r="J11" s="28">
        <v>851</v>
      </c>
      <c r="K11" s="28">
        <v>466</v>
      </c>
      <c r="L11" s="28">
        <v>1171</v>
      </c>
      <c r="M11" s="28">
        <v>902</v>
      </c>
      <c r="N11" s="28">
        <v>1877</v>
      </c>
      <c r="O11" s="29" t="s">
        <v>68</v>
      </c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</row>
    <row r="12" spans="1:49" s="19" customFormat="1" ht="18" customHeight="1">
      <c r="A12" s="26" t="s">
        <v>69</v>
      </c>
      <c r="B12" s="27">
        <f t="shared" si="3"/>
        <v>24024</v>
      </c>
      <c r="C12" s="28">
        <v>4434</v>
      </c>
      <c r="D12" s="28">
        <v>3732</v>
      </c>
      <c r="E12" s="28">
        <v>4958</v>
      </c>
      <c r="F12" s="28">
        <v>2457</v>
      </c>
      <c r="G12" s="28">
        <v>1080</v>
      </c>
      <c r="H12" s="28">
        <v>215</v>
      </c>
      <c r="I12" s="28">
        <v>248</v>
      </c>
      <c r="J12" s="28">
        <v>244</v>
      </c>
      <c r="K12" s="28">
        <v>297</v>
      </c>
      <c r="L12" s="28">
        <v>1628</v>
      </c>
      <c r="M12" s="28">
        <v>1932</v>
      </c>
      <c r="N12" s="28">
        <v>2799</v>
      </c>
      <c r="O12" s="29" t="s">
        <v>70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J12" s="23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</row>
    <row r="13" spans="1:49" s="19" customFormat="1" ht="18" customHeight="1">
      <c r="A13" s="26" t="s">
        <v>71</v>
      </c>
      <c r="B13" s="27">
        <f t="shared" si="3"/>
        <v>1592</v>
      </c>
      <c r="C13" s="28">
        <v>205</v>
      </c>
      <c r="D13" s="28">
        <v>208</v>
      </c>
      <c r="E13" s="28">
        <v>250</v>
      </c>
      <c r="F13" s="28">
        <v>173</v>
      </c>
      <c r="G13" s="28">
        <v>106</v>
      </c>
      <c r="H13" s="28">
        <v>27</v>
      </c>
      <c r="I13" s="28">
        <v>26</v>
      </c>
      <c r="J13" s="28">
        <v>49</v>
      </c>
      <c r="K13" s="28">
        <v>36</v>
      </c>
      <c r="L13" s="28">
        <v>133</v>
      </c>
      <c r="M13" s="28">
        <v>190</v>
      </c>
      <c r="N13" s="28">
        <v>189</v>
      </c>
      <c r="O13" s="29" t="s">
        <v>72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J13" s="23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</row>
    <row r="14" spans="1:49" s="19" customFormat="1" ht="18" customHeight="1">
      <c r="A14" s="26" t="s">
        <v>73</v>
      </c>
      <c r="B14" s="27">
        <f t="shared" si="3"/>
        <v>3805</v>
      </c>
      <c r="C14" s="28">
        <v>635</v>
      </c>
      <c r="D14" s="28">
        <v>923</v>
      </c>
      <c r="E14" s="28">
        <v>710</v>
      </c>
      <c r="F14" s="28">
        <v>360</v>
      </c>
      <c r="G14" s="28">
        <v>146</v>
      </c>
      <c r="H14" s="28">
        <v>55</v>
      </c>
      <c r="I14" s="28">
        <v>60</v>
      </c>
      <c r="J14" s="28">
        <v>65</v>
      </c>
      <c r="K14" s="28">
        <v>78</v>
      </c>
      <c r="L14" s="28">
        <v>259</v>
      </c>
      <c r="M14" s="28">
        <v>248</v>
      </c>
      <c r="N14" s="28">
        <v>266</v>
      </c>
      <c r="O14" s="29" t="s">
        <v>74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J14" s="23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</row>
    <row r="15" spans="1:49" s="19" customFormat="1" ht="18" customHeight="1">
      <c r="A15" s="26" t="s">
        <v>75</v>
      </c>
      <c r="B15" s="27">
        <f t="shared" si="3"/>
        <v>23596</v>
      </c>
      <c r="C15" s="28">
        <v>1122</v>
      </c>
      <c r="D15" s="28">
        <v>1657</v>
      </c>
      <c r="E15" s="28">
        <v>2301</v>
      </c>
      <c r="F15" s="28">
        <v>2620</v>
      </c>
      <c r="G15" s="28">
        <v>724</v>
      </c>
      <c r="H15" s="28">
        <v>1267</v>
      </c>
      <c r="I15" s="28">
        <v>2529</v>
      </c>
      <c r="J15" s="28">
        <v>1975</v>
      </c>
      <c r="K15" s="28">
        <v>2031</v>
      </c>
      <c r="L15" s="28">
        <v>2219</v>
      </c>
      <c r="M15" s="28">
        <v>2603</v>
      </c>
      <c r="N15" s="28">
        <v>2548</v>
      </c>
      <c r="O15" s="29" t="s">
        <v>76</v>
      </c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</row>
    <row r="16" spans="1:49" s="19" customFormat="1" ht="18" customHeight="1">
      <c r="A16" s="26" t="s">
        <v>77</v>
      </c>
      <c r="B16" s="27">
        <f t="shared" si="3"/>
        <v>15856</v>
      </c>
      <c r="C16" s="28">
        <v>3921</v>
      </c>
      <c r="D16" s="28">
        <v>3190</v>
      </c>
      <c r="E16" s="28">
        <v>1902</v>
      </c>
      <c r="F16" s="28">
        <v>1894</v>
      </c>
      <c r="G16" s="28">
        <v>547</v>
      </c>
      <c r="H16" s="28">
        <v>275</v>
      </c>
      <c r="I16" s="28">
        <v>330</v>
      </c>
      <c r="J16" s="28">
        <v>387</v>
      </c>
      <c r="K16" s="28">
        <v>297</v>
      </c>
      <c r="L16" s="28">
        <v>487</v>
      </c>
      <c r="M16" s="28">
        <v>1071</v>
      </c>
      <c r="N16" s="28">
        <v>1555</v>
      </c>
      <c r="O16" s="29" t="s">
        <v>78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</row>
    <row r="17" spans="1:49" s="19" customFormat="1" ht="18" customHeight="1">
      <c r="A17" s="26" t="s">
        <v>79</v>
      </c>
      <c r="B17" s="27">
        <f t="shared" si="3"/>
        <v>222422</v>
      </c>
      <c r="C17" s="28">
        <v>20973</v>
      </c>
      <c r="D17" s="28">
        <v>19724</v>
      </c>
      <c r="E17" s="28">
        <v>22826</v>
      </c>
      <c r="F17" s="28">
        <v>22929</v>
      </c>
      <c r="G17" s="28">
        <v>19472</v>
      </c>
      <c r="H17" s="28">
        <v>18727</v>
      </c>
      <c r="I17" s="28">
        <v>18153</v>
      </c>
      <c r="J17" s="28">
        <v>17069</v>
      </c>
      <c r="K17" s="28">
        <v>11435</v>
      </c>
      <c r="L17" s="28">
        <v>17570</v>
      </c>
      <c r="M17" s="28">
        <v>15935</v>
      </c>
      <c r="N17" s="28">
        <v>17609</v>
      </c>
      <c r="O17" s="29" t="s">
        <v>11</v>
      </c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</row>
    <row r="18" spans="1:49" s="19" customFormat="1" ht="18" customHeight="1">
      <c r="A18" s="26" t="s">
        <v>80</v>
      </c>
      <c r="B18" s="27">
        <f t="shared" si="3"/>
        <v>7637</v>
      </c>
      <c r="C18" s="28">
        <v>1137</v>
      </c>
      <c r="D18" s="28">
        <v>1756</v>
      </c>
      <c r="E18" s="28">
        <v>869</v>
      </c>
      <c r="F18" s="28">
        <v>366</v>
      </c>
      <c r="G18" s="28">
        <v>227</v>
      </c>
      <c r="H18" s="28">
        <v>196</v>
      </c>
      <c r="I18" s="28">
        <v>308</v>
      </c>
      <c r="J18" s="28">
        <v>181</v>
      </c>
      <c r="K18" s="28">
        <v>212</v>
      </c>
      <c r="L18" s="28">
        <v>558</v>
      </c>
      <c r="M18" s="28">
        <v>663</v>
      </c>
      <c r="N18" s="28">
        <v>1164</v>
      </c>
      <c r="O18" s="29" t="s">
        <v>12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</row>
    <row r="19" spans="1:49" s="19" customFormat="1" ht="18" customHeight="1">
      <c r="A19" s="26" t="s">
        <v>81</v>
      </c>
      <c r="B19" s="27">
        <f t="shared" si="3"/>
        <v>35073</v>
      </c>
      <c r="C19" s="28">
        <v>7210</v>
      </c>
      <c r="D19" s="28">
        <v>5339</v>
      </c>
      <c r="E19" s="28">
        <v>5372</v>
      </c>
      <c r="F19" s="28">
        <v>3653</v>
      </c>
      <c r="G19" s="28">
        <v>1767</v>
      </c>
      <c r="H19" s="28">
        <v>1117</v>
      </c>
      <c r="I19" s="28">
        <v>1302</v>
      </c>
      <c r="J19" s="28">
        <v>1338</v>
      </c>
      <c r="K19" s="28">
        <v>1220</v>
      </c>
      <c r="L19" s="28">
        <v>1725</v>
      </c>
      <c r="M19" s="28">
        <v>1714</v>
      </c>
      <c r="N19" s="28">
        <v>3316</v>
      </c>
      <c r="O19" s="29" t="s">
        <v>82</v>
      </c>
    </row>
    <row r="20" spans="1:49" s="19" customFormat="1" ht="18" customHeight="1">
      <c r="A20" s="26" t="s">
        <v>83</v>
      </c>
      <c r="B20" s="27">
        <f t="shared" si="3"/>
        <v>11696</v>
      </c>
      <c r="C20" s="28">
        <v>2039</v>
      </c>
      <c r="D20" s="28">
        <v>1344</v>
      </c>
      <c r="E20" s="28">
        <v>1351</v>
      </c>
      <c r="F20" s="28">
        <v>966</v>
      </c>
      <c r="G20" s="28">
        <v>712</v>
      </c>
      <c r="H20" s="28">
        <v>524</v>
      </c>
      <c r="I20" s="28">
        <v>666</v>
      </c>
      <c r="J20" s="28">
        <v>726</v>
      </c>
      <c r="K20" s="28">
        <v>573</v>
      </c>
      <c r="L20" s="28">
        <v>633</v>
      </c>
      <c r="M20" s="28">
        <v>878</v>
      </c>
      <c r="N20" s="28">
        <v>1284</v>
      </c>
      <c r="O20" s="29" t="s">
        <v>15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K20" s="19" t="s">
        <v>36</v>
      </c>
      <c r="AL20" s="19" t="s">
        <v>37</v>
      </c>
      <c r="AM20" s="19" t="s">
        <v>38</v>
      </c>
      <c r="AN20" s="19" t="s">
        <v>39</v>
      </c>
      <c r="AO20" s="19" t="s">
        <v>34</v>
      </c>
      <c r="AP20" s="19" t="s">
        <v>40</v>
      </c>
      <c r="AQ20" s="19" t="s">
        <v>41</v>
      </c>
      <c r="AR20" s="19" t="s">
        <v>42</v>
      </c>
      <c r="AS20" s="19" t="s">
        <v>43</v>
      </c>
      <c r="AT20" s="19" t="s">
        <v>44</v>
      </c>
      <c r="AU20" s="19" t="s">
        <v>45</v>
      </c>
      <c r="AV20" s="19" t="s">
        <v>46</v>
      </c>
    </row>
    <row r="21" spans="1:49" s="19" customFormat="1" ht="18" customHeight="1">
      <c r="A21" s="24" t="s">
        <v>49</v>
      </c>
      <c r="B21" s="27">
        <f t="shared" si="3"/>
        <v>82893</v>
      </c>
      <c r="C21" s="31">
        <f>SUM(C22:C28)</f>
        <v>3448</v>
      </c>
      <c r="D21" s="31">
        <f t="shared" ref="D21:N21" si="4">SUM(D22:D28)</f>
        <v>3179</v>
      </c>
      <c r="E21" s="31">
        <f t="shared" si="4"/>
        <v>4368</v>
      </c>
      <c r="F21" s="31">
        <f t="shared" si="4"/>
        <v>3771</v>
      </c>
      <c r="G21" s="31">
        <f t="shared" si="4"/>
        <v>2716</v>
      </c>
      <c r="H21" s="31">
        <f t="shared" si="4"/>
        <v>962</v>
      </c>
      <c r="I21" s="31">
        <f t="shared" si="4"/>
        <v>3552</v>
      </c>
      <c r="J21" s="31">
        <f t="shared" si="4"/>
        <v>2196</v>
      </c>
      <c r="K21" s="31">
        <f t="shared" si="4"/>
        <v>2091</v>
      </c>
      <c r="L21" s="31">
        <f t="shared" si="4"/>
        <v>16812</v>
      </c>
      <c r="M21" s="31">
        <f t="shared" si="4"/>
        <v>18073</v>
      </c>
      <c r="N21" s="31">
        <f t="shared" si="4"/>
        <v>21725</v>
      </c>
      <c r="O21" s="32" t="s">
        <v>84</v>
      </c>
      <c r="AJ21" s="19" t="s">
        <v>0</v>
      </c>
      <c r="AK21" s="20">
        <f>C5</f>
        <v>92103</v>
      </c>
      <c r="AL21" s="20">
        <f>D5</f>
        <v>96882</v>
      </c>
      <c r="AM21" s="20">
        <f>E5</f>
        <v>109585</v>
      </c>
      <c r="AN21" s="20">
        <f>F5</f>
        <v>91200</v>
      </c>
      <c r="AO21" s="20">
        <f>G5</f>
        <v>64613</v>
      </c>
      <c r="AP21" s="20">
        <f>H5</f>
        <v>56166</v>
      </c>
      <c r="AQ21" s="20">
        <f>I5</f>
        <v>101818</v>
      </c>
      <c r="AR21" s="20">
        <f>J5</f>
        <v>143599</v>
      </c>
      <c r="AS21" s="20">
        <f>K5</f>
        <v>114896</v>
      </c>
      <c r="AT21" s="20">
        <f>L5</f>
        <v>142066</v>
      </c>
      <c r="AU21" s="20">
        <f>M5</f>
        <v>144725</v>
      </c>
      <c r="AV21" s="20">
        <f>N5</f>
        <v>164284</v>
      </c>
      <c r="AW21" s="20">
        <f>SUM(AK21:AV21)</f>
        <v>1321937</v>
      </c>
    </row>
    <row r="22" spans="1:49" s="19" customFormat="1" ht="18" customHeight="1">
      <c r="A22" s="26" t="s">
        <v>85</v>
      </c>
      <c r="B22" s="27">
        <f t="shared" si="3"/>
        <v>6106</v>
      </c>
      <c r="C22" s="28">
        <v>217</v>
      </c>
      <c r="D22" s="28">
        <v>198</v>
      </c>
      <c r="E22" s="28">
        <v>251</v>
      </c>
      <c r="F22" s="28">
        <v>148</v>
      </c>
      <c r="G22" s="28">
        <v>125</v>
      </c>
      <c r="H22" s="28">
        <v>85</v>
      </c>
      <c r="I22" s="28">
        <v>723</v>
      </c>
      <c r="J22" s="28">
        <v>251</v>
      </c>
      <c r="K22" s="28">
        <v>255</v>
      </c>
      <c r="L22" s="28">
        <v>2134</v>
      </c>
      <c r="M22" s="28">
        <v>782</v>
      </c>
      <c r="N22" s="28">
        <v>937</v>
      </c>
      <c r="O22" s="29" t="s">
        <v>86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J22" s="19" t="s">
        <v>2</v>
      </c>
      <c r="AK22" s="20">
        <f>C7+C21+C29+C38+C46</f>
        <v>63748</v>
      </c>
      <c r="AL22" s="20">
        <f>D7+D21+D29+D38+D46</f>
        <v>62686</v>
      </c>
      <c r="AM22" s="20">
        <f>E7+E21+E29+E38+E46</f>
        <v>69081</v>
      </c>
      <c r="AN22" s="20">
        <f>F7+F21+F29+F38+F46</f>
        <v>60919</v>
      </c>
      <c r="AO22" s="20">
        <f>G7+G21+G29+G38+G46</f>
        <v>44276</v>
      </c>
      <c r="AP22" s="20">
        <f>H7+H21+H29+H38+H46</f>
        <v>35997</v>
      </c>
      <c r="AQ22" s="20">
        <f>I7+I21+I29+I38+I46</f>
        <v>53279</v>
      </c>
      <c r="AR22" s="20">
        <f>J7+J21+J29+J38+J46</f>
        <v>59580</v>
      </c>
      <c r="AS22" s="20">
        <f>K7+K21+K29+K38+K46</f>
        <v>46055</v>
      </c>
      <c r="AT22" s="20">
        <f>L7+L21+L29+L38+L46</f>
        <v>86309</v>
      </c>
      <c r="AU22" s="20">
        <f>M7+M21+M29+M38+M46</f>
        <v>86222</v>
      </c>
      <c r="AV22" s="20">
        <f>N7+N21+N29+N38+N46</f>
        <v>104308</v>
      </c>
      <c r="AW22" s="20">
        <f>SUM(AK22:AV22)</f>
        <v>772460</v>
      </c>
    </row>
    <row r="23" spans="1:49" s="19" customFormat="1" ht="18" customHeight="1">
      <c r="A23" s="26" t="s">
        <v>87</v>
      </c>
      <c r="B23" s="27">
        <f t="shared" si="3"/>
        <v>1724</v>
      </c>
      <c r="C23" s="28">
        <v>83</v>
      </c>
      <c r="D23" s="28">
        <v>124</v>
      </c>
      <c r="E23" s="28">
        <v>90</v>
      </c>
      <c r="F23" s="28">
        <v>84</v>
      </c>
      <c r="G23" s="28">
        <v>38</v>
      </c>
      <c r="H23" s="28">
        <v>25</v>
      </c>
      <c r="I23" s="28">
        <v>66</v>
      </c>
      <c r="J23" s="28">
        <v>56</v>
      </c>
      <c r="K23" s="28">
        <v>60</v>
      </c>
      <c r="L23" s="28">
        <v>245</v>
      </c>
      <c r="M23" s="28">
        <v>350</v>
      </c>
      <c r="N23" s="28">
        <v>503</v>
      </c>
      <c r="O23" s="29" t="s">
        <v>6</v>
      </c>
      <c r="AJ23" s="19" t="s">
        <v>16</v>
      </c>
      <c r="AK23" s="20">
        <f>C50</f>
        <v>20906</v>
      </c>
      <c r="AL23" s="20">
        <f>D50</f>
        <v>27191</v>
      </c>
      <c r="AM23" s="20">
        <f>E50</f>
        <v>29452</v>
      </c>
      <c r="AN23" s="20">
        <f>F50</f>
        <v>20069</v>
      </c>
      <c r="AO23" s="20">
        <f>G50</f>
        <v>5167</v>
      </c>
      <c r="AP23" s="20">
        <v>0</v>
      </c>
      <c r="AQ23" s="20">
        <f>I50</f>
        <v>15739</v>
      </c>
      <c r="AR23" s="20">
        <f>J50</f>
        <v>57792</v>
      </c>
      <c r="AS23" s="20">
        <f>K50</f>
        <v>47866</v>
      </c>
      <c r="AT23" s="20">
        <f>L50</f>
        <v>34933</v>
      </c>
      <c r="AU23" s="20">
        <f>M50</f>
        <v>36205</v>
      </c>
      <c r="AV23" s="20">
        <f>N50</f>
        <v>40018</v>
      </c>
      <c r="AW23" s="20">
        <f>SUM(AK23:AV23)</f>
        <v>335338</v>
      </c>
    </row>
    <row r="24" spans="1:49" s="19" customFormat="1" ht="18" customHeight="1">
      <c r="A24" s="26" t="s">
        <v>88</v>
      </c>
      <c r="B24" s="27">
        <f t="shared" si="3"/>
        <v>2931</v>
      </c>
      <c r="C24" s="28">
        <v>189</v>
      </c>
      <c r="D24" s="28">
        <v>153</v>
      </c>
      <c r="E24" s="28">
        <v>246</v>
      </c>
      <c r="F24" s="28">
        <v>215</v>
      </c>
      <c r="G24" s="28">
        <v>188</v>
      </c>
      <c r="H24" s="28">
        <v>63</v>
      </c>
      <c r="I24" s="28">
        <v>148</v>
      </c>
      <c r="J24" s="28">
        <v>144</v>
      </c>
      <c r="K24" s="28">
        <v>124</v>
      </c>
      <c r="L24" s="28">
        <v>500</v>
      </c>
      <c r="M24" s="28">
        <v>437</v>
      </c>
      <c r="N24" s="28">
        <v>524</v>
      </c>
      <c r="O24" s="29" t="s">
        <v>89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J24" s="19" t="s">
        <v>90</v>
      </c>
      <c r="AK24" s="20">
        <f>AK21-AK22-AK23</f>
        <v>7449</v>
      </c>
      <c r="AL24" s="19">
        <f t="shared" ref="AL24:AV24" si="5">AL21-AL22-AL23</f>
        <v>7005</v>
      </c>
      <c r="AM24" s="19">
        <f t="shared" si="5"/>
        <v>11052</v>
      </c>
      <c r="AN24" s="19">
        <f t="shared" si="5"/>
        <v>10212</v>
      </c>
      <c r="AO24" s="19">
        <f t="shared" si="5"/>
        <v>15170</v>
      </c>
      <c r="AP24" s="19">
        <f t="shared" si="5"/>
        <v>20169</v>
      </c>
      <c r="AQ24" s="19">
        <f t="shared" si="5"/>
        <v>32800</v>
      </c>
      <c r="AR24" s="19">
        <f t="shared" si="5"/>
        <v>26227</v>
      </c>
      <c r="AS24" s="19">
        <f t="shared" si="5"/>
        <v>20975</v>
      </c>
      <c r="AT24" s="19">
        <f t="shared" si="5"/>
        <v>20824</v>
      </c>
      <c r="AU24" s="19">
        <f t="shared" si="5"/>
        <v>22298</v>
      </c>
      <c r="AV24" s="19">
        <f t="shared" si="5"/>
        <v>19958</v>
      </c>
      <c r="AW24" s="20">
        <f>SUM(AK24:AV24)</f>
        <v>214139</v>
      </c>
    </row>
    <row r="25" spans="1:49" s="19" customFormat="1" ht="18" customHeight="1">
      <c r="A25" s="26" t="s">
        <v>91</v>
      </c>
      <c r="B25" s="27">
        <f t="shared" si="3"/>
        <v>1549</v>
      </c>
      <c r="C25" s="28">
        <v>43</v>
      </c>
      <c r="D25" s="28">
        <v>95</v>
      </c>
      <c r="E25" s="28">
        <v>65</v>
      </c>
      <c r="F25" s="28">
        <v>32</v>
      </c>
      <c r="G25" s="28">
        <v>29</v>
      </c>
      <c r="H25" s="28">
        <v>31</v>
      </c>
      <c r="I25" s="28">
        <v>97</v>
      </c>
      <c r="J25" s="28">
        <v>39</v>
      </c>
      <c r="K25" s="28">
        <v>83</v>
      </c>
      <c r="L25" s="28">
        <v>380</v>
      </c>
      <c r="M25" s="28">
        <v>274</v>
      </c>
      <c r="N25" s="28">
        <v>381</v>
      </c>
      <c r="O25" s="29" t="s">
        <v>92</v>
      </c>
      <c r="AJ25" s="3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9" s="19" customFormat="1" ht="18" customHeight="1">
      <c r="A26" s="26" t="s">
        <v>93</v>
      </c>
      <c r="B26" s="27">
        <f t="shared" si="3"/>
        <v>7746</v>
      </c>
      <c r="C26" s="28">
        <v>410</v>
      </c>
      <c r="D26" s="28">
        <v>553</v>
      </c>
      <c r="E26" s="28">
        <v>335</v>
      </c>
      <c r="F26" s="28">
        <v>368</v>
      </c>
      <c r="G26" s="28">
        <v>145</v>
      </c>
      <c r="H26" s="28">
        <v>172</v>
      </c>
      <c r="I26" s="28">
        <v>246</v>
      </c>
      <c r="J26" s="28">
        <v>208</v>
      </c>
      <c r="K26" s="28">
        <v>210</v>
      </c>
      <c r="L26" s="28">
        <v>1663</v>
      </c>
      <c r="M26" s="28">
        <v>1108</v>
      </c>
      <c r="N26" s="28">
        <v>2328</v>
      </c>
      <c r="O26" s="29" t="s">
        <v>94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J26" s="3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9" s="19" customFormat="1" ht="18" customHeight="1">
      <c r="A27" s="26" t="s">
        <v>95</v>
      </c>
      <c r="B27" s="27">
        <f t="shared" si="3"/>
        <v>62777</v>
      </c>
      <c r="C27" s="28">
        <v>2504</v>
      </c>
      <c r="D27" s="28">
        <v>2052</v>
      </c>
      <c r="E27" s="28">
        <v>3378</v>
      </c>
      <c r="F27" s="28">
        <v>2923</v>
      </c>
      <c r="G27" s="28">
        <v>2191</v>
      </c>
      <c r="H27" s="28">
        <v>583</v>
      </c>
      <c r="I27" s="28">
        <v>2269</v>
      </c>
      <c r="J27" s="28">
        <v>1491</v>
      </c>
      <c r="K27" s="28">
        <v>1355</v>
      </c>
      <c r="L27" s="28">
        <v>11876</v>
      </c>
      <c r="M27" s="28">
        <v>15117</v>
      </c>
      <c r="N27" s="28">
        <v>17038</v>
      </c>
      <c r="O27" s="29" t="s">
        <v>14</v>
      </c>
      <c r="AJ27" s="20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9" s="19" customFormat="1" ht="18" customHeight="1">
      <c r="A28" s="26" t="s">
        <v>83</v>
      </c>
      <c r="B28" s="27">
        <f t="shared" si="3"/>
        <v>60</v>
      </c>
      <c r="C28" s="28">
        <v>2</v>
      </c>
      <c r="D28" s="28">
        <v>4</v>
      </c>
      <c r="E28" s="28">
        <v>3</v>
      </c>
      <c r="F28" s="28">
        <v>1</v>
      </c>
      <c r="G28" s="28">
        <v>0</v>
      </c>
      <c r="H28" s="28">
        <v>3</v>
      </c>
      <c r="I28" s="28">
        <v>3</v>
      </c>
      <c r="J28" s="28">
        <v>7</v>
      </c>
      <c r="K28" s="28">
        <v>4</v>
      </c>
      <c r="L28" s="28">
        <v>14</v>
      </c>
      <c r="M28" s="28">
        <v>5</v>
      </c>
      <c r="N28" s="28">
        <v>14</v>
      </c>
      <c r="O28" s="29" t="s">
        <v>15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J28" s="23"/>
      <c r="AK28" s="4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</row>
    <row r="29" spans="1:49" s="19" customFormat="1" ht="18" customHeight="1">
      <c r="A29" s="24" t="s">
        <v>50</v>
      </c>
      <c r="B29" s="27">
        <f>SUM(C29:N29)</f>
        <v>96247</v>
      </c>
      <c r="C29" s="31">
        <f>SUM(C30:C37)</f>
        <v>2624</v>
      </c>
      <c r="D29" s="31">
        <f t="shared" ref="D29:N29" si="6">SUM(D30:D37)</f>
        <v>3094</v>
      </c>
      <c r="E29" s="31">
        <f t="shared" si="6"/>
        <v>4677</v>
      </c>
      <c r="F29" s="31">
        <f t="shared" si="6"/>
        <v>4647</v>
      </c>
      <c r="G29" s="31">
        <f t="shared" si="6"/>
        <v>4296</v>
      </c>
      <c r="H29" s="31">
        <f t="shared" si="6"/>
        <v>5187</v>
      </c>
      <c r="I29" s="31">
        <f t="shared" si="6"/>
        <v>9256</v>
      </c>
      <c r="J29" s="31">
        <f t="shared" si="6"/>
        <v>14432</v>
      </c>
      <c r="K29" s="31">
        <f t="shared" si="6"/>
        <v>7746</v>
      </c>
      <c r="L29" s="31">
        <f t="shared" si="6"/>
        <v>10437</v>
      </c>
      <c r="M29" s="31">
        <f t="shared" si="6"/>
        <v>11468</v>
      </c>
      <c r="N29" s="31">
        <f t="shared" si="6"/>
        <v>18383</v>
      </c>
      <c r="O29" s="32" t="s">
        <v>96</v>
      </c>
      <c r="AK29" s="4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</row>
    <row r="30" spans="1:49" s="19" customFormat="1" ht="18" customHeight="1">
      <c r="A30" s="26" t="s">
        <v>97</v>
      </c>
      <c r="B30" s="27">
        <f t="shared" si="3"/>
        <v>1599</v>
      </c>
      <c r="C30" s="31">
        <v>110</v>
      </c>
      <c r="D30" s="31">
        <v>136</v>
      </c>
      <c r="E30" s="31">
        <v>113</v>
      </c>
      <c r="F30" s="28">
        <v>154</v>
      </c>
      <c r="G30" s="28">
        <v>86</v>
      </c>
      <c r="H30" s="28">
        <v>57</v>
      </c>
      <c r="I30" s="31">
        <v>68</v>
      </c>
      <c r="J30" s="31">
        <v>94</v>
      </c>
      <c r="K30" s="31">
        <v>68</v>
      </c>
      <c r="L30" s="31">
        <v>193</v>
      </c>
      <c r="M30" s="31">
        <v>243</v>
      </c>
      <c r="N30" s="31">
        <v>277</v>
      </c>
      <c r="O30" s="40" t="s">
        <v>98</v>
      </c>
      <c r="AK30" s="4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</row>
    <row r="31" spans="1:49" s="19" customFormat="1" ht="18" customHeight="1">
      <c r="A31" s="26" t="s">
        <v>99</v>
      </c>
      <c r="B31" s="27">
        <f t="shared" si="3"/>
        <v>2454</v>
      </c>
      <c r="C31" s="28">
        <v>130</v>
      </c>
      <c r="D31" s="28">
        <v>147</v>
      </c>
      <c r="E31" s="28">
        <v>200</v>
      </c>
      <c r="F31" s="28">
        <v>318</v>
      </c>
      <c r="G31" s="28">
        <v>123</v>
      </c>
      <c r="H31" s="28">
        <v>54</v>
      </c>
      <c r="I31" s="28">
        <v>128</v>
      </c>
      <c r="J31" s="28">
        <v>317</v>
      </c>
      <c r="K31" s="28">
        <v>164</v>
      </c>
      <c r="L31" s="28">
        <v>204</v>
      </c>
      <c r="M31" s="28">
        <v>209</v>
      </c>
      <c r="N31" s="28">
        <v>460</v>
      </c>
      <c r="O31" s="29" t="s">
        <v>8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K31" s="4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</row>
    <row r="32" spans="1:49" s="19" customFormat="1" ht="18" customHeight="1">
      <c r="A32" s="26" t="s">
        <v>100</v>
      </c>
      <c r="B32" s="27">
        <f t="shared" si="3"/>
        <v>27309</v>
      </c>
      <c r="C32" s="28">
        <v>580</v>
      </c>
      <c r="D32" s="28">
        <v>849</v>
      </c>
      <c r="E32" s="28">
        <v>917</v>
      </c>
      <c r="F32" s="28">
        <v>935</v>
      </c>
      <c r="G32" s="28">
        <v>656</v>
      </c>
      <c r="H32" s="28">
        <v>428</v>
      </c>
      <c r="I32" s="28">
        <v>816</v>
      </c>
      <c r="J32" s="28">
        <v>2024</v>
      </c>
      <c r="K32" s="28">
        <v>896</v>
      </c>
      <c r="L32" s="28">
        <v>2488</v>
      </c>
      <c r="M32" s="28">
        <v>5535</v>
      </c>
      <c r="N32" s="28">
        <v>11185</v>
      </c>
      <c r="O32" s="29" t="s">
        <v>9</v>
      </c>
      <c r="AK32" s="4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</row>
    <row r="33" spans="1:37" s="19" customFormat="1" ht="18" customHeight="1">
      <c r="A33" s="26" t="s">
        <v>101</v>
      </c>
      <c r="B33" s="27">
        <f t="shared" si="3"/>
        <v>15743</v>
      </c>
      <c r="C33" s="28">
        <v>330</v>
      </c>
      <c r="D33" s="28">
        <v>143</v>
      </c>
      <c r="E33" s="28">
        <v>424</v>
      </c>
      <c r="F33" s="28">
        <v>677</v>
      </c>
      <c r="G33" s="28">
        <v>1039</v>
      </c>
      <c r="H33" s="28">
        <v>1745</v>
      </c>
      <c r="I33" s="28">
        <v>2194</v>
      </c>
      <c r="J33" s="28">
        <v>2481</v>
      </c>
      <c r="K33" s="28">
        <v>1952</v>
      </c>
      <c r="L33" s="28">
        <v>2359</v>
      </c>
      <c r="M33" s="28">
        <v>1349</v>
      </c>
      <c r="N33" s="28">
        <v>1050</v>
      </c>
      <c r="O33" s="29" t="s">
        <v>10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K33" s="4"/>
    </row>
    <row r="34" spans="1:37" s="19" customFormat="1" ht="18" customHeight="1">
      <c r="A34" s="26" t="s">
        <v>102</v>
      </c>
      <c r="B34" s="27">
        <f t="shared" si="3"/>
        <v>4712</v>
      </c>
      <c r="C34" s="28">
        <v>422</v>
      </c>
      <c r="D34" s="28">
        <v>531</v>
      </c>
      <c r="E34" s="28">
        <v>526</v>
      </c>
      <c r="F34" s="28">
        <v>602</v>
      </c>
      <c r="G34" s="28">
        <v>411</v>
      </c>
      <c r="H34" s="28">
        <v>240</v>
      </c>
      <c r="I34" s="28">
        <v>449</v>
      </c>
      <c r="J34" s="28">
        <v>459</v>
      </c>
      <c r="K34" s="28">
        <v>182</v>
      </c>
      <c r="L34" s="28">
        <v>197</v>
      </c>
      <c r="M34" s="28">
        <v>303</v>
      </c>
      <c r="N34" s="28">
        <v>390</v>
      </c>
      <c r="O34" s="29" t="s">
        <v>103</v>
      </c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K34" s="4"/>
    </row>
    <row r="35" spans="1:37" s="19" customFormat="1" ht="18" customHeight="1">
      <c r="A35" s="26" t="s">
        <v>104</v>
      </c>
      <c r="B35" s="27">
        <f t="shared" si="3"/>
        <v>2922</v>
      </c>
      <c r="C35" s="28">
        <v>97</v>
      </c>
      <c r="D35" s="28">
        <v>289</v>
      </c>
      <c r="E35" s="28">
        <v>238</v>
      </c>
      <c r="F35" s="28">
        <v>357</v>
      </c>
      <c r="G35" s="28">
        <v>150</v>
      </c>
      <c r="H35" s="28">
        <v>120</v>
      </c>
      <c r="I35" s="28">
        <v>263</v>
      </c>
      <c r="J35" s="28">
        <v>255</v>
      </c>
      <c r="K35" s="28">
        <v>98</v>
      </c>
      <c r="L35" s="28">
        <v>398</v>
      </c>
      <c r="M35" s="28">
        <v>234</v>
      </c>
      <c r="N35" s="28">
        <v>423</v>
      </c>
      <c r="O35" s="29" t="s">
        <v>105</v>
      </c>
      <c r="AJ35" s="20"/>
      <c r="AK35" s="4"/>
    </row>
    <row r="36" spans="1:37" s="19" customFormat="1" ht="18" customHeight="1">
      <c r="A36" s="26" t="s">
        <v>106</v>
      </c>
      <c r="B36" s="27">
        <f t="shared" si="3"/>
        <v>37354</v>
      </c>
      <c r="C36" s="28">
        <v>690</v>
      </c>
      <c r="D36" s="28">
        <v>742</v>
      </c>
      <c r="E36" s="28">
        <v>1980</v>
      </c>
      <c r="F36" s="28">
        <v>1272</v>
      </c>
      <c r="G36" s="28">
        <v>1565</v>
      </c>
      <c r="H36" s="28">
        <v>2308</v>
      </c>
      <c r="I36" s="28">
        <v>5046</v>
      </c>
      <c r="J36" s="28">
        <v>8338</v>
      </c>
      <c r="K36" s="28">
        <v>3969</v>
      </c>
      <c r="L36" s="28">
        <v>4140</v>
      </c>
      <c r="M36" s="28">
        <v>3156</v>
      </c>
      <c r="N36" s="28">
        <v>4148</v>
      </c>
      <c r="O36" s="29" t="s">
        <v>13</v>
      </c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J36" s="23"/>
      <c r="AK36" s="4"/>
    </row>
    <row r="37" spans="1:37" s="19" customFormat="1" ht="18" customHeight="1">
      <c r="A37" s="26" t="s">
        <v>83</v>
      </c>
      <c r="B37" s="27">
        <f t="shared" si="3"/>
        <v>4154</v>
      </c>
      <c r="C37" s="28">
        <v>265</v>
      </c>
      <c r="D37" s="28">
        <v>257</v>
      </c>
      <c r="E37" s="28">
        <v>279</v>
      </c>
      <c r="F37" s="28">
        <v>332</v>
      </c>
      <c r="G37" s="28">
        <v>266</v>
      </c>
      <c r="H37" s="28">
        <v>235</v>
      </c>
      <c r="I37" s="28">
        <v>292</v>
      </c>
      <c r="J37" s="28">
        <v>464</v>
      </c>
      <c r="K37" s="28">
        <v>417</v>
      </c>
      <c r="L37" s="28">
        <v>458</v>
      </c>
      <c r="M37" s="28">
        <v>439</v>
      </c>
      <c r="N37" s="28">
        <v>450</v>
      </c>
      <c r="O37" s="29" t="s">
        <v>15</v>
      </c>
      <c r="AK37" s="4"/>
    </row>
    <row r="38" spans="1:37" s="19" customFormat="1" ht="18" customHeight="1">
      <c r="A38" s="24" t="s">
        <v>51</v>
      </c>
      <c r="B38" s="27">
        <f t="shared" si="3"/>
        <v>178920</v>
      </c>
      <c r="C38" s="31">
        <f>SUM(C39:C45)</f>
        <v>10865</v>
      </c>
      <c r="D38" s="31">
        <f t="shared" ref="D38:N38" si="7">SUM(D39:D45)</f>
        <v>10506</v>
      </c>
      <c r="E38" s="31">
        <f t="shared" si="7"/>
        <v>12341</v>
      </c>
      <c r="F38" s="31">
        <f t="shared" si="7"/>
        <v>11028</v>
      </c>
      <c r="G38" s="31">
        <f t="shared" si="7"/>
        <v>8680</v>
      </c>
      <c r="H38" s="31">
        <f t="shared" si="7"/>
        <v>4558</v>
      </c>
      <c r="I38" s="31">
        <f t="shared" si="7"/>
        <v>11401</v>
      </c>
      <c r="J38" s="31">
        <f t="shared" si="7"/>
        <v>15792</v>
      </c>
      <c r="K38" s="31">
        <f t="shared" si="7"/>
        <v>14388</v>
      </c>
      <c r="L38" s="31">
        <f t="shared" si="7"/>
        <v>28526</v>
      </c>
      <c r="M38" s="31">
        <f t="shared" si="7"/>
        <v>24980</v>
      </c>
      <c r="N38" s="31">
        <f t="shared" si="7"/>
        <v>25855</v>
      </c>
      <c r="O38" s="32" t="s">
        <v>107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K38" s="4"/>
    </row>
    <row r="39" spans="1:37" s="19" customFormat="1" ht="18" customHeight="1">
      <c r="A39" s="26" t="s">
        <v>108</v>
      </c>
      <c r="B39" s="27">
        <f t="shared" si="3"/>
        <v>17128</v>
      </c>
      <c r="C39" s="28">
        <v>1177</v>
      </c>
      <c r="D39" s="28">
        <v>1058</v>
      </c>
      <c r="E39" s="28">
        <v>1458</v>
      </c>
      <c r="F39" s="28">
        <v>1166</v>
      </c>
      <c r="G39" s="28">
        <v>628</v>
      </c>
      <c r="H39" s="28">
        <v>314</v>
      </c>
      <c r="I39" s="28">
        <v>1202</v>
      </c>
      <c r="J39" s="28">
        <v>1330</v>
      </c>
      <c r="K39" s="28">
        <v>964</v>
      </c>
      <c r="L39" s="28">
        <v>2651</v>
      </c>
      <c r="M39" s="28">
        <v>2350</v>
      </c>
      <c r="N39" s="28">
        <v>2830</v>
      </c>
      <c r="O39" s="29" t="s">
        <v>4</v>
      </c>
    </row>
    <row r="40" spans="1:37" s="19" customFormat="1" ht="18" customHeight="1">
      <c r="A40" s="26" t="s">
        <v>109</v>
      </c>
      <c r="B40" s="27">
        <f t="shared" si="3"/>
        <v>4844</v>
      </c>
      <c r="C40" s="28">
        <v>337</v>
      </c>
      <c r="D40" s="28">
        <v>162</v>
      </c>
      <c r="E40" s="28">
        <v>158</v>
      </c>
      <c r="F40" s="28">
        <v>312</v>
      </c>
      <c r="G40" s="28">
        <v>253</v>
      </c>
      <c r="H40" s="28">
        <v>221</v>
      </c>
      <c r="I40" s="28">
        <v>604</v>
      </c>
      <c r="J40" s="28">
        <v>434</v>
      </c>
      <c r="K40" s="28">
        <v>336</v>
      </c>
      <c r="L40" s="28">
        <v>561</v>
      </c>
      <c r="M40" s="28">
        <v>672</v>
      </c>
      <c r="N40" s="28">
        <v>794</v>
      </c>
      <c r="O40" s="29" t="s">
        <v>5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 spans="1:37" s="19" customFormat="1" ht="18" customHeight="1">
      <c r="A41" s="26" t="s">
        <v>110</v>
      </c>
      <c r="B41" s="27">
        <f t="shared" si="3"/>
        <v>30068</v>
      </c>
      <c r="C41" s="28">
        <v>3728</v>
      </c>
      <c r="D41" s="28">
        <v>1652</v>
      </c>
      <c r="E41" s="28">
        <v>1801</v>
      </c>
      <c r="F41" s="28">
        <v>1679</v>
      </c>
      <c r="G41" s="28">
        <v>1292</v>
      </c>
      <c r="H41" s="28">
        <v>802</v>
      </c>
      <c r="I41" s="28">
        <v>1222</v>
      </c>
      <c r="J41" s="28">
        <v>2397</v>
      </c>
      <c r="K41" s="28">
        <v>1632</v>
      </c>
      <c r="L41" s="28">
        <v>3738</v>
      </c>
      <c r="M41" s="28">
        <v>3948</v>
      </c>
      <c r="N41" s="28">
        <v>6177</v>
      </c>
      <c r="O41" s="29" t="s">
        <v>7</v>
      </c>
    </row>
    <row r="42" spans="1:37" s="19" customFormat="1" ht="18" customHeight="1">
      <c r="A42" s="26" t="s">
        <v>111</v>
      </c>
      <c r="B42" s="27">
        <f t="shared" si="3"/>
        <v>95358</v>
      </c>
      <c r="C42" s="28">
        <v>3390</v>
      </c>
      <c r="D42" s="28">
        <v>3996</v>
      </c>
      <c r="E42" s="28">
        <v>7278</v>
      </c>
      <c r="F42" s="28">
        <v>5457</v>
      </c>
      <c r="G42" s="28">
        <v>5008</v>
      </c>
      <c r="H42" s="28">
        <v>2709</v>
      </c>
      <c r="I42" s="28">
        <v>6079</v>
      </c>
      <c r="J42" s="28">
        <v>9916</v>
      </c>
      <c r="K42" s="28">
        <v>9627</v>
      </c>
      <c r="L42" s="28">
        <v>16354</v>
      </c>
      <c r="M42" s="28">
        <v>13704</v>
      </c>
      <c r="N42" s="28">
        <v>11840</v>
      </c>
      <c r="O42" s="29" t="s">
        <v>112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spans="1:37" s="19" customFormat="1" ht="18" customHeight="1">
      <c r="A43" s="30" t="s">
        <v>113</v>
      </c>
      <c r="B43" s="27">
        <f t="shared" si="3"/>
        <v>5100</v>
      </c>
      <c r="C43" s="28">
        <v>193</v>
      </c>
      <c r="D43" s="28">
        <v>250</v>
      </c>
      <c r="E43" s="28">
        <v>243</v>
      </c>
      <c r="F43" s="28">
        <v>452</v>
      </c>
      <c r="G43" s="28">
        <v>303</v>
      </c>
      <c r="H43" s="28">
        <v>171</v>
      </c>
      <c r="I43" s="28">
        <v>465</v>
      </c>
      <c r="J43" s="28">
        <v>442</v>
      </c>
      <c r="K43" s="28">
        <v>355</v>
      </c>
      <c r="L43" s="28">
        <v>701</v>
      </c>
      <c r="M43" s="28">
        <v>660</v>
      </c>
      <c r="N43" s="28">
        <v>865</v>
      </c>
      <c r="O43" s="29" t="s">
        <v>114</v>
      </c>
    </row>
    <row r="44" spans="1:37" s="19" customFormat="1" ht="18" customHeight="1">
      <c r="A44" s="26" t="s">
        <v>115</v>
      </c>
      <c r="B44" s="27">
        <f t="shared" si="3"/>
        <v>24951</v>
      </c>
      <c r="C44" s="28">
        <v>1958</v>
      </c>
      <c r="D44" s="28">
        <v>3231</v>
      </c>
      <c r="E44" s="28">
        <v>1311</v>
      </c>
      <c r="F44" s="28">
        <v>1731</v>
      </c>
      <c r="G44" s="28">
        <v>1099</v>
      </c>
      <c r="H44" s="28">
        <v>323</v>
      </c>
      <c r="I44" s="28">
        <v>1722</v>
      </c>
      <c r="J44" s="28">
        <v>1079</v>
      </c>
      <c r="K44" s="28">
        <v>1400</v>
      </c>
      <c r="L44" s="28">
        <v>4400</v>
      </c>
      <c r="M44" s="28">
        <v>3532</v>
      </c>
      <c r="N44" s="28">
        <v>3165</v>
      </c>
      <c r="O44" s="29" t="s">
        <v>116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H44" s="19" t="s">
        <v>117</v>
      </c>
    </row>
    <row r="45" spans="1:37" s="19" customFormat="1" ht="18" customHeight="1">
      <c r="A45" s="26" t="s">
        <v>83</v>
      </c>
      <c r="B45" s="27">
        <f t="shared" si="3"/>
        <v>1471</v>
      </c>
      <c r="C45" s="28">
        <v>82</v>
      </c>
      <c r="D45" s="28">
        <v>157</v>
      </c>
      <c r="E45" s="28">
        <v>92</v>
      </c>
      <c r="F45" s="28">
        <v>231</v>
      </c>
      <c r="G45" s="28">
        <v>97</v>
      </c>
      <c r="H45" s="28">
        <v>18</v>
      </c>
      <c r="I45" s="28">
        <v>107</v>
      </c>
      <c r="J45" s="28">
        <v>194</v>
      </c>
      <c r="K45" s="28">
        <v>74</v>
      </c>
      <c r="L45" s="28">
        <v>121</v>
      </c>
      <c r="M45" s="28">
        <v>114</v>
      </c>
      <c r="N45" s="28">
        <v>184</v>
      </c>
      <c r="O45" s="29" t="s">
        <v>15</v>
      </c>
    </row>
    <row r="46" spans="1:37" s="19" customFormat="1" ht="23.25" customHeight="1">
      <c r="A46" s="33" t="s">
        <v>52</v>
      </c>
      <c r="B46" s="27">
        <f t="shared" si="3"/>
        <v>23662</v>
      </c>
      <c r="C46" s="31">
        <f>SUM(C47:C49)</f>
        <v>663</v>
      </c>
      <c r="D46" s="31">
        <f t="shared" ref="D46:N46" si="8">SUM(D47:D49)</f>
        <v>589</v>
      </c>
      <c r="E46" s="31">
        <f t="shared" si="8"/>
        <v>1141</v>
      </c>
      <c r="F46" s="31">
        <f t="shared" si="8"/>
        <v>1610</v>
      </c>
      <c r="G46" s="31">
        <f t="shared" si="8"/>
        <v>1619</v>
      </c>
      <c r="H46" s="31">
        <f t="shared" si="8"/>
        <v>1627</v>
      </c>
      <c r="I46" s="31">
        <f t="shared" si="8"/>
        <v>3032</v>
      </c>
      <c r="J46" s="31">
        <f t="shared" si="8"/>
        <v>2794</v>
      </c>
      <c r="K46" s="31">
        <f t="shared" si="8"/>
        <v>4104</v>
      </c>
      <c r="L46" s="31">
        <f t="shared" si="8"/>
        <v>1869</v>
      </c>
      <c r="M46" s="31">
        <f t="shared" si="8"/>
        <v>2276</v>
      </c>
      <c r="N46" s="31">
        <f t="shared" si="8"/>
        <v>2338</v>
      </c>
      <c r="O46" s="32" t="s">
        <v>118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 spans="1:37" s="19" customFormat="1" ht="18" customHeight="1">
      <c r="A47" s="30" t="s">
        <v>119</v>
      </c>
      <c r="B47" s="27">
        <f t="shared" si="3"/>
        <v>12175</v>
      </c>
      <c r="C47" s="28">
        <v>150</v>
      </c>
      <c r="D47" s="28">
        <v>67</v>
      </c>
      <c r="E47" s="28">
        <v>344</v>
      </c>
      <c r="F47" s="28">
        <v>853</v>
      </c>
      <c r="G47" s="28">
        <v>644</v>
      </c>
      <c r="H47" s="28">
        <v>888</v>
      </c>
      <c r="I47" s="28">
        <v>1389</v>
      </c>
      <c r="J47" s="28">
        <v>1373</v>
      </c>
      <c r="K47" s="28">
        <v>2787</v>
      </c>
      <c r="L47" s="28">
        <v>927</v>
      </c>
      <c r="M47" s="28">
        <v>1363</v>
      </c>
      <c r="N47" s="28">
        <v>1390</v>
      </c>
      <c r="O47" s="29" t="s">
        <v>120</v>
      </c>
    </row>
    <row r="48" spans="1:37" s="19" customFormat="1" ht="18" customHeight="1">
      <c r="A48" s="26" t="s">
        <v>121</v>
      </c>
      <c r="B48" s="27">
        <f t="shared" si="3"/>
        <v>10529</v>
      </c>
      <c r="C48" s="28">
        <v>417</v>
      </c>
      <c r="D48" s="28">
        <v>438</v>
      </c>
      <c r="E48" s="28">
        <v>706</v>
      </c>
      <c r="F48" s="28">
        <v>626</v>
      </c>
      <c r="G48" s="28">
        <v>923</v>
      </c>
      <c r="H48" s="28">
        <v>720</v>
      </c>
      <c r="I48" s="28">
        <v>1588</v>
      </c>
      <c r="J48" s="28">
        <v>1308</v>
      </c>
      <c r="K48" s="28">
        <v>1294</v>
      </c>
      <c r="L48" s="28">
        <v>848</v>
      </c>
      <c r="M48" s="28">
        <v>846</v>
      </c>
      <c r="N48" s="28">
        <v>815</v>
      </c>
      <c r="O48" s="29" t="s">
        <v>122</v>
      </c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 spans="1:31" s="19" customFormat="1" ht="18" customHeight="1">
      <c r="A49" s="34" t="s">
        <v>83</v>
      </c>
      <c r="B49" s="35">
        <f t="shared" si="3"/>
        <v>958</v>
      </c>
      <c r="C49" s="36">
        <v>96</v>
      </c>
      <c r="D49" s="36">
        <v>84</v>
      </c>
      <c r="E49" s="36">
        <v>91</v>
      </c>
      <c r="F49" s="36">
        <v>131</v>
      </c>
      <c r="G49" s="36">
        <v>52</v>
      </c>
      <c r="H49" s="36">
        <v>19</v>
      </c>
      <c r="I49" s="36">
        <v>55</v>
      </c>
      <c r="J49" s="36">
        <v>113</v>
      </c>
      <c r="K49" s="36">
        <v>23</v>
      </c>
      <c r="L49" s="36">
        <v>94</v>
      </c>
      <c r="M49" s="36">
        <v>67</v>
      </c>
      <c r="N49" s="36">
        <v>133</v>
      </c>
      <c r="O49" s="37" t="s">
        <v>15</v>
      </c>
    </row>
    <row r="50" spans="1:31" s="19" customFormat="1" ht="23.25" customHeight="1">
      <c r="A50" s="21" t="s">
        <v>16</v>
      </c>
      <c r="B50" s="4">
        <f t="shared" si="3"/>
        <v>336546</v>
      </c>
      <c r="C50" s="4">
        <f>C51+C57+C66</f>
        <v>20906</v>
      </c>
      <c r="D50" s="4">
        <f t="shared" ref="D50:N50" si="9">D51+D57+D66</f>
        <v>27191</v>
      </c>
      <c r="E50" s="4">
        <f t="shared" si="9"/>
        <v>29452</v>
      </c>
      <c r="F50" s="4">
        <f t="shared" si="9"/>
        <v>20069</v>
      </c>
      <c r="G50" s="4">
        <f t="shared" si="9"/>
        <v>5167</v>
      </c>
      <c r="H50" s="4">
        <f t="shared" si="9"/>
        <v>1208</v>
      </c>
      <c r="I50" s="4">
        <f t="shared" si="9"/>
        <v>15739</v>
      </c>
      <c r="J50" s="4">
        <f t="shared" si="9"/>
        <v>57792</v>
      </c>
      <c r="K50" s="4">
        <f t="shared" si="9"/>
        <v>47866</v>
      </c>
      <c r="L50" s="4">
        <f t="shared" si="9"/>
        <v>34933</v>
      </c>
      <c r="M50" s="4">
        <f t="shared" si="9"/>
        <v>36205</v>
      </c>
      <c r="N50" s="4">
        <f t="shared" si="9"/>
        <v>40018</v>
      </c>
      <c r="O50" s="22" t="s">
        <v>17</v>
      </c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 spans="1:31" s="19" customFormat="1" ht="18" customHeight="1">
      <c r="A51" s="24" t="s">
        <v>53</v>
      </c>
      <c r="B51" s="27">
        <f t="shared" si="3"/>
        <v>10519</v>
      </c>
      <c r="C51" s="31">
        <f>SUM(C52:C56)</f>
        <v>240</v>
      </c>
      <c r="D51" s="31">
        <f>SUM(D52:D56)</f>
        <v>257</v>
      </c>
      <c r="E51" s="31">
        <f>SUM(E52:E56)</f>
        <v>334</v>
      </c>
      <c r="F51" s="31">
        <f t="shared" ref="F51:N51" si="10">SUM(F52:F56)</f>
        <v>303</v>
      </c>
      <c r="G51" s="31">
        <f t="shared" si="10"/>
        <v>305</v>
      </c>
      <c r="H51" s="31">
        <f t="shared" si="10"/>
        <v>169</v>
      </c>
      <c r="I51" s="31">
        <f t="shared" si="10"/>
        <v>391</v>
      </c>
      <c r="J51" s="31">
        <f t="shared" si="10"/>
        <v>522</v>
      </c>
      <c r="K51" s="31">
        <f t="shared" si="10"/>
        <v>830</v>
      </c>
      <c r="L51" s="31">
        <f t="shared" si="10"/>
        <v>1664</v>
      </c>
      <c r="M51" s="31">
        <f t="shared" si="10"/>
        <v>3037</v>
      </c>
      <c r="N51" s="31">
        <f t="shared" si="10"/>
        <v>2467</v>
      </c>
      <c r="O51" s="38" t="s">
        <v>123</v>
      </c>
    </row>
    <row r="52" spans="1:31" s="19" customFormat="1" ht="18" customHeight="1">
      <c r="A52" s="26" t="s">
        <v>124</v>
      </c>
      <c r="B52" s="27">
        <f t="shared" si="3"/>
        <v>2238</v>
      </c>
      <c r="C52" s="28">
        <v>122</v>
      </c>
      <c r="D52" s="28">
        <v>108</v>
      </c>
      <c r="E52" s="28">
        <v>132</v>
      </c>
      <c r="F52" s="28">
        <v>142</v>
      </c>
      <c r="G52" s="28">
        <v>149</v>
      </c>
      <c r="H52" s="28">
        <v>85</v>
      </c>
      <c r="I52" s="28">
        <v>181</v>
      </c>
      <c r="J52" s="28">
        <v>273</v>
      </c>
      <c r="K52" s="28">
        <v>153</v>
      </c>
      <c r="L52" s="28">
        <v>247</v>
      </c>
      <c r="M52" s="28">
        <v>199</v>
      </c>
      <c r="N52" s="28">
        <v>447</v>
      </c>
      <c r="O52" s="29" t="s">
        <v>18</v>
      </c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 spans="1:31" s="19" customFormat="1" ht="18" customHeight="1">
      <c r="A53" s="26" t="s">
        <v>125</v>
      </c>
      <c r="B53" s="27">
        <f t="shared" si="3"/>
        <v>937</v>
      </c>
      <c r="C53" s="28">
        <v>45</v>
      </c>
      <c r="D53" s="28">
        <v>44</v>
      </c>
      <c r="E53" s="28">
        <v>71</v>
      </c>
      <c r="F53" s="28">
        <v>62</v>
      </c>
      <c r="G53" s="28">
        <v>65</v>
      </c>
      <c r="H53" s="28">
        <v>11</v>
      </c>
      <c r="I53" s="28">
        <v>46</v>
      </c>
      <c r="J53" s="28">
        <v>50</v>
      </c>
      <c r="K53" s="28">
        <v>68</v>
      </c>
      <c r="L53" s="28">
        <v>149</v>
      </c>
      <c r="M53" s="28">
        <v>111</v>
      </c>
      <c r="N53" s="28">
        <v>215</v>
      </c>
      <c r="O53" s="29" t="s">
        <v>21</v>
      </c>
    </row>
    <row r="54" spans="1:31" s="19" customFormat="1" ht="18" customHeight="1">
      <c r="A54" s="26" t="s">
        <v>126</v>
      </c>
      <c r="B54" s="27">
        <f t="shared" si="3"/>
        <v>6849</v>
      </c>
      <c r="C54" s="28">
        <v>68</v>
      </c>
      <c r="D54" s="28">
        <v>94</v>
      </c>
      <c r="E54" s="28">
        <v>122</v>
      </c>
      <c r="F54" s="28">
        <v>89</v>
      </c>
      <c r="G54" s="28">
        <v>75</v>
      </c>
      <c r="H54" s="28">
        <v>57</v>
      </c>
      <c r="I54" s="28">
        <v>141</v>
      </c>
      <c r="J54" s="28">
        <v>183</v>
      </c>
      <c r="K54" s="28">
        <v>597</v>
      </c>
      <c r="L54" s="28">
        <v>1241</v>
      </c>
      <c r="M54" s="28">
        <v>2582</v>
      </c>
      <c r="N54" s="28">
        <v>1600</v>
      </c>
      <c r="O54" s="29" t="s">
        <v>22</v>
      </c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 spans="1:31" s="19" customFormat="1" ht="18" customHeight="1">
      <c r="A55" s="26" t="s">
        <v>127</v>
      </c>
      <c r="B55" s="27">
        <f t="shared" si="3"/>
        <v>186</v>
      </c>
      <c r="C55" s="28">
        <v>4</v>
      </c>
      <c r="D55" s="28">
        <v>8</v>
      </c>
      <c r="E55" s="28">
        <v>8</v>
      </c>
      <c r="F55" s="28">
        <v>7</v>
      </c>
      <c r="G55" s="28">
        <v>9</v>
      </c>
      <c r="H55" s="28">
        <v>16</v>
      </c>
      <c r="I55" s="28">
        <v>22</v>
      </c>
      <c r="J55" s="28">
        <v>13</v>
      </c>
      <c r="K55" s="28">
        <v>7</v>
      </c>
      <c r="L55" s="28">
        <v>23</v>
      </c>
      <c r="M55" s="28">
        <v>32</v>
      </c>
      <c r="N55" s="28">
        <v>37</v>
      </c>
      <c r="O55" s="29" t="s">
        <v>25</v>
      </c>
    </row>
    <row r="56" spans="1:31" s="19" customFormat="1" ht="18" customHeight="1">
      <c r="A56" s="26" t="s">
        <v>83</v>
      </c>
      <c r="B56" s="27">
        <f t="shared" si="3"/>
        <v>309</v>
      </c>
      <c r="C56" s="28">
        <v>1</v>
      </c>
      <c r="D56" s="28">
        <v>3</v>
      </c>
      <c r="E56" s="28">
        <v>1</v>
      </c>
      <c r="F56" s="28">
        <v>3</v>
      </c>
      <c r="G56" s="28">
        <v>7</v>
      </c>
      <c r="H56" s="28">
        <v>0</v>
      </c>
      <c r="I56" s="28">
        <v>1</v>
      </c>
      <c r="J56" s="28">
        <v>3</v>
      </c>
      <c r="K56" s="28">
        <v>5</v>
      </c>
      <c r="L56" s="28">
        <v>4</v>
      </c>
      <c r="M56" s="28">
        <v>113</v>
      </c>
      <c r="N56" s="28">
        <v>168</v>
      </c>
      <c r="O56" s="29" t="s">
        <v>15</v>
      </c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 spans="1:31" s="19" customFormat="1" ht="18" customHeight="1">
      <c r="A57" s="24" t="s">
        <v>54</v>
      </c>
      <c r="B57" s="27">
        <f t="shared" si="3"/>
        <v>9539</v>
      </c>
      <c r="C57" s="31">
        <f>SUM(C58:C65)</f>
        <v>476</v>
      </c>
      <c r="D57" s="31">
        <f t="shared" ref="D57:N57" si="11">SUM(D58:D65)</f>
        <v>678</v>
      </c>
      <c r="E57" s="31">
        <f t="shared" si="11"/>
        <v>755</v>
      </c>
      <c r="F57" s="31">
        <f t="shared" si="11"/>
        <v>833</v>
      </c>
      <c r="G57" s="31">
        <f t="shared" si="11"/>
        <v>914</v>
      </c>
      <c r="H57" s="31">
        <f t="shared" si="11"/>
        <v>439</v>
      </c>
      <c r="I57" s="31">
        <f t="shared" si="11"/>
        <v>919</v>
      </c>
      <c r="J57" s="31">
        <f t="shared" si="11"/>
        <v>805</v>
      </c>
      <c r="K57" s="31">
        <f t="shared" si="11"/>
        <v>648</v>
      </c>
      <c r="L57" s="31">
        <f t="shared" si="11"/>
        <v>737</v>
      </c>
      <c r="M57" s="31">
        <f t="shared" si="11"/>
        <v>738</v>
      </c>
      <c r="N57" s="31">
        <f t="shared" si="11"/>
        <v>1597</v>
      </c>
      <c r="O57" s="38" t="s">
        <v>128</v>
      </c>
    </row>
    <row r="58" spans="1:31" s="19" customFormat="1" ht="18" customHeight="1">
      <c r="A58" s="26" t="s">
        <v>129</v>
      </c>
      <c r="B58" s="27">
        <f t="shared" si="3"/>
        <v>953</v>
      </c>
      <c r="C58" s="28">
        <v>38</v>
      </c>
      <c r="D58" s="28">
        <v>126</v>
      </c>
      <c r="E58" s="28">
        <v>58</v>
      </c>
      <c r="F58" s="28">
        <v>56</v>
      </c>
      <c r="G58" s="28">
        <v>84</v>
      </c>
      <c r="H58" s="28">
        <v>48</v>
      </c>
      <c r="I58" s="28">
        <v>86</v>
      </c>
      <c r="J58" s="28">
        <v>95</v>
      </c>
      <c r="K58" s="28">
        <v>84</v>
      </c>
      <c r="L58" s="28">
        <v>82</v>
      </c>
      <c r="M58" s="28">
        <v>76</v>
      </c>
      <c r="N58" s="28">
        <v>120</v>
      </c>
      <c r="O58" s="29" t="s">
        <v>20</v>
      </c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spans="1:31" s="19" customFormat="1" ht="18" customHeight="1">
      <c r="A59" s="26" t="s">
        <v>130</v>
      </c>
      <c r="B59" s="27">
        <f t="shared" si="3"/>
        <v>703</v>
      </c>
      <c r="C59" s="28">
        <v>11</v>
      </c>
      <c r="D59" s="28">
        <v>34</v>
      </c>
      <c r="E59" s="28">
        <v>24</v>
      </c>
      <c r="F59" s="28">
        <v>36</v>
      </c>
      <c r="G59" s="28">
        <v>31</v>
      </c>
      <c r="H59" s="28">
        <v>13</v>
      </c>
      <c r="I59" s="28">
        <v>58</v>
      </c>
      <c r="J59" s="28">
        <v>42</v>
      </c>
      <c r="K59" s="28">
        <v>55</v>
      </c>
      <c r="L59" s="28">
        <v>101</v>
      </c>
      <c r="M59" s="28">
        <v>87</v>
      </c>
      <c r="N59" s="28">
        <v>211</v>
      </c>
      <c r="O59" s="29" t="s">
        <v>23</v>
      </c>
    </row>
    <row r="60" spans="1:31" s="19" customFormat="1" ht="18" customHeight="1">
      <c r="A60" s="26" t="s">
        <v>131</v>
      </c>
      <c r="B60" s="27">
        <f t="shared" si="3"/>
        <v>153</v>
      </c>
      <c r="C60" s="28">
        <v>15</v>
      </c>
      <c r="D60" s="28">
        <v>6</v>
      </c>
      <c r="E60" s="28">
        <v>25</v>
      </c>
      <c r="F60" s="28">
        <v>15</v>
      </c>
      <c r="G60" s="28">
        <v>7</v>
      </c>
      <c r="H60" s="28">
        <v>5</v>
      </c>
      <c r="I60" s="28">
        <v>2</v>
      </c>
      <c r="J60" s="28">
        <v>10</v>
      </c>
      <c r="K60" s="28">
        <v>26</v>
      </c>
      <c r="L60" s="28">
        <v>12</v>
      </c>
      <c r="M60" s="28">
        <v>10</v>
      </c>
      <c r="N60" s="28">
        <v>20</v>
      </c>
      <c r="O60" s="29" t="s">
        <v>132</v>
      </c>
    </row>
    <row r="61" spans="1:31" s="19" customFormat="1" ht="18" customHeight="1">
      <c r="A61" s="26" t="s">
        <v>133</v>
      </c>
      <c r="B61" s="27">
        <f t="shared" si="3"/>
        <v>5474</v>
      </c>
      <c r="C61" s="28">
        <v>353</v>
      </c>
      <c r="D61" s="28">
        <v>425</v>
      </c>
      <c r="E61" s="28">
        <v>536</v>
      </c>
      <c r="F61" s="28">
        <v>603</v>
      </c>
      <c r="G61" s="28">
        <v>699</v>
      </c>
      <c r="H61" s="28">
        <v>297</v>
      </c>
      <c r="I61" s="28">
        <v>664</v>
      </c>
      <c r="J61" s="28">
        <v>502</v>
      </c>
      <c r="K61" s="28">
        <v>349</v>
      </c>
      <c r="L61" s="28">
        <v>381</v>
      </c>
      <c r="M61" s="28">
        <v>299</v>
      </c>
      <c r="N61" s="28">
        <v>366</v>
      </c>
      <c r="O61" s="29" t="s">
        <v>134</v>
      </c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 spans="1:31" s="19" customFormat="1" ht="18" customHeight="1">
      <c r="A62" s="26" t="s">
        <v>135</v>
      </c>
      <c r="B62" s="27">
        <f t="shared" si="3"/>
        <v>1117</v>
      </c>
      <c r="C62" s="28">
        <v>16</v>
      </c>
      <c r="D62" s="28">
        <v>31</v>
      </c>
      <c r="E62" s="28">
        <v>46</v>
      </c>
      <c r="F62" s="28">
        <v>36</v>
      </c>
      <c r="G62" s="28">
        <v>35</v>
      </c>
      <c r="H62" s="28">
        <v>24</v>
      </c>
      <c r="I62" s="28">
        <v>36</v>
      </c>
      <c r="J62" s="28">
        <v>62</v>
      </c>
      <c r="K62" s="28">
        <v>42</v>
      </c>
      <c r="L62" s="28">
        <v>53</v>
      </c>
      <c r="M62" s="28">
        <v>170</v>
      </c>
      <c r="N62" s="28">
        <v>566</v>
      </c>
      <c r="O62" s="29" t="s">
        <v>136</v>
      </c>
    </row>
    <row r="63" spans="1:31" s="19" customFormat="1" ht="18" customHeight="1">
      <c r="A63" s="26" t="s">
        <v>137</v>
      </c>
      <c r="B63" s="27">
        <f t="shared" si="3"/>
        <v>839</v>
      </c>
      <c r="C63" s="28">
        <v>34</v>
      </c>
      <c r="D63" s="28">
        <v>38</v>
      </c>
      <c r="E63" s="28">
        <v>50</v>
      </c>
      <c r="F63" s="28">
        <v>63</v>
      </c>
      <c r="G63" s="28">
        <v>50</v>
      </c>
      <c r="H63" s="28">
        <v>29</v>
      </c>
      <c r="I63" s="28">
        <v>54</v>
      </c>
      <c r="J63" s="28">
        <v>60</v>
      </c>
      <c r="K63" s="28">
        <v>73</v>
      </c>
      <c r="L63" s="28">
        <v>73</v>
      </c>
      <c r="M63" s="28">
        <v>70</v>
      </c>
      <c r="N63" s="28">
        <v>245</v>
      </c>
      <c r="O63" s="29" t="s">
        <v>138</v>
      </c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spans="1:31" s="19" customFormat="1" ht="18" customHeight="1">
      <c r="A64" s="26" t="s">
        <v>139</v>
      </c>
      <c r="B64" s="27">
        <f t="shared" si="3"/>
        <v>230</v>
      </c>
      <c r="C64" s="28">
        <v>7</v>
      </c>
      <c r="D64" s="28">
        <v>17</v>
      </c>
      <c r="E64" s="28">
        <v>16</v>
      </c>
      <c r="F64" s="28">
        <v>22</v>
      </c>
      <c r="G64" s="28">
        <v>8</v>
      </c>
      <c r="H64" s="28">
        <v>19</v>
      </c>
      <c r="I64" s="28">
        <v>14</v>
      </c>
      <c r="J64" s="28">
        <v>29</v>
      </c>
      <c r="K64" s="28">
        <v>13</v>
      </c>
      <c r="L64" s="28">
        <v>31</v>
      </c>
      <c r="M64" s="28">
        <v>22</v>
      </c>
      <c r="N64" s="28">
        <v>32</v>
      </c>
      <c r="O64" s="29" t="s">
        <v>140</v>
      </c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 spans="1:31" s="19" customFormat="1" ht="18" customHeight="1">
      <c r="A65" s="26" t="s">
        <v>83</v>
      </c>
      <c r="B65" s="27">
        <f t="shared" si="3"/>
        <v>70</v>
      </c>
      <c r="C65" s="28">
        <v>2</v>
      </c>
      <c r="D65" s="28">
        <v>1</v>
      </c>
      <c r="E65" s="28"/>
      <c r="F65" s="28">
        <v>2</v>
      </c>
      <c r="G65" s="28">
        <v>0</v>
      </c>
      <c r="H65" s="28">
        <v>4</v>
      </c>
      <c r="I65" s="28">
        <v>5</v>
      </c>
      <c r="J65" s="28">
        <v>5</v>
      </c>
      <c r="K65" s="28">
        <v>6</v>
      </c>
      <c r="L65" s="28">
        <v>4</v>
      </c>
      <c r="M65" s="28">
        <v>4</v>
      </c>
      <c r="N65" s="28">
        <v>37</v>
      </c>
      <c r="O65" s="29" t="s">
        <v>15</v>
      </c>
    </row>
    <row r="66" spans="1:31" s="19" customFormat="1" ht="18" customHeight="1">
      <c r="A66" s="24" t="s">
        <v>55</v>
      </c>
      <c r="B66" s="27">
        <f t="shared" si="3"/>
        <v>316488</v>
      </c>
      <c r="C66" s="31">
        <f t="shared" ref="C66:N66" si="12">SUM(C67:C72)</f>
        <v>20190</v>
      </c>
      <c r="D66" s="31">
        <f t="shared" si="12"/>
        <v>26256</v>
      </c>
      <c r="E66" s="31">
        <f t="shared" si="12"/>
        <v>28363</v>
      </c>
      <c r="F66" s="31">
        <f t="shared" si="12"/>
        <v>18933</v>
      </c>
      <c r="G66" s="31">
        <f t="shared" si="12"/>
        <v>3948</v>
      </c>
      <c r="H66" s="31">
        <f t="shared" si="12"/>
        <v>600</v>
      </c>
      <c r="I66" s="31">
        <f t="shared" si="12"/>
        <v>14429</v>
      </c>
      <c r="J66" s="31">
        <f t="shared" si="12"/>
        <v>56465</v>
      </c>
      <c r="K66" s="31">
        <f t="shared" si="12"/>
        <v>46388</v>
      </c>
      <c r="L66" s="31">
        <f t="shared" si="12"/>
        <v>32532</v>
      </c>
      <c r="M66" s="31">
        <f t="shared" si="12"/>
        <v>32430</v>
      </c>
      <c r="N66" s="31">
        <f t="shared" si="12"/>
        <v>35954</v>
      </c>
      <c r="O66" s="38" t="s">
        <v>141</v>
      </c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spans="1:31" s="19" customFormat="1" ht="18" customHeight="1">
      <c r="A67" s="26" t="s">
        <v>142</v>
      </c>
      <c r="B67" s="27">
        <f t="shared" si="3"/>
        <v>3923</v>
      </c>
      <c r="C67" s="28">
        <v>162</v>
      </c>
      <c r="D67" s="28">
        <v>149</v>
      </c>
      <c r="E67" s="28">
        <v>237</v>
      </c>
      <c r="F67" s="28">
        <v>85</v>
      </c>
      <c r="G67" s="28">
        <v>63</v>
      </c>
      <c r="H67" s="28">
        <v>15</v>
      </c>
      <c r="I67" s="28">
        <v>32</v>
      </c>
      <c r="J67" s="28">
        <v>309</v>
      </c>
      <c r="K67" s="28">
        <v>456</v>
      </c>
      <c r="L67" s="28">
        <v>513</v>
      </c>
      <c r="M67" s="28">
        <v>527</v>
      </c>
      <c r="N67" s="28">
        <v>1375</v>
      </c>
      <c r="O67" s="29" t="s">
        <v>143</v>
      </c>
    </row>
    <row r="68" spans="1:31" s="19" customFormat="1" ht="18" customHeight="1">
      <c r="A68" s="26" t="s">
        <v>144</v>
      </c>
      <c r="B68" s="27">
        <f t="shared" si="3"/>
        <v>291787</v>
      </c>
      <c r="C68" s="28">
        <v>19135</v>
      </c>
      <c r="D68" s="28">
        <v>24905</v>
      </c>
      <c r="E68" s="28">
        <v>25690</v>
      </c>
      <c r="F68" s="28">
        <v>16918</v>
      </c>
      <c r="G68" s="28">
        <v>2776</v>
      </c>
      <c r="H68" s="28">
        <v>251</v>
      </c>
      <c r="I68" s="28">
        <v>13520</v>
      </c>
      <c r="J68" s="28">
        <v>54094</v>
      </c>
      <c r="K68" s="28">
        <v>43160</v>
      </c>
      <c r="L68" s="28">
        <v>29603</v>
      </c>
      <c r="M68" s="28">
        <v>29708</v>
      </c>
      <c r="N68" s="28">
        <v>32027</v>
      </c>
      <c r="O68" s="29" t="s">
        <v>19</v>
      </c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 spans="1:31" s="19" customFormat="1" ht="18" customHeight="1">
      <c r="A69" s="26" t="s">
        <v>145</v>
      </c>
      <c r="B69" s="27">
        <f t="shared" si="3"/>
        <v>2797</v>
      </c>
      <c r="C69" s="28">
        <v>109</v>
      </c>
      <c r="D69" s="28">
        <v>127</v>
      </c>
      <c r="E69" s="28">
        <v>785</v>
      </c>
      <c r="F69" s="28">
        <v>137</v>
      </c>
      <c r="G69" s="28">
        <v>177</v>
      </c>
      <c r="H69" s="28">
        <v>220</v>
      </c>
      <c r="I69" s="28">
        <v>268</v>
      </c>
      <c r="J69" s="28">
        <v>224</v>
      </c>
      <c r="K69" s="28">
        <v>187</v>
      </c>
      <c r="L69" s="28">
        <v>225</v>
      </c>
      <c r="M69" s="28">
        <v>126</v>
      </c>
      <c r="N69" s="28">
        <v>212</v>
      </c>
      <c r="O69" s="29" t="s">
        <v>146</v>
      </c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 spans="1:31" s="19" customFormat="1" ht="18" customHeight="1">
      <c r="A70" s="26" t="s">
        <v>147</v>
      </c>
      <c r="B70" s="27">
        <f t="shared" si="3"/>
        <v>13764</v>
      </c>
      <c r="C70" s="28">
        <v>651</v>
      </c>
      <c r="D70" s="28">
        <v>886</v>
      </c>
      <c r="E70" s="28">
        <v>1389</v>
      </c>
      <c r="F70" s="28">
        <v>1579</v>
      </c>
      <c r="G70" s="28">
        <v>862</v>
      </c>
      <c r="H70" s="28">
        <v>76</v>
      </c>
      <c r="I70" s="28">
        <v>447</v>
      </c>
      <c r="J70" s="28">
        <v>1466</v>
      </c>
      <c r="K70" s="28">
        <v>2151</v>
      </c>
      <c r="L70" s="28">
        <v>1368</v>
      </c>
      <c r="M70" s="28">
        <v>1461</v>
      </c>
      <c r="N70" s="28">
        <v>1428</v>
      </c>
      <c r="O70" s="29" t="s">
        <v>24</v>
      </c>
    </row>
    <row r="71" spans="1:31" s="19" customFormat="1" ht="18" customHeight="1">
      <c r="A71" s="26" t="s">
        <v>148</v>
      </c>
      <c r="B71" s="27">
        <f t="shared" si="3"/>
        <v>2448</v>
      </c>
      <c r="C71" s="28">
        <v>60</v>
      </c>
      <c r="D71" s="28">
        <v>56</v>
      </c>
      <c r="E71" s="28">
        <v>84</v>
      </c>
      <c r="F71" s="28">
        <v>89</v>
      </c>
      <c r="G71" s="28">
        <v>49</v>
      </c>
      <c r="H71" s="28">
        <v>24</v>
      </c>
      <c r="I71" s="28">
        <v>98</v>
      </c>
      <c r="J71" s="28">
        <v>245</v>
      </c>
      <c r="K71" s="28">
        <v>246</v>
      </c>
      <c r="L71" s="28">
        <v>410</v>
      </c>
      <c r="M71" s="28">
        <v>419</v>
      </c>
      <c r="N71" s="28">
        <v>668</v>
      </c>
      <c r="O71" s="29" t="s">
        <v>149</v>
      </c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 spans="1:31" s="19" customFormat="1" ht="18" customHeight="1">
      <c r="A72" s="34" t="s">
        <v>83</v>
      </c>
      <c r="B72" s="35">
        <f t="shared" si="3"/>
        <v>1769</v>
      </c>
      <c r="C72" s="36">
        <v>73</v>
      </c>
      <c r="D72" s="36">
        <v>133</v>
      </c>
      <c r="E72" s="36">
        <v>178</v>
      </c>
      <c r="F72" s="36">
        <v>125</v>
      </c>
      <c r="G72" s="36">
        <v>21</v>
      </c>
      <c r="H72" s="36">
        <v>14</v>
      </c>
      <c r="I72" s="36">
        <v>64</v>
      </c>
      <c r="J72" s="36">
        <v>127</v>
      </c>
      <c r="K72" s="36">
        <v>188</v>
      </c>
      <c r="L72" s="36">
        <v>413</v>
      </c>
      <c r="M72" s="36">
        <v>189</v>
      </c>
      <c r="N72" s="36">
        <v>244</v>
      </c>
      <c r="O72" s="37" t="s">
        <v>15</v>
      </c>
    </row>
    <row r="73" spans="1:31" s="19" customFormat="1" ht="20.25" customHeight="1">
      <c r="A73" s="21" t="s">
        <v>26</v>
      </c>
      <c r="B73" s="4">
        <f t="shared" si="3"/>
        <v>27442</v>
      </c>
      <c r="C73" s="4">
        <f>SUM(C74:C77)</f>
        <v>890</v>
      </c>
      <c r="D73" s="4">
        <f t="shared" ref="D73:N73" si="13">SUM(D74:D77)</f>
        <v>822</v>
      </c>
      <c r="E73" s="4">
        <f t="shared" si="13"/>
        <v>1486</v>
      </c>
      <c r="F73" s="4">
        <f t="shared" si="13"/>
        <v>1957</v>
      </c>
      <c r="G73" s="4">
        <f t="shared" si="13"/>
        <v>1729</v>
      </c>
      <c r="H73" s="4">
        <f t="shared" si="13"/>
        <v>2190</v>
      </c>
      <c r="I73" s="4">
        <f t="shared" si="13"/>
        <v>4160</v>
      </c>
      <c r="J73" s="4">
        <f t="shared" si="13"/>
        <v>3469</v>
      </c>
      <c r="K73" s="4">
        <f t="shared" si="13"/>
        <v>3657</v>
      </c>
      <c r="L73" s="4">
        <f t="shared" si="13"/>
        <v>3659</v>
      </c>
      <c r="M73" s="4">
        <f t="shared" si="13"/>
        <v>2044</v>
      </c>
      <c r="N73" s="4">
        <f t="shared" si="13"/>
        <v>1379</v>
      </c>
      <c r="O73" s="22" t="s">
        <v>27</v>
      </c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spans="1:31" s="19" customFormat="1" ht="20.25" customHeight="1">
      <c r="A74" s="39" t="s">
        <v>150</v>
      </c>
      <c r="B74" s="4">
        <f>SUM(C74:N74)</f>
        <v>789</v>
      </c>
      <c r="C74" s="5">
        <v>49</v>
      </c>
      <c r="D74" s="5">
        <v>21</v>
      </c>
      <c r="E74" s="5">
        <v>36</v>
      </c>
      <c r="F74" s="28">
        <v>25</v>
      </c>
      <c r="G74" s="28">
        <v>48</v>
      </c>
      <c r="H74" s="28">
        <v>50</v>
      </c>
      <c r="I74" s="5">
        <v>141</v>
      </c>
      <c r="J74" s="5">
        <v>108</v>
      </c>
      <c r="K74" s="5">
        <v>46</v>
      </c>
      <c r="L74" s="5">
        <v>67</v>
      </c>
      <c r="M74" s="5">
        <v>68</v>
      </c>
      <c r="N74" s="5">
        <v>130</v>
      </c>
      <c r="O74" s="40" t="s">
        <v>151</v>
      </c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 spans="1:31" s="19" customFormat="1" ht="20.25" customHeight="1">
      <c r="A75" s="39" t="s">
        <v>152</v>
      </c>
      <c r="B75" s="4">
        <f t="shared" si="3"/>
        <v>1406</v>
      </c>
      <c r="C75" s="5">
        <v>70</v>
      </c>
      <c r="D75" s="5">
        <v>84</v>
      </c>
      <c r="E75" s="5">
        <v>144</v>
      </c>
      <c r="F75" s="28">
        <v>73</v>
      </c>
      <c r="G75" s="28">
        <v>110</v>
      </c>
      <c r="H75" s="28">
        <v>97</v>
      </c>
      <c r="I75" s="5">
        <v>178</v>
      </c>
      <c r="J75" s="5">
        <v>149</v>
      </c>
      <c r="K75" s="5">
        <v>126</v>
      </c>
      <c r="L75" s="5">
        <v>99</v>
      </c>
      <c r="M75" s="5">
        <v>117</v>
      </c>
      <c r="N75" s="5">
        <v>159</v>
      </c>
      <c r="O75" s="40" t="s">
        <v>153</v>
      </c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 spans="1:31" s="19" customFormat="1" ht="18" customHeight="1">
      <c r="A76" s="39" t="s">
        <v>154</v>
      </c>
      <c r="B76" s="27">
        <f t="shared" si="3"/>
        <v>16347</v>
      </c>
      <c r="C76" s="28">
        <v>303</v>
      </c>
      <c r="D76" s="28">
        <v>287</v>
      </c>
      <c r="E76" s="28">
        <v>671</v>
      </c>
      <c r="F76" s="28">
        <v>1322</v>
      </c>
      <c r="G76" s="28">
        <v>960</v>
      </c>
      <c r="H76" s="28">
        <v>1425</v>
      </c>
      <c r="I76" s="28">
        <v>2635</v>
      </c>
      <c r="J76" s="28">
        <v>2033</v>
      </c>
      <c r="K76" s="28">
        <v>2569</v>
      </c>
      <c r="L76" s="28">
        <v>2771</v>
      </c>
      <c r="M76" s="28">
        <v>1213</v>
      </c>
      <c r="N76" s="28">
        <v>158</v>
      </c>
      <c r="O76" s="40" t="s">
        <v>155</v>
      </c>
    </row>
    <row r="77" spans="1:31" s="19" customFormat="1" ht="18" customHeight="1">
      <c r="A77" s="41" t="s">
        <v>83</v>
      </c>
      <c r="B77" s="35">
        <f t="shared" si="3"/>
        <v>8900</v>
      </c>
      <c r="C77" s="36">
        <v>468</v>
      </c>
      <c r="D77" s="36">
        <v>430</v>
      </c>
      <c r="E77" s="36">
        <v>635</v>
      </c>
      <c r="F77" s="36">
        <v>537</v>
      </c>
      <c r="G77" s="36">
        <v>611</v>
      </c>
      <c r="H77" s="36">
        <v>618</v>
      </c>
      <c r="I77" s="36">
        <v>1206</v>
      </c>
      <c r="J77" s="36">
        <v>1179</v>
      </c>
      <c r="K77" s="36">
        <v>916</v>
      </c>
      <c r="L77" s="36">
        <v>722</v>
      </c>
      <c r="M77" s="36">
        <v>646</v>
      </c>
      <c r="N77" s="36">
        <v>932</v>
      </c>
      <c r="O77" s="42" t="s">
        <v>15</v>
      </c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 spans="1:31" s="19" customFormat="1" ht="24.75" customHeight="1">
      <c r="A78" s="21" t="s">
        <v>57</v>
      </c>
      <c r="B78" s="4">
        <f t="shared" si="3"/>
        <v>88910</v>
      </c>
      <c r="C78" s="4">
        <f>SUM(C79:C84)</f>
        <v>3840</v>
      </c>
      <c r="D78" s="4">
        <f t="shared" ref="D78:N78" si="14">SUM(D79:D84)</f>
        <v>3846</v>
      </c>
      <c r="E78" s="4">
        <f t="shared" si="14"/>
        <v>5686</v>
      </c>
      <c r="F78" s="4">
        <f t="shared" si="14"/>
        <v>5457</v>
      </c>
      <c r="G78" s="4">
        <f t="shared" si="14"/>
        <v>5918</v>
      </c>
      <c r="H78" s="4">
        <f t="shared" si="14"/>
        <v>5552</v>
      </c>
      <c r="I78" s="4">
        <f t="shared" si="14"/>
        <v>8681</v>
      </c>
      <c r="J78" s="4">
        <f t="shared" si="14"/>
        <v>7997</v>
      </c>
      <c r="K78" s="4">
        <f t="shared" si="14"/>
        <v>8753</v>
      </c>
      <c r="L78" s="4">
        <f t="shared" si="14"/>
        <v>9953</v>
      </c>
      <c r="M78" s="4">
        <f t="shared" si="14"/>
        <v>12573</v>
      </c>
      <c r="N78" s="4">
        <f t="shared" si="14"/>
        <v>10654</v>
      </c>
      <c r="O78" s="22" t="s">
        <v>56</v>
      </c>
    </row>
    <row r="79" spans="1:31" s="19" customFormat="1" ht="24.75" customHeight="1">
      <c r="A79" s="39" t="s">
        <v>156</v>
      </c>
      <c r="B79" s="27">
        <f t="shared" si="3"/>
        <v>814</v>
      </c>
      <c r="C79" s="5">
        <v>63</v>
      </c>
      <c r="D79" s="5">
        <v>38</v>
      </c>
      <c r="E79" s="5">
        <v>76</v>
      </c>
      <c r="F79" s="28">
        <v>58</v>
      </c>
      <c r="G79" s="28">
        <v>69</v>
      </c>
      <c r="H79" s="28">
        <v>48</v>
      </c>
      <c r="I79" s="28">
        <v>40</v>
      </c>
      <c r="J79" s="5">
        <v>60</v>
      </c>
      <c r="K79" s="5">
        <v>58</v>
      </c>
      <c r="L79" s="5">
        <v>87</v>
      </c>
      <c r="M79" s="5">
        <v>127</v>
      </c>
      <c r="N79" s="5">
        <v>90</v>
      </c>
      <c r="O79" s="40" t="s">
        <v>157</v>
      </c>
    </row>
    <row r="80" spans="1:31" s="19" customFormat="1" ht="18" customHeight="1">
      <c r="A80" s="39" t="s">
        <v>158</v>
      </c>
      <c r="B80" s="27">
        <f t="shared" si="3"/>
        <v>20512</v>
      </c>
      <c r="C80" s="28">
        <v>1348</v>
      </c>
      <c r="D80" s="28">
        <v>1097</v>
      </c>
      <c r="E80" s="28">
        <v>994</v>
      </c>
      <c r="F80" s="28">
        <v>1027</v>
      </c>
      <c r="G80" s="28">
        <v>1092</v>
      </c>
      <c r="H80" s="28">
        <v>1153</v>
      </c>
      <c r="I80" s="28">
        <v>1749</v>
      </c>
      <c r="J80" s="28">
        <v>1490</v>
      </c>
      <c r="K80" s="28">
        <v>2634</v>
      </c>
      <c r="L80" s="28">
        <v>2795</v>
      </c>
      <c r="M80" s="28">
        <v>3289</v>
      </c>
      <c r="N80" s="28">
        <v>1844</v>
      </c>
      <c r="O80" s="40" t="s">
        <v>159</v>
      </c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 spans="1:31" s="19" customFormat="1" ht="18" customHeight="1">
      <c r="A81" s="39" t="s">
        <v>160</v>
      </c>
      <c r="B81" s="27">
        <f t="shared" si="3"/>
        <v>6943</v>
      </c>
      <c r="C81" s="28">
        <v>299</v>
      </c>
      <c r="D81" s="28">
        <v>274</v>
      </c>
      <c r="E81" s="28">
        <v>479</v>
      </c>
      <c r="F81" s="28">
        <v>318</v>
      </c>
      <c r="G81" s="28">
        <v>515</v>
      </c>
      <c r="H81" s="28">
        <v>203</v>
      </c>
      <c r="I81" s="28">
        <v>596</v>
      </c>
      <c r="J81" s="28">
        <v>913</v>
      </c>
      <c r="K81" s="28">
        <v>723</v>
      </c>
      <c r="L81" s="28">
        <v>761</v>
      </c>
      <c r="M81" s="28">
        <v>873</v>
      </c>
      <c r="N81" s="28">
        <v>989</v>
      </c>
      <c r="O81" s="40" t="s">
        <v>28</v>
      </c>
    </row>
    <row r="82" spans="1:31" s="19" customFormat="1" ht="18" customHeight="1">
      <c r="A82" s="39" t="s">
        <v>161</v>
      </c>
      <c r="B82" s="27">
        <f t="shared" si="3"/>
        <v>1477</v>
      </c>
      <c r="C82" s="28">
        <v>33</v>
      </c>
      <c r="D82" s="28">
        <v>50</v>
      </c>
      <c r="E82" s="28">
        <v>52</v>
      </c>
      <c r="F82" s="28">
        <v>83</v>
      </c>
      <c r="G82" s="28">
        <v>112</v>
      </c>
      <c r="H82" s="28">
        <v>85</v>
      </c>
      <c r="I82" s="28">
        <v>120</v>
      </c>
      <c r="J82" s="28">
        <v>131</v>
      </c>
      <c r="K82" s="28">
        <v>153</v>
      </c>
      <c r="L82" s="28">
        <v>221</v>
      </c>
      <c r="M82" s="28">
        <v>265</v>
      </c>
      <c r="N82" s="28">
        <v>172</v>
      </c>
      <c r="O82" s="40" t="s">
        <v>162</v>
      </c>
    </row>
    <row r="83" spans="1:31" s="19" customFormat="1" ht="18" customHeight="1">
      <c r="A83" s="39" t="s">
        <v>163</v>
      </c>
      <c r="B83" s="27">
        <f t="shared" si="3"/>
        <v>55760</v>
      </c>
      <c r="C83" s="28">
        <v>1960</v>
      </c>
      <c r="D83" s="28">
        <v>2237</v>
      </c>
      <c r="E83" s="28">
        <v>3841</v>
      </c>
      <c r="F83" s="28">
        <v>3765</v>
      </c>
      <c r="G83" s="28">
        <v>3894</v>
      </c>
      <c r="H83" s="28">
        <v>3843</v>
      </c>
      <c r="I83" s="28">
        <v>5837</v>
      </c>
      <c r="J83" s="28">
        <v>5064</v>
      </c>
      <c r="K83" s="28">
        <v>4883</v>
      </c>
      <c r="L83" s="28">
        <v>5729</v>
      </c>
      <c r="M83" s="28">
        <v>7592</v>
      </c>
      <c r="N83" s="28">
        <v>7115</v>
      </c>
      <c r="O83" s="40" t="s">
        <v>164</v>
      </c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</row>
    <row r="84" spans="1:31" s="19" customFormat="1" ht="18" customHeight="1">
      <c r="A84" s="41" t="s">
        <v>83</v>
      </c>
      <c r="B84" s="35">
        <f t="shared" si="3"/>
        <v>3404</v>
      </c>
      <c r="C84" s="36">
        <v>137</v>
      </c>
      <c r="D84" s="36">
        <v>150</v>
      </c>
      <c r="E84" s="36">
        <v>244</v>
      </c>
      <c r="F84" s="36">
        <v>206</v>
      </c>
      <c r="G84" s="36">
        <v>236</v>
      </c>
      <c r="H84" s="36">
        <v>220</v>
      </c>
      <c r="I84" s="36">
        <v>339</v>
      </c>
      <c r="J84" s="36">
        <v>339</v>
      </c>
      <c r="K84" s="36">
        <v>302</v>
      </c>
      <c r="L84" s="36">
        <v>360</v>
      </c>
      <c r="M84" s="36">
        <v>427</v>
      </c>
      <c r="N84" s="36">
        <v>444</v>
      </c>
      <c r="O84" s="42" t="s">
        <v>15</v>
      </c>
    </row>
    <row r="85" spans="1:31" s="19" customFormat="1" ht="22.5" customHeight="1">
      <c r="A85" s="21" t="s">
        <v>29</v>
      </c>
      <c r="B85" s="4">
        <f t="shared" ref="B85:B98" si="15">SUM(C85:N85)</f>
        <v>4849</v>
      </c>
      <c r="C85" s="4">
        <f>SUM(C86:C88)</f>
        <v>327</v>
      </c>
      <c r="D85" s="4">
        <f t="shared" ref="D85:N85" si="16">SUM(D86:D88)</f>
        <v>326</v>
      </c>
      <c r="E85" s="4">
        <f t="shared" si="16"/>
        <v>481</v>
      </c>
      <c r="F85" s="4">
        <f t="shared" si="16"/>
        <v>467</v>
      </c>
      <c r="G85" s="4">
        <f t="shared" si="16"/>
        <v>436</v>
      </c>
      <c r="H85" s="4">
        <f t="shared" si="16"/>
        <v>158</v>
      </c>
      <c r="I85" s="4">
        <f t="shared" si="16"/>
        <v>528</v>
      </c>
      <c r="J85" s="4">
        <f t="shared" si="16"/>
        <v>306</v>
      </c>
      <c r="K85" s="4">
        <f t="shared" si="16"/>
        <v>239</v>
      </c>
      <c r="L85" s="4">
        <f t="shared" si="16"/>
        <v>376</v>
      </c>
      <c r="M85" s="4">
        <f t="shared" si="16"/>
        <v>452</v>
      </c>
      <c r="N85" s="4">
        <f t="shared" si="16"/>
        <v>753</v>
      </c>
      <c r="O85" s="22" t="s">
        <v>165</v>
      </c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 spans="1:31" s="19" customFormat="1" ht="18" customHeight="1">
      <c r="A86" s="39" t="s">
        <v>166</v>
      </c>
      <c r="B86" s="4">
        <f t="shared" si="15"/>
        <v>4077</v>
      </c>
      <c r="C86" s="28">
        <v>283</v>
      </c>
      <c r="D86" s="28">
        <v>276</v>
      </c>
      <c r="E86" s="28">
        <v>410</v>
      </c>
      <c r="F86" s="28">
        <v>386</v>
      </c>
      <c r="G86" s="28">
        <v>365</v>
      </c>
      <c r="H86" s="28">
        <v>130</v>
      </c>
      <c r="I86" s="28">
        <v>445</v>
      </c>
      <c r="J86" s="28">
        <v>246</v>
      </c>
      <c r="K86" s="28">
        <v>204</v>
      </c>
      <c r="L86" s="28">
        <v>311</v>
      </c>
      <c r="M86" s="28">
        <v>384</v>
      </c>
      <c r="N86" s="28">
        <v>637</v>
      </c>
      <c r="O86" s="40" t="s">
        <v>30</v>
      </c>
    </row>
    <row r="87" spans="1:31" s="19" customFormat="1" ht="18" customHeight="1">
      <c r="A87" s="39" t="s">
        <v>167</v>
      </c>
      <c r="B87" s="4">
        <f t="shared" si="15"/>
        <v>685</v>
      </c>
      <c r="C87" s="28">
        <v>40</v>
      </c>
      <c r="D87" s="28">
        <v>41</v>
      </c>
      <c r="E87" s="28">
        <v>64</v>
      </c>
      <c r="F87" s="28">
        <v>75</v>
      </c>
      <c r="G87" s="28">
        <v>66</v>
      </c>
      <c r="H87" s="28">
        <v>21</v>
      </c>
      <c r="I87" s="28">
        <v>81</v>
      </c>
      <c r="J87" s="28">
        <v>50</v>
      </c>
      <c r="K87" s="28">
        <v>25</v>
      </c>
      <c r="L87" s="28">
        <v>56</v>
      </c>
      <c r="M87" s="28">
        <v>61</v>
      </c>
      <c r="N87" s="28">
        <v>105</v>
      </c>
      <c r="O87" s="40" t="s">
        <v>168</v>
      </c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 spans="1:31" s="19" customFormat="1" ht="18" customHeight="1">
      <c r="A88" s="41" t="s">
        <v>83</v>
      </c>
      <c r="B88" s="6">
        <f t="shared" si="15"/>
        <v>87</v>
      </c>
      <c r="C88" s="36">
        <v>4</v>
      </c>
      <c r="D88" s="36">
        <v>9</v>
      </c>
      <c r="E88" s="36">
        <v>7</v>
      </c>
      <c r="F88" s="36">
        <v>6</v>
      </c>
      <c r="G88" s="36">
        <v>5</v>
      </c>
      <c r="H88" s="36">
        <v>7</v>
      </c>
      <c r="I88" s="36">
        <v>2</v>
      </c>
      <c r="J88" s="36">
        <v>10</v>
      </c>
      <c r="K88" s="36">
        <v>10</v>
      </c>
      <c r="L88" s="36">
        <v>9</v>
      </c>
      <c r="M88" s="36">
        <v>7</v>
      </c>
      <c r="N88" s="36">
        <v>11</v>
      </c>
      <c r="O88" s="42" t="s">
        <v>15</v>
      </c>
    </row>
    <row r="89" spans="1:31" s="19" customFormat="1" ht="18.75" customHeight="1">
      <c r="A89" s="21" t="s">
        <v>31</v>
      </c>
      <c r="B89" s="4">
        <f t="shared" si="15"/>
        <v>91413</v>
      </c>
      <c r="C89" s="4">
        <f>SUM(C90:C99)</f>
        <v>2367</v>
      </c>
      <c r="D89" s="4">
        <f t="shared" ref="D89:N89" si="17">SUM(D90:D99)</f>
        <v>1992</v>
      </c>
      <c r="E89" s="4">
        <f t="shared" si="17"/>
        <v>3370</v>
      </c>
      <c r="F89" s="4">
        <f t="shared" si="17"/>
        <v>2298</v>
      </c>
      <c r="G89" s="4">
        <f t="shared" si="17"/>
        <v>7059</v>
      </c>
      <c r="H89" s="4">
        <f t="shared" si="17"/>
        <v>11046</v>
      </c>
      <c r="I89" s="4">
        <f t="shared" si="17"/>
        <v>19397</v>
      </c>
      <c r="J89" s="4">
        <f t="shared" si="17"/>
        <v>14416</v>
      </c>
      <c r="K89" s="4">
        <f t="shared" si="17"/>
        <v>8303</v>
      </c>
      <c r="L89" s="4">
        <f t="shared" si="17"/>
        <v>6807</v>
      </c>
      <c r="M89" s="4">
        <f t="shared" si="17"/>
        <v>7211</v>
      </c>
      <c r="N89" s="4">
        <f t="shared" si="17"/>
        <v>7147</v>
      </c>
      <c r="O89" s="22" t="s">
        <v>169</v>
      </c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 spans="1:31" s="19" customFormat="1" ht="18.75" customHeight="1">
      <c r="A90" s="39" t="s">
        <v>170</v>
      </c>
      <c r="B90" s="27">
        <f t="shared" si="15"/>
        <v>9717</v>
      </c>
      <c r="C90" s="5">
        <v>261</v>
      </c>
      <c r="D90" s="5">
        <v>286</v>
      </c>
      <c r="E90" s="5">
        <v>625</v>
      </c>
      <c r="F90" s="5">
        <v>227</v>
      </c>
      <c r="G90" s="28">
        <v>873</v>
      </c>
      <c r="H90" s="28">
        <v>755</v>
      </c>
      <c r="I90" s="5">
        <v>1804</v>
      </c>
      <c r="J90" s="5">
        <v>1150</v>
      </c>
      <c r="K90" s="5">
        <v>918</v>
      </c>
      <c r="L90" s="5">
        <v>1063</v>
      </c>
      <c r="M90" s="5">
        <v>888</v>
      </c>
      <c r="N90" s="5">
        <v>867</v>
      </c>
      <c r="O90" s="40" t="s">
        <v>171</v>
      </c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 spans="1:31" s="19" customFormat="1" ht="18.75" customHeight="1">
      <c r="A91" s="39" t="s">
        <v>172</v>
      </c>
      <c r="B91" s="27">
        <f t="shared" si="15"/>
        <v>3661</v>
      </c>
      <c r="C91" s="5">
        <v>140</v>
      </c>
      <c r="D91" s="5">
        <v>129</v>
      </c>
      <c r="E91" s="5">
        <v>208</v>
      </c>
      <c r="F91" s="28">
        <v>147</v>
      </c>
      <c r="G91" s="28">
        <v>330</v>
      </c>
      <c r="H91" s="28">
        <v>337</v>
      </c>
      <c r="I91" s="5">
        <v>695</v>
      </c>
      <c r="J91" s="5">
        <v>475</v>
      </c>
      <c r="K91" s="5">
        <v>290</v>
      </c>
      <c r="L91" s="5">
        <v>312</v>
      </c>
      <c r="M91" s="5">
        <v>271</v>
      </c>
      <c r="N91" s="5">
        <v>327</v>
      </c>
      <c r="O91" s="40" t="s">
        <v>173</v>
      </c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 spans="1:31" s="19" customFormat="1" ht="19.5" customHeight="1">
      <c r="A92" s="39" t="s">
        <v>174</v>
      </c>
      <c r="B92" s="27">
        <f t="shared" si="15"/>
        <v>4731</v>
      </c>
      <c r="C92" s="28">
        <v>220</v>
      </c>
      <c r="D92" s="28">
        <v>166</v>
      </c>
      <c r="E92" s="28">
        <v>88</v>
      </c>
      <c r="F92" s="28">
        <v>83</v>
      </c>
      <c r="G92" s="28">
        <v>254</v>
      </c>
      <c r="H92" s="28">
        <v>463</v>
      </c>
      <c r="I92" s="28">
        <v>897</v>
      </c>
      <c r="J92" s="28">
        <v>613</v>
      </c>
      <c r="K92" s="28">
        <v>380</v>
      </c>
      <c r="L92" s="28">
        <v>400</v>
      </c>
      <c r="M92" s="28">
        <v>422</v>
      </c>
      <c r="N92" s="28">
        <v>745</v>
      </c>
      <c r="O92" s="40" t="s">
        <v>32</v>
      </c>
    </row>
    <row r="93" spans="1:31" s="19" customFormat="1" ht="18" customHeight="1">
      <c r="A93" s="39" t="s">
        <v>175</v>
      </c>
      <c r="B93" s="27">
        <f t="shared" si="15"/>
        <v>3632</v>
      </c>
      <c r="C93" s="28">
        <v>123</v>
      </c>
      <c r="D93" s="28">
        <v>225</v>
      </c>
      <c r="E93" s="28">
        <v>295</v>
      </c>
      <c r="F93" s="28">
        <v>417</v>
      </c>
      <c r="G93" s="28">
        <v>516</v>
      </c>
      <c r="H93" s="28">
        <v>269</v>
      </c>
      <c r="I93" s="28">
        <v>493</v>
      </c>
      <c r="J93" s="28">
        <v>353</v>
      </c>
      <c r="K93" s="28">
        <v>160</v>
      </c>
      <c r="L93" s="28">
        <v>209</v>
      </c>
      <c r="M93" s="28">
        <v>250</v>
      </c>
      <c r="N93" s="28">
        <v>322</v>
      </c>
      <c r="O93" s="40" t="s">
        <v>176</v>
      </c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</row>
    <row r="94" spans="1:31" s="19" customFormat="1" ht="18" customHeight="1">
      <c r="A94" s="39" t="s">
        <v>177</v>
      </c>
      <c r="B94" s="27">
        <f t="shared" si="15"/>
        <v>1395</v>
      </c>
      <c r="C94" s="28">
        <v>106</v>
      </c>
      <c r="D94" s="28">
        <v>41</v>
      </c>
      <c r="E94" s="28">
        <v>40</v>
      </c>
      <c r="F94" s="28">
        <v>42</v>
      </c>
      <c r="G94" s="28">
        <v>67</v>
      </c>
      <c r="H94" s="28">
        <v>130</v>
      </c>
      <c r="I94" s="28">
        <v>262</v>
      </c>
      <c r="J94" s="28">
        <v>193</v>
      </c>
      <c r="K94" s="28">
        <v>134</v>
      </c>
      <c r="L94" s="28">
        <v>107</v>
      </c>
      <c r="M94" s="28">
        <v>129</v>
      </c>
      <c r="N94" s="28">
        <v>144</v>
      </c>
      <c r="O94" s="40" t="s">
        <v>178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spans="1:31" s="19" customFormat="1" ht="18" customHeight="1">
      <c r="A95" s="39" t="s">
        <v>179</v>
      </c>
      <c r="B95" s="27">
        <f t="shared" si="15"/>
        <v>6063</v>
      </c>
      <c r="C95" s="28">
        <v>332</v>
      </c>
      <c r="D95" s="28">
        <v>169</v>
      </c>
      <c r="E95" s="28">
        <v>228</v>
      </c>
      <c r="F95" s="28">
        <v>168</v>
      </c>
      <c r="G95" s="28">
        <v>866</v>
      </c>
      <c r="H95" s="28">
        <v>907</v>
      </c>
      <c r="I95" s="28">
        <v>1563</v>
      </c>
      <c r="J95" s="28">
        <v>804</v>
      </c>
      <c r="K95" s="28">
        <v>231</v>
      </c>
      <c r="L95" s="28">
        <v>203</v>
      </c>
      <c r="M95" s="28">
        <v>141</v>
      </c>
      <c r="N95" s="28">
        <v>451</v>
      </c>
      <c r="O95" s="40" t="s">
        <v>180</v>
      </c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 spans="1:31" s="19" customFormat="1" ht="18" customHeight="1">
      <c r="A96" s="39" t="s">
        <v>181</v>
      </c>
      <c r="B96" s="27">
        <f t="shared" si="15"/>
        <v>40014</v>
      </c>
      <c r="C96" s="28">
        <v>45</v>
      </c>
      <c r="D96" s="28">
        <v>48</v>
      </c>
      <c r="E96" s="28">
        <v>65</v>
      </c>
      <c r="F96" s="28">
        <v>56</v>
      </c>
      <c r="G96" s="28">
        <v>1962</v>
      </c>
      <c r="H96" s="28">
        <v>6309</v>
      </c>
      <c r="I96" s="28">
        <v>9626</v>
      </c>
      <c r="J96" s="28">
        <v>7448</v>
      </c>
      <c r="K96" s="28">
        <v>4780</v>
      </c>
      <c r="L96" s="28">
        <v>3037</v>
      </c>
      <c r="M96" s="28">
        <v>3924</v>
      </c>
      <c r="N96" s="28">
        <v>2714</v>
      </c>
      <c r="O96" s="40" t="s">
        <v>182</v>
      </c>
    </row>
    <row r="97" spans="1:31" s="19" customFormat="1" ht="18" customHeight="1">
      <c r="A97" s="39" t="s">
        <v>183</v>
      </c>
      <c r="B97" s="27">
        <f t="shared" si="15"/>
        <v>1844</v>
      </c>
      <c r="C97" s="28">
        <v>63</v>
      </c>
      <c r="D97" s="28">
        <v>47</v>
      </c>
      <c r="E97" s="28">
        <v>99</v>
      </c>
      <c r="F97" s="28">
        <v>101</v>
      </c>
      <c r="G97" s="28">
        <v>215</v>
      </c>
      <c r="H97" s="28">
        <v>183</v>
      </c>
      <c r="I97" s="28">
        <v>307</v>
      </c>
      <c r="J97" s="28">
        <v>231</v>
      </c>
      <c r="K97" s="28">
        <v>205</v>
      </c>
      <c r="L97" s="28">
        <v>157</v>
      </c>
      <c r="M97" s="28">
        <v>103</v>
      </c>
      <c r="N97" s="28">
        <v>133</v>
      </c>
      <c r="O97" s="40" t="s">
        <v>184</v>
      </c>
    </row>
    <row r="98" spans="1:31" s="19" customFormat="1" ht="18" customHeight="1">
      <c r="A98" s="39" t="s">
        <v>185</v>
      </c>
      <c r="B98" s="27">
        <f t="shared" si="15"/>
        <v>14095</v>
      </c>
      <c r="C98" s="28">
        <v>755</v>
      </c>
      <c r="D98" s="28">
        <v>636</v>
      </c>
      <c r="E98" s="28">
        <v>1255</v>
      </c>
      <c r="F98" s="28">
        <v>786</v>
      </c>
      <c r="G98" s="28">
        <v>1414</v>
      </c>
      <c r="H98" s="28">
        <v>1145</v>
      </c>
      <c r="I98" s="28">
        <v>2549</v>
      </c>
      <c r="J98" s="28">
        <v>2335</v>
      </c>
      <c r="K98" s="28">
        <v>672</v>
      </c>
      <c r="L98" s="28">
        <v>912</v>
      </c>
      <c r="M98" s="28">
        <v>668</v>
      </c>
      <c r="N98" s="28">
        <v>968</v>
      </c>
      <c r="O98" s="40" t="s">
        <v>186</v>
      </c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 s="19" customFormat="1" ht="18" customHeight="1">
      <c r="A99" s="41" t="s">
        <v>83</v>
      </c>
      <c r="B99" s="35">
        <f>SUM(C99:N99)</f>
        <v>6261</v>
      </c>
      <c r="C99" s="36">
        <v>322</v>
      </c>
      <c r="D99" s="36">
        <v>245</v>
      </c>
      <c r="E99" s="36">
        <v>467</v>
      </c>
      <c r="F99" s="36">
        <v>271</v>
      </c>
      <c r="G99" s="36">
        <v>562</v>
      </c>
      <c r="H99" s="36">
        <v>548</v>
      </c>
      <c r="I99" s="36">
        <v>1201</v>
      </c>
      <c r="J99" s="36">
        <v>814</v>
      </c>
      <c r="K99" s="36">
        <v>533</v>
      </c>
      <c r="L99" s="36">
        <v>407</v>
      </c>
      <c r="M99" s="36">
        <v>415</v>
      </c>
      <c r="N99" s="36">
        <v>476</v>
      </c>
      <c r="O99" s="40" t="s">
        <v>15</v>
      </c>
    </row>
    <row r="100" spans="1:31" s="19" customFormat="1" ht="18" customHeight="1">
      <c r="A100" s="21" t="s">
        <v>187</v>
      </c>
      <c r="B100" s="4">
        <f>SUM(C100:N100)</f>
        <v>44</v>
      </c>
      <c r="C100" s="43">
        <v>1</v>
      </c>
      <c r="D100" s="43">
        <v>3</v>
      </c>
      <c r="E100" s="43">
        <v>4</v>
      </c>
      <c r="F100" s="43">
        <v>1</v>
      </c>
      <c r="G100" s="43">
        <v>1</v>
      </c>
      <c r="H100" s="43">
        <v>0</v>
      </c>
      <c r="I100" s="43">
        <v>0</v>
      </c>
      <c r="J100" s="43">
        <v>4</v>
      </c>
      <c r="K100" s="28">
        <v>17</v>
      </c>
      <c r="L100" s="28">
        <v>7</v>
      </c>
      <c r="M100" s="28">
        <v>2</v>
      </c>
      <c r="N100" s="28">
        <v>4</v>
      </c>
      <c r="O100" s="18" t="s">
        <v>188</v>
      </c>
    </row>
    <row r="101" spans="1:31" s="19" customFormat="1" ht="18" customHeight="1">
      <c r="A101" s="11" t="s">
        <v>189</v>
      </c>
      <c r="B101" s="6">
        <f>SUM(C101:N101)</f>
        <v>273</v>
      </c>
      <c r="C101" s="44">
        <v>24</v>
      </c>
      <c r="D101" s="44">
        <v>16</v>
      </c>
      <c r="E101" s="44">
        <v>25</v>
      </c>
      <c r="F101" s="44">
        <v>32</v>
      </c>
      <c r="G101" s="44">
        <v>27</v>
      </c>
      <c r="H101" s="44">
        <v>15</v>
      </c>
      <c r="I101" s="44">
        <v>34</v>
      </c>
      <c r="J101" s="44">
        <v>35</v>
      </c>
      <c r="K101" s="36">
        <v>6</v>
      </c>
      <c r="L101" s="36">
        <v>22</v>
      </c>
      <c r="M101" s="36">
        <v>16</v>
      </c>
      <c r="N101" s="36">
        <v>21</v>
      </c>
      <c r="O101" s="42" t="s">
        <v>15</v>
      </c>
    </row>
    <row r="102" spans="1:31" s="19" customFormat="1" ht="17.25" customHeight="1">
      <c r="A102" s="45" t="s">
        <v>33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6"/>
      <c r="N102" s="46"/>
      <c r="O102" s="1" t="s">
        <v>35</v>
      </c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spans="1:31" s="19" customFormat="1" ht="17.25" customHeight="1">
      <c r="A103" s="47" t="s">
        <v>190</v>
      </c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O103" s="2" t="s">
        <v>191</v>
      </c>
    </row>
    <row r="104" spans="1:31" ht="12.75" customHeight="1">
      <c r="A104" s="49" t="s">
        <v>192</v>
      </c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</row>
    <row r="105" spans="1:31" ht="12.75" customHeight="1">
      <c r="A105" s="50" t="s">
        <v>193</v>
      </c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</row>
    <row r="106" spans="1:31"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</row>
  </sheetData>
  <mergeCells count="2">
    <mergeCell ref="A1:O1"/>
    <mergeCell ref="A2:O2"/>
  </mergeCells>
  <pageMargins left="0.7" right="0.7" top="0.75" bottom="0.75" header="0.3" footer="0.3"/>
  <pageSetup paperSize="9" scale="50" orientation="portrait" r:id="rId1"/>
  <rowBreaks count="1" manualBreakCount="1">
    <brk id="77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10.13</vt:lpstr>
      <vt:lpstr>'10.13'!Print_Area</vt:lpstr>
      <vt:lpstr>'10.13'!Print_Titles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2023-01-29T06:03:28Z</cp:lastPrinted>
  <dcterms:created xsi:type="dcterms:W3CDTF">2019-02-27T06:18:18Z</dcterms:created>
  <dcterms:modified xsi:type="dcterms:W3CDTF">2023-01-29T06:03:43Z</dcterms:modified>
</cp:coreProperties>
</file>