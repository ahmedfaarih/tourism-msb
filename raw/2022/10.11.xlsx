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DE7B785D-DF2B-4685-846B-6721926E2A3E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11" sheetId="11" r:id="rId1"/>
  </sheets>
  <externalReferences>
    <externalReference r:id="rId2"/>
  </externalReferences>
  <definedNames>
    <definedName name="_xlnm.Print_Area" localSheetId="0">'10.11'!$A$1:$O$45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8" i="11" l="1"/>
  <c r="AC39" i="11" l="1"/>
  <c r="AB39" i="11"/>
  <c r="AC38" i="11"/>
  <c r="AB38" i="11"/>
  <c r="M11" i="11"/>
  <c r="AC37" i="11"/>
  <c r="AB37" i="11"/>
  <c r="AC32" i="11"/>
  <c r="AC31" i="11"/>
  <c r="AB30" i="11"/>
  <c r="AC29" i="11"/>
  <c r="AM39" i="11"/>
  <c r="AL39" i="11"/>
  <c r="AK39" i="11"/>
  <c r="AJ39" i="11"/>
  <c r="AI39" i="11"/>
  <c r="AH39" i="11"/>
  <c r="AG39" i="11"/>
  <c r="AF39" i="11"/>
  <c r="AE39" i="11"/>
  <c r="AM38" i="11"/>
  <c r="AL38" i="11"/>
  <c r="AK38" i="11"/>
  <c r="AJ38" i="11"/>
  <c r="AI38" i="11"/>
  <c r="AH38" i="11"/>
  <c r="AG38" i="11"/>
  <c r="AF38" i="11"/>
  <c r="AE38" i="11"/>
  <c r="AM37" i="11"/>
  <c r="AK37" i="11"/>
  <c r="AJ37" i="11"/>
  <c r="AI37" i="11"/>
  <c r="AH37" i="11"/>
  <c r="AG37" i="11"/>
  <c r="AF37" i="11"/>
  <c r="AE37" i="11"/>
  <c r="AM32" i="11"/>
  <c r="AL32" i="11"/>
  <c r="AK32" i="11"/>
  <c r="AJ32" i="11"/>
  <c r="AI32" i="11"/>
  <c r="AH32" i="11"/>
  <c r="AG32" i="11"/>
  <c r="AF32" i="11"/>
  <c r="AE32" i="11"/>
  <c r="AD32" i="11"/>
  <c r="AB32" i="11"/>
  <c r="AM31" i="11"/>
  <c r="AL31" i="11"/>
  <c r="AK31" i="11"/>
  <c r="AJ31" i="11"/>
  <c r="AI31" i="11"/>
  <c r="AH31" i="11"/>
  <c r="AG31" i="11"/>
  <c r="AF31" i="11"/>
  <c r="AE31" i="11"/>
  <c r="AD31" i="11"/>
  <c r="AB31" i="11"/>
  <c r="AM30" i="11"/>
  <c r="AL30" i="11"/>
  <c r="AK30" i="11"/>
  <c r="AJ30" i="11"/>
  <c r="AI30" i="11"/>
  <c r="AH30" i="11"/>
  <c r="AG30" i="11"/>
  <c r="AF30" i="11"/>
  <c r="AE30" i="11"/>
  <c r="AD30" i="11"/>
  <c r="AM29" i="11"/>
  <c r="AL29" i="11"/>
  <c r="AK29" i="11"/>
  <c r="AJ29" i="11"/>
  <c r="AI29" i="11"/>
  <c r="AH29" i="11"/>
  <c r="AG29" i="11"/>
  <c r="AF29" i="11"/>
  <c r="AE29" i="11"/>
  <c r="AD29" i="11"/>
  <c r="AB29" i="11"/>
  <c r="AM28" i="11"/>
  <c r="AL28" i="11"/>
  <c r="AK28" i="11"/>
  <c r="AJ28" i="11"/>
  <c r="AI28" i="11"/>
  <c r="AH28" i="11"/>
  <c r="AG28" i="11"/>
  <c r="AF28" i="11"/>
  <c r="AE28" i="11"/>
  <c r="AD28" i="11"/>
  <c r="AC28" i="11"/>
  <c r="B20" i="11"/>
  <c r="B19" i="11"/>
  <c r="N11" i="11"/>
  <c r="L11" i="11"/>
  <c r="K11" i="11"/>
  <c r="J11" i="11"/>
  <c r="I11" i="11"/>
  <c r="H11" i="11"/>
  <c r="G11" i="11"/>
  <c r="F11" i="11"/>
  <c r="N5" i="11"/>
  <c r="M5" i="11"/>
  <c r="L5" i="11"/>
  <c r="K5" i="11"/>
  <c r="J5" i="11"/>
  <c r="I5" i="11"/>
  <c r="H5" i="11"/>
  <c r="G5" i="11"/>
  <c r="F5" i="11"/>
  <c r="E5" i="11"/>
  <c r="AD37" i="11" l="1"/>
  <c r="C5" i="11"/>
  <c r="B6" i="11"/>
  <c r="B7" i="11"/>
  <c r="B14" i="11"/>
  <c r="B13" i="11"/>
  <c r="B10" i="11"/>
  <c r="AD38" i="11"/>
  <c r="B8" i="11"/>
  <c r="C11" i="11"/>
  <c r="AD39" i="11"/>
  <c r="AL37" i="11"/>
  <c r="B17" i="11"/>
  <c r="B15" i="11"/>
  <c r="B16" i="11"/>
  <c r="B18" i="11"/>
  <c r="E11" i="11"/>
  <c r="E4" i="11" s="1"/>
  <c r="D11" i="11"/>
  <c r="B12" i="11"/>
  <c r="B9" i="11"/>
  <c r="AC30" i="11"/>
  <c r="D5" i="11"/>
  <c r="I4" i="11"/>
  <c r="L4" i="11"/>
  <c r="F4" i="11"/>
  <c r="N4" i="11"/>
  <c r="G4" i="11"/>
  <c r="J4" i="11"/>
  <c r="H4" i="11"/>
  <c r="M4" i="11"/>
  <c r="K4" i="11"/>
  <c r="C4" i="11" l="1"/>
  <c r="B5" i="11"/>
  <c r="B11" i="11"/>
  <c r="D4" i="11"/>
  <c r="B4" i="11" l="1"/>
</calcChain>
</file>

<file path=xl/sharedStrings.xml><?xml version="1.0" encoding="utf-8"?>
<sst xmlns="http://schemas.openxmlformats.org/spreadsheetml/2006/main" count="90" uniqueCount="70">
  <si>
    <t>Total</t>
  </si>
  <si>
    <t>ޖުމްލަ</t>
  </si>
  <si>
    <t>Europe</t>
  </si>
  <si>
    <t>ޔޫރަޕް</t>
  </si>
  <si>
    <t>Asia</t>
  </si>
  <si>
    <t>އޭޝިއާ</t>
  </si>
  <si>
    <t>Africa</t>
  </si>
  <si>
    <t>އެފްރިކާ</t>
  </si>
  <si>
    <t>Oceania</t>
  </si>
  <si>
    <t>Middle East</t>
  </si>
  <si>
    <t>ޔޫ.އެން ޕާސްޕޯޓް ހޯލްޑަރ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</si>
  <si>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</si>
  <si>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</si>
  <si>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</si>
  <si>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</si>
  <si>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</si>
  <si>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</si>
  <si>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</si>
  <si>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</si>
  <si>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</si>
  <si>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</si>
  <si>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</si>
  <si>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</si>
  <si>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</si>
  <si>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</si>
  <si>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</si>
  <si>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</si>
  <si>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</si>
  <si>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</si>
  <si>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</si>
  <si>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</si>
  <si>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</si>
  <si>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</si>
  <si>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</si>
  <si>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</si>
  <si>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</si>
  <si>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</si>
  <si>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</si>
  <si>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</si>
  <si>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</si>
  <si>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</si>
  <si>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</si>
  <si>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</si>
  <si>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</si>
  <si>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</si>
  <si>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</si>
  <si>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</si>
  <si>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</si>
  <si>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</si>
  <si>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</si>
  <si>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</si>
  <si>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</si>
  <si>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</si>
  <si>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</si>
  <si>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</si>
  <si>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</si>
  <si>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</si>
  <si>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</si>
  <si>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</si>
  <si>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</si>
  <si>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</si>
  <si>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</si>
  <si>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</si>
  <si>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</si>
  <si>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</si>
  <si>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</si>
  <si>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</si>
  <si>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</si>
  <si>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 udwdwA egcnirevurutwf iawaejcaWr cnutogegukwtumuawq uhwmcswmikea : 10.11 ulwvWt</t>
  </si>
  <si>
    <t>Table 10.11 :   MONTHLY DISTRIBUTION OF TOURIST ARRIVALS BY NATIONALITY,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</si>
</sst>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6" formatCode="_(* #,##0_);_(* \(#,##0\);_(* &quot;-&quot;??_);_(@_)"/>
    <numFmt numFmtId="167" formatCode="#,##0.0"/>
    <numFmt numFmtId="169" formatCode="General_)"/>
    <numFmt numFmtId="171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b/>
      <sz val="9"/>
      <name val="Faruma"/>
    </font>
    <font>
      <b/>
      <sz val="9"/>
      <name val="Calibri"/>
      <family val="2"/>
    </font>
    <font>
      <sz val="10"/>
      <name val="Faruma"/>
    </font>
    <font>
      <sz val="10"/>
      <name val="Courier"/>
      <family val="3"/>
    </font>
    <font>
      <b/>
      <sz val="9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1"/>
      <name val="A_Faseyha"/>
    </font>
    <font>
      <i/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39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0" fontId="18" fillId="0" borderId="0"/>
    <xf numFmtId="0" fontId="18" fillId="0" borderId="0"/>
    <xf numFmtId="0" fontId="4" fillId="0" borderId="0"/>
    <xf numFmtId="0" fontId="21" fillId="0" borderId="0"/>
    <xf numFmtId="0" fontId="4" fillId="0" borderId="0"/>
    <xf numFmtId="43" fontId="4" fillId="0" borderId="0" applyFont="0" applyFill="0" applyBorder="0" applyAlignment="0" applyProtection="0"/>
    <xf numFmtId="171" fontId="22" fillId="0" borderId="0"/>
    <xf numFmtId="1" fontId="23" fillId="0" borderId="13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2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9" fillId="0" borderId="0"/>
    <xf numFmtId="40" fontId="9" fillId="0" borderId="0" applyFont="0" applyFill="0" applyBorder="0" applyAlignment="0" applyProtection="0"/>
    <xf numFmtId="0" fontId="9" fillId="0" borderId="0"/>
    <xf numFmtId="0" fontId="4" fillId="0" borderId="0"/>
    <xf numFmtId="1" fontId="23" fillId="0" borderId="13" applyNumberFormat="0"/>
    <xf numFmtId="0" fontId="1" fillId="0" borderId="0"/>
    <xf numFmtId="0" fontId="9" fillId="0" borderId="0"/>
    <xf numFmtId="0" fontId="27" fillId="0" borderId="0" applyFill="0" applyProtection="0"/>
    <xf numFmtId="1" fontId="23" fillId="0" borderId="13" applyNumberFormat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0" fontId="29" fillId="0" borderId="0"/>
    <xf numFmtId="0" fontId="28" fillId="0" borderId="0"/>
    <xf numFmtId="0" fontId="1" fillId="0" borderId="0"/>
    <xf numFmtId="0" fontId="9" fillId="0" borderId="0"/>
    <xf numFmtId="0" fontId="27" fillId="0" borderId="0" applyFill="0" applyProtection="0"/>
  </cellStyleXfs>
  <cellXfs count="56">
    <xf numFmtId="0" fontId="0" fillId="0" borderId="0" xfId="0"/>
    <xf numFmtId="0" fontId="8" fillId="2" borderId="0" xfId="2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5" fillId="2" borderId="2" xfId="3" applyFont="1" applyFill="1" applyBorder="1" applyAlignment="1">
      <alignment horizontal="right" vertical="center" wrapText="1"/>
    </xf>
    <xf numFmtId="169" fontId="4" fillId="2" borderId="5" xfId="6" applyNumberFormat="1" applyFont="1" applyFill="1" applyBorder="1" applyAlignment="1">
      <alignment vertical="center"/>
    </xf>
    <xf numFmtId="0" fontId="4" fillId="2" borderId="5" xfId="3" applyFill="1" applyBorder="1"/>
    <xf numFmtId="0" fontId="5" fillId="2" borderId="2" xfId="3" applyFont="1" applyFill="1" applyBorder="1" applyAlignment="1">
      <alignment horizontal="left" vertical="center"/>
    </xf>
    <xf numFmtId="0" fontId="11" fillId="2" borderId="5" xfId="3" applyFont="1" applyFill="1" applyBorder="1" applyAlignment="1">
      <alignment vertical="center"/>
    </xf>
    <xf numFmtId="0" fontId="7" fillId="2" borderId="7" xfId="3" applyFont="1" applyFill="1" applyBorder="1" applyAlignment="1">
      <alignment vertical="center"/>
    </xf>
    <xf numFmtId="166" fontId="7" fillId="2" borderId="7" xfId="1" applyNumberFormat="1" applyFont="1" applyFill="1" applyBorder="1" applyAlignment="1" applyProtection="1">
      <alignment horizontal="right" vertical="center"/>
    </xf>
    <xf numFmtId="0" fontId="19" fillId="2" borderId="6" xfId="3" applyFont="1" applyFill="1" applyBorder="1"/>
    <xf numFmtId="0" fontId="7" fillId="2" borderId="0" xfId="3" applyFont="1" applyFill="1" applyAlignment="1">
      <alignment vertical="center"/>
    </xf>
    <xf numFmtId="166" fontId="7" fillId="2" borderId="0" xfId="1" applyNumberFormat="1" applyFont="1" applyFill="1" applyBorder="1" applyAlignment="1" applyProtection="1">
      <alignment horizontal="right" vertical="center"/>
    </xf>
    <xf numFmtId="167" fontId="6" fillId="2" borderId="0" xfId="3" applyNumberFormat="1" applyFont="1" applyFill="1" applyAlignment="1">
      <alignment horizontal="right"/>
    </xf>
    <xf numFmtId="0" fontId="19" fillId="2" borderId="0" xfId="3" applyFont="1" applyFill="1"/>
    <xf numFmtId="17" fontId="13" fillId="2" borderId="0" xfId="7" applyNumberFormat="1" applyFont="1" applyFill="1" applyAlignment="1">
      <alignment horizontal="left" vertical="center" indent="1"/>
    </xf>
    <xf numFmtId="166" fontId="13" fillId="2" borderId="0" xfId="1" applyNumberFormat="1" applyFont="1" applyFill="1" applyBorder="1" applyAlignment="1" applyProtection="1">
      <alignment horizontal="right" vertical="center"/>
    </xf>
    <xf numFmtId="167" fontId="17" fillId="2" borderId="0" xfId="3" applyNumberFormat="1" applyFont="1" applyFill="1" applyAlignment="1">
      <alignment horizontal="right"/>
    </xf>
    <xf numFmtId="0" fontId="11" fillId="2" borderId="0" xfId="3" applyFont="1" applyFill="1"/>
    <xf numFmtId="17" fontId="13" fillId="2" borderId="0" xfId="7" applyNumberFormat="1" applyFont="1" applyFill="1" applyAlignment="1">
      <alignment horizontal="left" vertical="center" wrapText="1" indent="1"/>
    </xf>
    <xf numFmtId="0" fontId="7" fillId="2" borderId="1" xfId="3" applyFont="1" applyFill="1" applyBorder="1" applyAlignment="1">
      <alignment vertical="center"/>
    </xf>
    <xf numFmtId="166" fontId="7" fillId="2" borderId="1" xfId="1" applyNumberFormat="1" applyFont="1" applyFill="1" applyBorder="1" applyAlignment="1" applyProtection="1">
      <alignment horizontal="right" vertical="center"/>
    </xf>
    <xf numFmtId="0" fontId="15" fillId="2" borderId="1" xfId="3" applyFont="1" applyFill="1" applyBorder="1"/>
    <xf numFmtId="0" fontId="14" fillId="2" borderId="4" xfId="3" applyFont="1" applyFill="1" applyBorder="1" applyAlignment="1">
      <alignment horizontal="left" vertical="center"/>
    </xf>
    <xf numFmtId="166" fontId="14" fillId="2" borderId="4" xfId="3" applyNumberFormat="1" applyFont="1" applyFill="1" applyBorder="1" applyAlignment="1">
      <alignment horizontal="left" vertical="center"/>
    </xf>
    <xf numFmtId="0" fontId="11" fillId="2" borderId="4" xfId="3" applyFont="1" applyFill="1" applyBorder="1"/>
    <xf numFmtId="0" fontId="12" fillId="2" borderId="5" xfId="3" applyFont="1" applyFill="1" applyBorder="1" applyAlignment="1">
      <alignment horizontal="left" vertical="center"/>
    </xf>
    <xf numFmtId="0" fontId="14" fillId="2" borderId="5" xfId="3" applyFont="1" applyFill="1" applyBorder="1" applyAlignment="1">
      <alignment horizontal="left" vertical="center"/>
    </xf>
    <xf numFmtId="166" fontId="14" fillId="2" borderId="5" xfId="3" applyNumberFormat="1" applyFont="1" applyFill="1" applyBorder="1" applyAlignment="1">
      <alignment horizontal="left" vertical="center"/>
    </xf>
    <xf numFmtId="0" fontId="11" fillId="2" borderId="5" xfId="3" applyFont="1" applyFill="1" applyBorder="1"/>
    <xf numFmtId="3" fontId="4" fillId="2" borderId="5" xfId="3" applyNumberFormat="1" applyFill="1" applyBorder="1"/>
    <xf numFmtId="0" fontId="24" fillId="2" borderId="0" xfId="0" applyFont="1" applyFill="1" applyAlignment="1">
      <alignment horizontal="right" vertical="center"/>
    </xf>
    <xf numFmtId="0" fontId="26" fillId="2" borderId="4" xfId="3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3"/>
    </xf>
    <xf numFmtId="169" fontId="25" fillId="2" borderId="5" xfId="5" applyNumberFormat="1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0" fontId="20" fillId="2" borderId="8" xfId="3" applyFont="1" applyFill="1" applyBorder="1" applyAlignment="1">
      <alignment horizontal="right" vertical="center"/>
    </xf>
    <xf numFmtId="0" fontId="20" fillId="2" borderId="9" xfId="3" applyFont="1" applyFill="1" applyBorder="1" applyAlignment="1">
      <alignment horizontal="right" vertical="center"/>
    </xf>
    <xf numFmtId="0" fontId="20" fillId="2" borderId="10" xfId="3" applyFont="1" applyFill="1" applyBorder="1" applyAlignment="1">
      <alignment horizontal="right" vertical="center"/>
    </xf>
    <xf numFmtId="0" fontId="15" fillId="2" borderId="3" xfId="3" applyFont="1" applyFill="1" applyBorder="1" applyAlignment="1">
      <alignment horizontal="right" vertical="center" wrapText="1" indent="1"/>
    </xf>
    <xf numFmtId="167" fontId="6" fillId="2" borderId="14" xfId="3" applyNumberFormat="1" applyFont="1" applyFill="1" applyBorder="1" applyAlignment="1">
      <alignment horizontal="right"/>
    </xf>
    <xf numFmtId="0" fontId="4" fillId="2" borderId="11" xfId="3" applyFill="1" applyBorder="1"/>
    <xf numFmtId="169" fontId="4" fillId="2" borderId="0" xfId="6" applyNumberFormat="1" applyFont="1" applyFill="1" applyBorder="1" applyAlignment="1">
      <alignment vertical="center"/>
    </xf>
    <xf numFmtId="0" fontId="4" fillId="2" borderId="0" xfId="3" applyFill="1" applyBorder="1"/>
    <xf numFmtId="0" fontId="11" fillId="2" borderId="0" xfId="3" applyFont="1" applyFill="1" applyBorder="1" applyAlignment="1">
      <alignment vertical="center"/>
    </xf>
    <xf numFmtId="0" fontId="19" fillId="2" borderId="0" xfId="3" applyFont="1" applyFill="1" applyBorder="1"/>
    <xf numFmtId="166" fontId="19" fillId="2" borderId="0" xfId="3" applyNumberFormat="1" applyFont="1" applyFill="1" applyBorder="1" applyAlignment="1">
      <alignment vertical="center"/>
    </xf>
    <xf numFmtId="0" fontId="11" fillId="2" borderId="0" xfId="3" applyFont="1" applyFill="1" applyBorder="1"/>
    <xf numFmtId="0" fontId="19" fillId="2" borderId="0" xfId="3" applyFont="1" applyFill="1" applyBorder="1" applyAlignment="1">
      <alignment vertical="center"/>
    </xf>
    <xf numFmtId="0" fontId="7" fillId="2" borderId="0" xfId="3" applyFont="1" applyFill="1" applyBorder="1" applyAlignment="1">
      <alignment vertical="center"/>
    </xf>
    <xf numFmtId="17" fontId="13" fillId="2" borderId="0" xfId="7" applyNumberFormat="1" applyFont="1" applyFill="1" applyBorder="1" applyAlignment="1">
      <alignment horizontal="left" vertical="center" indent="1"/>
    </xf>
    <xf numFmtId="17" fontId="13" fillId="2" borderId="0" xfId="7" applyNumberFormat="1" applyFont="1" applyFill="1" applyBorder="1" applyAlignment="1">
      <alignment horizontal="left" vertical="center" wrapText="1" indent="1"/>
    </xf>
    <xf numFmtId="0" fontId="4" fillId="2" borderId="6" xfId="3" applyFill="1" applyBorder="1"/>
    <xf numFmtId="0" fontId="4" fillId="2" borderId="12" xfId="3" applyFill="1" applyBorder="1"/>
    <xf numFmtId="0" fontId="3" fillId="2" borderId="0" xfId="3" applyFont="1" applyFill="1" applyBorder="1"/>
  </cellXfs>
  <cellStyles count="39">
    <cellStyle name="1" xfId="9" xr:uid="{00000000-0005-0000-0000-000000000000}"/>
    <cellStyle name="Comma" xfId="1" builtinId="3"/>
    <cellStyle name="Comma 2" xfId="23" xr:uid="{00000000-0005-0000-0000-000002000000}"/>
    <cellStyle name="Comma 2 2 2 5" xfId="31" xr:uid="{923A80DF-8391-490C-A9FC-9B04BA3FF02C}"/>
    <cellStyle name="Comma 3" xfId="10" xr:uid="{00000000-0005-0000-0000-000003000000}"/>
    <cellStyle name="Normal" xfId="0" builtinId="0"/>
    <cellStyle name="Normal - Style1" xfId="11" xr:uid="{00000000-0005-0000-0000-000005000000}"/>
    <cellStyle name="Normal 10" xfId="17" xr:uid="{00000000-0005-0000-0000-000006000000}"/>
    <cellStyle name="Normal 11" xfId="28" xr:uid="{95DB1E47-A717-4F50-B120-BDB4A6A98D35}"/>
    <cellStyle name="Normal 12" xfId="30" xr:uid="{5F37676F-9210-428B-A54A-88AF31197612}"/>
    <cellStyle name="Normal 2" xfId="3" xr:uid="{00000000-0005-0000-0000-000007000000}"/>
    <cellStyle name="Normal 2 2" xfId="12" xr:uid="{00000000-0005-0000-0000-000008000000}"/>
    <cellStyle name="Normal 2 2 2" xfId="24" xr:uid="{00000000-0005-0000-0000-000009000000}"/>
    <cellStyle name="Normal 2 2 3" xfId="25" xr:uid="{2E2FEFD2-ABBD-420D-8461-C8F503FDA24A}"/>
    <cellStyle name="Normal 2 3" xfId="27" xr:uid="{48422FEC-E0BC-428C-9750-2D76D2E13FBF}"/>
    <cellStyle name="Normal 2 3 2" xfId="38" xr:uid="{53720891-5BB7-4072-A4AA-9D579EA571CD}"/>
    <cellStyle name="Normal 2 4" xfId="29" xr:uid="{84E1C268-3A16-4FB7-A335-F22068D33369}"/>
    <cellStyle name="Normal 2 5" xfId="33" xr:uid="{D29D2916-D641-4853-A275-3F08E70F8C7A}"/>
    <cellStyle name="Normal 3" xfId="13" xr:uid="{00000000-0005-0000-0000-00000A000000}"/>
    <cellStyle name="Normal 3 2" xfId="26" xr:uid="{44D070A0-948A-45DA-8AFF-8A98BB90EB1D}"/>
    <cellStyle name="Normal 3 2 2" xfId="35" xr:uid="{4957CE97-0C4F-446D-8F13-BA568858B15F}"/>
    <cellStyle name="Normal 4" xfId="18" xr:uid="{00000000-0005-0000-0000-00000B000000}"/>
    <cellStyle name="Normal 4 2" xfId="14" xr:uid="{00000000-0005-0000-0000-00000C000000}"/>
    <cellStyle name="Normal 4 2 2" xfId="19" xr:uid="{00000000-0005-0000-0000-00000D000000}"/>
    <cellStyle name="Normal 4 3" xfId="34" xr:uid="{6720CF7E-3D28-49D4-A4F3-23A341275CC3}"/>
    <cellStyle name="Normal 5" xfId="15" xr:uid="{00000000-0005-0000-0000-00000E000000}"/>
    <cellStyle name="Normal 5 2" xfId="7" xr:uid="{00000000-0005-0000-0000-00000F000000}"/>
    <cellStyle name="Normal 5 3" xfId="32" xr:uid="{F16A05F5-F806-4902-9DAF-1592A0EB3B8F}"/>
    <cellStyle name="Normal 6" xfId="20" xr:uid="{00000000-0005-0000-0000-000010000000}"/>
    <cellStyle name="Normal 6 2" xfId="36" xr:uid="{28DCBC0B-46D7-4D92-ADC4-A6E5B7FB0383}"/>
    <cellStyle name="Normal 7" xfId="21" xr:uid="{00000000-0005-0000-0000-000011000000}"/>
    <cellStyle name="Normal 7 2" xfId="37" xr:uid="{F94E59D5-A861-4070-A967-F13E24BDD6F0}"/>
    <cellStyle name="Normal 8" xfId="22" xr:uid="{00000000-0005-0000-0000-000012000000}"/>
    <cellStyle name="Normal 9" xfId="8" xr:uid="{00000000-0005-0000-0000-000013000000}"/>
    <cellStyle name="Normal_TABLE456" xfId="2" xr:uid="{00000000-0005-0000-0000-000017000000}"/>
    <cellStyle name="Normal_VIII-8 (Tourism) 2" xfId="5" xr:uid="{00000000-0005-0000-0000-000018000000}"/>
    <cellStyle name="Normal_VIII-8 (Tourism) 2 3" xfId="6" xr:uid="{00000000-0005-0000-0000-000019000000}"/>
    <cellStyle name="Percent 2" xfId="16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10.17: Monthly tourist arrivals by European Market, 2021 </a:t>
            </a:r>
          </a:p>
        </c:rich>
      </c:tx>
      <c:layout>
        <c:manualLayout>
          <c:xMode val="edge"/>
          <c:yMode val="edge"/>
          <c:x val="0.12215975586255923"/>
          <c:y val="1.9766518075423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64618374825347"/>
          <c:y val="0.12103060151902054"/>
          <c:w val="0.87957552340085354"/>
          <c:h val="0.78856609237787967"/>
        </c:manualLayout>
      </c:layout>
      <c:lineChart>
        <c:grouping val="standard"/>
        <c:varyColors val="0"/>
        <c:ser>
          <c:idx val="0"/>
          <c:order val="0"/>
          <c:tx>
            <c:strRef>
              <c:f>'10.11'!$AA$28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'10.11'!$AB$27:$AM$27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'10.11'!$AB$28:$AM$28</c:f>
              <c:numCache>
                <c:formatCode>_(* #,##0_);_(* \(#,##0\);_(* "-"??_);_(@_)</c:formatCode>
                <c:ptCount val="12"/>
                <c:pt idx="0">
                  <c:v>46148</c:v>
                </c:pt>
                <c:pt idx="1">
                  <c:v>45318</c:v>
                </c:pt>
                <c:pt idx="2">
                  <c:v>46554</c:v>
                </c:pt>
                <c:pt idx="3">
                  <c:v>39863</c:v>
                </c:pt>
                <c:pt idx="4">
                  <c:v>26965</c:v>
                </c:pt>
                <c:pt idx="5">
                  <c:v>23663</c:v>
                </c:pt>
                <c:pt idx="6">
                  <c:v>26038</c:v>
                </c:pt>
                <c:pt idx="7">
                  <c:v>24366</c:v>
                </c:pt>
                <c:pt idx="8">
                  <c:v>17726</c:v>
                </c:pt>
                <c:pt idx="9">
                  <c:v>28665</c:v>
                </c:pt>
                <c:pt idx="10">
                  <c:v>29425</c:v>
                </c:pt>
                <c:pt idx="11">
                  <c:v>36007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F-489F-AC73-381DC72CD132}"/>
            </c:ext>
          </c:extLst>
        </c:ser>
        <c:ser>
          <c:idx val="1"/>
          <c:order val="1"/>
          <c:tx>
            <c:strRef>
              <c:f>'10.11'!$AA$29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4925" cap="rnd">
              <a:solidFill>
                <a:srgbClr val="FF858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'10.11'!$AB$27:$AM$27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'10.11'!$AB$29:$AM$29</c:f>
              <c:numCache>
                <c:formatCode>_(* #,##0_);_(* \(#,##0\);_(* "-"??_);_(@_)</c:formatCode>
                <c:ptCount val="12"/>
                <c:pt idx="0">
                  <c:v>3448</c:v>
                </c:pt>
                <c:pt idx="1">
                  <c:v>3179</c:v>
                </c:pt>
                <c:pt idx="2">
                  <c:v>4368</c:v>
                </c:pt>
                <c:pt idx="3">
                  <c:v>3771</c:v>
                </c:pt>
                <c:pt idx="4">
                  <c:v>2716</c:v>
                </c:pt>
                <c:pt idx="5">
                  <c:v>962</c:v>
                </c:pt>
                <c:pt idx="6">
                  <c:v>3552</c:v>
                </c:pt>
                <c:pt idx="7">
                  <c:v>2196</c:v>
                </c:pt>
                <c:pt idx="8">
                  <c:v>2091</c:v>
                </c:pt>
                <c:pt idx="9">
                  <c:v>16812</c:v>
                </c:pt>
                <c:pt idx="10">
                  <c:v>18073</c:v>
                </c:pt>
                <c:pt idx="11">
                  <c:v>21725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F-489F-AC73-381DC72CD132}"/>
            </c:ext>
          </c:extLst>
        </c:ser>
        <c:ser>
          <c:idx val="3"/>
          <c:order val="2"/>
          <c:tx>
            <c:strRef>
              <c:f>'10.11'!$AA$30</c:f>
              <c:strCache>
                <c:ptCount val="1"/>
                <c:pt idx="0">
                  <c:v>Southern Europe</c:v>
                </c:pt>
              </c:strCache>
            </c:strRef>
          </c:tx>
          <c:spPr>
            <a:ln w="34925" cap="rnd">
              <a:solidFill>
                <a:srgbClr val="FF3B3B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'10.11'!$AB$27:$AM$27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'10.11'!$AB$30:$AM$30</c:f>
              <c:numCache>
                <c:formatCode>_(* #,##0_);_(* \(#,##0\);_(* "-"??_);_(@_)</c:formatCode>
                <c:ptCount val="12"/>
                <c:pt idx="0">
                  <c:v>2624</c:v>
                </c:pt>
                <c:pt idx="1">
                  <c:v>3094</c:v>
                </c:pt>
                <c:pt idx="2">
                  <c:v>4677</c:v>
                </c:pt>
                <c:pt idx="3">
                  <c:v>4647</c:v>
                </c:pt>
                <c:pt idx="4">
                  <c:v>4296</c:v>
                </c:pt>
                <c:pt idx="5">
                  <c:v>5187</c:v>
                </c:pt>
                <c:pt idx="6">
                  <c:v>9256</c:v>
                </c:pt>
                <c:pt idx="7">
                  <c:v>14432</c:v>
                </c:pt>
                <c:pt idx="8">
                  <c:v>7746</c:v>
                </c:pt>
                <c:pt idx="9">
                  <c:v>10437</c:v>
                </c:pt>
                <c:pt idx="10">
                  <c:v>11468</c:v>
                </c:pt>
                <c:pt idx="11">
                  <c:v>18383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0AF-489F-AC73-381DC72CD132}"/>
            </c:ext>
          </c:extLst>
        </c:ser>
        <c:ser>
          <c:idx val="4"/>
          <c:order val="3"/>
          <c:tx>
            <c:strRef>
              <c:f>'10.11'!$AA$31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4925" cap="rnd">
              <a:solidFill>
                <a:srgbClr val="FFB7B7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'10.11'!$AB$27:$AM$27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'10.11'!$AB$31:$AM$31</c:f>
              <c:numCache>
                <c:formatCode>_(* #,##0_);_(* \(#,##0\);_(* "-"??_);_(@_)</c:formatCode>
                <c:ptCount val="12"/>
                <c:pt idx="0">
                  <c:v>10865</c:v>
                </c:pt>
                <c:pt idx="1">
                  <c:v>10506</c:v>
                </c:pt>
                <c:pt idx="2">
                  <c:v>12341</c:v>
                </c:pt>
                <c:pt idx="3">
                  <c:v>11028</c:v>
                </c:pt>
                <c:pt idx="4">
                  <c:v>8680</c:v>
                </c:pt>
                <c:pt idx="5">
                  <c:v>4558</c:v>
                </c:pt>
                <c:pt idx="6">
                  <c:v>11401</c:v>
                </c:pt>
                <c:pt idx="7">
                  <c:v>15792</c:v>
                </c:pt>
                <c:pt idx="8">
                  <c:v>14388</c:v>
                </c:pt>
                <c:pt idx="9">
                  <c:v>28526</c:v>
                </c:pt>
                <c:pt idx="10">
                  <c:v>24980</c:v>
                </c:pt>
                <c:pt idx="11">
                  <c:v>25855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0AF-489F-AC73-381DC72CD132}"/>
            </c:ext>
          </c:extLst>
        </c:ser>
        <c:ser>
          <c:idx val="2"/>
          <c:order val="4"/>
          <c:tx>
            <c:strRef>
              <c:f>'10.11'!$AA$32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'10.11'!$AB$27:$AM$27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'10.11'!$AB$32:$AM$32</c:f>
              <c:numCache>
                <c:formatCode>_(* #,##0_);_(* \(#,##0\);_(* "-"??_);_(@_)</c:formatCode>
                <c:ptCount val="12"/>
                <c:pt idx="0">
                  <c:v>663</c:v>
                </c:pt>
                <c:pt idx="1">
                  <c:v>589</c:v>
                </c:pt>
                <c:pt idx="2">
                  <c:v>1141</c:v>
                </c:pt>
                <c:pt idx="3">
                  <c:v>1610</c:v>
                </c:pt>
                <c:pt idx="4">
                  <c:v>1619</c:v>
                </c:pt>
                <c:pt idx="5">
                  <c:v>1627</c:v>
                </c:pt>
                <c:pt idx="6">
                  <c:v>3032</c:v>
                </c:pt>
                <c:pt idx="7">
                  <c:v>2794</c:v>
                </c:pt>
                <c:pt idx="8">
                  <c:v>4104</c:v>
                </c:pt>
                <c:pt idx="9">
                  <c:v>1869</c:v>
                </c:pt>
                <c:pt idx="10">
                  <c:v>2276</c:v>
                </c:pt>
                <c:pt idx="11">
                  <c:v>2338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AF-489F-AC73-381DC72CD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830560"/>
        <c:axId val="528824280"/>
      </c:lineChart>
      <c:catAx>
        <c:axId val="4108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4280"/>
        <c:crosses val="autoZero"/>
        <c:auto val="1"/>
        <c:lblAlgn val="ctr"/>
        <c:lblOffset val="100"/>
        <c:noMultiLvlLbl val="0"/>
      </c:catAx>
      <c:valAx>
        <c:axId val="528824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FFDDDD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2004699827419154E-3"/>
              <c:y val="0.4099761663459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0560"/>
        <c:crosses val="autoZero"/>
        <c:crossBetween val="between"/>
      </c:valAx>
      <c:spPr>
        <a:solidFill>
          <a:srgbClr val="FFFBFB"/>
        </a:solidFill>
        <a:ln>
          <a:solidFill>
            <a:srgbClr val="FFDDDD"/>
          </a:solidFill>
        </a:ln>
        <a:effectLst/>
      </c:spPr>
    </c:plotArea>
    <c:legend>
      <c:legendPos val="b"/>
      <c:layout>
        <c:manualLayout>
          <c:xMode val="edge"/>
          <c:yMode val="edge"/>
          <c:x val="0.37699160657901809"/>
          <c:y val="0.14910428005976731"/>
          <c:w val="0.60007397779924387"/>
          <c:h val="0.190277387296603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10.18: Monthly tourist arrivals by Asian Market, 2021 </a:t>
            </a:r>
          </a:p>
        </c:rich>
      </c:tx>
      <c:layout>
        <c:manualLayout>
          <c:xMode val="edge"/>
          <c:yMode val="edge"/>
          <c:x val="0.17351425367412587"/>
          <c:y val="4.37471646600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6545986632074"/>
          <c:y val="0.15014656490773748"/>
          <c:w val="0.86420778143168298"/>
          <c:h val="0.74491601350388115"/>
        </c:manualLayout>
      </c:layout>
      <c:lineChart>
        <c:grouping val="standard"/>
        <c:varyColors val="0"/>
        <c:ser>
          <c:idx val="0"/>
          <c:order val="0"/>
          <c:tx>
            <c:strRef>
              <c:f>'10.11'!$AA$37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4925" cap="rnd">
              <a:solidFill>
                <a:srgbClr val="FF3B3B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'10.11'!$AB$36:$AM$36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'10.11'!$AB$37:$AM$37</c:f>
              <c:numCache>
                <c:formatCode>_(* #,##0_);_(* \(#,##0\);_(* "-"??_);_(@_)</c:formatCode>
                <c:ptCount val="12"/>
                <c:pt idx="0">
                  <c:v>240</c:v>
                </c:pt>
                <c:pt idx="1">
                  <c:v>257</c:v>
                </c:pt>
                <c:pt idx="2">
                  <c:v>334</c:v>
                </c:pt>
                <c:pt idx="3">
                  <c:v>303</c:v>
                </c:pt>
                <c:pt idx="4">
                  <c:v>305</c:v>
                </c:pt>
                <c:pt idx="5">
                  <c:v>169</c:v>
                </c:pt>
                <c:pt idx="6">
                  <c:v>391</c:v>
                </c:pt>
                <c:pt idx="7">
                  <c:v>522</c:v>
                </c:pt>
                <c:pt idx="8">
                  <c:v>830</c:v>
                </c:pt>
                <c:pt idx="9">
                  <c:v>1664</c:v>
                </c:pt>
                <c:pt idx="10">
                  <c:v>3037</c:v>
                </c:pt>
                <c:pt idx="11">
                  <c:v>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2-40F7-B71E-05A7C82D9A47}"/>
            </c:ext>
          </c:extLst>
        </c:ser>
        <c:ser>
          <c:idx val="1"/>
          <c:order val="1"/>
          <c:tx>
            <c:strRef>
              <c:f>'10.11'!$AA$38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4925" cap="rnd">
              <a:solidFill>
                <a:srgbClr val="FF858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'10.11'!$AB$36:$AM$36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'10.11'!$AB$38:$AM$38</c:f>
              <c:numCache>
                <c:formatCode>_(* #,##0_);_(* \(#,##0\);_(* "-"??_);_(@_)</c:formatCode>
                <c:ptCount val="12"/>
                <c:pt idx="0">
                  <c:v>476</c:v>
                </c:pt>
                <c:pt idx="1">
                  <c:v>678</c:v>
                </c:pt>
                <c:pt idx="2">
                  <c:v>755</c:v>
                </c:pt>
                <c:pt idx="3">
                  <c:v>833</c:v>
                </c:pt>
                <c:pt idx="4">
                  <c:v>914</c:v>
                </c:pt>
                <c:pt idx="5">
                  <c:v>439</c:v>
                </c:pt>
                <c:pt idx="6">
                  <c:v>919</c:v>
                </c:pt>
                <c:pt idx="7">
                  <c:v>805</c:v>
                </c:pt>
                <c:pt idx="8">
                  <c:v>648</c:v>
                </c:pt>
                <c:pt idx="9">
                  <c:v>737</c:v>
                </c:pt>
                <c:pt idx="10">
                  <c:v>738</c:v>
                </c:pt>
                <c:pt idx="11">
                  <c:v>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2-40F7-B71E-05A7C82D9A47}"/>
            </c:ext>
          </c:extLst>
        </c:ser>
        <c:ser>
          <c:idx val="2"/>
          <c:order val="2"/>
          <c:tx>
            <c:strRef>
              <c:f>'10.11'!$AA$39</c:f>
              <c:strCache>
                <c:ptCount val="1"/>
                <c:pt idx="0">
                  <c:v>South Asia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'10.11'!$AB$36:$AM$36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'10.11'!$AB$39:$AM$39</c:f>
              <c:numCache>
                <c:formatCode>_(* #,##0_);_(* \(#,##0\);_(* "-"??_);_(@_)</c:formatCode>
                <c:ptCount val="12"/>
                <c:pt idx="0">
                  <c:v>20190</c:v>
                </c:pt>
                <c:pt idx="1">
                  <c:v>26256</c:v>
                </c:pt>
                <c:pt idx="2">
                  <c:v>28363</c:v>
                </c:pt>
                <c:pt idx="3">
                  <c:v>18933</c:v>
                </c:pt>
                <c:pt idx="4">
                  <c:v>3948</c:v>
                </c:pt>
                <c:pt idx="5">
                  <c:v>600</c:v>
                </c:pt>
                <c:pt idx="6">
                  <c:v>14429</c:v>
                </c:pt>
                <c:pt idx="7">
                  <c:v>56465</c:v>
                </c:pt>
                <c:pt idx="8">
                  <c:v>46388</c:v>
                </c:pt>
                <c:pt idx="9">
                  <c:v>32532</c:v>
                </c:pt>
                <c:pt idx="10">
                  <c:v>32430</c:v>
                </c:pt>
                <c:pt idx="11">
                  <c:v>35954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2-40F7-B71E-05A7C82D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6955272"/>
        <c:axId val="158431488"/>
      </c:lineChart>
      <c:catAx>
        <c:axId val="406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1488"/>
        <c:crosses val="autoZero"/>
        <c:auto val="1"/>
        <c:lblAlgn val="ctr"/>
        <c:lblOffset val="100"/>
        <c:noMultiLvlLbl val="0"/>
      </c:catAx>
      <c:valAx>
        <c:axId val="15843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FFDDDD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919833505218243E-3"/>
              <c:y val="0.4412810501734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5272"/>
        <c:crosses val="autoZero"/>
        <c:crossBetween val="between"/>
      </c:valAx>
      <c:spPr>
        <a:solidFill>
          <a:srgbClr val="FFFBFB"/>
        </a:solidFill>
        <a:ln>
          <a:solidFill>
            <a:srgbClr val="FFDDDD"/>
          </a:solidFill>
        </a:ln>
        <a:effectLst/>
      </c:spPr>
    </c:plotArea>
    <c:legend>
      <c:legendPos val="b"/>
      <c:layout>
        <c:manualLayout>
          <c:xMode val="edge"/>
          <c:yMode val="edge"/>
          <c:x val="0.12732764423950405"/>
          <c:y val="0.16509761789632929"/>
          <c:w val="0.48870088653218152"/>
          <c:h val="0.10090100455399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64943</xdr:colOff>
      <xdr:row>24</xdr:row>
      <xdr:rowOff>146159</xdr:rowOff>
    </xdr:from>
    <xdr:to>
      <xdr:col>6</xdr:col>
      <xdr:colOff>324478</xdr:colOff>
      <xdr:row>43</xdr:row>
      <xdr:rowOff>73269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460551</xdr:colOff>
      <xdr:row>24</xdr:row>
      <xdr:rowOff>121165</xdr:rowOff>
    </xdr:from>
    <xdr:to>
      <xdr:col>14</xdr:col>
      <xdr:colOff>1370889</xdr:colOff>
      <xdr:row>43</xdr:row>
      <xdr:rowOff>62801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DW1479"/>
  <sheetViews>
    <sheetView tabSelected="1" zoomScaleNormal="100" workbookViewId="0">
      <selection activeCell="R6" sqref="R6"/>
    </sheetView>
  </sheetViews>
  <sheetFormatPr defaultColWidth="9.140625" defaultRowHeight="12.75"/>
  <cols>
    <col min="1" max="1" width="24.42578125" style="5" customWidth="1"/>
    <col min="2" max="3" width="10.7109375" style="5" customWidth="1"/>
    <col min="4" max="4" width="10.28515625" style="5" customWidth="1"/>
    <col min="5" max="5" width="10.5703125" style="5" customWidth="1"/>
    <col min="6" max="6" width="10.28515625" style="5" customWidth="1"/>
    <col min="7" max="7" width="9.5703125" style="5" customWidth="1"/>
    <col min="8" max="8" width="9.140625" style="5" customWidth="1"/>
    <col min="9" max="9" width="9.28515625" style="5" customWidth="1"/>
    <col min="10" max="10" width="8.7109375" style="5" customWidth="1"/>
    <col min="11" max="11" width="9.42578125" style="5" customWidth="1"/>
    <col min="12" max="12" width="8.7109375" style="5" customWidth="1"/>
    <col min="13" max="13" width="9" style="5" customWidth="1"/>
    <col min="14" max="14" width="9.5703125" style="5" customWidth="1"/>
    <col min="15" max="15" width="21.5703125" style="42" customWidth="1"/>
    <col min="16" max="26" width="9.140625" style="44"/>
    <col min="27" max="27" width="13.7109375" style="44" customWidth="1"/>
    <col min="28" max="127" width="9.140625" style="44"/>
    <col min="128" max="16384" width="9.140625" style="5"/>
  </cols>
  <sheetData>
    <row r="1" spans="1:127" s="4" customFormat="1" ht="19.5" customHeight="1">
      <c r="A1" s="35" t="s">
        <v>68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</row>
    <row r="2" spans="1:127" ht="16.5" customHeight="1">
      <c r="A2" s="36" t="s">
        <v>69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27" s="7" customFormat="1" ht="29.25" customHeight="1">
      <c r="A3" s="6" t="s">
        <v>38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40" t="s">
        <v>39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</row>
    <row r="4" spans="1:127" s="10" customFormat="1" ht="17.25" customHeight="1">
      <c r="A4" s="8" t="s">
        <v>0</v>
      </c>
      <c r="B4" s="9">
        <f>B5+B11+B15+B16+B17+B18+B19+B20</f>
        <v>1321937</v>
      </c>
      <c r="C4" s="9">
        <f t="shared" ref="C4:N4" si="0">C5+C11+C15+C16+C17+C18+C19+C20</f>
        <v>92103</v>
      </c>
      <c r="D4" s="9">
        <f t="shared" si="0"/>
        <v>96882</v>
      </c>
      <c r="E4" s="9">
        <f t="shared" si="0"/>
        <v>109585</v>
      </c>
      <c r="F4" s="9">
        <f t="shared" si="0"/>
        <v>91200</v>
      </c>
      <c r="G4" s="9">
        <f t="shared" si="0"/>
        <v>64613</v>
      </c>
      <c r="H4" s="9">
        <f t="shared" si="0"/>
        <v>56166</v>
      </c>
      <c r="I4" s="9">
        <f t="shared" si="0"/>
        <v>101818</v>
      </c>
      <c r="J4" s="9">
        <f t="shared" si="0"/>
        <v>143599</v>
      </c>
      <c r="K4" s="9">
        <f t="shared" si="0"/>
        <v>114896</v>
      </c>
      <c r="L4" s="9">
        <f t="shared" si="0"/>
        <v>142066</v>
      </c>
      <c r="M4" s="9">
        <f t="shared" si="0"/>
        <v>144725</v>
      </c>
      <c r="N4" s="9">
        <f t="shared" si="0"/>
        <v>164284</v>
      </c>
      <c r="O4" s="41" t="s">
        <v>1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</row>
    <row r="5" spans="1:127" s="14" customFormat="1" ht="19.5" customHeight="1">
      <c r="A5" s="11" t="s">
        <v>2</v>
      </c>
      <c r="B5" s="12">
        <f t="shared" ref="B5:N5" si="1">SUM(B6:B10)</f>
        <v>772460</v>
      </c>
      <c r="C5" s="12">
        <f>SUM(C6:C10)</f>
        <v>63748</v>
      </c>
      <c r="D5" s="12">
        <f>SUM(D6:D10)</f>
        <v>62686</v>
      </c>
      <c r="E5" s="12">
        <f t="shared" si="1"/>
        <v>69081</v>
      </c>
      <c r="F5" s="12">
        <f t="shared" si="1"/>
        <v>60919</v>
      </c>
      <c r="G5" s="12">
        <f t="shared" si="1"/>
        <v>44276</v>
      </c>
      <c r="H5" s="12">
        <f t="shared" si="1"/>
        <v>35997</v>
      </c>
      <c r="I5" s="12">
        <f t="shared" si="1"/>
        <v>53279</v>
      </c>
      <c r="J5" s="12">
        <f t="shared" si="1"/>
        <v>59580</v>
      </c>
      <c r="K5" s="12">
        <f t="shared" si="1"/>
        <v>46055</v>
      </c>
      <c r="L5" s="12">
        <f t="shared" si="1"/>
        <v>86309</v>
      </c>
      <c r="M5" s="12">
        <f t="shared" si="1"/>
        <v>86222</v>
      </c>
      <c r="N5" s="12">
        <f t="shared" si="1"/>
        <v>104308</v>
      </c>
      <c r="O5" s="13" t="s">
        <v>3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</row>
    <row r="6" spans="1:127" s="18" customFormat="1" ht="19.5" customHeight="1">
      <c r="A6" s="15" t="s">
        <v>40</v>
      </c>
      <c r="B6" s="16">
        <f t="shared" ref="B6:B18" si="2">SUM(C6:N6)</f>
        <v>390738</v>
      </c>
      <c r="C6" s="16">
        <v>46148</v>
      </c>
      <c r="D6" s="16">
        <v>45318</v>
      </c>
      <c r="E6" s="16">
        <v>46554</v>
      </c>
      <c r="F6" s="16">
        <v>39863</v>
      </c>
      <c r="G6" s="16">
        <v>26965</v>
      </c>
      <c r="H6" s="16">
        <v>23663</v>
      </c>
      <c r="I6" s="16">
        <v>26038</v>
      </c>
      <c r="J6" s="16">
        <v>24366</v>
      </c>
      <c r="K6" s="16">
        <v>17726</v>
      </c>
      <c r="L6" s="16">
        <v>28665</v>
      </c>
      <c r="M6" s="16">
        <v>29425</v>
      </c>
      <c r="N6" s="16">
        <v>36007</v>
      </c>
      <c r="O6" s="17" t="s">
        <v>41</v>
      </c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</row>
    <row r="7" spans="1:127" s="18" customFormat="1" ht="19.5" customHeight="1">
      <c r="A7" s="15" t="s">
        <v>42</v>
      </c>
      <c r="B7" s="16">
        <f t="shared" si="2"/>
        <v>82893</v>
      </c>
      <c r="C7" s="16">
        <v>3448</v>
      </c>
      <c r="D7" s="16">
        <v>3179</v>
      </c>
      <c r="E7" s="16">
        <v>4368</v>
      </c>
      <c r="F7" s="16">
        <v>3771</v>
      </c>
      <c r="G7" s="16">
        <v>2716</v>
      </c>
      <c r="H7" s="16">
        <v>962</v>
      </c>
      <c r="I7" s="16">
        <v>3552</v>
      </c>
      <c r="J7" s="16">
        <v>2196</v>
      </c>
      <c r="K7" s="16">
        <v>2091</v>
      </c>
      <c r="L7" s="16">
        <v>16812</v>
      </c>
      <c r="M7" s="16">
        <v>18073</v>
      </c>
      <c r="N7" s="16">
        <v>21725</v>
      </c>
      <c r="O7" s="17" t="s">
        <v>43</v>
      </c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</row>
    <row r="8" spans="1:127" s="18" customFormat="1" ht="19.5" customHeight="1">
      <c r="A8" s="15" t="s">
        <v>44</v>
      </c>
      <c r="B8" s="16">
        <f t="shared" si="2"/>
        <v>96247</v>
      </c>
      <c r="C8" s="16">
        <v>2624</v>
      </c>
      <c r="D8" s="16">
        <v>3094</v>
      </c>
      <c r="E8" s="16">
        <v>4677</v>
      </c>
      <c r="F8" s="16">
        <v>4647</v>
      </c>
      <c r="G8" s="16">
        <v>4296</v>
      </c>
      <c r="H8" s="16">
        <v>5187</v>
      </c>
      <c r="I8" s="16">
        <v>9256</v>
      </c>
      <c r="J8" s="16">
        <v>14432</v>
      </c>
      <c r="K8" s="16">
        <v>7746</v>
      </c>
      <c r="L8" s="16">
        <v>10437</v>
      </c>
      <c r="M8" s="16">
        <v>11468</v>
      </c>
      <c r="N8" s="16">
        <v>18383</v>
      </c>
      <c r="O8" s="17" t="s">
        <v>45</v>
      </c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</row>
    <row r="9" spans="1:127" s="18" customFormat="1" ht="19.5" customHeight="1">
      <c r="A9" s="15" t="s">
        <v>46</v>
      </c>
      <c r="B9" s="16">
        <f t="shared" si="2"/>
        <v>178920</v>
      </c>
      <c r="C9" s="16">
        <v>10865</v>
      </c>
      <c r="D9" s="16">
        <v>10506</v>
      </c>
      <c r="E9" s="16">
        <v>12341</v>
      </c>
      <c r="F9" s="16">
        <v>11028</v>
      </c>
      <c r="G9" s="16">
        <v>8680</v>
      </c>
      <c r="H9" s="16">
        <v>4558</v>
      </c>
      <c r="I9" s="16">
        <v>11401</v>
      </c>
      <c r="J9" s="16">
        <v>15792</v>
      </c>
      <c r="K9" s="16">
        <v>14388</v>
      </c>
      <c r="L9" s="16">
        <v>28526</v>
      </c>
      <c r="M9" s="16">
        <v>24980</v>
      </c>
      <c r="N9" s="16">
        <v>25855</v>
      </c>
      <c r="O9" s="17" t="s">
        <v>47</v>
      </c>
      <c r="P9" s="45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</row>
    <row r="10" spans="1:127" s="18" customFormat="1" ht="19.5" customHeight="1">
      <c r="A10" s="19" t="s">
        <v>48</v>
      </c>
      <c r="B10" s="16">
        <f t="shared" si="2"/>
        <v>23662</v>
      </c>
      <c r="C10" s="16">
        <v>663</v>
      </c>
      <c r="D10" s="16">
        <v>589</v>
      </c>
      <c r="E10" s="16">
        <v>1141</v>
      </c>
      <c r="F10" s="16">
        <v>1610</v>
      </c>
      <c r="G10" s="16">
        <v>1619</v>
      </c>
      <c r="H10" s="16">
        <v>1627</v>
      </c>
      <c r="I10" s="16">
        <v>3032</v>
      </c>
      <c r="J10" s="16">
        <v>2794</v>
      </c>
      <c r="K10" s="16">
        <v>4104</v>
      </c>
      <c r="L10" s="16">
        <v>1869</v>
      </c>
      <c r="M10" s="16">
        <v>2276</v>
      </c>
      <c r="N10" s="16">
        <v>2338</v>
      </c>
      <c r="O10" s="17" t="s">
        <v>49</v>
      </c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</row>
    <row r="11" spans="1:127" s="14" customFormat="1" ht="19.5" customHeight="1">
      <c r="A11" s="11" t="s">
        <v>4</v>
      </c>
      <c r="B11" s="12">
        <f t="shared" si="2"/>
        <v>336546</v>
      </c>
      <c r="C11" s="12">
        <f>SUM(C12:C14)</f>
        <v>20906</v>
      </c>
      <c r="D11" s="12">
        <f>SUM(D12:D14)</f>
        <v>27191</v>
      </c>
      <c r="E11" s="12">
        <f t="shared" ref="E11:N11" si="3">SUM(E12:E14)</f>
        <v>29452</v>
      </c>
      <c r="F11" s="12">
        <f t="shared" si="3"/>
        <v>20069</v>
      </c>
      <c r="G11" s="12">
        <f t="shared" si="3"/>
        <v>5167</v>
      </c>
      <c r="H11" s="12">
        <f t="shared" si="3"/>
        <v>1208</v>
      </c>
      <c r="I11" s="12">
        <f t="shared" si="3"/>
        <v>15739</v>
      </c>
      <c r="J11" s="12">
        <f t="shared" si="3"/>
        <v>57792</v>
      </c>
      <c r="K11" s="12">
        <f t="shared" si="3"/>
        <v>47866</v>
      </c>
      <c r="L11" s="12">
        <f t="shared" si="3"/>
        <v>34933</v>
      </c>
      <c r="M11" s="12">
        <f t="shared" si="3"/>
        <v>36205</v>
      </c>
      <c r="N11" s="12">
        <f t="shared" si="3"/>
        <v>40018</v>
      </c>
      <c r="O11" s="13" t="s">
        <v>5</v>
      </c>
      <c r="P11" s="49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</row>
    <row r="12" spans="1:127" s="18" customFormat="1" ht="19.5" customHeight="1">
      <c r="A12" s="15" t="s">
        <v>50</v>
      </c>
      <c r="B12" s="16">
        <f t="shared" si="2"/>
        <v>10519</v>
      </c>
      <c r="C12" s="16">
        <v>240</v>
      </c>
      <c r="D12" s="16">
        <v>257</v>
      </c>
      <c r="E12" s="16">
        <v>334</v>
      </c>
      <c r="F12" s="16">
        <v>303</v>
      </c>
      <c r="G12" s="16">
        <v>305</v>
      </c>
      <c r="H12" s="16">
        <v>169</v>
      </c>
      <c r="I12" s="16">
        <v>391</v>
      </c>
      <c r="J12" s="16">
        <v>522</v>
      </c>
      <c r="K12" s="16">
        <v>830</v>
      </c>
      <c r="L12" s="16">
        <v>1664</v>
      </c>
      <c r="M12" s="16">
        <v>3037</v>
      </c>
      <c r="N12" s="16">
        <v>2467</v>
      </c>
      <c r="O12" s="17" t="s">
        <v>51</v>
      </c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</row>
    <row r="13" spans="1:127" s="18" customFormat="1" ht="19.5" customHeight="1">
      <c r="A13" s="15" t="s">
        <v>52</v>
      </c>
      <c r="B13" s="16">
        <f t="shared" si="2"/>
        <v>9539</v>
      </c>
      <c r="C13" s="16">
        <v>476</v>
      </c>
      <c r="D13" s="16">
        <v>678</v>
      </c>
      <c r="E13" s="16">
        <v>755</v>
      </c>
      <c r="F13" s="16">
        <v>833</v>
      </c>
      <c r="G13" s="16">
        <v>914</v>
      </c>
      <c r="H13" s="16">
        <v>439</v>
      </c>
      <c r="I13" s="16">
        <v>919</v>
      </c>
      <c r="J13" s="16">
        <v>805</v>
      </c>
      <c r="K13" s="16">
        <v>648</v>
      </c>
      <c r="L13" s="16">
        <v>737</v>
      </c>
      <c r="M13" s="16">
        <v>738</v>
      </c>
      <c r="N13" s="16">
        <v>1597</v>
      </c>
      <c r="O13" s="17" t="s">
        <v>53</v>
      </c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</row>
    <row r="14" spans="1:127" s="18" customFormat="1" ht="19.5" customHeight="1">
      <c r="A14" s="15" t="s">
        <v>54</v>
      </c>
      <c r="B14" s="16">
        <f t="shared" si="2"/>
        <v>316488</v>
      </c>
      <c r="C14" s="16">
        <v>20190</v>
      </c>
      <c r="D14" s="16">
        <v>26256</v>
      </c>
      <c r="E14" s="16">
        <v>28363</v>
      </c>
      <c r="F14" s="16">
        <v>18933</v>
      </c>
      <c r="G14" s="16">
        <v>3948</v>
      </c>
      <c r="H14" s="16">
        <v>600</v>
      </c>
      <c r="I14" s="16">
        <v>14429</v>
      </c>
      <c r="J14" s="16">
        <v>56465</v>
      </c>
      <c r="K14" s="16">
        <v>46388</v>
      </c>
      <c r="L14" s="16">
        <v>32532</v>
      </c>
      <c r="M14" s="16">
        <v>32430</v>
      </c>
      <c r="N14" s="16">
        <v>35954</v>
      </c>
      <c r="O14" s="17" t="s">
        <v>55</v>
      </c>
      <c r="P14" s="45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</row>
    <row r="15" spans="1:127" s="14" customFormat="1" ht="19.5" customHeight="1">
      <c r="A15" s="11" t="s">
        <v>8</v>
      </c>
      <c r="B15" s="12">
        <f t="shared" si="2"/>
        <v>4849</v>
      </c>
      <c r="C15" s="12">
        <v>327</v>
      </c>
      <c r="D15" s="12">
        <v>326</v>
      </c>
      <c r="E15" s="12">
        <v>481</v>
      </c>
      <c r="F15" s="12">
        <v>467</v>
      </c>
      <c r="G15" s="12">
        <v>436</v>
      </c>
      <c r="H15" s="12">
        <v>158</v>
      </c>
      <c r="I15" s="12">
        <v>528</v>
      </c>
      <c r="J15" s="12">
        <v>306</v>
      </c>
      <c r="K15" s="12">
        <v>239</v>
      </c>
      <c r="L15" s="12">
        <v>376</v>
      </c>
      <c r="M15" s="12">
        <v>452</v>
      </c>
      <c r="N15" s="12">
        <v>753</v>
      </c>
      <c r="O15" s="13" t="s">
        <v>7</v>
      </c>
      <c r="P15" s="49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50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</row>
    <row r="16" spans="1:127" s="14" customFormat="1" ht="19.5" customHeight="1">
      <c r="A16" s="11" t="s">
        <v>6</v>
      </c>
      <c r="B16" s="12">
        <f t="shared" si="2"/>
        <v>27442</v>
      </c>
      <c r="C16" s="12">
        <v>890</v>
      </c>
      <c r="D16" s="12">
        <v>822</v>
      </c>
      <c r="E16" s="12">
        <v>1486</v>
      </c>
      <c r="F16" s="12">
        <v>1957</v>
      </c>
      <c r="G16" s="12">
        <v>1729</v>
      </c>
      <c r="H16" s="12">
        <v>2190</v>
      </c>
      <c r="I16" s="12">
        <v>4160</v>
      </c>
      <c r="J16" s="12">
        <v>3469</v>
      </c>
      <c r="K16" s="12">
        <v>3657</v>
      </c>
      <c r="L16" s="12">
        <v>3659</v>
      </c>
      <c r="M16" s="12">
        <v>2044</v>
      </c>
      <c r="N16" s="12">
        <v>1379</v>
      </c>
      <c r="O16" s="13" t="s">
        <v>56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51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</row>
    <row r="17" spans="1:127" s="14" customFormat="1" ht="19.5" customHeight="1">
      <c r="A17" s="11" t="s">
        <v>57</v>
      </c>
      <c r="B17" s="12">
        <f t="shared" si="2"/>
        <v>88910</v>
      </c>
      <c r="C17" s="12">
        <v>3840</v>
      </c>
      <c r="D17" s="12">
        <v>3846</v>
      </c>
      <c r="E17" s="12">
        <v>5686</v>
      </c>
      <c r="F17" s="12">
        <v>5457</v>
      </c>
      <c r="G17" s="12">
        <v>5918</v>
      </c>
      <c r="H17" s="12">
        <v>5552</v>
      </c>
      <c r="I17" s="12">
        <v>8681</v>
      </c>
      <c r="J17" s="12">
        <v>7997</v>
      </c>
      <c r="K17" s="12">
        <v>8753</v>
      </c>
      <c r="L17" s="12">
        <v>9953</v>
      </c>
      <c r="M17" s="12">
        <v>12573</v>
      </c>
      <c r="N17" s="12">
        <v>10654</v>
      </c>
      <c r="O17" s="13" t="s">
        <v>58</v>
      </c>
      <c r="P17" s="49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51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</row>
    <row r="18" spans="1:127" s="14" customFormat="1" ht="19.5" customHeight="1">
      <c r="A18" s="11" t="s">
        <v>9</v>
      </c>
      <c r="B18" s="12">
        <f t="shared" si="2"/>
        <v>91413</v>
      </c>
      <c r="C18" s="12">
        <v>2367</v>
      </c>
      <c r="D18" s="12">
        <v>1992</v>
      </c>
      <c r="E18" s="12">
        <v>3370</v>
      </c>
      <c r="F18" s="12">
        <v>2298</v>
      </c>
      <c r="G18" s="12">
        <v>7059</v>
      </c>
      <c r="H18" s="12">
        <v>11046</v>
      </c>
      <c r="I18" s="12">
        <v>19397</v>
      </c>
      <c r="J18" s="12">
        <v>14416</v>
      </c>
      <c r="K18" s="12">
        <v>8303</v>
      </c>
      <c r="L18" s="12">
        <v>6807</v>
      </c>
      <c r="M18" s="12">
        <v>7211</v>
      </c>
      <c r="N18" s="12">
        <v>7147</v>
      </c>
      <c r="O18" s="13" t="s">
        <v>59</v>
      </c>
      <c r="P18" s="49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51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</row>
    <row r="19" spans="1:127" s="14" customFormat="1" ht="19.5" customHeight="1">
      <c r="A19" s="11" t="s">
        <v>60</v>
      </c>
      <c r="B19" s="12">
        <f>SUM(C19:N19)</f>
        <v>44</v>
      </c>
      <c r="C19" s="12">
        <v>1</v>
      </c>
      <c r="D19" s="12">
        <v>3</v>
      </c>
      <c r="E19" s="12">
        <v>4</v>
      </c>
      <c r="F19" s="12">
        <v>1</v>
      </c>
      <c r="G19" s="12">
        <v>1</v>
      </c>
      <c r="H19" s="12">
        <v>0</v>
      </c>
      <c r="I19" s="12">
        <v>0</v>
      </c>
      <c r="J19" s="12">
        <v>4</v>
      </c>
      <c r="K19" s="12">
        <v>17</v>
      </c>
      <c r="L19" s="12">
        <v>7</v>
      </c>
      <c r="M19" s="12">
        <v>2</v>
      </c>
      <c r="N19" s="12">
        <v>4</v>
      </c>
      <c r="O19" s="1" t="s">
        <v>10</v>
      </c>
      <c r="P19" s="49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51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</row>
    <row r="20" spans="1:127" s="14" customFormat="1" ht="19.5" customHeight="1">
      <c r="A20" s="20" t="s">
        <v>61</v>
      </c>
      <c r="B20" s="21">
        <f>SUM(C20:N20)</f>
        <v>273</v>
      </c>
      <c r="C20" s="21">
        <v>24</v>
      </c>
      <c r="D20" s="21">
        <v>16</v>
      </c>
      <c r="E20" s="21">
        <v>25</v>
      </c>
      <c r="F20" s="21">
        <v>32</v>
      </c>
      <c r="G20" s="21">
        <v>27</v>
      </c>
      <c r="H20" s="21">
        <v>15</v>
      </c>
      <c r="I20" s="21">
        <v>34</v>
      </c>
      <c r="J20" s="21">
        <v>35</v>
      </c>
      <c r="K20" s="21">
        <v>6</v>
      </c>
      <c r="L20" s="21">
        <v>22</v>
      </c>
      <c r="M20" s="21">
        <v>16</v>
      </c>
      <c r="N20" s="21">
        <v>21</v>
      </c>
      <c r="O20" s="22" t="s">
        <v>62</v>
      </c>
      <c r="P20" s="49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51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</row>
    <row r="21" spans="1:127" s="25" customFormat="1" ht="15.75" customHeight="1">
      <c r="A21" s="2" t="s">
        <v>11</v>
      </c>
      <c r="B21" s="23"/>
      <c r="C21" s="24"/>
      <c r="D21" s="23" t="s">
        <v>63</v>
      </c>
      <c r="E21" s="23"/>
      <c r="F21" s="23"/>
      <c r="G21" s="23"/>
      <c r="H21" s="23"/>
      <c r="I21" s="23"/>
      <c r="J21" s="23"/>
      <c r="K21" s="23"/>
      <c r="L21" s="23"/>
      <c r="M21" s="32"/>
      <c r="N21" s="32"/>
      <c r="O21" s="31" t="s">
        <v>13</v>
      </c>
      <c r="P21" s="45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51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</row>
    <row r="22" spans="1:127" s="29" customFormat="1" ht="13.5" customHeight="1">
      <c r="A22" s="26" t="s">
        <v>64</v>
      </c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37" t="s">
        <v>65</v>
      </c>
      <c r="N22" s="38"/>
      <c r="O22" s="39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52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</row>
    <row r="23" spans="1:127">
      <c r="A23" s="33" t="s">
        <v>66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27">
      <c r="A24" s="34" t="s">
        <v>67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7" spans="1:127">
      <c r="AA27" s="50"/>
      <c r="AB27" s="44" t="s">
        <v>14</v>
      </c>
      <c r="AC27" s="44" t="s">
        <v>15</v>
      </c>
      <c r="AD27" s="44" t="s">
        <v>16</v>
      </c>
      <c r="AE27" s="44" t="s">
        <v>17</v>
      </c>
      <c r="AF27" s="44" t="s">
        <v>12</v>
      </c>
      <c r="AG27" s="44" t="s">
        <v>18</v>
      </c>
      <c r="AH27" s="44" t="s">
        <v>19</v>
      </c>
      <c r="AI27" s="44" t="s">
        <v>20</v>
      </c>
      <c r="AJ27" s="44" t="s">
        <v>21</v>
      </c>
      <c r="AK27" s="44" t="s">
        <v>22</v>
      </c>
      <c r="AL27" s="44" t="s">
        <v>23</v>
      </c>
      <c r="AM27" s="44" t="s">
        <v>24</v>
      </c>
    </row>
    <row r="28" spans="1:127">
      <c r="A28" s="11"/>
      <c r="B28" s="12"/>
      <c r="AA28" s="51" t="s">
        <v>40</v>
      </c>
      <c r="AB28" s="16">
        <f>C6</f>
        <v>46148</v>
      </c>
      <c r="AC28" s="16">
        <f t="shared" ref="AC28:AM32" si="4">D6</f>
        <v>45318</v>
      </c>
      <c r="AD28" s="16">
        <f t="shared" si="4"/>
        <v>46554</v>
      </c>
      <c r="AE28" s="16">
        <f t="shared" si="4"/>
        <v>39863</v>
      </c>
      <c r="AF28" s="16">
        <f t="shared" si="4"/>
        <v>26965</v>
      </c>
      <c r="AG28" s="16">
        <f t="shared" si="4"/>
        <v>23663</v>
      </c>
      <c r="AH28" s="16">
        <f t="shared" si="4"/>
        <v>26038</v>
      </c>
      <c r="AI28" s="16">
        <f t="shared" si="4"/>
        <v>24366</v>
      </c>
      <c r="AJ28" s="16">
        <f t="shared" si="4"/>
        <v>17726</v>
      </c>
      <c r="AK28" s="16">
        <f t="shared" si="4"/>
        <v>28665</v>
      </c>
      <c r="AL28" s="16">
        <f t="shared" si="4"/>
        <v>29425</v>
      </c>
      <c r="AM28" s="16">
        <f t="shared" si="4"/>
        <v>36007</v>
      </c>
    </row>
    <row r="29" spans="1:127">
      <c r="A29" s="11"/>
      <c r="B29" s="12"/>
      <c r="AA29" s="51" t="s">
        <v>42</v>
      </c>
      <c r="AB29" s="16">
        <f>C7</f>
        <v>3448</v>
      </c>
      <c r="AC29" s="16">
        <f t="shared" si="4"/>
        <v>3179</v>
      </c>
      <c r="AD29" s="16">
        <f t="shared" si="4"/>
        <v>4368</v>
      </c>
      <c r="AE29" s="16">
        <f t="shared" si="4"/>
        <v>3771</v>
      </c>
      <c r="AF29" s="16">
        <f t="shared" si="4"/>
        <v>2716</v>
      </c>
      <c r="AG29" s="16">
        <f t="shared" si="4"/>
        <v>962</v>
      </c>
      <c r="AH29" s="16">
        <f t="shared" si="4"/>
        <v>3552</v>
      </c>
      <c r="AI29" s="16">
        <f t="shared" si="4"/>
        <v>2196</v>
      </c>
      <c r="AJ29" s="16">
        <f t="shared" si="4"/>
        <v>2091</v>
      </c>
      <c r="AK29" s="16">
        <f t="shared" si="4"/>
        <v>16812</v>
      </c>
      <c r="AL29" s="16">
        <f t="shared" si="4"/>
        <v>18073</v>
      </c>
      <c r="AM29" s="16">
        <f t="shared" si="4"/>
        <v>21725</v>
      </c>
    </row>
    <row r="30" spans="1:127">
      <c r="A30" s="11"/>
      <c r="B30" s="12"/>
      <c r="AA30" s="51" t="s">
        <v>44</v>
      </c>
      <c r="AB30" s="16">
        <f>C8</f>
        <v>2624</v>
      </c>
      <c r="AC30" s="16">
        <f t="shared" si="4"/>
        <v>3094</v>
      </c>
      <c r="AD30" s="16">
        <f t="shared" si="4"/>
        <v>4677</v>
      </c>
      <c r="AE30" s="16">
        <f t="shared" si="4"/>
        <v>4647</v>
      </c>
      <c r="AF30" s="16">
        <f t="shared" si="4"/>
        <v>4296</v>
      </c>
      <c r="AG30" s="16">
        <f t="shared" si="4"/>
        <v>5187</v>
      </c>
      <c r="AH30" s="16">
        <f t="shared" si="4"/>
        <v>9256</v>
      </c>
      <c r="AI30" s="16">
        <f t="shared" si="4"/>
        <v>14432</v>
      </c>
      <c r="AJ30" s="16">
        <f t="shared" si="4"/>
        <v>7746</v>
      </c>
      <c r="AK30" s="16">
        <f t="shared" si="4"/>
        <v>10437</v>
      </c>
      <c r="AL30" s="16">
        <f t="shared" si="4"/>
        <v>11468</v>
      </c>
      <c r="AM30" s="16">
        <f t="shared" si="4"/>
        <v>18383</v>
      </c>
    </row>
    <row r="31" spans="1:127">
      <c r="A31" s="11"/>
      <c r="B31" s="11"/>
      <c r="C31" s="11"/>
      <c r="AA31" s="51" t="s">
        <v>46</v>
      </c>
      <c r="AB31" s="16">
        <f>C9</f>
        <v>10865</v>
      </c>
      <c r="AC31" s="16">
        <f t="shared" si="4"/>
        <v>10506</v>
      </c>
      <c r="AD31" s="16">
        <f t="shared" si="4"/>
        <v>12341</v>
      </c>
      <c r="AE31" s="16">
        <f t="shared" si="4"/>
        <v>11028</v>
      </c>
      <c r="AF31" s="16">
        <f t="shared" si="4"/>
        <v>8680</v>
      </c>
      <c r="AG31" s="16">
        <f t="shared" si="4"/>
        <v>4558</v>
      </c>
      <c r="AH31" s="16">
        <f t="shared" si="4"/>
        <v>11401</v>
      </c>
      <c r="AI31" s="16">
        <f t="shared" si="4"/>
        <v>15792</v>
      </c>
      <c r="AJ31" s="16">
        <f t="shared" si="4"/>
        <v>14388</v>
      </c>
      <c r="AK31" s="16">
        <f t="shared" si="4"/>
        <v>28526</v>
      </c>
      <c r="AL31" s="16">
        <f t="shared" si="4"/>
        <v>24980</v>
      </c>
      <c r="AM31" s="16">
        <f t="shared" si="4"/>
        <v>25855</v>
      </c>
    </row>
    <row r="32" spans="1:127" ht="25.5">
      <c r="A32" s="11"/>
      <c r="B32" s="11"/>
      <c r="C32" s="11"/>
      <c r="AA32" s="52" t="s">
        <v>48</v>
      </c>
      <c r="AB32" s="16">
        <f>C10</f>
        <v>663</v>
      </c>
      <c r="AC32" s="16">
        <f t="shared" si="4"/>
        <v>589</v>
      </c>
      <c r="AD32" s="16">
        <f t="shared" si="4"/>
        <v>1141</v>
      </c>
      <c r="AE32" s="16">
        <f t="shared" si="4"/>
        <v>1610</v>
      </c>
      <c r="AF32" s="16">
        <f t="shared" si="4"/>
        <v>1619</v>
      </c>
      <c r="AG32" s="16">
        <f t="shared" si="4"/>
        <v>1627</v>
      </c>
      <c r="AH32" s="16">
        <f t="shared" si="4"/>
        <v>3032</v>
      </c>
      <c r="AI32" s="16">
        <f t="shared" si="4"/>
        <v>2794</v>
      </c>
      <c r="AJ32" s="16">
        <f t="shared" si="4"/>
        <v>4104</v>
      </c>
      <c r="AK32" s="16">
        <f t="shared" si="4"/>
        <v>1869</v>
      </c>
      <c r="AL32" s="16">
        <f t="shared" si="4"/>
        <v>2276</v>
      </c>
      <c r="AM32" s="16">
        <f t="shared" si="4"/>
        <v>2338</v>
      </c>
    </row>
    <row r="33" spans="1:127">
      <c r="A33" s="11"/>
      <c r="B33" s="11"/>
      <c r="C33" s="11"/>
    </row>
    <row r="34" spans="1:127">
      <c r="A34" s="11"/>
      <c r="B34" s="11"/>
      <c r="C34" s="11"/>
    </row>
    <row r="35" spans="1:127">
      <c r="A35" s="11"/>
      <c r="B35" s="11"/>
      <c r="C35" s="11"/>
    </row>
    <row r="36" spans="1:127">
      <c r="AA36" s="50"/>
      <c r="AB36" s="44" t="s">
        <v>14</v>
      </c>
      <c r="AC36" s="44" t="s">
        <v>15</v>
      </c>
      <c r="AD36" s="44" t="s">
        <v>16</v>
      </c>
      <c r="AE36" s="44" t="s">
        <v>17</v>
      </c>
      <c r="AF36" s="44" t="s">
        <v>12</v>
      </c>
      <c r="AG36" s="44" t="s">
        <v>18</v>
      </c>
      <c r="AH36" s="44" t="s">
        <v>19</v>
      </c>
      <c r="AI36" s="44" t="s">
        <v>20</v>
      </c>
      <c r="AJ36" s="44" t="s">
        <v>21</v>
      </c>
      <c r="AK36" s="44" t="s">
        <v>22</v>
      </c>
      <c r="AL36" s="44" t="s">
        <v>23</v>
      </c>
      <c r="AM36" s="44" t="s">
        <v>24</v>
      </c>
    </row>
    <row r="37" spans="1:127">
      <c r="AA37" s="51" t="s">
        <v>50</v>
      </c>
      <c r="AB37" s="16">
        <f>C12</f>
        <v>240</v>
      </c>
      <c r="AC37" s="16">
        <f t="shared" ref="AC37:AM39" si="5">D12</f>
        <v>257</v>
      </c>
      <c r="AD37" s="16">
        <f t="shared" si="5"/>
        <v>334</v>
      </c>
      <c r="AE37" s="16">
        <f t="shared" si="5"/>
        <v>303</v>
      </c>
      <c r="AF37" s="16">
        <f t="shared" si="5"/>
        <v>305</v>
      </c>
      <c r="AG37" s="16">
        <f t="shared" si="5"/>
        <v>169</v>
      </c>
      <c r="AH37" s="16">
        <f t="shared" si="5"/>
        <v>391</v>
      </c>
      <c r="AI37" s="16">
        <f t="shared" si="5"/>
        <v>522</v>
      </c>
      <c r="AJ37" s="16">
        <f t="shared" si="5"/>
        <v>830</v>
      </c>
      <c r="AK37" s="16">
        <f t="shared" si="5"/>
        <v>1664</v>
      </c>
      <c r="AL37" s="16">
        <f t="shared" si="5"/>
        <v>3037</v>
      </c>
      <c r="AM37" s="16">
        <f t="shared" si="5"/>
        <v>2467</v>
      </c>
    </row>
    <row r="38" spans="1:127">
      <c r="AA38" s="51" t="s">
        <v>52</v>
      </c>
      <c r="AB38" s="16">
        <f>C13</f>
        <v>476</v>
      </c>
      <c r="AC38" s="16">
        <f t="shared" si="5"/>
        <v>678</v>
      </c>
      <c r="AD38" s="16">
        <f t="shared" si="5"/>
        <v>755</v>
      </c>
      <c r="AE38" s="16">
        <f t="shared" si="5"/>
        <v>833</v>
      </c>
      <c r="AF38" s="16">
        <f t="shared" si="5"/>
        <v>914</v>
      </c>
      <c r="AG38" s="16">
        <f t="shared" si="5"/>
        <v>439</v>
      </c>
      <c r="AH38" s="16">
        <f t="shared" si="5"/>
        <v>919</v>
      </c>
      <c r="AI38" s="16">
        <f t="shared" si="5"/>
        <v>805</v>
      </c>
      <c r="AJ38" s="16">
        <f t="shared" si="5"/>
        <v>648</v>
      </c>
      <c r="AK38" s="16">
        <f t="shared" si="5"/>
        <v>737</v>
      </c>
      <c r="AL38" s="16">
        <f t="shared" si="5"/>
        <v>738</v>
      </c>
      <c r="AM38" s="16">
        <f t="shared" si="5"/>
        <v>1597</v>
      </c>
    </row>
    <row r="39" spans="1:127">
      <c r="AA39" s="51" t="s">
        <v>54</v>
      </c>
      <c r="AB39" s="16">
        <f>C14</f>
        <v>20190</v>
      </c>
      <c r="AC39" s="16">
        <f t="shared" si="5"/>
        <v>26256</v>
      </c>
      <c r="AD39" s="16">
        <f t="shared" si="5"/>
        <v>28363</v>
      </c>
      <c r="AE39" s="16">
        <f t="shared" si="5"/>
        <v>18933</v>
      </c>
      <c r="AF39" s="16">
        <f t="shared" si="5"/>
        <v>3948</v>
      </c>
      <c r="AG39" s="16">
        <f t="shared" si="5"/>
        <v>600</v>
      </c>
      <c r="AH39" s="16">
        <f t="shared" si="5"/>
        <v>14429</v>
      </c>
      <c r="AI39" s="16">
        <f t="shared" si="5"/>
        <v>56465</v>
      </c>
      <c r="AJ39" s="16">
        <f t="shared" si="5"/>
        <v>46388</v>
      </c>
      <c r="AK39" s="16">
        <f t="shared" si="5"/>
        <v>32532</v>
      </c>
      <c r="AL39" s="16">
        <f t="shared" si="5"/>
        <v>32430</v>
      </c>
      <c r="AM39" s="16">
        <f t="shared" si="5"/>
        <v>35954</v>
      </c>
    </row>
    <row r="42" spans="1:127" s="53" customFormat="1">
      <c r="O42" s="5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</row>
    <row r="43" spans="1:127" s="44" customFormat="1"/>
    <row r="44" spans="1:127" s="44" customFormat="1"/>
    <row r="45" spans="1:127" s="44" customFormat="1"/>
    <row r="46" spans="1:127" s="44" customFormat="1"/>
    <row r="47" spans="1:127" s="44" customFormat="1"/>
    <row r="48" spans="1:127" s="44" customFormat="1"/>
    <row r="49" spans="1:1" s="44" customFormat="1"/>
    <row r="50" spans="1:1" s="44" customFormat="1"/>
    <row r="51" spans="1:1" s="44" customFormat="1"/>
    <row r="52" spans="1:1" s="44" customFormat="1">
      <c r="A52" s="55"/>
    </row>
    <row r="53" spans="1:1" s="44" customFormat="1"/>
    <row r="54" spans="1:1" s="44" customFormat="1"/>
    <row r="55" spans="1:1" s="44" customFormat="1"/>
    <row r="56" spans="1:1" s="44" customFormat="1"/>
    <row r="57" spans="1:1" s="44" customFormat="1"/>
    <row r="58" spans="1:1" s="44" customFormat="1"/>
    <row r="59" spans="1:1" s="44" customFormat="1"/>
    <row r="60" spans="1:1" s="44" customFormat="1"/>
    <row r="61" spans="1:1" s="44" customFormat="1"/>
    <row r="62" spans="1:1" s="44" customFormat="1"/>
    <row r="63" spans="1:1" s="44" customFormat="1"/>
    <row r="64" spans="1:1" s="44" customFormat="1"/>
    <row r="65" s="44" customFormat="1"/>
    <row r="66" s="44" customFormat="1"/>
    <row r="67" s="44" customFormat="1"/>
    <row r="68" s="44" customFormat="1"/>
    <row r="69" s="44" customFormat="1"/>
    <row r="70" s="44" customFormat="1"/>
    <row r="71" s="44" customFormat="1"/>
    <row r="72" s="44" customFormat="1"/>
    <row r="73" s="44" customFormat="1"/>
    <row r="74" s="44" customFormat="1"/>
    <row r="75" s="44" customFormat="1"/>
    <row r="76" s="44" customFormat="1"/>
    <row r="77" s="44" customFormat="1"/>
    <row r="78" s="44" customFormat="1"/>
    <row r="79" s="44" customFormat="1"/>
    <row r="80" s="44" customFormat="1"/>
    <row r="81" s="44" customFormat="1"/>
    <row r="82" s="44" customFormat="1"/>
    <row r="83" s="44" customFormat="1"/>
    <row r="84" s="44" customFormat="1"/>
    <row r="85" s="44" customFormat="1"/>
    <row r="86" s="44" customFormat="1"/>
    <row r="87" s="44" customFormat="1"/>
    <row r="88" s="44" customFormat="1"/>
    <row r="89" s="44" customFormat="1"/>
    <row r="90" s="44" customFormat="1"/>
    <row r="91" s="44" customFormat="1"/>
    <row r="92" s="44" customFormat="1"/>
    <row r="93" s="44" customFormat="1"/>
    <row r="94" s="44" customFormat="1"/>
    <row r="95" s="44" customFormat="1"/>
    <row r="96" s="44" customFormat="1"/>
    <row r="97" s="44" customFormat="1"/>
    <row r="98" s="44" customFormat="1"/>
    <row r="99" s="44" customFormat="1"/>
    <row r="100" s="44" customFormat="1"/>
    <row r="101" s="44" customFormat="1"/>
    <row r="102" s="44" customFormat="1"/>
    <row r="103" s="44" customFormat="1"/>
    <row r="104" s="44" customFormat="1"/>
    <row r="105" s="44" customFormat="1"/>
    <row r="106" s="44" customFormat="1"/>
    <row r="107" s="44" customFormat="1"/>
    <row r="108" s="44" customFormat="1"/>
    <row r="109" s="44" customFormat="1"/>
    <row r="110" s="44" customFormat="1"/>
    <row r="111" s="44" customFormat="1"/>
    <row r="112" s="44" customFormat="1"/>
    <row r="113" s="44" customFormat="1"/>
    <row r="114" s="44" customFormat="1"/>
    <row r="115" s="44" customFormat="1"/>
    <row r="116" s="44" customFormat="1"/>
    <row r="117" s="44" customFormat="1"/>
    <row r="118" s="44" customFormat="1"/>
    <row r="119" s="44" customFormat="1"/>
    <row r="120" s="44" customFormat="1"/>
    <row r="121" s="44" customFormat="1"/>
    <row r="122" s="44" customFormat="1"/>
    <row r="123" s="44" customFormat="1"/>
    <row r="124" s="44" customFormat="1"/>
    <row r="125" s="44" customFormat="1"/>
    <row r="126" s="44" customFormat="1"/>
    <row r="127" s="44" customFormat="1"/>
    <row r="128" s="44" customFormat="1"/>
    <row r="129" s="44" customFormat="1"/>
    <row r="130" s="44" customFormat="1"/>
    <row r="131" s="44" customFormat="1"/>
    <row r="132" s="44" customFormat="1"/>
    <row r="133" s="44" customFormat="1"/>
    <row r="134" s="44" customFormat="1"/>
    <row r="135" s="44" customFormat="1"/>
    <row r="136" s="44" customFormat="1"/>
    <row r="137" s="44" customFormat="1"/>
    <row r="138" s="44" customFormat="1"/>
    <row r="139" s="44" customFormat="1"/>
    <row r="140" s="44" customFormat="1"/>
    <row r="141" s="44" customFormat="1"/>
    <row r="142" s="44" customFormat="1"/>
    <row r="143" s="44" customFormat="1"/>
    <row r="144" s="44" customFormat="1"/>
    <row r="145" s="44" customFormat="1"/>
    <row r="146" s="44" customFormat="1"/>
    <row r="147" s="44" customFormat="1"/>
    <row r="148" s="44" customFormat="1"/>
    <row r="149" s="44" customFormat="1"/>
    <row r="150" s="44" customFormat="1"/>
    <row r="151" s="44" customFormat="1"/>
    <row r="152" s="44" customFormat="1"/>
    <row r="153" s="44" customFormat="1"/>
    <row r="154" s="44" customFormat="1"/>
    <row r="155" s="44" customFormat="1"/>
    <row r="156" s="44" customFormat="1"/>
    <row r="157" s="44" customFormat="1"/>
    <row r="158" s="44" customFormat="1"/>
    <row r="159" s="44" customFormat="1"/>
    <row r="160" s="44" customFormat="1"/>
    <row r="161" s="44" customFormat="1"/>
    <row r="162" s="44" customFormat="1"/>
    <row r="163" s="44" customFormat="1"/>
    <row r="164" s="44" customFormat="1"/>
    <row r="165" s="44" customFormat="1"/>
    <row r="166" s="44" customFormat="1"/>
    <row r="167" s="44" customFormat="1"/>
    <row r="168" s="44" customFormat="1"/>
    <row r="169" s="44" customFormat="1"/>
    <row r="170" s="44" customFormat="1"/>
    <row r="171" s="44" customFormat="1"/>
    <row r="172" s="44" customFormat="1"/>
    <row r="173" s="44" customFormat="1"/>
    <row r="174" s="44" customFormat="1"/>
    <row r="175" s="44" customFormat="1"/>
    <row r="176" s="44" customFormat="1"/>
    <row r="177" s="44" customFormat="1"/>
    <row r="178" s="44" customFormat="1"/>
    <row r="179" s="44" customFormat="1"/>
    <row r="180" s="44" customFormat="1"/>
    <row r="181" s="44" customFormat="1"/>
    <row r="182" s="44" customFormat="1"/>
    <row r="183" s="44" customFormat="1"/>
    <row r="184" s="44" customFormat="1"/>
    <row r="185" s="44" customFormat="1"/>
    <row r="186" s="44" customFormat="1"/>
    <row r="187" s="44" customFormat="1"/>
    <row r="188" s="44" customFormat="1"/>
    <row r="189" s="44" customFormat="1"/>
    <row r="190" s="44" customFormat="1"/>
    <row r="191" s="44" customFormat="1"/>
    <row r="192" s="44" customFormat="1"/>
    <row r="193" s="44" customFormat="1"/>
    <row r="194" s="44" customFormat="1"/>
    <row r="195" s="44" customFormat="1"/>
    <row r="196" s="44" customFormat="1"/>
    <row r="197" s="44" customFormat="1"/>
    <row r="198" s="44" customFormat="1"/>
    <row r="199" s="44" customFormat="1"/>
    <row r="200" s="44" customFormat="1"/>
    <row r="201" s="44" customFormat="1"/>
    <row r="202" s="44" customFormat="1"/>
    <row r="203" s="44" customFormat="1"/>
    <row r="204" s="44" customFormat="1"/>
    <row r="205" s="44" customFormat="1"/>
    <row r="206" s="44" customFormat="1"/>
    <row r="207" s="44" customFormat="1"/>
    <row r="208" s="44" customFormat="1"/>
    <row r="209" s="44" customFormat="1"/>
    <row r="210" s="44" customFormat="1"/>
    <row r="211" s="44" customFormat="1"/>
    <row r="212" s="44" customFormat="1"/>
    <row r="213" s="44" customFormat="1"/>
    <row r="214" s="44" customFormat="1"/>
    <row r="215" s="44" customFormat="1"/>
    <row r="216" s="44" customFormat="1"/>
    <row r="217" s="44" customFormat="1"/>
    <row r="218" s="44" customFormat="1"/>
    <row r="219" s="44" customFormat="1"/>
    <row r="220" s="44" customFormat="1"/>
    <row r="221" s="44" customFormat="1"/>
    <row r="222" s="44" customFormat="1"/>
    <row r="223" s="44" customFormat="1"/>
    <row r="224" s="44" customFormat="1"/>
    <row r="225" s="44" customFormat="1"/>
    <row r="226" s="44" customFormat="1"/>
    <row r="227" s="44" customFormat="1"/>
    <row r="228" s="44" customFormat="1"/>
    <row r="229" s="44" customFormat="1"/>
    <row r="230" s="44" customFormat="1"/>
    <row r="231" s="44" customFormat="1"/>
    <row r="232" s="44" customFormat="1"/>
    <row r="233" s="44" customFormat="1"/>
    <row r="234" s="44" customFormat="1"/>
    <row r="235" s="44" customFormat="1"/>
    <row r="236" s="44" customFormat="1"/>
    <row r="237" s="44" customFormat="1"/>
    <row r="238" s="44" customFormat="1"/>
    <row r="239" s="44" customFormat="1"/>
    <row r="240" s="44" customFormat="1"/>
    <row r="241" s="44" customFormat="1"/>
    <row r="242" s="44" customFormat="1"/>
    <row r="243" s="44" customFormat="1"/>
    <row r="244" s="44" customFormat="1"/>
    <row r="245" s="44" customFormat="1"/>
    <row r="246" s="44" customFormat="1"/>
    <row r="247" s="44" customFormat="1"/>
    <row r="248" s="44" customFormat="1"/>
    <row r="249" s="44" customFormat="1"/>
    <row r="250" s="44" customFormat="1"/>
    <row r="251" s="44" customFormat="1"/>
    <row r="252" s="44" customFormat="1"/>
    <row r="253" s="44" customFormat="1"/>
    <row r="254" s="44" customFormat="1"/>
    <row r="255" s="44" customFormat="1"/>
    <row r="256" s="44" customFormat="1"/>
    <row r="257" s="44" customFormat="1"/>
    <row r="258" s="44" customFormat="1"/>
    <row r="259" s="44" customFormat="1"/>
    <row r="260" s="44" customFormat="1"/>
    <row r="261" s="44" customFormat="1"/>
    <row r="262" s="44" customFormat="1"/>
    <row r="263" s="44" customFormat="1"/>
    <row r="264" s="44" customFormat="1"/>
    <row r="265" s="44" customFormat="1"/>
    <row r="266" s="44" customFormat="1"/>
    <row r="267" s="44" customFormat="1"/>
    <row r="268" s="44" customFormat="1"/>
    <row r="269" s="44" customFormat="1"/>
    <row r="270" s="44" customFormat="1"/>
    <row r="271" s="44" customFormat="1"/>
    <row r="272" s="44" customFormat="1"/>
    <row r="273" s="44" customFormat="1"/>
    <row r="274" s="44" customFormat="1"/>
    <row r="275" s="44" customFormat="1"/>
    <row r="276" s="44" customFormat="1"/>
    <row r="277" s="44" customFormat="1"/>
    <row r="278" s="44" customFormat="1"/>
    <row r="279" s="44" customFormat="1"/>
    <row r="280" s="44" customFormat="1"/>
    <row r="281" s="44" customFormat="1"/>
    <row r="282" s="44" customFormat="1"/>
    <row r="283" s="44" customFormat="1"/>
    <row r="284" s="44" customFormat="1"/>
    <row r="285" s="44" customFormat="1"/>
    <row r="286" s="44" customFormat="1"/>
    <row r="287" s="44" customFormat="1"/>
    <row r="288" s="44" customFormat="1"/>
    <row r="289" s="44" customFormat="1"/>
    <row r="290" s="44" customFormat="1"/>
    <row r="291" s="44" customFormat="1"/>
    <row r="292" s="44" customFormat="1"/>
    <row r="293" s="44" customFormat="1"/>
    <row r="294" s="44" customFormat="1"/>
    <row r="295" s="44" customFormat="1"/>
    <row r="296" s="44" customFormat="1"/>
    <row r="297" s="44" customFormat="1"/>
    <row r="298" s="44" customFormat="1"/>
    <row r="299" s="44" customFormat="1"/>
    <row r="300" s="44" customFormat="1"/>
    <row r="301" s="44" customFormat="1"/>
    <row r="302" s="44" customFormat="1"/>
    <row r="303" s="44" customFormat="1"/>
    <row r="304" s="44" customFormat="1"/>
    <row r="305" s="44" customFormat="1"/>
    <row r="306" s="44" customFormat="1"/>
    <row r="307" s="44" customFormat="1"/>
    <row r="308" s="44" customFormat="1"/>
    <row r="309" s="44" customFormat="1"/>
    <row r="310" s="44" customFormat="1"/>
    <row r="311" s="44" customFormat="1"/>
    <row r="312" s="44" customFormat="1"/>
    <row r="313" s="44" customFormat="1"/>
    <row r="314" s="44" customFormat="1"/>
    <row r="315" s="44" customFormat="1"/>
    <row r="316" s="44" customFormat="1"/>
    <row r="317" s="44" customFormat="1"/>
    <row r="318" s="44" customFormat="1"/>
    <row r="319" s="44" customFormat="1"/>
    <row r="320" s="44" customFormat="1"/>
    <row r="321" s="44" customFormat="1"/>
    <row r="322" s="44" customFormat="1"/>
    <row r="323" s="44" customFormat="1"/>
    <row r="324" s="44" customFormat="1"/>
    <row r="325" s="44" customFormat="1"/>
    <row r="326" s="44" customFormat="1"/>
    <row r="327" s="44" customFormat="1"/>
    <row r="328" s="44" customFormat="1"/>
    <row r="329" s="44" customFormat="1"/>
    <row r="330" s="44" customFormat="1"/>
    <row r="331" s="44" customFormat="1"/>
    <row r="332" s="44" customFormat="1"/>
    <row r="333" s="44" customFormat="1"/>
    <row r="334" s="44" customFormat="1"/>
    <row r="335" s="44" customFormat="1"/>
    <row r="336" s="44" customFormat="1"/>
    <row r="337" s="44" customFormat="1"/>
    <row r="338" s="44" customFormat="1"/>
    <row r="339" s="44" customFormat="1"/>
    <row r="340" s="44" customFormat="1"/>
    <row r="341" s="44" customFormat="1"/>
    <row r="342" s="44" customFormat="1"/>
    <row r="343" s="44" customFormat="1"/>
    <row r="344" s="44" customFormat="1"/>
    <row r="345" s="44" customFormat="1"/>
    <row r="346" s="44" customFormat="1"/>
    <row r="347" s="44" customFormat="1"/>
    <row r="348" s="44" customFormat="1"/>
    <row r="349" s="44" customFormat="1"/>
    <row r="350" s="44" customFormat="1"/>
    <row r="351" s="44" customFormat="1"/>
    <row r="352" s="44" customFormat="1"/>
    <row r="353" s="44" customFormat="1"/>
    <row r="354" s="44" customFormat="1"/>
    <row r="355" s="44" customFormat="1"/>
    <row r="356" s="44" customFormat="1"/>
    <row r="357" s="44" customFormat="1"/>
    <row r="358" s="44" customFormat="1"/>
    <row r="359" s="44" customFormat="1"/>
    <row r="360" s="44" customFormat="1"/>
    <row r="361" s="44" customFormat="1"/>
    <row r="362" s="44" customFormat="1"/>
    <row r="363" s="44" customFormat="1"/>
    <row r="364" s="44" customFormat="1"/>
    <row r="365" s="44" customFormat="1"/>
    <row r="366" s="44" customFormat="1"/>
    <row r="367" s="44" customFormat="1"/>
    <row r="368" s="44" customFormat="1"/>
    <row r="369" s="44" customFormat="1"/>
    <row r="370" s="44" customFormat="1"/>
    <row r="371" s="44" customFormat="1"/>
    <row r="372" s="44" customFormat="1"/>
    <row r="373" s="44" customFormat="1"/>
    <row r="374" s="44" customFormat="1"/>
    <row r="375" s="44" customFormat="1"/>
    <row r="376" s="44" customFormat="1"/>
    <row r="377" s="44" customFormat="1"/>
    <row r="378" s="44" customFormat="1"/>
    <row r="379" s="44" customFormat="1"/>
    <row r="380" s="44" customFormat="1"/>
    <row r="381" s="44" customFormat="1"/>
    <row r="382" s="44" customFormat="1"/>
    <row r="383" s="44" customFormat="1"/>
    <row r="384" s="44" customFormat="1"/>
    <row r="385" s="44" customFormat="1"/>
    <row r="386" s="44" customFormat="1"/>
    <row r="387" s="44" customFormat="1"/>
    <row r="388" s="44" customFormat="1"/>
    <row r="389" s="44" customFormat="1"/>
    <row r="390" s="44" customFormat="1"/>
    <row r="391" s="44" customFormat="1"/>
    <row r="392" s="44" customFormat="1"/>
    <row r="393" s="44" customFormat="1"/>
    <row r="394" s="44" customFormat="1"/>
    <row r="395" s="44" customFormat="1"/>
    <row r="396" s="44" customFormat="1"/>
    <row r="397" s="44" customFormat="1"/>
    <row r="398" s="44" customFormat="1"/>
    <row r="399" s="44" customFormat="1"/>
    <row r="400" s="44" customFormat="1"/>
    <row r="401" s="44" customFormat="1"/>
    <row r="402" s="44" customFormat="1"/>
    <row r="403" s="44" customFormat="1"/>
    <row r="404" s="44" customFormat="1"/>
    <row r="405" s="44" customFormat="1"/>
    <row r="406" s="44" customFormat="1"/>
    <row r="407" s="44" customFormat="1"/>
    <row r="408" s="44" customFormat="1"/>
    <row r="409" s="44" customFormat="1"/>
    <row r="410" s="44" customFormat="1"/>
    <row r="411" s="44" customFormat="1"/>
    <row r="412" s="44" customFormat="1"/>
    <row r="413" s="44" customFormat="1"/>
    <row r="414" s="44" customFormat="1"/>
    <row r="415" s="44" customFormat="1"/>
    <row r="416" s="44" customFormat="1"/>
    <row r="417" s="44" customFormat="1"/>
    <row r="418" s="44" customFormat="1"/>
    <row r="419" s="44" customFormat="1"/>
    <row r="420" s="44" customFormat="1"/>
    <row r="421" s="44" customFormat="1"/>
    <row r="422" s="44" customFormat="1"/>
    <row r="423" s="44" customFormat="1"/>
    <row r="424" s="44" customFormat="1"/>
    <row r="425" s="44" customFormat="1"/>
    <row r="426" s="44" customFormat="1"/>
    <row r="427" s="44" customFormat="1"/>
    <row r="428" s="44" customFormat="1"/>
    <row r="429" s="44" customFormat="1"/>
    <row r="430" s="44" customFormat="1"/>
    <row r="431" s="44" customFormat="1"/>
    <row r="432" s="44" customFormat="1"/>
    <row r="433" s="44" customFormat="1"/>
    <row r="434" s="44" customFormat="1"/>
    <row r="435" s="44" customFormat="1"/>
    <row r="436" s="44" customFormat="1"/>
    <row r="437" s="44" customFormat="1"/>
    <row r="438" s="44" customFormat="1"/>
    <row r="439" s="44" customFormat="1"/>
    <row r="440" s="44" customFormat="1"/>
    <row r="441" s="44" customFormat="1"/>
    <row r="442" s="44" customFormat="1"/>
    <row r="443" s="44" customFormat="1"/>
    <row r="444" s="44" customFormat="1"/>
    <row r="445" s="44" customFormat="1"/>
    <row r="446" s="44" customFormat="1"/>
    <row r="447" s="44" customFormat="1"/>
    <row r="448" s="44" customFormat="1"/>
    <row r="449" s="44" customFormat="1"/>
    <row r="450" s="44" customFormat="1"/>
    <row r="451" s="44" customFormat="1"/>
    <row r="452" s="44" customFormat="1"/>
    <row r="453" s="44" customFormat="1"/>
    <row r="454" s="44" customFormat="1"/>
    <row r="455" s="44" customFormat="1"/>
    <row r="456" s="44" customFormat="1"/>
    <row r="457" s="44" customFormat="1"/>
    <row r="458" s="44" customFormat="1"/>
    <row r="459" s="44" customFormat="1"/>
    <row r="460" s="44" customFormat="1"/>
    <row r="461" s="44" customFormat="1"/>
    <row r="462" s="44" customFormat="1"/>
    <row r="463" s="44" customFormat="1"/>
    <row r="464" s="44" customFormat="1"/>
    <row r="465" s="44" customFormat="1"/>
    <row r="466" s="44" customFormat="1"/>
    <row r="467" s="44" customFormat="1"/>
    <row r="468" s="44" customFormat="1"/>
    <row r="469" s="44" customFormat="1"/>
    <row r="470" s="44" customFormat="1"/>
    <row r="471" s="44" customFormat="1"/>
    <row r="472" s="44" customFormat="1"/>
    <row r="473" s="44" customFormat="1"/>
    <row r="474" s="44" customFormat="1"/>
    <row r="475" s="44" customFormat="1"/>
    <row r="476" s="44" customFormat="1"/>
    <row r="477" s="44" customFormat="1"/>
    <row r="478" s="44" customFormat="1"/>
    <row r="479" s="44" customFormat="1"/>
    <row r="480" s="44" customFormat="1"/>
    <row r="481" s="44" customFormat="1"/>
    <row r="482" s="44" customFormat="1"/>
    <row r="483" s="44" customFormat="1"/>
    <row r="484" s="44" customFormat="1"/>
    <row r="485" s="44" customFormat="1"/>
    <row r="486" s="44" customFormat="1"/>
    <row r="487" s="44" customFormat="1"/>
    <row r="488" s="44" customFormat="1"/>
    <row r="489" s="44" customFormat="1"/>
    <row r="490" s="44" customFormat="1"/>
    <row r="491" s="44" customFormat="1"/>
    <row r="492" s="44" customFormat="1"/>
    <row r="493" s="44" customFormat="1"/>
    <row r="494" s="44" customFormat="1"/>
    <row r="495" s="44" customFormat="1"/>
    <row r="496" s="44" customFormat="1"/>
    <row r="497" s="44" customFormat="1"/>
    <row r="498" s="44" customFormat="1"/>
    <row r="499" s="44" customFormat="1"/>
    <row r="500" s="44" customFormat="1"/>
    <row r="501" s="44" customFormat="1"/>
    <row r="502" s="44" customFormat="1"/>
    <row r="503" s="44" customFormat="1"/>
    <row r="504" s="44" customFormat="1"/>
    <row r="505" s="44" customFormat="1"/>
    <row r="506" s="44" customFormat="1"/>
    <row r="507" s="44" customFormat="1"/>
    <row r="508" s="44" customFormat="1"/>
    <row r="509" s="44" customFormat="1"/>
    <row r="510" s="44" customFormat="1"/>
    <row r="511" s="44" customFormat="1"/>
    <row r="512" s="44" customFormat="1"/>
    <row r="513" s="44" customFormat="1"/>
    <row r="514" s="44" customFormat="1"/>
    <row r="515" s="44" customFormat="1"/>
    <row r="516" s="44" customFormat="1"/>
    <row r="517" s="44" customFormat="1"/>
    <row r="518" s="44" customFormat="1"/>
    <row r="519" s="44" customFormat="1"/>
    <row r="520" s="44" customFormat="1"/>
    <row r="521" s="44" customFormat="1"/>
    <row r="522" s="44" customFormat="1"/>
    <row r="523" s="44" customFormat="1"/>
    <row r="524" s="44" customFormat="1"/>
    <row r="525" s="44" customFormat="1"/>
    <row r="526" s="44" customFormat="1"/>
    <row r="527" s="44" customFormat="1"/>
    <row r="528" s="44" customFormat="1"/>
    <row r="529" s="44" customFormat="1"/>
    <row r="530" s="44" customFormat="1"/>
    <row r="531" s="44" customFormat="1"/>
    <row r="532" s="44" customFormat="1"/>
    <row r="533" s="44" customFormat="1"/>
    <row r="534" s="44" customFormat="1"/>
    <row r="535" s="44" customFormat="1"/>
    <row r="536" s="44" customFormat="1"/>
    <row r="537" s="44" customFormat="1"/>
    <row r="538" s="44" customFormat="1"/>
    <row r="539" s="44" customFormat="1"/>
    <row r="540" s="44" customFormat="1"/>
    <row r="541" s="44" customFormat="1"/>
    <row r="542" s="44" customFormat="1"/>
    <row r="543" s="44" customFormat="1"/>
    <row r="544" s="44" customFormat="1"/>
    <row r="545" s="44" customFormat="1"/>
    <row r="546" s="44" customFormat="1"/>
    <row r="547" s="44" customFormat="1"/>
    <row r="548" s="44" customFormat="1"/>
    <row r="549" s="44" customFormat="1"/>
    <row r="550" s="44" customFormat="1"/>
    <row r="551" s="44" customFormat="1"/>
    <row r="552" s="44" customFormat="1"/>
    <row r="553" s="44" customFormat="1"/>
    <row r="554" s="44" customFormat="1"/>
    <row r="555" s="44" customFormat="1"/>
    <row r="556" s="44" customFormat="1"/>
    <row r="557" s="44" customFormat="1"/>
    <row r="558" s="44" customFormat="1"/>
    <row r="559" s="44" customFormat="1"/>
    <row r="560" s="44" customFormat="1"/>
    <row r="561" s="44" customFormat="1"/>
    <row r="562" s="44" customFormat="1"/>
    <row r="563" s="44" customFormat="1"/>
    <row r="564" s="44" customFormat="1"/>
    <row r="565" s="44" customFormat="1"/>
    <row r="566" s="44" customFormat="1"/>
    <row r="567" s="44" customFormat="1"/>
    <row r="568" s="44" customFormat="1"/>
    <row r="569" s="44" customFormat="1"/>
    <row r="570" s="44" customFormat="1"/>
    <row r="571" s="44" customFormat="1"/>
    <row r="572" s="44" customFormat="1"/>
    <row r="573" s="44" customFormat="1"/>
    <row r="574" s="44" customFormat="1"/>
    <row r="575" s="44" customFormat="1"/>
    <row r="576" s="44" customFormat="1"/>
    <row r="577" s="44" customFormat="1"/>
    <row r="578" s="44" customFormat="1"/>
    <row r="579" s="44" customFormat="1"/>
    <row r="580" s="44" customFormat="1"/>
    <row r="581" s="44" customFormat="1"/>
    <row r="582" s="44" customFormat="1"/>
    <row r="583" s="44" customFormat="1"/>
    <row r="584" s="44" customFormat="1"/>
    <row r="585" s="44" customFormat="1"/>
    <row r="586" s="44" customFormat="1"/>
    <row r="587" s="44" customFormat="1"/>
    <row r="588" s="44" customFormat="1"/>
    <row r="589" s="44" customFormat="1"/>
    <row r="590" s="44" customFormat="1"/>
    <row r="591" s="44" customFormat="1"/>
    <row r="592" s="44" customFormat="1"/>
    <row r="593" s="44" customFormat="1"/>
    <row r="594" s="44" customFormat="1"/>
    <row r="595" s="44" customFormat="1"/>
    <row r="596" s="44" customFormat="1"/>
    <row r="597" s="44" customFormat="1"/>
    <row r="598" s="44" customFormat="1"/>
    <row r="599" s="44" customFormat="1"/>
    <row r="600" s="44" customFormat="1"/>
    <row r="601" s="44" customFormat="1"/>
    <row r="602" s="44" customFormat="1"/>
    <row r="603" s="44" customFormat="1"/>
    <row r="604" s="44" customFormat="1"/>
    <row r="605" s="44" customFormat="1"/>
    <row r="606" s="44" customFormat="1"/>
    <row r="607" s="44" customFormat="1"/>
    <row r="608" s="44" customFormat="1"/>
    <row r="609" s="44" customFormat="1"/>
    <row r="610" s="44" customFormat="1"/>
    <row r="611" s="44" customFormat="1"/>
    <row r="612" s="44" customFormat="1"/>
    <row r="613" s="44" customFormat="1"/>
    <row r="614" s="44" customFormat="1"/>
    <row r="615" s="44" customFormat="1"/>
    <row r="616" s="44" customFormat="1"/>
    <row r="617" s="44" customFormat="1"/>
    <row r="618" s="44" customFormat="1"/>
    <row r="619" s="44" customFormat="1"/>
    <row r="620" s="44" customFormat="1"/>
    <row r="621" s="44" customFormat="1"/>
    <row r="622" s="44" customFormat="1"/>
    <row r="623" s="44" customFormat="1"/>
    <row r="624" s="44" customFormat="1"/>
    <row r="625" s="44" customFormat="1"/>
    <row r="626" s="44" customFormat="1"/>
    <row r="627" s="44" customFormat="1"/>
    <row r="628" s="44" customFormat="1"/>
    <row r="629" s="44" customFormat="1"/>
    <row r="630" s="44" customFormat="1"/>
    <row r="631" s="44" customFormat="1"/>
    <row r="632" s="44" customFormat="1"/>
    <row r="633" s="44" customFormat="1"/>
    <row r="634" s="44" customFormat="1"/>
    <row r="635" s="44" customFormat="1"/>
    <row r="636" s="44" customFormat="1"/>
    <row r="637" s="44" customFormat="1"/>
    <row r="638" s="44" customFormat="1"/>
    <row r="639" s="44" customFormat="1"/>
    <row r="640" s="44" customFormat="1"/>
    <row r="641" s="44" customFormat="1"/>
    <row r="642" s="44" customFormat="1"/>
    <row r="643" s="44" customFormat="1"/>
    <row r="644" s="44" customFormat="1"/>
    <row r="645" s="44" customFormat="1"/>
    <row r="646" s="44" customFormat="1"/>
    <row r="647" s="44" customFormat="1"/>
    <row r="648" s="44" customFormat="1"/>
    <row r="649" s="44" customFormat="1"/>
    <row r="650" s="44" customFormat="1"/>
    <row r="651" s="44" customFormat="1"/>
    <row r="652" s="44" customFormat="1"/>
    <row r="653" s="44" customFormat="1"/>
    <row r="654" s="44" customFormat="1"/>
    <row r="655" s="44" customFormat="1"/>
    <row r="656" s="44" customFormat="1"/>
    <row r="657" s="44" customFormat="1"/>
    <row r="658" s="44" customFormat="1"/>
    <row r="659" s="44" customFormat="1"/>
    <row r="660" s="44" customFormat="1"/>
    <row r="661" s="44" customFormat="1"/>
    <row r="662" s="44" customFormat="1"/>
    <row r="663" s="44" customFormat="1"/>
    <row r="664" s="44" customFormat="1"/>
    <row r="665" s="44" customFormat="1"/>
    <row r="666" s="44" customFormat="1"/>
    <row r="667" s="44" customFormat="1"/>
    <row r="668" s="44" customFormat="1"/>
    <row r="669" s="44" customFormat="1"/>
    <row r="670" s="44" customFormat="1"/>
    <row r="671" s="44" customFormat="1"/>
    <row r="672" s="44" customFormat="1"/>
    <row r="673" s="44" customFormat="1"/>
    <row r="674" s="44" customFormat="1"/>
    <row r="675" s="44" customFormat="1"/>
    <row r="676" s="44" customFormat="1"/>
    <row r="677" s="44" customFormat="1"/>
    <row r="678" s="44" customFormat="1"/>
    <row r="679" s="44" customFormat="1"/>
    <row r="680" s="44" customFormat="1"/>
    <row r="681" s="44" customFormat="1"/>
    <row r="682" s="44" customFormat="1"/>
    <row r="683" s="44" customFormat="1"/>
    <row r="684" s="44" customFormat="1"/>
    <row r="685" s="44" customFormat="1"/>
    <row r="686" s="44" customFormat="1"/>
    <row r="687" s="44" customFormat="1"/>
    <row r="688" s="44" customFormat="1"/>
    <row r="689" s="44" customFormat="1"/>
    <row r="690" s="44" customFormat="1"/>
    <row r="691" s="44" customFormat="1"/>
    <row r="692" s="44" customFormat="1"/>
    <row r="693" s="44" customFormat="1"/>
    <row r="694" s="44" customFormat="1"/>
    <row r="695" s="44" customFormat="1"/>
    <row r="696" s="44" customFormat="1"/>
    <row r="697" s="44" customFormat="1"/>
    <row r="698" s="44" customFormat="1"/>
    <row r="699" s="44" customFormat="1"/>
    <row r="700" s="44" customFormat="1"/>
    <row r="701" s="44" customFormat="1"/>
    <row r="702" s="44" customFormat="1"/>
    <row r="703" s="44" customFormat="1"/>
    <row r="704" s="44" customFormat="1"/>
    <row r="705" s="44" customFormat="1"/>
    <row r="706" s="44" customFormat="1"/>
    <row r="707" s="44" customFormat="1"/>
    <row r="708" s="44" customFormat="1"/>
    <row r="709" s="44" customFormat="1"/>
    <row r="710" s="44" customFormat="1"/>
    <row r="711" s="44" customFormat="1"/>
    <row r="712" s="44" customFormat="1"/>
    <row r="713" s="44" customFormat="1"/>
    <row r="714" s="44" customFormat="1"/>
    <row r="715" s="44" customFormat="1"/>
    <row r="716" s="44" customFormat="1"/>
    <row r="717" s="44" customFormat="1"/>
    <row r="718" s="44" customFormat="1"/>
    <row r="719" s="44" customFormat="1"/>
    <row r="720" s="44" customFormat="1"/>
    <row r="721" s="44" customFormat="1"/>
    <row r="722" s="44" customFormat="1"/>
    <row r="723" s="44" customFormat="1"/>
    <row r="724" s="44" customFormat="1"/>
    <row r="725" s="44" customFormat="1"/>
    <row r="726" s="44" customFormat="1"/>
    <row r="727" s="44" customFormat="1"/>
    <row r="728" s="44" customFormat="1"/>
    <row r="729" s="44" customFormat="1"/>
    <row r="730" s="44" customFormat="1"/>
    <row r="731" s="44" customFormat="1"/>
    <row r="732" s="44" customFormat="1"/>
    <row r="733" s="44" customFormat="1"/>
    <row r="734" s="44" customFormat="1"/>
    <row r="735" s="44" customFormat="1"/>
    <row r="736" s="44" customFormat="1"/>
    <row r="737" s="44" customFormat="1"/>
    <row r="738" s="44" customFormat="1"/>
    <row r="739" s="44" customFormat="1"/>
    <row r="740" s="44" customFormat="1"/>
    <row r="741" s="44" customFormat="1"/>
    <row r="742" s="44" customFormat="1"/>
    <row r="743" s="44" customFormat="1"/>
    <row r="744" s="44" customFormat="1"/>
    <row r="745" s="44" customFormat="1"/>
    <row r="746" s="44" customFormat="1"/>
    <row r="747" s="44" customFormat="1"/>
    <row r="748" s="44" customFormat="1"/>
    <row r="749" s="44" customFormat="1"/>
    <row r="750" s="44" customFormat="1"/>
    <row r="751" s="44" customFormat="1"/>
    <row r="752" s="44" customFormat="1"/>
    <row r="753" s="44" customFormat="1"/>
    <row r="754" s="44" customFormat="1"/>
    <row r="755" s="44" customFormat="1"/>
    <row r="756" s="44" customFormat="1"/>
    <row r="757" s="44" customFormat="1"/>
    <row r="758" s="44" customFormat="1"/>
    <row r="759" s="44" customFormat="1"/>
    <row r="760" s="44" customFormat="1"/>
    <row r="761" s="44" customFormat="1"/>
    <row r="762" s="44" customFormat="1"/>
    <row r="763" s="44" customFormat="1"/>
    <row r="764" s="44" customFormat="1"/>
    <row r="765" s="44" customFormat="1"/>
    <row r="766" s="44" customFormat="1"/>
    <row r="767" s="44" customFormat="1"/>
    <row r="768" s="44" customFormat="1"/>
    <row r="769" s="44" customFormat="1"/>
    <row r="770" s="44" customFormat="1"/>
    <row r="771" s="44" customFormat="1"/>
    <row r="772" s="44" customFormat="1"/>
    <row r="773" s="44" customFormat="1"/>
    <row r="774" s="44" customFormat="1"/>
    <row r="775" s="44" customFormat="1"/>
    <row r="776" s="44" customFormat="1"/>
    <row r="777" s="44" customFormat="1"/>
    <row r="778" s="44" customFormat="1"/>
    <row r="779" s="44" customFormat="1"/>
    <row r="780" s="44" customFormat="1"/>
    <row r="781" s="44" customFormat="1"/>
    <row r="782" s="44" customFormat="1"/>
    <row r="783" s="44" customFormat="1"/>
    <row r="784" s="44" customFormat="1"/>
    <row r="785" s="44" customFormat="1"/>
    <row r="786" s="44" customFormat="1"/>
    <row r="787" s="44" customFormat="1"/>
    <row r="788" s="44" customFormat="1"/>
    <row r="789" s="44" customFormat="1"/>
    <row r="790" s="44" customFormat="1"/>
    <row r="791" s="44" customFormat="1"/>
    <row r="792" s="44" customFormat="1"/>
    <row r="793" s="44" customFormat="1"/>
    <row r="794" s="44" customFormat="1"/>
    <row r="795" s="44" customFormat="1"/>
    <row r="796" s="44" customFormat="1"/>
    <row r="797" s="44" customFormat="1"/>
    <row r="798" s="44" customFormat="1"/>
    <row r="799" s="44" customFormat="1"/>
    <row r="800" s="44" customFormat="1"/>
    <row r="801" s="44" customFormat="1"/>
    <row r="802" s="44" customFormat="1"/>
    <row r="803" s="44" customFormat="1"/>
    <row r="804" s="44" customFormat="1"/>
    <row r="805" s="44" customFormat="1"/>
    <row r="806" s="44" customFormat="1"/>
    <row r="807" s="44" customFormat="1"/>
    <row r="808" s="44" customFormat="1"/>
    <row r="809" s="44" customFormat="1"/>
    <row r="810" s="44" customFormat="1"/>
    <row r="811" s="44" customFormat="1"/>
    <row r="812" s="44" customFormat="1"/>
    <row r="813" s="44" customFormat="1"/>
    <row r="814" s="44" customFormat="1"/>
    <row r="815" s="44" customFormat="1"/>
    <row r="816" s="44" customFormat="1"/>
    <row r="817" s="44" customFormat="1"/>
    <row r="818" s="44" customFormat="1"/>
    <row r="819" s="44" customFormat="1"/>
    <row r="820" s="44" customFormat="1"/>
    <row r="821" s="44" customFormat="1"/>
    <row r="822" s="44" customFormat="1"/>
    <row r="823" s="44" customFormat="1"/>
    <row r="824" s="44" customFormat="1"/>
    <row r="825" s="44" customFormat="1"/>
    <row r="826" s="44" customFormat="1"/>
    <row r="827" s="44" customFormat="1"/>
    <row r="828" s="44" customFormat="1"/>
    <row r="829" s="44" customFormat="1"/>
    <row r="830" s="44" customFormat="1"/>
    <row r="831" s="44" customFormat="1"/>
    <row r="832" s="44" customFormat="1"/>
    <row r="833" s="44" customFormat="1"/>
    <row r="834" s="44" customFormat="1"/>
    <row r="835" s="44" customFormat="1"/>
    <row r="836" s="44" customFormat="1"/>
    <row r="837" s="44" customFormat="1"/>
    <row r="838" s="44" customFormat="1"/>
    <row r="839" s="44" customFormat="1"/>
    <row r="840" s="44" customFormat="1"/>
    <row r="841" s="44" customFormat="1"/>
    <row r="842" s="44" customFormat="1"/>
    <row r="843" s="44" customFormat="1"/>
    <row r="844" s="44" customFormat="1"/>
    <row r="845" s="44" customFormat="1"/>
    <row r="846" s="44" customFormat="1"/>
    <row r="847" s="44" customFormat="1"/>
    <row r="848" s="44" customFormat="1"/>
    <row r="849" s="44" customFormat="1"/>
    <row r="850" s="44" customFormat="1"/>
    <row r="851" s="44" customFormat="1"/>
    <row r="852" s="44" customFormat="1"/>
    <row r="853" s="44" customFormat="1"/>
    <row r="854" s="44" customFormat="1"/>
    <row r="855" s="44" customFormat="1"/>
    <row r="856" s="44" customFormat="1"/>
    <row r="857" s="44" customFormat="1"/>
    <row r="858" s="44" customFormat="1"/>
    <row r="859" s="44" customFormat="1"/>
    <row r="860" s="44" customFormat="1"/>
    <row r="861" s="44" customFormat="1"/>
    <row r="862" s="44" customFormat="1"/>
    <row r="863" s="44" customFormat="1"/>
    <row r="864" s="44" customFormat="1"/>
    <row r="865" s="44" customFormat="1"/>
    <row r="866" s="44" customFormat="1"/>
    <row r="867" s="44" customFormat="1"/>
    <row r="868" s="44" customFormat="1"/>
    <row r="869" s="44" customFormat="1"/>
    <row r="870" s="44" customFormat="1"/>
    <row r="871" s="44" customFormat="1"/>
    <row r="872" s="44" customFormat="1"/>
    <row r="873" s="44" customFormat="1"/>
    <row r="874" s="44" customFormat="1"/>
    <row r="875" s="44" customFormat="1"/>
    <row r="876" s="44" customFormat="1"/>
    <row r="877" s="44" customFormat="1"/>
    <row r="878" s="44" customFormat="1"/>
    <row r="879" s="44" customFormat="1"/>
    <row r="880" s="44" customFormat="1"/>
    <row r="881" s="44" customFormat="1"/>
    <row r="882" s="44" customFormat="1"/>
    <row r="883" s="44" customFormat="1"/>
    <row r="884" s="44" customFormat="1"/>
    <row r="885" s="44" customFormat="1"/>
    <row r="886" s="44" customFormat="1"/>
    <row r="887" s="44" customFormat="1"/>
    <row r="888" s="44" customFormat="1"/>
    <row r="889" s="44" customFormat="1"/>
    <row r="890" s="44" customFormat="1"/>
    <row r="891" s="44" customFormat="1"/>
    <row r="892" s="44" customFormat="1"/>
    <row r="893" s="44" customFormat="1"/>
    <row r="894" s="44" customFormat="1"/>
    <row r="895" s="44" customFormat="1"/>
    <row r="896" s="44" customFormat="1"/>
    <row r="897" s="44" customFormat="1"/>
    <row r="898" s="44" customFormat="1"/>
    <row r="899" s="44" customFormat="1"/>
    <row r="900" s="44" customFormat="1"/>
    <row r="901" s="44" customFormat="1"/>
    <row r="902" s="44" customFormat="1"/>
    <row r="903" s="44" customFormat="1"/>
    <row r="904" s="44" customFormat="1"/>
    <row r="905" s="44" customFormat="1"/>
    <row r="906" s="44" customFormat="1"/>
    <row r="907" s="44" customFormat="1"/>
    <row r="908" s="44" customFormat="1"/>
    <row r="909" s="44" customFormat="1"/>
    <row r="910" s="44" customFormat="1"/>
    <row r="911" s="44" customFormat="1"/>
    <row r="912" s="44" customFormat="1"/>
    <row r="913" s="44" customFormat="1"/>
    <row r="914" s="44" customFormat="1"/>
    <row r="915" s="44" customFormat="1"/>
    <row r="916" s="44" customFormat="1"/>
    <row r="917" s="44" customFormat="1"/>
    <row r="918" s="44" customFormat="1"/>
    <row r="919" s="44" customFormat="1"/>
    <row r="920" s="44" customFormat="1"/>
    <row r="921" s="44" customFormat="1"/>
    <row r="922" s="44" customFormat="1"/>
    <row r="923" s="44" customFormat="1"/>
    <row r="924" s="44" customFormat="1"/>
    <row r="925" s="44" customFormat="1"/>
    <row r="926" s="44" customFormat="1"/>
    <row r="927" s="44" customFormat="1"/>
    <row r="928" s="44" customFormat="1"/>
    <row r="929" s="44" customFormat="1"/>
    <row r="930" s="44" customFormat="1"/>
    <row r="931" s="44" customFormat="1"/>
    <row r="932" s="44" customFormat="1"/>
    <row r="933" s="44" customFormat="1"/>
    <row r="934" s="44" customFormat="1"/>
    <row r="935" s="44" customFormat="1"/>
    <row r="936" s="44" customFormat="1"/>
    <row r="937" s="44" customFormat="1"/>
    <row r="938" s="44" customFormat="1"/>
    <row r="939" s="44" customFormat="1"/>
    <row r="940" s="44" customFormat="1"/>
    <row r="941" s="44" customFormat="1"/>
    <row r="942" s="44" customFormat="1"/>
    <row r="943" s="44" customFormat="1"/>
    <row r="944" s="44" customFormat="1"/>
    <row r="945" s="44" customFormat="1"/>
    <row r="946" s="44" customFormat="1"/>
    <row r="947" s="44" customFormat="1"/>
    <row r="948" s="44" customFormat="1"/>
    <row r="949" s="44" customFormat="1"/>
    <row r="950" s="44" customFormat="1"/>
    <row r="951" s="44" customFormat="1"/>
    <row r="952" s="44" customFormat="1"/>
    <row r="953" s="44" customFormat="1"/>
    <row r="954" s="44" customFormat="1"/>
    <row r="955" s="44" customFormat="1"/>
    <row r="956" s="44" customFormat="1"/>
    <row r="957" s="44" customFormat="1"/>
    <row r="958" s="44" customFormat="1"/>
    <row r="959" s="44" customFormat="1"/>
    <row r="960" s="44" customFormat="1"/>
    <row r="961" s="44" customFormat="1"/>
    <row r="962" s="44" customFormat="1"/>
    <row r="963" s="44" customFormat="1"/>
    <row r="964" s="44" customFormat="1"/>
    <row r="965" s="44" customFormat="1"/>
    <row r="966" s="44" customFormat="1"/>
    <row r="967" s="44" customFormat="1"/>
    <row r="968" s="44" customFormat="1"/>
    <row r="969" s="44" customFormat="1"/>
    <row r="970" s="44" customFormat="1"/>
    <row r="971" s="44" customFormat="1"/>
    <row r="972" s="44" customFormat="1"/>
    <row r="973" s="44" customFormat="1"/>
    <row r="974" s="44" customFormat="1"/>
    <row r="975" s="44" customFormat="1"/>
    <row r="976" s="44" customFormat="1"/>
    <row r="977" s="44" customFormat="1"/>
    <row r="978" s="44" customFormat="1"/>
    <row r="979" s="44" customFormat="1"/>
    <row r="980" s="44" customFormat="1"/>
    <row r="981" s="44" customFormat="1"/>
    <row r="982" s="44" customFormat="1"/>
    <row r="983" s="44" customFormat="1"/>
    <row r="984" s="44" customFormat="1"/>
    <row r="985" s="44" customFormat="1"/>
    <row r="986" s="44" customFormat="1"/>
    <row r="987" s="44" customFormat="1"/>
    <row r="988" s="44" customFormat="1"/>
    <row r="989" s="44" customFormat="1"/>
    <row r="990" s="44" customFormat="1"/>
    <row r="991" s="44" customFormat="1"/>
    <row r="992" s="44" customFormat="1"/>
    <row r="993" s="44" customFormat="1"/>
    <row r="994" s="44" customFormat="1"/>
    <row r="995" s="44" customFormat="1"/>
    <row r="996" s="44" customFormat="1"/>
    <row r="997" s="44" customFormat="1"/>
    <row r="998" s="44" customFormat="1"/>
    <row r="999" s="44" customFormat="1"/>
    <row r="1000" s="44" customFormat="1"/>
    <row r="1001" s="44" customFormat="1"/>
    <row r="1002" s="44" customFormat="1"/>
    <row r="1003" s="44" customFormat="1"/>
    <row r="1004" s="44" customFormat="1"/>
    <row r="1005" s="44" customFormat="1"/>
    <row r="1006" s="44" customFormat="1"/>
    <row r="1007" s="44" customFormat="1"/>
    <row r="1008" s="44" customFormat="1"/>
    <row r="1009" s="44" customFormat="1"/>
    <row r="1010" s="44" customFormat="1"/>
    <row r="1011" s="44" customFormat="1"/>
    <row r="1012" s="44" customFormat="1"/>
    <row r="1013" s="44" customFormat="1"/>
    <row r="1014" s="44" customFormat="1"/>
    <row r="1015" s="44" customFormat="1"/>
    <row r="1016" s="44" customFormat="1"/>
    <row r="1017" s="44" customFormat="1"/>
    <row r="1018" s="44" customFormat="1"/>
    <row r="1019" s="44" customFormat="1"/>
    <row r="1020" s="44" customFormat="1"/>
    <row r="1021" s="44" customFormat="1"/>
    <row r="1022" s="44" customFormat="1"/>
    <row r="1023" s="44" customFormat="1"/>
    <row r="1024" s="44" customFormat="1"/>
    <row r="1025" s="44" customFormat="1"/>
    <row r="1026" s="44" customFormat="1"/>
    <row r="1027" s="44" customFormat="1"/>
    <row r="1028" s="44" customFormat="1"/>
    <row r="1029" s="44" customFormat="1"/>
    <row r="1030" s="44" customFormat="1"/>
    <row r="1031" s="44" customFormat="1"/>
    <row r="1032" s="44" customFormat="1"/>
    <row r="1033" s="44" customFormat="1"/>
    <row r="1034" s="44" customFormat="1"/>
    <row r="1035" s="44" customFormat="1"/>
    <row r="1036" s="44" customFormat="1"/>
    <row r="1037" s="44" customFormat="1"/>
    <row r="1038" s="44" customFormat="1"/>
    <row r="1039" s="44" customFormat="1"/>
    <row r="1040" s="44" customFormat="1"/>
    <row r="1041" s="44" customFormat="1"/>
    <row r="1042" s="44" customFormat="1"/>
    <row r="1043" s="44" customFormat="1"/>
    <row r="1044" s="44" customFormat="1"/>
    <row r="1045" s="44" customFormat="1"/>
    <row r="1046" s="44" customFormat="1"/>
    <row r="1047" s="44" customFormat="1"/>
    <row r="1048" s="44" customFormat="1"/>
    <row r="1049" s="44" customFormat="1"/>
    <row r="1050" s="44" customFormat="1"/>
    <row r="1051" s="44" customFormat="1"/>
    <row r="1052" s="44" customFormat="1"/>
    <row r="1053" s="44" customFormat="1"/>
    <row r="1054" s="44" customFormat="1"/>
    <row r="1055" s="44" customFormat="1"/>
    <row r="1056" s="44" customFormat="1"/>
    <row r="1057" s="44" customFormat="1"/>
    <row r="1058" s="44" customFormat="1"/>
    <row r="1059" s="44" customFormat="1"/>
    <row r="1060" s="44" customFormat="1"/>
    <row r="1061" s="44" customFormat="1"/>
    <row r="1062" s="44" customFormat="1"/>
    <row r="1063" s="44" customFormat="1"/>
    <row r="1064" s="44" customFormat="1"/>
    <row r="1065" s="44" customFormat="1"/>
    <row r="1066" s="44" customFormat="1"/>
    <row r="1067" s="44" customFormat="1"/>
    <row r="1068" s="44" customFormat="1"/>
    <row r="1069" s="44" customFormat="1"/>
    <row r="1070" s="44" customFormat="1"/>
    <row r="1071" s="44" customFormat="1"/>
    <row r="1072" s="44" customFormat="1"/>
    <row r="1073" s="44" customFormat="1"/>
    <row r="1074" s="44" customFormat="1"/>
    <row r="1075" s="44" customFormat="1"/>
    <row r="1076" s="44" customFormat="1"/>
    <row r="1077" s="44" customFormat="1"/>
    <row r="1078" s="44" customFormat="1"/>
    <row r="1079" s="44" customFormat="1"/>
    <row r="1080" s="44" customFormat="1"/>
    <row r="1081" s="44" customFormat="1"/>
    <row r="1082" s="44" customFormat="1"/>
    <row r="1083" s="44" customFormat="1"/>
    <row r="1084" s="44" customFormat="1"/>
    <row r="1085" s="44" customFormat="1"/>
    <row r="1086" s="44" customFormat="1"/>
    <row r="1087" s="44" customFormat="1"/>
    <row r="1088" s="44" customFormat="1"/>
    <row r="1089" s="44" customFormat="1"/>
    <row r="1090" s="44" customFormat="1"/>
    <row r="1091" s="44" customFormat="1"/>
    <row r="1092" s="44" customFormat="1"/>
    <row r="1093" s="44" customFormat="1"/>
    <row r="1094" s="44" customFormat="1"/>
    <row r="1095" s="44" customFormat="1"/>
    <row r="1096" s="44" customFormat="1"/>
    <row r="1097" s="44" customFormat="1"/>
    <row r="1098" s="44" customFormat="1"/>
    <row r="1099" s="44" customFormat="1"/>
    <row r="1100" s="44" customFormat="1"/>
    <row r="1101" s="44" customFormat="1"/>
    <row r="1102" s="44" customFormat="1"/>
    <row r="1103" s="44" customFormat="1"/>
    <row r="1104" s="44" customFormat="1"/>
    <row r="1105" s="44" customFormat="1"/>
    <row r="1106" s="44" customFormat="1"/>
    <row r="1107" s="44" customFormat="1"/>
    <row r="1108" s="44" customFormat="1"/>
    <row r="1109" s="44" customFormat="1"/>
    <row r="1110" s="44" customFormat="1"/>
    <row r="1111" s="44" customFormat="1"/>
    <row r="1112" s="44" customFormat="1"/>
    <row r="1113" s="44" customFormat="1"/>
    <row r="1114" s="44" customFormat="1"/>
    <row r="1115" s="44" customFormat="1"/>
    <row r="1116" s="44" customFormat="1"/>
    <row r="1117" s="44" customFormat="1"/>
    <row r="1118" s="44" customFormat="1"/>
    <row r="1119" s="44" customFormat="1"/>
    <row r="1120" s="44" customFormat="1"/>
    <row r="1121" s="44" customFormat="1"/>
    <row r="1122" s="44" customFormat="1"/>
    <row r="1123" s="44" customFormat="1"/>
    <row r="1124" s="44" customFormat="1"/>
    <row r="1125" s="44" customFormat="1"/>
    <row r="1126" s="44" customFormat="1"/>
    <row r="1127" s="44" customFormat="1"/>
    <row r="1128" s="44" customFormat="1"/>
    <row r="1129" s="44" customFormat="1"/>
    <row r="1130" s="44" customFormat="1"/>
    <row r="1131" s="44" customFormat="1"/>
    <row r="1132" s="44" customFormat="1"/>
    <row r="1133" s="44" customFormat="1"/>
    <row r="1134" s="44" customFormat="1"/>
    <row r="1135" s="44" customFormat="1"/>
    <row r="1136" s="44" customFormat="1"/>
    <row r="1137" s="44" customFormat="1"/>
    <row r="1138" s="44" customFormat="1"/>
    <row r="1139" s="44" customFormat="1"/>
    <row r="1140" s="44" customFormat="1"/>
    <row r="1141" s="44" customFormat="1"/>
    <row r="1142" s="44" customFormat="1"/>
    <row r="1143" s="44" customFormat="1"/>
    <row r="1144" s="44" customFormat="1"/>
    <row r="1145" s="44" customFormat="1"/>
    <row r="1146" s="44" customFormat="1"/>
    <row r="1147" s="44" customFormat="1"/>
    <row r="1148" s="44" customFormat="1"/>
    <row r="1149" s="44" customFormat="1"/>
    <row r="1150" s="44" customFormat="1"/>
    <row r="1151" s="44" customFormat="1"/>
    <row r="1152" s="44" customFormat="1"/>
    <row r="1153" s="44" customFormat="1"/>
    <row r="1154" s="44" customFormat="1"/>
    <row r="1155" s="44" customFormat="1"/>
    <row r="1156" s="44" customFormat="1"/>
    <row r="1157" s="44" customFormat="1"/>
    <row r="1158" s="44" customFormat="1"/>
    <row r="1159" s="44" customFormat="1"/>
    <row r="1160" s="44" customFormat="1"/>
    <row r="1161" s="44" customFormat="1"/>
    <row r="1162" s="44" customFormat="1"/>
    <row r="1163" s="44" customFormat="1"/>
    <row r="1164" s="44" customFormat="1"/>
    <row r="1165" s="44" customFormat="1"/>
    <row r="1166" s="44" customFormat="1"/>
    <row r="1167" s="44" customFormat="1"/>
    <row r="1168" s="44" customFormat="1"/>
    <row r="1169" s="44" customFormat="1"/>
    <row r="1170" s="44" customFormat="1"/>
    <row r="1171" s="44" customFormat="1"/>
    <row r="1172" s="44" customFormat="1"/>
    <row r="1173" s="44" customFormat="1"/>
    <row r="1174" s="44" customFormat="1"/>
    <row r="1175" s="44" customFormat="1"/>
    <row r="1176" s="44" customFormat="1"/>
    <row r="1177" s="44" customFormat="1"/>
    <row r="1178" s="44" customFormat="1"/>
    <row r="1179" s="44" customFormat="1"/>
    <row r="1180" s="44" customFormat="1"/>
    <row r="1181" s="44" customFormat="1"/>
    <row r="1182" s="44" customFormat="1"/>
    <row r="1183" s="44" customFormat="1"/>
    <row r="1184" s="44" customFormat="1"/>
    <row r="1185" s="44" customFormat="1"/>
    <row r="1186" s="44" customFormat="1"/>
    <row r="1187" s="44" customFormat="1"/>
    <row r="1188" s="44" customFormat="1"/>
    <row r="1189" s="44" customFormat="1"/>
    <row r="1190" s="44" customFormat="1"/>
    <row r="1191" s="44" customFormat="1"/>
    <row r="1192" s="44" customFormat="1"/>
    <row r="1193" s="44" customFormat="1"/>
    <row r="1194" s="44" customFormat="1"/>
    <row r="1195" s="44" customFormat="1"/>
    <row r="1196" s="44" customFormat="1"/>
    <row r="1197" s="44" customFormat="1"/>
    <row r="1198" s="44" customFormat="1"/>
    <row r="1199" s="44" customFormat="1"/>
    <row r="1200" s="44" customFormat="1"/>
    <row r="1201" s="44" customFormat="1"/>
    <row r="1202" s="44" customFormat="1"/>
    <row r="1203" s="44" customFormat="1"/>
    <row r="1204" s="44" customFormat="1"/>
    <row r="1205" s="44" customFormat="1"/>
    <row r="1206" s="44" customFormat="1"/>
    <row r="1207" s="44" customFormat="1"/>
    <row r="1208" s="44" customFormat="1"/>
    <row r="1209" s="44" customFormat="1"/>
    <row r="1210" s="44" customFormat="1"/>
    <row r="1211" s="44" customFormat="1"/>
    <row r="1212" s="44" customFormat="1"/>
    <row r="1213" s="44" customFormat="1"/>
    <row r="1214" s="44" customFormat="1"/>
    <row r="1215" s="44" customFormat="1"/>
    <row r="1216" s="44" customFormat="1"/>
    <row r="1217" s="44" customFormat="1"/>
    <row r="1218" s="44" customFormat="1"/>
    <row r="1219" s="44" customFormat="1"/>
    <row r="1220" s="44" customFormat="1"/>
    <row r="1221" s="44" customFormat="1"/>
    <row r="1222" s="44" customFormat="1"/>
    <row r="1223" s="44" customFormat="1"/>
    <row r="1224" s="44" customFormat="1"/>
    <row r="1225" s="44" customFormat="1"/>
    <row r="1226" s="44" customFormat="1"/>
    <row r="1227" s="44" customFormat="1"/>
    <row r="1228" s="44" customFormat="1"/>
    <row r="1229" s="44" customFormat="1"/>
    <row r="1230" s="44" customFormat="1"/>
    <row r="1231" s="44" customFormat="1"/>
    <row r="1232" s="44" customFormat="1"/>
    <row r="1233" s="44" customFormat="1"/>
    <row r="1234" s="44" customFormat="1"/>
    <row r="1235" s="44" customFormat="1"/>
    <row r="1236" s="44" customFormat="1"/>
    <row r="1237" s="44" customFormat="1"/>
    <row r="1238" s="44" customFormat="1"/>
    <row r="1239" s="44" customFormat="1"/>
    <row r="1240" s="44" customFormat="1"/>
    <row r="1241" s="44" customFormat="1"/>
    <row r="1242" s="44" customFormat="1"/>
    <row r="1243" s="44" customFormat="1"/>
    <row r="1244" s="44" customFormat="1"/>
    <row r="1245" s="44" customFormat="1"/>
    <row r="1246" s="44" customFormat="1"/>
    <row r="1247" s="44" customFormat="1"/>
    <row r="1248" s="44" customFormat="1"/>
    <row r="1249" s="44" customFormat="1"/>
    <row r="1250" s="44" customFormat="1"/>
    <row r="1251" s="44" customFormat="1"/>
    <row r="1252" s="44" customFormat="1"/>
    <row r="1253" s="44" customFormat="1"/>
    <row r="1254" s="44" customFormat="1"/>
    <row r="1255" s="44" customFormat="1"/>
    <row r="1256" s="44" customFormat="1"/>
    <row r="1257" s="44" customFormat="1"/>
    <row r="1258" s="44" customFormat="1"/>
    <row r="1259" s="44" customFormat="1"/>
    <row r="1260" s="44" customFormat="1"/>
    <row r="1261" s="44" customFormat="1"/>
    <row r="1262" s="44" customFormat="1"/>
    <row r="1263" s="44" customFormat="1"/>
    <row r="1264" s="44" customFormat="1"/>
    <row r="1265" s="44" customFormat="1"/>
    <row r="1266" s="44" customFormat="1"/>
    <row r="1267" s="44" customFormat="1"/>
    <row r="1268" s="44" customFormat="1"/>
    <row r="1269" s="44" customFormat="1"/>
    <row r="1270" s="44" customFormat="1"/>
    <row r="1271" s="44" customFormat="1"/>
    <row r="1272" s="44" customFormat="1"/>
    <row r="1273" s="44" customFormat="1"/>
    <row r="1274" s="44" customFormat="1"/>
    <row r="1275" s="44" customFormat="1"/>
    <row r="1276" s="44" customFormat="1"/>
    <row r="1277" s="44" customFormat="1"/>
    <row r="1278" s="44" customFormat="1"/>
    <row r="1279" s="44" customFormat="1"/>
    <row r="1280" s="44" customFormat="1"/>
    <row r="1281" s="44" customFormat="1"/>
    <row r="1282" s="44" customFormat="1"/>
    <row r="1283" s="44" customFormat="1"/>
    <row r="1284" s="44" customFormat="1"/>
    <row r="1285" s="44" customFormat="1"/>
    <row r="1286" s="44" customFormat="1"/>
    <row r="1287" s="44" customFormat="1"/>
    <row r="1288" s="44" customFormat="1"/>
    <row r="1289" s="44" customFormat="1"/>
    <row r="1290" s="44" customFormat="1"/>
    <row r="1291" s="44" customFormat="1"/>
    <row r="1292" s="44" customFormat="1"/>
    <row r="1293" s="44" customFormat="1"/>
    <row r="1294" s="44" customFormat="1"/>
    <row r="1295" s="44" customFormat="1"/>
    <row r="1296" s="44" customFormat="1"/>
    <row r="1297" s="44" customFormat="1"/>
    <row r="1298" s="44" customFormat="1"/>
    <row r="1299" s="44" customFormat="1"/>
    <row r="1300" s="44" customFormat="1"/>
    <row r="1301" s="44" customFormat="1"/>
    <row r="1302" s="44" customFormat="1"/>
    <row r="1303" s="44" customFormat="1"/>
    <row r="1304" s="44" customFormat="1"/>
    <row r="1305" s="44" customFormat="1"/>
    <row r="1306" s="44" customFormat="1"/>
    <row r="1307" s="44" customFormat="1"/>
    <row r="1308" s="44" customFormat="1"/>
    <row r="1309" s="44" customFormat="1"/>
    <row r="1310" s="44" customFormat="1"/>
    <row r="1311" s="44" customFormat="1"/>
    <row r="1312" s="44" customFormat="1"/>
    <row r="1313" s="44" customFormat="1"/>
    <row r="1314" s="44" customFormat="1"/>
    <row r="1315" s="44" customFormat="1"/>
    <row r="1316" s="44" customFormat="1"/>
    <row r="1317" s="44" customFormat="1"/>
    <row r="1318" s="44" customFormat="1"/>
    <row r="1319" s="44" customFormat="1"/>
    <row r="1320" s="44" customFormat="1"/>
    <row r="1321" s="44" customFormat="1"/>
    <row r="1322" s="44" customFormat="1"/>
    <row r="1323" s="44" customFormat="1"/>
    <row r="1324" s="44" customFormat="1"/>
    <row r="1325" s="44" customFormat="1"/>
    <row r="1326" s="44" customFormat="1"/>
    <row r="1327" s="44" customFormat="1"/>
    <row r="1328" s="44" customFormat="1"/>
    <row r="1329" s="44" customFormat="1"/>
    <row r="1330" s="44" customFormat="1"/>
    <row r="1331" s="44" customFormat="1"/>
    <row r="1332" s="44" customFormat="1"/>
    <row r="1333" s="44" customFormat="1"/>
    <row r="1334" s="44" customFormat="1"/>
    <row r="1335" s="44" customFormat="1"/>
    <row r="1336" s="44" customFormat="1"/>
    <row r="1337" s="44" customFormat="1"/>
    <row r="1338" s="44" customFormat="1"/>
    <row r="1339" s="44" customFormat="1"/>
    <row r="1340" s="44" customFormat="1"/>
    <row r="1341" s="44" customFormat="1"/>
    <row r="1342" s="44" customFormat="1"/>
    <row r="1343" s="44" customFormat="1"/>
    <row r="1344" s="44" customFormat="1"/>
    <row r="1345" s="44" customFormat="1"/>
    <row r="1346" s="44" customFormat="1"/>
    <row r="1347" s="44" customFormat="1"/>
    <row r="1348" s="44" customFormat="1"/>
    <row r="1349" s="44" customFormat="1"/>
    <row r="1350" s="44" customFormat="1"/>
    <row r="1351" s="44" customFormat="1"/>
    <row r="1352" s="44" customFormat="1"/>
    <row r="1353" s="44" customFormat="1"/>
    <row r="1354" s="44" customFormat="1"/>
    <row r="1355" s="44" customFormat="1"/>
    <row r="1356" s="44" customFormat="1"/>
    <row r="1357" s="44" customFormat="1"/>
    <row r="1358" s="44" customFormat="1"/>
    <row r="1359" s="44" customFormat="1"/>
    <row r="1360" s="44" customFormat="1"/>
    <row r="1361" s="44" customFormat="1"/>
    <row r="1362" s="44" customFormat="1"/>
    <row r="1363" s="44" customFormat="1"/>
    <row r="1364" s="44" customFormat="1"/>
    <row r="1365" s="44" customFormat="1"/>
    <row r="1366" s="44" customFormat="1"/>
    <row r="1367" s="44" customFormat="1"/>
    <row r="1368" s="44" customFormat="1"/>
    <row r="1369" s="44" customFormat="1"/>
    <row r="1370" s="44" customFormat="1"/>
    <row r="1371" s="44" customFormat="1"/>
    <row r="1372" s="44" customFormat="1"/>
    <row r="1373" s="44" customFormat="1"/>
    <row r="1374" s="44" customFormat="1"/>
    <row r="1375" s="44" customFormat="1"/>
    <row r="1376" s="44" customFormat="1"/>
    <row r="1377" s="44" customFormat="1"/>
    <row r="1378" s="44" customFormat="1"/>
    <row r="1379" s="44" customFormat="1"/>
    <row r="1380" s="44" customFormat="1"/>
    <row r="1381" s="44" customFormat="1"/>
    <row r="1382" s="44" customFormat="1"/>
    <row r="1383" s="44" customFormat="1"/>
    <row r="1384" s="44" customFormat="1"/>
    <row r="1385" s="44" customFormat="1"/>
    <row r="1386" s="44" customFormat="1"/>
    <row r="1387" s="44" customFormat="1"/>
    <row r="1388" s="44" customFormat="1"/>
    <row r="1389" s="44" customFormat="1"/>
    <row r="1390" s="44" customFormat="1"/>
    <row r="1391" s="44" customFormat="1"/>
    <row r="1392" s="44" customFormat="1"/>
    <row r="1393" s="44" customFormat="1"/>
    <row r="1394" s="44" customFormat="1"/>
    <row r="1395" s="44" customFormat="1"/>
    <row r="1396" s="44" customFormat="1"/>
    <row r="1397" s="44" customFormat="1"/>
    <row r="1398" s="44" customFormat="1"/>
    <row r="1399" s="44" customFormat="1"/>
    <row r="1400" s="44" customFormat="1"/>
    <row r="1401" s="44" customFormat="1"/>
    <row r="1402" s="44" customFormat="1"/>
    <row r="1403" s="44" customFormat="1"/>
    <row r="1404" s="44" customFormat="1"/>
    <row r="1405" s="44" customFormat="1"/>
    <row r="1406" s="44" customFormat="1"/>
    <row r="1407" s="44" customFormat="1"/>
    <row r="1408" s="44" customFormat="1"/>
    <row r="1409" s="44" customFormat="1"/>
    <row r="1410" s="44" customFormat="1"/>
    <row r="1411" s="44" customFormat="1"/>
    <row r="1412" s="44" customFormat="1"/>
    <row r="1413" s="44" customFormat="1"/>
    <row r="1414" s="44" customFormat="1"/>
    <row r="1415" s="44" customFormat="1"/>
    <row r="1416" s="44" customFormat="1"/>
    <row r="1417" s="44" customFormat="1"/>
    <row r="1418" s="44" customFormat="1"/>
    <row r="1419" s="44" customFormat="1"/>
    <row r="1420" s="44" customFormat="1"/>
    <row r="1421" s="44" customFormat="1"/>
    <row r="1422" s="44" customFormat="1"/>
    <row r="1423" s="44" customFormat="1"/>
    <row r="1424" s="44" customFormat="1"/>
    <row r="1425" s="44" customFormat="1"/>
    <row r="1426" s="44" customFormat="1"/>
    <row r="1427" s="44" customFormat="1"/>
    <row r="1428" s="44" customFormat="1"/>
    <row r="1429" s="44" customFormat="1"/>
    <row r="1430" s="44" customFormat="1"/>
    <row r="1431" s="44" customFormat="1"/>
    <row r="1432" s="44" customFormat="1"/>
    <row r="1433" s="44" customFormat="1"/>
    <row r="1434" s="44" customFormat="1"/>
    <row r="1435" s="44" customFormat="1"/>
    <row r="1436" s="44" customFormat="1"/>
    <row r="1437" s="44" customFormat="1"/>
    <row r="1438" s="44" customFormat="1"/>
    <row r="1439" s="44" customFormat="1"/>
    <row r="1440" s="44" customFormat="1"/>
    <row r="1441" s="44" customFormat="1"/>
    <row r="1442" s="44" customFormat="1"/>
    <row r="1443" s="44" customFormat="1"/>
    <row r="1444" s="44" customFormat="1"/>
    <row r="1445" s="44" customFormat="1"/>
    <row r="1446" s="44" customFormat="1"/>
    <row r="1447" s="44" customFormat="1"/>
    <row r="1448" s="44" customFormat="1"/>
    <row r="1449" s="44" customFormat="1"/>
    <row r="1450" s="44" customFormat="1"/>
    <row r="1451" s="44" customFormat="1"/>
    <row r="1452" s="44" customFormat="1"/>
    <row r="1453" s="44" customFormat="1"/>
    <row r="1454" s="44" customFormat="1"/>
    <row r="1455" s="44" customFormat="1"/>
    <row r="1456" s="44" customFormat="1"/>
    <row r="1457" s="44" customFormat="1"/>
    <row r="1458" s="44" customFormat="1"/>
    <row r="1459" s="44" customFormat="1"/>
    <row r="1460" s="44" customFormat="1"/>
    <row r="1461" s="44" customFormat="1"/>
    <row r="1462" s="44" customFormat="1"/>
    <row r="1463" s="44" customFormat="1"/>
    <row r="1464" s="44" customFormat="1"/>
    <row r="1465" s="44" customFormat="1"/>
    <row r="1466" s="44" customFormat="1"/>
    <row r="1467" s="44" customFormat="1"/>
    <row r="1468" s="44" customFormat="1"/>
    <row r="1469" s="44" customFormat="1"/>
    <row r="1470" s="44" customFormat="1"/>
    <row r="1471" s="44" customFormat="1"/>
    <row r="1472" s="44" customFormat="1"/>
    <row r="1473" s="44" customFormat="1"/>
    <row r="1474" s="44" customFormat="1"/>
    <row r="1475" s="44" customFormat="1"/>
    <row r="1476" s="44" customFormat="1"/>
    <row r="1477" s="44" customFormat="1"/>
    <row r="1478" s="44" customFormat="1"/>
    <row r="1479" s="44" customFormat="1"/>
  </sheetData>
  <mergeCells count="3">
    <mergeCell ref="A1:O1"/>
    <mergeCell ref="A2:O2"/>
    <mergeCell ref="M22:O22"/>
  </mergeCells>
  <pageMargins left="0.7" right="0.7" top="0.75" bottom="0.75" header="0.3" footer="0.3"/>
  <pageSetup paperSize="9" scale="69" orientation="landscape" horizontalDpi="4294967295" verticalDpi="4294967295" r:id="rId1"/>
  <ignoredErrors>
    <ignoredError sqref="C11:N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10.11</vt:lpstr>
      <vt:lpstr>'10.11'!Print_Area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2023-01-29T05:52:44Z</cp:lastPrinted>
  <dcterms:created xsi:type="dcterms:W3CDTF">2019-02-27T06:18:18Z</dcterms:created>
  <dcterms:modified xsi:type="dcterms:W3CDTF">2023-01-29T05:53:53Z</dcterms:modified>
</cp:coreProperties>
</file>