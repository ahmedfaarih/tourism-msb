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836C627B-2E6F-4289-A712-06ED8CD0AC08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7" sheetId="7" r:id="rId1"/>
  </sheets>
  <externalReferences>
    <externalReference r:id="rId2"/>
  </externalReferences>
  <definedNames>
    <definedName name="_xlnm.Print_Area" localSheetId="0">'10.7'!$A$1:$K$41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7" l="1"/>
  <c r="I17" i="7"/>
  <c r="I16" i="7"/>
  <c r="I15" i="7"/>
  <c r="I14" i="7"/>
  <c r="I13" i="7"/>
  <c r="I12" i="7"/>
  <c r="I11" i="7"/>
  <c r="I10" i="7"/>
  <c r="I9" i="7"/>
  <c r="I8" i="7"/>
  <c r="I7" i="7"/>
  <c r="AC22" i="7" l="1"/>
  <c r="AD22" i="7"/>
  <c r="AC23" i="7"/>
  <c r="AD23" i="7"/>
  <c r="AC24" i="7"/>
  <c r="AD24" i="7"/>
  <c r="AC25" i="7"/>
  <c r="AD25" i="7"/>
  <c r="AC26" i="7"/>
  <c r="AD26" i="7"/>
  <c r="AC27" i="7"/>
  <c r="AD27" i="7"/>
  <c r="AC28" i="7"/>
  <c r="AD28" i="7"/>
  <c r="AC29" i="7"/>
  <c r="AD29" i="7"/>
  <c r="AC30" i="7"/>
  <c r="AD30" i="7"/>
  <c r="AC31" i="7"/>
  <c r="AD31" i="7"/>
  <c r="AC32" i="7"/>
  <c r="AD32" i="7"/>
  <c r="AD21" i="7"/>
  <c r="AC21" i="7"/>
  <c r="K6" i="7"/>
  <c r="J6" i="7"/>
  <c r="I6" i="7"/>
  <c r="H6" i="7"/>
  <c r="G6" i="7"/>
  <c r="F6" i="7" l="1"/>
  <c r="E6" i="7"/>
  <c r="D6" i="7"/>
  <c r="C6" i="7"/>
  <c r="B6" i="7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<sst xmlns="http://schemas.openxmlformats.org/spreadsheetml/2006/main" count="54" uniqueCount="42">
  <si>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</si>
  <si>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</si>
  <si>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</si>
  <si>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</si>
  <si>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</si>
  <si>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</si>
  <si>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</si>
  <si>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</si>
  <si>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</si>
  <si>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</si>
  <si>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</si>
  <si>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</si>
  <si>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</si>
  <si>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</si>
  <si>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</si>
  <si>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</si>
  <si>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</si>
  <si>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</si>
  <si>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</si>
  <si>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</si>
  <si>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</si>
  <si>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</si>
  <si>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</si>
  <si>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</si>
  <si>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</si>
  <si>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</si>
  <si>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</si>
  <si>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</si>
  <si>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</si>
  <si>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</si>
  <si>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</si>
  <si>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</si>
  <si>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</si>
  <si>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</si>
  <si>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</si>
  <si>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</si>
  <si>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</si>
  <si>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</si>
  <si>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</si>
  <si>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</si>
  <si>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10.7: BED CAPACITY AND UTILIZATION OF SAFARI VESSELS BY MONTH,  2020 - 2021</t>
  </si>
  <si>
    <t>2021 - 2020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</si>
</sst>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1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2" fillId="0" borderId="0"/>
    <xf numFmtId="0" fontId="23" fillId="0" borderId="0"/>
    <xf numFmtId="0" fontId="22" fillId="0" borderId="0"/>
    <xf numFmtId="0" fontId="1" fillId="0" borderId="0"/>
    <xf numFmtId="0" fontId="3" fillId="0" borderId="0"/>
    <xf numFmtId="0" fontId="21" fillId="0" borderId="0" applyFill="0" applyProtection="0"/>
  </cellStyleXfs>
  <cellXfs count="41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167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164" fontId="19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35">
    <cellStyle name="1" xfId="5" xr:uid="{00000000-0005-0000-0000-000000000000}"/>
    <cellStyle name="Comma 2" xfId="19" xr:uid="{00000000-0005-0000-0000-000002000000}"/>
    <cellStyle name="Comma 2 2 2 5" xfId="27" xr:uid="{923A80DF-8391-490C-A9FC-9B04BA3FF02C}"/>
    <cellStyle name="Comma 3" xfId="6" xr:uid="{00000000-0005-0000-0000-000003000000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3" xfId="21" xr:uid="{2E2FEFD2-ABBD-420D-8461-C8F503FDA24A}"/>
    <cellStyle name="Normal 2 3" xfId="23" xr:uid="{48422FEC-E0BC-428C-9750-2D76D2E13FBF}"/>
    <cellStyle name="Normal 2 3 2" xfId="34" xr:uid="{53720891-5BB7-4072-A4AA-9D579EA571CD}"/>
    <cellStyle name="Normal 2 4" xfId="25" xr:uid="{84E1C268-3A16-4FB7-A335-F22068D33369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3" xfId="30" xr:uid="{6720CF7E-3D28-49D4-A4F3-23A341275CC3}"/>
    <cellStyle name="Normal 5" xfId="11" xr:uid="{00000000-0005-0000-0000-00000E000000}"/>
    <cellStyle name="Normal 5 2" xfId="3" xr:uid="{00000000-0005-0000-0000-00000F000000}"/>
    <cellStyle name="Normal 5 3" xfId="28" xr:uid="{F16A05F5-F806-4902-9DAF-1592A0EB3B8F}"/>
    <cellStyle name="Normal 6" xfId="16" xr:uid="{00000000-0005-0000-0000-000010000000}"/>
    <cellStyle name="Normal 6 2" xfId="32" xr:uid="{28DCBC0B-46D7-4D92-ADC4-A6E5B7FB0383}"/>
    <cellStyle name="Normal 7" xfId="17" xr:uid="{00000000-0005-0000-0000-000011000000}"/>
    <cellStyle name="Normal 7 2" xfId="33" xr:uid="{F94E59D5-A861-4070-A967-F13E24BDD6F0}"/>
    <cellStyle name="Normal 8" xfId="18" xr:uid="{00000000-0005-0000-0000-000012000000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10.11:  Bed capacity and beds in operation in safari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100" b="1" i="0" baseline="0">
                <a:effectLst/>
              </a:rPr>
              <a:t> , 2021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6787146024400732"/>
          <c:y val="4.8583143344664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'10.7'!$AC$20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'10.7'!$AB$21:$AB$32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'10.7'!$AC$21:$AC$32</c:f>
              <c:numCache>
                <c:formatCode>#,##0</c:formatCode>
                <c:ptCount val="12"/>
                <c:pt idx="0">
                  <c:v>2925</c:v>
                </c:pt>
                <c:pt idx="1">
                  <c:v>2969</c:v>
                </c:pt>
                <c:pt idx="2">
                  <c:v>2947</c:v>
                </c:pt>
                <c:pt idx="3">
                  <c:v>2965</c:v>
                </c:pt>
                <c:pt idx="4">
                  <c:v>2965</c:v>
                </c:pt>
                <c:pt idx="5">
                  <c:v>2969</c:v>
                </c:pt>
                <c:pt idx="6">
                  <c:v>2969</c:v>
                </c:pt>
                <c:pt idx="7">
                  <c:v>2969</c:v>
                </c:pt>
                <c:pt idx="8">
                  <c:v>2969</c:v>
                </c:pt>
                <c:pt idx="9">
                  <c:v>2939</c:v>
                </c:pt>
                <c:pt idx="10">
                  <c:v>2939</c:v>
                </c:pt>
                <c:pt idx="11">
                  <c:v>2939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53E-B050-5126D987D595}"/>
            </c:ext>
          </c:extLst>
        </c:ser>
        <c:ser>
          <c:idx val="1"/>
          <c:order val="1"/>
          <c:tx>
            <c:strRef>
              <c:f>'10.7'!$AD$20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/>
          </c:spPr>
          <c:invertIfNegative val="0"/>
          <c:cat>
            <c:strRef>
              <c:f>'10.7'!$AB$21:$AB$32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'10.7'!$AD$21:$AD$32</c:f>
              <c:numCache>
                <c:formatCode>#,##0</c:formatCode>
                <c:ptCount val="12"/>
                <c:pt idx="0">
                  <c:v>2600</c:v>
                </c:pt>
                <c:pt idx="1">
                  <c:v>2677</c:v>
                </c:pt>
                <c:pt idx="2">
                  <c:v>2699</c:v>
                </c:pt>
                <c:pt idx="3">
                  <c:v>2699</c:v>
                </c:pt>
                <c:pt idx="4">
                  <c:v>2726</c:v>
                </c:pt>
                <c:pt idx="5">
                  <c:v>2748</c:v>
                </c:pt>
                <c:pt idx="6">
                  <c:v>2748</c:v>
                </c:pt>
                <c:pt idx="7">
                  <c:v>2828</c:v>
                </c:pt>
                <c:pt idx="8">
                  <c:v>2846</c:v>
                </c:pt>
                <c:pt idx="9">
                  <c:v>2846</c:v>
                </c:pt>
                <c:pt idx="10">
                  <c:v>2816</c:v>
                </c:pt>
                <c:pt idx="11">
                  <c:v>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53E-B050-5126D98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8777216819589391"/>
          <c:y val="0.92479197419611714"/>
          <c:w val="0.42125167233498467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107831</xdr:colOff>
      <xdr:row>21</xdr:row>
      <xdr:rowOff>152758</xdr:rowOff>
    </xdr:from>
    <xdr:to>
      <xdr:col>9</xdr:col>
      <xdr:colOff>835685</xdr:colOff>
      <xdr:row>38</xdr:row>
      <xdr:rowOff>138231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P71"/>
  <sheetViews>
    <sheetView tabSelected="1" zoomScaleNormal="100" zoomScaleSheetLayoutView="106" workbookViewId="0">
      <selection activeCell="M13" sqref="M1:N1048576"/>
    </sheetView>
  </sheetViews>
  <sheetFormatPr defaultColWidth="9.140625" defaultRowHeight="12"/>
  <cols>
    <col min="1" max="1" width="13.7109375" style="3" customWidth="1"/>
    <col min="2" max="11" width="14.7109375" style="3" customWidth="1"/>
    <col min="12" max="24" width="18.28515625" style="3" customWidth="1"/>
    <col min="25" max="16384" width="9.140625" style="3"/>
  </cols>
  <sheetData>
    <row r="1" spans="1:24" ht="17.25" customHeight="1">
      <c r="A1" s="40" t="s">
        <v>41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24" ht="24" customHeight="1">
      <c r="A2" s="39" t="s">
        <v>40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4" customFormat="1" ht="18.75" customHeight="1">
      <c r="A3" s="34" t="s">
        <v>2</v>
      </c>
      <c r="B3" s="37">
        <v>2020</v>
      </c>
      <c r="C3" s="38"/>
      <c r="D3" s="38"/>
      <c r="E3" s="38"/>
      <c r="F3" s="38"/>
      <c r="G3" s="37">
        <v>2021</v>
      </c>
      <c r="H3" s="38"/>
      <c r="I3" s="38"/>
      <c r="J3" s="38"/>
      <c r="K3" s="38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s="4" customFormat="1" ht="52.5" customHeight="1">
      <c r="A4" s="35"/>
      <c r="B4" s="5" t="s">
        <v>3</v>
      </c>
      <c r="C4" s="6" t="s">
        <v>4</v>
      </c>
      <c r="D4" s="6" t="s">
        <v>1</v>
      </c>
      <c r="E4" s="6" t="s">
        <v>5</v>
      </c>
      <c r="F4" s="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s="4" customFormat="1" ht="46.5" customHeight="1">
      <c r="A5" s="36"/>
      <c r="B5" s="31" t="s">
        <v>11</v>
      </c>
      <c r="C5" s="30" t="s">
        <v>7</v>
      </c>
      <c r="D5" s="30" t="s">
        <v>8</v>
      </c>
      <c r="E5" s="30" t="s">
        <v>9</v>
      </c>
      <c r="F5" s="30" t="s">
        <v>10</v>
      </c>
      <c r="G5" s="31" t="s">
        <v>11</v>
      </c>
      <c r="H5" s="30" t="s">
        <v>7</v>
      </c>
      <c r="I5" s="30" t="s">
        <v>8</v>
      </c>
      <c r="J5" s="30" t="s">
        <v>9</v>
      </c>
      <c r="K5" s="30" t="s">
        <v>10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s="4" customFormat="1" ht="16.5" customHeight="1">
      <c r="A6" s="7" t="s">
        <v>12</v>
      </c>
      <c r="B6" s="8">
        <f>AVERAGE(B7:B18)</f>
        <v>2922.4166666666665</v>
      </c>
      <c r="C6" s="9">
        <f>AVERAGE(C7:C18)</f>
        <v>1651.4166666666667</v>
      </c>
      <c r="D6" s="10">
        <f>AVERAGE(D7:D18)</f>
        <v>35.745577925251418</v>
      </c>
      <c r="E6" s="10">
        <f>AVERAGE(E7:E18)</f>
        <v>18.371216403823603</v>
      </c>
      <c r="F6" s="25">
        <f>SUM(F7:F18)</f>
        <v>118380.72272189851</v>
      </c>
      <c r="G6" s="8">
        <f>AVERAGE(G7:G18)</f>
        <v>2955.3333333333335</v>
      </c>
      <c r="H6" s="9">
        <f>AVERAGE(H7:H18)</f>
        <v>2757.5833333333335</v>
      </c>
      <c r="I6" s="10">
        <f>AVERAGE(I7:I18)</f>
        <v>93.310168439983087</v>
      </c>
      <c r="J6" s="10">
        <f>AVERAGE(J7:J18)</f>
        <v>19.333333333333332</v>
      </c>
      <c r="K6" s="25">
        <f>SUM(K7:K18)</f>
        <v>196618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s="4" customFormat="1" ht="16.5" customHeight="1">
      <c r="A7" s="11" t="s">
        <v>13</v>
      </c>
      <c r="B7" s="12">
        <v>2997</v>
      </c>
      <c r="C7" s="2">
        <v>2970</v>
      </c>
      <c r="D7" s="13">
        <v>99.89926463181223</v>
      </c>
      <c r="E7" s="13">
        <v>48.320666554073071</v>
      </c>
      <c r="F7" s="26">
        <v>31667.825873093949</v>
      </c>
      <c r="G7" s="12">
        <v>2925</v>
      </c>
      <c r="H7" s="2">
        <v>2600</v>
      </c>
      <c r="I7" s="13">
        <f>H7/G7*100</f>
        <v>88.888888888888886</v>
      </c>
      <c r="J7" s="13">
        <v>11.6</v>
      </c>
      <c r="K7" s="26">
        <v>9349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s="4" customFormat="1" ht="16.5" customHeight="1">
      <c r="A8" s="11" t="s">
        <v>14</v>
      </c>
      <c r="B8" s="12">
        <v>3006</v>
      </c>
      <c r="C8" s="2">
        <v>2979</v>
      </c>
      <c r="D8" s="13">
        <v>99.900368636046636</v>
      </c>
      <c r="E8" s="13">
        <v>43.164473200499963</v>
      </c>
      <c r="F8" s="26">
        <v>33893.245781777281</v>
      </c>
      <c r="G8" s="12">
        <v>2969</v>
      </c>
      <c r="H8" s="2">
        <v>2677</v>
      </c>
      <c r="I8" s="13">
        <f t="shared" ref="I8:I18" si="0">H8/G8*100</f>
        <v>90.165038733580332</v>
      </c>
      <c r="J8" s="13">
        <v>12.8</v>
      </c>
      <c r="K8" s="26">
        <v>9583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s="4" customFormat="1" ht="16.5" customHeight="1">
      <c r="A9" s="11" t="s">
        <v>15</v>
      </c>
      <c r="B9" s="12">
        <v>3006</v>
      </c>
      <c r="C9" s="2">
        <v>3006</v>
      </c>
      <c r="D9" s="13">
        <v>99.821658575250169</v>
      </c>
      <c r="E9" s="13">
        <v>19.435525895543716</v>
      </c>
      <c r="F9" s="26">
        <v>18124.181225554108</v>
      </c>
      <c r="G9" s="12">
        <v>2947</v>
      </c>
      <c r="H9" s="2">
        <v>2699</v>
      </c>
      <c r="I9" s="13">
        <f t="shared" si="0"/>
        <v>91.584662368510351</v>
      </c>
      <c r="J9" s="13">
        <v>20.5</v>
      </c>
      <c r="K9" s="26">
        <v>17144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s="4" customFormat="1" ht="16.5" customHeight="1">
      <c r="A10" s="11" t="s">
        <v>16</v>
      </c>
      <c r="B10" s="12">
        <v>3006</v>
      </c>
      <c r="C10" s="2">
        <v>24</v>
      </c>
      <c r="D10" s="13">
        <v>2.6354899435252155</v>
      </c>
      <c r="E10" s="13">
        <v>7.9072681704260654</v>
      </c>
      <c r="F10" s="26">
        <v>30</v>
      </c>
      <c r="G10" s="12">
        <v>2965</v>
      </c>
      <c r="H10" s="2">
        <v>2699</v>
      </c>
      <c r="I10" s="13">
        <f t="shared" si="0"/>
        <v>91.028667790893763</v>
      </c>
      <c r="J10" s="13">
        <v>19.5</v>
      </c>
      <c r="K10" s="26">
        <v>15783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s="4" customFormat="1" ht="16.5" customHeight="1">
      <c r="A11" s="11" t="s">
        <v>17</v>
      </c>
      <c r="B11" s="12">
        <v>3006</v>
      </c>
      <c r="C11" s="2">
        <v>0</v>
      </c>
      <c r="D11" s="13">
        <v>0.73318141286039828</v>
      </c>
      <c r="E11" s="13">
        <v>4.7079337401918044</v>
      </c>
      <c r="F11" s="26">
        <v>0</v>
      </c>
      <c r="G11" s="12">
        <v>2965</v>
      </c>
      <c r="H11" s="2">
        <v>2726</v>
      </c>
      <c r="I11" s="13">
        <f t="shared" si="0"/>
        <v>91.939291736930855</v>
      </c>
      <c r="J11" s="13">
        <v>11.7</v>
      </c>
      <c r="K11" s="26">
        <v>9915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s="4" customFormat="1" ht="16.5" customHeight="1">
      <c r="A12" s="11" t="s">
        <v>18</v>
      </c>
      <c r="B12" s="12">
        <v>2982</v>
      </c>
      <c r="C12" s="2">
        <v>0</v>
      </c>
      <c r="D12" s="13">
        <v>0.73376301437778879</v>
      </c>
      <c r="E12" s="13">
        <v>3.1081081081081083</v>
      </c>
      <c r="F12" s="26">
        <v>0</v>
      </c>
      <c r="G12" s="12">
        <v>2969</v>
      </c>
      <c r="H12" s="2">
        <v>2748</v>
      </c>
      <c r="I12" s="13">
        <f t="shared" si="0"/>
        <v>92.55641630178512</v>
      </c>
      <c r="J12" s="13">
        <v>8.1</v>
      </c>
      <c r="K12" s="26">
        <v>6718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s="4" customFormat="1" ht="16.5" customHeight="1">
      <c r="A13" s="11" t="s">
        <v>19</v>
      </c>
      <c r="B13" s="12">
        <v>2905</v>
      </c>
      <c r="C13" s="2">
        <v>197</v>
      </c>
      <c r="D13" s="13">
        <v>1.8989219661754524</v>
      </c>
      <c r="E13" s="13">
        <v>6.13239247311828</v>
      </c>
      <c r="F13" s="26">
        <v>215</v>
      </c>
      <c r="G13" s="12">
        <v>2969</v>
      </c>
      <c r="H13" s="2">
        <v>2748</v>
      </c>
      <c r="I13" s="13">
        <f t="shared" si="0"/>
        <v>92.55641630178512</v>
      </c>
      <c r="J13" s="13">
        <v>11.4</v>
      </c>
      <c r="K13" s="26">
        <v>9704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s="4" customFormat="1" ht="16.5" customHeight="1">
      <c r="A14" s="11" t="s">
        <v>20</v>
      </c>
      <c r="B14" s="12">
        <v>2916</v>
      </c>
      <c r="C14" s="2">
        <v>1409</v>
      </c>
      <c r="D14" s="13">
        <v>6.6712720813184649</v>
      </c>
      <c r="E14" s="13">
        <v>22.620967741935484</v>
      </c>
      <c r="F14" s="26">
        <v>2303.9451007644197</v>
      </c>
      <c r="G14" s="12">
        <v>2969</v>
      </c>
      <c r="H14" s="2">
        <v>2828</v>
      </c>
      <c r="I14" s="13">
        <f t="shared" si="0"/>
        <v>95.250926237790495</v>
      </c>
      <c r="J14" s="13">
        <v>22.8</v>
      </c>
      <c r="K14" s="26">
        <v>20015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s="4" customFormat="1" ht="16.5" customHeight="1">
      <c r="A15" s="11" t="s">
        <v>21</v>
      </c>
      <c r="B15" s="12">
        <v>2876</v>
      </c>
      <c r="C15" s="2">
        <v>2086</v>
      </c>
      <c r="D15" s="13">
        <v>9.9060800790904597</v>
      </c>
      <c r="E15" s="13">
        <v>13.274231678486997</v>
      </c>
      <c r="F15" s="26">
        <v>4475.1150957854406</v>
      </c>
      <c r="G15" s="12">
        <v>2969</v>
      </c>
      <c r="H15" s="2">
        <v>2846</v>
      </c>
      <c r="I15" s="13">
        <f t="shared" si="0"/>
        <v>95.85719097339171</v>
      </c>
      <c r="J15" s="13">
        <v>21.4</v>
      </c>
      <c r="K15" s="26">
        <v>18277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s="4" customFormat="1" ht="16.5" customHeight="1">
      <c r="A16" s="11" t="s">
        <v>22</v>
      </c>
      <c r="B16" s="12">
        <v>2858</v>
      </c>
      <c r="C16" s="2">
        <v>2286</v>
      </c>
      <c r="D16" s="13">
        <v>21.669388147152048</v>
      </c>
      <c r="E16" s="13">
        <v>13.477684489615555</v>
      </c>
      <c r="F16" s="26">
        <v>7406.5844471445926</v>
      </c>
      <c r="G16" s="12">
        <v>2939</v>
      </c>
      <c r="H16" s="2">
        <v>2846</v>
      </c>
      <c r="I16" s="13">
        <f t="shared" si="0"/>
        <v>96.835658387206536</v>
      </c>
      <c r="J16" s="13">
        <v>27.8</v>
      </c>
      <c r="K16" s="26">
        <v>24500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42" s="4" customFormat="1" ht="16.5" customHeight="1">
      <c r="A17" s="11" t="s">
        <v>23</v>
      </c>
      <c r="B17" s="12">
        <v>2859</v>
      </c>
      <c r="C17" s="2">
        <v>2330</v>
      </c>
      <c r="D17" s="13">
        <v>32.984343482854669</v>
      </c>
      <c r="E17" s="13">
        <v>14.278252611585945</v>
      </c>
      <c r="F17" s="26">
        <v>7804.5159194282005</v>
      </c>
      <c r="G17" s="12">
        <v>2939</v>
      </c>
      <c r="H17" s="2">
        <v>2816</v>
      </c>
      <c r="I17" s="13">
        <f t="shared" si="0"/>
        <v>95.814903028240892</v>
      </c>
      <c r="J17" s="13">
        <v>34.200000000000003</v>
      </c>
      <c r="K17" s="26">
        <v>28865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42" s="4" customFormat="1" ht="16.5" customHeight="1">
      <c r="A18" s="14" t="s">
        <v>24</v>
      </c>
      <c r="B18" s="15">
        <v>2652</v>
      </c>
      <c r="C18" s="16">
        <v>2530</v>
      </c>
      <c r="D18" s="17">
        <v>52.09320313255342</v>
      </c>
      <c r="E18" s="17">
        <v>24.027092182298244</v>
      </c>
      <c r="F18" s="27">
        <v>12460.309278350516</v>
      </c>
      <c r="G18" s="15">
        <v>2939</v>
      </c>
      <c r="H18" s="16">
        <v>2858</v>
      </c>
      <c r="I18" s="17">
        <f t="shared" si="0"/>
        <v>97.243960530792776</v>
      </c>
      <c r="J18" s="17">
        <v>30.2</v>
      </c>
      <c r="K18" s="27">
        <v>26765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42" ht="19.5" customHeight="1">
      <c r="A19" s="1" t="s">
        <v>0</v>
      </c>
      <c r="B19" s="21"/>
      <c r="C19" s="28"/>
      <c r="D19" s="28"/>
      <c r="E19" s="28"/>
      <c r="F19" s="29"/>
      <c r="G19" s="21"/>
      <c r="H19" s="28"/>
      <c r="I19" s="28"/>
      <c r="J19" s="28"/>
      <c r="K19" s="29" t="s">
        <v>25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11.25" customHeight="1">
      <c r="A20" s="32" t="s">
        <v>38</v>
      </c>
      <c r="B20" s="21"/>
      <c r="C20" s="24"/>
      <c r="D20" s="24"/>
      <c r="E20" s="24"/>
      <c r="F20" s="24"/>
      <c r="G20" s="21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AC20" s="18" t="s">
        <v>11</v>
      </c>
      <c r="AD20" s="18" t="s">
        <v>26</v>
      </c>
    </row>
    <row r="21" spans="1:42" ht="11.25" customHeight="1">
      <c r="A21" s="33" t="s">
        <v>39</v>
      </c>
      <c r="B21" s="21"/>
      <c r="C21" s="24"/>
      <c r="D21" s="24"/>
      <c r="E21" s="24"/>
      <c r="F21" s="24"/>
      <c r="G21" s="21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AB21" s="19" t="s">
        <v>27</v>
      </c>
      <c r="AC21" s="12">
        <f>G7</f>
        <v>2925</v>
      </c>
      <c r="AD21" s="12">
        <f>H7</f>
        <v>2600</v>
      </c>
    </row>
    <row r="22" spans="1:42" ht="18.75" customHeight="1">
      <c r="A22" s="19"/>
      <c r="B22" s="21"/>
      <c r="C22" s="24"/>
      <c r="D22" s="24"/>
      <c r="E22" s="24"/>
      <c r="F22" s="24"/>
      <c r="G22" s="21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AB22" s="19" t="s">
        <v>28</v>
      </c>
      <c r="AC22" s="12">
        <f t="shared" ref="AC22:AD22" si="1">G8</f>
        <v>2969</v>
      </c>
      <c r="AD22" s="12">
        <f t="shared" si="1"/>
        <v>2677</v>
      </c>
    </row>
    <row r="23" spans="1:42" ht="18.75" customHeight="1">
      <c r="A23" s="19"/>
      <c r="B23" s="21"/>
      <c r="C23" s="24"/>
      <c r="D23" s="24"/>
      <c r="E23" s="24"/>
      <c r="F23" s="24"/>
      <c r="G23" s="21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AB23" s="19" t="s">
        <v>29</v>
      </c>
      <c r="AC23" s="12">
        <f t="shared" ref="AC23:AD23" si="2">G9</f>
        <v>2947</v>
      </c>
      <c r="AD23" s="12">
        <f t="shared" si="2"/>
        <v>2699</v>
      </c>
    </row>
    <row r="24" spans="1:42" ht="18.75" customHeight="1">
      <c r="A24" s="19"/>
      <c r="B24" s="21"/>
      <c r="C24" s="24"/>
      <c r="D24" s="24"/>
      <c r="E24" s="24"/>
      <c r="F24" s="24"/>
      <c r="G24" s="21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AB24" s="19" t="s">
        <v>30</v>
      </c>
      <c r="AC24" s="12">
        <f t="shared" ref="AC24:AD24" si="3">G10</f>
        <v>2965</v>
      </c>
      <c r="AD24" s="12">
        <f t="shared" si="3"/>
        <v>2699</v>
      </c>
    </row>
    <row r="25" spans="1:42" ht="18.75" customHeight="1">
      <c r="A25" s="19"/>
      <c r="B25" s="20"/>
      <c r="C25" s="13"/>
      <c r="D25" s="13"/>
      <c r="E25" s="13"/>
      <c r="F25" s="13"/>
      <c r="G25" s="20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AB25" s="19" t="s">
        <v>17</v>
      </c>
      <c r="AC25" s="12">
        <f t="shared" ref="AC25:AD25" si="4">G11</f>
        <v>2965</v>
      </c>
      <c r="AD25" s="12">
        <f t="shared" si="4"/>
        <v>2726</v>
      </c>
    </row>
    <row r="26" spans="1:42" ht="18.75" customHeight="1">
      <c r="A26" s="19"/>
      <c r="B26" s="21"/>
      <c r="C26" s="13"/>
      <c r="D26" s="13"/>
      <c r="E26" s="13"/>
      <c r="F26" s="13"/>
      <c r="G26" s="21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AB26" s="19" t="s">
        <v>31</v>
      </c>
      <c r="AC26" s="12">
        <f t="shared" ref="AC26:AD26" si="5">G12</f>
        <v>2969</v>
      </c>
      <c r="AD26" s="12">
        <f t="shared" si="5"/>
        <v>2748</v>
      </c>
    </row>
    <row r="27" spans="1:42" ht="18.75" customHeight="1">
      <c r="A27" s="19"/>
      <c r="B27" s="21"/>
      <c r="C27" s="13"/>
      <c r="D27" s="13"/>
      <c r="E27" s="13"/>
      <c r="F27" s="13"/>
      <c r="G27" s="21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AB27" s="19" t="s">
        <v>32</v>
      </c>
      <c r="AC27" s="12">
        <f t="shared" ref="AC27:AD27" si="6">G13</f>
        <v>2969</v>
      </c>
      <c r="AD27" s="12">
        <f t="shared" si="6"/>
        <v>2748</v>
      </c>
    </row>
    <row r="28" spans="1:42" ht="18.75" customHeight="1">
      <c r="A28" s="19"/>
      <c r="B28" s="21"/>
      <c r="C28" s="13"/>
      <c r="D28" s="13"/>
      <c r="E28" s="13"/>
      <c r="F28" s="13"/>
      <c r="G28" s="21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AB28" s="19" t="s">
        <v>33</v>
      </c>
      <c r="AC28" s="12">
        <f t="shared" ref="AC28:AD28" si="7">G14</f>
        <v>2969</v>
      </c>
      <c r="AD28" s="12">
        <f t="shared" si="7"/>
        <v>2828</v>
      </c>
    </row>
    <row r="29" spans="1:42" ht="18.75" customHeight="1">
      <c r="A29" s="19"/>
      <c r="B29" s="21"/>
      <c r="C29" s="13"/>
      <c r="D29" s="13"/>
      <c r="E29" s="13"/>
      <c r="F29" s="13"/>
      <c r="G29" s="21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AB29" s="19" t="s">
        <v>34</v>
      </c>
      <c r="AC29" s="12">
        <f t="shared" ref="AC29:AD29" si="8">G15</f>
        <v>2969</v>
      </c>
      <c r="AD29" s="12">
        <f t="shared" si="8"/>
        <v>2846</v>
      </c>
    </row>
    <row r="30" spans="1:42" ht="18.75" customHeight="1">
      <c r="A30" s="19"/>
      <c r="B30" s="21"/>
      <c r="C30" s="13"/>
      <c r="D30" s="13"/>
      <c r="E30" s="13"/>
      <c r="F30" s="13"/>
      <c r="G30" s="21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AB30" s="19" t="s">
        <v>35</v>
      </c>
      <c r="AC30" s="12">
        <f t="shared" ref="AC30:AD30" si="9">G16</f>
        <v>2939</v>
      </c>
      <c r="AD30" s="12">
        <f t="shared" si="9"/>
        <v>2846</v>
      </c>
    </row>
    <row r="31" spans="1:42" ht="9.75" customHeight="1">
      <c r="A31" s="19"/>
      <c r="B31" s="21"/>
      <c r="C31" s="13"/>
      <c r="D31" s="13"/>
      <c r="E31" s="13"/>
      <c r="F31" s="13"/>
      <c r="G31" s="21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AB31" s="19" t="s">
        <v>36</v>
      </c>
      <c r="AC31" s="12">
        <f t="shared" ref="AC31:AD31" si="10">G17</f>
        <v>2939</v>
      </c>
      <c r="AD31" s="12">
        <f t="shared" si="10"/>
        <v>2816</v>
      </c>
    </row>
    <row r="32" spans="1:42" ht="18.75" customHeight="1">
      <c r="A32" s="19"/>
      <c r="B32" s="21"/>
      <c r="C32" s="13"/>
      <c r="D32" s="13"/>
      <c r="E32" s="13"/>
      <c r="F32" s="13"/>
      <c r="G32" s="21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AB32" s="19" t="s">
        <v>37</v>
      </c>
      <c r="AC32" s="12">
        <f t="shared" ref="AC32:AD32" si="11">G18</f>
        <v>2939</v>
      </c>
      <c r="AD32" s="12">
        <f t="shared" si="11"/>
        <v>2858</v>
      </c>
    </row>
    <row r="33" spans="1:30" ht="18.75" customHeight="1">
      <c r="A33" s="19"/>
      <c r="B33" s="21"/>
      <c r="C33" s="13"/>
      <c r="D33" s="13"/>
      <c r="E33" s="13"/>
      <c r="F33" s="13"/>
      <c r="G33" s="21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B33" s="4"/>
      <c r="AC33" s="4"/>
      <c r="AD33" s="4"/>
    </row>
    <row r="34" spans="1:30" ht="12.75">
      <c r="B34" s="21"/>
      <c r="C34" s="13"/>
      <c r="D34" s="13"/>
      <c r="E34" s="13"/>
      <c r="F34" s="13"/>
      <c r="G34" s="21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30" ht="12.75">
      <c r="B35" s="21"/>
      <c r="C35" s="13"/>
      <c r="D35" s="13"/>
      <c r="E35" s="13"/>
      <c r="F35" s="13"/>
      <c r="G35" s="21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30" ht="12.75">
      <c r="B36" s="21"/>
      <c r="C36" s="13"/>
      <c r="D36" s="13"/>
      <c r="E36" s="13"/>
      <c r="F36" s="13"/>
      <c r="G36" s="21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70" spans="32:32">
      <c r="AF70" s="23"/>
    </row>
    <row r="71" spans="32:32">
      <c r="AF71" s="23"/>
    </row>
  </sheetData>
  <mergeCells count="5">
    <mergeCell ref="G3:K3"/>
    <mergeCell ref="A1:K1"/>
    <mergeCell ref="A2:K2"/>
    <mergeCell ref="B3:F3"/>
    <mergeCell ref="A3:A5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2023-01-29T05:43:12Z</cp:lastPrinted>
  <dcterms:created xsi:type="dcterms:W3CDTF">2019-02-27T06:18:18Z</dcterms:created>
  <dcterms:modified xsi:type="dcterms:W3CDTF">2023-01-29T05:43:32Z</dcterms:modified>
</cp:coreProperties>
</file>