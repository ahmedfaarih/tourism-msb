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384AC006-2EC1-45D9-B44D-84A79BEBF67D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9" sheetId="9" r:id="rId1"/>
  </sheets>
  <externalReferences>
    <externalReference r:id="rId2"/>
  </externalReferences>
  <definedNames>
    <definedName name="_xlnm.Print_Area" localSheetId="0">'10.9'!$A$1:$S$43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9" l="1"/>
  <c r="P10" i="9"/>
  <c r="P9" i="9"/>
  <c r="M9" i="9" l="1"/>
  <c r="O9" i="9"/>
  <c r="P20" i="9" l="1"/>
  <c r="P19" i="9"/>
  <c r="P18" i="9"/>
  <c r="P17" i="9"/>
  <c r="P16" i="9"/>
  <c r="P15" i="9"/>
  <c r="P14" i="9"/>
  <c r="P13" i="9"/>
  <c r="P12" i="9"/>
  <c r="P11" i="9"/>
  <c r="R20" i="9"/>
  <c r="R19" i="9"/>
  <c r="R18" i="9"/>
  <c r="R17" i="9"/>
  <c r="R16" i="9"/>
  <c r="R15" i="9"/>
  <c r="R14" i="9"/>
  <c r="R13" i="9"/>
  <c r="R12" i="9"/>
  <c r="R11" i="9"/>
  <c r="R10" i="9"/>
  <c r="O10" i="9"/>
  <c r="O11" i="9"/>
  <c r="O20" i="9"/>
  <c r="M10" i="9"/>
  <c r="M11" i="9"/>
  <c r="M20" i="9"/>
  <c r="L8" i="9"/>
  <c r="F8" i="9"/>
  <c r="K8" i="9" l="1"/>
  <c r="E8" i="9"/>
  <c r="J8" i="9" l="1"/>
  <c r="C8" i="9"/>
  <c r="I8" i="9" l="1"/>
  <c r="H8" i="9"/>
  <c r="D8" i="9"/>
  <c r="B8" i="9"/>
</calcChain>
</file>

<file path=xl/sharedStrings.xml><?xml version="1.0" encoding="utf-8"?>
<sst xmlns="http://schemas.openxmlformats.org/spreadsheetml/2006/main" count="86" uniqueCount="59">
  <si>
    <t>Total</t>
  </si>
  <si>
    <t>Source: Ministry of Tourism</t>
  </si>
  <si>
    <t>wlcmuj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</si>
  <si>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</si>
  <si>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</si>
  <si>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</si>
  <si>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</si>
  <si>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</si>
  <si>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</si>
  <si>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</si>
  <si>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</si>
  <si>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</si>
  <si>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</si>
  <si>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</si>
  <si>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</si>
  <si>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</si>
  <si>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</si>
  <si>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</si>
  <si>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</si>
  <si>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</si>
  <si>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</si>
  <si>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</si>
  <si>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</si>
  <si>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</si>
  <si>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</si>
  <si>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</si>
  <si>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</si>
  <si>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</si>
  <si>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Tourist Bed-nights*</t>
  </si>
  <si>
    <t xml:space="preserve">Tourist Arrivals </t>
  </si>
  <si>
    <t xml:space="preserve">% change same month of previous year </t>
  </si>
  <si>
    <t>% change from previous month</t>
  </si>
  <si>
    <t>cswm</t>
  </si>
  <si>
    <t>ވޭތުވެދިޔަ އަހަރުގެ މިމަހާއި އަޅާބަލާއިރު އިތުރުވި މިންވަރު</t>
  </si>
  <si>
    <t>ވޭތުވެދިޔަ މަހާއި އަޅާބަލާއިރު އިތުރުވި މިންވަރު</t>
  </si>
  <si>
    <t xml:space="preserve">ފަތުރުވެރިން ހޭދަކުރި ރޭގެ އަދަދު </t>
  </si>
  <si>
    <t xml:space="preserve">ފަތުރުވެރިންގެ އަދަދު </t>
  </si>
  <si>
    <t>_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</si>
  <si>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</si>
  <si>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</si>
  <si>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</si>
  <si>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</si>
  <si>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</si>
  <si>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</si>
  <si>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</si>
  <si>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</si>
  <si>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</si>
  <si>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</si>
  <si>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</si>
  <si>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</si>
  <si>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ނޯޓް: ފަތުރުވެރިން ހޭދަކުރި ރޭގެ އަދަދުގެ ތެރޭގައި ރިސޯޓް، ހޮޓާ، ސަފާރީ އަދި ގެސްޓްހައުސްތައްވެސް ހިމެނެއެވެ.</t>
  </si>
  <si>
    <t>Note: * Tourist Bed night figures include resorts/hotels/safaris &amp; guesthouses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</si>
  <si>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</si>
  <si>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</si>
  <si>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(*)</t>
  </si>
  <si>
    <t xml:space="preserve">(*) - Indicates if the percentage change is greater than 100. </t>
  </si>
  <si>
    <t>2020 - 2021</t>
  </si>
  <si>
    <t xml:space="preserve">Table 10.9: TOURIST ARRIVALS,AND TOURIST BED-NIGHTS BY MONTH,  2017 - 2021
</t>
  </si>
  <si>
    <t>2021 - 2017 , udwdwA egEr irukwdEh cnirevurutwf iaWrwviawa cnirevurutwf iawguhwmcswmikea : 10.9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</si>
</sst>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#,##0.0"/>
    <numFmt numFmtId="171" formatCode="0.00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color theme="1"/>
      <name val="A_Randhoo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12"/>
      <color theme="1"/>
      <name val="A_Utheem"/>
    </font>
    <font>
      <b/>
      <sz val="9.5"/>
      <color theme="1"/>
      <name val="Faruma"/>
    </font>
    <font>
      <sz val="9"/>
      <color theme="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b/>
      <sz val="10"/>
      <color theme="1"/>
      <name val="A_Faseyha"/>
    </font>
    <font>
      <sz val="9"/>
      <color theme="1"/>
      <name val="A_Faseyha"/>
    </font>
    <font>
      <b/>
      <sz val="9"/>
      <color theme="1"/>
      <name val="A_Faseyha"/>
    </font>
    <font>
      <sz val="10"/>
      <color theme="1"/>
      <name val="A_Faseyha"/>
    </font>
    <font>
      <i/>
      <sz val="10"/>
      <name val="Calibri Light"/>
      <family val="2"/>
      <scheme val="maj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18" fillId="0" borderId="0"/>
    <xf numFmtId="0" fontId="4" fillId="0" borderId="0"/>
    <xf numFmtId="43" fontId="4" fillId="0" borderId="0" applyFont="0" applyFill="0" applyBorder="0" applyAlignment="0" applyProtection="0"/>
    <xf numFmtId="171" fontId="19" fillId="0" borderId="0"/>
    <xf numFmtId="1" fontId="20" fillId="0" borderId="22" applyNumberFormat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18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1" fontId="20" fillId="0" borderId="22" applyNumberFormat="0"/>
    <xf numFmtId="0" fontId="1" fillId="0" borderId="0"/>
    <xf numFmtId="0" fontId="5" fillId="0" borderId="0"/>
    <xf numFmtId="0" fontId="27" fillId="0" borderId="0" applyFill="0" applyProtection="0"/>
    <xf numFmtId="1" fontId="20" fillId="0" borderId="22" applyNumberFormat="0"/>
    <xf numFmtId="43" fontId="1" fillId="0" borderId="0" applyFont="0" applyFill="0" applyBorder="0" applyAlignment="0" applyProtection="0"/>
    <xf numFmtId="0" fontId="1" fillId="0" borderId="0"/>
    <xf numFmtId="0" fontId="28" fillId="0" borderId="0"/>
    <xf numFmtId="0" fontId="29" fillId="0" borderId="0"/>
    <xf numFmtId="0" fontId="28" fillId="0" borderId="0"/>
    <xf numFmtId="0" fontId="1" fillId="0" borderId="0"/>
    <xf numFmtId="0" fontId="5" fillId="0" borderId="0"/>
    <xf numFmtId="0" fontId="27" fillId="0" borderId="0" applyFill="0" applyProtection="0"/>
  </cellStyleXfs>
  <cellXfs count="9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3" fontId="8" fillId="2" borderId="0" xfId="0" applyNumberFormat="1" applyFont="1" applyFill="1" applyAlignment="1">
      <alignment horizontal="right" vertical="center"/>
    </xf>
    <xf numFmtId="3" fontId="9" fillId="2" borderId="0" xfId="0" applyNumberFormat="1" applyFont="1" applyFill="1" applyAlignment="1">
      <alignment horizontal="right" vertical="center"/>
    </xf>
    <xf numFmtId="3" fontId="9" fillId="2" borderId="6" xfId="0" applyNumberFormat="1" applyFont="1" applyFill="1" applyBorder="1" applyAlignment="1">
      <alignment horizontal="right" vertical="center"/>
    </xf>
    <xf numFmtId="0" fontId="12" fillId="2" borderId="0" xfId="0" applyFont="1" applyFill="1"/>
    <xf numFmtId="0" fontId="13" fillId="2" borderId="0" xfId="0" applyFont="1" applyFill="1"/>
    <xf numFmtId="0" fontId="12" fillId="2" borderId="0" xfId="0" applyFont="1" applyFill="1" applyAlignment="1">
      <alignment horizontal="left" vertical="center"/>
    </xf>
    <xf numFmtId="0" fontId="8" fillId="2" borderId="6" xfId="0" applyFont="1" applyFill="1" applyBorder="1" applyAlignment="1">
      <alignment horizontal="right" vertical="center" wrapText="1"/>
    </xf>
    <xf numFmtId="0" fontId="15" fillId="2" borderId="0" xfId="0" applyFont="1" applyFill="1" applyAlignment="1">
      <alignment vertical="center"/>
    </xf>
    <xf numFmtId="0" fontId="8" fillId="2" borderId="15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right" vertical="top" wrapText="1"/>
    </xf>
    <xf numFmtId="0" fontId="10" fillId="2" borderId="20" xfId="0" applyFont="1" applyFill="1" applyBorder="1" applyAlignment="1">
      <alignment vertical="top" wrapText="1"/>
    </xf>
    <xf numFmtId="0" fontId="8" fillId="2" borderId="5" xfId="0" applyFont="1" applyFill="1" applyBorder="1" applyAlignment="1">
      <alignment horizontal="right" vertical="center" wrapText="1"/>
    </xf>
    <xf numFmtId="0" fontId="8" fillId="2" borderId="17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8" fillId="2" borderId="7" xfId="0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0" fontId="9" fillId="2" borderId="6" xfId="0" applyFont="1" applyFill="1" applyBorder="1" applyAlignment="1">
      <alignment horizontal="left" vertical="center" indent="1"/>
    </xf>
    <xf numFmtId="37" fontId="12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 indent="1"/>
    </xf>
    <xf numFmtId="167" fontId="9" fillId="2" borderId="0" xfId="0" applyNumberFormat="1" applyFont="1" applyFill="1" applyAlignment="1">
      <alignment horizontal="right" vertical="center" indent="5"/>
    </xf>
    <xf numFmtId="167" fontId="9" fillId="2" borderId="6" xfId="0" applyNumberFormat="1" applyFont="1" applyFill="1" applyBorder="1" applyAlignment="1">
      <alignment horizontal="right" vertical="center" indent="5"/>
    </xf>
    <xf numFmtId="0" fontId="13" fillId="2" borderId="0" xfId="0" applyFont="1" applyFill="1" applyAlignment="1">
      <alignment horizontal="center"/>
    </xf>
    <xf numFmtId="167" fontId="9" fillId="2" borderId="8" xfId="0" applyNumberFormat="1" applyFont="1" applyFill="1" applyBorder="1" applyAlignment="1">
      <alignment horizontal="right" vertical="center" indent="5"/>
    </xf>
    <xf numFmtId="167" fontId="9" fillId="2" borderId="9" xfId="0" applyNumberFormat="1" applyFont="1" applyFill="1" applyBorder="1" applyAlignment="1">
      <alignment horizontal="right" vertical="center" indent="5"/>
    </xf>
    <xf numFmtId="3" fontId="8" fillId="2" borderId="14" xfId="0" applyNumberFormat="1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right" vertical="center" wrapText="1"/>
    </xf>
    <xf numFmtId="3" fontId="8" fillId="2" borderId="13" xfId="0" applyNumberFormat="1" applyFont="1" applyFill="1" applyBorder="1" applyAlignment="1">
      <alignment horizontal="right" vertical="center"/>
    </xf>
    <xf numFmtId="3" fontId="9" fillId="2" borderId="13" xfId="0" applyNumberFormat="1" applyFont="1" applyFill="1" applyBorder="1" applyAlignment="1">
      <alignment horizontal="right" vertical="center"/>
    </xf>
    <xf numFmtId="3" fontId="9" fillId="2" borderId="12" xfId="0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right" vertical="center" indent="1"/>
    </xf>
    <xf numFmtId="0" fontId="23" fillId="2" borderId="0" xfId="0" applyFont="1" applyFill="1" applyAlignment="1">
      <alignment horizontal="right" vertical="center" indent="2"/>
    </xf>
    <xf numFmtId="0" fontId="23" fillId="2" borderId="6" xfId="0" applyFont="1" applyFill="1" applyBorder="1" applyAlignment="1">
      <alignment horizontal="right" vertical="center" indent="2"/>
    </xf>
    <xf numFmtId="0" fontId="23" fillId="2" borderId="0" xfId="0" applyFont="1" applyFill="1" applyAlignment="1">
      <alignment horizontal="right" vertical="center"/>
    </xf>
    <xf numFmtId="0" fontId="23" fillId="2" borderId="0" xfId="0" applyFont="1" applyFill="1"/>
    <xf numFmtId="0" fontId="25" fillId="2" borderId="0" xfId="0" applyFont="1" applyFill="1"/>
    <xf numFmtId="0" fontId="17" fillId="2" borderId="0" xfId="0" applyFont="1" applyFill="1" applyAlignment="1">
      <alignment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indent="3"/>
    </xf>
    <xf numFmtId="3" fontId="8" fillId="2" borderId="0" xfId="0" applyNumberFormat="1" applyFont="1" applyFill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3" fontId="9" fillId="2" borderId="7" xfId="0" applyNumberFormat="1" applyFont="1" applyFill="1" applyBorder="1" applyAlignment="1">
      <alignment horizontal="right" vertical="center"/>
    </xf>
    <xf numFmtId="0" fontId="26" fillId="2" borderId="0" xfId="21" applyFont="1" applyFill="1" applyAlignment="1">
      <alignment horizontal="left" vertical="center" indent="3"/>
    </xf>
    <xf numFmtId="0" fontId="8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right" vertical="center" wrapText="1"/>
    </xf>
    <xf numFmtId="0" fontId="10" fillId="2" borderId="20" xfId="0" applyFont="1" applyFill="1" applyBorder="1" applyAlignment="1">
      <alignment horizontal="right" vertical="center" wrapText="1" indent="2"/>
    </xf>
    <xf numFmtId="167" fontId="9" fillId="2" borderId="0" xfId="0" applyNumberFormat="1" applyFont="1" applyFill="1" applyAlignment="1">
      <alignment horizontal="center" vertical="center"/>
    </xf>
    <xf numFmtId="167" fontId="9" fillId="2" borderId="7" xfId="0" applyNumberFormat="1" applyFont="1" applyFill="1" applyBorder="1" applyAlignment="1">
      <alignment horizontal="center" vertical="center"/>
    </xf>
    <xf numFmtId="167" fontId="9" fillId="2" borderId="6" xfId="0" applyNumberFormat="1" applyFont="1" applyFill="1" applyBorder="1" applyAlignment="1">
      <alignment horizontal="center" vertical="center"/>
    </xf>
    <xf numFmtId="167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right" vertical="center" indent="1"/>
    </xf>
    <xf numFmtId="0" fontId="22" fillId="2" borderId="0" xfId="0" applyFont="1" applyFill="1" applyAlignment="1">
      <alignment horizontal="right" vertical="center" indent="1"/>
    </xf>
    <xf numFmtId="0" fontId="22" fillId="2" borderId="6" xfId="0" applyFont="1" applyFill="1" applyBorder="1" applyAlignment="1">
      <alignment horizontal="right" vertical="center" inden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top"/>
    </xf>
    <xf numFmtId="0" fontId="16" fillId="2" borderId="4" xfId="0" applyFont="1" applyFill="1" applyBorder="1" applyAlignment="1">
      <alignment horizontal="center" vertical="top" wrapText="1"/>
    </xf>
    <xf numFmtId="0" fontId="16" fillId="2" borderId="5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36">
    <cellStyle name="1" xfId="5" xr:uid="{00000000-0005-0000-0000-000000000000}"/>
    <cellStyle name="Comma 2" xfId="19" xr:uid="{00000000-0005-0000-0000-000002000000}"/>
    <cellStyle name="Comma 2 2 2 5" xfId="28" xr:uid="{923A80DF-8391-490C-A9FC-9B04BA3FF02C}"/>
    <cellStyle name="Comma 3" xfId="6" xr:uid="{00000000-0005-0000-0000-000003000000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5" xr:uid="{95DB1E47-A717-4F50-B120-BDB4A6A98D35}"/>
    <cellStyle name="Normal 12" xfId="27" xr:uid="{5F37676F-9210-428B-A54A-88AF31197612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3" xfId="22" xr:uid="{2E2FEFD2-ABBD-420D-8461-C8F503FDA24A}"/>
    <cellStyle name="Normal 2 3" xfId="24" xr:uid="{48422FEC-E0BC-428C-9750-2D76D2E13FBF}"/>
    <cellStyle name="Normal 2 3 2" xfId="35" xr:uid="{53720891-5BB7-4072-A4AA-9D579EA571CD}"/>
    <cellStyle name="Normal 2 4" xfId="26" xr:uid="{84E1C268-3A16-4FB7-A335-F22068D33369}"/>
    <cellStyle name="Normal 2 5" xfId="30" xr:uid="{D29D2916-D641-4853-A275-3F08E70F8C7A}"/>
    <cellStyle name="Normal 3" xfId="9" xr:uid="{00000000-0005-0000-0000-00000A000000}"/>
    <cellStyle name="Normal 3 2" xfId="23" xr:uid="{44D070A0-948A-45DA-8AFF-8A98BB90EB1D}"/>
    <cellStyle name="Normal 3 2 2" xfId="32" xr:uid="{4957CE97-0C4F-446D-8F13-BA568858B15F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3" xfId="31" xr:uid="{6720CF7E-3D28-49D4-A4F3-23A341275CC3}"/>
    <cellStyle name="Normal 5" xfId="11" xr:uid="{00000000-0005-0000-0000-00000E000000}"/>
    <cellStyle name="Normal 5 2" xfId="3" xr:uid="{00000000-0005-0000-0000-00000F000000}"/>
    <cellStyle name="Normal 5 3" xfId="29" xr:uid="{F16A05F5-F806-4902-9DAF-1592A0EB3B8F}"/>
    <cellStyle name="Normal 6" xfId="16" xr:uid="{00000000-0005-0000-0000-000010000000}"/>
    <cellStyle name="Normal 6 2" xfId="33" xr:uid="{28DCBC0B-46D7-4D92-ADC4-A6E5B7FB0383}"/>
    <cellStyle name="Normal 7" xfId="17" xr:uid="{00000000-0005-0000-0000-000011000000}"/>
    <cellStyle name="Normal 7 2" xfId="34" xr:uid="{F94E59D5-A861-4070-A967-F13E24BDD6F0}"/>
    <cellStyle name="Normal 8" xfId="18" xr:uid="{00000000-0005-0000-0000-000012000000}"/>
    <cellStyle name="Normal 9" xfId="4" xr:uid="{00000000-0005-0000-0000-000013000000}"/>
    <cellStyle name="Normal_Quick data" xfId="21" xr:uid="{00000000-0005-0000-0000-000015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Percentage change of tourist arrivals and bed-nights compared to same month of previous year, 2020-2021</a:t>
            </a:r>
          </a:p>
        </c:rich>
      </c:tx>
      <c:layout>
        <c:manualLayout>
          <c:xMode val="edge"/>
          <c:yMode val="edge"/>
          <c:x val="0.13350919264588329"/>
          <c:y val="2.9186945491405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73101123789999E-2"/>
          <c:y val="0.13004934030374077"/>
          <c:w val="0.93653384236061399"/>
          <c:h val="0.78658340081509959"/>
        </c:manualLayout>
      </c:layout>
      <c:lineChart>
        <c:grouping val="standard"/>
        <c:varyColors val="0"/>
        <c:ser>
          <c:idx val="0"/>
          <c:order val="0"/>
          <c:tx>
            <c:v>Tourist Bed-nights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'10.9'!$AK$50:$AK$61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'10.9'!$P$9:$P$20</c:f>
              <c:numCache>
                <c:formatCode>#,##0.0</c:formatCode>
                <c:ptCount val="12"/>
                <c:pt idx="0">
                  <c:v>33.991802771726242</c:v>
                </c:pt>
                <c:pt idx="1">
                  <c:v>-8.6983176674848792</c:v>
                </c:pt>
                <c:pt idx="2">
                  <c:v>14.130905199434496</c:v>
                </c:pt>
                <c:pt idx="3">
                  <c:v>-14.283284784344819</c:v>
                </c:pt>
                <c:pt idx="4">
                  <c:v>-19.541151331047224</c:v>
                </c:pt>
                <c:pt idx="5">
                  <c:v>-22.236606651937898</c:v>
                </c:pt>
                <c:pt idx="6">
                  <c:v>64.719910011248601</c:v>
                </c:pt>
                <c:pt idx="7">
                  <c:v>31.861928305425803</c:v>
                </c:pt>
                <c:pt idx="8">
                  <c:v>-26.972497879140612</c:v>
                </c:pt>
                <c:pt idx="9">
                  <c:v>37.928756775886832</c:v>
                </c:pt>
                <c:pt idx="10">
                  <c:v>5.4623498798843206</c:v>
                </c:pt>
                <c:pt idx="11">
                  <c:v>8.8162507254788238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E-431C-B417-85C814120BDD}"/>
            </c:ext>
          </c:extLst>
        </c:ser>
        <c:ser>
          <c:idx val="2"/>
          <c:order val="2"/>
          <c:tx>
            <c:strRef>
              <c:f>'10.9'!$R$5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 w="28575" cap="rnd">
              <a:solidFill>
                <a:srgbClr val="FF8585"/>
              </a:solidFill>
              <a:round/>
            </a:ln>
            <a:effectLst/>
          </c:spPr>
          <c:marker>
            <c:symbol val="none"/>
          </c:marker>
          <c:cat>
            <c:strRef>
              <c:f>'10.9'!$AK$50:$AK$61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'10.9'!$R$9:$R$20</c:f>
              <c:numCache>
                <c:formatCode>#,##0.0</c:formatCode>
                <c:ptCount val="12"/>
                <c:pt idx="0">
                  <c:v>-4.4693606604986886</c:v>
                </c:pt>
                <c:pt idx="1">
                  <c:v>5.1887560665776267</c:v>
                </c:pt>
                <c:pt idx="2">
                  <c:v>13.111826758324563</c:v>
                </c:pt>
                <c:pt idx="3">
                  <c:v>-16.776931149336129</c:v>
                </c:pt>
                <c:pt idx="4">
                  <c:v>-29.152412280701757</c:v>
                </c:pt>
                <c:pt idx="5">
                  <c:v>-13.073220559330167</c:v>
                </c:pt>
                <c:pt idx="6">
                  <c:v>81.28048997614215</c:v>
                </c:pt>
                <c:pt idx="7">
                  <c:v>41.034983991042836</c:v>
                </c:pt>
                <c:pt idx="8">
                  <c:v>-19.98830075418353</c:v>
                </c:pt>
                <c:pt idx="9">
                  <c:v>23.64747249686674</c:v>
                </c:pt>
                <c:pt idx="10">
                  <c:v>1.8716652823335567</c:v>
                </c:pt>
                <c:pt idx="11">
                  <c:v>13.514596648816713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0-42B2-8870-4B5A4AB82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21648"/>
        <c:axId val="40491498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'10.9'!$AK$50:$AK$61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'10.9'!$Q$9:$Q$20</c15:sqref>
                        </c15:formulaRef>
                      </c:ext>
                    </c:extLst>
                    <c:numCache>
                      <c:formatCode>#,##0.0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5DE-431C-B417-85C814120BDD}"/>
                  </c:ext>
                </c:extLst>
              </c15:ser>
            </c15:filteredLineSeries>
          </c:ext>
        </c:extLst>
      </c:lineChart>
      <c:catAx>
        <c:axId val="4049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FFB7B7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14984"/>
        <c:crosses val="autoZero"/>
        <c:auto val="1"/>
        <c:lblAlgn val="ctr"/>
        <c:lblOffset val="100"/>
        <c:noMultiLvlLbl val="0"/>
      </c:catAx>
      <c:valAx>
        <c:axId val="404914984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rgbClr val="FFD5D5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21648"/>
        <c:crosses val="autoZero"/>
        <c:crossBetween val="between"/>
      </c:valAx>
      <c:spPr>
        <a:solidFill>
          <a:srgbClr val="FFFBFB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9884918231374927E-2"/>
          <c:y val="0.21993473632093422"/>
          <c:w val="0.3085199664727224"/>
          <c:h val="6.0370314621340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25</xdr:row>
      <xdr:rowOff>117722</xdr:rowOff>
    </xdr:from>
    <xdr:to>
      <xdr:col>15</xdr:col>
      <xdr:colOff>762000</xdr:colOff>
      <xdr:row>41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302132</xdr:colOff>
      <xdr:row>40</xdr:row>
      <xdr:rowOff>63260</xdr:rowOff>
    </xdr:from>
    <xdr:to>
      <xdr:col>10</xdr:col>
      <xdr:colOff>285750</xdr:colOff>
      <xdr:row>41</xdr:row>
      <xdr:rowOff>162753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3397757" y="9045335"/>
          <a:ext cx="3412618" cy="299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Tourist Bed night  include resorts/hotels/safaris &amp; guesthouses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U61"/>
  <sheetViews>
    <sheetView tabSelected="1" view="pageBreakPreview" zoomScale="98" zoomScaleNormal="100" zoomScaleSheetLayoutView="98" workbookViewId="0">
      <selection activeCell="M24" sqref="M24"/>
    </sheetView>
  </sheetViews>
  <sheetFormatPr defaultColWidth="9.140625" defaultRowHeight="15.75"/>
  <cols>
    <col min="1" max="1" width="15.5703125" style="8" customWidth="1"/>
    <col min="2" max="6" width="10.28515625" style="8" customWidth="1"/>
    <col min="7" max="7" width="0.85546875" style="8" customWidth="1"/>
    <col min="8" max="12" width="10" style="8" customWidth="1"/>
    <col min="13" max="13" width="20" style="8" customWidth="1"/>
    <col min="14" max="14" width="1.5703125" style="8" customWidth="1"/>
    <col min="15" max="15" width="15.140625" style="8" customWidth="1"/>
    <col min="16" max="16" width="17.7109375" style="8" customWidth="1"/>
    <col min="17" max="17" width="2.42578125" style="8" customWidth="1"/>
    <col min="18" max="18" width="18.42578125" style="8" customWidth="1"/>
    <col min="19" max="19" width="12.7109375" style="43" customWidth="1"/>
    <col min="20" max="20" width="3.85546875" style="8" customWidth="1"/>
    <col min="21" max="21" width="11.7109375" style="8" customWidth="1"/>
    <col min="22" max="16384" width="9.140625" style="8"/>
  </cols>
  <sheetData>
    <row r="1" spans="1:20" ht="19.5">
      <c r="A1" s="64" t="s">
        <v>58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11"/>
    </row>
    <row r="2" spans="1:20" s="30" customFormat="1" ht="22.5" customHeight="1">
      <c r="A2" s="65" t="s">
        <v>57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</row>
    <row r="3" spans="1:20" s="7" customFormat="1" ht="12.75" customHeight="1">
      <c r="A3" s="67" t="s">
        <v>3</v>
      </c>
      <c r="B3" s="75" t="s">
        <v>28</v>
      </c>
      <c r="C3" s="75"/>
      <c r="D3" s="75"/>
      <c r="E3" s="75"/>
      <c r="F3" s="75"/>
      <c r="G3" s="53"/>
      <c r="H3" s="89" t="s">
        <v>29</v>
      </c>
      <c r="I3" s="90"/>
      <c r="J3" s="90"/>
      <c r="K3" s="90"/>
      <c r="L3" s="91"/>
      <c r="M3" s="78" t="s">
        <v>30</v>
      </c>
      <c r="N3" s="78"/>
      <c r="O3" s="78"/>
      <c r="P3" s="79" t="s">
        <v>31</v>
      </c>
      <c r="Q3" s="78"/>
      <c r="R3" s="78"/>
      <c r="S3" s="70" t="s">
        <v>32</v>
      </c>
    </row>
    <row r="4" spans="1:20" s="7" customFormat="1" ht="18.75" customHeight="1">
      <c r="A4" s="68"/>
      <c r="B4" s="76"/>
      <c r="C4" s="76"/>
      <c r="D4" s="76"/>
      <c r="E4" s="76"/>
      <c r="F4" s="76"/>
      <c r="G4" s="54"/>
      <c r="H4" s="92"/>
      <c r="I4" s="93"/>
      <c r="J4" s="93"/>
      <c r="K4" s="93"/>
      <c r="L4" s="94"/>
      <c r="M4" s="80" t="s">
        <v>33</v>
      </c>
      <c r="N4" s="80"/>
      <c r="O4" s="80"/>
      <c r="P4" s="81" t="s">
        <v>34</v>
      </c>
      <c r="Q4" s="82"/>
      <c r="R4" s="82"/>
      <c r="S4" s="71"/>
    </row>
    <row r="5" spans="1:20" s="7" customFormat="1" ht="18.75" customHeight="1">
      <c r="A5" s="68"/>
      <c r="B5" s="73" t="s">
        <v>35</v>
      </c>
      <c r="C5" s="73"/>
      <c r="D5" s="73"/>
      <c r="E5" s="73"/>
      <c r="F5" s="73"/>
      <c r="G5" s="56"/>
      <c r="H5" s="85" t="s">
        <v>36</v>
      </c>
      <c r="I5" s="85"/>
      <c r="J5" s="85"/>
      <c r="K5" s="85"/>
      <c r="L5" s="86"/>
      <c r="M5" s="45" t="s">
        <v>28</v>
      </c>
      <c r="N5" s="45"/>
      <c r="O5" s="46" t="s">
        <v>29</v>
      </c>
      <c r="P5" s="12" t="s">
        <v>28</v>
      </c>
      <c r="Q5" s="13"/>
      <c r="R5" s="13" t="s">
        <v>29</v>
      </c>
      <c r="S5" s="71"/>
    </row>
    <row r="6" spans="1:20" s="7" customFormat="1" ht="37.5">
      <c r="A6" s="68"/>
      <c r="B6" s="74"/>
      <c r="C6" s="74"/>
      <c r="D6" s="74"/>
      <c r="E6" s="74"/>
      <c r="F6" s="74"/>
      <c r="G6" s="55"/>
      <c r="H6" s="87"/>
      <c r="I6" s="87"/>
      <c r="J6" s="87"/>
      <c r="K6" s="87"/>
      <c r="L6" s="88"/>
      <c r="M6" s="58" t="s">
        <v>35</v>
      </c>
      <c r="N6" s="14"/>
      <c r="O6" s="15" t="s">
        <v>36</v>
      </c>
      <c r="P6" s="16" t="s">
        <v>35</v>
      </c>
      <c r="Q6" s="17"/>
      <c r="R6" s="17" t="s">
        <v>36</v>
      </c>
      <c r="S6" s="71"/>
    </row>
    <row r="7" spans="1:20" s="20" customFormat="1" ht="12.75">
      <c r="A7" s="69"/>
      <c r="B7" s="10">
        <v>2017</v>
      </c>
      <c r="C7" s="10">
        <v>2018</v>
      </c>
      <c r="D7" s="10">
        <v>2019</v>
      </c>
      <c r="E7" s="10">
        <v>2020</v>
      </c>
      <c r="F7" s="10">
        <v>2021</v>
      </c>
      <c r="G7" s="57"/>
      <c r="H7" s="34">
        <v>2017</v>
      </c>
      <c r="I7" s="18">
        <v>2018</v>
      </c>
      <c r="J7" s="18">
        <v>2019</v>
      </c>
      <c r="K7" s="18">
        <v>2020</v>
      </c>
      <c r="L7" s="19">
        <v>2021</v>
      </c>
      <c r="M7" s="83" t="s">
        <v>56</v>
      </c>
      <c r="N7" s="83"/>
      <c r="O7" s="84"/>
      <c r="P7" s="77">
        <v>2021</v>
      </c>
      <c r="Q7" s="76"/>
      <c r="R7" s="76"/>
      <c r="S7" s="72"/>
    </row>
    <row r="8" spans="1:20" s="7" customFormat="1" ht="19.5" customHeight="1">
      <c r="A8" s="21" t="s">
        <v>0</v>
      </c>
      <c r="B8" s="4">
        <f t="shared" ref="B8:D8" si="0">SUM(B9:B20)</f>
        <v>8593283.6177621465</v>
      </c>
      <c r="C8" s="4">
        <f t="shared" si="0"/>
        <v>9478093.9017162751</v>
      </c>
      <c r="D8" s="4">
        <f t="shared" si="0"/>
        <v>10688387.114665871</v>
      </c>
      <c r="E8" s="4">
        <f>SUM(E9:E20)</f>
        <v>3984712.4466208597</v>
      </c>
      <c r="F8" s="4">
        <f>SUM(F9:F20)</f>
        <v>10073403</v>
      </c>
      <c r="G8" s="22"/>
      <c r="H8" s="35">
        <f t="shared" ref="H8:J8" si="1">SUM(H9:H20)</f>
        <v>1389542</v>
      </c>
      <c r="I8" s="4">
        <f t="shared" si="1"/>
        <v>1484274</v>
      </c>
      <c r="J8" s="4">
        <f t="shared" si="1"/>
        <v>1702887</v>
      </c>
      <c r="K8" s="4">
        <f>SUM(K9:K20)</f>
        <v>555494</v>
      </c>
      <c r="L8" s="22">
        <f>SUM(L9:L20)</f>
        <v>1321937</v>
      </c>
      <c r="M8" s="1" t="s">
        <v>54</v>
      </c>
      <c r="N8" s="50"/>
      <c r="O8" s="1" t="s">
        <v>54</v>
      </c>
      <c r="P8" s="23" t="s">
        <v>37</v>
      </c>
      <c r="Q8" s="33"/>
      <c r="R8" s="49" t="s">
        <v>37</v>
      </c>
      <c r="S8" s="38" t="s">
        <v>2</v>
      </c>
    </row>
    <row r="9" spans="1:20" s="7" customFormat="1" ht="19.5" customHeight="1">
      <c r="A9" s="24" t="s">
        <v>4</v>
      </c>
      <c r="B9" s="5">
        <v>800126.35612185334</v>
      </c>
      <c r="C9" s="5">
        <v>941496.93723687832</v>
      </c>
      <c r="D9" s="5">
        <v>998457.1569061433</v>
      </c>
      <c r="E9" s="5">
        <v>1142718.3892667082</v>
      </c>
      <c r="F9" s="5">
        <v>835150</v>
      </c>
      <c r="G9" s="51"/>
      <c r="H9" s="36">
        <v>125336</v>
      </c>
      <c r="I9" s="5">
        <v>142351</v>
      </c>
      <c r="J9" s="5">
        <v>151552</v>
      </c>
      <c r="K9" s="5">
        <v>173347</v>
      </c>
      <c r="L9" s="51">
        <v>92103</v>
      </c>
      <c r="M9" s="59">
        <f>((F9/E9)-1)*100</f>
        <v>-26.915501855542669</v>
      </c>
      <c r="N9" s="59"/>
      <c r="O9" s="60">
        <f t="shared" ref="O9:O20" si="2">((L9/K9)-1)*100</f>
        <v>-46.867843112369989</v>
      </c>
      <c r="P9" s="31">
        <f>((F9/E20)-1)*100</f>
        <v>33.991802771726242</v>
      </c>
      <c r="Q9" s="28"/>
      <c r="R9" s="31">
        <f>((L9/K20)-1)*100</f>
        <v>-4.4693606604986886</v>
      </c>
      <c r="S9" s="39" t="s">
        <v>38</v>
      </c>
    </row>
    <row r="10" spans="1:20" s="7" customFormat="1" ht="19.5" customHeight="1">
      <c r="A10" s="24" t="s">
        <v>5</v>
      </c>
      <c r="B10" s="5">
        <v>772412.98962665652</v>
      </c>
      <c r="C10" s="5">
        <v>925585.20039239002</v>
      </c>
      <c r="D10" s="5">
        <v>1019637.270040759</v>
      </c>
      <c r="E10" s="5">
        <v>1020309.6683010989</v>
      </c>
      <c r="F10" s="5">
        <v>762506</v>
      </c>
      <c r="G10" s="51"/>
      <c r="H10" s="36">
        <v>121052</v>
      </c>
      <c r="I10" s="5">
        <v>144286</v>
      </c>
      <c r="J10" s="5">
        <v>168583</v>
      </c>
      <c r="K10" s="5">
        <v>149785</v>
      </c>
      <c r="L10" s="51">
        <v>96882</v>
      </c>
      <c r="M10" s="59">
        <f>((F10/E10)-1)*100</f>
        <v>-25.26719841147478</v>
      </c>
      <c r="N10" s="59"/>
      <c r="O10" s="60">
        <f t="shared" si="2"/>
        <v>-35.319290983743365</v>
      </c>
      <c r="P10" s="31">
        <f>((F10/F9)-1)*100</f>
        <v>-8.6983176674848792</v>
      </c>
      <c r="Q10" s="28"/>
      <c r="R10" s="31">
        <f t="shared" ref="R10:R20" si="3">((L10/L9)-1)*100</f>
        <v>5.1887560665776267</v>
      </c>
      <c r="S10" s="39" t="s">
        <v>39</v>
      </c>
    </row>
    <row r="11" spans="1:20" s="7" customFormat="1" ht="19.5" customHeight="1">
      <c r="A11" s="24" t="s">
        <v>6</v>
      </c>
      <c r="B11" s="5">
        <v>750431.75735626707</v>
      </c>
      <c r="C11" s="5">
        <v>873729.2709199331</v>
      </c>
      <c r="D11" s="5">
        <v>1006770.3040856412</v>
      </c>
      <c r="E11" s="5">
        <v>562302.20507965644</v>
      </c>
      <c r="F11" s="5">
        <v>870255</v>
      </c>
      <c r="G11" s="51"/>
      <c r="H11" s="36">
        <v>112665</v>
      </c>
      <c r="I11" s="5">
        <v>133466</v>
      </c>
      <c r="J11" s="5">
        <v>162843</v>
      </c>
      <c r="K11" s="5">
        <v>59630</v>
      </c>
      <c r="L11" s="51">
        <v>109585</v>
      </c>
      <c r="M11" s="59">
        <f>((F11/E11)-1)*100</f>
        <v>54.766421354637693</v>
      </c>
      <c r="N11" s="59"/>
      <c r="O11" s="60">
        <f t="shared" si="2"/>
        <v>83.774945497232949</v>
      </c>
      <c r="P11" s="31">
        <f t="shared" ref="P11:P20" si="4">((F11/F10)-1)*100</f>
        <v>14.130905199434496</v>
      </c>
      <c r="Q11" s="28"/>
      <c r="R11" s="31">
        <f t="shared" si="3"/>
        <v>13.111826758324563</v>
      </c>
      <c r="S11" s="39" t="s">
        <v>40</v>
      </c>
    </row>
    <row r="12" spans="1:20" s="7" customFormat="1" ht="19.5" customHeight="1">
      <c r="A12" s="24" t="s">
        <v>7</v>
      </c>
      <c r="B12" s="5">
        <v>742497.61743564717</v>
      </c>
      <c r="C12" s="5">
        <v>796839.94498607225</v>
      </c>
      <c r="D12" s="5">
        <v>981769.33451783704</v>
      </c>
      <c r="E12" s="5">
        <v>8844.0202622169236</v>
      </c>
      <c r="F12" s="5">
        <v>745954</v>
      </c>
      <c r="G12" s="51"/>
      <c r="H12" s="36">
        <v>119774</v>
      </c>
      <c r="I12" s="5">
        <v>119713</v>
      </c>
      <c r="J12" s="5">
        <v>163114</v>
      </c>
      <c r="K12" s="5">
        <v>13</v>
      </c>
      <c r="L12" s="51">
        <v>91200</v>
      </c>
      <c r="M12" s="2" t="s">
        <v>54</v>
      </c>
      <c r="N12" s="59"/>
      <c r="O12" s="2" t="s">
        <v>54</v>
      </c>
      <c r="P12" s="31">
        <f t="shared" si="4"/>
        <v>-14.283284784344819</v>
      </c>
      <c r="Q12" s="28"/>
      <c r="R12" s="31">
        <f t="shared" si="3"/>
        <v>-16.776931149336129</v>
      </c>
      <c r="S12" s="39" t="s">
        <v>41</v>
      </c>
    </row>
    <row r="13" spans="1:20" s="7" customFormat="1" ht="19.5" customHeight="1">
      <c r="A13" s="24" t="s">
        <v>8</v>
      </c>
      <c r="B13" s="5">
        <v>601496.36821079231</v>
      </c>
      <c r="C13" s="5">
        <v>641543.88590708072</v>
      </c>
      <c r="D13" s="5">
        <v>717991.87940748374</v>
      </c>
      <c r="E13" s="5">
        <v>4776.6211552888226</v>
      </c>
      <c r="F13" s="5">
        <v>600186</v>
      </c>
      <c r="G13" s="5"/>
      <c r="H13" s="36">
        <v>93491</v>
      </c>
      <c r="I13" s="5">
        <v>92913</v>
      </c>
      <c r="J13" s="5">
        <v>103022</v>
      </c>
      <c r="K13" s="5">
        <v>41</v>
      </c>
      <c r="L13" s="51">
        <v>64613</v>
      </c>
      <c r="M13" s="2" t="s">
        <v>54</v>
      </c>
      <c r="N13" s="59"/>
      <c r="O13" s="2" t="s">
        <v>54</v>
      </c>
      <c r="P13" s="31">
        <f t="shared" si="4"/>
        <v>-19.541151331047224</v>
      </c>
      <c r="Q13" s="28"/>
      <c r="R13" s="31">
        <f t="shared" si="3"/>
        <v>-29.152412280701757</v>
      </c>
      <c r="S13" s="39" t="s">
        <v>42</v>
      </c>
    </row>
    <row r="14" spans="1:20" s="7" customFormat="1" ht="19.5" customHeight="1">
      <c r="A14" s="24" t="s">
        <v>9</v>
      </c>
      <c r="B14" s="5">
        <v>480889.64024626091</v>
      </c>
      <c r="C14" s="5">
        <v>544549.70829420025</v>
      </c>
      <c r="D14" s="5">
        <v>714606.98023648141</v>
      </c>
      <c r="E14" s="5">
        <v>2325.8011569052783</v>
      </c>
      <c r="F14" s="5">
        <v>466725</v>
      </c>
      <c r="G14" s="5"/>
      <c r="H14" s="36">
        <v>85222</v>
      </c>
      <c r="I14" s="5">
        <v>93786</v>
      </c>
      <c r="J14" s="5">
        <v>113475</v>
      </c>
      <c r="K14" s="5">
        <v>1</v>
      </c>
      <c r="L14" s="51">
        <v>56166</v>
      </c>
      <c r="M14" s="2" t="s">
        <v>54</v>
      </c>
      <c r="N14" s="59"/>
      <c r="O14" s="2" t="s">
        <v>54</v>
      </c>
      <c r="P14" s="31">
        <f t="shared" si="4"/>
        <v>-22.236606651937898</v>
      </c>
      <c r="Q14" s="28"/>
      <c r="R14" s="31">
        <f t="shared" si="3"/>
        <v>-13.073220559330167</v>
      </c>
      <c r="S14" s="39" t="s">
        <v>43</v>
      </c>
    </row>
    <row r="15" spans="1:20" s="7" customFormat="1" ht="19.5" customHeight="1">
      <c r="A15" s="24" t="s">
        <v>10</v>
      </c>
      <c r="B15" s="5">
        <v>688020.73461813317</v>
      </c>
      <c r="C15" s="5">
        <v>743513.8192884227</v>
      </c>
      <c r="D15" s="5">
        <v>776707.97190193064</v>
      </c>
      <c r="E15" s="5">
        <v>24673.424657534248</v>
      </c>
      <c r="F15" s="5">
        <v>768789</v>
      </c>
      <c r="G15" s="5"/>
      <c r="H15" s="36">
        <v>113175</v>
      </c>
      <c r="I15" s="5">
        <v>122332</v>
      </c>
      <c r="J15" s="5">
        <v>132144</v>
      </c>
      <c r="K15" s="5">
        <v>1752</v>
      </c>
      <c r="L15" s="51">
        <v>101818</v>
      </c>
      <c r="M15" s="2" t="s">
        <v>54</v>
      </c>
      <c r="N15" s="59"/>
      <c r="O15" s="2" t="s">
        <v>54</v>
      </c>
      <c r="P15" s="31">
        <f t="shared" si="4"/>
        <v>64.719910011248601</v>
      </c>
      <c r="Q15" s="28"/>
      <c r="R15" s="31">
        <f t="shared" si="3"/>
        <v>81.28048997614215</v>
      </c>
      <c r="S15" s="39" t="s">
        <v>44</v>
      </c>
    </row>
    <row r="16" spans="1:20" s="7" customFormat="1" ht="19.5" customHeight="1">
      <c r="A16" s="24" t="s">
        <v>11</v>
      </c>
      <c r="B16" s="5">
        <v>746618.12340413022</v>
      </c>
      <c r="C16" s="5">
        <v>822923.1134527917</v>
      </c>
      <c r="D16" s="5">
        <v>910642.62291399995</v>
      </c>
      <c r="E16" s="5">
        <v>71370.69478742512</v>
      </c>
      <c r="F16" s="5">
        <v>1013740</v>
      </c>
      <c r="G16" s="5"/>
      <c r="H16" s="36">
        <v>121310</v>
      </c>
      <c r="I16" s="5">
        <v>123992</v>
      </c>
      <c r="J16" s="5">
        <v>139338</v>
      </c>
      <c r="K16" s="5">
        <v>7636</v>
      </c>
      <c r="L16" s="51">
        <v>143599</v>
      </c>
      <c r="M16" s="2" t="s">
        <v>54</v>
      </c>
      <c r="N16" s="59"/>
      <c r="O16" s="2" t="s">
        <v>54</v>
      </c>
      <c r="P16" s="31">
        <f t="shared" si="4"/>
        <v>31.861928305425803</v>
      </c>
      <c r="Q16" s="28"/>
      <c r="R16" s="31">
        <f t="shared" si="3"/>
        <v>41.034983991042836</v>
      </c>
      <c r="S16" s="39" t="s">
        <v>45</v>
      </c>
    </row>
    <row r="17" spans="1:19" s="7" customFormat="1" ht="19.5" customHeight="1">
      <c r="A17" s="24" t="s">
        <v>12</v>
      </c>
      <c r="B17" s="5">
        <v>604175.35293706728</v>
      </c>
      <c r="C17" s="5">
        <v>648410.82226000517</v>
      </c>
      <c r="D17" s="5">
        <v>708842.01912898617</v>
      </c>
      <c r="E17" s="5">
        <v>75367.862102161744</v>
      </c>
      <c r="F17" s="5">
        <v>740309</v>
      </c>
      <c r="G17" s="5"/>
      <c r="H17" s="36">
        <v>105984</v>
      </c>
      <c r="I17" s="5">
        <v>107620</v>
      </c>
      <c r="J17" s="5">
        <v>117619</v>
      </c>
      <c r="K17" s="5">
        <v>9605</v>
      </c>
      <c r="L17" s="51">
        <v>114896</v>
      </c>
      <c r="M17" s="2" t="s">
        <v>54</v>
      </c>
      <c r="N17" s="59"/>
      <c r="O17" s="2" t="s">
        <v>54</v>
      </c>
      <c r="P17" s="31">
        <f t="shared" si="4"/>
        <v>-26.972497879140612</v>
      </c>
      <c r="Q17" s="28"/>
      <c r="R17" s="31">
        <f t="shared" si="3"/>
        <v>-19.98830075418353</v>
      </c>
      <c r="S17" s="39" t="s">
        <v>46</v>
      </c>
    </row>
    <row r="18" spans="1:19" s="7" customFormat="1" ht="19.5" customHeight="1">
      <c r="A18" s="24" t="s">
        <v>13</v>
      </c>
      <c r="B18" s="5">
        <v>793474.41907263896</v>
      </c>
      <c r="C18" s="5">
        <v>820686.79357652483</v>
      </c>
      <c r="D18" s="5">
        <v>916411.3348664348</v>
      </c>
      <c r="E18" s="5">
        <v>169709.08076305894</v>
      </c>
      <c r="F18" s="5">
        <v>1021099</v>
      </c>
      <c r="G18" s="5"/>
      <c r="H18" s="36">
        <v>127986</v>
      </c>
      <c r="I18" s="5">
        <v>127393</v>
      </c>
      <c r="J18" s="5">
        <v>141928</v>
      </c>
      <c r="K18" s="5">
        <v>21515</v>
      </c>
      <c r="L18" s="51">
        <v>142066</v>
      </c>
      <c r="M18" s="2" t="s">
        <v>54</v>
      </c>
      <c r="N18" s="59"/>
      <c r="O18" s="2" t="s">
        <v>54</v>
      </c>
      <c r="P18" s="31">
        <f t="shared" si="4"/>
        <v>37.928756775886832</v>
      </c>
      <c r="Q18" s="28"/>
      <c r="R18" s="31">
        <f t="shared" si="3"/>
        <v>23.64747249686674</v>
      </c>
      <c r="S18" s="39" t="s">
        <v>47</v>
      </c>
    </row>
    <row r="19" spans="1:19" s="7" customFormat="1" ht="19.5" customHeight="1">
      <c r="A19" s="24" t="s">
        <v>14</v>
      </c>
      <c r="B19" s="5">
        <v>750052.33152232482</v>
      </c>
      <c r="C19" s="5">
        <v>809163.62732057029</v>
      </c>
      <c r="D19" s="5">
        <v>887046.05096720241</v>
      </c>
      <c r="E19" s="5">
        <v>279030.28204043105</v>
      </c>
      <c r="F19" s="5">
        <v>1076875</v>
      </c>
      <c r="G19" s="5"/>
      <c r="H19" s="36">
        <v>120506</v>
      </c>
      <c r="I19" s="5">
        <v>125604</v>
      </c>
      <c r="J19" s="5">
        <v>137921</v>
      </c>
      <c r="K19" s="5">
        <v>35757</v>
      </c>
      <c r="L19" s="51">
        <v>144725</v>
      </c>
      <c r="M19" s="2" t="s">
        <v>54</v>
      </c>
      <c r="N19" s="59"/>
      <c r="O19" s="2" t="s">
        <v>54</v>
      </c>
      <c r="P19" s="31">
        <f t="shared" si="4"/>
        <v>5.4623498798843206</v>
      </c>
      <c r="Q19" s="28"/>
      <c r="R19" s="31">
        <f t="shared" si="3"/>
        <v>1.8716652823335567</v>
      </c>
      <c r="S19" s="39" t="s">
        <v>48</v>
      </c>
    </row>
    <row r="20" spans="1:19" s="7" customFormat="1" ht="19.5" customHeight="1">
      <c r="A20" s="25" t="s">
        <v>15</v>
      </c>
      <c r="B20" s="6">
        <v>863087.92721037427</v>
      </c>
      <c r="C20" s="6">
        <v>909650.77808140765</v>
      </c>
      <c r="D20" s="6">
        <v>1049504.1896929736</v>
      </c>
      <c r="E20" s="6">
        <v>623284.39704837371</v>
      </c>
      <c r="F20" s="6">
        <v>1171815</v>
      </c>
      <c r="G20" s="6"/>
      <c r="H20" s="37">
        <v>143041</v>
      </c>
      <c r="I20" s="6">
        <v>150818</v>
      </c>
      <c r="J20" s="6">
        <v>171348</v>
      </c>
      <c r="K20" s="6">
        <v>96412</v>
      </c>
      <c r="L20" s="63">
        <v>164284</v>
      </c>
      <c r="M20" s="61">
        <f>((F20/E20)-1)*100</f>
        <v>88.00647113087517</v>
      </c>
      <c r="N20" s="61"/>
      <c r="O20" s="62">
        <f t="shared" si="2"/>
        <v>70.397875783097533</v>
      </c>
      <c r="P20" s="32">
        <f t="shared" si="4"/>
        <v>8.8162507254788238</v>
      </c>
      <c r="Q20" s="29"/>
      <c r="R20" s="32">
        <f t="shared" si="3"/>
        <v>13.514596648816713</v>
      </c>
      <c r="S20" s="40" t="s">
        <v>49</v>
      </c>
    </row>
    <row r="21" spans="1:19" s="7" customFormat="1" ht="17.25">
      <c r="A21" s="3" t="s">
        <v>51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44" t="s">
        <v>50</v>
      </c>
    </row>
    <row r="22" spans="1:19" s="7" customFormat="1" ht="15.75" customHeight="1">
      <c r="A22" s="3" t="s">
        <v>1</v>
      </c>
      <c r="S22" s="41" t="s">
        <v>16</v>
      </c>
    </row>
    <row r="23" spans="1:19" s="7" customFormat="1" ht="15.75" customHeight="1">
      <c r="A23" s="47" t="s">
        <v>52</v>
      </c>
      <c r="S23" s="41"/>
    </row>
    <row r="24" spans="1:19" s="7" customFormat="1" ht="15.75" customHeight="1">
      <c r="A24" s="48" t="s">
        <v>53</v>
      </c>
      <c r="S24" s="41"/>
    </row>
    <row r="25" spans="1:19" s="7" customFormat="1" ht="15.75" customHeight="1">
      <c r="A25" s="52" t="s">
        <v>55</v>
      </c>
      <c r="S25" s="41"/>
    </row>
    <row r="26" spans="1:19" s="7" customFormat="1" ht="15.75" customHeight="1">
      <c r="A26" s="3"/>
      <c r="S26" s="41"/>
    </row>
    <row r="27" spans="1:19" s="7" customFormat="1" ht="14.25"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41"/>
    </row>
    <row r="28" spans="1:19" s="7" customFormat="1" ht="14.25">
      <c r="A28" s="3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42"/>
    </row>
    <row r="29" spans="1:19" s="7" customFormat="1" ht="14.25" customHeight="1">
      <c r="A29" s="27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41"/>
    </row>
    <row r="31" spans="1:19" ht="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42"/>
    </row>
    <row r="46" spans="36:47"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50" spans="37:37">
      <c r="AK50" s="9" t="s">
        <v>17</v>
      </c>
    </row>
    <row r="51" spans="37:37">
      <c r="AK51" s="9" t="s">
        <v>18</v>
      </c>
    </row>
    <row r="52" spans="37:37">
      <c r="AK52" s="9" t="s">
        <v>19</v>
      </c>
    </row>
    <row r="53" spans="37:37">
      <c r="AK53" s="9" t="s">
        <v>20</v>
      </c>
    </row>
    <row r="54" spans="37:37">
      <c r="AK54" s="9" t="s">
        <v>8</v>
      </c>
    </row>
    <row r="55" spans="37:37">
      <c r="AK55" s="9" t="s">
        <v>21</v>
      </c>
    </row>
    <row r="56" spans="37:37">
      <c r="AK56" s="9" t="s">
        <v>22</v>
      </c>
    </row>
    <row r="57" spans="37:37">
      <c r="AK57" s="9" t="s">
        <v>23</v>
      </c>
    </row>
    <row r="58" spans="37:37">
      <c r="AK58" s="9" t="s">
        <v>24</v>
      </c>
    </row>
    <row r="59" spans="37:37">
      <c r="AK59" s="9" t="s">
        <v>25</v>
      </c>
    </row>
    <row r="60" spans="37:37">
      <c r="AK60" s="9" t="s">
        <v>26</v>
      </c>
    </row>
    <row r="61" spans="37:37">
      <c r="AK61" s="9" t="s">
        <v>27</v>
      </c>
    </row>
  </sheetData>
  <mergeCells count="14">
    <mergeCell ref="A1:S1"/>
    <mergeCell ref="A2:S2"/>
    <mergeCell ref="A3:A7"/>
    <mergeCell ref="S3:S7"/>
    <mergeCell ref="B5:F6"/>
    <mergeCell ref="B3:F4"/>
    <mergeCell ref="M3:O3"/>
    <mergeCell ref="P3:R3"/>
    <mergeCell ref="M4:O4"/>
    <mergeCell ref="P4:R4"/>
    <mergeCell ref="M7:O7"/>
    <mergeCell ref="P7:R7"/>
    <mergeCell ref="H3:L4"/>
    <mergeCell ref="H5:L6"/>
  </mergeCells>
  <pageMargins left="0.7" right="0.7" top="0.75" bottom="0.75" header="0.3" footer="0.3"/>
  <pageSetup paperSize="9" scale="60" orientation="landscape" horizontalDpi="4294967295" verticalDpi="4294967295" r:id="rId1"/>
  <rowBreaks count="1" manualBreakCount="1">
    <brk id="48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10.9</vt:lpstr>
      <vt:lpstr>'10.9'!Print_Area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2023-01-29T05:47:47Z</cp:lastPrinted>
  <dcterms:created xsi:type="dcterms:W3CDTF">2019-02-27T06:18:18Z</dcterms:created>
  <dcterms:modified xsi:type="dcterms:W3CDTF">2023-01-29T05:50:11Z</dcterms:modified>
</cp:coreProperties>
</file>