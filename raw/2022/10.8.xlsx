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ourism\"/>
    </mc:Choice>
  </mc:AlternateContent>
  <xr:revisionPtr revIDLastSave="0" documentId="13_ncr:1_{AA745177-DE81-405B-B9A1-2DB698693988}" xr6:coauthVersionLast="47" xr6:coauthVersionMax="47" xr10:uidLastSave="{00000000-0000-0000-0000-000000000000}"/>
  <bookViews>
    <workbookView xWindow="-120" yWindow="-120" windowWidth="29040" windowHeight="15840" tabRatio="701" xr2:uid="{00000000-000D-0000-FFFF-FFFF00000000}"/>
  </bookViews>
  <sheets>
    <sheet name="10.8" sheetId="8" r:id="rId1"/>
  </sheets>
  <externalReferences>
    <externalReference r:id="rId2"/>
  </externalReferences>
  <definedNames>
    <definedName name="_xlnm.Print_Area" localSheetId="0">'10.8'!$A$1:$P$70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8" l="1"/>
  <c r="AK53" i="8" s="1"/>
  <c r="B31" i="8"/>
  <c r="AJ53" i="8" s="1"/>
  <c r="N30" i="8"/>
  <c r="M30" i="8"/>
  <c r="L30" i="8"/>
  <c r="K30" i="8"/>
  <c r="J30" i="8"/>
  <c r="I30" i="8"/>
  <c r="H30" i="8"/>
  <c r="G30" i="8"/>
  <c r="F30" i="8"/>
  <c r="E30" i="8"/>
  <c r="D30" i="8"/>
  <c r="C30" i="8"/>
  <c r="B30" i="8" l="1"/>
  <c r="B28" i="8" l="1"/>
  <c r="AK52" i="8" s="1"/>
  <c r="B27" i="8"/>
  <c r="AJ52" i="8" s="1"/>
  <c r="N26" i="8"/>
  <c r="M26" i="8"/>
  <c r="L26" i="8"/>
  <c r="K26" i="8"/>
  <c r="J26" i="8"/>
  <c r="I26" i="8"/>
  <c r="H26" i="8"/>
  <c r="G26" i="8"/>
  <c r="F26" i="8"/>
  <c r="E26" i="8"/>
  <c r="D26" i="8"/>
  <c r="C26" i="8"/>
  <c r="B26" i="8" l="1"/>
  <c r="B24" i="8" l="1"/>
  <c r="AK51" i="8" s="1"/>
  <c r="B23" i="8"/>
  <c r="AJ51" i="8" s="1"/>
  <c r="N22" i="8"/>
  <c r="M22" i="8"/>
  <c r="L22" i="8"/>
  <c r="K22" i="8"/>
  <c r="J22" i="8"/>
  <c r="I22" i="8"/>
  <c r="H22" i="8"/>
  <c r="G22" i="8"/>
  <c r="F22" i="8"/>
  <c r="E22" i="8"/>
  <c r="D22" i="8"/>
  <c r="C22" i="8"/>
  <c r="B22" i="8" l="1"/>
  <c r="B20" i="8" l="1"/>
  <c r="AK50" i="8" s="1"/>
  <c r="B19" i="8"/>
  <c r="AJ50" i="8" s="1"/>
  <c r="N18" i="8"/>
  <c r="M18" i="8"/>
  <c r="L18" i="8"/>
  <c r="K18" i="8"/>
  <c r="J18" i="8"/>
  <c r="I18" i="8"/>
  <c r="H18" i="8"/>
  <c r="G18" i="8"/>
  <c r="F18" i="8"/>
  <c r="E18" i="8"/>
  <c r="D18" i="8"/>
  <c r="C18" i="8"/>
  <c r="B16" i="8"/>
  <c r="B15" i="8"/>
  <c r="N14" i="8"/>
  <c r="M14" i="8"/>
  <c r="L14" i="8"/>
  <c r="K14" i="8"/>
  <c r="J14" i="8"/>
  <c r="I14" i="8"/>
  <c r="H14" i="8"/>
  <c r="G14" i="8"/>
  <c r="F14" i="8"/>
  <c r="E14" i="8"/>
  <c r="D14" i="8"/>
  <c r="C14" i="8"/>
  <c r="B12" i="8"/>
  <c r="B11" i="8"/>
  <c r="N10" i="8"/>
  <c r="M10" i="8"/>
  <c r="L10" i="8"/>
  <c r="K10" i="8"/>
  <c r="J10" i="8"/>
  <c r="I10" i="8"/>
  <c r="H10" i="8"/>
  <c r="G10" i="8"/>
  <c r="F10" i="8"/>
  <c r="E10" i="8"/>
  <c r="D10" i="8"/>
  <c r="C10" i="8"/>
  <c r="B8" i="8"/>
  <c r="B7" i="8"/>
  <c r="N6" i="8"/>
  <c r="M6" i="8"/>
  <c r="L6" i="8"/>
  <c r="K6" i="8"/>
  <c r="J6" i="8"/>
  <c r="I6" i="8"/>
  <c r="H6" i="8"/>
  <c r="G6" i="8"/>
  <c r="F6" i="8"/>
  <c r="E6" i="8"/>
  <c r="D6" i="8"/>
  <c r="C6" i="8"/>
  <c r="B6" i="8" l="1"/>
  <c r="B18" i="8"/>
  <c r="B10" i="8"/>
  <c r="B1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Hasaanaa Hassan</author>
  </authors>
  <commentList>
    <comment ref="B30" authorId="0" shapeId="0" xr:uid="{444D48EA-88B2-46B8-B1C5-127B2AF07CEE}">
      <text>
        <r>
          <rPr>
            <b/>
            <sz val="9"/>
            <color indexed="81"/>
            <rFont val="Tahoma"/>
            <family val="2"/>
          </rPr>
          <t>Hasaanaa Hassan:</t>
        </r>
        <r>
          <rPr>
            <sz val="9"/>
            <color indexed="81"/>
            <rFont val="Tahoma"/>
            <family val="2"/>
          </rPr>
          <t xml:space="preserve">
included 1 unidentified gender
</t>
        </r>
      </text>
    </comment>
  </commentList>
</comments>
</file>

<file path=xl/sharedStrings.xml><?xml version="1.0" encoding="utf-8"?>
<sst xmlns="http://schemas.openxmlformats.org/spreadsheetml/2006/main" count="75" uniqueCount="37">
  <si>
    <t>Total</t>
  </si>
  <si>
    <t>ޖުމްލަ</t>
  </si>
  <si>
    <t>Source: Ministry of Tourism</t>
  </si>
  <si>
    <t>May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</si>
  <si>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</si>
  <si>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</si>
  <si>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</si>
  <si>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</si>
  <si>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</si>
  <si>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</si>
  <si>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</si>
  <si>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</si>
  <si>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</si>
  <si>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</si>
  <si>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</si>
  <si>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</si>
  <si>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9"/>
        <rFont val="Faruma"/>
      </rPr>
      <t>ޖުމްލަ</t>
    </r>
    <r>
      <rPr>
        <b/>
        <sz val="9"/>
        <rFont val="Calibri"/>
        <family val="2"/>
      </rPr>
      <t xml:space="preserve">
Total</t>
    </r>
  </si>
  <si>
    <r>
      <rPr>
        <b/>
        <sz val="9"/>
        <rFont val="Faruma"/>
      </rPr>
      <t>ޖެނުއަރީ</t>
    </r>
    <r>
      <rPr>
        <b/>
        <sz val="9"/>
        <rFont val="Calibri"/>
        <family val="2"/>
      </rPr>
      <t xml:space="preserve">
Jan</t>
    </r>
  </si>
  <si>
    <r>
      <rPr>
        <b/>
        <sz val="9"/>
        <rFont val="Faruma"/>
      </rPr>
      <t>ފެބްރުއަރީ</t>
    </r>
    <r>
      <rPr>
        <b/>
        <sz val="9"/>
        <rFont val="Calibri"/>
        <family val="2"/>
      </rPr>
      <t xml:space="preserve">
Feb</t>
    </r>
  </si>
  <si>
    <r>
      <rPr>
        <b/>
        <sz val="9"/>
        <rFont val="Faruma"/>
      </rPr>
      <t>މާރޗް</t>
    </r>
    <r>
      <rPr>
        <b/>
        <sz val="9"/>
        <rFont val="Calibri"/>
        <family val="2"/>
      </rPr>
      <t xml:space="preserve">
Mar</t>
    </r>
  </si>
  <si>
    <r>
      <rPr>
        <b/>
        <sz val="9"/>
        <rFont val="Faruma"/>
      </rPr>
      <t>އޭޕްރިލް</t>
    </r>
    <r>
      <rPr>
        <b/>
        <sz val="9"/>
        <rFont val="Calibri"/>
        <family val="2"/>
      </rPr>
      <t xml:space="preserve">
Apr</t>
    </r>
  </si>
  <si>
    <r>
      <rPr>
        <b/>
        <sz val="9"/>
        <rFont val="Faruma"/>
      </rPr>
      <t>މެއި</t>
    </r>
    <r>
      <rPr>
        <b/>
        <sz val="9"/>
        <rFont val="Calibri"/>
        <family val="2"/>
      </rPr>
      <t xml:space="preserve">
May</t>
    </r>
  </si>
  <si>
    <r>
      <rPr>
        <b/>
        <sz val="9"/>
        <rFont val="Faruma"/>
      </rPr>
      <t>ޖޫން</t>
    </r>
    <r>
      <rPr>
        <b/>
        <sz val="9"/>
        <rFont val="Calibri"/>
        <family val="2"/>
      </rPr>
      <t xml:space="preserve">
Jun</t>
    </r>
  </si>
  <si>
    <r>
      <rPr>
        <b/>
        <sz val="9"/>
        <rFont val="Faruma"/>
      </rPr>
      <t>ޖުލައި</t>
    </r>
    <r>
      <rPr>
        <b/>
        <sz val="9"/>
        <rFont val="Calibri"/>
        <family val="2"/>
      </rPr>
      <t xml:space="preserve">
Jul</t>
    </r>
  </si>
  <si>
    <r>
      <rPr>
        <b/>
        <sz val="9"/>
        <rFont val="Faruma"/>
      </rPr>
      <t>އޮގަސްޓު</t>
    </r>
    <r>
      <rPr>
        <b/>
        <sz val="9"/>
        <rFont val="Calibri"/>
        <family val="2"/>
      </rPr>
      <t xml:space="preserve">
Aug</t>
    </r>
  </si>
  <si>
    <r>
      <rPr>
        <b/>
        <sz val="9"/>
        <rFont val="Faruma"/>
      </rPr>
      <t>ސެޕްޓެމްބަރ</t>
    </r>
    <r>
      <rPr>
        <b/>
        <sz val="9"/>
        <rFont val="Calibri"/>
        <family val="2"/>
      </rPr>
      <t xml:space="preserve">
Sep</t>
    </r>
  </si>
  <si>
    <r>
      <rPr>
        <b/>
        <sz val="9"/>
        <rFont val="Faruma"/>
      </rPr>
      <t>އޮކްޓޯބަރ</t>
    </r>
    <r>
      <rPr>
        <b/>
        <sz val="9"/>
        <rFont val="Calibri"/>
        <family val="2"/>
      </rPr>
      <t xml:space="preserve">
Oct</t>
    </r>
  </si>
  <si>
    <r>
      <rPr>
        <b/>
        <sz val="9"/>
        <rFont val="Faruma"/>
      </rPr>
      <t>ނޮވެމްބަރ</t>
    </r>
    <r>
      <rPr>
        <b/>
        <sz val="9"/>
        <rFont val="Calibri"/>
        <family val="2"/>
      </rPr>
      <t xml:space="preserve">
Nov</t>
    </r>
  </si>
  <si>
    <r>
      <rPr>
        <b/>
        <sz val="9"/>
        <rFont val="Faruma"/>
      </rPr>
      <t>ޑިސެމްބަރ</t>
    </r>
    <r>
      <rPr>
        <b/>
        <sz val="9"/>
        <rFont val="Calibri"/>
        <family val="2"/>
      </rPr>
      <t xml:space="preserve">
Dec</t>
    </r>
  </si>
  <si>
    <t>Male</t>
  </si>
  <si>
    <t>ފިރިހެން</t>
  </si>
  <si>
    <t>Female</t>
  </si>
  <si>
    <t>އަންހެން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</si>
  <si>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</si>
  <si>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</si>
  <si>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TABLE 10.8: MONTHLY ARRIVAL OF TOURISTS  BY SEX, 2015 - 2021</t>
  </si>
  <si>
    <t>ތާވަލު 10.8: ޖިންސުގެ ގޮތުން އެކިމަސްމަހު ރާއްޖެއައި ފަތުރުވެރިންގެ އަދަދު،  2015 - 2021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</si>
</sst>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6" formatCode="_(* #,##0_);_(* \(#,##0\);_(* &quot;-&quot;??_);_(@_)"/>
    <numFmt numFmtId="169" formatCode="General_)"/>
    <numFmt numFmtId="171" formatCode="0.00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Faruma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Arial"/>
      <family val="2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b/>
      <sz val="9"/>
      <name val="Faruma"/>
    </font>
    <font>
      <b/>
      <sz val="9"/>
      <name val="Calibri"/>
      <family val="2"/>
    </font>
    <font>
      <sz val="11"/>
      <name val="Calibri"/>
      <family val="2"/>
      <scheme val="minor"/>
    </font>
    <font>
      <sz val="10"/>
      <name val="Faruma"/>
    </font>
    <font>
      <sz val="9"/>
      <color theme="1"/>
      <name val="A_Randhoo"/>
    </font>
    <font>
      <sz val="10"/>
      <name val="Courier"/>
      <family val="3"/>
    </font>
    <font>
      <b/>
      <sz val="11"/>
      <name val="A_Randhoo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0" fillId="0" borderId="0"/>
    <xf numFmtId="0" fontId="3" fillId="0" borderId="0"/>
    <xf numFmtId="0" fontId="22" fillId="0" borderId="0"/>
    <xf numFmtId="0" fontId="3" fillId="0" borderId="0"/>
    <xf numFmtId="43" fontId="3" fillId="0" borderId="0" applyFont="0" applyFill="0" applyBorder="0" applyAlignment="0" applyProtection="0"/>
    <xf numFmtId="171" fontId="23" fillId="0" borderId="0"/>
    <xf numFmtId="1" fontId="24" fillId="0" borderId="8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2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5" fillId="0" borderId="0"/>
    <xf numFmtId="40" fontId="5" fillId="0" borderId="0" applyFont="0" applyFill="0" applyBorder="0" applyAlignment="0" applyProtection="0"/>
    <xf numFmtId="0" fontId="5" fillId="0" borderId="0"/>
    <xf numFmtId="0" fontId="3" fillId="0" borderId="0"/>
    <xf numFmtId="1" fontId="24" fillId="0" borderId="8" applyNumberFormat="0"/>
    <xf numFmtId="0" fontId="1" fillId="0" borderId="0"/>
    <xf numFmtId="0" fontId="5" fillId="0" borderId="0"/>
    <xf numFmtId="0" fontId="25" fillId="0" borderId="0" applyFill="0" applyProtection="0"/>
    <xf numFmtId="1" fontId="24" fillId="0" borderId="8" applyNumberFormat="0"/>
    <xf numFmtId="43" fontId="1" fillId="0" borderId="0" applyFont="0" applyFill="0" applyBorder="0" applyAlignment="0" applyProtection="0"/>
    <xf numFmtId="0" fontId="1" fillId="0" borderId="0"/>
    <xf numFmtId="0" fontId="26" fillId="0" borderId="0"/>
    <xf numFmtId="0" fontId="27" fillId="0" borderId="0"/>
    <xf numFmtId="0" fontId="26" fillId="0" borderId="0"/>
    <xf numFmtId="0" fontId="1" fillId="0" borderId="0"/>
    <xf numFmtId="0" fontId="5" fillId="0" borderId="0"/>
    <xf numFmtId="0" fontId="25" fillId="0" borderId="0" applyFill="0" applyProtection="0"/>
  </cellStyleXfs>
  <cellXfs count="39">
    <xf numFmtId="0" fontId="0" fillId="0" borderId="0" xfId="0"/>
    <xf numFmtId="0" fontId="0" fillId="2" borderId="0" xfId="0" applyFill="1"/>
    <xf numFmtId="0" fontId="8" fillId="2" borderId="0" xfId="0" applyFont="1" applyFill="1"/>
    <xf numFmtId="0" fontId="12" fillId="2" borderId="0" xfId="0" applyFont="1" applyFill="1" applyAlignment="1">
      <alignment horizontal="left" vertical="center"/>
    </xf>
    <xf numFmtId="0" fontId="2" fillId="2" borderId="2" xfId="0" applyFont="1" applyFill="1" applyBorder="1"/>
    <xf numFmtId="0" fontId="4" fillId="2" borderId="4" xfId="2" applyFont="1" applyFill="1" applyBorder="1" applyAlignment="1">
      <alignment horizontal="right" vertical="center" wrapText="1"/>
    </xf>
    <xf numFmtId="0" fontId="2" fillId="2" borderId="5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3" fontId="17" fillId="2" borderId="0" xfId="0" applyNumberFormat="1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8" fillId="2" borderId="3" xfId="0" applyFont="1" applyFill="1" applyBorder="1" applyAlignment="1">
      <alignment horizontal="left" vertical="center"/>
    </xf>
    <xf numFmtId="3" fontId="2" fillId="2" borderId="3" xfId="0" applyNumberFormat="1" applyFont="1" applyFill="1" applyBorder="1" applyAlignment="1">
      <alignment horizontal="right" vertical="center"/>
    </xf>
    <xf numFmtId="3" fontId="17" fillId="2" borderId="3" xfId="0" applyNumberFormat="1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0" fontId="18" fillId="2" borderId="3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3" fontId="17" fillId="2" borderId="1" xfId="0" applyNumberFormat="1" applyFont="1" applyFill="1" applyBorder="1" applyAlignment="1">
      <alignment horizontal="right" vertical="center"/>
    </xf>
    <xf numFmtId="0" fontId="18" fillId="2" borderId="1" xfId="0" applyFont="1" applyFill="1" applyBorder="1" applyAlignment="1">
      <alignment vertical="center"/>
    </xf>
    <xf numFmtId="0" fontId="6" fillId="2" borderId="6" xfId="2" applyFont="1" applyFill="1" applyBorder="1" applyAlignment="1">
      <alignment horizontal="left" vertical="center"/>
    </xf>
    <xf numFmtId="0" fontId="14" fillId="2" borderId="0" xfId="0" applyFont="1" applyFill="1"/>
    <xf numFmtId="0" fontId="19" fillId="2" borderId="0" xfId="0" applyFont="1" applyFill="1" applyAlignment="1">
      <alignment horizontal="right" vertical="center"/>
    </xf>
    <xf numFmtId="166" fontId="0" fillId="2" borderId="0" xfId="1" applyNumberFormat="1" applyFont="1" applyFill="1"/>
    <xf numFmtId="3" fontId="0" fillId="2" borderId="0" xfId="0" applyNumberFormat="1" applyFill="1"/>
    <xf numFmtId="166" fontId="0" fillId="2" borderId="0" xfId="0" applyNumberFormat="1" applyFill="1"/>
    <xf numFmtId="0" fontId="6" fillId="2" borderId="0" xfId="2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indent="3"/>
    </xf>
    <xf numFmtId="0" fontId="13" fillId="2" borderId="0" xfId="2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 vertical="center"/>
    </xf>
    <xf numFmtId="169" fontId="21" fillId="2" borderId="7" xfId="4" applyNumberFormat="1" applyFont="1" applyFill="1" applyBorder="1" applyAlignment="1">
      <alignment vertical="center"/>
    </xf>
  </cellXfs>
  <cellStyles count="37">
    <cellStyle name="1" xfId="7" xr:uid="{00000000-0005-0000-0000-000000000000}"/>
    <cellStyle name="Comma" xfId="1" builtinId="3"/>
    <cellStyle name="Comma 2" xfId="21" xr:uid="{00000000-0005-0000-0000-000002000000}"/>
    <cellStyle name="Comma 2 2 2 5" xfId="29" xr:uid="{923A80DF-8391-490C-A9FC-9B04BA3FF02C}"/>
    <cellStyle name="Comma 3" xfId="8" xr:uid="{00000000-0005-0000-0000-000003000000}"/>
    <cellStyle name="Normal" xfId="0" builtinId="0"/>
    <cellStyle name="Normal - Style1" xfId="9" xr:uid="{00000000-0005-0000-0000-000005000000}"/>
    <cellStyle name="Normal 10" xfId="15" xr:uid="{00000000-0005-0000-0000-000006000000}"/>
    <cellStyle name="Normal 11" xfId="26" xr:uid="{95DB1E47-A717-4F50-B120-BDB4A6A98D35}"/>
    <cellStyle name="Normal 12" xfId="28" xr:uid="{5F37676F-9210-428B-A54A-88AF31197612}"/>
    <cellStyle name="Normal 2" xfId="2" xr:uid="{00000000-0005-0000-0000-000007000000}"/>
    <cellStyle name="Normal 2 2" xfId="10" xr:uid="{00000000-0005-0000-0000-000008000000}"/>
    <cellStyle name="Normal 2 2 2" xfId="22" xr:uid="{00000000-0005-0000-0000-000009000000}"/>
    <cellStyle name="Normal 2 2 3" xfId="23" xr:uid="{2E2FEFD2-ABBD-420D-8461-C8F503FDA24A}"/>
    <cellStyle name="Normal 2 3" xfId="25" xr:uid="{48422FEC-E0BC-428C-9750-2D76D2E13FBF}"/>
    <cellStyle name="Normal 2 3 2" xfId="36" xr:uid="{53720891-5BB7-4072-A4AA-9D579EA571CD}"/>
    <cellStyle name="Normal 2 4" xfId="27" xr:uid="{84E1C268-3A16-4FB7-A335-F22068D33369}"/>
    <cellStyle name="Normal 2 5" xfId="31" xr:uid="{D29D2916-D641-4853-A275-3F08E70F8C7A}"/>
    <cellStyle name="Normal 3" xfId="11" xr:uid="{00000000-0005-0000-0000-00000A000000}"/>
    <cellStyle name="Normal 3 2" xfId="24" xr:uid="{44D070A0-948A-45DA-8AFF-8A98BB90EB1D}"/>
    <cellStyle name="Normal 3 2 2" xfId="33" xr:uid="{4957CE97-0C4F-446D-8F13-BA568858B15F}"/>
    <cellStyle name="Normal 4" xfId="16" xr:uid="{00000000-0005-0000-0000-00000B000000}"/>
    <cellStyle name="Normal 4 2" xfId="12" xr:uid="{00000000-0005-0000-0000-00000C000000}"/>
    <cellStyle name="Normal 4 2 2" xfId="17" xr:uid="{00000000-0005-0000-0000-00000D000000}"/>
    <cellStyle name="Normal 4 3" xfId="32" xr:uid="{6720CF7E-3D28-49D4-A4F3-23A341275CC3}"/>
    <cellStyle name="Normal 5" xfId="13" xr:uid="{00000000-0005-0000-0000-00000E000000}"/>
    <cellStyle name="Normal 5 2" xfId="5" xr:uid="{00000000-0005-0000-0000-00000F000000}"/>
    <cellStyle name="Normal 5 3" xfId="30" xr:uid="{F16A05F5-F806-4902-9DAF-1592A0EB3B8F}"/>
    <cellStyle name="Normal 6" xfId="18" xr:uid="{00000000-0005-0000-0000-000010000000}"/>
    <cellStyle name="Normal 6 2" xfId="34" xr:uid="{28DCBC0B-46D7-4D92-ADC4-A6E5B7FB0383}"/>
    <cellStyle name="Normal 7" xfId="19" xr:uid="{00000000-0005-0000-0000-000011000000}"/>
    <cellStyle name="Normal 7 2" xfId="35" xr:uid="{F94E59D5-A861-4070-A967-F13E24BDD6F0}"/>
    <cellStyle name="Normal 8" xfId="20" xr:uid="{00000000-0005-0000-0000-000012000000}"/>
    <cellStyle name="Normal 9" xfId="6" xr:uid="{00000000-0005-0000-0000-000013000000}"/>
    <cellStyle name="Normal_VIII-8 (Tourism) 2" xfId="4" xr:uid="{00000000-0005-0000-0000-000018000000}"/>
    <cellStyle name="Percent 2" xfId="14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FFB7B7"/>
      <color rgb="FFFF8585"/>
      <color rgb="FFFF3B3B"/>
      <color rgb="FFFFDDDD"/>
      <color rgb="FFFFFBFB"/>
      <color rgb="FFFFD5D5"/>
      <color rgb="FFFFCCCC"/>
      <color rgb="FFFFC1C1"/>
      <color rgb="FFFFB9B9"/>
      <color rgb="FFDD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Figure 10.12: Monthly arrival of tourists by sex, 2021</a:t>
            </a:r>
          </a:p>
        </c:rich>
      </c:tx>
      <c:layout>
        <c:manualLayout>
          <c:xMode val="edge"/>
          <c:yMode val="edge"/>
          <c:x val="0.19757646365632867"/>
          <c:y val="3.2520325203252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260717410323705E-2"/>
          <c:y val="0.16069105691056912"/>
          <c:w val="0.9116420603674541"/>
          <c:h val="0.7251894885090582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'10.8'!$A$23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'10.8'!$AD$33:$AO$33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'10.8'!$C$31:$N$31</c:f>
              <c:numCache>
                <c:formatCode>#,##0</c:formatCode>
                <c:ptCount val="12"/>
                <c:pt idx="0">
                  <c:v>44259</c:v>
                </c:pt>
                <c:pt idx="1">
                  <c:v>46314</c:v>
                </c:pt>
                <c:pt idx="2">
                  <c:v>52996</c:v>
                </c:pt>
                <c:pt idx="3">
                  <c:v>46489</c:v>
                </c:pt>
                <c:pt idx="4">
                  <c:v>30923</c:v>
                </c:pt>
                <c:pt idx="5">
                  <c:v>26110</c:v>
                </c:pt>
                <c:pt idx="6">
                  <c:v>48926</c:v>
                </c:pt>
                <c:pt idx="7">
                  <c:v>78992</c:v>
                </c:pt>
                <c:pt idx="8">
                  <c:v>61354</c:v>
                </c:pt>
                <c:pt idx="9">
                  <c:v>69378</c:v>
                </c:pt>
                <c:pt idx="10">
                  <c:v>70057</c:v>
                </c:pt>
                <c:pt idx="11">
                  <c:v>79857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0-44DB-8EE1-A9E6C4BF8A09}"/>
            </c:ext>
          </c:extLst>
        </c:ser>
        <c:ser>
          <c:idx val="0"/>
          <c:order val="1"/>
          <c:tx>
            <c:strRef>
              <c:f>'10.8'!$A$32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D5D5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'10.8'!$AD$33:$AO$33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'10.8'!$C$32:$N$32</c:f>
              <c:numCache>
                <c:formatCode>#,##0</c:formatCode>
                <c:ptCount val="12"/>
                <c:pt idx="0">
                  <c:v>47844</c:v>
                </c:pt>
                <c:pt idx="1">
                  <c:v>50568</c:v>
                </c:pt>
                <c:pt idx="2">
                  <c:v>56589</c:v>
                </c:pt>
                <c:pt idx="3">
                  <c:v>44711</c:v>
                </c:pt>
                <c:pt idx="4">
                  <c:v>33690</c:v>
                </c:pt>
                <c:pt idx="5">
                  <c:v>30056</c:v>
                </c:pt>
                <c:pt idx="6">
                  <c:v>52892</c:v>
                </c:pt>
                <c:pt idx="7">
                  <c:v>64607</c:v>
                </c:pt>
                <c:pt idx="8">
                  <c:v>53542</c:v>
                </c:pt>
                <c:pt idx="9">
                  <c:v>72688</c:v>
                </c:pt>
                <c:pt idx="10">
                  <c:v>74667</c:v>
                </c:pt>
                <c:pt idx="11">
                  <c:v>84427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C0-44DB-8EE1-A9E6C4BF8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7931344"/>
        <c:axId val="414979120"/>
      </c:barChart>
      <c:catAx>
        <c:axId val="15793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79120"/>
        <c:crosses val="autoZero"/>
        <c:auto val="1"/>
        <c:lblAlgn val="ctr"/>
        <c:lblOffset val="100"/>
        <c:noMultiLvlLbl val="0"/>
      </c:catAx>
      <c:valAx>
        <c:axId val="41497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31344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BFB"/>
    </a:solidFill>
    <a:ln>
      <a:solidFill>
        <a:schemeClr val="bg1">
          <a:lumMod val="75000"/>
        </a:schemeClr>
      </a:solidFill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Consolas" panose="020B0609020204030204" pitchFamily="49" charset="0"/>
              </a:rPr>
              <a:t>Figure 10.13: Percentage of tourist arrival by sex, 2021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1089501312335965"/>
          <c:y val="0.15985928842228053"/>
          <c:w val="0.29216086008228193"/>
          <c:h val="0.82863996555577202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rgbClr val="FFB7B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B9-434D-8708-6E02DCFD0988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B9-434D-8708-6E02DCFD0988}"/>
              </c:ext>
            </c:extLst>
          </c:dPt>
          <c:dLbls>
            <c:dLbl>
              <c:idx val="0"/>
              <c:layout>
                <c:manualLayout>
                  <c:x val="-0.13523815440813922"/>
                  <c:y val="-3.91859131009716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B9-434D-8708-6E02DCFD0988}"/>
                </c:ext>
              </c:extLst>
            </c:dLbl>
            <c:dLbl>
              <c:idx val="1"/>
              <c:layout>
                <c:manualLayout>
                  <c:x val="0.13751900111244966"/>
                  <c:y val="-4.503535985376383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B9-434D-8708-6E02DCFD098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'10.8'!$A$31:$A$32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'10.8'!$B$31:$B$32</c:f>
              <c:numCache>
                <c:formatCode>#,##0</c:formatCode>
                <c:ptCount val="2"/>
                <c:pt idx="0">
                  <c:v>655655</c:v>
                </c:pt>
                <c:pt idx="1">
                  <c:v>666281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B9-434D-8708-6E02DCFD0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609922</xdr:colOff>
      <xdr:row>35</xdr:row>
      <xdr:rowOff>114694</xdr:rowOff>
    </xdr:from>
    <xdr:to>
      <xdr:col>12</xdr:col>
      <xdr:colOff>85045</xdr:colOff>
      <xdr:row>48</xdr:row>
      <xdr:rowOff>161585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570613</xdr:colOff>
      <xdr:row>50</xdr:row>
      <xdr:rowOff>154311</xdr:rowOff>
    </xdr:from>
    <xdr:to>
      <xdr:col>11</xdr:col>
      <xdr:colOff>569799</xdr:colOff>
      <xdr:row>67</xdr:row>
      <xdr:rowOff>59062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581475</xdr:colOff>
      <xdr:row>36</xdr:row>
      <xdr:rowOff>73946</xdr:rowOff>
    </xdr:from>
    <xdr:to>
      <xdr:col>3</xdr:col>
      <xdr:colOff>355458</xdr:colOff>
      <xdr:row>37</xdr:row>
      <xdr:rowOff>106234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1193796" y="8484861"/>
          <a:ext cx="1151707" cy="2193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0"/>
            <a:t>Arrivals</a:t>
          </a:r>
          <a:r>
            <a:rPr lang="en-US" sz="900" b="1" i="0" baseline="0"/>
            <a:t> in Numbers</a:t>
          </a:r>
          <a:endParaRPr lang="en-US" sz="900" b="1" i="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O53"/>
  <sheetViews>
    <sheetView tabSelected="1" zoomScale="112" zoomScaleNormal="112" zoomScaleSheetLayoutView="91" workbookViewId="0">
      <selection activeCell="F7" sqref="F7:G8"/>
    </sheetView>
  </sheetViews>
  <sheetFormatPr defaultColWidth="9.140625" defaultRowHeight="15"/>
  <cols>
    <col min="1" max="1" width="9.140625" style="2"/>
    <col min="2" max="2" width="11.42578125" style="2" customWidth="1"/>
    <col min="3" max="10" width="9.140625" style="2"/>
    <col min="11" max="11" width="9.7109375" style="2" customWidth="1"/>
    <col min="12" max="14" width="9.140625" style="2"/>
    <col min="15" max="15" width="9.85546875" style="2" customWidth="1"/>
    <col min="16" max="16" width="3.85546875" style="1" customWidth="1"/>
    <col min="17" max="18" width="9.140625" style="1"/>
    <col min="19" max="20" width="12.28515625" style="1" bestFit="1" customWidth="1"/>
    <col min="21" max="24" width="12.28515625" style="1" customWidth="1"/>
    <col min="25" max="35" width="9.140625" style="1"/>
    <col min="36" max="37" width="10.5703125" style="1" customWidth="1"/>
    <col min="38" max="38" width="10.5703125" style="1" bestFit="1" customWidth="1"/>
    <col min="39" max="16384" width="9.140625" style="1"/>
  </cols>
  <sheetData>
    <row r="1" spans="1:15" ht="21">
      <c r="A1" s="35" t="s">
        <v>36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>
      <c r="A2" s="36" t="s">
        <v>35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5" ht="15.7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15" s="7" customFormat="1" ht="29.25">
      <c r="A4" s="4"/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  <c r="K4" s="5" t="s">
        <v>25</v>
      </c>
      <c r="L4" s="5" t="s">
        <v>26</v>
      </c>
      <c r="M4" s="5" t="s">
        <v>27</v>
      </c>
      <c r="N4" s="5" t="s">
        <v>28</v>
      </c>
      <c r="O4" s="6"/>
    </row>
    <row r="5" spans="1:15">
      <c r="A5" s="8">
        <v>2015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>
        <v>2015</v>
      </c>
    </row>
    <row r="6" spans="1:15" ht="18.75">
      <c r="A6" s="8" t="s">
        <v>0</v>
      </c>
      <c r="B6" s="10">
        <f>SUM(B7:B8)</f>
        <v>1234248</v>
      </c>
      <c r="C6" s="10">
        <f>SUM(C7:C8)</f>
        <v>97073</v>
      </c>
      <c r="D6" s="10">
        <f t="shared" ref="D6:N6" si="0">SUM(D7:D8)</f>
        <v>120468</v>
      </c>
      <c r="E6" s="10">
        <f t="shared" si="0"/>
        <v>112427</v>
      </c>
      <c r="F6" s="10">
        <f t="shared" si="0"/>
        <v>102242</v>
      </c>
      <c r="G6" s="10">
        <f>SUM(G7:G8)</f>
        <v>95389</v>
      </c>
      <c r="H6" s="10">
        <f t="shared" si="0"/>
        <v>81506</v>
      </c>
      <c r="I6" s="10">
        <f t="shared" si="0"/>
        <v>104517</v>
      </c>
      <c r="J6" s="10">
        <f t="shared" si="0"/>
        <v>110144</v>
      </c>
      <c r="K6" s="10">
        <f t="shared" si="0"/>
        <v>95511</v>
      </c>
      <c r="L6" s="10">
        <f t="shared" si="0"/>
        <v>105498</v>
      </c>
      <c r="M6" s="10">
        <f t="shared" si="0"/>
        <v>90218</v>
      </c>
      <c r="N6" s="10">
        <f t="shared" si="0"/>
        <v>119255</v>
      </c>
      <c r="O6" s="11" t="s">
        <v>1</v>
      </c>
    </row>
    <row r="7" spans="1:15" ht="18.75">
      <c r="A7" s="12" t="s">
        <v>29</v>
      </c>
      <c r="B7" s="10">
        <f>SUM(C7:N7)</f>
        <v>598458</v>
      </c>
      <c r="C7" s="13">
        <v>47173</v>
      </c>
      <c r="D7" s="13">
        <v>57866</v>
      </c>
      <c r="E7" s="13">
        <v>54087</v>
      </c>
      <c r="F7" s="13">
        <v>49321</v>
      </c>
      <c r="G7" s="14">
        <v>46353</v>
      </c>
      <c r="H7" s="13">
        <v>39330</v>
      </c>
      <c r="I7" s="13">
        <v>49602</v>
      </c>
      <c r="J7" s="13">
        <v>53154</v>
      </c>
      <c r="K7" s="13">
        <v>46533</v>
      </c>
      <c r="L7" s="13">
        <v>52055</v>
      </c>
      <c r="M7" s="13">
        <v>44453</v>
      </c>
      <c r="N7" s="13">
        <v>58531</v>
      </c>
      <c r="O7" s="15" t="s">
        <v>30</v>
      </c>
    </row>
    <row r="8" spans="1:15" ht="18.75">
      <c r="A8" s="16" t="s">
        <v>31</v>
      </c>
      <c r="B8" s="17">
        <f>SUM(C8:N8)</f>
        <v>635790</v>
      </c>
      <c r="C8" s="18">
        <v>49900</v>
      </c>
      <c r="D8" s="18">
        <v>62602</v>
      </c>
      <c r="E8" s="18">
        <v>58340</v>
      </c>
      <c r="F8" s="18">
        <v>52921</v>
      </c>
      <c r="G8" s="19">
        <v>49036</v>
      </c>
      <c r="H8" s="18">
        <v>42176</v>
      </c>
      <c r="I8" s="18">
        <v>54915</v>
      </c>
      <c r="J8" s="18">
        <v>56990</v>
      </c>
      <c r="K8" s="18">
        <v>48978</v>
      </c>
      <c r="L8" s="18">
        <v>53443</v>
      </c>
      <c r="M8" s="18">
        <v>45765</v>
      </c>
      <c r="N8" s="18">
        <v>60724</v>
      </c>
      <c r="O8" s="20" t="s">
        <v>32</v>
      </c>
    </row>
    <row r="9" spans="1:15">
      <c r="A9" s="8">
        <v>2016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>
        <v>2016</v>
      </c>
    </row>
    <row r="10" spans="1:15" ht="18.75">
      <c r="A10" s="8" t="s">
        <v>0</v>
      </c>
      <c r="B10" s="10">
        <f>SUM(B11:B12)</f>
        <v>1286135</v>
      </c>
      <c r="C10" s="10">
        <f>SUM(C11:C12)</f>
        <v>108396</v>
      </c>
      <c r="D10" s="10">
        <f t="shared" ref="D10:N10" si="1">SUM(D11:D12)</f>
        <v>120639</v>
      </c>
      <c r="E10" s="10">
        <f t="shared" si="1"/>
        <v>115131</v>
      </c>
      <c r="F10" s="10">
        <f t="shared" si="1"/>
        <v>103493</v>
      </c>
      <c r="G10" s="10">
        <f t="shared" si="1"/>
        <v>93228</v>
      </c>
      <c r="H10" s="10">
        <f t="shared" si="1"/>
        <v>79034</v>
      </c>
      <c r="I10" s="10">
        <f t="shared" si="1"/>
        <v>110432</v>
      </c>
      <c r="J10" s="10">
        <f t="shared" si="1"/>
        <v>112282</v>
      </c>
      <c r="K10" s="10">
        <f t="shared" si="1"/>
        <v>101909</v>
      </c>
      <c r="L10" s="10">
        <f t="shared" si="1"/>
        <v>117489</v>
      </c>
      <c r="M10" s="10">
        <f t="shared" si="1"/>
        <v>104572</v>
      </c>
      <c r="N10" s="10">
        <f t="shared" si="1"/>
        <v>119530</v>
      </c>
      <c r="O10" s="11" t="s">
        <v>1</v>
      </c>
    </row>
    <row r="11" spans="1:15" ht="18.75">
      <c r="A11" s="12" t="s">
        <v>29</v>
      </c>
      <c r="B11" s="10">
        <f>SUM(C11:N11)</f>
        <v>623657</v>
      </c>
      <c r="C11" s="13">
        <v>52580</v>
      </c>
      <c r="D11" s="13">
        <v>58245</v>
      </c>
      <c r="E11" s="13">
        <v>55809</v>
      </c>
      <c r="F11" s="13">
        <v>49741</v>
      </c>
      <c r="G11" s="13">
        <v>45523</v>
      </c>
      <c r="H11" s="13">
        <v>37767</v>
      </c>
      <c r="I11" s="13">
        <v>52833</v>
      </c>
      <c r="J11" s="13">
        <v>53869</v>
      </c>
      <c r="K11" s="13">
        <v>49635</v>
      </c>
      <c r="L11" s="13">
        <v>58020</v>
      </c>
      <c r="M11" s="13">
        <v>51192</v>
      </c>
      <c r="N11" s="13">
        <v>58443</v>
      </c>
      <c r="O11" s="15" t="s">
        <v>30</v>
      </c>
    </row>
    <row r="12" spans="1:15" ht="18.75">
      <c r="A12" s="16" t="s">
        <v>31</v>
      </c>
      <c r="B12" s="17">
        <f>SUM(C12:N12)</f>
        <v>662478</v>
      </c>
      <c r="C12" s="18">
        <v>55816</v>
      </c>
      <c r="D12" s="18">
        <v>62394</v>
      </c>
      <c r="E12" s="18">
        <v>59322</v>
      </c>
      <c r="F12" s="18">
        <v>53752</v>
      </c>
      <c r="G12" s="18">
        <v>47705</v>
      </c>
      <c r="H12" s="18">
        <v>41267</v>
      </c>
      <c r="I12" s="18">
        <v>57599</v>
      </c>
      <c r="J12" s="18">
        <v>58413</v>
      </c>
      <c r="K12" s="18">
        <v>52274</v>
      </c>
      <c r="L12" s="18">
        <v>59469</v>
      </c>
      <c r="M12" s="18">
        <v>53380</v>
      </c>
      <c r="N12" s="18">
        <v>61087</v>
      </c>
      <c r="O12" s="20" t="s">
        <v>32</v>
      </c>
    </row>
    <row r="13" spans="1:15" s="7" customFormat="1" ht="18.75" customHeight="1">
      <c r="A13" s="8">
        <v>2017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9">
        <v>2017</v>
      </c>
    </row>
    <row r="14" spans="1:15" s="7" customFormat="1" ht="18.75">
      <c r="A14" s="8" t="s">
        <v>0</v>
      </c>
      <c r="B14" s="10">
        <f>SUM(C14:N14)</f>
        <v>1389542</v>
      </c>
      <c r="C14" s="10">
        <f>SUM(C15:C16)</f>
        <v>125336</v>
      </c>
      <c r="D14" s="10">
        <f t="shared" ref="D14:N14" si="2">SUM(D15:D16)</f>
        <v>121052</v>
      </c>
      <c r="E14" s="10">
        <f t="shared" si="2"/>
        <v>112665</v>
      </c>
      <c r="F14" s="10">
        <f t="shared" si="2"/>
        <v>119774</v>
      </c>
      <c r="G14" s="10">
        <f t="shared" si="2"/>
        <v>93491</v>
      </c>
      <c r="H14" s="10">
        <f t="shared" si="2"/>
        <v>85222</v>
      </c>
      <c r="I14" s="10">
        <f t="shared" si="2"/>
        <v>113175</v>
      </c>
      <c r="J14" s="10">
        <f t="shared" si="2"/>
        <v>121310</v>
      </c>
      <c r="K14" s="10">
        <f t="shared" si="2"/>
        <v>105984</v>
      </c>
      <c r="L14" s="10">
        <f t="shared" si="2"/>
        <v>127986</v>
      </c>
      <c r="M14" s="10">
        <f t="shared" si="2"/>
        <v>120506</v>
      </c>
      <c r="N14" s="10">
        <f t="shared" si="2"/>
        <v>143041</v>
      </c>
      <c r="O14" s="11" t="s">
        <v>1</v>
      </c>
    </row>
    <row r="15" spans="1:15" ht="18.75">
      <c r="A15" s="12" t="s">
        <v>29</v>
      </c>
      <c r="B15" s="10">
        <f>SUM(C15:N15)</f>
        <v>667286</v>
      </c>
      <c r="C15" s="13">
        <v>60242</v>
      </c>
      <c r="D15" s="13">
        <v>58195</v>
      </c>
      <c r="E15" s="13">
        <v>54157</v>
      </c>
      <c r="F15" s="13">
        <v>57109</v>
      </c>
      <c r="G15" s="13">
        <v>45177</v>
      </c>
      <c r="H15" s="13">
        <v>40579</v>
      </c>
      <c r="I15" s="13">
        <v>54239</v>
      </c>
      <c r="J15" s="13">
        <v>57649</v>
      </c>
      <c r="K15" s="13">
        <v>51284</v>
      </c>
      <c r="L15" s="13">
        <v>61740</v>
      </c>
      <c r="M15" s="13">
        <v>57934</v>
      </c>
      <c r="N15" s="13">
        <v>68981</v>
      </c>
      <c r="O15" s="15" t="s">
        <v>30</v>
      </c>
    </row>
    <row r="16" spans="1:15" ht="18.75">
      <c r="A16" s="22" t="s">
        <v>31</v>
      </c>
      <c r="B16" s="23">
        <f>SUM(C16:N16)</f>
        <v>722256</v>
      </c>
      <c r="C16" s="24">
        <v>65094</v>
      </c>
      <c r="D16" s="24">
        <v>62857</v>
      </c>
      <c r="E16" s="24">
        <v>58508</v>
      </c>
      <c r="F16" s="24">
        <v>62665</v>
      </c>
      <c r="G16" s="24">
        <v>48314</v>
      </c>
      <c r="H16" s="24">
        <v>44643</v>
      </c>
      <c r="I16" s="24">
        <v>58936</v>
      </c>
      <c r="J16" s="24">
        <v>63661</v>
      </c>
      <c r="K16" s="24">
        <v>54700</v>
      </c>
      <c r="L16" s="24">
        <v>66246</v>
      </c>
      <c r="M16" s="24">
        <v>62572</v>
      </c>
      <c r="N16" s="24">
        <v>74060</v>
      </c>
      <c r="O16" s="25" t="s">
        <v>32</v>
      </c>
    </row>
    <row r="17" spans="1:15" s="7" customFormat="1" ht="18.75" customHeight="1">
      <c r="A17" s="8">
        <v>2018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9">
        <v>2018</v>
      </c>
    </row>
    <row r="18" spans="1:15" s="7" customFormat="1" ht="18.75">
      <c r="A18" s="8" t="s">
        <v>0</v>
      </c>
      <c r="B18" s="10">
        <f>SUM(C18:N18)</f>
        <v>1484274</v>
      </c>
      <c r="C18" s="10">
        <f>SUM(C19:C20)</f>
        <v>142351</v>
      </c>
      <c r="D18" s="10">
        <f t="shared" ref="D18:N18" si="3">SUM(D19:D20)</f>
        <v>144286</v>
      </c>
      <c r="E18" s="10">
        <f t="shared" si="3"/>
        <v>133466</v>
      </c>
      <c r="F18" s="10">
        <f t="shared" si="3"/>
        <v>119713</v>
      </c>
      <c r="G18" s="10">
        <f t="shared" si="3"/>
        <v>92913</v>
      </c>
      <c r="H18" s="10">
        <f t="shared" si="3"/>
        <v>93786</v>
      </c>
      <c r="I18" s="10">
        <f t="shared" si="3"/>
        <v>122332</v>
      </c>
      <c r="J18" s="10">
        <f t="shared" si="3"/>
        <v>123992</v>
      </c>
      <c r="K18" s="10">
        <f t="shared" si="3"/>
        <v>107620</v>
      </c>
      <c r="L18" s="10">
        <f t="shared" si="3"/>
        <v>127393</v>
      </c>
      <c r="M18" s="10">
        <f t="shared" si="3"/>
        <v>125604</v>
      </c>
      <c r="N18" s="10">
        <f t="shared" si="3"/>
        <v>150818</v>
      </c>
      <c r="O18" s="11" t="s">
        <v>1</v>
      </c>
    </row>
    <row r="19" spans="1:15" ht="18.75">
      <c r="A19" s="12" t="s">
        <v>29</v>
      </c>
      <c r="B19" s="10">
        <f>SUM(C19:N19)</f>
        <v>710256</v>
      </c>
      <c r="C19" s="13">
        <v>67601</v>
      </c>
      <c r="D19" s="13">
        <v>68779</v>
      </c>
      <c r="E19" s="13">
        <v>64018</v>
      </c>
      <c r="F19" s="13">
        <v>57300</v>
      </c>
      <c r="G19" s="13">
        <v>44543</v>
      </c>
      <c r="H19" s="13">
        <v>44461</v>
      </c>
      <c r="I19" s="13">
        <v>58223</v>
      </c>
      <c r="J19" s="13">
        <v>58839</v>
      </c>
      <c r="K19" s="13">
        <v>51698</v>
      </c>
      <c r="L19" s="13">
        <v>61444</v>
      </c>
      <c r="M19" s="13">
        <v>60624</v>
      </c>
      <c r="N19" s="13">
        <v>72726</v>
      </c>
      <c r="O19" s="15" t="s">
        <v>30</v>
      </c>
    </row>
    <row r="20" spans="1:15" ht="18.75">
      <c r="A20" s="22" t="s">
        <v>31</v>
      </c>
      <c r="B20" s="23">
        <f>SUM(C20:N20)</f>
        <v>774018</v>
      </c>
      <c r="C20" s="24">
        <v>74750</v>
      </c>
      <c r="D20" s="24">
        <v>75507</v>
      </c>
      <c r="E20" s="24">
        <v>69448</v>
      </c>
      <c r="F20" s="24">
        <v>62413</v>
      </c>
      <c r="G20" s="24">
        <v>48370</v>
      </c>
      <c r="H20" s="24">
        <v>49325</v>
      </c>
      <c r="I20" s="24">
        <v>64109</v>
      </c>
      <c r="J20" s="24">
        <v>65153</v>
      </c>
      <c r="K20" s="24">
        <v>55922</v>
      </c>
      <c r="L20" s="24">
        <v>65949</v>
      </c>
      <c r="M20" s="24">
        <v>64980</v>
      </c>
      <c r="N20" s="24">
        <v>78092</v>
      </c>
      <c r="O20" s="25" t="s">
        <v>32</v>
      </c>
    </row>
    <row r="21" spans="1:15" s="7" customFormat="1" ht="18.75" customHeight="1">
      <c r="A21" s="8">
        <v>2019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9">
        <v>2019</v>
      </c>
    </row>
    <row r="22" spans="1:15" s="7" customFormat="1" ht="18.75">
      <c r="A22" s="8" t="s">
        <v>0</v>
      </c>
      <c r="B22" s="10">
        <f>SUM(C22:N22)</f>
        <v>1702887</v>
      </c>
      <c r="C22" s="10">
        <f>SUM(C23:C24)</f>
        <v>151552</v>
      </c>
      <c r="D22" s="10">
        <f t="shared" ref="D22:N22" si="4">SUM(D23:D24)</f>
        <v>168583</v>
      </c>
      <c r="E22" s="10">
        <f t="shared" si="4"/>
        <v>162843</v>
      </c>
      <c r="F22" s="10">
        <f t="shared" si="4"/>
        <v>163114</v>
      </c>
      <c r="G22" s="10">
        <f t="shared" si="4"/>
        <v>103022</v>
      </c>
      <c r="H22" s="10">
        <f t="shared" si="4"/>
        <v>113475</v>
      </c>
      <c r="I22" s="10">
        <f t="shared" si="4"/>
        <v>132144</v>
      </c>
      <c r="J22" s="10">
        <f t="shared" si="4"/>
        <v>139338</v>
      </c>
      <c r="K22" s="10">
        <f t="shared" si="4"/>
        <v>117619</v>
      </c>
      <c r="L22" s="10">
        <f t="shared" si="4"/>
        <v>141928</v>
      </c>
      <c r="M22" s="10">
        <f t="shared" si="4"/>
        <v>137921</v>
      </c>
      <c r="N22" s="10">
        <f t="shared" si="4"/>
        <v>171348</v>
      </c>
      <c r="O22" s="11" t="s">
        <v>1</v>
      </c>
    </row>
    <row r="23" spans="1:15" ht="18.75">
      <c r="A23" s="12" t="s">
        <v>29</v>
      </c>
      <c r="B23" s="10">
        <f>SUM(C23:N23)</f>
        <v>816083</v>
      </c>
      <c r="C23" s="13">
        <v>72654</v>
      </c>
      <c r="D23" s="13">
        <v>80612</v>
      </c>
      <c r="E23" s="13">
        <v>77386</v>
      </c>
      <c r="F23" s="13">
        <v>77481</v>
      </c>
      <c r="G23" s="13">
        <v>49160</v>
      </c>
      <c r="H23" s="13">
        <v>54044</v>
      </c>
      <c r="I23" s="13">
        <v>63259</v>
      </c>
      <c r="J23" s="13">
        <v>66671</v>
      </c>
      <c r="K23" s="13">
        <v>57144</v>
      </c>
      <c r="L23" s="13">
        <v>68634</v>
      </c>
      <c r="M23" s="13">
        <v>66248</v>
      </c>
      <c r="N23" s="13">
        <v>82790</v>
      </c>
      <c r="O23" s="15" t="s">
        <v>30</v>
      </c>
    </row>
    <row r="24" spans="1:15" ht="18.75">
      <c r="A24" s="22" t="s">
        <v>31</v>
      </c>
      <c r="B24" s="23">
        <f>SUM(C24:N24)</f>
        <v>886804</v>
      </c>
      <c r="C24" s="24">
        <v>78898</v>
      </c>
      <c r="D24" s="24">
        <v>87971</v>
      </c>
      <c r="E24" s="24">
        <v>85457</v>
      </c>
      <c r="F24" s="24">
        <v>85633</v>
      </c>
      <c r="G24" s="24">
        <v>53862</v>
      </c>
      <c r="H24" s="24">
        <v>59431</v>
      </c>
      <c r="I24" s="24">
        <v>68885</v>
      </c>
      <c r="J24" s="24">
        <v>72667</v>
      </c>
      <c r="K24" s="24">
        <v>60475</v>
      </c>
      <c r="L24" s="24">
        <v>73294</v>
      </c>
      <c r="M24" s="24">
        <v>71673</v>
      </c>
      <c r="N24" s="24">
        <v>88558</v>
      </c>
      <c r="O24" s="25" t="s">
        <v>32</v>
      </c>
    </row>
    <row r="25" spans="1:15" s="7" customFormat="1" ht="18.75" customHeight="1">
      <c r="A25" s="8">
        <v>2020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9">
        <v>2020</v>
      </c>
    </row>
    <row r="26" spans="1:15" s="7" customFormat="1" ht="18.75">
      <c r="A26" s="8" t="s">
        <v>0</v>
      </c>
      <c r="B26" s="10">
        <f>SUM(C26:N26)</f>
        <v>555494</v>
      </c>
      <c r="C26" s="10">
        <f>SUM(C27:C28)</f>
        <v>173347</v>
      </c>
      <c r="D26" s="10">
        <f t="shared" ref="D26:N26" si="5">SUM(D27:D28)</f>
        <v>149785</v>
      </c>
      <c r="E26" s="10">
        <f t="shared" si="5"/>
        <v>59630</v>
      </c>
      <c r="F26" s="10">
        <f t="shared" si="5"/>
        <v>13</v>
      </c>
      <c r="G26" s="10">
        <f t="shared" si="5"/>
        <v>41</v>
      </c>
      <c r="H26" s="10">
        <f t="shared" si="5"/>
        <v>1</v>
      </c>
      <c r="I26" s="10">
        <f t="shared" si="5"/>
        <v>1752</v>
      </c>
      <c r="J26" s="10">
        <f t="shared" si="5"/>
        <v>7636</v>
      </c>
      <c r="K26" s="10">
        <f t="shared" si="5"/>
        <v>9605</v>
      </c>
      <c r="L26" s="10">
        <f t="shared" si="5"/>
        <v>21515</v>
      </c>
      <c r="M26" s="10">
        <f t="shared" si="5"/>
        <v>35757</v>
      </c>
      <c r="N26" s="10">
        <f t="shared" si="5"/>
        <v>96412</v>
      </c>
      <c r="O26" s="11" t="s">
        <v>1</v>
      </c>
    </row>
    <row r="27" spans="1:15" ht="18.75">
      <c r="A27" s="12" t="s">
        <v>29</v>
      </c>
      <c r="B27" s="10">
        <f>SUM(C27:N27)</f>
        <v>266811</v>
      </c>
      <c r="C27" s="13">
        <v>82485</v>
      </c>
      <c r="D27" s="13">
        <v>71772</v>
      </c>
      <c r="E27" s="13">
        <v>28412</v>
      </c>
      <c r="F27" s="13">
        <v>12</v>
      </c>
      <c r="G27" s="13">
        <v>27</v>
      </c>
      <c r="H27" s="13">
        <v>1</v>
      </c>
      <c r="I27" s="13">
        <v>862</v>
      </c>
      <c r="J27" s="13">
        <v>3794</v>
      </c>
      <c r="K27" s="13">
        <v>4869</v>
      </c>
      <c r="L27" s="13">
        <v>10646</v>
      </c>
      <c r="M27" s="13">
        <v>17220</v>
      </c>
      <c r="N27" s="13">
        <v>46711</v>
      </c>
      <c r="O27" s="15" t="s">
        <v>30</v>
      </c>
    </row>
    <row r="28" spans="1:15" ht="18.75">
      <c r="A28" s="22" t="s">
        <v>31</v>
      </c>
      <c r="B28" s="23">
        <f>SUM(C28:N28)</f>
        <v>288683</v>
      </c>
      <c r="C28" s="24">
        <v>90862</v>
      </c>
      <c r="D28" s="24">
        <v>78013</v>
      </c>
      <c r="E28" s="24">
        <v>31218</v>
      </c>
      <c r="F28" s="24">
        <v>1</v>
      </c>
      <c r="G28" s="24">
        <v>14</v>
      </c>
      <c r="H28" s="24">
        <v>0</v>
      </c>
      <c r="I28" s="24">
        <v>890</v>
      </c>
      <c r="J28" s="24">
        <v>3842</v>
      </c>
      <c r="K28" s="24">
        <v>4736</v>
      </c>
      <c r="L28" s="24">
        <v>10869</v>
      </c>
      <c r="M28" s="24">
        <v>18537</v>
      </c>
      <c r="N28" s="24">
        <v>49701</v>
      </c>
      <c r="O28" s="25" t="s">
        <v>32</v>
      </c>
    </row>
    <row r="29" spans="1:15" s="7" customFormat="1" ht="18.75" customHeight="1">
      <c r="A29" s="8">
        <v>2021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9">
        <v>2020</v>
      </c>
    </row>
    <row r="30" spans="1:15" s="7" customFormat="1" ht="18.75">
      <c r="A30" s="8" t="s">
        <v>0</v>
      </c>
      <c r="B30" s="10">
        <f>SUM(C30:N30)+1</f>
        <v>1321937</v>
      </c>
      <c r="C30" s="10">
        <f>SUM(C31:C32)</f>
        <v>92103</v>
      </c>
      <c r="D30" s="10">
        <f t="shared" ref="D30:N30" si="6">SUM(D31:D32)</f>
        <v>96882</v>
      </c>
      <c r="E30" s="10">
        <f t="shared" si="6"/>
        <v>109585</v>
      </c>
      <c r="F30" s="10">
        <f t="shared" si="6"/>
        <v>91200</v>
      </c>
      <c r="G30" s="10">
        <f t="shared" si="6"/>
        <v>64613</v>
      </c>
      <c r="H30" s="10">
        <f t="shared" si="6"/>
        <v>56166</v>
      </c>
      <c r="I30" s="10">
        <f t="shared" si="6"/>
        <v>101818</v>
      </c>
      <c r="J30" s="10">
        <f t="shared" si="6"/>
        <v>143599</v>
      </c>
      <c r="K30" s="10">
        <f t="shared" si="6"/>
        <v>114896</v>
      </c>
      <c r="L30" s="10">
        <f t="shared" si="6"/>
        <v>142066</v>
      </c>
      <c r="M30" s="10">
        <f t="shared" si="6"/>
        <v>144724</v>
      </c>
      <c r="N30" s="10">
        <f t="shared" si="6"/>
        <v>164284</v>
      </c>
      <c r="O30" s="11" t="s">
        <v>1</v>
      </c>
    </row>
    <row r="31" spans="1:15" ht="18.75">
      <c r="A31" s="12" t="s">
        <v>29</v>
      </c>
      <c r="B31" s="10">
        <f>SUM(C31:N31)</f>
        <v>655655</v>
      </c>
      <c r="C31" s="13">
        <v>44259</v>
      </c>
      <c r="D31" s="13">
        <v>46314</v>
      </c>
      <c r="E31" s="13">
        <v>52996</v>
      </c>
      <c r="F31" s="13">
        <v>46489</v>
      </c>
      <c r="G31" s="13">
        <v>30923</v>
      </c>
      <c r="H31" s="13">
        <v>26110</v>
      </c>
      <c r="I31" s="13">
        <v>48926</v>
      </c>
      <c r="J31" s="13">
        <v>78992</v>
      </c>
      <c r="K31" s="13">
        <v>61354</v>
      </c>
      <c r="L31" s="13">
        <v>69378</v>
      </c>
      <c r="M31" s="13">
        <v>70057</v>
      </c>
      <c r="N31" s="13">
        <v>79857</v>
      </c>
      <c r="O31" s="15" t="s">
        <v>30</v>
      </c>
    </row>
    <row r="32" spans="1:15" ht="18.75">
      <c r="A32" s="22" t="s">
        <v>31</v>
      </c>
      <c r="B32" s="23">
        <f>SUM(C32:N32)</f>
        <v>666281</v>
      </c>
      <c r="C32" s="24">
        <v>47844</v>
      </c>
      <c r="D32" s="24">
        <v>50568</v>
      </c>
      <c r="E32" s="24">
        <v>56589</v>
      </c>
      <c r="F32" s="24">
        <v>44711</v>
      </c>
      <c r="G32" s="24">
        <v>33690</v>
      </c>
      <c r="H32" s="24">
        <v>30056</v>
      </c>
      <c r="I32" s="24">
        <v>52892</v>
      </c>
      <c r="J32" s="24">
        <v>64607</v>
      </c>
      <c r="K32" s="24">
        <v>53542</v>
      </c>
      <c r="L32" s="24">
        <v>72688</v>
      </c>
      <c r="M32" s="24">
        <v>74667</v>
      </c>
      <c r="N32" s="24">
        <v>84427</v>
      </c>
      <c r="O32" s="25" t="s">
        <v>32</v>
      </c>
    </row>
    <row r="33" spans="1:41" ht="15.75">
      <c r="A33" s="26" t="s">
        <v>2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1"/>
      <c r="O33" s="28" t="s">
        <v>4</v>
      </c>
      <c r="AD33" s="3" t="s">
        <v>5</v>
      </c>
      <c r="AE33" s="3" t="s">
        <v>6</v>
      </c>
      <c r="AF33" s="3" t="s">
        <v>7</v>
      </c>
      <c r="AG33" s="3" t="s">
        <v>8</v>
      </c>
      <c r="AH33" s="3" t="s">
        <v>3</v>
      </c>
      <c r="AI33" s="3" t="s">
        <v>9</v>
      </c>
      <c r="AJ33" s="3" t="s">
        <v>10</v>
      </c>
      <c r="AK33" s="3" t="s">
        <v>11</v>
      </c>
      <c r="AL33" s="3" t="s">
        <v>12</v>
      </c>
      <c r="AM33" s="3" t="s">
        <v>13</v>
      </c>
      <c r="AN33" s="3" t="s">
        <v>14</v>
      </c>
      <c r="AO33" s="3" t="s">
        <v>15</v>
      </c>
    </row>
    <row r="34" spans="1:41" ht="15.75">
      <c r="A34" s="33" t="s">
        <v>33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1"/>
      <c r="O34" s="28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ht="15.75">
      <c r="A35" s="34" t="s">
        <v>34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1"/>
      <c r="O35" s="28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ht="15.75">
      <c r="A36" s="32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1"/>
      <c r="O36" s="28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41" spans="1:41" ht="18"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</row>
    <row r="46" spans="1:41">
      <c r="AJ46" s="12" t="s">
        <v>29</v>
      </c>
      <c r="AK46" s="16" t="s">
        <v>31</v>
      </c>
    </row>
    <row r="47" spans="1:41">
      <c r="AI47" s="1">
        <v>2015</v>
      </c>
      <c r="AJ47" s="29">
        <v>598458</v>
      </c>
      <c r="AK47" s="29">
        <v>635790</v>
      </c>
      <c r="AM47" s="30"/>
      <c r="AN47" s="30"/>
    </row>
    <row r="48" spans="1:41">
      <c r="AI48" s="1">
        <v>2016</v>
      </c>
      <c r="AJ48" s="29">
        <v>623657</v>
      </c>
      <c r="AK48" s="29">
        <v>662478</v>
      </c>
      <c r="AM48" s="30"/>
      <c r="AN48" s="30"/>
    </row>
    <row r="49" spans="35:40">
      <c r="AI49" s="1">
        <v>2017</v>
      </c>
      <c r="AJ49" s="29">
        <v>667286</v>
      </c>
      <c r="AK49" s="29">
        <v>722256</v>
      </c>
      <c r="AL49" s="31"/>
      <c r="AM49" s="30"/>
      <c r="AN49" s="30"/>
    </row>
    <row r="50" spans="35:40">
      <c r="AI50" s="1">
        <v>2018</v>
      </c>
      <c r="AJ50" s="30">
        <f>B19</f>
        <v>710256</v>
      </c>
      <c r="AK50" s="30">
        <f>B20</f>
        <v>774018</v>
      </c>
      <c r="AL50" s="31"/>
      <c r="AM50" s="30"/>
    </row>
    <row r="51" spans="35:40">
      <c r="AI51" s="1">
        <v>2019</v>
      </c>
      <c r="AJ51" s="30">
        <f>B23</f>
        <v>816083</v>
      </c>
      <c r="AK51" s="30">
        <f>B24</f>
        <v>886804</v>
      </c>
    </row>
    <row r="52" spans="35:40">
      <c r="AI52" s="1">
        <v>2020</v>
      </c>
      <c r="AJ52" s="30">
        <f>B27</f>
        <v>266811</v>
      </c>
      <c r="AK52" s="30">
        <f>B28</f>
        <v>288683</v>
      </c>
    </row>
    <row r="53" spans="35:40">
      <c r="AI53" s="1">
        <v>2021</v>
      </c>
      <c r="AJ53" s="30">
        <f>B31</f>
        <v>655655</v>
      </c>
      <c r="AK53" s="30">
        <f>B32</f>
        <v>666281</v>
      </c>
    </row>
  </sheetData>
  <mergeCells count="3">
    <mergeCell ref="A1:O1"/>
    <mergeCell ref="A2:O2"/>
    <mergeCell ref="A3:N3"/>
  </mergeCells>
  <pageMargins left="0.7" right="0.7" top="0.75" bottom="0.75" header="0.3" footer="0.3"/>
  <pageSetup paperSize="9" scale="71" orientation="landscape" horizontalDpi="4294967295" verticalDpi="4294967295" r:id="rId1"/>
  <rowBreaks count="2" manualBreakCount="2">
    <brk id="35" max="15" man="1"/>
    <brk id="70" max="15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10.8</vt:lpstr>
      <vt:lpstr>'10.8'!Print_Area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2023-01-29T05:45:14Z</cp:lastPrinted>
  <dcterms:created xsi:type="dcterms:W3CDTF">2019-02-27T06:18:18Z</dcterms:created>
  <dcterms:modified xsi:type="dcterms:W3CDTF">2023-01-29T05:45:38Z</dcterms:modified>
</cp:coreProperties>
</file>