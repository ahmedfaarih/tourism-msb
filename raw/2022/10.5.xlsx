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53FD1A46-7D24-4F76-A871-2D8A6DB2D02C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5" sheetId="5" r:id="rId1"/>
  </sheets>
  <externalReferences>
    <externalReference r:id="rId2"/>
  </externalReferences>
  <definedNames>
    <definedName name="_xlnm.Print_Area" localSheetId="0">'10.5'!$A$1:$L$38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5" l="1"/>
  <c r="I8" i="5"/>
  <c r="I9" i="5"/>
  <c r="I10" i="5"/>
  <c r="I11" i="5"/>
  <c r="I12" i="5"/>
  <c r="I13" i="5"/>
  <c r="I14" i="5"/>
  <c r="I15" i="5"/>
  <c r="I16" i="5"/>
  <c r="I17" i="5"/>
  <c r="I18" i="5"/>
  <c r="AK23" i="5" l="1"/>
  <c r="AL23" i="5"/>
  <c r="AK24" i="5"/>
  <c r="AL24" i="5"/>
  <c r="AK25" i="5"/>
  <c r="AL25" i="5"/>
  <c r="AK26" i="5"/>
  <c r="AL26" i="5"/>
  <c r="AK27" i="5"/>
  <c r="AL27" i="5"/>
  <c r="AK28" i="5"/>
  <c r="AL28" i="5"/>
  <c r="AK29" i="5"/>
  <c r="AL29" i="5"/>
  <c r="AK30" i="5"/>
  <c r="AL30" i="5"/>
  <c r="AK31" i="5"/>
  <c r="AL31" i="5"/>
  <c r="AK32" i="5"/>
  <c r="AL32" i="5"/>
  <c r="AK33" i="5"/>
  <c r="AL33" i="5"/>
  <c r="AL22" i="5"/>
  <c r="AK22" i="5"/>
  <c r="K6" i="5"/>
  <c r="J6" i="5"/>
  <c r="I6" i="5"/>
  <c r="H6" i="5"/>
  <c r="G6" i="5"/>
  <c r="F6" i="5" l="1"/>
  <c r="E6" i="5"/>
  <c r="D6" i="5"/>
  <c r="C6" i="5"/>
  <c r="B6" i="5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<sst xmlns="http://schemas.openxmlformats.org/spreadsheetml/2006/main" count="54" uniqueCount="42">
  <si>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</si>
  <si>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</si>
  <si>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</si>
  <si>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</si>
  <si>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</si>
  <si>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</si>
  <si>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</si>
  <si>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</si>
  <si>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</si>
  <si>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</si>
  <si>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</si>
  <si>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</si>
  <si>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</si>
  <si>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</si>
  <si>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</si>
  <si>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</si>
  <si>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</si>
  <si>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</si>
  <si>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</si>
  <si>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</si>
  <si>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</si>
  <si>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</si>
  <si>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</si>
  <si>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</si>
  <si>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</si>
  <si>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</si>
  <si>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</si>
  <si>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</si>
  <si>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</si>
  <si>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</si>
  <si>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</si>
  <si>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</si>
  <si>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</si>
  <si>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</si>
  <si>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</si>
  <si>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</si>
  <si>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</si>
  <si>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</si>
  <si>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</si>
  <si>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</si>
  <si>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2021 - 2020  ,urwvcnim unuverukcnunEb wgWjegudnea iaWa wgWj egudnea egukwtWToh uhwmcswmikea : 10.5 ulwvWt</t>
  </si>
  <si>
    <t>Table  10.5: BED CAPACITY AND UTILIZATION OF HOTELS BY MONTH, 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</si>
</sst>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0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3" fillId="0" borderId="0"/>
    <xf numFmtId="0" fontId="20" fillId="0" borderId="0" applyFill="0" applyProtection="0"/>
  </cellStyleXfs>
  <cellXfs count="44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164" fontId="11" fillId="2" borderId="0" xfId="0" applyNumberFormat="1" applyFont="1" applyFill="1"/>
    <xf numFmtId="0" fontId="18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right" vertical="center" wrapText="1"/>
    </xf>
    <xf numFmtId="37" fontId="8" fillId="2" borderId="7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35">
    <cellStyle name="1" xfId="5" xr:uid="{00000000-0005-0000-0000-000000000000}"/>
    <cellStyle name="Comma 2" xfId="19" xr:uid="{00000000-0005-0000-0000-000002000000}"/>
    <cellStyle name="Comma 2 2 2 5" xfId="27" xr:uid="{923A80DF-8391-490C-A9FC-9B04BA3FF02C}"/>
    <cellStyle name="Comma 3" xfId="6" xr:uid="{00000000-0005-0000-0000-000003000000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3" xfId="21" xr:uid="{2E2FEFD2-ABBD-420D-8461-C8F503FDA24A}"/>
    <cellStyle name="Normal 2 3" xfId="23" xr:uid="{48422FEC-E0BC-428C-9750-2D76D2E13FBF}"/>
    <cellStyle name="Normal 2 3 2" xfId="34" xr:uid="{53720891-5BB7-4072-A4AA-9D579EA571CD}"/>
    <cellStyle name="Normal 2 4" xfId="25" xr:uid="{84E1C268-3A16-4FB7-A335-F22068D33369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3" xfId="30" xr:uid="{6720CF7E-3D28-49D4-A4F3-23A341275CC3}"/>
    <cellStyle name="Normal 5" xfId="11" xr:uid="{00000000-0005-0000-0000-00000E000000}"/>
    <cellStyle name="Normal 5 2" xfId="3" xr:uid="{00000000-0005-0000-0000-00000F000000}"/>
    <cellStyle name="Normal 5 3" xfId="28" xr:uid="{F16A05F5-F806-4902-9DAF-1592A0EB3B8F}"/>
    <cellStyle name="Normal 6" xfId="16" xr:uid="{00000000-0005-0000-0000-000010000000}"/>
    <cellStyle name="Normal 6 2" xfId="32" xr:uid="{28DCBC0B-46D7-4D92-ADC4-A6E5B7FB0383}"/>
    <cellStyle name="Normal 7" xfId="17" xr:uid="{00000000-0005-0000-0000-000011000000}"/>
    <cellStyle name="Normal 7 2" xfId="33" xr:uid="{F94E59D5-A861-4070-A967-F13E24BDD6F0}"/>
    <cellStyle name="Normal 8" xfId="18" xr:uid="{00000000-0005-0000-0000-000012000000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2021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35898448050194"/>
          <c:y val="3.1908664478164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0754032938865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'10.5'!$AK$21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'10.5'!$AJ$22:$AJ$33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'10.5'!$AK$22:$AK$33</c:f>
              <c:numCache>
                <c:formatCode>#,##0</c:formatCode>
                <c:ptCount val="12"/>
                <c:pt idx="0">
                  <c:v>1698</c:v>
                </c:pt>
                <c:pt idx="1">
                  <c:v>1698</c:v>
                </c:pt>
                <c:pt idx="2">
                  <c:v>1698</c:v>
                </c:pt>
                <c:pt idx="3">
                  <c:v>1698</c:v>
                </c:pt>
                <c:pt idx="4">
                  <c:v>1600</c:v>
                </c:pt>
                <c:pt idx="5">
                  <c:v>1528</c:v>
                </c:pt>
                <c:pt idx="6">
                  <c:v>1508</c:v>
                </c:pt>
                <c:pt idx="7">
                  <c:v>1508</c:v>
                </c:pt>
                <c:pt idx="8">
                  <c:v>1508</c:v>
                </c:pt>
                <c:pt idx="9">
                  <c:v>1508</c:v>
                </c:pt>
                <c:pt idx="10">
                  <c:v>1508</c:v>
                </c:pt>
                <c:pt idx="11">
                  <c:v>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'10.5'!$AL$21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FFD5D5"/>
            </a:solidFill>
            <a:ln>
              <a:noFill/>
            </a:ln>
            <a:effectLst/>
          </c:spPr>
          <c:invertIfNegative val="0"/>
          <c:cat>
            <c:strRef>
              <c:f>'10.5'!$AJ$22:$AJ$33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'10.5'!$AL$22:$AL$33</c:f>
              <c:numCache>
                <c:formatCode>#,##0</c:formatCode>
                <c:ptCount val="12"/>
                <c:pt idx="0">
                  <c:v>1478</c:v>
                </c:pt>
                <c:pt idx="1">
                  <c:v>1478</c:v>
                </c:pt>
                <c:pt idx="2">
                  <c:v>1478</c:v>
                </c:pt>
                <c:pt idx="3">
                  <c:v>1478</c:v>
                </c:pt>
                <c:pt idx="4">
                  <c:v>1360</c:v>
                </c:pt>
                <c:pt idx="5">
                  <c:v>1360</c:v>
                </c:pt>
                <c:pt idx="6">
                  <c:v>1360</c:v>
                </c:pt>
                <c:pt idx="7">
                  <c:v>1360</c:v>
                </c:pt>
                <c:pt idx="8">
                  <c:v>1360</c:v>
                </c:pt>
                <c:pt idx="9">
                  <c:v>1360</c:v>
                </c:pt>
                <c:pt idx="10">
                  <c:v>1360</c:v>
                </c:pt>
                <c:pt idx="11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542659597631621"/>
          <c:y val="0.92567819373455529"/>
          <c:w val="0.3626495480369788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533397</xdr:colOff>
      <xdr:row>21</xdr:row>
      <xdr:rowOff>152400</xdr:rowOff>
    </xdr:from>
    <xdr:to>
      <xdr:col>9</xdr:col>
      <xdr:colOff>752475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N73"/>
  <sheetViews>
    <sheetView tabSelected="1" zoomScaleNormal="100" workbookViewId="0">
      <selection activeCell="P10" sqref="P10"/>
    </sheetView>
  </sheetViews>
  <sheetFormatPr defaultColWidth="9.140625" defaultRowHeight="12"/>
  <cols>
    <col min="1" max="1" width="13.7109375" style="6" customWidth="1"/>
    <col min="2" max="11" width="13.42578125" style="6" customWidth="1"/>
    <col min="12" max="12" width="2.28515625" style="6" customWidth="1"/>
    <col min="13" max="16384" width="9.140625" style="6"/>
  </cols>
  <sheetData>
    <row r="1" spans="1:33" ht="17.25" customHeight="1">
      <c r="A1" s="43" t="s">
        <v>40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33" ht="24" customHeight="1">
      <c r="A2" s="42" t="s">
        <v>41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28"/>
    </row>
    <row r="3" spans="1:33" s="7" customFormat="1" ht="18.75" customHeight="1">
      <c r="A3" s="37" t="s">
        <v>2</v>
      </c>
      <c r="B3" s="40">
        <v>2020</v>
      </c>
      <c r="C3" s="41"/>
      <c r="D3" s="41"/>
      <c r="E3" s="41"/>
      <c r="F3" s="41"/>
      <c r="G3" s="40">
        <v>2021</v>
      </c>
      <c r="H3" s="41"/>
      <c r="I3" s="41"/>
      <c r="J3" s="41"/>
      <c r="K3" s="41"/>
      <c r="L3" s="29"/>
    </row>
    <row r="4" spans="1:33" s="7" customFormat="1" ht="72" customHeight="1">
      <c r="A4" s="38"/>
      <c r="B4" s="8" t="s">
        <v>3</v>
      </c>
      <c r="C4" s="9" t="s">
        <v>4</v>
      </c>
      <c r="D4" s="9" t="s">
        <v>1</v>
      </c>
      <c r="E4" s="9" t="s">
        <v>5</v>
      </c>
      <c r="F4" s="34" t="s">
        <v>6</v>
      </c>
      <c r="G4" s="8" t="s">
        <v>3</v>
      </c>
      <c r="H4" s="9" t="s">
        <v>4</v>
      </c>
      <c r="I4" s="9" t="s">
        <v>1</v>
      </c>
      <c r="J4" s="9" t="s">
        <v>5</v>
      </c>
      <c r="K4" s="34" t="s">
        <v>6</v>
      </c>
      <c r="L4" s="29"/>
    </row>
    <row r="5" spans="1:33" s="7" customFormat="1" ht="46.5" customHeight="1">
      <c r="A5" s="39"/>
      <c r="B5" s="33" t="s">
        <v>11</v>
      </c>
      <c r="C5" s="30" t="s">
        <v>7</v>
      </c>
      <c r="D5" s="30" t="s">
        <v>8</v>
      </c>
      <c r="E5" s="30" t="s">
        <v>9</v>
      </c>
      <c r="F5" s="30" t="s">
        <v>10</v>
      </c>
      <c r="G5" s="33" t="s">
        <v>11</v>
      </c>
      <c r="H5" s="30" t="s">
        <v>7</v>
      </c>
      <c r="I5" s="30" t="s">
        <v>8</v>
      </c>
      <c r="J5" s="30" t="s">
        <v>9</v>
      </c>
      <c r="K5" s="30" t="s">
        <v>10</v>
      </c>
      <c r="L5" s="29"/>
    </row>
    <row r="6" spans="1:33" s="7" customFormat="1" ht="15.75" customHeight="1">
      <c r="A6" s="10" t="s">
        <v>12</v>
      </c>
      <c r="B6" s="11">
        <f>AVERAGE(B7:B18)</f>
        <v>1698</v>
      </c>
      <c r="C6" s="12">
        <f>AVERAGE(C7:C18)</f>
        <v>1032.5</v>
      </c>
      <c r="D6" s="13">
        <f>AVERAGE(D7:D18)</f>
        <v>60.80683156654888</v>
      </c>
      <c r="E6" s="13">
        <f>AVERAGE(E7:E18)</f>
        <v>17.074461530906429</v>
      </c>
      <c r="F6" s="2">
        <f>SUM(F7:F18)</f>
        <v>100047.94144871892</v>
      </c>
      <c r="G6" s="11">
        <f>AVERAGE(G7:G18)</f>
        <v>1580.6666666666667</v>
      </c>
      <c r="H6" s="12">
        <f>AVERAGE(H7:H18)</f>
        <v>1399.3333333333333</v>
      </c>
      <c r="I6" s="13">
        <f>AVERAGE(I7:I18)</f>
        <v>88.607801390846546</v>
      </c>
      <c r="J6" s="13">
        <f>AVERAGE(J7:J18)</f>
        <v>17.066666666666663</v>
      </c>
      <c r="K6" s="2">
        <f>SUM(K7:K18)</f>
        <v>213230</v>
      </c>
      <c r="L6" s="29"/>
    </row>
    <row r="7" spans="1:33" s="7" customFormat="1" ht="16.5" customHeight="1">
      <c r="A7" s="14" t="s">
        <v>13</v>
      </c>
      <c r="B7" s="15">
        <v>1698</v>
      </c>
      <c r="C7" s="3">
        <v>1698</v>
      </c>
      <c r="D7" s="16">
        <v>100</v>
      </c>
      <c r="E7" s="16">
        <v>59.607833391321627</v>
      </c>
      <c r="F7" s="4">
        <v>31376.371340523881</v>
      </c>
      <c r="G7" s="15">
        <v>1698</v>
      </c>
      <c r="H7" s="3">
        <v>1478</v>
      </c>
      <c r="I7" s="16">
        <f>H7/G7*100</f>
        <v>87.043580683156648</v>
      </c>
      <c r="J7" s="16">
        <v>59.6</v>
      </c>
      <c r="K7" s="4">
        <v>14530</v>
      </c>
      <c r="L7" s="29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spans="1:33" s="7" customFormat="1" ht="16.5" customHeight="1">
      <c r="A8" s="14" t="s">
        <v>14</v>
      </c>
      <c r="B8" s="15">
        <v>1698</v>
      </c>
      <c r="C8" s="3">
        <v>1698</v>
      </c>
      <c r="D8" s="16">
        <v>100</v>
      </c>
      <c r="E8" s="16">
        <v>56.992503748125941</v>
      </c>
      <c r="F8" s="4">
        <v>28064.248695652175</v>
      </c>
      <c r="G8" s="15">
        <v>1698</v>
      </c>
      <c r="H8" s="3">
        <v>1478</v>
      </c>
      <c r="I8" s="16">
        <f t="shared" ref="I8:I18" si="0">H8/G8*100</f>
        <v>87.043580683156648</v>
      </c>
      <c r="J8" s="16">
        <v>57</v>
      </c>
      <c r="K8" s="4">
        <v>16443</v>
      </c>
      <c r="L8" s="29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spans="1:33" s="7" customFormat="1" ht="16.5" customHeight="1">
      <c r="A9" s="14" t="s">
        <v>15</v>
      </c>
      <c r="B9" s="15">
        <v>1698</v>
      </c>
      <c r="C9" s="3">
        <v>1698</v>
      </c>
      <c r="D9" s="16">
        <v>100</v>
      </c>
      <c r="E9" s="16">
        <v>26.706872370266478</v>
      </c>
      <c r="F9" s="4">
        <v>14057.96347826087</v>
      </c>
      <c r="G9" s="15">
        <v>1698</v>
      </c>
      <c r="H9" s="3">
        <v>1478</v>
      </c>
      <c r="I9" s="16">
        <f t="shared" si="0"/>
        <v>87.043580683156648</v>
      </c>
      <c r="J9" s="16">
        <v>26.7</v>
      </c>
      <c r="K9" s="4">
        <v>17520</v>
      </c>
      <c r="L9" s="29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spans="1:33" s="7" customFormat="1" ht="16.5" customHeight="1">
      <c r="A10" s="14" t="s">
        <v>16</v>
      </c>
      <c r="B10" s="15">
        <v>1698</v>
      </c>
      <c r="C10" s="3">
        <v>336</v>
      </c>
      <c r="D10" s="16">
        <v>19.78798586572438</v>
      </c>
      <c r="E10" s="16">
        <v>0.54563492063492058</v>
      </c>
      <c r="F10" s="4">
        <v>55</v>
      </c>
      <c r="G10" s="15">
        <v>1698</v>
      </c>
      <c r="H10" s="3">
        <v>1478</v>
      </c>
      <c r="I10" s="16">
        <f t="shared" si="0"/>
        <v>87.043580683156648</v>
      </c>
      <c r="J10" s="16">
        <v>0.5</v>
      </c>
      <c r="K10" s="4">
        <v>14063</v>
      </c>
      <c r="L10" s="29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 spans="1:33" s="7" customFormat="1" ht="16.5" customHeight="1">
      <c r="A11" s="14" t="s">
        <v>17</v>
      </c>
      <c r="B11" s="15">
        <v>1698</v>
      </c>
      <c r="C11" s="3">
        <v>0</v>
      </c>
      <c r="D11" s="16">
        <v>0</v>
      </c>
      <c r="E11" s="16">
        <v>0</v>
      </c>
      <c r="F11" s="4">
        <v>0</v>
      </c>
      <c r="G11" s="15">
        <v>1600</v>
      </c>
      <c r="H11" s="3">
        <v>1360</v>
      </c>
      <c r="I11" s="16">
        <f t="shared" si="0"/>
        <v>85</v>
      </c>
      <c r="J11" s="16">
        <v>0</v>
      </c>
      <c r="K11" s="4">
        <v>11133</v>
      </c>
      <c r="L11" s="29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 spans="1:33" s="7" customFormat="1" ht="16.5" customHeight="1">
      <c r="A12" s="14" t="s">
        <v>18</v>
      </c>
      <c r="B12" s="15">
        <v>1698</v>
      </c>
      <c r="C12" s="3">
        <v>0</v>
      </c>
      <c r="D12" s="16">
        <v>0</v>
      </c>
      <c r="E12" s="16">
        <v>0</v>
      </c>
      <c r="F12" s="4">
        <v>0</v>
      </c>
      <c r="G12" s="15">
        <v>1528</v>
      </c>
      <c r="H12" s="3">
        <v>1360</v>
      </c>
      <c r="I12" s="16">
        <f t="shared" si="0"/>
        <v>89.005235602094245</v>
      </c>
      <c r="J12" s="16">
        <v>0</v>
      </c>
      <c r="K12" s="4">
        <v>7821</v>
      </c>
      <c r="L12" s="29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spans="1:33" s="7" customFormat="1" ht="16.5" customHeight="1">
      <c r="A13" s="14" t="s">
        <v>19</v>
      </c>
      <c r="B13" s="15">
        <v>1698</v>
      </c>
      <c r="C13" s="3">
        <v>252</v>
      </c>
      <c r="D13" s="16">
        <v>14.840989399293287</v>
      </c>
      <c r="E13" s="16">
        <v>0</v>
      </c>
      <c r="F13" s="4">
        <v>0</v>
      </c>
      <c r="G13" s="15">
        <v>1508</v>
      </c>
      <c r="H13" s="3">
        <v>1360</v>
      </c>
      <c r="I13" s="16">
        <f t="shared" si="0"/>
        <v>90.185676392572944</v>
      </c>
      <c r="J13" s="16">
        <v>0</v>
      </c>
      <c r="K13" s="4">
        <v>14364</v>
      </c>
      <c r="L13" s="29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</row>
    <row r="14" spans="1:33" s="7" customFormat="1" ht="16.5" customHeight="1">
      <c r="A14" s="14" t="s">
        <v>20</v>
      </c>
      <c r="B14" s="15">
        <v>1698</v>
      </c>
      <c r="C14" s="3">
        <v>956</v>
      </c>
      <c r="D14" s="16">
        <v>56.301531213191993</v>
      </c>
      <c r="E14" s="16">
        <v>5.6451612903225801</v>
      </c>
      <c r="F14" s="4">
        <v>1673</v>
      </c>
      <c r="G14" s="15">
        <v>1508</v>
      </c>
      <c r="H14" s="3">
        <v>1360</v>
      </c>
      <c r="I14" s="16">
        <f t="shared" si="0"/>
        <v>90.185676392572944</v>
      </c>
      <c r="J14" s="16">
        <v>5.6</v>
      </c>
      <c r="K14" s="4">
        <v>28098</v>
      </c>
      <c r="L14" s="29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</row>
    <row r="15" spans="1:33" s="7" customFormat="1" ht="16.5" customHeight="1">
      <c r="A15" s="14" t="s">
        <v>21</v>
      </c>
      <c r="B15" s="15">
        <v>1698</v>
      </c>
      <c r="C15" s="3">
        <v>1318</v>
      </c>
      <c r="D15" s="16">
        <v>77.620730270906947</v>
      </c>
      <c r="E15" s="16">
        <v>5.6497175141242941</v>
      </c>
      <c r="F15" s="4">
        <v>2233.898305084746</v>
      </c>
      <c r="G15" s="15">
        <v>1508</v>
      </c>
      <c r="H15" s="3">
        <v>1360</v>
      </c>
      <c r="I15" s="16">
        <f t="shared" si="0"/>
        <v>90.185676392572944</v>
      </c>
      <c r="J15" s="16">
        <v>5.6</v>
      </c>
      <c r="K15" s="4">
        <v>19449</v>
      </c>
      <c r="L15" s="29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</row>
    <row r="16" spans="1:33" s="7" customFormat="1" ht="16.5" customHeight="1">
      <c r="A16" s="14" t="s">
        <v>22</v>
      </c>
      <c r="B16" s="15">
        <v>1698</v>
      </c>
      <c r="C16" s="3">
        <v>1478</v>
      </c>
      <c r="D16" s="16">
        <v>87.043580683156648</v>
      </c>
      <c r="E16" s="16">
        <v>7.1919619249074573</v>
      </c>
      <c r="F16" s="4">
        <v>3295.2131147540986</v>
      </c>
      <c r="G16" s="15">
        <v>1508</v>
      </c>
      <c r="H16" s="3">
        <v>1360</v>
      </c>
      <c r="I16" s="16">
        <f t="shared" si="0"/>
        <v>90.185676392572944</v>
      </c>
      <c r="J16" s="16">
        <v>7.2</v>
      </c>
      <c r="K16" s="4">
        <v>24153</v>
      </c>
      <c r="L16" s="2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</row>
    <row r="17" spans="1:40" s="7" customFormat="1" ht="16.5" customHeight="1">
      <c r="A17" s="14" t="s">
        <v>23</v>
      </c>
      <c r="B17" s="15">
        <v>1698</v>
      </c>
      <c r="C17" s="3">
        <v>1478</v>
      </c>
      <c r="D17" s="16">
        <v>87.043580683156648</v>
      </c>
      <c r="E17" s="16">
        <v>13.87536873156342</v>
      </c>
      <c r="F17" s="4">
        <v>6152.3384955752208</v>
      </c>
      <c r="G17" s="15">
        <v>1508</v>
      </c>
      <c r="H17" s="3">
        <v>1360</v>
      </c>
      <c r="I17" s="16">
        <f t="shared" si="0"/>
        <v>90.185676392572944</v>
      </c>
      <c r="J17" s="16">
        <v>13.9</v>
      </c>
      <c r="K17" s="4">
        <v>25592</v>
      </c>
      <c r="L17" s="29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spans="1:40" s="7" customFormat="1" ht="16.5" customHeight="1">
      <c r="A18" s="17" t="s">
        <v>24</v>
      </c>
      <c r="B18" s="18">
        <v>1698</v>
      </c>
      <c r="C18" s="19">
        <v>1478</v>
      </c>
      <c r="D18" s="20">
        <v>87.043580683156648</v>
      </c>
      <c r="E18" s="20">
        <v>28.678484479610468</v>
      </c>
      <c r="F18" s="5">
        <v>13139.908018867925</v>
      </c>
      <c r="G18" s="18">
        <v>1508</v>
      </c>
      <c r="H18" s="19">
        <v>1360</v>
      </c>
      <c r="I18" s="20">
        <f t="shared" si="0"/>
        <v>90.185676392572944</v>
      </c>
      <c r="J18" s="20">
        <v>28.7</v>
      </c>
      <c r="K18" s="5">
        <v>20064</v>
      </c>
      <c r="L18" s="29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 spans="1:40" ht="19.5" customHeight="1">
      <c r="A19" s="1" t="s">
        <v>0</v>
      </c>
      <c r="B19" s="21"/>
      <c r="C19" s="21"/>
      <c r="D19" s="22"/>
      <c r="F19" s="32"/>
      <c r="G19" s="21"/>
      <c r="H19" s="21"/>
      <c r="I19" s="22"/>
      <c r="K19" s="32" t="s">
        <v>25</v>
      </c>
      <c r="L19" s="29"/>
      <c r="AI19" s="7"/>
      <c r="AJ19" s="7"/>
      <c r="AK19" s="7"/>
      <c r="AL19" s="7"/>
      <c r="AM19" s="7"/>
    </row>
    <row r="20" spans="1:40" ht="12.75" customHeight="1">
      <c r="A20" s="35" t="s">
        <v>38</v>
      </c>
      <c r="B20" s="27"/>
      <c r="C20" s="29"/>
      <c r="D20" s="29"/>
      <c r="E20" s="29"/>
      <c r="F20" s="29"/>
      <c r="G20" s="27"/>
      <c r="H20" s="29"/>
      <c r="I20" s="29"/>
      <c r="J20" s="29"/>
      <c r="K20" s="29"/>
      <c r="L20" s="29"/>
      <c r="AI20" s="7"/>
      <c r="AJ20" s="7"/>
      <c r="AK20" s="7"/>
      <c r="AL20" s="7"/>
      <c r="AM20" s="7"/>
    </row>
    <row r="21" spans="1:40" ht="12.75" customHeight="1">
      <c r="A21" s="36" t="s">
        <v>39</v>
      </c>
      <c r="B21" s="27"/>
      <c r="C21" s="29"/>
      <c r="D21" s="29"/>
      <c r="E21" s="29"/>
      <c r="F21" s="29"/>
      <c r="G21" s="27"/>
      <c r="H21" s="29"/>
      <c r="I21" s="29"/>
      <c r="J21" s="29"/>
      <c r="K21" s="29"/>
      <c r="L21" s="29"/>
      <c r="AK21" s="23" t="s">
        <v>11</v>
      </c>
      <c r="AL21" s="23" t="s">
        <v>26</v>
      </c>
    </row>
    <row r="22" spans="1:40" ht="18.75" customHeight="1">
      <c r="A22" s="24"/>
      <c r="B22" s="27"/>
      <c r="C22" s="29"/>
      <c r="D22" s="29"/>
      <c r="E22" s="29"/>
      <c r="F22" s="29"/>
      <c r="G22" s="27"/>
      <c r="H22" s="29"/>
      <c r="I22" s="29"/>
      <c r="J22" s="29"/>
      <c r="K22" s="29"/>
      <c r="L22" s="29"/>
      <c r="AJ22" s="24" t="s">
        <v>27</v>
      </c>
      <c r="AK22" s="15">
        <f>G7</f>
        <v>1698</v>
      </c>
      <c r="AL22" s="15">
        <f>H7</f>
        <v>1478</v>
      </c>
    </row>
    <row r="23" spans="1:40" ht="18.75" customHeight="1">
      <c r="A23" s="24"/>
      <c r="B23" s="27"/>
      <c r="C23" s="29"/>
      <c r="D23" s="29"/>
      <c r="E23" s="29"/>
      <c r="F23" s="29"/>
      <c r="G23" s="27"/>
      <c r="H23" s="29"/>
      <c r="I23" s="29"/>
      <c r="J23" s="29"/>
      <c r="K23" s="29"/>
      <c r="L23" s="29"/>
      <c r="AJ23" s="24" t="s">
        <v>28</v>
      </c>
      <c r="AK23" s="15">
        <f t="shared" ref="AK23:AL23" si="1">G8</f>
        <v>1698</v>
      </c>
      <c r="AL23" s="15">
        <f t="shared" si="1"/>
        <v>1478</v>
      </c>
    </row>
    <row r="24" spans="1:40" ht="18.75" customHeight="1">
      <c r="A24" s="24"/>
      <c r="B24" s="27"/>
      <c r="C24" s="29"/>
      <c r="D24" s="29"/>
      <c r="E24" s="29"/>
      <c r="F24" s="29"/>
      <c r="G24" s="27"/>
      <c r="H24" s="29"/>
      <c r="I24" s="29"/>
      <c r="J24" s="29"/>
      <c r="K24" s="29"/>
      <c r="L24" s="29"/>
      <c r="AJ24" s="24" t="s">
        <v>29</v>
      </c>
      <c r="AK24" s="15">
        <f t="shared" ref="AK24:AL24" si="2">G9</f>
        <v>1698</v>
      </c>
      <c r="AL24" s="15">
        <f t="shared" si="2"/>
        <v>1478</v>
      </c>
    </row>
    <row r="25" spans="1:40" ht="18.75" customHeight="1">
      <c r="A25" s="24"/>
      <c r="B25" s="27"/>
      <c r="C25" s="29"/>
      <c r="D25" s="29"/>
      <c r="E25" s="29"/>
      <c r="F25" s="29"/>
      <c r="G25" s="27"/>
      <c r="H25" s="29"/>
      <c r="I25" s="29"/>
      <c r="J25" s="29"/>
      <c r="K25" s="29"/>
      <c r="L25" s="29"/>
      <c r="AJ25" s="24" t="s">
        <v>30</v>
      </c>
      <c r="AK25" s="15">
        <f t="shared" ref="AK25:AL25" si="3">G10</f>
        <v>1698</v>
      </c>
      <c r="AL25" s="15">
        <f t="shared" si="3"/>
        <v>1478</v>
      </c>
      <c r="AN25" s="26"/>
    </row>
    <row r="26" spans="1:40" ht="18.75" customHeight="1">
      <c r="A26" s="24"/>
      <c r="B26" s="25"/>
      <c r="C26" s="16"/>
      <c r="D26" s="16"/>
      <c r="E26" s="16"/>
      <c r="F26" s="16"/>
      <c r="G26" s="25"/>
      <c r="H26" s="16"/>
      <c r="I26" s="16"/>
      <c r="J26" s="16"/>
      <c r="K26" s="16"/>
      <c r="L26" s="16"/>
      <c r="AJ26" s="24" t="s">
        <v>17</v>
      </c>
      <c r="AK26" s="15">
        <f t="shared" ref="AK26:AL26" si="4">G11</f>
        <v>1600</v>
      </c>
      <c r="AL26" s="15">
        <f t="shared" si="4"/>
        <v>1360</v>
      </c>
      <c r="AN26" s="26"/>
    </row>
    <row r="27" spans="1:40" ht="18.75" customHeight="1">
      <c r="A27" s="24"/>
      <c r="B27" s="27"/>
      <c r="C27" s="16"/>
      <c r="D27" s="16"/>
      <c r="E27" s="16"/>
      <c r="F27" s="16"/>
      <c r="G27" s="27"/>
      <c r="H27" s="16"/>
      <c r="I27" s="16"/>
      <c r="J27" s="16"/>
      <c r="K27" s="16"/>
      <c r="L27" s="16"/>
      <c r="AJ27" s="24" t="s">
        <v>31</v>
      </c>
      <c r="AK27" s="15">
        <f t="shared" ref="AK27:AL27" si="5">G12</f>
        <v>1528</v>
      </c>
      <c r="AL27" s="15">
        <f t="shared" si="5"/>
        <v>1360</v>
      </c>
      <c r="AN27" s="26"/>
    </row>
    <row r="28" spans="1:40" ht="18.75" customHeight="1">
      <c r="A28" s="24"/>
      <c r="B28" s="27"/>
      <c r="C28" s="16"/>
      <c r="D28" s="16"/>
      <c r="E28" s="16"/>
      <c r="F28" s="16"/>
      <c r="G28" s="27"/>
      <c r="H28" s="16"/>
      <c r="I28" s="16"/>
      <c r="J28" s="16"/>
      <c r="K28" s="16"/>
      <c r="L28" s="16"/>
      <c r="AJ28" s="24" t="s">
        <v>32</v>
      </c>
      <c r="AK28" s="15">
        <f t="shared" ref="AK28:AL28" si="6">G13</f>
        <v>1508</v>
      </c>
      <c r="AL28" s="15">
        <f t="shared" si="6"/>
        <v>1360</v>
      </c>
      <c r="AN28" s="26"/>
    </row>
    <row r="29" spans="1:40" ht="18.75" customHeight="1">
      <c r="A29" s="24"/>
      <c r="B29" s="27"/>
      <c r="C29" s="16"/>
      <c r="D29" s="16"/>
      <c r="E29" s="16"/>
      <c r="F29" s="16"/>
      <c r="G29" s="27"/>
      <c r="H29" s="16"/>
      <c r="I29" s="16"/>
      <c r="J29" s="16"/>
      <c r="K29" s="16"/>
      <c r="L29" s="16"/>
      <c r="AJ29" s="24" t="s">
        <v>33</v>
      </c>
      <c r="AK29" s="15">
        <f t="shared" ref="AK29:AL29" si="7">G14</f>
        <v>1508</v>
      </c>
      <c r="AL29" s="15">
        <f t="shared" si="7"/>
        <v>1360</v>
      </c>
      <c r="AN29" s="26"/>
    </row>
    <row r="30" spans="1:40" ht="18.75" customHeight="1">
      <c r="A30" s="24"/>
      <c r="B30" s="27"/>
      <c r="C30" s="16"/>
      <c r="D30" s="16"/>
      <c r="E30" s="16"/>
      <c r="F30" s="16"/>
      <c r="G30" s="27"/>
      <c r="H30" s="16"/>
      <c r="I30" s="16"/>
      <c r="J30" s="16"/>
      <c r="K30" s="16"/>
      <c r="L30" s="16"/>
      <c r="AJ30" s="24" t="s">
        <v>34</v>
      </c>
      <c r="AK30" s="15">
        <f t="shared" ref="AK30:AL30" si="8">G15</f>
        <v>1508</v>
      </c>
      <c r="AL30" s="15">
        <f t="shared" si="8"/>
        <v>1360</v>
      </c>
      <c r="AN30" s="26"/>
    </row>
    <row r="31" spans="1:40" ht="18.75" customHeight="1">
      <c r="A31" s="24"/>
      <c r="B31" s="27"/>
      <c r="C31" s="16"/>
      <c r="D31" s="16"/>
      <c r="E31" s="16"/>
      <c r="F31" s="16"/>
      <c r="G31" s="27"/>
      <c r="H31" s="16"/>
      <c r="I31" s="16"/>
      <c r="J31" s="16"/>
      <c r="K31" s="16"/>
      <c r="L31" s="16"/>
      <c r="AJ31" s="24" t="s">
        <v>35</v>
      </c>
      <c r="AK31" s="15">
        <f t="shared" ref="AK31:AL31" si="9">G16</f>
        <v>1508</v>
      </c>
      <c r="AL31" s="15">
        <f t="shared" si="9"/>
        <v>1360</v>
      </c>
      <c r="AN31" s="26"/>
    </row>
    <row r="32" spans="1:40" ht="9.75" customHeight="1">
      <c r="A32" s="24"/>
      <c r="B32" s="27"/>
      <c r="C32" s="16"/>
      <c r="D32" s="16"/>
      <c r="E32" s="16"/>
      <c r="F32" s="16"/>
      <c r="G32" s="27"/>
      <c r="H32" s="16"/>
      <c r="I32" s="16"/>
      <c r="J32" s="16"/>
      <c r="K32" s="16"/>
      <c r="L32" s="16"/>
      <c r="AJ32" s="24" t="s">
        <v>36</v>
      </c>
      <c r="AK32" s="15">
        <f t="shared" ref="AK32:AL32" si="10">G17</f>
        <v>1508</v>
      </c>
      <c r="AL32" s="15">
        <f t="shared" si="10"/>
        <v>1360</v>
      </c>
      <c r="AN32" s="26"/>
    </row>
    <row r="33" spans="1:40" ht="18.75" customHeight="1">
      <c r="A33" s="24"/>
      <c r="B33" s="27"/>
      <c r="C33" s="16"/>
      <c r="D33" s="16"/>
      <c r="E33" s="16"/>
      <c r="F33" s="16"/>
      <c r="G33" s="27"/>
      <c r="H33" s="16"/>
      <c r="I33" s="16"/>
      <c r="J33" s="16"/>
      <c r="K33" s="16"/>
      <c r="L33" s="16"/>
      <c r="AJ33" s="24" t="s">
        <v>37</v>
      </c>
      <c r="AK33" s="15">
        <f t="shared" ref="AK33:AL33" si="11">G18</f>
        <v>1508</v>
      </c>
      <c r="AL33" s="15">
        <f t="shared" si="11"/>
        <v>1360</v>
      </c>
      <c r="AN33" s="26"/>
    </row>
    <row r="34" spans="1:40" ht="18.75" customHeight="1">
      <c r="A34" s="24"/>
      <c r="B34" s="27"/>
      <c r="C34" s="16"/>
      <c r="D34" s="16"/>
      <c r="E34" s="16"/>
      <c r="F34" s="16"/>
      <c r="G34" s="27"/>
      <c r="H34" s="16"/>
      <c r="I34" s="16"/>
      <c r="J34" s="16"/>
      <c r="K34" s="16"/>
      <c r="L34" s="16"/>
      <c r="AN34" s="26"/>
    </row>
    <row r="35" spans="1:40" ht="12.75">
      <c r="B35" s="27"/>
      <c r="C35" s="16"/>
      <c r="D35" s="16"/>
      <c r="E35" s="16"/>
      <c r="F35" s="16"/>
      <c r="G35" s="27"/>
      <c r="H35" s="16"/>
      <c r="I35" s="16"/>
      <c r="J35" s="16"/>
      <c r="K35" s="16"/>
      <c r="L35" s="16"/>
      <c r="AN35" s="26"/>
    </row>
    <row r="36" spans="1:40" ht="12.75">
      <c r="B36" s="27"/>
      <c r="C36" s="16"/>
      <c r="D36" s="16"/>
      <c r="E36" s="16"/>
      <c r="F36" s="16"/>
      <c r="G36" s="27"/>
      <c r="H36" s="16"/>
      <c r="I36" s="16"/>
      <c r="J36" s="16"/>
      <c r="K36" s="16"/>
      <c r="L36" s="16"/>
      <c r="AN36" s="26"/>
    </row>
    <row r="37" spans="1:40" ht="12.75">
      <c r="B37" s="27"/>
      <c r="C37" s="16"/>
      <c r="D37" s="16"/>
      <c r="E37" s="16"/>
      <c r="F37" s="16"/>
      <c r="G37" s="27"/>
      <c r="H37" s="16"/>
      <c r="I37" s="16"/>
      <c r="J37" s="16"/>
      <c r="K37" s="16"/>
      <c r="L37" s="16"/>
      <c r="AN37" s="26"/>
    </row>
    <row r="38" spans="1:40">
      <c r="AN38" s="26"/>
    </row>
    <row r="39" spans="1:40">
      <c r="AN39" s="26"/>
    </row>
    <row r="40" spans="1:40">
      <c r="AN40" s="26"/>
    </row>
    <row r="41" spans="1:40">
      <c r="AN41" s="26"/>
    </row>
    <row r="42" spans="1:40">
      <c r="AN42" s="26"/>
    </row>
    <row r="43" spans="1:40">
      <c r="AN43" s="26"/>
    </row>
    <row r="44" spans="1:40">
      <c r="AN44" s="26"/>
    </row>
    <row r="45" spans="1:40">
      <c r="AN45" s="26"/>
    </row>
    <row r="46" spans="1:40">
      <c r="AN46" s="26"/>
    </row>
    <row r="47" spans="1:40">
      <c r="AN47" s="26"/>
    </row>
    <row r="48" spans="1:40">
      <c r="AN48" s="26"/>
    </row>
    <row r="49" spans="40:40">
      <c r="AN49" s="26"/>
    </row>
    <row r="50" spans="40:40">
      <c r="AN50" s="26"/>
    </row>
    <row r="51" spans="40:40">
      <c r="AN51" s="26"/>
    </row>
    <row r="52" spans="40:40">
      <c r="AN52" s="26"/>
    </row>
    <row r="53" spans="40:40">
      <c r="AN53" s="26"/>
    </row>
    <row r="54" spans="40:40">
      <c r="AN54" s="26"/>
    </row>
    <row r="55" spans="40:40">
      <c r="AN55" s="26"/>
    </row>
    <row r="56" spans="40:40">
      <c r="AN56" s="26"/>
    </row>
    <row r="57" spans="40:40">
      <c r="AN57" s="26"/>
    </row>
    <row r="58" spans="40:40">
      <c r="AN58" s="26"/>
    </row>
    <row r="59" spans="40:40">
      <c r="AN59" s="26"/>
    </row>
    <row r="60" spans="40:40">
      <c r="AN60" s="26"/>
    </row>
    <row r="61" spans="40:40">
      <c r="AN61" s="26"/>
    </row>
    <row r="62" spans="40:40">
      <c r="AN62" s="26"/>
    </row>
    <row r="63" spans="40:40">
      <c r="AN63" s="26"/>
    </row>
    <row r="64" spans="40:40">
      <c r="AN64" s="26"/>
    </row>
    <row r="65" spans="40:40">
      <c r="AN65" s="26"/>
    </row>
    <row r="66" spans="40:40">
      <c r="AN66" s="26"/>
    </row>
    <row r="67" spans="40:40">
      <c r="AN67" s="26"/>
    </row>
    <row r="68" spans="40:40">
      <c r="AN68" s="26"/>
    </row>
    <row r="69" spans="40:40">
      <c r="AN69" s="26"/>
    </row>
    <row r="70" spans="40:40">
      <c r="AN70" s="26"/>
    </row>
    <row r="71" spans="40:40">
      <c r="AN71" s="26"/>
    </row>
    <row r="72" spans="40:40">
      <c r="AN72" s="26"/>
    </row>
    <row r="73" spans="40:40">
      <c r="AN73" s="26"/>
    </row>
  </sheetData>
  <mergeCells count="5">
    <mergeCell ref="G3:K3"/>
    <mergeCell ref="A2:K2"/>
    <mergeCell ref="A1:K1"/>
    <mergeCell ref="B3:F3"/>
    <mergeCell ref="A3:A5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10.5</vt:lpstr>
      <vt:lpstr>'10.5'!Print_Area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2023-01-29T05:41:05Z</cp:lastPrinted>
  <dcterms:created xsi:type="dcterms:W3CDTF">2019-02-27T06:18:18Z</dcterms:created>
  <dcterms:modified xsi:type="dcterms:W3CDTF">2023-01-29T05:41:11Z</dcterms:modified>
</cp:coreProperties>
</file>