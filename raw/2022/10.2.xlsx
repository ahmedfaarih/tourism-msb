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2538CC72-342A-40C2-94A6-8D93EE92129B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2" sheetId="2" r:id="rId1"/>
  </sheets>
  <definedNames>
    <definedName name="_xlnm.Print_Area" localSheetId="0">'10.2'!$A$1:$M$69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K24" i="2" l="1"/>
  <c r="K18" i="2"/>
  <c r="K6" i="2"/>
  <c r="V47" i="2" l="1"/>
  <c r="V45" i="2"/>
  <c r="V46" i="2"/>
  <c r="V44" i="2"/>
  <c r="V38" i="2"/>
  <c r="V39" i="2"/>
  <c r="V40" i="2"/>
  <c r="V37" i="2"/>
  <c r="J24" i="2"/>
  <c r="J18" i="2" l="1"/>
  <c r="J12" i="2"/>
  <c r="J6" i="2"/>
  <c r="H12" i="2" l="1"/>
  <c r="I24" i="2" l="1"/>
  <c r="I18" i="2"/>
  <c r="I12" i="2"/>
  <c r="I6" i="2"/>
  <c r="H24" i="2" l="1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G12" i="2"/>
  <c r="F12" i="2"/>
  <c r="E12" i="2"/>
  <c r="D12" i="2"/>
  <c r="C12" i="2"/>
  <c r="B12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<sst xmlns="http://schemas.openxmlformats.org/spreadsheetml/2006/main" count="74" uniqueCount="29">
  <si>
    <t>Total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</si>
  <si>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</si>
  <si>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</si>
  <si>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</si>
  <si>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</si>
  <si>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</si>
  <si>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</si>
  <si>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</si>
  <si>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</si>
  <si>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</si>
  <si>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</si>
  <si>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</si>
  <si>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</si>
  <si>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</si>
  <si>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</si>
  <si>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</si>
  <si>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</si>
  <si>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</si>
  <si>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</si>
  <si>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</si>
  <si>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</si>
  <si>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</si>
  <si>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</si>
  <si>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</si>
  <si>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</si>
  <si>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Note:1_/: 2018 data revised</t>
  </si>
  <si>
    <t>ނޯޓް: /_1: 2018 ގެ މަޢުލޫމާތު އިސްލާޙުކުރެވިފައި</t>
  </si>
  <si>
    <t>Table  10.2 :  TOTAL REGISTERED BED CAPACITY AND NUMBER OF ACCOMMODATION ESTABLISHMENTS, BY TYPE, 2012 - 2021 (end year)</t>
  </si>
  <si>
    <t>2021- 2012 ,udwdwA egunwt iaWawlcmuj egiawgWj egudnea WviawfcSokIrwTcsijwr cnutwvWb egunwtcnwt Wviawfihejwmwh cmWzitcnia egumubit cnirevurutwf : 10.2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</si>
</sst>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8"/>
      <name val="A_Faseyha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7" fillId="0" borderId="0"/>
    <xf numFmtId="0" fontId="5" fillId="0" borderId="0"/>
    <xf numFmtId="43" fontId="5" fillId="0" borderId="0" applyFont="0" applyFill="0" applyBorder="0" applyAlignment="0" applyProtection="0"/>
    <xf numFmtId="165" fontId="28" fillId="0" borderId="0"/>
    <xf numFmtId="1" fontId="29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7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5" fillId="0" borderId="0"/>
    <xf numFmtId="1" fontId="29" fillId="0" borderId="5" applyNumberFormat="0"/>
    <xf numFmtId="0" fontId="1" fillId="0" borderId="0"/>
    <xf numFmtId="0" fontId="7" fillId="0" borderId="0"/>
    <xf numFmtId="0" fontId="39" fillId="0" borderId="0" applyFill="0" applyProtection="0"/>
    <xf numFmtId="1" fontId="29" fillId="0" borderId="5" applyNumberFormat="0"/>
    <xf numFmtId="43" fontId="1" fillId="0" borderId="0" applyFont="0" applyFill="0" applyBorder="0" applyAlignment="0" applyProtection="0"/>
    <xf numFmtId="0" fontId="1" fillId="0" borderId="0"/>
    <xf numFmtId="0" fontId="40" fillId="0" borderId="0"/>
    <xf numFmtId="0" fontId="41" fillId="0" borderId="0"/>
    <xf numFmtId="0" fontId="40" fillId="0" borderId="0"/>
    <xf numFmtId="0" fontId="1" fillId="0" borderId="0"/>
    <xf numFmtId="0" fontId="7" fillId="0" borderId="0"/>
    <xf numFmtId="0" fontId="39" fillId="0" borderId="0" applyFill="0" applyProtection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3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 wrapText="1"/>
    </xf>
    <xf numFmtId="0" fontId="14" fillId="2" borderId="0" xfId="0" applyFont="1" applyFill="1" applyAlignment="1">
      <alignment horizontal="right" vertical="center" wrapText="1"/>
    </xf>
    <xf numFmtId="0" fontId="9" fillId="2" borderId="0" xfId="0" applyFont="1" applyFill="1"/>
    <xf numFmtId="3" fontId="16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3" fontId="17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right" vertical="center" indent="1"/>
    </xf>
    <xf numFmtId="9" fontId="19" fillId="2" borderId="0" xfId="1" applyFont="1" applyFill="1" applyBorder="1" applyAlignment="1">
      <alignment horizontal="right" vertical="center"/>
    </xf>
    <xf numFmtId="3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2" fontId="9" fillId="2" borderId="0" xfId="0" applyNumberFormat="1" applyFont="1" applyFill="1"/>
    <xf numFmtId="3" fontId="17" fillId="2" borderId="0" xfId="0" applyNumberFormat="1" applyFont="1" applyFill="1"/>
    <xf numFmtId="0" fontId="19" fillId="2" borderId="0" xfId="0" applyFont="1" applyFill="1" applyAlignment="1">
      <alignment horizontal="right" vertical="center" indent="1"/>
    </xf>
    <xf numFmtId="0" fontId="15" fillId="2" borderId="4" xfId="0" applyFont="1" applyFill="1" applyBorder="1" applyAlignment="1">
      <alignment horizontal="left" vertical="center" indent="1"/>
    </xf>
    <xf numFmtId="3" fontId="17" fillId="2" borderId="4" xfId="0" applyNumberFormat="1" applyFont="1" applyFill="1" applyBorder="1" applyAlignment="1">
      <alignment vertical="center"/>
    </xf>
    <xf numFmtId="37" fontId="21" fillId="2" borderId="0" xfId="0" applyNumberFormat="1" applyFont="1" applyFill="1" applyAlignment="1">
      <alignment horizontal="right" vertical="center" wrapText="1"/>
    </xf>
    <xf numFmtId="0" fontId="15" fillId="2" borderId="2" xfId="0" applyFont="1" applyFill="1" applyBorder="1" applyAlignment="1">
      <alignment horizontal="left" vertical="center" indent="1"/>
    </xf>
    <xf numFmtId="3" fontId="17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horizontal="right" vertical="center"/>
    </xf>
    <xf numFmtId="3" fontId="16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horizontal="right" vertical="center"/>
    </xf>
    <xf numFmtId="2" fontId="19" fillId="2" borderId="0" xfId="0" applyNumberFormat="1" applyFont="1" applyFill="1" applyAlignment="1">
      <alignment horizontal="right" vertical="center"/>
    </xf>
    <xf numFmtId="1" fontId="19" fillId="2" borderId="0" xfId="0" applyNumberFormat="1" applyFont="1" applyFill="1" applyAlignment="1">
      <alignment horizontal="right" vertical="center"/>
    </xf>
    <xf numFmtId="3" fontId="17" fillId="2" borderId="4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/>
    </xf>
    <xf numFmtId="3" fontId="17" fillId="2" borderId="2" xfId="0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9" fontId="9" fillId="2" borderId="0" xfId="3" applyFont="1" applyFill="1"/>
    <xf numFmtId="0" fontId="6" fillId="2" borderId="0" xfId="0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left" vertical="center"/>
    </xf>
    <xf numFmtId="3" fontId="0" fillId="2" borderId="0" xfId="0" applyNumberFormat="1" applyFill="1"/>
    <xf numFmtId="0" fontId="1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right" vertical="center"/>
    </xf>
    <xf numFmtId="0" fontId="30" fillId="2" borderId="3" xfId="0" applyFont="1" applyFill="1" applyBorder="1" applyAlignment="1">
      <alignment horizontal="right" vertical="center"/>
    </xf>
    <xf numFmtId="0" fontId="30" fillId="2" borderId="1" xfId="0" applyFont="1" applyFill="1" applyBorder="1" applyAlignment="1">
      <alignment horizontal="right" vertical="center"/>
    </xf>
    <xf numFmtId="0" fontId="35" fillId="2" borderId="0" xfId="0" applyFont="1" applyFill="1" applyAlignment="1">
      <alignment horizontal="right" vertical="center" wrapText="1"/>
    </xf>
    <xf numFmtId="0" fontId="35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right" vertical="center" indent="1"/>
    </xf>
    <xf numFmtId="0" fontId="36" fillId="2" borderId="4" xfId="0" applyFont="1" applyFill="1" applyBorder="1" applyAlignment="1">
      <alignment horizontal="right" vertical="center" indent="1"/>
    </xf>
    <xf numFmtId="0" fontId="36" fillId="2" borderId="2" xfId="0" applyFont="1" applyFill="1" applyBorder="1" applyAlignment="1">
      <alignment horizontal="right" vertical="center" indent="1"/>
    </xf>
    <xf numFmtId="0" fontId="32" fillId="2" borderId="4" xfId="0" applyFont="1" applyFill="1" applyBorder="1" applyAlignment="1">
      <alignment horizontal="right" indent="1"/>
    </xf>
    <xf numFmtId="0" fontId="32" fillId="2" borderId="2" xfId="0" applyFont="1" applyFill="1" applyBorder="1" applyAlignment="1">
      <alignment horizontal="right" indent="1"/>
    </xf>
    <xf numFmtId="0" fontId="33" fillId="2" borderId="0" xfId="0" applyFont="1" applyFill="1"/>
    <xf numFmtId="0" fontId="31" fillId="2" borderId="0" xfId="0" applyFont="1" applyFill="1"/>
    <xf numFmtId="0" fontId="30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right" vertical="center"/>
    </xf>
    <xf numFmtId="1" fontId="0" fillId="2" borderId="0" xfId="0" applyNumberFormat="1" applyFill="1"/>
    <xf numFmtId="1" fontId="38" fillId="2" borderId="0" xfId="0" applyNumberFormat="1" applyFont="1" applyFill="1"/>
    <xf numFmtId="0" fontId="26" fillId="2" borderId="0" xfId="0" applyFont="1" applyFill="1"/>
    <xf numFmtId="0" fontId="11" fillId="2" borderId="0" xfId="0" applyFont="1" applyFill="1" applyAlignment="1">
      <alignment vertical="center"/>
    </xf>
    <xf numFmtId="0" fontId="34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6">
    <cellStyle name="1" xfId="6" xr:uid="{00000000-0005-0000-0000-000000000000}"/>
    <cellStyle name="Comma 2" xfId="20" xr:uid="{00000000-0005-0000-0000-000002000000}"/>
    <cellStyle name="Comma 2 2 2 5" xfId="28" xr:uid="{923A80DF-8391-490C-A9FC-9B04BA3FF02C}"/>
    <cellStyle name="Comma 3" xfId="7" xr:uid="{00000000-0005-0000-0000-000003000000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3" xfId="31" xr:uid="{6720CF7E-3D28-49D4-A4F3-23A341275CC3}"/>
    <cellStyle name="Normal 5" xfId="12" xr:uid="{00000000-0005-0000-0000-00000E000000}"/>
    <cellStyle name="Normal 5 2" xfId="4" xr:uid="{00000000-0005-0000-0000-00000F000000}"/>
    <cellStyle name="Normal 5 3" xfId="29" xr:uid="{F16A05F5-F806-4902-9DAF-1592A0EB3B8F}"/>
    <cellStyle name="Normal 6" xfId="17" xr:uid="{00000000-0005-0000-0000-000010000000}"/>
    <cellStyle name="Normal 6 2" xfId="33" xr:uid="{28DCBC0B-46D7-4D92-ADC4-A6E5B7FB0383}"/>
    <cellStyle name="Normal 7" xfId="18" xr:uid="{00000000-0005-0000-0000-000011000000}"/>
    <cellStyle name="Normal 7 2" xfId="34" xr:uid="{F94E59D5-A861-4070-A967-F13E24BDD6F0}"/>
    <cellStyle name="Normal 8" xfId="19" xr:uid="{00000000-0005-0000-0000-000012000000}"/>
    <cellStyle name="Normal 9" xfId="5" xr:uid="{00000000-0005-0000-0000-000013000000}"/>
    <cellStyle name="Percent" xfId="1" builtinId="5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FF3B3B"/>
              </a:solidFill>
            </c:spPr>
            <c:extLst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rgbClr val="FF8585"/>
              </a:solidFill>
            </c:spPr>
            <c:extLst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976014148336465"/>
                  <c:y val="0.202243342365241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89704543213994"/>
                      <c:h val="0.14179413668424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2DC-47B9-AB0C-61A032FFEB2E}"/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DC-47B9-AB0C-61A032FFEB2E}"/>
                </c:ext>
              </c:extLst>
            </c:dLbl>
            <c:dLbl>
              <c:idx val="2"/>
              <c:layout>
                <c:manualLayout>
                  <c:x val="2.0454606560498016E-2"/>
                  <c:y val="-0.23079546948290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DC-47B9-AB0C-61A032FFEB2E}"/>
                </c:ext>
              </c:extLst>
            </c:dLbl>
            <c:dLbl>
              <c:idx val="3"/>
              <c:layout>
                <c:manualLayout>
                  <c:x val="8.4388135233719408E-2"/>
                  <c:y val="0.171090986149780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DC-47B9-AB0C-61A032FFEB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'10.2'!$U$44:$U$47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'10.2'!$V$44:$V$47</c:f>
              <c:numCache>
                <c:formatCode>0%</c:formatCode>
                <c:ptCount val="4"/>
                <c:pt idx="0">
                  <c:v>0.15377358490566037</c:v>
                </c:pt>
                <c:pt idx="1">
                  <c:v>1.1320754716981131E-2</c:v>
                </c:pt>
                <c:pt idx="2">
                  <c:v>0.6858490566037736</c:v>
                </c:pt>
                <c:pt idx="3">
                  <c:v>0.1490566037735849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FF8585"/>
              </a:solidFill>
            </c:spPr>
            <c:extLst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rgbClr val="FF3B3B"/>
              </a:solidFill>
            </c:spPr>
            <c:extLst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rgbClr val="FFD5D5"/>
              </a:solidFill>
            </c:spPr>
            <c:extLst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19173197797915575"/>
                  <c:y val="-0.1248037433425261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3-4735-9FBB-BC19C7D85A39}"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23-4735-9FBB-BC19C7D85A39}"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23-4735-9FBB-BC19C7D85A39}"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23-4735-9FBB-BC19C7D85A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'10.2'!$U$37:$U$40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'10.2'!$V$37:$V$40</c:f>
              <c:numCache>
                <c:formatCode>0</c:formatCode>
                <c:ptCount val="4"/>
                <c:pt idx="0">
                  <c:v>70.132034354569925</c:v>
                </c:pt>
                <c:pt idx="1">
                  <c:v>2.8952332118592854</c:v>
                </c:pt>
                <c:pt idx="2">
                  <c:v>21.561338289962826</c:v>
                </c:pt>
                <c:pt idx="3">
                  <c:v>5.4113941436079624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35</xdr:row>
      <xdr:rowOff>125729</xdr:rowOff>
    </xdr:from>
    <xdr:to>
      <xdr:col>11</xdr:col>
      <xdr:colOff>38100</xdr:colOff>
      <xdr:row>51</xdr:row>
      <xdr:rowOff>142875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</xdr:colOff>
      <xdr:row>52</xdr:row>
      <xdr:rowOff>101600</xdr:rowOff>
    </xdr:from>
    <xdr:to>
      <xdr:col>11</xdr:col>
      <xdr:colOff>47625</xdr:colOff>
      <xdr:row>67</xdr:row>
      <xdr:rowOff>19050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349252</xdr:colOff>
      <xdr:row>52</xdr:row>
      <xdr:rowOff>187285</xdr:rowOff>
    </xdr:from>
    <xdr:to>
      <xdr:col>10</xdr:col>
      <xdr:colOff>142875</xdr:colOff>
      <xdr:row>54</xdr:row>
      <xdr:rowOff>60576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330452" y="11369635"/>
          <a:ext cx="6137273" cy="330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2021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0.13716</cdr:x>
      <cdr:y>0.05561</cdr:y>
    </cdr:from>
    <cdr:to>
      <cdr:x>0.85041</cdr:x>
      <cdr:y>0.13577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60681" y="191122"/>
          <a:ext cx="4995619" cy="2754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2021</a:t>
          </a:r>
          <a:endParaRPr lang="en-US" sz="11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77"/>
  <sheetViews>
    <sheetView tabSelected="1" zoomScaleNormal="100" workbookViewId="0">
      <selection activeCell="N10" sqref="N10"/>
    </sheetView>
  </sheetViews>
  <sheetFormatPr defaultColWidth="8.85546875" defaultRowHeight="18"/>
  <cols>
    <col min="1" max="1" width="29.7109375" style="1" customWidth="1"/>
    <col min="2" max="11" width="10.5703125" style="1" customWidth="1"/>
    <col min="12" max="12" width="35.7109375" style="64" customWidth="1"/>
    <col min="13" max="13" width="2.5703125" style="1" customWidth="1"/>
    <col min="14" max="14" width="31.7109375" style="1" customWidth="1"/>
    <col min="15" max="19" width="38.42578125" style="1" customWidth="1"/>
    <col min="20" max="20" width="12.85546875" style="1" customWidth="1"/>
    <col min="21" max="21" width="16.85546875" style="1" customWidth="1"/>
    <col min="22" max="22" width="10.5703125" style="1" customWidth="1"/>
    <col min="23" max="23" width="9.7109375" style="1" customWidth="1"/>
    <col min="24" max="27" width="46.42578125" style="1" customWidth="1"/>
    <col min="28" max="16384" width="8.85546875" style="1"/>
  </cols>
  <sheetData>
    <row r="1" spans="1:28" ht="21.75" customHeight="1">
      <c r="A1" s="72" t="s">
        <v>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52"/>
      <c r="N1" s="52"/>
      <c r="O1" s="52"/>
      <c r="P1" s="52"/>
      <c r="Q1" s="52"/>
      <c r="R1" s="52"/>
      <c r="S1" s="52"/>
      <c r="T1" s="7"/>
      <c r="U1" s="7"/>
      <c r="V1" s="7"/>
      <c r="W1" s="7"/>
      <c r="X1" s="7"/>
      <c r="Y1" s="7"/>
      <c r="Z1" s="7"/>
      <c r="AA1" s="7"/>
    </row>
    <row r="2" spans="1:28" ht="22.5" customHeight="1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8"/>
      <c r="N2" s="8"/>
      <c r="O2" s="8"/>
      <c r="P2" s="8"/>
      <c r="Q2" s="8"/>
      <c r="R2" s="8"/>
      <c r="S2" s="8"/>
      <c r="T2" s="2"/>
      <c r="U2" s="2"/>
      <c r="V2" s="2"/>
      <c r="W2" s="2"/>
      <c r="X2" s="2"/>
      <c r="Y2" s="2"/>
      <c r="Z2" s="2"/>
      <c r="AA2" s="2"/>
    </row>
    <row r="3" spans="1:28" s="3" customFormat="1" ht="18.600000000000001" customHeight="1">
      <c r="A3" s="9" t="s">
        <v>3</v>
      </c>
      <c r="B3" s="4">
        <v>2012</v>
      </c>
      <c r="C3" s="4">
        <v>2013</v>
      </c>
      <c r="D3" s="4">
        <v>2014</v>
      </c>
      <c r="E3" s="4">
        <v>2015</v>
      </c>
      <c r="F3" s="4">
        <v>2016</v>
      </c>
      <c r="G3" s="4">
        <v>2017</v>
      </c>
      <c r="H3" s="4">
        <v>2018</v>
      </c>
      <c r="I3" s="4">
        <v>2019</v>
      </c>
      <c r="J3" s="4">
        <v>2020</v>
      </c>
      <c r="K3" s="4">
        <v>2021</v>
      </c>
      <c r="L3" s="54" t="s">
        <v>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8" s="3" customFormat="1" ht="7.9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55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8" s="16" customFormat="1" ht="17.25" customHeight="1">
      <c r="A5" s="13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56" t="s">
        <v>6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8" s="16" customFormat="1" ht="17.25" customHeight="1">
      <c r="A6" s="13" t="s">
        <v>0</v>
      </c>
      <c r="B6" s="17">
        <f t="shared" ref="B6:F6" si="0">SUM(B7:B10)</f>
        <v>28120</v>
      </c>
      <c r="C6" s="17">
        <f t="shared" si="0"/>
        <v>29829</v>
      </c>
      <c r="D6" s="17">
        <f t="shared" si="0"/>
        <v>31673</v>
      </c>
      <c r="E6" s="17">
        <f t="shared" si="0"/>
        <v>34085</v>
      </c>
      <c r="F6" s="17">
        <f t="shared" si="0"/>
        <v>37374</v>
      </c>
      <c r="G6" s="17">
        <f>SUM(G7:G10)</f>
        <v>41255</v>
      </c>
      <c r="H6" s="17">
        <f>SUM(H7:H10)</f>
        <v>45154</v>
      </c>
      <c r="I6" s="17">
        <f>SUM(I7:I10)</f>
        <v>51362</v>
      </c>
      <c r="J6" s="17">
        <f>SUM(J7:J10)</f>
        <v>51827</v>
      </c>
      <c r="K6" s="17">
        <f>SUM(K7:K10)</f>
        <v>54607</v>
      </c>
      <c r="L6" s="57" t="s">
        <v>7</v>
      </c>
      <c r="M6" s="18"/>
      <c r="O6" s="18"/>
      <c r="P6" s="18"/>
      <c r="Q6" s="18"/>
      <c r="R6" s="18"/>
      <c r="S6" s="18"/>
      <c r="T6" s="18"/>
      <c r="U6" s="15"/>
      <c r="V6" s="18"/>
      <c r="W6" s="18"/>
      <c r="X6" s="18"/>
      <c r="Y6" s="18"/>
      <c r="Z6" s="18"/>
      <c r="AA6" s="18"/>
    </row>
    <row r="7" spans="1:28" s="16" customFormat="1" ht="17.25" customHeight="1">
      <c r="A7" s="19" t="s">
        <v>8</v>
      </c>
      <c r="B7" s="20">
        <v>22889</v>
      </c>
      <c r="C7" s="20">
        <v>23487</v>
      </c>
      <c r="D7" s="20">
        <v>24031</v>
      </c>
      <c r="E7" s="20">
        <v>24877</v>
      </c>
      <c r="F7" s="20">
        <v>26933</v>
      </c>
      <c r="G7" s="20">
        <v>29977</v>
      </c>
      <c r="H7" s="20">
        <v>31971</v>
      </c>
      <c r="I7" s="20">
        <v>37004</v>
      </c>
      <c r="J7" s="20">
        <v>37134</v>
      </c>
      <c r="K7" s="20">
        <v>38297</v>
      </c>
      <c r="L7" s="21" t="s">
        <v>9</v>
      </c>
      <c r="M7" s="21"/>
      <c r="O7" s="21"/>
      <c r="P7" s="21"/>
      <c r="Q7" s="21"/>
      <c r="R7" s="21"/>
      <c r="S7" s="21"/>
      <c r="T7" s="22"/>
      <c r="U7" s="15"/>
      <c r="V7" s="23"/>
      <c r="W7" s="24"/>
      <c r="X7" s="24"/>
      <c r="Y7" s="24"/>
      <c r="Z7" s="24"/>
      <c r="AA7" s="24"/>
      <c r="AB7" s="25"/>
    </row>
    <row r="8" spans="1:28" s="16" customFormat="1" ht="17.25" customHeight="1">
      <c r="A8" s="19" t="s">
        <v>10</v>
      </c>
      <c r="B8" s="20">
        <v>1627</v>
      </c>
      <c r="C8" s="20">
        <v>1708</v>
      </c>
      <c r="D8" s="20">
        <v>1704</v>
      </c>
      <c r="E8" s="20">
        <v>1648</v>
      </c>
      <c r="F8" s="20">
        <v>1713</v>
      </c>
      <c r="G8" s="20">
        <v>1456</v>
      </c>
      <c r="H8" s="20">
        <v>1862</v>
      </c>
      <c r="I8" s="20">
        <v>1642</v>
      </c>
      <c r="J8" s="20">
        <v>1698</v>
      </c>
      <c r="K8" s="20">
        <v>1581</v>
      </c>
      <c r="L8" s="58" t="s">
        <v>11</v>
      </c>
      <c r="M8" s="27"/>
      <c r="O8" s="27"/>
      <c r="P8" s="27"/>
      <c r="Q8" s="27"/>
      <c r="R8" s="27"/>
      <c r="S8" s="27"/>
      <c r="T8" s="22"/>
      <c r="U8" s="15"/>
      <c r="V8" s="23"/>
      <c r="W8" s="24"/>
      <c r="X8" s="24"/>
      <c r="Y8" s="24"/>
      <c r="Z8" s="24"/>
      <c r="AA8" s="24"/>
    </row>
    <row r="9" spans="1:28" s="16" customFormat="1" ht="17.25" customHeight="1">
      <c r="A9" s="19" t="s">
        <v>12</v>
      </c>
      <c r="B9" s="20">
        <v>1101</v>
      </c>
      <c r="C9" s="20">
        <v>1918</v>
      </c>
      <c r="D9" s="20">
        <v>3199</v>
      </c>
      <c r="E9" s="20">
        <v>4621</v>
      </c>
      <c r="F9" s="20">
        <v>6034</v>
      </c>
      <c r="G9" s="20">
        <v>7304</v>
      </c>
      <c r="H9" s="20">
        <v>8563</v>
      </c>
      <c r="I9" s="20">
        <v>9753</v>
      </c>
      <c r="J9" s="20">
        <v>10343</v>
      </c>
      <c r="K9" s="20">
        <v>11774</v>
      </c>
      <c r="L9" s="58" t="s">
        <v>13</v>
      </c>
      <c r="M9" s="27"/>
      <c r="O9" s="27"/>
      <c r="P9" s="27"/>
      <c r="Q9" s="27"/>
      <c r="R9" s="27"/>
      <c r="S9" s="27"/>
      <c r="T9" s="22"/>
      <c r="U9" s="15"/>
      <c r="V9" s="23"/>
      <c r="W9" s="24"/>
      <c r="X9" s="24"/>
      <c r="Y9" s="24"/>
      <c r="Z9" s="24"/>
      <c r="AA9" s="24"/>
    </row>
    <row r="10" spans="1:28" s="16" customFormat="1" ht="17.25" customHeight="1">
      <c r="A10" s="28" t="s">
        <v>14</v>
      </c>
      <c r="B10" s="29">
        <v>2503</v>
      </c>
      <c r="C10" s="29">
        <v>2716</v>
      </c>
      <c r="D10" s="29">
        <v>2739</v>
      </c>
      <c r="E10" s="29">
        <v>2939</v>
      </c>
      <c r="F10" s="29">
        <v>2694</v>
      </c>
      <c r="G10" s="29">
        <v>2518</v>
      </c>
      <c r="H10" s="29">
        <v>2758</v>
      </c>
      <c r="I10" s="29">
        <v>2963</v>
      </c>
      <c r="J10" s="29">
        <v>2652</v>
      </c>
      <c r="K10" s="29">
        <v>2955</v>
      </c>
      <c r="L10" s="59" t="s">
        <v>15</v>
      </c>
      <c r="M10" s="27"/>
      <c r="O10" s="27"/>
      <c r="P10" s="27"/>
      <c r="Q10" s="27"/>
      <c r="R10" s="27"/>
      <c r="S10" s="27"/>
      <c r="T10" s="22"/>
      <c r="U10" s="15"/>
      <c r="V10" s="23"/>
      <c r="W10" s="24"/>
      <c r="X10" s="24"/>
      <c r="Y10" s="24"/>
      <c r="Z10" s="24"/>
      <c r="AA10" s="24"/>
    </row>
    <row r="11" spans="1:28" ht="18.75">
      <c r="A11" s="13" t="s">
        <v>24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30" t="s">
        <v>16</v>
      </c>
      <c r="N11" s="68"/>
      <c r="O11" s="68"/>
    </row>
    <row r="12" spans="1:28" ht="15.75">
      <c r="A12" s="13" t="s">
        <v>0</v>
      </c>
      <c r="B12" s="17">
        <f t="shared" ref="B12:K12" si="1">SUM(B13:B16)</f>
        <v>26798.166666666664</v>
      </c>
      <c r="C12" s="17">
        <f t="shared" si="1"/>
        <v>27997.916666666664</v>
      </c>
      <c r="D12" s="17">
        <f t="shared" si="1"/>
        <v>29515.25</v>
      </c>
      <c r="E12" s="17">
        <f t="shared" si="1"/>
        <v>31423.916666666672</v>
      </c>
      <c r="F12" s="17">
        <f t="shared" si="1"/>
        <v>33802.25</v>
      </c>
      <c r="G12" s="17">
        <f t="shared" si="1"/>
        <v>38592.333333333336</v>
      </c>
      <c r="H12" s="17">
        <f t="shared" si="1"/>
        <v>41886.666666666672</v>
      </c>
      <c r="I12" s="17">
        <f t="shared" si="1"/>
        <v>47268.5</v>
      </c>
      <c r="J12" s="17">
        <f t="shared" si="1"/>
        <v>27744.666666666668</v>
      </c>
      <c r="K12" s="17">
        <f t="shared" si="1"/>
        <v>48961</v>
      </c>
      <c r="L12" s="57" t="s">
        <v>7</v>
      </c>
      <c r="N12" s="69"/>
      <c r="O12" s="69"/>
    </row>
    <row r="13" spans="1:28" ht="18.75">
      <c r="A13" s="19" t="s">
        <v>8</v>
      </c>
      <c r="B13" s="20">
        <v>21887.833333333332</v>
      </c>
      <c r="C13" s="20">
        <v>22511.833333333332</v>
      </c>
      <c r="D13" s="20">
        <v>22986.166666666668</v>
      </c>
      <c r="E13" s="20">
        <v>23348.416666666668</v>
      </c>
      <c r="F13" s="20">
        <v>24567.666666666668</v>
      </c>
      <c r="G13" s="20">
        <v>27685.916666666668</v>
      </c>
      <c r="H13" s="20">
        <v>29399.666666666668</v>
      </c>
      <c r="I13" s="20">
        <v>33439.75</v>
      </c>
      <c r="J13" s="20">
        <v>21445.666666666668</v>
      </c>
      <c r="K13" s="20">
        <v>36320</v>
      </c>
      <c r="L13" s="21" t="s">
        <v>9</v>
      </c>
      <c r="N13" s="69"/>
      <c r="O13" s="68"/>
    </row>
    <row r="14" spans="1:28" ht="15.75">
      <c r="A14" s="19" t="s">
        <v>10</v>
      </c>
      <c r="B14" s="20">
        <v>1591.3333333333333</v>
      </c>
      <c r="C14" s="20">
        <v>1540.0833333333333</v>
      </c>
      <c r="D14" s="20">
        <v>1435.25</v>
      </c>
      <c r="E14" s="20">
        <v>1456.1666666666667</v>
      </c>
      <c r="F14" s="20">
        <v>1465.5</v>
      </c>
      <c r="G14" s="20">
        <v>1496.8333333333333</v>
      </c>
      <c r="H14" s="20">
        <v>1759</v>
      </c>
      <c r="I14" s="20">
        <v>1723</v>
      </c>
      <c r="J14" s="20">
        <v>1032.5</v>
      </c>
      <c r="K14" s="20">
        <v>1399</v>
      </c>
      <c r="L14" s="58" t="s">
        <v>11</v>
      </c>
      <c r="N14" s="68"/>
      <c r="O14" s="68"/>
    </row>
    <row r="15" spans="1:28" ht="15.75">
      <c r="A15" s="19" t="s">
        <v>12</v>
      </c>
      <c r="B15" s="20">
        <v>844.5</v>
      </c>
      <c r="C15" s="20">
        <v>1401.5833333333333</v>
      </c>
      <c r="D15" s="20">
        <v>2477.25</v>
      </c>
      <c r="E15" s="20">
        <v>3831.1666666666665</v>
      </c>
      <c r="F15" s="20">
        <v>5248.916666666667</v>
      </c>
      <c r="G15" s="20">
        <v>6728.833333333333</v>
      </c>
      <c r="H15" s="20">
        <v>8000</v>
      </c>
      <c r="I15" s="20">
        <v>9200.1666666666661</v>
      </c>
      <c r="J15" s="20">
        <v>3615.0833333333335</v>
      </c>
      <c r="K15" s="20">
        <v>8484</v>
      </c>
      <c r="L15" s="58" t="s">
        <v>13</v>
      </c>
      <c r="N15" s="68"/>
      <c r="O15" s="68"/>
    </row>
    <row r="16" spans="1:28" ht="15.75">
      <c r="A16" s="31" t="s">
        <v>14</v>
      </c>
      <c r="B16" s="32">
        <v>2474.5</v>
      </c>
      <c r="C16" s="32">
        <v>2544.4166666666665</v>
      </c>
      <c r="D16" s="32">
        <v>2616.5833333333335</v>
      </c>
      <c r="E16" s="32">
        <v>2788.1666666666665</v>
      </c>
      <c r="F16" s="32">
        <v>2520.1666666666665</v>
      </c>
      <c r="G16" s="32">
        <v>2680.75</v>
      </c>
      <c r="H16" s="32">
        <v>2728</v>
      </c>
      <c r="I16" s="32">
        <v>2905.5833333333335</v>
      </c>
      <c r="J16" s="32">
        <v>1651.4166666666667</v>
      </c>
      <c r="K16" s="32">
        <v>2758</v>
      </c>
      <c r="L16" s="60" t="s">
        <v>15</v>
      </c>
      <c r="N16" s="51"/>
      <c r="O16" s="51"/>
    </row>
    <row r="17" spans="1:27" ht="12.75" customHeight="1">
      <c r="A17" s="13" t="s">
        <v>17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66" t="s">
        <v>18</v>
      </c>
      <c r="M17" s="33"/>
      <c r="N17" s="33"/>
      <c r="O17" s="33"/>
      <c r="P17" s="33"/>
      <c r="Q17" s="33"/>
      <c r="R17" s="33"/>
      <c r="S17" s="33"/>
      <c r="T17" s="18"/>
      <c r="U17" s="15"/>
      <c r="V17" s="18"/>
      <c r="W17" s="18"/>
      <c r="X17" s="18"/>
      <c r="Y17" s="18"/>
      <c r="Z17" s="18"/>
      <c r="AA17" s="18"/>
    </row>
    <row r="18" spans="1:27" s="16" customFormat="1" ht="17.25" customHeight="1">
      <c r="A18" s="13" t="s">
        <v>0</v>
      </c>
      <c r="B18" s="34">
        <f t="shared" ref="B18:E18" si="2">SUM(B19:B22)</f>
        <v>353</v>
      </c>
      <c r="C18" s="34">
        <f t="shared" si="2"/>
        <v>429</v>
      </c>
      <c r="D18" s="34">
        <f>SUM(D19:D22)</f>
        <v>511</v>
      </c>
      <c r="E18" s="34">
        <f t="shared" si="2"/>
        <v>615</v>
      </c>
      <c r="F18" s="34">
        <f t="shared" ref="F18:K18" si="3">SUM(F19:F22)</f>
        <v>679</v>
      </c>
      <c r="G18" s="34">
        <f t="shared" si="3"/>
        <v>736</v>
      </c>
      <c r="H18" s="34">
        <f t="shared" si="3"/>
        <v>825</v>
      </c>
      <c r="I18" s="34">
        <f t="shared" si="3"/>
        <v>938</v>
      </c>
      <c r="J18" s="34">
        <f t="shared" si="3"/>
        <v>952</v>
      </c>
      <c r="K18" s="34">
        <f t="shared" si="3"/>
        <v>1060</v>
      </c>
      <c r="L18" s="57" t="s">
        <v>7</v>
      </c>
      <c r="M18" s="18"/>
      <c r="P18" s="18"/>
      <c r="Q18" s="18"/>
      <c r="R18" s="18"/>
      <c r="S18" s="18"/>
      <c r="T18" s="18"/>
      <c r="U18" s="15"/>
      <c r="V18" s="18"/>
      <c r="W18" s="18"/>
      <c r="X18" s="18"/>
      <c r="Y18" s="18"/>
      <c r="Z18" s="18"/>
      <c r="AA18" s="18"/>
    </row>
    <row r="19" spans="1:27" s="16" customFormat="1" ht="17.25" customHeight="1">
      <c r="A19" s="19" t="s">
        <v>8</v>
      </c>
      <c r="B19" s="20">
        <v>105</v>
      </c>
      <c r="C19" s="20">
        <v>110</v>
      </c>
      <c r="D19" s="20">
        <v>111</v>
      </c>
      <c r="E19" s="20">
        <v>115</v>
      </c>
      <c r="F19" s="20">
        <v>126</v>
      </c>
      <c r="G19" s="20">
        <v>135</v>
      </c>
      <c r="H19" s="20">
        <v>145</v>
      </c>
      <c r="I19" s="20">
        <v>164</v>
      </c>
      <c r="J19" s="20">
        <v>159</v>
      </c>
      <c r="K19" s="20">
        <v>163</v>
      </c>
      <c r="L19" s="21" t="s">
        <v>9</v>
      </c>
      <c r="M19" s="21"/>
      <c r="O19" s="21"/>
      <c r="P19" s="21"/>
      <c r="Q19" s="21"/>
      <c r="R19" s="21"/>
      <c r="S19" s="21"/>
      <c r="T19" s="36"/>
      <c r="U19" s="15"/>
      <c r="V19" s="24"/>
      <c r="W19" s="24"/>
      <c r="X19" s="24"/>
      <c r="Y19" s="24"/>
      <c r="Z19" s="24"/>
      <c r="AA19" s="24"/>
    </row>
    <row r="20" spans="1:27" s="16" customFormat="1" ht="17.25" customHeight="1">
      <c r="A20" s="19" t="s">
        <v>10</v>
      </c>
      <c r="B20" s="20">
        <v>19</v>
      </c>
      <c r="C20" s="20">
        <v>20</v>
      </c>
      <c r="D20" s="20">
        <v>19</v>
      </c>
      <c r="E20" s="20">
        <v>17</v>
      </c>
      <c r="F20" s="20">
        <v>16</v>
      </c>
      <c r="G20" s="20">
        <v>10</v>
      </c>
      <c r="H20" s="20">
        <v>12</v>
      </c>
      <c r="I20" s="20">
        <v>12</v>
      </c>
      <c r="J20" s="20">
        <v>13</v>
      </c>
      <c r="K20" s="20">
        <v>12</v>
      </c>
      <c r="L20" s="58" t="s">
        <v>19</v>
      </c>
      <c r="M20" s="27"/>
      <c r="O20" s="27"/>
      <c r="P20" s="27"/>
      <c r="Q20" s="27"/>
      <c r="R20" s="27"/>
      <c r="S20" s="27"/>
      <c r="T20" s="36"/>
      <c r="U20" s="15"/>
      <c r="V20" s="24"/>
      <c r="W20" s="24"/>
      <c r="X20" s="24"/>
      <c r="Y20" s="24"/>
      <c r="Z20" s="24"/>
      <c r="AA20" s="24"/>
    </row>
    <row r="21" spans="1:27" s="16" customFormat="1" ht="17.25" customHeight="1">
      <c r="A21" s="19" t="s">
        <v>12</v>
      </c>
      <c r="B21" s="20">
        <v>75</v>
      </c>
      <c r="C21" s="20">
        <v>136</v>
      </c>
      <c r="D21" s="20">
        <v>220</v>
      </c>
      <c r="E21" s="20">
        <v>313</v>
      </c>
      <c r="F21" s="20">
        <v>393</v>
      </c>
      <c r="G21" s="20">
        <v>458</v>
      </c>
      <c r="H21" s="20">
        <v>521</v>
      </c>
      <c r="I21" s="20">
        <v>605</v>
      </c>
      <c r="J21" s="20">
        <v>638</v>
      </c>
      <c r="K21" s="20">
        <v>727</v>
      </c>
      <c r="L21" s="58" t="s">
        <v>13</v>
      </c>
      <c r="M21" s="27"/>
      <c r="O21" s="27"/>
      <c r="P21" s="27"/>
      <c r="Q21" s="27"/>
      <c r="R21" s="27"/>
      <c r="S21" s="27"/>
      <c r="T21" s="36"/>
      <c r="U21" s="24"/>
      <c r="V21" s="37"/>
      <c r="W21" s="24"/>
      <c r="X21" s="24"/>
      <c r="Y21" s="24"/>
      <c r="Z21" s="24"/>
      <c r="AA21" s="24"/>
    </row>
    <row r="22" spans="1:27" s="16" customFormat="1" ht="17.25" customHeight="1">
      <c r="A22" s="28" t="s">
        <v>14</v>
      </c>
      <c r="B22" s="38">
        <v>154</v>
      </c>
      <c r="C22" s="38">
        <v>163</v>
      </c>
      <c r="D22" s="38">
        <v>161</v>
      </c>
      <c r="E22" s="38">
        <v>170</v>
      </c>
      <c r="F22" s="38">
        <v>144</v>
      </c>
      <c r="G22" s="38">
        <v>133</v>
      </c>
      <c r="H22" s="38">
        <v>147</v>
      </c>
      <c r="I22" s="38">
        <v>157</v>
      </c>
      <c r="J22" s="38">
        <v>142</v>
      </c>
      <c r="K22" s="38">
        <v>158</v>
      </c>
      <c r="L22" s="61" t="s">
        <v>15</v>
      </c>
      <c r="M22" s="39"/>
      <c r="O22" s="39"/>
      <c r="P22" s="39"/>
      <c r="Q22" s="39"/>
      <c r="R22" s="39"/>
      <c r="S22" s="39"/>
      <c r="T22" s="36"/>
      <c r="U22" s="40"/>
      <c r="V22" s="37"/>
      <c r="W22" s="40"/>
      <c r="X22" s="40"/>
      <c r="Y22" s="40"/>
      <c r="Z22" s="40"/>
      <c r="AA22" s="40"/>
    </row>
    <row r="23" spans="1:27" ht="18.75">
      <c r="A23" s="13" t="s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66" t="s">
        <v>21</v>
      </c>
    </row>
    <row r="24" spans="1:27" ht="15.75">
      <c r="A24" s="13" t="s">
        <v>0</v>
      </c>
      <c r="B24" s="17">
        <f t="shared" ref="B24:J24" si="4">SUM(B25:B28)</f>
        <v>323.08333333333337</v>
      </c>
      <c r="C24" s="17">
        <f t="shared" si="4"/>
        <v>370.33333333333337</v>
      </c>
      <c r="D24" s="17">
        <f t="shared" si="4"/>
        <v>448.16666666666663</v>
      </c>
      <c r="E24" s="17">
        <f t="shared" si="4"/>
        <v>540.33333333333337</v>
      </c>
      <c r="F24" s="17">
        <f t="shared" si="4"/>
        <v>611.41666666666663</v>
      </c>
      <c r="G24" s="17">
        <f t="shared" si="4"/>
        <v>713.41666666666663</v>
      </c>
      <c r="H24" s="17">
        <f t="shared" si="4"/>
        <v>777</v>
      </c>
      <c r="I24" s="17">
        <f t="shared" si="4"/>
        <v>872.16666666666663</v>
      </c>
      <c r="J24" s="17">
        <f t="shared" si="4"/>
        <v>550</v>
      </c>
      <c r="K24" s="17">
        <f t="shared" ref="K24" si="5">SUM(K25:K28)</f>
        <v>779</v>
      </c>
      <c r="L24" s="57" t="s">
        <v>7</v>
      </c>
    </row>
    <row r="25" spans="1:27" ht="18.75">
      <c r="A25" s="19" t="s">
        <v>8</v>
      </c>
      <c r="B25" s="20">
        <v>97.666666666666671</v>
      </c>
      <c r="C25" s="20">
        <v>101.08333333333333</v>
      </c>
      <c r="D25" s="20">
        <v>104.41666666666667</v>
      </c>
      <c r="E25" s="20">
        <v>104.83333333333333</v>
      </c>
      <c r="F25" s="20">
        <v>111.08333333333333</v>
      </c>
      <c r="G25" s="20">
        <v>124.08333333333333</v>
      </c>
      <c r="H25" s="20">
        <v>130</v>
      </c>
      <c r="I25" s="20">
        <v>146</v>
      </c>
      <c r="J25" s="20">
        <v>140</v>
      </c>
      <c r="K25" s="20">
        <v>154</v>
      </c>
      <c r="L25" s="21" t="s">
        <v>9</v>
      </c>
    </row>
    <row r="26" spans="1:27" ht="15.75">
      <c r="A26" s="19" t="s">
        <v>10</v>
      </c>
      <c r="B26" s="20">
        <v>18.583333333333332</v>
      </c>
      <c r="C26" s="20">
        <v>17.333333333333332</v>
      </c>
      <c r="D26" s="20">
        <v>15.583333333333334</v>
      </c>
      <c r="E26" s="20">
        <v>14.333333333333334</v>
      </c>
      <c r="F26" s="20">
        <v>12.666666666666666</v>
      </c>
      <c r="G26" s="20">
        <v>11.916666666666666</v>
      </c>
      <c r="H26" s="20">
        <v>12</v>
      </c>
      <c r="I26" s="20">
        <v>11.416666666666666</v>
      </c>
      <c r="J26" s="20">
        <v>11</v>
      </c>
      <c r="K26" s="20">
        <v>10</v>
      </c>
      <c r="L26" s="58" t="s">
        <v>11</v>
      </c>
    </row>
    <row r="27" spans="1:27" ht="15.75">
      <c r="A27" s="19" t="s">
        <v>12</v>
      </c>
      <c r="B27" s="20">
        <v>54.333333333333336</v>
      </c>
      <c r="C27" s="20">
        <v>98.833333333333329</v>
      </c>
      <c r="D27" s="20">
        <v>172.91666666666666</v>
      </c>
      <c r="E27" s="20">
        <v>261.66666666666669</v>
      </c>
      <c r="F27" s="20">
        <v>353.5</v>
      </c>
      <c r="G27" s="20">
        <v>433.58333333333331</v>
      </c>
      <c r="H27" s="20">
        <v>490</v>
      </c>
      <c r="I27" s="20">
        <v>561</v>
      </c>
      <c r="J27" s="20">
        <v>268</v>
      </c>
      <c r="K27" s="20">
        <v>475</v>
      </c>
      <c r="L27" s="58" t="s">
        <v>13</v>
      </c>
    </row>
    <row r="28" spans="1:27" ht="15.75">
      <c r="A28" s="31" t="s">
        <v>14</v>
      </c>
      <c r="B28" s="32">
        <v>152.5</v>
      </c>
      <c r="C28" s="32">
        <v>153.08333333333334</v>
      </c>
      <c r="D28" s="32">
        <v>155.25</v>
      </c>
      <c r="E28" s="32">
        <v>159.5</v>
      </c>
      <c r="F28" s="32">
        <v>134.16666666666666</v>
      </c>
      <c r="G28" s="32">
        <v>143.83333333333334</v>
      </c>
      <c r="H28" s="32">
        <v>145</v>
      </c>
      <c r="I28" s="32">
        <v>153.75</v>
      </c>
      <c r="J28" s="32">
        <v>131</v>
      </c>
      <c r="K28" s="32">
        <v>140</v>
      </c>
      <c r="L28" s="60" t="s">
        <v>15</v>
      </c>
    </row>
    <row r="29" spans="1:27" ht="18.75">
      <c r="A29" s="13" t="s">
        <v>23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30" t="s">
        <v>22</v>
      </c>
    </row>
    <row r="30" spans="1:27" ht="18.75">
      <c r="A30" s="19" t="s">
        <v>8</v>
      </c>
      <c r="B30" s="20">
        <v>86.688769701127484</v>
      </c>
      <c r="C30" s="20">
        <v>88.595126530663109</v>
      </c>
      <c r="D30" s="20">
        <v>81.856214093483658</v>
      </c>
      <c r="E30" s="20">
        <v>76.220607180907422</v>
      </c>
      <c r="F30" s="20">
        <v>73.996436740211678</v>
      </c>
      <c r="G30" s="20">
        <v>72.738665701182953</v>
      </c>
      <c r="H30" s="20">
        <v>74.599999999999994</v>
      </c>
      <c r="I30" s="20">
        <v>74.139742717834707</v>
      </c>
      <c r="J30" s="20">
        <v>28.978640707515321</v>
      </c>
      <c r="K30" s="20">
        <v>63</v>
      </c>
      <c r="L30" s="21" t="s">
        <v>9</v>
      </c>
    </row>
    <row r="31" spans="1:27" ht="15.75">
      <c r="A31" s="19" t="s">
        <v>10</v>
      </c>
      <c r="B31" s="20">
        <v>36.663245078967122</v>
      </c>
      <c r="C31" s="20">
        <v>37.491387357802637</v>
      </c>
      <c r="D31" s="20">
        <v>42.621855635268837</v>
      </c>
      <c r="E31" s="20">
        <v>38.453285628742037</v>
      </c>
      <c r="F31" s="20">
        <v>40.343422717733894</v>
      </c>
      <c r="G31" s="20">
        <v>44.192331264448093</v>
      </c>
      <c r="H31" s="20">
        <v>40.4</v>
      </c>
      <c r="I31" s="20">
        <v>45.412556932056837</v>
      </c>
      <c r="J31" s="20">
        <v>17.074461530906429</v>
      </c>
      <c r="K31" s="20">
        <v>41.4</v>
      </c>
      <c r="L31" s="58" t="s">
        <v>19</v>
      </c>
    </row>
    <row r="32" spans="1:27" ht="15.75">
      <c r="A32" s="19" t="s">
        <v>12</v>
      </c>
      <c r="B32" s="20">
        <v>18.438426739984173</v>
      </c>
      <c r="C32" s="20">
        <v>23.215800959283015</v>
      </c>
      <c r="D32" s="20">
        <v>18.290859127152753</v>
      </c>
      <c r="E32" s="20">
        <v>23.754186523394655</v>
      </c>
      <c r="F32" s="20">
        <v>33.515560141504473</v>
      </c>
      <c r="G32" s="20">
        <v>30.768031823623502</v>
      </c>
      <c r="H32" s="20">
        <v>32.6</v>
      </c>
      <c r="I32" s="20">
        <v>33.86767677413031</v>
      </c>
      <c r="J32" s="20">
        <v>18.371216403823603</v>
      </c>
      <c r="K32" s="20">
        <v>33.799999999999997</v>
      </c>
      <c r="L32" s="58" t="s">
        <v>13</v>
      </c>
    </row>
    <row r="33" spans="1:28" ht="17.25">
      <c r="A33" s="31" t="s">
        <v>14</v>
      </c>
      <c r="B33" s="41">
        <v>41.030046881673968</v>
      </c>
      <c r="C33" s="41">
        <v>46.938810104897328</v>
      </c>
      <c r="D33" s="41">
        <v>26.948089288930188</v>
      </c>
      <c r="E33" s="41">
        <v>29.175364104266588</v>
      </c>
      <c r="F33" s="41">
        <v>28.96464254150591</v>
      </c>
      <c r="G33" s="41">
        <v>26.385018397706389</v>
      </c>
      <c r="H33" s="41">
        <v>28.1</v>
      </c>
      <c r="I33" s="41">
        <v>26.153650176008821</v>
      </c>
      <c r="J33" s="41">
        <v>12.572498801223105</v>
      </c>
      <c r="K33" s="41">
        <v>19.899999999999999</v>
      </c>
      <c r="L33" s="62" t="s">
        <v>15</v>
      </c>
    </row>
    <row r="34" spans="1:28" s="16" customFormat="1" ht="15.75" customHeight="1">
      <c r="A34" s="71" t="s">
        <v>25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70" t="s">
        <v>26</v>
      </c>
      <c r="M34" s="39"/>
      <c r="N34" s="39"/>
      <c r="O34" s="39"/>
      <c r="P34" s="39"/>
      <c r="Q34" s="39"/>
      <c r="R34" s="39"/>
      <c r="S34" s="39"/>
      <c r="T34" s="36"/>
      <c r="U34" s="40"/>
      <c r="V34" s="37"/>
      <c r="W34" s="40"/>
      <c r="X34" s="40"/>
      <c r="Y34" s="40"/>
      <c r="Z34" s="40"/>
      <c r="AA34" s="40"/>
    </row>
    <row r="35" spans="1:28" s="16" customFormat="1" ht="18" customHeight="1">
      <c r="A35" s="5" t="s">
        <v>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67" t="s">
        <v>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42"/>
    </row>
    <row r="36" spans="1:28" s="16" customFormat="1" ht="18" customHeight="1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5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43"/>
    </row>
    <row r="37" spans="1:28" s="16" customFormat="1" ht="14.25">
      <c r="L37" s="63"/>
      <c r="U37" s="44" t="s">
        <v>8</v>
      </c>
      <c r="V37" s="45">
        <f>K7/$K$6*100</f>
        <v>70.132034354569925</v>
      </c>
      <c r="AB37" s="46"/>
    </row>
    <row r="38" spans="1:28" s="16" customFormat="1" ht="14.25">
      <c r="L38" s="63"/>
      <c r="U38" s="44" t="s">
        <v>10</v>
      </c>
      <c r="V38" s="45">
        <f t="shared" ref="V38:V40" si="6">K8/$K$6*100</f>
        <v>2.8952332118592854</v>
      </c>
      <c r="AB38" s="46"/>
    </row>
    <row r="39" spans="1:28" s="16" customFormat="1" ht="14.25">
      <c r="L39" s="63"/>
      <c r="U39" s="44" t="s">
        <v>12</v>
      </c>
      <c r="V39" s="45">
        <f t="shared" si="6"/>
        <v>21.561338289962826</v>
      </c>
      <c r="AB39" s="46"/>
    </row>
    <row r="40" spans="1:28" s="16" customFormat="1" ht="14.25">
      <c r="L40" s="63"/>
      <c r="U40" s="44" t="s">
        <v>14</v>
      </c>
      <c r="V40" s="45">
        <f t="shared" si="6"/>
        <v>5.4113941436079624</v>
      </c>
      <c r="AB40" s="46"/>
    </row>
    <row r="41" spans="1:28" s="16" customFormat="1" ht="14.25">
      <c r="L41" s="63"/>
      <c r="AB41" s="46"/>
    </row>
    <row r="42" spans="1:28">
      <c r="AB42" s="47"/>
    </row>
    <row r="43" spans="1:28">
      <c r="AB43" s="47"/>
    </row>
    <row r="44" spans="1:28">
      <c r="U44" s="44" t="s">
        <v>8</v>
      </c>
      <c r="V44" s="48">
        <f>K19/$K$18</f>
        <v>0.15377358490566037</v>
      </c>
      <c r="AB44" s="47"/>
    </row>
    <row r="45" spans="1:28">
      <c r="U45" s="44" t="s">
        <v>10</v>
      </c>
      <c r="V45" s="48">
        <f>K20/$K$18</f>
        <v>1.1320754716981131E-2</v>
      </c>
      <c r="AB45" s="47"/>
    </row>
    <row r="46" spans="1:28">
      <c r="U46" s="44" t="s">
        <v>12</v>
      </c>
      <c r="V46" s="48">
        <f t="shared" ref="V46" si="7">K21/$K$18</f>
        <v>0.6858490566037736</v>
      </c>
      <c r="AB46" s="47"/>
    </row>
    <row r="47" spans="1:28">
      <c r="U47" s="44" t="s">
        <v>14</v>
      </c>
      <c r="V47" s="48">
        <f>K22/$K$18</f>
        <v>0.1490566037735849</v>
      </c>
      <c r="AB47" s="47"/>
    </row>
    <row r="72" spans="1:12" ht="15.75">
      <c r="A72" s="13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65"/>
    </row>
    <row r="73" spans="1:12" ht="15.75">
      <c r="A73" s="13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65"/>
    </row>
    <row r="74" spans="1:12" ht="15">
      <c r="A74" s="5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53"/>
    </row>
    <row r="75" spans="1:12" ht="15">
      <c r="A75" s="42"/>
      <c r="B75" s="42"/>
      <c r="C75" s="50"/>
      <c r="D75" s="50"/>
      <c r="E75" s="50"/>
      <c r="F75" s="50"/>
      <c r="G75" s="50"/>
      <c r="H75" s="50"/>
      <c r="I75" s="50"/>
      <c r="J75" s="50"/>
      <c r="K75" s="50"/>
      <c r="L75" s="53"/>
    </row>
    <row r="76" spans="1:12" ht="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53"/>
    </row>
    <row r="77" spans="1:12" ht="15">
      <c r="A77" s="16"/>
      <c r="B77" s="16"/>
      <c r="C77" s="42"/>
      <c r="D77" s="42"/>
      <c r="E77" s="42"/>
      <c r="F77" s="42"/>
      <c r="G77" s="42"/>
      <c r="H77" s="42"/>
      <c r="I77" s="42"/>
      <c r="J77" s="42"/>
      <c r="K77" s="42"/>
      <c r="L77" s="53"/>
    </row>
  </sheetData>
  <mergeCells count="2">
    <mergeCell ref="A1:L1"/>
    <mergeCell ref="A2:L2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5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2023-01-29T04:18:02Z</cp:lastPrinted>
  <dcterms:created xsi:type="dcterms:W3CDTF">2019-02-27T06:18:18Z</dcterms:created>
  <dcterms:modified xsi:type="dcterms:W3CDTF">2023-01-29T05:33:02Z</dcterms:modified>
</cp:coreProperties>
</file>