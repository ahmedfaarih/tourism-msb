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8" sheetId="41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'10.8'!$A$1:$J$61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AJ27" i="41" l="1"/>
  <c r="AJ28" i="41"/>
  <c r="AJ29" i="41"/>
  <c r="AJ30" i="41"/>
  <c r="AJ31" i="41"/>
  <c r="AJ32" i="41"/>
  <c r="AJ33" i="41"/>
  <c r="AJ34" i="41"/>
  <c r="AJ35" i="41"/>
  <c r="AJ36" i="41"/>
  <c r="AJ37" i="41"/>
  <c r="AJ38" i="41"/>
  <c r="AJ39" i="41"/>
  <c r="AJ40" i="41"/>
  <c r="AJ41" i="41"/>
  <c r="AJ42" i="41"/>
  <c r="AJ43" i="41"/>
  <c r="AJ26" i="41"/>
  <c r="G5" i="41" l="1"/>
  <c r="H9" i="41" l="1"/>
  <c r="H10" i="41"/>
  <c r="H8" i="41"/>
  <c r="H6" i="41"/>
  <c r="H5" i="41"/>
  <c r="H23" i="41"/>
  <c r="H19" i="41"/>
  <c r="H15" i="41"/>
  <c r="H11" i="41"/>
  <c r="H20" i="41"/>
  <c r="H16" i="41"/>
  <c r="H12" i="41"/>
  <c r="H7" i="41"/>
  <c r="H22" i="41"/>
  <c r="H18" i="41"/>
  <c r="H14" i="41"/>
  <c r="H21" i="41"/>
  <c r="H17" i="41"/>
  <c r="H13" i="41"/>
  <c r="F5" i="41" l="1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D5" i="41"/>
  <c r="E5" i="41"/>
  <c r="C5" i="41"/>
  <c r="B5" i="41"/>
  <c r="S1" i="44" l="1"/>
</calcChain>
</file>

<file path=xl/sharedStrings.xml><?xml version="1.0" encoding="utf-8"?>
<sst xmlns="http://schemas.openxmlformats.org/spreadsheetml/2006/main" count="144" uniqueCount="137">
  <si>
    <t>Resorts</t>
  </si>
  <si>
    <t xml:space="preserve">% Share 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</si>
  <si>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</si>
  <si>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</si>
  <si>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</si>
  <si>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</si>
  <si>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</si>
  <si>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</si>
  <si>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</si>
  <si>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</si>
  <si>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</si>
  <si>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</si>
  <si>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2008</t>
  </si>
  <si>
    <t>Addu Atoll (S)</t>
  </si>
  <si>
    <t>North Thiladhunmathi Atoll (HA)</t>
  </si>
  <si>
    <t>South Miladhunmadulu Atoll (N)</t>
  </si>
  <si>
    <t>udwdwA egcnirevurutwf</t>
  </si>
  <si>
    <t>Sh</t>
  </si>
  <si>
    <t>N</t>
  </si>
  <si>
    <t>R</t>
  </si>
  <si>
    <t>Lh</t>
  </si>
  <si>
    <t>K</t>
  </si>
  <si>
    <t>L</t>
  </si>
  <si>
    <t>M</t>
  </si>
  <si>
    <t>S</t>
  </si>
  <si>
    <t>B</t>
  </si>
  <si>
    <t>2009</t>
  </si>
  <si>
    <t>North Huvadhu Atoll (GA)</t>
  </si>
  <si>
    <t>V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</si>
  <si>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</si>
  <si>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</si>
  <si>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</si>
  <si>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</si>
  <si>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</si>
  <si>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</si>
  <si>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</si>
  <si>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</si>
  <si>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</si>
  <si>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</si>
  <si>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</si>
  <si>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</si>
  <si>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</si>
  <si>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</si>
  <si>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</si>
  <si>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</si>
  <si>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</si>
  <si>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</si>
  <si>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</si>
  <si>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</si>
  <si>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</si>
  <si>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</si>
  <si>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</si>
  <si>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</si>
  <si>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</si>
  <si>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</si>
  <si>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</si>
  <si>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</si>
  <si>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</si>
  <si>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</si>
  <si>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</si>
  <si>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</si>
  <si>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</si>
  <si>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</si>
  <si>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</si>
  <si>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</si>
  <si>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</si>
  <si>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</si>
  <si>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</si>
  <si>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</si>
  <si>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</si>
  <si>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</si>
  <si>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</si>
  <si>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</si>
  <si>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</si>
  <si>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</si>
  <si>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</si>
  <si>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</si>
  <si>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</si>
  <si>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</si>
  <si>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</si>
  <si>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</si>
  <si>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</si>
  <si>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</si>
  <si>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</si>
  <si>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</si>
  <si>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</si>
  <si>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</si>
  <si>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މާޅޮސްމަޑުލު އުތުރުބުރި (ރ)</t>
  </si>
  <si>
    <t>މާޅޮސްމަޑުލު ދެކުނުބުރި (ބ)</t>
  </si>
  <si>
    <t>ފާދިއްޕޮޅު (ޅ)</t>
  </si>
  <si>
    <t>މާލެ އަތޮޅު (ކ)</t>
  </si>
  <si>
    <t>އަރިއަތޮޅު ދެކުނުބުރި (އދ)</t>
  </si>
  <si>
    <t>ފެލިދެ އަތޮޅު (ވ)</t>
  </si>
  <si>
    <t>އަތޮޅުތައް</t>
  </si>
  <si>
    <t>މުލަކަތޮޅު (މ)</t>
  </si>
  <si>
    <t>ނިލަންދެ އަތޮޅު އުތުރުބުރި (ފ)</t>
  </si>
  <si>
    <t>ނިލަންދެ އަތޮޅު ދެކުނުބުރި (ދ)</t>
  </si>
  <si>
    <t>ތިލަދުންމަތި އުތުރުބުރި (ހއ)</t>
  </si>
  <si>
    <t>އައްޑު އަތޮޅު (ސ)</t>
  </si>
  <si>
    <t>މިލަދުންމަޑޫލު ދެކުނުބުރި (ނ)</t>
  </si>
  <si>
    <t>ހުވަދު އަތޮޅު އުތުރުބުރި (ގއ)</t>
  </si>
  <si>
    <t>އަރިއަތޮޅު އުތުރުބުރި (އއ)</t>
  </si>
  <si>
    <t>2011</t>
  </si>
  <si>
    <t>South Huvadhu Atoll (GDh)</t>
  </si>
  <si>
    <t>Laamu Atoll (L)</t>
  </si>
  <si>
    <t>އިތުރުވި މިންވަރު</t>
  </si>
  <si>
    <t>ހައްދުންމަތި (ލ)</t>
  </si>
  <si>
    <t>ހުވަދު އަތޮޅު ދެކުނުބުރި (ގދ)</t>
  </si>
  <si>
    <t>2012</t>
  </si>
  <si>
    <t>2012 - 2008 ,udwdwA egcnirevurutwf iawaejcaWr cnutogegukwtumuawq : 10.1 ulwvWt</t>
  </si>
  <si>
    <t>Table 10.1 :   FLOW OF TOURISTS BY NATIONALITY, 2008 -  2012</t>
  </si>
  <si>
    <t>North Miladhunmadulu Atoll (Sh)</t>
  </si>
  <si>
    <t>މިލަދުންމަޑޫލު އުތުރުބުރި (ށ)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</si>
  <si>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</si>
  <si>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</si>
  <si>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</si>
  <si>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</si>
  <si>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</si>
  <si>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All Resorts ( include marinas)</t>
  </si>
  <si>
    <t>High concentration of tourist beds near the capital Male/</t>
  </si>
  <si>
    <t>HA</t>
  </si>
  <si>
    <t>AA</t>
  </si>
  <si>
    <t>F</t>
  </si>
  <si>
    <t>D</t>
  </si>
  <si>
    <t>GA</t>
  </si>
  <si>
    <t>GDh</t>
  </si>
  <si>
    <t>ADh</t>
  </si>
  <si>
    <t>Source: Ministry of Tourism</t>
  </si>
  <si>
    <t>cmwzirUT cfoa  IrcTcsinim :ctWrwf ivcaed utWmUluAwm</t>
  </si>
  <si>
    <t>Thaa Atoll (Th)</t>
  </si>
  <si>
    <t>ކޮޅުމަޑުލު (ތ)</t>
  </si>
  <si>
    <t>Th</t>
  </si>
  <si>
    <t>in 2014</t>
  </si>
  <si>
    <t>2013*</t>
  </si>
  <si>
    <t xml:space="preserve">Note: * 2013 data revised </t>
  </si>
  <si>
    <t>ތާވަލު 10.8: ރިސޯޓުތަކުގެ އެނދުގެ ޖާގަ އަތޮޅުތަކަށް ބެހިފައިވާ ގޮތް، 2009 - 2014</t>
  </si>
  <si>
    <t>Table 10.8 :   BED CAPACITY OF TOURIST RESORTS BY ATOLL,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</si>
</sst>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2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1" fillId="0" borderId="1" applyNumberFormat="0"/>
    <xf numFmtId="0" fontId="1" fillId="0" borderId="0"/>
    <xf numFmtId="0" fontId="14" fillId="0" borderId="0"/>
    <xf numFmtId="0" fontId="12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1" fillId="2" borderId="0" xfId="0" applyFont="1" applyFill="1" applyBorder="1" applyAlignment="1">
      <alignment horizontal="right" vertical="center"/>
    </xf>
    <xf numFmtId="0" fontId="22" fillId="2" borderId="18" xfId="4" applyFont="1" applyFill="1" applyBorder="1" applyAlignment="1">
      <alignment horizontal="center" vertical="center"/>
    </xf>
    <xf numFmtId="0" fontId="19" fillId="2" borderId="18" xfId="4" applyFont="1" applyFill="1" applyBorder="1" applyAlignment="1">
      <alignment horizontal="right"/>
    </xf>
    <xf numFmtId="1" fontId="22" fillId="2" borderId="19" xfId="4" applyNumberFormat="1" applyFont="1" applyFill="1" applyBorder="1" applyAlignment="1">
      <alignment vertical="center"/>
    </xf>
    <xf numFmtId="1" fontId="22" fillId="2" borderId="19" xfId="4" applyNumberFormat="1" applyFont="1" applyFill="1" applyBorder="1" applyAlignment="1">
      <alignment horizontal="right" vertical="center"/>
    </xf>
    <xf numFmtId="0" fontId="22" fillId="2" borderId="20" xfId="4" applyFont="1" applyFill="1" applyBorder="1" applyAlignment="1">
      <alignment horizontal="center" vertical="center"/>
    </xf>
    <xf numFmtId="0" fontId="23" fillId="2" borderId="20" xfId="4" applyFont="1" applyFill="1" applyBorder="1" applyAlignment="1" applyProtection="1">
      <alignment horizontal="right" vertical="center"/>
    </xf>
    <xf numFmtId="0" fontId="22" fillId="2" borderId="17" xfId="4" applyFont="1" applyFill="1" applyBorder="1" applyAlignment="1" applyProtection="1">
      <alignment horizontal="left" vertical="center"/>
    </xf>
    <xf numFmtId="3" fontId="22" fillId="2" borderId="17" xfId="4" applyNumberFormat="1" applyFont="1" applyFill="1" applyBorder="1" applyAlignment="1">
      <alignment horizontal="right" vertical="center"/>
    </xf>
    <xf numFmtId="3" fontId="22" fillId="2" borderId="17" xfId="4" applyNumberFormat="1" applyFont="1" applyFill="1" applyBorder="1" applyAlignment="1">
      <alignment horizontal="center" vertical="center"/>
    </xf>
    <xf numFmtId="0" fontId="23" fillId="2" borderId="17" xfId="4" applyFont="1" applyFill="1" applyBorder="1" applyAlignment="1" applyProtection="1">
      <alignment horizontal="right" vertical="center"/>
    </xf>
    <xf numFmtId="3" fontId="19" fillId="2" borderId="15" xfId="4" applyNumberFormat="1" applyFont="1" applyFill="1" applyBorder="1" applyAlignment="1">
      <alignment horizontal="right" vertical="center"/>
    </xf>
    <xf numFmtId="3" fontId="19" fillId="2" borderId="15" xfId="4" applyNumberFormat="1" applyFont="1" applyFill="1" applyBorder="1" applyAlignment="1">
      <alignment horizontal="center" vertical="center"/>
    </xf>
    <xf numFmtId="0" fontId="24" fillId="2" borderId="15" xfId="4" applyFont="1" applyFill="1" applyBorder="1" applyAlignment="1">
      <alignment horizontal="right" vertical="center"/>
    </xf>
    <xf numFmtId="0" fontId="24" fillId="2" borderId="15" xfId="4" applyFont="1" applyFill="1" applyBorder="1" applyAlignment="1" applyProtection="1">
      <alignment horizontal="right" vertical="center"/>
    </xf>
    <xf numFmtId="0" fontId="19" fillId="2" borderId="15" xfId="4" applyFont="1" applyFill="1" applyBorder="1" applyAlignment="1" applyProtection="1">
      <alignment horizontal="left" vertical="center"/>
    </xf>
    <xf numFmtId="3" fontId="19" fillId="2" borderId="15" xfId="4" applyNumberFormat="1" applyFont="1" applyFill="1" applyBorder="1" applyAlignment="1" applyProtection="1">
      <alignment horizontal="right" vertical="center"/>
      <protection locked="0"/>
    </xf>
    <xf numFmtId="3" fontId="19" fillId="2" borderId="16" xfId="4" applyNumberFormat="1" applyFont="1" applyFill="1" applyBorder="1" applyAlignment="1">
      <alignment horizontal="right" vertical="center"/>
    </xf>
    <xf numFmtId="0" fontId="24" fillId="2" borderId="16" xfId="4" applyFont="1" applyFill="1" applyBorder="1" applyAlignment="1" applyProtection="1">
      <alignment horizontal="right" vertical="center"/>
    </xf>
    <xf numFmtId="3" fontId="19" fillId="2" borderId="0" xfId="4" applyNumberFormat="1" applyFont="1" applyFill="1" applyBorder="1" applyAlignment="1">
      <alignment horizontal="right" vertical="center"/>
    </xf>
    <xf numFmtId="0" fontId="24" fillId="2" borderId="0" xfId="4" applyFont="1" applyFill="1" applyBorder="1" applyAlignment="1" applyProtection="1">
      <alignment horizontal="right" vertical="center"/>
    </xf>
    <xf numFmtId="3" fontId="19" fillId="2" borderId="17" xfId="4" applyNumberFormat="1" applyFont="1" applyFill="1" applyBorder="1" applyAlignment="1">
      <alignment horizontal="right" vertical="center"/>
    </xf>
    <xf numFmtId="0" fontId="24" fillId="2" borderId="17" xfId="4" applyFont="1" applyFill="1" applyBorder="1" applyAlignment="1" applyProtection="1">
      <alignment horizontal="right" vertical="center"/>
    </xf>
    <xf numFmtId="3" fontId="19" fillId="2" borderId="20" xfId="4" applyNumberFormat="1" applyFont="1" applyFill="1" applyBorder="1" applyAlignment="1">
      <alignment horizontal="right" vertical="center"/>
    </xf>
    <xf numFmtId="3" fontId="19" fillId="2" borderId="20" xfId="4" applyNumberFormat="1" applyFont="1" applyFill="1" applyBorder="1" applyAlignment="1">
      <alignment horizontal="center" vertical="center"/>
    </xf>
    <xf numFmtId="0" fontId="24" fillId="2" borderId="20" xfId="4" applyFont="1" applyFill="1" applyBorder="1" applyAlignment="1">
      <alignment horizontal="right" vertical="center"/>
    </xf>
    <xf numFmtId="0" fontId="25" fillId="2" borderId="15" xfId="4" applyFont="1" applyFill="1" applyBorder="1"/>
    <xf numFmtId="0" fontId="26" fillId="2" borderId="15" xfId="4" applyFont="1" applyFill="1" applyBorder="1" applyAlignment="1" applyProtection="1">
      <alignment horizontal="left" vertical="center"/>
    </xf>
    <xf numFmtId="3" fontId="25" fillId="2" borderId="15" xfId="4" applyNumberFormat="1" applyFont="1" applyFill="1" applyBorder="1"/>
    <xf numFmtId="3" fontId="19" fillId="2" borderId="0" xfId="4" applyNumberFormat="1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0" fontId="27" fillId="2" borderId="15" xfId="4" applyFont="1" applyFill="1" applyBorder="1" applyAlignment="1" applyProtection="1">
      <alignment horizontal="left" vertical="center"/>
    </xf>
    <xf numFmtId="0" fontId="28" fillId="2" borderId="15" xfId="4" applyFont="1" applyFill="1" applyBorder="1"/>
    <xf numFmtId="0" fontId="19" fillId="2" borderId="15" xfId="4" applyFont="1" applyFill="1" applyBorder="1" applyAlignment="1">
      <alignment horizontal="left" vertical="center"/>
    </xf>
    <xf numFmtId="0" fontId="19" fillId="2" borderId="16" xfId="4" applyFont="1" applyFill="1" applyBorder="1" applyAlignment="1">
      <alignment horizontal="left" vertical="center"/>
    </xf>
    <xf numFmtId="0" fontId="19" fillId="2" borderId="0" xfId="4" applyFont="1" applyFill="1" applyBorder="1" applyAlignment="1">
      <alignment horizontal="left" vertical="center"/>
    </xf>
    <xf numFmtId="0" fontId="19" fillId="2" borderId="17" xfId="4" applyFont="1" applyFill="1" applyBorder="1" applyAlignment="1">
      <alignment horizontal="left" vertical="center"/>
    </xf>
    <xf numFmtId="0" fontId="19" fillId="2" borderId="20" xfId="4" applyFont="1" applyFill="1" applyBorder="1" applyAlignment="1">
      <alignment horizontal="left" vertical="center"/>
    </xf>
    <xf numFmtId="49" fontId="16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8" xfId="2" applyNumberFormat="1" applyFont="1" applyFill="1" applyBorder="1" applyAlignment="1" applyProtection="1">
      <alignment horizontal="left" vertical="center"/>
    </xf>
    <xf numFmtId="170" fontId="17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7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6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7" xfId="0" applyNumberFormat="1" applyFont="1" applyFill="1" applyBorder="1" applyAlignment="1">
      <alignment vertical="center"/>
    </xf>
    <xf numFmtId="169" fontId="17" fillId="2" borderId="8" xfId="2" applyNumberFormat="1" applyFont="1" applyFill="1" applyBorder="1" applyAlignment="1" applyProtection="1">
      <alignment horizontal="left" vertical="center"/>
    </xf>
    <xf numFmtId="170" fontId="17" fillId="2" borderId="9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7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7" xfId="0" applyNumberFormat="1" applyFont="1" applyFill="1" applyBorder="1" applyAlignment="1">
      <alignment vertical="center"/>
    </xf>
    <xf numFmtId="169" fontId="17" fillId="2" borderId="10" xfId="2" applyNumberFormat="1" applyFont="1" applyFill="1" applyBorder="1" applyAlignment="1" applyProtection="1">
      <alignment horizontal="left" vertical="center"/>
    </xf>
    <xf numFmtId="170" fontId="17" fillId="2" borderId="11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6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6" fillId="2" borderId="17" xfId="4" applyFont="1" applyFill="1" applyBorder="1" applyAlignment="1" applyProtection="1">
      <alignment horizontal="left" vertical="center"/>
    </xf>
    <xf numFmtId="3" fontId="19" fillId="2" borderId="21" xfId="4" applyNumberFormat="1" applyFont="1" applyFill="1" applyBorder="1" applyAlignment="1">
      <alignment horizontal="center" vertical="center"/>
    </xf>
    <xf numFmtId="0" fontId="24" fillId="2" borderId="0" xfId="4" applyFont="1" applyFill="1" applyBorder="1" applyAlignment="1">
      <alignment horizontal="right" vertical="center"/>
    </xf>
    <xf numFmtId="0" fontId="27" fillId="2" borderId="16" xfId="4" applyFont="1" applyFill="1" applyBorder="1" applyAlignment="1">
      <alignment horizontal="left" vertical="center"/>
    </xf>
    <xf numFmtId="0" fontId="19" fillId="2" borderId="15" xfId="4" applyFont="1" applyFill="1" applyBorder="1" applyAlignment="1">
      <alignment vertical="center"/>
    </xf>
    <xf numFmtId="1" fontId="25" fillId="2" borderId="15" xfId="4" applyNumberFormat="1" applyFont="1" applyFill="1" applyBorder="1"/>
    <xf numFmtId="0" fontId="19" fillId="2" borderId="16" xfId="4" applyFont="1" applyFill="1" applyBorder="1" applyAlignment="1">
      <alignment vertical="center"/>
    </xf>
    <xf numFmtId="0" fontId="19" fillId="2" borderId="0" xfId="4" applyFont="1" applyFill="1" applyBorder="1" applyAlignment="1">
      <alignment vertical="center"/>
    </xf>
    <xf numFmtId="0" fontId="19" fillId="2" borderId="17" xfId="4" applyFont="1" applyFill="1" applyBorder="1" applyAlignment="1">
      <alignment vertical="center"/>
    </xf>
    <xf numFmtId="0" fontId="19" fillId="2" borderId="20" xfId="4" applyFont="1" applyFill="1" applyBorder="1" applyAlignment="1">
      <alignment vertical="center"/>
    </xf>
    <xf numFmtId="0" fontId="25" fillId="2" borderId="25" xfId="4" applyFont="1" applyFill="1" applyBorder="1"/>
    <xf numFmtId="1" fontId="25" fillId="2" borderId="25" xfId="4" applyNumberFormat="1" applyFont="1" applyFill="1" applyBorder="1"/>
    <xf numFmtId="0" fontId="25" fillId="2" borderId="16" xfId="4" applyFont="1" applyFill="1" applyBorder="1"/>
    <xf numFmtId="0" fontId="19" fillId="2" borderId="21" xfId="4" applyFont="1" applyFill="1" applyBorder="1" applyAlignment="1">
      <alignment vertical="center"/>
    </xf>
    <xf numFmtId="0" fontId="25" fillId="2" borderId="0" xfId="4" applyFont="1" applyFill="1" applyBorder="1"/>
    <xf numFmtId="0" fontId="19" fillId="2" borderId="0" xfId="4" applyFont="1" applyFill="1" applyBorder="1" applyAlignment="1" applyProtection="1">
      <alignment horizontal="left" vertical="center"/>
    </xf>
    <xf numFmtId="0" fontId="25" fillId="2" borderId="23" xfId="4" applyFont="1" applyFill="1" applyBorder="1"/>
    <xf numFmtId="0" fontId="25" fillId="2" borderId="15" xfId="4" applyFont="1" applyFill="1" applyBorder="1" applyAlignment="1">
      <alignment vertical="center"/>
    </xf>
    <xf numFmtId="0" fontId="25" fillId="2" borderId="23" xfId="4" applyFont="1" applyFill="1" applyBorder="1" applyAlignment="1">
      <alignment vertical="center"/>
    </xf>
    <xf numFmtId="0" fontId="25" fillId="2" borderId="0" xfId="4" applyFont="1" applyFill="1" applyBorder="1" applyAlignment="1">
      <alignment vertical="center"/>
    </xf>
    <xf numFmtId="0" fontId="31" fillId="2" borderId="0" xfId="0" applyFont="1" applyFill="1" applyBorder="1"/>
    <xf numFmtId="3" fontId="25" fillId="2" borderId="0" xfId="4" applyNumberFormat="1" applyFont="1" applyFill="1" applyBorder="1" applyAlignment="1">
      <alignment vertical="center"/>
    </xf>
    <xf numFmtId="0" fontId="20" fillId="2" borderId="15" xfId="4" applyFont="1" applyFill="1" applyBorder="1" applyAlignment="1">
      <alignment vertical="center"/>
    </xf>
    <xf numFmtId="0" fontId="20" fillId="2" borderId="23" xfId="4" applyFont="1" applyFill="1" applyBorder="1" applyAlignment="1">
      <alignment vertical="center"/>
    </xf>
    <xf numFmtId="0" fontId="20" fillId="2" borderId="0" xfId="4" applyFont="1" applyFill="1" applyBorder="1" applyAlignment="1">
      <alignment vertical="center"/>
    </xf>
    <xf numFmtId="0" fontId="25" fillId="2" borderId="16" xfId="4" applyFont="1" applyFill="1" applyBorder="1" applyAlignment="1">
      <alignment vertical="center"/>
    </xf>
    <xf numFmtId="0" fontId="25" fillId="2" borderId="28" xfId="4" applyFont="1" applyFill="1" applyBorder="1" applyAlignment="1">
      <alignment vertical="center"/>
    </xf>
    <xf numFmtId="0" fontId="25" fillId="2" borderId="17" xfId="4" applyFont="1" applyFill="1" applyBorder="1" applyAlignment="1">
      <alignment vertical="center"/>
    </xf>
    <xf numFmtId="0" fontId="25" fillId="2" borderId="29" xfId="4" applyFont="1" applyFill="1" applyBorder="1" applyAlignment="1">
      <alignment vertical="center"/>
    </xf>
    <xf numFmtId="0" fontId="31" fillId="2" borderId="0" xfId="0" applyFont="1" applyFill="1"/>
    <xf numFmtId="3" fontId="25" fillId="2" borderId="17" xfId="4" applyNumberFormat="1" applyFont="1" applyFill="1" applyBorder="1" applyAlignment="1">
      <alignment vertical="center"/>
    </xf>
    <xf numFmtId="3" fontId="19" fillId="2" borderId="21" xfId="4" applyNumberFormat="1" applyFont="1" applyFill="1" applyBorder="1" applyAlignment="1">
      <alignment horizontal="right" vertical="center"/>
    </xf>
    <xf numFmtId="169" fontId="25" fillId="2" borderId="0" xfId="2" applyNumberFormat="1" applyFont="1" applyFill="1"/>
    <xf numFmtId="0" fontId="25" fillId="0" borderId="0" xfId="0" applyFont="1"/>
    <xf numFmtId="0" fontId="16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0" fillId="2" borderId="14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0" fillId="2" borderId="16" xfId="4" applyFont="1" applyFill="1" applyBorder="1" applyAlignment="1" applyProtection="1">
      <alignment horizontal="center" vertical="center" wrapText="1"/>
    </xf>
    <xf numFmtId="0" fontId="22" fillId="2" borderId="22" xfId="4" applyFont="1" applyFill="1" applyBorder="1" applyAlignment="1" applyProtection="1">
      <alignment horizontal="center" vertical="center"/>
    </xf>
    <xf numFmtId="0" fontId="22" fillId="2" borderId="19" xfId="4" applyFont="1" applyFill="1" applyBorder="1" applyAlignment="1" applyProtection="1">
      <alignment horizontal="center" vertical="center"/>
    </xf>
    <xf numFmtId="0" fontId="29" fillId="2" borderId="23" xfId="4" applyFont="1" applyFill="1" applyBorder="1" applyAlignment="1">
      <alignment horizontal="center"/>
    </xf>
    <xf numFmtId="0" fontId="29" fillId="2" borderId="24" xfId="4" applyFont="1" applyFill="1" applyBorder="1" applyAlignment="1">
      <alignment horizontal="center"/>
    </xf>
    <xf numFmtId="0" fontId="29" fillId="2" borderId="25" xfId="4" applyFont="1" applyFill="1" applyBorder="1" applyAlignment="1">
      <alignment horizontal="center"/>
    </xf>
    <xf numFmtId="0" fontId="22" fillId="2" borderId="26" xfId="4" applyFont="1" applyFill="1" applyBorder="1" applyAlignment="1">
      <alignment horizontal="center" vertical="center" wrapText="1"/>
    </xf>
    <xf numFmtId="0" fontId="22" fillId="2" borderId="27" xfId="4" applyFont="1" applyFill="1" applyBorder="1" applyAlignment="1">
      <alignment horizontal="center" vertical="center" wrapText="1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643072"/>
        <c:axId val="134669440"/>
      </c:barChart>
      <c:catAx>
        <c:axId val="13464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669440"/>
        <c:crosses val="autoZero"/>
        <c:auto val="1"/>
        <c:lblAlgn val="ctr"/>
        <c:lblOffset val="100"/>
        <c:noMultiLvlLbl val="0"/>
      </c:catAx>
      <c:valAx>
        <c:axId val="13466944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46430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74848"/>
        <c:axId val="134576384"/>
      </c:barChart>
      <c:catAx>
        <c:axId val="13457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576384"/>
        <c:crosses val="autoZero"/>
        <c:auto val="1"/>
        <c:lblAlgn val="ctr"/>
        <c:lblOffset val="100"/>
        <c:noMultiLvlLbl val="0"/>
      </c:catAx>
      <c:valAx>
        <c:axId val="134576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4574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10.12: Number of resorts by Atoll,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462472525179492"/>
          <c:y val="0.12317002041411521"/>
          <c:w val="0.8706422847921651"/>
          <c:h val="0.71877223680373437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'10.8'!$AI$26:$AI$43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'10.8'!$AK$26:$AK$43</c:f>
              <c:numCache>
                <c:formatCode>General</c:formatCode>
                <c:ptCount val="1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  <c:pt idx="6">
                  <c:v>43</c:v>
                </c:pt>
                <c:pt idx="7">
                  <c:v>13</c:v>
                </c:pt>
                <c:pt idx="8">
                  <c:v>16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36327552"/>
        <c:axId val="136329088"/>
      </c:barChart>
      <c:catAx>
        <c:axId val="13632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6329088"/>
        <c:crosses val="autoZero"/>
        <c:auto val="1"/>
        <c:lblAlgn val="ctr"/>
        <c:lblOffset val="100"/>
        <c:noMultiLvlLbl val="0"/>
      </c:catAx>
      <c:valAx>
        <c:axId val="13632908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78E-3"/>
              <c:y val="0.342565616797900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632755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 b="1" i="0" baseline="0">
                <a:latin typeface="Consolas" pitchFamily="49" charset="0"/>
                <a:cs typeface="Consolas" pitchFamily="49" charset="0"/>
              </a:rPr>
              <a:t>Figure 10.13: Number of beds of tourist resorts by Atolls, 2014  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7024307772339276"/>
          <c:y val="2.4751102287851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867638446020694"/>
          <c:y val="0.1684970651395849"/>
          <c:w val="0.83663217717620009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1.8885741265344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'10.8'!$AI$26:$AI$43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'10.8'!$AJ$26:$AJ$43</c:f>
              <c:numCache>
                <c:formatCode>_(* #,##0_);_(* \(#,##0\);_(* "-"??_);_(@_)</c:formatCode>
                <c:ptCount val="18"/>
                <c:pt idx="0">
                  <c:v>464</c:v>
                </c:pt>
                <c:pt idx="1">
                  <c:v>97</c:v>
                </c:pt>
                <c:pt idx="2">
                  <c:v>796</c:v>
                </c:pt>
                <c:pt idx="3">
                  <c:v>656</c:v>
                </c:pt>
                <c:pt idx="4">
                  <c:v>1704</c:v>
                </c:pt>
                <c:pt idx="5">
                  <c:v>1636</c:v>
                </c:pt>
                <c:pt idx="6">
                  <c:v>9272</c:v>
                </c:pt>
                <c:pt idx="7">
                  <c:v>2216</c:v>
                </c:pt>
                <c:pt idx="8">
                  <c:v>3862</c:v>
                </c:pt>
                <c:pt idx="9">
                  <c:v>402</c:v>
                </c:pt>
                <c:pt idx="10">
                  <c:v>400</c:v>
                </c:pt>
                <c:pt idx="11">
                  <c:v>250</c:v>
                </c:pt>
                <c:pt idx="12">
                  <c:v>590</c:v>
                </c:pt>
                <c:pt idx="13">
                  <c:v>46</c:v>
                </c:pt>
                <c:pt idx="14">
                  <c:v>194</c:v>
                </c:pt>
                <c:pt idx="15">
                  <c:v>524</c:v>
                </c:pt>
                <c:pt idx="16">
                  <c:v>200</c:v>
                </c:pt>
                <c:pt idx="17">
                  <c:v>826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36366336"/>
        <c:axId val="152907776"/>
      </c:barChart>
      <c:catAx>
        <c:axId val="1363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2907776"/>
        <c:crosses val="autoZero"/>
        <c:auto val="1"/>
        <c:lblAlgn val="ctr"/>
        <c:lblOffset val="100"/>
        <c:noMultiLvlLbl val="0"/>
      </c:catAx>
      <c:valAx>
        <c:axId val="152907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3636633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1851660</xdr:colOff>
      <xdr:row>25</xdr:row>
      <xdr:rowOff>76200</xdr:rowOff>
    </xdr:from>
    <xdr:to>
      <xdr:col>8</xdr:col>
      <xdr:colOff>220980</xdr:colOff>
      <xdr:row>37</xdr:row>
      <xdr:rowOff>68580</xdr:rowOff>
    </xdr:to>
    <xdr:graphicFrame macro="">
      <xdr:nvGraphicFramePr>
        <xdr:cNvPr id="23164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1798320</xdr:colOff>
      <xdr:row>38</xdr:row>
      <xdr:rowOff>152400</xdr:rowOff>
    </xdr:from>
    <xdr:to>
      <xdr:col>8</xdr:col>
      <xdr:colOff>213360</xdr:colOff>
      <xdr:row>54</xdr:row>
      <xdr:rowOff>121920</xdr:rowOff>
    </xdr:to>
    <xdr:graphicFrame macro="">
      <xdr:nvGraphicFramePr>
        <xdr:cNvPr id="23164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243840</xdr:colOff>
      <xdr:row>42</xdr:row>
      <xdr:rowOff>76200</xdr:rowOff>
    </xdr:from>
    <xdr:to>
      <xdr:col>7</xdr:col>
      <xdr:colOff>960120</xdr:colOff>
      <xdr:row>45</xdr:row>
      <xdr:rowOff>0</xdr:rowOff>
    </xdr:to>
    <xdr:sp macro="" textlink="">
      <xdr:nvSpPr>
        <xdr:cNvPr id="4" name="TextBox 3"/>
        <xdr:cNvSpPr txBox="1"/>
      </xdr:nvSpPr>
      <xdr:spPr>
        <a:xfrm>
          <a:off x="4549140" y="8976360"/>
          <a:ext cx="1905000" cy="4343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900" b="0" i="1" u="none" strike="noStrike">
              <a:ln>
                <a:solidFill>
                  <a:srgbClr val="7030A0"/>
                </a:solidFill>
              </a:ln>
              <a:solidFill>
                <a:schemeClr val="dk1"/>
              </a:solidFill>
              <a:latin typeface="Segoe Print" pitchFamily="2" charset="0"/>
              <a:ea typeface="+mn-ea"/>
              <a:cs typeface="+mn-cs"/>
            </a:rPr>
            <a:t>High concentration of tourist beds near the capital Male</a:t>
          </a:r>
          <a:r>
            <a:rPr lang="en-US" sz="900" b="0" i="1" u="none" strike="noStrike">
              <a:ln>
                <a:solidFill>
                  <a:srgbClr val="7030A0"/>
                </a:solidFill>
              </a:ln>
              <a:solidFill>
                <a:schemeClr val="dk1"/>
              </a:solidFill>
              <a:latin typeface="Humanst521 Lt BT" pitchFamily="34" charset="0"/>
              <a:ea typeface="+mn-ea"/>
              <a:cs typeface="+mn-cs"/>
            </a:rPr>
            <a:t>'</a:t>
          </a:r>
          <a:r>
            <a:rPr lang="en-US" sz="900" i="1">
              <a:ln>
                <a:solidFill>
                  <a:srgbClr val="7030A0"/>
                </a:solidFill>
              </a:ln>
              <a:latin typeface="Humanst521 Lt BT" pitchFamily="34" charset="0"/>
            </a:rPr>
            <a:t> </a:t>
          </a:r>
        </a:p>
      </xdr:txBody>
    </xdr:sp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5" name="Left Arrow 4"/>
        <xdr:cNvSpPr/>
      </xdr:nvSpPr>
      <xdr:spPr bwMode="auto">
        <a:xfrm>
          <a:off x="3489960" y="9174480"/>
          <a:ext cx="960120" cy="83820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480060</xdr:colOff>
      <xdr:row>43</xdr:row>
      <xdr:rowOff>68580</xdr:rowOff>
    </xdr:from>
    <xdr:to>
      <xdr:col>5</xdr:col>
      <xdr:colOff>137160</xdr:colOff>
      <xdr:row>44</xdr:row>
      <xdr:rowOff>38100</xdr:rowOff>
    </xdr:to>
    <xdr:sp macro="" textlink="">
      <xdr:nvSpPr>
        <xdr:cNvPr id="7" name="Left Arrow 6"/>
        <xdr:cNvSpPr/>
      </xdr:nvSpPr>
      <xdr:spPr bwMode="auto">
        <a:xfrm>
          <a:off x="4191000" y="9144000"/>
          <a:ext cx="251460" cy="137160"/>
        </a:xfrm>
        <a:prstGeom prst="leftArrow">
          <a:avLst/>
        </a:prstGeom>
        <a:solidFill>
          <a:srgbClr val="9C00EA"/>
        </a:solidFill>
        <a:ln w="9525" cap="flat" cmpd="sng" algn="ctr">
          <a:solidFill>
            <a:schemeClr val="accent4">
              <a:lumMod val="40000"/>
              <a:lumOff val="6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11" t="s">
        <v>109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M1" s="2" t="s">
        <v>12</v>
      </c>
      <c r="N1" s="2" t="s">
        <v>26</v>
      </c>
      <c r="O1" s="2" t="s">
        <v>84</v>
      </c>
      <c r="P1" s="2" t="s">
        <v>102</v>
      </c>
      <c r="Q1" s="45" t="s">
        <v>108</v>
      </c>
      <c r="S1" s="46">
        <f>Q2/M2</f>
        <v>5.5298836452988356</v>
      </c>
      <c r="T1" s="47" t="s">
        <v>113</v>
      </c>
      <c r="U1" s="47"/>
    </row>
    <row r="2" spans="1:21" ht="9.75" customHeight="1">
      <c r="A2" s="112" t="s">
        <v>110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48" t="s">
        <v>56</v>
      </c>
      <c r="M2" s="49">
        <f>M4/1000</f>
        <v>41.511000000000003</v>
      </c>
      <c r="N2" s="49">
        <f>N4/1000</f>
        <v>60.665999999999997</v>
      </c>
      <c r="O2" s="49">
        <f>O4/1000</f>
        <v>118.961</v>
      </c>
      <c r="P2" s="49">
        <f>P4/1000</f>
        <v>198.655</v>
      </c>
      <c r="Q2" s="49">
        <f>Q4/1000</f>
        <v>229.55099999999999</v>
      </c>
      <c r="R2" s="50" t="s">
        <v>114</v>
      </c>
    </row>
    <row r="3" spans="1:21" ht="3.7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21" ht="21" customHeight="1">
      <c r="A4" s="113" t="s">
        <v>115</v>
      </c>
      <c r="B4" s="108" t="s">
        <v>16</v>
      </c>
      <c r="C4" s="116"/>
      <c r="D4" s="116"/>
      <c r="E4" s="116"/>
      <c r="F4" s="117"/>
      <c r="G4" s="118" t="s">
        <v>105</v>
      </c>
      <c r="H4" s="109"/>
      <c r="I4" s="109"/>
      <c r="J4" s="109"/>
      <c r="K4" s="119"/>
      <c r="L4" s="48" t="s">
        <v>56</v>
      </c>
      <c r="M4" s="49">
        <v>41511</v>
      </c>
      <c r="N4" s="49">
        <v>60666</v>
      </c>
      <c r="O4" s="51">
        <v>118961</v>
      </c>
      <c r="P4" s="51">
        <v>198655</v>
      </c>
      <c r="Q4" s="52">
        <v>229551</v>
      </c>
    </row>
    <row r="5" spans="1:21" ht="13.5" customHeight="1">
      <c r="A5" s="114"/>
      <c r="B5" s="107" t="s">
        <v>85</v>
      </c>
      <c r="C5" s="107"/>
      <c r="D5" s="107"/>
      <c r="E5" s="107"/>
      <c r="F5" s="120"/>
      <c r="G5" s="121" t="s">
        <v>86</v>
      </c>
      <c r="H5" s="110"/>
      <c r="I5" s="110"/>
      <c r="J5" s="110"/>
      <c r="K5" s="122"/>
    </row>
    <row r="6" spans="1:21" ht="15" customHeight="1">
      <c r="A6" s="115"/>
      <c r="B6" s="2" t="s">
        <v>12</v>
      </c>
      <c r="C6" s="2" t="s">
        <v>26</v>
      </c>
      <c r="D6" s="2" t="s">
        <v>84</v>
      </c>
      <c r="E6" s="2" t="s">
        <v>102</v>
      </c>
      <c r="F6" s="45" t="s">
        <v>108</v>
      </c>
      <c r="G6" s="53">
        <v>2008</v>
      </c>
      <c r="H6" s="3">
        <v>2009</v>
      </c>
      <c r="I6" s="3">
        <v>2010</v>
      </c>
      <c r="J6" s="3">
        <v>2011</v>
      </c>
      <c r="K6" s="54">
        <v>2012</v>
      </c>
    </row>
    <row r="7" spans="1:21" ht="12.75" customHeight="1">
      <c r="A7" s="48" t="s">
        <v>56</v>
      </c>
      <c r="B7" s="49">
        <v>41511</v>
      </c>
      <c r="C7" s="49">
        <v>60666</v>
      </c>
      <c r="D7" s="51">
        <v>118961</v>
      </c>
      <c r="E7" s="51">
        <v>198655</v>
      </c>
      <c r="F7" s="52">
        <v>229551</v>
      </c>
      <c r="G7" s="55">
        <v>15.385256837891928</v>
      </c>
      <c r="H7" s="55">
        <f t="shared" ref="H7:K38" si="0">(C7-B7)/B7*100</f>
        <v>46.144395461443956</v>
      </c>
      <c r="I7" s="56">
        <f t="shared" si="0"/>
        <v>96.091715293574651</v>
      </c>
      <c r="J7" s="56">
        <f t="shared" si="0"/>
        <v>66.991703163221558</v>
      </c>
      <c r="K7" s="57">
        <f t="shared" si="0"/>
        <v>15.552591175656289</v>
      </c>
    </row>
    <row r="8" spans="1:21" ht="12.75" customHeight="1">
      <c r="A8" s="48" t="s">
        <v>35</v>
      </c>
      <c r="B8" s="49">
        <v>69240</v>
      </c>
      <c r="C8" s="49">
        <v>69085</v>
      </c>
      <c r="D8" s="51">
        <v>77108</v>
      </c>
      <c r="E8" s="51">
        <v>90517</v>
      </c>
      <c r="F8" s="52">
        <v>98351</v>
      </c>
      <c r="G8" s="55">
        <v>-4.1912853367280576</v>
      </c>
      <c r="H8" s="55">
        <f t="shared" si="0"/>
        <v>-0.2238590410167533</v>
      </c>
      <c r="I8" s="56">
        <f t="shared" si="0"/>
        <v>11.613230078888325</v>
      </c>
      <c r="J8" s="56">
        <f t="shared" si="0"/>
        <v>17.389894693157647</v>
      </c>
      <c r="K8" s="57">
        <f t="shared" si="0"/>
        <v>8.654727841179005</v>
      </c>
    </row>
    <row r="9" spans="1:21" ht="12.75" customHeight="1">
      <c r="A9" s="48" t="s">
        <v>53</v>
      </c>
      <c r="B9" s="49">
        <v>116821</v>
      </c>
      <c r="C9" s="49">
        <v>105950</v>
      </c>
      <c r="D9" s="51">
        <v>114158</v>
      </c>
      <c r="E9" s="51">
        <v>104508</v>
      </c>
      <c r="F9" s="52">
        <v>91776</v>
      </c>
      <c r="G9" s="55">
        <v>-6.6611802681410701</v>
      </c>
      <c r="H9" s="55">
        <f t="shared" si="0"/>
        <v>-9.3056899016443957</v>
      </c>
      <c r="I9" s="56">
        <f t="shared" si="0"/>
        <v>7.7470504955167536</v>
      </c>
      <c r="J9" s="56">
        <f t="shared" si="0"/>
        <v>-8.4531964470295549</v>
      </c>
      <c r="K9" s="57">
        <f t="shared" si="0"/>
        <v>-12.182799402916524</v>
      </c>
    </row>
    <row r="10" spans="1:21" ht="12.75" customHeight="1">
      <c r="A10" s="48" t="s">
        <v>45</v>
      </c>
      <c r="B10" s="49">
        <v>48978</v>
      </c>
      <c r="C10" s="49">
        <v>40014</v>
      </c>
      <c r="D10" s="51">
        <v>49111</v>
      </c>
      <c r="E10" s="51">
        <v>63936</v>
      </c>
      <c r="F10" s="52">
        <v>66378</v>
      </c>
      <c r="G10" s="55">
        <v>53.801224682053693</v>
      </c>
      <c r="H10" s="55">
        <f t="shared" si="0"/>
        <v>-18.302094818081589</v>
      </c>
      <c r="I10" s="56">
        <f t="shared" si="0"/>
        <v>22.734542909981506</v>
      </c>
      <c r="J10" s="56">
        <f t="shared" si="0"/>
        <v>30.186719879456742</v>
      </c>
      <c r="K10" s="57">
        <f t="shared" si="0"/>
        <v>3.8194444444444446</v>
      </c>
    </row>
    <row r="11" spans="1:21" ht="12.75" customHeight="1">
      <c r="A11" s="48" t="s">
        <v>40</v>
      </c>
      <c r="B11" s="49">
        <v>103824</v>
      </c>
      <c r="C11" s="49">
        <v>89292</v>
      </c>
      <c r="D11" s="51">
        <v>89596</v>
      </c>
      <c r="E11" s="51">
        <v>83088</v>
      </c>
      <c r="F11" s="52">
        <v>62782</v>
      </c>
      <c r="G11" s="55">
        <v>-11.44772529553247</v>
      </c>
      <c r="H11" s="55">
        <f t="shared" si="0"/>
        <v>-13.996763754045308</v>
      </c>
      <c r="I11" s="56">
        <f t="shared" si="0"/>
        <v>0.34045603189535456</v>
      </c>
      <c r="J11" s="56">
        <f t="shared" si="0"/>
        <v>-7.2637171302290273</v>
      </c>
      <c r="K11" s="57">
        <f t="shared" si="0"/>
        <v>-24.439148854226843</v>
      </c>
    </row>
    <row r="12" spans="1:21" ht="12.75" customHeight="1">
      <c r="A12" s="48" t="s">
        <v>34</v>
      </c>
      <c r="B12" s="49">
        <v>48100</v>
      </c>
      <c r="C12" s="49">
        <v>50373</v>
      </c>
      <c r="D12" s="51">
        <v>54789</v>
      </c>
      <c r="E12" s="51">
        <v>59694</v>
      </c>
      <c r="F12" s="52">
        <v>56775</v>
      </c>
      <c r="G12" s="55">
        <v>6.1786715525043601</v>
      </c>
      <c r="H12" s="55">
        <f t="shared" si="0"/>
        <v>4.7255717255717258</v>
      </c>
      <c r="I12" s="56">
        <f t="shared" si="0"/>
        <v>8.766601155380858</v>
      </c>
      <c r="J12" s="56">
        <f t="shared" si="0"/>
        <v>8.9525269670919343</v>
      </c>
      <c r="K12" s="57">
        <f t="shared" si="0"/>
        <v>-4.889938687305257</v>
      </c>
    </row>
    <row r="13" spans="1:21" ht="12.75" customHeight="1">
      <c r="A13" s="48" t="s">
        <v>59</v>
      </c>
      <c r="B13" s="49">
        <v>38193</v>
      </c>
      <c r="C13" s="49">
        <v>36641</v>
      </c>
      <c r="D13" s="51">
        <v>38791</v>
      </c>
      <c r="E13" s="51">
        <v>35782</v>
      </c>
      <c r="F13" s="52">
        <v>36438</v>
      </c>
      <c r="G13" s="55">
        <v>-7.120449405413293</v>
      </c>
      <c r="H13" s="55">
        <f t="shared" si="0"/>
        <v>-4.063571858717566</v>
      </c>
      <c r="I13" s="56">
        <f t="shared" si="0"/>
        <v>5.8677437842853637</v>
      </c>
      <c r="J13" s="56">
        <f t="shared" si="0"/>
        <v>-7.7569539326132348</v>
      </c>
      <c r="K13" s="57">
        <f t="shared" si="0"/>
        <v>1.8333240176625119</v>
      </c>
    </row>
    <row r="14" spans="1:21" ht="12.75" customHeight="1">
      <c r="A14" s="48" t="s">
        <v>50</v>
      </c>
      <c r="B14" s="49">
        <v>26983</v>
      </c>
      <c r="C14" s="49">
        <v>26783</v>
      </c>
      <c r="D14" s="51">
        <v>27766</v>
      </c>
      <c r="E14" s="51">
        <v>32504</v>
      </c>
      <c r="F14" s="52">
        <v>35457</v>
      </c>
      <c r="G14" s="55">
        <v>3.0554176373983117</v>
      </c>
      <c r="H14" s="55">
        <f t="shared" si="0"/>
        <v>-0.74120742689841757</v>
      </c>
      <c r="I14" s="56">
        <f t="shared" si="0"/>
        <v>3.6702385841765301</v>
      </c>
      <c r="J14" s="56">
        <f t="shared" si="0"/>
        <v>17.064035150903983</v>
      </c>
      <c r="K14" s="57">
        <f t="shared" si="0"/>
        <v>9.0850356879153349</v>
      </c>
    </row>
    <row r="15" spans="1:21" ht="12.75" customHeight="1">
      <c r="A15" s="48" t="s">
        <v>57</v>
      </c>
      <c r="B15" s="49">
        <v>16663</v>
      </c>
      <c r="C15" s="49">
        <v>15850</v>
      </c>
      <c r="D15" s="51">
        <v>25756</v>
      </c>
      <c r="E15" s="51">
        <v>30978</v>
      </c>
      <c r="F15" s="52">
        <v>31721</v>
      </c>
      <c r="G15" s="55">
        <v>-3.832169446528539</v>
      </c>
      <c r="H15" s="55">
        <f t="shared" si="0"/>
        <v>-4.8790733961471524</v>
      </c>
      <c r="I15" s="56">
        <f t="shared" si="0"/>
        <v>62.498422712933753</v>
      </c>
      <c r="J15" s="56">
        <f t="shared" si="0"/>
        <v>20.274887404876534</v>
      </c>
      <c r="K15" s="57">
        <f t="shared" si="0"/>
        <v>2.3984763380463554</v>
      </c>
    </row>
    <row r="16" spans="1:21" ht="12.75" customHeight="1">
      <c r="A16" s="48" t="s">
        <v>60</v>
      </c>
      <c r="B16" s="49">
        <v>20934</v>
      </c>
      <c r="C16" s="49">
        <v>16135</v>
      </c>
      <c r="D16" s="51">
        <v>24808</v>
      </c>
      <c r="E16" s="51">
        <v>25285</v>
      </c>
      <c r="F16" s="52">
        <v>23933</v>
      </c>
      <c r="G16" s="55">
        <v>-0.20022883295194507</v>
      </c>
      <c r="H16" s="55">
        <f t="shared" si="0"/>
        <v>-22.92442915830706</v>
      </c>
      <c r="I16" s="56">
        <f t="shared" si="0"/>
        <v>53.752711496746208</v>
      </c>
      <c r="J16" s="56">
        <f t="shared" si="0"/>
        <v>1.9227668494034182</v>
      </c>
      <c r="K16" s="57">
        <f t="shared" si="0"/>
        <v>-5.3470437017994854</v>
      </c>
    </row>
    <row r="17" spans="1:15" ht="12.75" customHeight="1">
      <c r="A17" s="58" t="s">
        <v>54</v>
      </c>
      <c r="B17" s="59">
        <v>9482</v>
      </c>
      <c r="C17" s="59">
        <v>9476</v>
      </c>
      <c r="D17" s="60">
        <v>10220</v>
      </c>
      <c r="E17" s="60">
        <v>12088</v>
      </c>
      <c r="F17" s="61">
        <v>18612</v>
      </c>
      <c r="G17" s="62">
        <v>16.272225628448805</v>
      </c>
      <c r="H17" s="62">
        <f t="shared" si="0"/>
        <v>-6.3277789495886944E-2</v>
      </c>
      <c r="I17" s="63">
        <f t="shared" si="0"/>
        <v>7.8514140987758552</v>
      </c>
      <c r="J17" s="63">
        <f t="shared" si="0"/>
        <v>18.277886497064578</v>
      </c>
      <c r="K17" s="64">
        <f t="shared" si="0"/>
        <v>53.970880211780283</v>
      </c>
    </row>
    <row r="18" spans="1:15" ht="12.75" customHeight="1">
      <c r="A18" s="58" t="s">
        <v>29</v>
      </c>
      <c r="B18" s="59">
        <v>13462</v>
      </c>
      <c r="C18" s="59">
        <v>13274</v>
      </c>
      <c r="D18" s="60">
        <v>14944</v>
      </c>
      <c r="E18" s="60">
        <v>16655</v>
      </c>
      <c r="F18" s="61">
        <v>18164</v>
      </c>
      <c r="G18" s="62">
        <v>-1.5431873034447401</v>
      </c>
      <c r="H18" s="62">
        <f t="shared" si="0"/>
        <v>-1.3965235477640767</v>
      </c>
      <c r="I18" s="63">
        <f t="shared" si="0"/>
        <v>12.580985384963087</v>
      </c>
      <c r="J18" s="63">
        <f t="shared" si="0"/>
        <v>11.44941113490364</v>
      </c>
      <c r="K18" s="64">
        <f t="shared" si="0"/>
        <v>9.0603422395676976</v>
      </c>
    </row>
    <row r="19" spans="1:15" ht="12.75" customHeight="1">
      <c r="A19" s="58" t="s">
        <v>73</v>
      </c>
      <c r="B19" s="59">
        <v>8853</v>
      </c>
      <c r="C19" s="59">
        <v>9438</v>
      </c>
      <c r="D19" s="60">
        <v>11482</v>
      </c>
      <c r="E19" s="60">
        <v>14490</v>
      </c>
      <c r="F19" s="61">
        <v>16049</v>
      </c>
      <c r="G19" s="62">
        <v>-5.2952503209242625</v>
      </c>
      <c r="H19" s="62">
        <f t="shared" si="0"/>
        <v>6.607929515418502</v>
      </c>
      <c r="I19" s="63">
        <f t="shared" si="0"/>
        <v>21.657130748039837</v>
      </c>
      <c r="J19" s="63">
        <f t="shared" si="0"/>
        <v>26.197526563316497</v>
      </c>
      <c r="K19" s="64">
        <f t="shared" si="0"/>
        <v>10.759144237405106</v>
      </c>
    </row>
    <row r="20" spans="1:15" ht="12.75" customHeight="1">
      <c r="A20" s="58" t="s">
        <v>75</v>
      </c>
      <c r="B20" s="59">
        <v>9368</v>
      </c>
      <c r="C20" s="59">
        <v>7392</v>
      </c>
      <c r="D20" s="60">
        <v>9622</v>
      </c>
      <c r="E20" s="60">
        <v>12778</v>
      </c>
      <c r="F20" s="61">
        <v>15208</v>
      </c>
      <c r="G20" s="62">
        <v>-0.40399744843716773</v>
      </c>
      <c r="H20" s="62">
        <f t="shared" si="0"/>
        <v>-21.093082835183605</v>
      </c>
      <c r="I20" s="63">
        <f t="shared" si="0"/>
        <v>30.167748917748916</v>
      </c>
      <c r="J20" s="63">
        <f t="shared" si="0"/>
        <v>32.799833714404492</v>
      </c>
      <c r="K20" s="64">
        <f t="shared" si="0"/>
        <v>19.017060572859602</v>
      </c>
    </row>
    <row r="21" spans="1:15" ht="12.75" customHeight="1">
      <c r="A21" s="58" t="s">
        <v>64</v>
      </c>
      <c r="B21" s="59">
        <v>4956</v>
      </c>
      <c r="C21" s="59">
        <v>5214</v>
      </c>
      <c r="D21" s="60">
        <v>5332</v>
      </c>
      <c r="E21" s="60">
        <v>7990</v>
      </c>
      <c r="F21" s="61">
        <v>9625</v>
      </c>
      <c r="G21" s="62">
        <v>11.220825852782765</v>
      </c>
      <c r="H21" s="62">
        <f t="shared" si="0"/>
        <v>5.2058111380145284</v>
      </c>
      <c r="I21" s="63">
        <f t="shared" si="0"/>
        <v>2.263137706175681</v>
      </c>
      <c r="J21" s="63">
        <f t="shared" si="0"/>
        <v>49.849962490622659</v>
      </c>
      <c r="K21" s="64">
        <f t="shared" si="0"/>
        <v>20.463078848560702</v>
      </c>
    </row>
    <row r="22" spans="1:15" ht="12.75" customHeight="1">
      <c r="A22" s="58" t="s">
        <v>65</v>
      </c>
      <c r="B22" s="59">
        <v>9752</v>
      </c>
      <c r="C22" s="59">
        <v>7833</v>
      </c>
      <c r="D22" s="60">
        <v>7872</v>
      </c>
      <c r="E22" s="60">
        <v>9670</v>
      </c>
      <c r="F22" s="61">
        <v>8860</v>
      </c>
      <c r="G22" s="62">
        <v>1.015123264967889</v>
      </c>
      <c r="H22" s="62">
        <f t="shared" si="0"/>
        <v>-19.678014766201805</v>
      </c>
      <c r="I22" s="63">
        <f t="shared" si="0"/>
        <v>0.49789352738414405</v>
      </c>
      <c r="J22" s="63">
        <f t="shared" si="0"/>
        <v>22.840447154471544</v>
      </c>
      <c r="K22" s="64">
        <f t="shared" si="0"/>
        <v>-8.3764219234746644</v>
      </c>
    </row>
    <row r="23" spans="1:15" ht="12.75" customHeight="1">
      <c r="A23" s="58" t="s">
        <v>48</v>
      </c>
      <c r="B23" s="59">
        <v>8217</v>
      </c>
      <c r="C23" s="59">
        <v>7279</v>
      </c>
      <c r="D23" s="60">
        <v>8912</v>
      </c>
      <c r="E23" s="60">
        <v>9710</v>
      </c>
      <c r="F23" s="61">
        <v>8824</v>
      </c>
      <c r="G23" s="62">
        <v>-6.6037735849056602</v>
      </c>
      <c r="H23" s="62">
        <f t="shared" si="0"/>
        <v>-11.415358403310211</v>
      </c>
      <c r="I23" s="63">
        <f t="shared" si="0"/>
        <v>22.434400329715622</v>
      </c>
      <c r="J23" s="63">
        <f t="shared" si="0"/>
        <v>8.9542190305206457</v>
      </c>
      <c r="K23" s="64">
        <f t="shared" si="0"/>
        <v>-9.1246138002059727</v>
      </c>
      <c r="O23" s="47" t="s">
        <v>116</v>
      </c>
    </row>
    <row r="24" spans="1:15" ht="12.75" customHeight="1">
      <c r="A24" s="58" t="s">
        <v>52</v>
      </c>
      <c r="B24" s="59">
        <v>5399</v>
      </c>
      <c r="C24" s="59">
        <v>4643</v>
      </c>
      <c r="D24" s="60">
        <v>5445</v>
      </c>
      <c r="E24" s="60">
        <v>6729</v>
      </c>
      <c r="F24" s="61">
        <v>8044</v>
      </c>
      <c r="G24" s="62">
        <v>52.299012693935119</v>
      </c>
      <c r="H24" s="62">
        <f t="shared" si="0"/>
        <v>-14.002593072791258</v>
      </c>
      <c r="I24" s="63">
        <f t="shared" si="0"/>
        <v>17.273314667241007</v>
      </c>
      <c r="J24" s="63">
        <f t="shared" si="0"/>
        <v>23.581267217630856</v>
      </c>
      <c r="K24" s="64">
        <f t="shared" si="0"/>
        <v>19.542279684945758</v>
      </c>
    </row>
    <row r="25" spans="1:15" ht="12.75" customHeight="1">
      <c r="A25" s="58" t="s">
        <v>80</v>
      </c>
      <c r="B25" s="59">
        <v>2747</v>
      </c>
      <c r="C25" s="59">
        <v>3036</v>
      </c>
      <c r="D25" s="60">
        <v>4040</v>
      </c>
      <c r="E25" s="60">
        <v>5005</v>
      </c>
      <c r="F25" s="61">
        <v>7263</v>
      </c>
      <c r="G25" s="62">
        <v>41.597938144329902</v>
      </c>
      <c r="H25" s="62">
        <f t="shared" si="0"/>
        <v>10.520567892246087</v>
      </c>
      <c r="I25" s="63">
        <f t="shared" si="0"/>
        <v>33.06982872200264</v>
      </c>
      <c r="J25" s="63">
        <f t="shared" si="0"/>
        <v>23.886138613861384</v>
      </c>
      <c r="K25" s="64">
        <f t="shared" si="0"/>
        <v>45.114885114885119</v>
      </c>
    </row>
    <row r="26" spans="1:15" ht="12.75" customHeight="1">
      <c r="A26" s="58" t="s">
        <v>67</v>
      </c>
      <c r="B26" s="59">
        <v>3952</v>
      </c>
      <c r="C26" s="59">
        <v>3813</v>
      </c>
      <c r="D26" s="60">
        <v>5397</v>
      </c>
      <c r="E26" s="60">
        <v>6214</v>
      </c>
      <c r="F26" s="61">
        <v>6896</v>
      </c>
      <c r="G26" s="62">
        <v>7.8897078897078892</v>
      </c>
      <c r="H26" s="62">
        <f t="shared" si="0"/>
        <v>-3.5172064777327936</v>
      </c>
      <c r="I26" s="63">
        <f t="shared" si="0"/>
        <v>41.542092840283239</v>
      </c>
      <c r="J26" s="63">
        <f t="shared" si="0"/>
        <v>15.138039651658328</v>
      </c>
      <c r="K26" s="64">
        <f t="shared" si="0"/>
        <v>10.975217251367878</v>
      </c>
    </row>
    <row r="27" spans="1:15" ht="12.75" customHeight="1">
      <c r="A27" s="58" t="s">
        <v>61</v>
      </c>
      <c r="B27" s="59">
        <v>3137</v>
      </c>
      <c r="C27" s="59">
        <v>3139</v>
      </c>
      <c r="D27" s="60">
        <v>3894</v>
      </c>
      <c r="E27" s="60">
        <v>6055</v>
      </c>
      <c r="F27" s="61">
        <v>6766</v>
      </c>
      <c r="G27" s="62">
        <v>4.6015338446148721</v>
      </c>
      <c r="H27" s="62">
        <f t="shared" si="0"/>
        <v>6.3755180108383797E-2</v>
      </c>
      <c r="I27" s="63">
        <f t="shared" si="0"/>
        <v>24.052245938196879</v>
      </c>
      <c r="J27" s="63">
        <f t="shared" si="0"/>
        <v>55.495634309193633</v>
      </c>
      <c r="K27" s="64">
        <f t="shared" si="0"/>
        <v>11.742361684558217</v>
      </c>
    </row>
    <row r="28" spans="1:15" ht="12.75" customHeight="1">
      <c r="A28" s="58" t="s">
        <v>41</v>
      </c>
      <c r="B28" s="59">
        <v>5595</v>
      </c>
      <c r="C28" s="59">
        <v>5355</v>
      </c>
      <c r="D28" s="60">
        <v>5682</v>
      </c>
      <c r="E28" s="60">
        <v>5693</v>
      </c>
      <c r="F28" s="61">
        <v>6077</v>
      </c>
      <c r="G28" s="62">
        <v>-13.644080876678499</v>
      </c>
      <c r="H28" s="62">
        <f t="shared" si="0"/>
        <v>-4.2895442359249332</v>
      </c>
      <c r="I28" s="63">
        <f t="shared" si="0"/>
        <v>6.1064425770308119</v>
      </c>
      <c r="J28" s="63">
        <f t="shared" si="0"/>
        <v>0.19359380499824005</v>
      </c>
      <c r="K28" s="64">
        <f t="shared" si="0"/>
        <v>6.745125592833304</v>
      </c>
    </row>
    <row r="29" spans="1:15" ht="12.75" customHeight="1">
      <c r="A29" s="58" t="s">
        <v>82</v>
      </c>
      <c r="B29" s="59">
        <v>2585</v>
      </c>
      <c r="C29" s="59">
        <v>2744</v>
      </c>
      <c r="D29" s="60">
        <v>3336</v>
      </c>
      <c r="E29" s="60">
        <v>4130</v>
      </c>
      <c r="F29" s="61">
        <v>5880</v>
      </c>
      <c r="G29" s="62">
        <v>26.777832270720943</v>
      </c>
      <c r="H29" s="62">
        <f t="shared" si="0"/>
        <v>6.1508704061895552</v>
      </c>
      <c r="I29" s="63">
        <f t="shared" si="0"/>
        <v>21.574344023323615</v>
      </c>
      <c r="J29" s="63">
        <f t="shared" si="0"/>
        <v>23.800959232613909</v>
      </c>
      <c r="K29" s="64">
        <f t="shared" si="0"/>
        <v>42.372881355932201</v>
      </c>
    </row>
    <row r="30" spans="1:15" ht="12.75" customHeight="1">
      <c r="A30" s="58" t="s">
        <v>31</v>
      </c>
      <c r="B30" s="59">
        <v>3811</v>
      </c>
      <c r="C30" s="59">
        <v>3851</v>
      </c>
      <c r="D30" s="60">
        <v>5137</v>
      </c>
      <c r="E30" s="60">
        <v>6471</v>
      </c>
      <c r="F30" s="61">
        <v>5588</v>
      </c>
      <c r="G30" s="62">
        <v>37.780187997107738</v>
      </c>
      <c r="H30" s="62">
        <f t="shared" si="0"/>
        <v>1.0495932826029915</v>
      </c>
      <c r="I30" s="63">
        <f t="shared" si="0"/>
        <v>33.393923656193195</v>
      </c>
      <c r="J30" s="63">
        <f t="shared" si="0"/>
        <v>25.968464084095778</v>
      </c>
      <c r="K30" s="64">
        <f t="shared" si="0"/>
        <v>-13.645495286663575</v>
      </c>
    </row>
    <row r="31" spans="1:15" ht="12.75" customHeight="1">
      <c r="A31" s="58" t="s">
        <v>51</v>
      </c>
      <c r="B31" s="59">
        <v>3235</v>
      </c>
      <c r="C31" s="59">
        <v>2758</v>
      </c>
      <c r="D31" s="60">
        <v>4637</v>
      </c>
      <c r="E31" s="60">
        <v>4542</v>
      </c>
      <c r="F31" s="61">
        <v>5416</v>
      </c>
      <c r="G31" s="62">
        <v>32.473382473382472</v>
      </c>
      <c r="H31" s="62">
        <f t="shared" si="0"/>
        <v>-14.744976816074187</v>
      </c>
      <c r="I31" s="63">
        <f t="shared" si="0"/>
        <v>68.129079042784625</v>
      </c>
      <c r="J31" s="63">
        <f t="shared" si="0"/>
        <v>-2.0487384084537417</v>
      </c>
      <c r="K31" s="64">
        <f t="shared" si="0"/>
        <v>19.242624394539849</v>
      </c>
    </row>
    <row r="32" spans="1:15" ht="12.75" customHeight="1">
      <c r="A32" s="58" t="s">
        <v>49</v>
      </c>
      <c r="B32" s="59">
        <v>3542</v>
      </c>
      <c r="C32" s="59">
        <v>3165</v>
      </c>
      <c r="D32" s="60">
        <v>3638</v>
      </c>
      <c r="E32" s="60">
        <v>4896</v>
      </c>
      <c r="F32" s="61">
        <v>5230</v>
      </c>
      <c r="G32" s="62">
        <v>64.820846905537451</v>
      </c>
      <c r="H32" s="62">
        <f t="shared" si="0"/>
        <v>-10.643704121964992</v>
      </c>
      <c r="I32" s="63">
        <f t="shared" si="0"/>
        <v>14.944707740916272</v>
      </c>
      <c r="J32" s="63">
        <f t="shared" si="0"/>
        <v>34.579439252336449</v>
      </c>
      <c r="K32" s="64">
        <f t="shared" si="0"/>
        <v>6.8218954248366011</v>
      </c>
    </row>
    <row r="33" spans="1:14" ht="12.75" customHeight="1">
      <c r="A33" s="58" t="s">
        <v>72</v>
      </c>
      <c r="B33" s="59">
        <v>2966</v>
      </c>
      <c r="C33" s="59">
        <v>3043</v>
      </c>
      <c r="D33" s="60">
        <v>3815</v>
      </c>
      <c r="E33" s="60">
        <v>4690</v>
      </c>
      <c r="F33" s="61">
        <v>5070</v>
      </c>
      <c r="G33" s="62">
        <v>4.0336723956506493</v>
      </c>
      <c r="H33" s="62">
        <f t="shared" si="0"/>
        <v>2.5960890087660147</v>
      </c>
      <c r="I33" s="63">
        <f t="shared" si="0"/>
        <v>25.369700953006902</v>
      </c>
      <c r="J33" s="63">
        <f t="shared" si="0"/>
        <v>22.935779816513762</v>
      </c>
      <c r="K33" s="64">
        <f t="shared" si="0"/>
        <v>8.1023454157782524</v>
      </c>
    </row>
    <row r="34" spans="1:14" ht="12.75" customHeight="1">
      <c r="A34" s="58" t="s">
        <v>66</v>
      </c>
      <c r="B34" s="59">
        <v>2233</v>
      </c>
      <c r="C34" s="59">
        <v>1975</v>
      </c>
      <c r="D34" s="60">
        <v>3831</v>
      </c>
      <c r="E34" s="60">
        <v>5305</v>
      </c>
      <c r="F34" s="61">
        <v>4430</v>
      </c>
      <c r="G34" s="62">
        <v>10.654112983151636</v>
      </c>
      <c r="H34" s="62">
        <f t="shared" si="0"/>
        <v>-11.553963278101209</v>
      </c>
      <c r="I34" s="63">
        <f t="shared" si="0"/>
        <v>93.974683544303801</v>
      </c>
      <c r="J34" s="63">
        <f t="shared" si="0"/>
        <v>38.475593839728525</v>
      </c>
      <c r="K34" s="64">
        <f t="shared" si="0"/>
        <v>-16.493873704052781</v>
      </c>
    </row>
    <row r="35" spans="1:14" ht="12.75" customHeight="1">
      <c r="A35" s="58" t="s">
        <v>81</v>
      </c>
      <c r="B35" s="59">
        <v>1394</v>
      </c>
      <c r="C35" s="59">
        <v>1580</v>
      </c>
      <c r="D35" s="60">
        <v>1699</v>
      </c>
      <c r="E35" s="60">
        <v>2292</v>
      </c>
      <c r="F35" s="61">
        <v>4047</v>
      </c>
      <c r="G35" s="62">
        <v>72.738537794299873</v>
      </c>
      <c r="H35" s="62">
        <f t="shared" si="0"/>
        <v>13.342898134863701</v>
      </c>
      <c r="I35" s="63">
        <f t="shared" si="0"/>
        <v>7.5316455696202533</v>
      </c>
      <c r="J35" s="63">
        <f t="shared" si="0"/>
        <v>34.90288404944085</v>
      </c>
      <c r="K35" s="64">
        <f t="shared" si="0"/>
        <v>76.570680628272243</v>
      </c>
    </row>
    <row r="36" spans="1:14" ht="12.75" customHeight="1">
      <c r="A36" s="58" t="s">
        <v>69</v>
      </c>
      <c r="B36" s="59">
        <v>3732</v>
      </c>
      <c r="C36" s="59">
        <v>2975</v>
      </c>
      <c r="D36" s="60">
        <v>3157</v>
      </c>
      <c r="E36" s="60">
        <v>3684</v>
      </c>
      <c r="F36" s="61">
        <v>3967</v>
      </c>
      <c r="G36" s="62">
        <v>13.331308836926814</v>
      </c>
      <c r="H36" s="62">
        <f t="shared" si="0"/>
        <v>-20.284030010718112</v>
      </c>
      <c r="I36" s="63">
        <f t="shared" si="0"/>
        <v>6.1176470588235299</v>
      </c>
      <c r="J36" s="63">
        <f t="shared" si="0"/>
        <v>16.69306303452645</v>
      </c>
      <c r="K36" s="64">
        <f t="shared" si="0"/>
        <v>7.681867535287731</v>
      </c>
    </row>
    <row r="37" spans="1:14" ht="12.75" customHeight="1">
      <c r="A37" s="58" t="s">
        <v>43</v>
      </c>
      <c r="B37" s="59">
        <v>3325</v>
      </c>
      <c r="C37" s="59">
        <v>3357</v>
      </c>
      <c r="D37" s="60">
        <v>3795</v>
      </c>
      <c r="E37" s="60">
        <v>4158</v>
      </c>
      <c r="F37" s="61">
        <v>3918</v>
      </c>
      <c r="G37" s="62">
        <v>25.047010154193305</v>
      </c>
      <c r="H37" s="62">
        <f t="shared" si="0"/>
        <v>0.96240601503759393</v>
      </c>
      <c r="I37" s="63">
        <f t="shared" si="0"/>
        <v>13.047363717605004</v>
      </c>
      <c r="J37" s="63">
        <f t="shared" si="0"/>
        <v>9.5652173913043477</v>
      </c>
      <c r="K37" s="64">
        <f t="shared" si="0"/>
        <v>-5.7720057720057723</v>
      </c>
    </row>
    <row r="38" spans="1:14" ht="12.75" customHeight="1">
      <c r="A38" s="58" t="s">
        <v>44</v>
      </c>
      <c r="B38" s="59">
        <v>4150</v>
      </c>
      <c r="C38" s="59">
        <v>4822</v>
      </c>
      <c r="D38" s="60">
        <v>4555</v>
      </c>
      <c r="E38" s="60">
        <v>4434</v>
      </c>
      <c r="F38" s="61">
        <v>3660</v>
      </c>
      <c r="G38" s="62">
        <v>-0.90735434574976126</v>
      </c>
      <c r="H38" s="62">
        <f t="shared" si="0"/>
        <v>16.192771084337348</v>
      </c>
      <c r="I38" s="63">
        <f t="shared" si="0"/>
        <v>-5.5371215263376188</v>
      </c>
      <c r="J38" s="63">
        <f t="shared" si="0"/>
        <v>-2.6564215148188803</v>
      </c>
      <c r="K38" s="64">
        <f t="shared" si="0"/>
        <v>-17.456021650879567</v>
      </c>
    </row>
    <row r="39" spans="1:14" ht="12.75" customHeight="1">
      <c r="A39" s="58" t="s">
        <v>32</v>
      </c>
      <c r="B39" s="59">
        <v>1834</v>
      </c>
      <c r="C39" s="59">
        <v>1722</v>
      </c>
      <c r="D39" s="60">
        <v>2422</v>
      </c>
      <c r="E39" s="60">
        <v>3173</v>
      </c>
      <c r="F39" s="61">
        <v>3493</v>
      </c>
      <c r="G39" s="62">
        <v>0.82462891698735563</v>
      </c>
      <c r="H39" s="62">
        <f t="shared" ref="H39:K60" si="1">(C39-B39)/B39*100</f>
        <v>-6.1068702290076331</v>
      </c>
      <c r="I39" s="63">
        <f t="shared" si="1"/>
        <v>40.650406504065039</v>
      </c>
      <c r="J39" s="63">
        <f t="shared" si="1"/>
        <v>31.007431874483899</v>
      </c>
      <c r="K39" s="64">
        <f t="shared" si="1"/>
        <v>10.085092971950834</v>
      </c>
    </row>
    <row r="40" spans="1:14" ht="12.75" customHeight="1">
      <c r="A40" s="58" t="s">
        <v>70</v>
      </c>
      <c r="B40" s="59">
        <v>1962</v>
      </c>
      <c r="C40" s="59">
        <v>2059</v>
      </c>
      <c r="D40" s="60">
        <v>2471</v>
      </c>
      <c r="E40" s="60">
        <v>2781</v>
      </c>
      <c r="F40" s="61">
        <v>3128</v>
      </c>
      <c r="G40" s="62">
        <v>26.336123631680618</v>
      </c>
      <c r="H40" s="62">
        <f t="shared" si="1"/>
        <v>4.9439347604485224</v>
      </c>
      <c r="I40" s="63">
        <f t="shared" si="1"/>
        <v>20.009713453132587</v>
      </c>
      <c r="J40" s="63">
        <f t="shared" si="1"/>
        <v>12.545528126264671</v>
      </c>
      <c r="K40" s="64">
        <f t="shared" si="1"/>
        <v>12.47752606975908</v>
      </c>
    </row>
    <row r="41" spans="1:14" ht="12.75" customHeight="1">
      <c r="A41" s="58" t="s">
        <v>71</v>
      </c>
      <c r="B41" s="59">
        <v>1327</v>
      </c>
      <c r="C41" s="59">
        <v>1304</v>
      </c>
      <c r="D41" s="60">
        <v>1761</v>
      </c>
      <c r="E41" s="60">
        <v>2342</v>
      </c>
      <c r="F41" s="61">
        <v>3061</v>
      </c>
      <c r="G41" s="62">
        <v>87.429378531073439</v>
      </c>
      <c r="H41" s="62">
        <f t="shared" si="1"/>
        <v>-1.7332328560663148</v>
      </c>
      <c r="I41" s="63">
        <f t="shared" si="1"/>
        <v>35.04601226993865</v>
      </c>
      <c r="J41" s="63">
        <f t="shared" si="1"/>
        <v>32.992617830777967</v>
      </c>
      <c r="K41" s="64">
        <f t="shared" si="1"/>
        <v>30.700256191289498</v>
      </c>
    </row>
    <row r="42" spans="1:14" ht="12.75" customHeight="1">
      <c r="A42" s="58" t="s">
        <v>78</v>
      </c>
      <c r="B42" s="59">
        <v>1340</v>
      </c>
      <c r="C42" s="59">
        <v>1181</v>
      </c>
      <c r="D42" s="60">
        <v>1409</v>
      </c>
      <c r="E42" s="60">
        <v>1797</v>
      </c>
      <c r="F42" s="61">
        <v>2987</v>
      </c>
      <c r="G42" s="62">
        <v>33.466135458167329</v>
      </c>
      <c r="H42" s="62">
        <f t="shared" si="1"/>
        <v>-11.865671641791046</v>
      </c>
      <c r="I42" s="63">
        <f t="shared" si="1"/>
        <v>19.30567315834039</v>
      </c>
      <c r="J42" s="63">
        <f t="shared" si="1"/>
        <v>27.537260468417319</v>
      </c>
      <c r="K42" s="64">
        <f t="shared" si="1"/>
        <v>66.221480244852543</v>
      </c>
    </row>
    <row r="43" spans="1:14" ht="12.75" customHeight="1">
      <c r="A43" s="58" t="s">
        <v>42</v>
      </c>
      <c r="B43" s="59">
        <v>2596</v>
      </c>
      <c r="C43" s="59">
        <v>2120</v>
      </c>
      <c r="D43" s="60">
        <v>2153</v>
      </c>
      <c r="E43" s="60">
        <v>2775</v>
      </c>
      <c r="F43" s="61">
        <v>2902</v>
      </c>
      <c r="G43" s="62">
        <v>43.584070796460175</v>
      </c>
      <c r="H43" s="62">
        <f t="shared" si="1"/>
        <v>-18.335901386748844</v>
      </c>
      <c r="I43" s="63">
        <f t="shared" si="1"/>
        <v>1.5566037735849056</v>
      </c>
      <c r="J43" s="63">
        <f t="shared" si="1"/>
        <v>28.889921040408733</v>
      </c>
      <c r="K43" s="64">
        <f t="shared" si="1"/>
        <v>4.576576576576576</v>
      </c>
    </row>
    <row r="44" spans="1:14" ht="12.75" customHeight="1">
      <c r="A44" s="58" t="s">
        <v>46</v>
      </c>
      <c r="B44" s="59">
        <v>1916</v>
      </c>
      <c r="C44" s="59">
        <v>1970</v>
      </c>
      <c r="D44" s="60">
        <v>2348</v>
      </c>
      <c r="E44" s="60">
        <v>2822</v>
      </c>
      <c r="F44" s="61">
        <v>2636</v>
      </c>
      <c r="G44" s="62">
        <v>30.428863172226006</v>
      </c>
      <c r="H44" s="62">
        <f t="shared" si="1"/>
        <v>2.8183716075156577</v>
      </c>
      <c r="I44" s="63">
        <f t="shared" si="1"/>
        <v>19.18781725888325</v>
      </c>
      <c r="J44" s="63">
        <f t="shared" si="1"/>
        <v>20.187393526405451</v>
      </c>
      <c r="K44" s="64">
        <f t="shared" si="1"/>
        <v>-6.5910701630049608</v>
      </c>
    </row>
    <row r="45" spans="1:14" ht="12.75" customHeight="1">
      <c r="A45" s="58" t="s">
        <v>74</v>
      </c>
      <c r="B45" s="59">
        <v>1334</v>
      </c>
      <c r="C45" s="59">
        <v>1374</v>
      </c>
      <c r="D45" s="60">
        <v>1543</v>
      </c>
      <c r="E45" s="60">
        <v>2132</v>
      </c>
      <c r="F45" s="61">
        <v>2594</v>
      </c>
      <c r="G45" s="62">
        <v>3.3307513555383426</v>
      </c>
      <c r="H45" s="62">
        <f t="shared" si="1"/>
        <v>2.9985007496251872</v>
      </c>
      <c r="I45" s="63">
        <f t="shared" si="1"/>
        <v>12.299854439592432</v>
      </c>
      <c r="J45" s="63">
        <f t="shared" si="1"/>
        <v>38.172391445236556</v>
      </c>
      <c r="K45" s="64">
        <f t="shared" si="1"/>
        <v>21.669793621013135</v>
      </c>
      <c r="N45" s="47" t="s">
        <v>117</v>
      </c>
    </row>
    <row r="46" spans="1:14" ht="12" customHeight="1">
      <c r="A46" s="58" t="s">
        <v>39</v>
      </c>
      <c r="B46" s="59">
        <v>1588</v>
      </c>
      <c r="C46" s="59">
        <v>1380</v>
      </c>
      <c r="D46" s="60">
        <v>2113</v>
      </c>
      <c r="E46" s="60">
        <v>2433</v>
      </c>
      <c r="F46" s="61">
        <v>2569</v>
      </c>
      <c r="G46" s="62">
        <v>21.406727828746178</v>
      </c>
      <c r="H46" s="62">
        <f t="shared" si="1"/>
        <v>-13.09823677581864</v>
      </c>
      <c r="I46" s="63">
        <f t="shared" si="1"/>
        <v>53.115942028985508</v>
      </c>
      <c r="J46" s="63">
        <f t="shared" si="1"/>
        <v>15.144344533838144</v>
      </c>
      <c r="K46" s="64">
        <f t="shared" si="1"/>
        <v>5.589806822852446</v>
      </c>
    </row>
    <row r="47" spans="1:14" ht="12.75" customHeight="1">
      <c r="A47" s="58" t="s">
        <v>38</v>
      </c>
      <c r="B47" s="59">
        <v>2884</v>
      </c>
      <c r="C47" s="59">
        <v>2420</v>
      </c>
      <c r="D47" s="60">
        <v>2514</v>
      </c>
      <c r="E47" s="60">
        <v>2444</v>
      </c>
      <c r="F47" s="61">
        <v>2483</v>
      </c>
      <c r="G47" s="62">
        <v>-8.3862770012706473</v>
      </c>
      <c r="H47" s="62">
        <f t="shared" si="1"/>
        <v>-16.08876560332871</v>
      </c>
      <c r="I47" s="63">
        <f t="shared" si="1"/>
        <v>3.884297520661157</v>
      </c>
      <c r="J47" s="63">
        <f t="shared" si="1"/>
        <v>-2.7844073190135243</v>
      </c>
      <c r="K47" s="64">
        <f t="shared" si="1"/>
        <v>1.5957446808510638</v>
      </c>
    </row>
    <row r="48" spans="1:14" ht="12.75" customHeight="1">
      <c r="A48" s="58" t="s">
        <v>37</v>
      </c>
      <c r="B48" s="59">
        <v>2052</v>
      </c>
      <c r="C48" s="59">
        <v>1848</v>
      </c>
      <c r="D48" s="60">
        <v>2434</v>
      </c>
      <c r="E48" s="60">
        <v>2596</v>
      </c>
      <c r="F48" s="61">
        <v>2408</v>
      </c>
      <c r="G48" s="62">
        <v>-20.093457943925234</v>
      </c>
      <c r="H48" s="62">
        <f t="shared" si="1"/>
        <v>-9.9415204678362574</v>
      </c>
      <c r="I48" s="63">
        <f t="shared" si="1"/>
        <v>31.70995670995671</v>
      </c>
      <c r="J48" s="63">
        <f t="shared" si="1"/>
        <v>6.6557107641741986</v>
      </c>
      <c r="K48" s="64">
        <f t="shared" si="1"/>
        <v>-7.2419106317411401</v>
      </c>
    </row>
    <row r="49" spans="1:11" ht="12.75" customHeight="1">
      <c r="A49" s="58" t="s">
        <v>68</v>
      </c>
      <c r="B49" s="59">
        <v>1065</v>
      </c>
      <c r="C49" s="59">
        <v>1182</v>
      </c>
      <c r="D49" s="60">
        <v>1575</v>
      </c>
      <c r="E49" s="60">
        <v>2485</v>
      </c>
      <c r="F49" s="61">
        <v>2345</v>
      </c>
      <c r="G49" s="62">
        <v>-45.412608918503331</v>
      </c>
      <c r="H49" s="62">
        <f t="shared" si="1"/>
        <v>10.985915492957748</v>
      </c>
      <c r="I49" s="63">
        <f t="shared" si="1"/>
        <v>33.248730964467008</v>
      </c>
      <c r="J49" s="63">
        <f t="shared" si="1"/>
        <v>57.777777777777771</v>
      </c>
      <c r="K49" s="64">
        <f t="shared" si="1"/>
        <v>-5.6338028169014089</v>
      </c>
    </row>
    <row r="50" spans="1:11" ht="12.75" customHeight="1">
      <c r="A50" s="58" t="s">
        <v>63</v>
      </c>
      <c r="B50" s="59">
        <v>871</v>
      </c>
      <c r="C50" s="59">
        <v>979</v>
      </c>
      <c r="D50" s="60">
        <v>1066</v>
      </c>
      <c r="E50" s="60">
        <v>1652</v>
      </c>
      <c r="F50" s="61">
        <v>2265</v>
      </c>
      <c r="G50" s="62">
        <v>-11.303462321792262</v>
      </c>
      <c r="H50" s="62">
        <f t="shared" si="1"/>
        <v>12.399540757749714</v>
      </c>
      <c r="I50" s="63">
        <f t="shared" si="1"/>
        <v>8.88661899897855</v>
      </c>
      <c r="J50" s="63">
        <f t="shared" si="1"/>
        <v>54.971857410881796</v>
      </c>
      <c r="K50" s="64">
        <f t="shared" si="1"/>
        <v>37.106537530266344</v>
      </c>
    </row>
    <row r="51" spans="1:11" ht="12.75" customHeight="1">
      <c r="A51" s="58" t="s">
        <v>36</v>
      </c>
      <c r="B51" s="59">
        <v>4926</v>
      </c>
      <c r="C51" s="59">
        <v>5406</v>
      </c>
      <c r="D51" s="60">
        <v>4630</v>
      </c>
      <c r="E51" s="60">
        <v>3009</v>
      </c>
      <c r="F51" s="61">
        <v>2058</v>
      </c>
      <c r="G51" s="62">
        <v>1.5670103092783505</v>
      </c>
      <c r="H51" s="62">
        <f t="shared" si="1"/>
        <v>9.7442143727161987</v>
      </c>
      <c r="I51" s="63">
        <f t="shared" si="1"/>
        <v>-14.354421013688496</v>
      </c>
      <c r="J51" s="63">
        <f t="shared" si="1"/>
        <v>-35.010799136069117</v>
      </c>
      <c r="K51" s="64">
        <f t="shared" si="1"/>
        <v>-31.605184446660019</v>
      </c>
    </row>
    <row r="52" spans="1:11" ht="12.75" customHeight="1">
      <c r="A52" s="58" t="s">
        <v>62</v>
      </c>
      <c r="B52" s="59">
        <v>1191</v>
      </c>
      <c r="C52" s="59">
        <v>1046</v>
      </c>
      <c r="D52" s="60">
        <v>1256</v>
      </c>
      <c r="E52" s="60">
        <v>1842</v>
      </c>
      <c r="F52" s="61">
        <v>1857</v>
      </c>
      <c r="G52" s="62">
        <v>17.5715695952616</v>
      </c>
      <c r="H52" s="62">
        <f t="shared" si="1"/>
        <v>-12.174643157010916</v>
      </c>
      <c r="I52" s="63">
        <f t="shared" si="1"/>
        <v>20.076481835564053</v>
      </c>
      <c r="J52" s="63">
        <f t="shared" si="1"/>
        <v>46.656050955414017</v>
      </c>
      <c r="K52" s="64">
        <f t="shared" si="1"/>
        <v>0.81433224755700329</v>
      </c>
    </row>
    <row r="53" spans="1:11" ht="12.75" customHeight="1">
      <c r="A53" s="58" t="s">
        <v>58</v>
      </c>
      <c r="B53" s="59">
        <v>581</v>
      </c>
      <c r="C53" s="59">
        <v>677</v>
      </c>
      <c r="D53" s="60">
        <v>818</v>
      </c>
      <c r="E53" s="60">
        <v>1283</v>
      </c>
      <c r="F53" s="61">
        <v>1772</v>
      </c>
      <c r="G53" s="62">
        <v>-38.388123011664902</v>
      </c>
      <c r="H53" s="62">
        <f t="shared" si="1"/>
        <v>16.523235800344235</v>
      </c>
      <c r="I53" s="63">
        <f t="shared" si="1"/>
        <v>20.827178729689809</v>
      </c>
      <c r="J53" s="63">
        <f t="shared" si="1"/>
        <v>56.845965770171148</v>
      </c>
      <c r="K53" s="64">
        <f t="shared" si="1"/>
        <v>38.113795791114576</v>
      </c>
    </row>
    <row r="54" spans="1:11" ht="12.75" customHeight="1">
      <c r="A54" s="58" t="s">
        <v>79</v>
      </c>
      <c r="B54" s="59">
        <v>1139</v>
      </c>
      <c r="C54" s="59">
        <v>984</v>
      </c>
      <c r="D54" s="60">
        <v>1145</v>
      </c>
      <c r="E54" s="60">
        <v>1346</v>
      </c>
      <c r="F54" s="61">
        <v>1666</v>
      </c>
      <c r="G54" s="62">
        <v>72.575757575757578</v>
      </c>
      <c r="H54" s="62">
        <f t="shared" si="1"/>
        <v>-13.608428446005268</v>
      </c>
      <c r="I54" s="63">
        <f t="shared" si="1"/>
        <v>16.361788617886177</v>
      </c>
      <c r="J54" s="63">
        <f t="shared" si="1"/>
        <v>17.554585152838428</v>
      </c>
      <c r="K54" s="64">
        <f t="shared" si="1"/>
        <v>23.774145616641899</v>
      </c>
    </row>
    <row r="55" spans="1:11" ht="12.75" customHeight="1">
      <c r="A55" s="58" t="s">
        <v>76</v>
      </c>
      <c r="B55" s="59">
        <v>1184</v>
      </c>
      <c r="C55" s="59">
        <v>991</v>
      </c>
      <c r="D55" s="60">
        <v>1103</v>
      </c>
      <c r="E55" s="60">
        <v>1390</v>
      </c>
      <c r="F55" s="61">
        <v>1579</v>
      </c>
      <c r="G55" s="62">
        <v>3.6777583187390541</v>
      </c>
      <c r="H55" s="62">
        <f t="shared" si="1"/>
        <v>-16.300675675675674</v>
      </c>
      <c r="I55" s="63">
        <f t="shared" si="1"/>
        <v>11.301715438950556</v>
      </c>
      <c r="J55" s="63">
        <f t="shared" si="1"/>
        <v>26.019945602901178</v>
      </c>
      <c r="K55" s="64">
        <f t="shared" si="1"/>
        <v>13.597122302158274</v>
      </c>
    </row>
    <row r="56" spans="1:11" ht="12.75" customHeight="1">
      <c r="A56" s="58" t="s">
        <v>30</v>
      </c>
      <c r="B56" s="59">
        <v>3368</v>
      </c>
      <c r="C56" s="59">
        <v>3437</v>
      </c>
      <c r="D56" s="60">
        <v>4386</v>
      </c>
      <c r="E56" s="60">
        <v>5738</v>
      </c>
      <c r="F56" s="61">
        <v>1509</v>
      </c>
      <c r="G56" s="62">
        <v>-5.1801801801801801</v>
      </c>
      <c r="H56" s="62">
        <f t="shared" si="1"/>
        <v>2.0486935866983371</v>
      </c>
      <c r="I56" s="63">
        <f t="shared" si="1"/>
        <v>27.611288914751235</v>
      </c>
      <c r="J56" s="63">
        <f t="shared" si="1"/>
        <v>30.825353397172822</v>
      </c>
      <c r="K56" s="64">
        <f t="shared" si="1"/>
        <v>-73.701638201463922</v>
      </c>
    </row>
    <row r="57" spans="1:11" ht="12.75" customHeight="1">
      <c r="A57" s="58" t="s">
        <v>33</v>
      </c>
      <c r="B57" s="59">
        <v>865</v>
      </c>
      <c r="C57" s="59">
        <v>1088</v>
      </c>
      <c r="D57" s="60">
        <v>1281</v>
      </c>
      <c r="E57" s="60">
        <v>1535</v>
      </c>
      <c r="F57" s="61">
        <v>1402</v>
      </c>
      <c r="G57" s="62">
        <v>9.6324461343472745</v>
      </c>
      <c r="H57" s="62">
        <f t="shared" si="1"/>
        <v>25.780346820809246</v>
      </c>
      <c r="I57" s="63">
        <f t="shared" si="1"/>
        <v>17.738970588235293</v>
      </c>
      <c r="J57" s="63">
        <f t="shared" si="1"/>
        <v>19.828259172521467</v>
      </c>
      <c r="K57" s="64">
        <f t="shared" si="1"/>
        <v>-8.664495114006515</v>
      </c>
    </row>
    <row r="58" spans="1:11" ht="12.75" customHeight="1">
      <c r="A58" s="58" t="s">
        <v>47</v>
      </c>
      <c r="B58" s="59">
        <v>1372</v>
      </c>
      <c r="C58" s="59">
        <v>1324</v>
      </c>
      <c r="D58" s="60">
        <v>1647</v>
      </c>
      <c r="E58" s="60">
        <v>1609</v>
      </c>
      <c r="F58" s="61">
        <v>1295</v>
      </c>
      <c r="G58" s="62">
        <v>13.953488372093023</v>
      </c>
      <c r="H58" s="62">
        <f t="shared" si="1"/>
        <v>-3.4985422740524781</v>
      </c>
      <c r="I58" s="63">
        <f t="shared" si="1"/>
        <v>24.395770392749245</v>
      </c>
      <c r="J58" s="63">
        <f t="shared" si="1"/>
        <v>-2.3072252580449302</v>
      </c>
      <c r="K58" s="64">
        <f t="shared" si="1"/>
        <v>-19.515226848974518</v>
      </c>
    </row>
    <row r="59" spans="1:11" ht="12.75" customHeight="1">
      <c r="A59" s="58" t="s">
        <v>55</v>
      </c>
      <c r="B59" s="59">
        <v>455</v>
      </c>
      <c r="C59" s="59">
        <v>388</v>
      </c>
      <c r="D59" s="60">
        <v>525</v>
      </c>
      <c r="E59" s="60">
        <v>1496</v>
      </c>
      <c r="F59" s="61">
        <v>1221</v>
      </c>
      <c r="G59" s="62">
        <v>-64.563862928348911</v>
      </c>
      <c r="H59" s="62">
        <f t="shared" si="1"/>
        <v>-14.725274725274726</v>
      </c>
      <c r="I59" s="63">
        <f t="shared" si="1"/>
        <v>35.309278350515463</v>
      </c>
      <c r="J59" s="63">
        <f t="shared" si="1"/>
        <v>184.95238095238096</v>
      </c>
      <c r="K59" s="64">
        <f t="shared" si="1"/>
        <v>-18.382352941176471</v>
      </c>
    </row>
    <row r="60" spans="1:11" ht="12.75" customHeight="1">
      <c r="A60" s="65" t="s">
        <v>77</v>
      </c>
      <c r="B60" s="66">
        <v>22</v>
      </c>
      <c r="C60" s="66">
        <v>21</v>
      </c>
      <c r="D60" s="67">
        <v>31</v>
      </c>
      <c r="E60" s="67">
        <v>27</v>
      </c>
      <c r="F60" s="68">
        <v>39</v>
      </c>
      <c r="G60" s="69">
        <v>-80.530973451327441</v>
      </c>
      <c r="H60" s="69">
        <f t="shared" si="1"/>
        <v>-4.5454545454545459</v>
      </c>
      <c r="I60" s="70">
        <f t="shared" si="1"/>
        <v>47.619047619047613</v>
      </c>
      <c r="J60" s="70">
        <f t="shared" si="1"/>
        <v>-12.903225806451612</v>
      </c>
      <c r="K60" s="71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2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2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43"/>
  <sheetViews>
    <sheetView tabSelected="1" zoomScaleNormal="100" workbookViewId="0">
      <selection activeCell="U17" sqref="U17"/>
    </sheetView>
  </sheetViews>
  <sheetFormatPr defaultColWidth="9.140625" defaultRowHeight="12.75"/>
  <cols>
    <col min="1" max="1" width="28.140625" style="33" customWidth="1"/>
    <col min="2" max="7" width="8.7109375" style="33" customWidth="1"/>
    <col min="8" max="8" width="17" style="33" customWidth="1"/>
    <col min="9" max="9" width="23.28515625" style="33" customWidth="1"/>
    <col min="10" max="10" width="2" style="33" customWidth="1"/>
    <col min="11" max="35" width="9.140625" style="33"/>
    <col min="36" max="36" width="9.42578125" style="33" bestFit="1" customWidth="1"/>
    <col min="37" max="16384" width="9.140625" style="33"/>
  </cols>
  <sheetData>
    <row r="1" spans="1:40" ht="18.75" customHeight="1">
      <c r="A1" s="126" t="s">
        <v>135</v>
      </c>
      <c r="B1" s="127"/>
      <c r="C1" s="127"/>
      <c r="D1" s="127"/>
      <c r="E1" s="127"/>
      <c r="F1" s="127"/>
      <c r="G1" s="127"/>
      <c r="H1" s="127"/>
      <c r="I1" s="128"/>
    </row>
    <row r="2" spans="1:40" ht="18.75" customHeight="1">
      <c r="A2" s="123" t="s">
        <v>136</v>
      </c>
      <c r="B2" s="123"/>
      <c r="C2" s="123"/>
      <c r="D2" s="123"/>
      <c r="E2" s="123"/>
      <c r="F2" s="123"/>
      <c r="G2" s="123"/>
      <c r="H2" s="123"/>
      <c r="I2" s="123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 t="s">
        <v>119</v>
      </c>
      <c r="AJ2" s="85"/>
    </row>
    <row r="3" spans="1:40" ht="13.5" customHeight="1">
      <c r="A3" s="124" t="s">
        <v>0</v>
      </c>
      <c r="B3" s="129"/>
      <c r="C3" s="129"/>
      <c r="D3" s="129"/>
      <c r="E3" s="129"/>
      <c r="F3" s="129"/>
      <c r="G3" s="130"/>
      <c r="H3" s="8" t="s">
        <v>1</v>
      </c>
      <c r="I3" s="9"/>
      <c r="K3" s="89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3"/>
    </row>
    <row r="4" spans="1:40" ht="15.95" customHeight="1">
      <c r="A4" s="125"/>
      <c r="B4" s="10">
        <v>2009</v>
      </c>
      <c r="C4" s="10">
        <v>2010</v>
      </c>
      <c r="D4" s="10">
        <v>2011</v>
      </c>
      <c r="E4" s="10">
        <v>2012</v>
      </c>
      <c r="F4" s="11" t="s">
        <v>133</v>
      </c>
      <c r="G4" s="10">
        <v>2014</v>
      </c>
      <c r="H4" s="12" t="s">
        <v>132</v>
      </c>
      <c r="I4" s="13" t="s">
        <v>93</v>
      </c>
      <c r="K4" s="89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3"/>
    </row>
    <row r="5" spans="1:40" s="90" customFormat="1" ht="17.25" customHeight="1">
      <c r="A5" s="14" t="s">
        <v>118</v>
      </c>
      <c r="B5" s="15">
        <f t="shared" ref="B5:E5" si="0">SUM(B6:B23)</f>
        <v>20942</v>
      </c>
      <c r="C5" s="15">
        <f t="shared" si="0"/>
        <v>21232</v>
      </c>
      <c r="D5" s="15">
        <f>SUM(D6:D23)</f>
        <v>22120</v>
      </c>
      <c r="E5" s="15">
        <f t="shared" si="0"/>
        <v>22889</v>
      </c>
      <c r="F5" s="15">
        <f>SUM(F6:F23)</f>
        <v>23677</v>
      </c>
      <c r="G5" s="15">
        <f>SUM(G6:G23)</f>
        <v>24135</v>
      </c>
      <c r="H5" s="16">
        <f>G5/G5*100</f>
        <v>100</v>
      </c>
      <c r="I5" s="17" t="s">
        <v>83</v>
      </c>
      <c r="K5" s="91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87"/>
      <c r="AJ5" s="87"/>
      <c r="AK5" s="83"/>
      <c r="AL5" s="33"/>
      <c r="AM5" s="33"/>
      <c r="AN5" s="33"/>
    </row>
    <row r="6" spans="1:40" s="90" customFormat="1" ht="18.75" customHeight="1">
      <c r="A6" s="40" t="s">
        <v>14</v>
      </c>
      <c r="B6" s="18">
        <v>432</v>
      </c>
      <c r="C6" s="18">
        <v>456</v>
      </c>
      <c r="D6" s="18">
        <v>456</v>
      </c>
      <c r="E6" s="18">
        <v>456</v>
      </c>
      <c r="F6" s="18">
        <v>456</v>
      </c>
      <c r="G6" s="18">
        <v>464</v>
      </c>
      <c r="H6" s="19">
        <f t="shared" ref="H6:H23" si="1">(G6/$G$5)*100</f>
        <v>1.9225191630412264</v>
      </c>
      <c r="I6" s="20" t="s">
        <v>97</v>
      </c>
      <c r="K6" s="91"/>
      <c r="L6" s="8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3"/>
      <c r="AE6" s="92"/>
      <c r="AF6" s="94"/>
      <c r="AG6" s="92"/>
      <c r="AH6" s="92"/>
      <c r="AI6" s="80"/>
      <c r="AJ6" s="26"/>
      <c r="AK6" s="84"/>
      <c r="AL6" s="33"/>
      <c r="AM6" s="33"/>
      <c r="AN6" s="33"/>
    </row>
    <row r="7" spans="1:40" s="90" customFormat="1" ht="18.75" customHeight="1">
      <c r="A7" s="40" t="s">
        <v>111</v>
      </c>
      <c r="B7" s="18">
        <v>0</v>
      </c>
      <c r="C7" s="18">
        <v>0</v>
      </c>
      <c r="D7" s="18">
        <v>0</v>
      </c>
      <c r="E7" s="18">
        <v>97</v>
      </c>
      <c r="F7" s="18">
        <v>97</v>
      </c>
      <c r="G7" s="18">
        <v>97</v>
      </c>
      <c r="H7" s="19">
        <f t="shared" si="1"/>
        <v>0.40190594572198057</v>
      </c>
      <c r="I7" s="21" t="s">
        <v>112</v>
      </c>
      <c r="K7" s="91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3"/>
      <c r="AE7" s="92"/>
      <c r="AF7" s="94"/>
      <c r="AG7" s="92"/>
      <c r="AH7" s="92"/>
      <c r="AI7" s="80"/>
      <c r="AJ7" s="26"/>
      <c r="AK7" s="84"/>
      <c r="AL7" s="33"/>
      <c r="AM7" s="33"/>
      <c r="AN7" s="33"/>
    </row>
    <row r="8" spans="1:40" s="90" customFormat="1" ht="18.75" customHeight="1">
      <c r="A8" s="40" t="s">
        <v>15</v>
      </c>
      <c r="B8" s="18">
        <v>490</v>
      </c>
      <c r="C8" s="18">
        <v>542</v>
      </c>
      <c r="D8" s="18">
        <v>542</v>
      </c>
      <c r="E8" s="18">
        <v>542</v>
      </c>
      <c r="F8" s="18">
        <v>796</v>
      </c>
      <c r="G8" s="18">
        <v>796</v>
      </c>
      <c r="H8" s="19">
        <f t="shared" si="1"/>
        <v>3.2981147710793453</v>
      </c>
      <c r="I8" s="21" t="s">
        <v>99</v>
      </c>
      <c r="K8" s="91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3"/>
      <c r="AE8" s="92"/>
      <c r="AF8" s="94"/>
      <c r="AG8" s="92"/>
      <c r="AH8" s="92"/>
      <c r="AI8" s="80"/>
      <c r="AJ8" s="26"/>
      <c r="AK8" s="84"/>
      <c r="AL8" s="33"/>
      <c r="AM8" s="33"/>
      <c r="AN8" s="33"/>
    </row>
    <row r="9" spans="1:40" s="95" customFormat="1" ht="18.75" customHeight="1">
      <c r="A9" s="22" t="s">
        <v>2</v>
      </c>
      <c r="B9" s="18">
        <v>470</v>
      </c>
      <c r="C9" s="18">
        <v>470</v>
      </c>
      <c r="D9" s="18">
        <v>470</v>
      </c>
      <c r="E9" s="18">
        <v>470</v>
      </c>
      <c r="F9" s="18">
        <v>470</v>
      </c>
      <c r="G9" s="18">
        <v>656</v>
      </c>
      <c r="H9" s="19">
        <f t="shared" si="1"/>
        <v>2.7180443339548375</v>
      </c>
      <c r="I9" s="21" t="s">
        <v>87</v>
      </c>
      <c r="K9" s="96"/>
      <c r="L9" s="92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3"/>
      <c r="AE9" s="97"/>
      <c r="AF9" s="94"/>
      <c r="AG9" s="97"/>
      <c r="AH9" s="97"/>
      <c r="AI9" s="88"/>
      <c r="AJ9" s="26"/>
      <c r="AK9" s="84"/>
      <c r="AL9" s="33"/>
      <c r="AM9" s="33"/>
      <c r="AN9" s="33"/>
    </row>
    <row r="10" spans="1:40" s="95" customFormat="1" ht="18.75" customHeight="1">
      <c r="A10" s="22" t="s">
        <v>3</v>
      </c>
      <c r="B10" s="23">
        <v>1240</v>
      </c>
      <c r="C10" s="23">
        <v>1288</v>
      </c>
      <c r="D10" s="23">
        <v>1398</v>
      </c>
      <c r="E10" s="23">
        <v>1660</v>
      </c>
      <c r="F10" s="23">
        <v>1704</v>
      </c>
      <c r="G10" s="23">
        <v>1704</v>
      </c>
      <c r="H10" s="19">
        <f t="shared" si="1"/>
        <v>7.060285891858296</v>
      </c>
      <c r="I10" s="21" t="s">
        <v>88</v>
      </c>
      <c r="K10" s="96"/>
      <c r="L10" s="92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3"/>
      <c r="AE10" s="97"/>
      <c r="AF10" s="94"/>
      <c r="AG10" s="97"/>
      <c r="AH10" s="97"/>
      <c r="AI10" s="88"/>
      <c r="AJ10" s="36"/>
      <c r="AK10" s="84"/>
      <c r="AL10" s="33"/>
      <c r="AM10" s="33"/>
      <c r="AN10" s="33"/>
    </row>
    <row r="11" spans="1:40" s="95" customFormat="1" ht="18.75" customHeight="1">
      <c r="A11" s="22" t="s">
        <v>4</v>
      </c>
      <c r="B11" s="23">
        <v>1336</v>
      </c>
      <c r="C11" s="23">
        <v>1336</v>
      </c>
      <c r="D11" s="23">
        <v>1336</v>
      </c>
      <c r="E11" s="23">
        <v>1336</v>
      </c>
      <c r="F11" s="23">
        <v>1476</v>
      </c>
      <c r="G11" s="23">
        <v>1636</v>
      </c>
      <c r="H11" s="19">
        <f t="shared" si="1"/>
        <v>6.7785373938263938</v>
      </c>
      <c r="I11" s="21" t="s">
        <v>89</v>
      </c>
      <c r="K11" s="96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3"/>
      <c r="AE11" s="97"/>
      <c r="AF11" s="94"/>
      <c r="AG11" s="97"/>
      <c r="AH11" s="97"/>
      <c r="AI11" s="88"/>
      <c r="AJ11" s="36"/>
      <c r="AK11" s="84"/>
      <c r="AL11" s="33"/>
      <c r="AM11" s="33"/>
      <c r="AN11" s="33"/>
    </row>
    <row r="12" spans="1:40" s="95" customFormat="1" ht="18.75" customHeight="1">
      <c r="A12" s="22" t="s">
        <v>5</v>
      </c>
      <c r="B12" s="23">
        <v>8982</v>
      </c>
      <c r="C12" s="23">
        <v>9050</v>
      </c>
      <c r="D12" s="23">
        <v>9128</v>
      </c>
      <c r="E12" s="23">
        <v>9132</v>
      </c>
      <c r="F12" s="23">
        <v>9268</v>
      </c>
      <c r="G12" s="23">
        <v>9272</v>
      </c>
      <c r="H12" s="19">
        <f t="shared" si="1"/>
        <v>38.41723637870313</v>
      </c>
      <c r="I12" s="21" t="s">
        <v>90</v>
      </c>
      <c r="K12" s="96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3"/>
      <c r="AE12" s="97"/>
      <c r="AF12" s="94"/>
      <c r="AG12" s="97"/>
      <c r="AH12" s="97"/>
      <c r="AI12" s="88"/>
      <c r="AJ12" s="36"/>
      <c r="AK12" s="84"/>
      <c r="AL12" s="33"/>
      <c r="AM12" s="33"/>
      <c r="AN12" s="33"/>
    </row>
    <row r="13" spans="1:40" s="95" customFormat="1" ht="18.75" customHeight="1">
      <c r="A13" s="22" t="s">
        <v>6</v>
      </c>
      <c r="B13" s="23">
        <v>1988</v>
      </c>
      <c r="C13" s="23">
        <v>1988</v>
      </c>
      <c r="D13" s="23">
        <v>1988</v>
      </c>
      <c r="E13" s="23">
        <v>1988</v>
      </c>
      <c r="F13" s="23">
        <v>2156</v>
      </c>
      <c r="G13" s="23">
        <v>2216</v>
      </c>
      <c r="H13" s="19">
        <f t="shared" si="1"/>
        <v>9.1816863476279273</v>
      </c>
      <c r="I13" s="21" t="s">
        <v>101</v>
      </c>
      <c r="K13" s="96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3"/>
      <c r="AE13" s="97"/>
      <c r="AF13" s="94"/>
      <c r="AG13" s="97"/>
      <c r="AH13" s="97"/>
      <c r="AI13" s="88"/>
      <c r="AJ13" s="36"/>
      <c r="AK13" s="84"/>
      <c r="AL13" s="33"/>
      <c r="AM13" s="33"/>
      <c r="AN13" s="33"/>
    </row>
    <row r="14" spans="1:40" s="90" customFormat="1" ht="18.75" customHeight="1">
      <c r="A14" s="22" t="s">
        <v>7</v>
      </c>
      <c r="B14" s="23">
        <v>3538</v>
      </c>
      <c r="C14" s="23">
        <v>3586</v>
      </c>
      <c r="D14" s="23">
        <v>3818</v>
      </c>
      <c r="E14" s="23">
        <v>3818</v>
      </c>
      <c r="F14" s="23">
        <v>3818</v>
      </c>
      <c r="G14" s="23">
        <v>3862</v>
      </c>
      <c r="H14" s="19">
        <f t="shared" si="1"/>
        <v>16.001657344106071</v>
      </c>
      <c r="I14" s="21" t="s">
        <v>91</v>
      </c>
      <c r="K14" s="91"/>
      <c r="L14" s="97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3"/>
      <c r="AE14" s="92"/>
      <c r="AF14" s="94"/>
      <c r="AG14" s="92"/>
      <c r="AH14" s="92"/>
      <c r="AI14" s="88"/>
      <c r="AJ14" s="36"/>
      <c r="AK14" s="84"/>
      <c r="AL14" s="33"/>
      <c r="AM14" s="33"/>
      <c r="AN14" s="33"/>
    </row>
    <row r="15" spans="1:40" s="90" customFormat="1" ht="18.75" customHeight="1">
      <c r="A15" s="22" t="s">
        <v>8</v>
      </c>
      <c r="B15" s="18">
        <v>350</v>
      </c>
      <c r="C15" s="18">
        <v>350</v>
      </c>
      <c r="D15" s="18">
        <v>350</v>
      </c>
      <c r="E15" s="18">
        <v>402</v>
      </c>
      <c r="F15" s="18">
        <v>402</v>
      </c>
      <c r="G15" s="18">
        <v>402</v>
      </c>
      <c r="H15" s="19">
        <f t="shared" si="1"/>
        <v>1.6656308266003728</v>
      </c>
      <c r="I15" s="21" t="s">
        <v>92</v>
      </c>
      <c r="K15" s="91"/>
      <c r="L15" s="97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3"/>
      <c r="AE15" s="92"/>
      <c r="AF15" s="94"/>
      <c r="AG15" s="92"/>
      <c r="AH15" s="92"/>
      <c r="AI15" s="88"/>
      <c r="AJ15" s="26"/>
      <c r="AK15" s="84"/>
      <c r="AL15" s="33"/>
      <c r="AM15" s="33"/>
      <c r="AN15" s="33"/>
    </row>
    <row r="16" spans="1:40" s="90" customFormat="1" ht="18.75" customHeight="1">
      <c r="A16" s="40" t="s">
        <v>9</v>
      </c>
      <c r="B16" s="18">
        <v>400</v>
      </c>
      <c r="C16" s="18">
        <v>400</v>
      </c>
      <c r="D16" s="18">
        <v>400</v>
      </c>
      <c r="E16" s="18">
        <v>400</v>
      </c>
      <c r="F16" s="18">
        <v>400</v>
      </c>
      <c r="G16" s="18">
        <v>400</v>
      </c>
      <c r="H16" s="19">
        <f t="shared" si="1"/>
        <v>1.6573441060700227</v>
      </c>
      <c r="I16" s="20" t="s">
        <v>94</v>
      </c>
      <c r="K16" s="91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3"/>
      <c r="AE16" s="92"/>
      <c r="AF16" s="94"/>
      <c r="AG16" s="92"/>
      <c r="AH16" s="92"/>
      <c r="AI16" s="80"/>
      <c r="AJ16" s="26"/>
      <c r="AK16" s="84"/>
      <c r="AL16" s="33"/>
      <c r="AM16" s="33"/>
      <c r="AN16" s="33"/>
    </row>
    <row r="17" spans="1:40" s="90" customFormat="1" ht="18.75" customHeight="1">
      <c r="A17" s="40" t="s">
        <v>10</v>
      </c>
      <c r="B17" s="18">
        <v>250</v>
      </c>
      <c r="C17" s="18">
        <v>250</v>
      </c>
      <c r="D17" s="18">
        <v>250</v>
      </c>
      <c r="E17" s="18">
        <v>250</v>
      </c>
      <c r="F17" s="18">
        <v>250</v>
      </c>
      <c r="G17" s="18">
        <v>250</v>
      </c>
      <c r="H17" s="19">
        <f t="shared" si="1"/>
        <v>1.0358400662937643</v>
      </c>
      <c r="I17" s="21" t="s">
        <v>95</v>
      </c>
      <c r="K17" s="91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3"/>
      <c r="AE17" s="92"/>
      <c r="AF17" s="94"/>
      <c r="AG17" s="92"/>
      <c r="AH17" s="92"/>
      <c r="AI17" s="80"/>
      <c r="AJ17" s="26"/>
      <c r="AK17" s="84"/>
      <c r="AL17" s="33"/>
      <c r="AM17" s="33"/>
      <c r="AN17" s="33"/>
    </row>
    <row r="18" spans="1:40" s="98" customFormat="1" ht="18.75" customHeight="1">
      <c r="A18" s="41" t="s">
        <v>11</v>
      </c>
      <c r="B18" s="24">
        <v>436</v>
      </c>
      <c r="C18" s="24">
        <v>436</v>
      </c>
      <c r="D18" s="24">
        <v>436</v>
      </c>
      <c r="E18" s="24">
        <v>590</v>
      </c>
      <c r="F18" s="24">
        <v>590</v>
      </c>
      <c r="G18" s="24">
        <v>590</v>
      </c>
      <c r="H18" s="19">
        <f t="shared" si="1"/>
        <v>2.4445825564532835</v>
      </c>
      <c r="I18" s="25" t="s">
        <v>96</v>
      </c>
      <c r="K18" s="99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3"/>
      <c r="AE18" s="92"/>
      <c r="AF18" s="94"/>
      <c r="AG18" s="92"/>
      <c r="AH18" s="92"/>
      <c r="AI18" s="80"/>
      <c r="AJ18" s="26"/>
      <c r="AK18" s="84"/>
      <c r="AL18" s="33"/>
      <c r="AM18" s="33"/>
      <c r="AN18" s="33"/>
    </row>
    <row r="19" spans="1:40" s="92" customFormat="1" ht="18.75" customHeight="1">
      <c r="A19" s="42" t="s">
        <v>129</v>
      </c>
      <c r="B19" s="26">
        <v>0</v>
      </c>
      <c r="C19" s="26">
        <v>0</v>
      </c>
      <c r="D19" s="26">
        <v>0</v>
      </c>
      <c r="E19" s="26">
        <v>0</v>
      </c>
      <c r="F19" s="26">
        <v>46</v>
      </c>
      <c r="G19" s="26">
        <v>46</v>
      </c>
      <c r="H19" s="19">
        <f t="shared" si="1"/>
        <v>0.19059457219805262</v>
      </c>
      <c r="I19" s="29" t="s">
        <v>130</v>
      </c>
      <c r="AD19" s="93"/>
      <c r="AF19" s="94"/>
      <c r="AI19" s="80"/>
      <c r="AJ19" s="26"/>
      <c r="AK19" s="84"/>
      <c r="AL19" s="33"/>
      <c r="AM19" s="33"/>
      <c r="AN19" s="33"/>
    </row>
    <row r="20" spans="1:40" s="97" customFormat="1" ht="18.75" customHeight="1">
      <c r="A20" s="42" t="s">
        <v>104</v>
      </c>
      <c r="B20" s="26">
        <v>0</v>
      </c>
      <c r="C20" s="26">
        <v>0</v>
      </c>
      <c r="D20" s="26">
        <v>194</v>
      </c>
      <c r="E20" s="26">
        <v>194</v>
      </c>
      <c r="F20" s="26">
        <v>194</v>
      </c>
      <c r="G20" s="26">
        <v>194</v>
      </c>
      <c r="H20" s="19">
        <f t="shared" si="1"/>
        <v>0.80381189144396115</v>
      </c>
      <c r="I20" s="27" t="s">
        <v>106</v>
      </c>
      <c r="L20" s="92"/>
      <c r="AD20" s="93"/>
      <c r="AF20" s="94"/>
      <c r="AI20" s="80"/>
      <c r="AJ20" s="26"/>
      <c r="AK20" s="84"/>
      <c r="AL20" s="33"/>
      <c r="AM20" s="33"/>
      <c r="AN20" s="33"/>
    </row>
    <row r="21" spans="1:40" s="100" customFormat="1" ht="18.75" customHeight="1">
      <c r="A21" s="43" t="s">
        <v>27</v>
      </c>
      <c r="B21" s="28">
        <v>200</v>
      </c>
      <c r="C21" s="28">
        <v>250</v>
      </c>
      <c r="D21" s="28">
        <v>324</v>
      </c>
      <c r="E21" s="28">
        <v>524</v>
      </c>
      <c r="F21" s="28">
        <v>524</v>
      </c>
      <c r="G21" s="28">
        <v>524</v>
      </c>
      <c r="H21" s="19">
        <f t="shared" si="1"/>
        <v>2.1711207789517299</v>
      </c>
      <c r="I21" s="29" t="s">
        <v>100</v>
      </c>
      <c r="K21" s="101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3"/>
      <c r="AE21" s="92"/>
      <c r="AF21" s="94"/>
      <c r="AG21" s="92"/>
      <c r="AH21" s="92"/>
      <c r="AI21" s="80"/>
      <c r="AJ21" s="26"/>
      <c r="AK21" s="84"/>
      <c r="AL21" s="33"/>
      <c r="AM21" s="33"/>
      <c r="AN21" s="33"/>
    </row>
    <row r="22" spans="1:40" s="90" customFormat="1" ht="18.75" customHeight="1">
      <c r="A22" s="40" t="s">
        <v>103</v>
      </c>
      <c r="B22" s="18">
        <v>0</v>
      </c>
      <c r="C22" s="18">
        <v>0</v>
      </c>
      <c r="D22" s="18">
        <v>200</v>
      </c>
      <c r="E22" s="18">
        <v>200</v>
      </c>
      <c r="F22" s="18">
        <v>200</v>
      </c>
      <c r="G22" s="18">
        <v>200</v>
      </c>
      <c r="H22" s="19">
        <f t="shared" si="1"/>
        <v>0.82867205303501135</v>
      </c>
      <c r="I22" s="29" t="s">
        <v>107</v>
      </c>
      <c r="K22" s="91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3"/>
      <c r="AE22" s="92"/>
      <c r="AF22" s="94"/>
      <c r="AG22" s="92"/>
      <c r="AH22" s="92"/>
      <c r="AI22" s="80"/>
      <c r="AJ22" s="26"/>
      <c r="AK22" s="84"/>
      <c r="AL22" s="33"/>
      <c r="AM22" s="33"/>
      <c r="AN22" s="33"/>
    </row>
    <row r="23" spans="1:40" s="90" customFormat="1" ht="18.75" customHeight="1">
      <c r="A23" s="44" t="s">
        <v>13</v>
      </c>
      <c r="B23" s="30">
        <v>830</v>
      </c>
      <c r="C23" s="30">
        <v>830</v>
      </c>
      <c r="D23" s="30">
        <v>830</v>
      </c>
      <c r="E23" s="30">
        <v>830</v>
      </c>
      <c r="F23" s="30">
        <v>830</v>
      </c>
      <c r="G23" s="30">
        <v>826</v>
      </c>
      <c r="H23" s="31">
        <f t="shared" si="1"/>
        <v>3.4224155790345967</v>
      </c>
      <c r="I23" s="32" t="s">
        <v>98</v>
      </c>
      <c r="K23" s="91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3"/>
      <c r="AE23" s="92"/>
      <c r="AF23" s="94"/>
      <c r="AG23" s="92"/>
      <c r="AH23" s="92"/>
      <c r="AI23" s="80"/>
      <c r="AJ23" s="26"/>
      <c r="AK23" s="84"/>
      <c r="AL23" s="33"/>
      <c r="AM23" s="33"/>
      <c r="AN23" s="33"/>
    </row>
    <row r="24" spans="1:40" s="90" customFormat="1" ht="18.75" customHeight="1">
      <c r="A24" s="76" t="s">
        <v>134</v>
      </c>
      <c r="B24" s="24"/>
      <c r="C24" s="24"/>
      <c r="D24" s="24"/>
      <c r="E24" s="24"/>
      <c r="F24" s="24"/>
      <c r="G24" s="24"/>
      <c r="H24" s="74"/>
      <c r="I24" s="75"/>
      <c r="L24" s="100"/>
      <c r="M24" s="100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102"/>
      <c r="AE24" s="100"/>
      <c r="AF24" s="103"/>
      <c r="AG24" s="100"/>
      <c r="AH24" s="100"/>
      <c r="AI24" s="86"/>
      <c r="AJ24" s="104"/>
      <c r="AK24" s="78"/>
      <c r="AL24" s="33"/>
      <c r="AM24" s="33"/>
      <c r="AN24" s="33"/>
    </row>
    <row r="25" spans="1:40" ht="20.25" customHeight="1">
      <c r="A25" s="38" t="s">
        <v>127</v>
      </c>
      <c r="B25" s="34"/>
      <c r="C25" s="34"/>
      <c r="D25" s="34"/>
      <c r="E25" s="34"/>
      <c r="F25" s="34"/>
      <c r="G25" s="34"/>
      <c r="H25" s="73"/>
      <c r="I25" s="7" t="s">
        <v>128</v>
      </c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102"/>
    </row>
    <row r="26" spans="1:40" ht="24" customHeight="1"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102"/>
      <c r="AF26" s="40"/>
      <c r="AI26" s="77" t="s">
        <v>120</v>
      </c>
      <c r="AJ26" s="105">
        <f>G6</f>
        <v>464</v>
      </c>
      <c r="AK26" s="106">
        <v>3</v>
      </c>
    </row>
    <row r="27" spans="1:40">
      <c r="A27" s="39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102"/>
      <c r="AF27" s="40"/>
      <c r="AI27" s="77" t="s">
        <v>17</v>
      </c>
      <c r="AJ27" s="105">
        <f t="shared" ref="AJ27:AJ43" si="2">G7</f>
        <v>97</v>
      </c>
      <c r="AK27" s="106">
        <v>1</v>
      </c>
    </row>
    <row r="28" spans="1:40">
      <c r="A28" s="39"/>
      <c r="C28" s="35"/>
      <c r="D28" s="35"/>
      <c r="E28" s="35"/>
      <c r="F28" s="35"/>
      <c r="G28" s="35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102"/>
      <c r="AF28" s="40"/>
      <c r="AI28" s="77" t="s">
        <v>18</v>
      </c>
      <c r="AJ28" s="105">
        <f t="shared" si="2"/>
        <v>796</v>
      </c>
      <c r="AK28" s="106">
        <v>4</v>
      </c>
    </row>
    <row r="29" spans="1:40"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102"/>
      <c r="AF29" s="22"/>
      <c r="AI29" s="22" t="s">
        <v>19</v>
      </c>
      <c r="AJ29" s="105">
        <f t="shared" si="2"/>
        <v>656</v>
      </c>
      <c r="AK29" s="106">
        <v>2</v>
      </c>
    </row>
    <row r="30" spans="1:40">
      <c r="AF30" s="22"/>
      <c r="AI30" s="22" t="s">
        <v>25</v>
      </c>
      <c r="AJ30" s="105">
        <f t="shared" si="2"/>
        <v>1704</v>
      </c>
      <c r="AK30" s="106">
        <v>8</v>
      </c>
    </row>
    <row r="31" spans="1:40">
      <c r="AF31" s="22"/>
      <c r="AI31" s="22" t="s">
        <v>20</v>
      </c>
      <c r="AJ31" s="105">
        <f t="shared" si="2"/>
        <v>1636</v>
      </c>
      <c r="AK31" s="106">
        <v>5</v>
      </c>
    </row>
    <row r="32" spans="1:40">
      <c r="AF32" s="22"/>
      <c r="AI32" s="22" t="s">
        <v>21</v>
      </c>
      <c r="AJ32" s="105">
        <f t="shared" si="2"/>
        <v>9272</v>
      </c>
      <c r="AK32" s="106">
        <v>43</v>
      </c>
    </row>
    <row r="33" spans="32:37">
      <c r="AF33" s="22"/>
      <c r="AI33" s="22" t="s">
        <v>121</v>
      </c>
      <c r="AJ33" s="105">
        <f t="shared" si="2"/>
        <v>2216</v>
      </c>
      <c r="AK33" s="106">
        <v>13</v>
      </c>
    </row>
    <row r="34" spans="32:37">
      <c r="AF34" s="22"/>
      <c r="AI34" s="22" t="s">
        <v>126</v>
      </c>
      <c r="AJ34" s="105">
        <f t="shared" si="2"/>
        <v>3862</v>
      </c>
      <c r="AK34" s="106">
        <v>16</v>
      </c>
    </row>
    <row r="35" spans="32:37">
      <c r="AF35" s="22"/>
      <c r="AI35" s="22" t="s">
        <v>28</v>
      </c>
      <c r="AJ35" s="105">
        <f t="shared" si="2"/>
        <v>402</v>
      </c>
      <c r="AK35" s="106">
        <v>2</v>
      </c>
    </row>
    <row r="36" spans="32:37">
      <c r="AF36" s="40"/>
      <c r="AI36" s="77" t="s">
        <v>23</v>
      </c>
      <c r="AJ36" s="105">
        <f t="shared" si="2"/>
        <v>400</v>
      </c>
      <c r="AK36" s="106">
        <v>2</v>
      </c>
    </row>
    <row r="37" spans="32:37">
      <c r="AF37" s="40"/>
      <c r="AI37" s="77" t="s">
        <v>122</v>
      </c>
      <c r="AJ37" s="105">
        <f t="shared" si="2"/>
        <v>250</v>
      </c>
      <c r="AK37" s="106">
        <v>1</v>
      </c>
    </row>
    <row r="38" spans="32:37">
      <c r="AF38" s="41"/>
      <c r="AI38" s="79" t="s">
        <v>123</v>
      </c>
      <c r="AJ38" s="105">
        <f t="shared" si="2"/>
        <v>590</v>
      </c>
      <c r="AK38" s="106">
        <v>3</v>
      </c>
    </row>
    <row r="39" spans="32:37">
      <c r="AF39" s="42"/>
      <c r="AI39" s="80" t="s">
        <v>131</v>
      </c>
      <c r="AJ39" s="105">
        <f t="shared" si="2"/>
        <v>46</v>
      </c>
      <c r="AK39" s="106">
        <v>1</v>
      </c>
    </row>
    <row r="40" spans="32:37">
      <c r="AF40" s="42"/>
      <c r="AI40" s="80" t="s">
        <v>22</v>
      </c>
      <c r="AJ40" s="105">
        <f t="shared" si="2"/>
        <v>194</v>
      </c>
      <c r="AK40" s="106">
        <v>1</v>
      </c>
    </row>
    <row r="41" spans="32:37">
      <c r="AF41" s="43"/>
      <c r="AI41" s="81" t="s">
        <v>124</v>
      </c>
      <c r="AJ41" s="105">
        <f t="shared" si="2"/>
        <v>524</v>
      </c>
      <c r="AK41" s="106">
        <v>4</v>
      </c>
    </row>
    <row r="42" spans="32:37">
      <c r="AF42" s="40"/>
      <c r="AI42" s="77" t="s">
        <v>125</v>
      </c>
      <c r="AJ42" s="105">
        <f t="shared" si="2"/>
        <v>200</v>
      </c>
      <c r="AK42" s="106">
        <v>1</v>
      </c>
    </row>
    <row r="43" spans="32:37">
      <c r="AF43" s="44"/>
      <c r="AI43" s="82" t="s">
        <v>24</v>
      </c>
      <c r="AJ43" s="105">
        <f t="shared" si="2"/>
        <v>826</v>
      </c>
      <c r="AK43" s="106">
        <v>2</v>
      </c>
    </row>
  </sheetData>
  <mergeCells count="4">
    <mergeCell ref="A2:I2"/>
    <mergeCell ref="A3:A4"/>
    <mergeCell ref="A1:I1"/>
    <mergeCell ref="B3:G3"/>
  </mergeCells>
  <pageMargins left="0.7" right="0.7" top="0.51" bottom="0.75" header="0.3" footer="0.3"/>
  <pageSetup paperSize="9" scale="95" orientation="landscape" r:id="rId1"/>
  <rowBreaks count="1" manualBreakCount="1">
    <brk id="25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10.8</vt:lpstr>
      <vt:lpstr>'10.8'!Print_Area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2016-02-25T08:05:56Z</cp:lastPrinted>
  <dcterms:created xsi:type="dcterms:W3CDTF">2007-02-07T06:41:32Z</dcterms:created>
  <dcterms:modified xsi:type="dcterms:W3CDTF">2016-02-25T08:05:57Z</dcterms:modified>
</cp:coreProperties>
</file>