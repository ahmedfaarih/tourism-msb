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5570" windowHeight="7905" tabRatio="793" firstSheet="1" activeTab="1"/>
  </bookViews>
  <sheets>
    <sheet name="10.1 figures workings" sheetId="44" state="hidden" r:id="rId1"/>
    <sheet name="10.2" sheetId="2" r:id="rId2"/>
  </sheet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'10.2'!$A$1:$Q$55</definedName>
    <definedName name="Print_Area_MI">#REF!</definedName>
    <definedName name="ttttt">#REF!</definedName>
  </definedNames>
  <calcPr calcId="152511"/>
</workbook>
</file>

<file path=xl/calcChain.xml><?xml version="1.0" encoding="utf-8"?>
<calcChain xmlns="http://schemas.openxmlformats.org/spreadsheetml/2006/main">
  <c r="P12" i="2" l="1"/>
  <c r="P6" i="2"/>
  <c r="AA31" i="2" l="1"/>
  <c r="AA33" i="2"/>
  <c r="AA32" i="2"/>
  <c r="AA34" i="2"/>
  <c r="AA24" i="2"/>
  <c r="AA27" i="2"/>
  <c r="AA26" i="2"/>
  <c r="AA25" i="2"/>
  <c r="O6" i="2" l="1"/>
  <c r="O12" i="2"/>
  <c r="K60" i="44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N6" i="2"/>
  <c r="N12" i="2"/>
  <c r="M6" i="2"/>
  <c r="M12" i="2"/>
  <c r="L12" i="2"/>
  <c r="L6" i="2"/>
  <c r="J12" i="2"/>
  <c r="J6" i="2"/>
  <c r="H12" i="2"/>
  <c r="F12" i="2"/>
  <c r="D12" i="2"/>
  <c r="C12" i="2"/>
  <c r="H6" i="2"/>
  <c r="F6" i="2"/>
  <c r="D6" i="2"/>
  <c r="C6" i="2"/>
  <c r="S1" i="44" l="1"/>
</calcChain>
</file>

<file path=xl/sharedStrings.xml><?xml version="1.0" encoding="utf-8"?>
<sst xmlns="http://schemas.openxmlformats.org/spreadsheetml/2006/main" count="135" uniqueCount="106">
  <si>
    <t>Total</t>
  </si>
  <si>
    <t>Type</t>
  </si>
  <si>
    <t>Hotels</t>
  </si>
  <si>
    <t>Guest Houses</t>
  </si>
  <si>
    <t>Safari Vessels</t>
  </si>
  <si>
    <t>No. of Establishments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</si>
  <si>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</si>
  <si>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</si>
  <si>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</si>
  <si>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</si>
  <si>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</si>
  <si>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</si>
  <si>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</si>
  <si>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</si>
  <si>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</si>
  <si>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</si>
  <si>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</si>
  <si>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</si>
  <si>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Registered Bed Capacity</t>
  </si>
  <si>
    <t>2008</t>
  </si>
  <si>
    <t>udwdwA egcnirevurutwf</t>
  </si>
  <si>
    <t>wlcmuj</t>
  </si>
  <si>
    <t>ctwvWbegunwt</t>
  </si>
  <si>
    <t>wgWj egudnea WviawfcSok IrcTcsijwr</t>
  </si>
  <si>
    <t>cawtWToh</t>
  </si>
  <si>
    <t>cawtegIluk</t>
  </si>
  <si>
    <t>cawtudnwLua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</si>
  <si>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</si>
  <si>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</si>
  <si>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</si>
  <si>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</si>
  <si>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</si>
  <si>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</si>
  <si>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</si>
  <si>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</si>
  <si>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</si>
  <si>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</si>
  <si>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</si>
  <si>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</si>
  <si>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</si>
  <si>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</si>
  <si>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</si>
  <si>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</si>
  <si>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</si>
  <si>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</si>
  <si>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</si>
  <si>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</si>
  <si>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</si>
  <si>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</si>
  <si>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</si>
  <si>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</si>
  <si>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</si>
  <si>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</si>
  <si>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</si>
  <si>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</si>
  <si>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</si>
  <si>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</si>
  <si>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</si>
  <si>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</si>
  <si>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</si>
  <si>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</si>
  <si>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</si>
  <si>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</si>
  <si>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</si>
  <si>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</si>
  <si>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</si>
  <si>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</si>
  <si>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</si>
  <si>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</si>
  <si>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</si>
  <si>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</si>
  <si>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</si>
  <si>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</si>
  <si>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</si>
  <si>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</si>
  <si>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</si>
  <si>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</si>
  <si>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</si>
  <si>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</si>
  <si>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</si>
  <si>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</si>
  <si>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</si>
  <si>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</si>
  <si>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ރެޖިސްޓްރީ ކުރެވިފައިވާ ތަންތަނުގެ އަދަދު</t>
  </si>
  <si>
    <t>Resorts (including Marinas)</t>
  </si>
  <si>
    <t>ރިސޯޓްތައް (މެރީނާއާއި އެކު)</t>
  </si>
  <si>
    <t>Bed capacity Utilization Rate of resorts and Hotels 2008-2010</t>
  </si>
  <si>
    <t>No. of Tourists</t>
  </si>
  <si>
    <t>% change over previous year</t>
  </si>
  <si>
    <t xml:space="preserve"> cawtWToh</t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</si>
  <si>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</si>
  <si>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</si>
  <si>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</si>
  <si>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</si>
  <si>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</si>
  <si>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</si>
  <si>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</si>
  <si>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</si>
  <si>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</si>
  <si>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</si>
  <si>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Source: Ministry of Tourism</t>
  </si>
  <si>
    <t>cmwzirUT cfoa  IrcTcsinim :ctWrwf ivcaed utWmUluAwm</t>
  </si>
  <si>
    <t>Table  10.2 :  TOTAL REGISTERED BED CAPACITY AND NUMBER OF ACCOMMODATION ESTABLISHMENTS, BY TYPE, 2008 - 2014 (end year)</t>
  </si>
  <si>
    <t>2014- 2008 ,udwdwA egunwt iaWawlcmuj egiawgWj egudnea WviawfcSokIrwTcsijwr cnutwvWb egunwtcnwt Wviawfihejwmwh cmWzitcnia egumubit cnirevurutwf : 10.2 ulwvWt</t>
  </si>
  <si>
    <t>2013*</t>
  </si>
  <si>
    <t xml:space="preserve">Note: *  2013 Registered Bed Capacity (Resort) figure revised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</si>
</sst>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40">
    <font>
      <sz val="10"/>
      <name val="Arial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0"/>
      <name val="Arial"/>
      <family val="2"/>
    </font>
    <font>
      <sz val="9"/>
      <name val="Arial"/>
      <family val="2"/>
    </font>
    <font>
      <b/>
      <sz val="12"/>
      <name val="A_Utheem"/>
    </font>
    <font>
      <b/>
      <sz val="10"/>
      <name val="A_Randhoo"/>
    </font>
    <font>
      <sz val="10"/>
      <name val="Helv"/>
    </font>
    <font>
      <b/>
      <sz val="10"/>
      <name val="Faruma"/>
    </font>
    <font>
      <sz val="10"/>
      <name val="Arial"/>
      <family val="2"/>
    </font>
    <font>
      <b/>
      <sz val="9.5"/>
      <name val="A_Randhoo"/>
    </font>
    <font>
      <sz val="9.5"/>
      <name val="A_Randhoo"/>
    </font>
    <font>
      <sz val="10"/>
      <name val="A_Randhoo"/>
    </font>
    <font>
      <b/>
      <sz val="10"/>
      <name val="TimesNewRomanPS"/>
    </font>
    <font>
      <sz val="10"/>
      <name val="Arial"/>
      <family val="2"/>
    </font>
    <font>
      <b/>
      <sz val="9.5"/>
      <name val="Faruma"/>
    </font>
    <font>
      <sz val="9.5"/>
      <name val="Faruma"/>
    </font>
    <font>
      <b/>
      <sz val="12"/>
      <name val="A_Randhoo"/>
    </font>
    <font>
      <b/>
      <sz val="11"/>
      <name val="A_Utheem"/>
    </font>
    <font>
      <b/>
      <sz val="8"/>
      <name val="Calibri"/>
      <family val="2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9.5"/>
      <name val="Calibri"/>
      <family val="2"/>
      <scheme val="minor"/>
    </font>
    <font>
      <sz val="9.5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rgb="FFFF0000"/>
      <name val="Arial"/>
      <family val="2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3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8" fontId="2" fillId="0" borderId="0"/>
    <xf numFmtId="0" fontId="1" fillId="0" borderId="0"/>
    <xf numFmtId="1" fontId="21" fillId="0" borderId="1" applyNumberFormat="0"/>
    <xf numFmtId="0" fontId="1" fillId="0" borderId="0"/>
    <xf numFmtId="0" fontId="28" fillId="0" borderId="0"/>
    <xf numFmtId="0" fontId="22" fillId="0" borderId="0"/>
    <xf numFmtId="0" fontId="1" fillId="0" borderId="0"/>
    <xf numFmtId="9" fontId="1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0">
    <xf numFmtId="0" fontId="0" fillId="0" borderId="0" xfId="0"/>
    <xf numFmtId="3" fontId="32" fillId="2" borderId="0" xfId="0" applyNumberFormat="1" applyFont="1" applyFill="1" applyAlignment="1">
      <alignment vertical="center"/>
    </xf>
    <xf numFmtId="0" fontId="32" fillId="2" borderId="0" xfId="0" applyFont="1" applyFill="1"/>
    <xf numFmtId="0" fontId="0" fillId="2" borderId="0" xfId="0" applyFill="1"/>
    <xf numFmtId="49" fontId="30" fillId="2" borderId="3" xfId="0" applyNumberFormat="1" applyFont="1" applyFill="1" applyBorder="1" applyAlignment="1" applyProtection="1">
      <alignment horizontal="right" vertical="center"/>
    </xf>
    <xf numFmtId="0" fontId="30" fillId="2" borderId="2" xfId="0" applyFont="1" applyFill="1" applyBorder="1" applyAlignment="1" applyProtection="1">
      <alignment horizontal="right" vertical="center"/>
    </xf>
    <xf numFmtId="0" fontId="36" fillId="2" borderId="0" xfId="0" applyFont="1" applyFill="1" applyAlignment="1" applyProtection="1">
      <alignment horizontal="left" vertical="center"/>
    </xf>
    <xf numFmtId="37" fontId="6" fillId="2" borderId="0" xfId="0" applyNumberFormat="1" applyFont="1" applyFill="1" applyAlignment="1" applyProtection="1">
      <alignment horizontal="right" vertical="center"/>
    </xf>
    <xf numFmtId="0" fontId="6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" fillId="2" borderId="0" xfId="0" applyFont="1" applyFill="1"/>
    <xf numFmtId="0" fontId="4" fillId="2" borderId="0" xfId="0" applyFont="1" applyFill="1"/>
    <xf numFmtId="0" fontId="30" fillId="2" borderId="3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center" vertical="center"/>
    </xf>
    <xf numFmtId="3" fontId="30" fillId="2" borderId="0" xfId="0" applyNumberFormat="1" applyFont="1" applyFill="1" applyBorder="1" applyAlignment="1">
      <alignment vertical="center" wrapText="1"/>
    </xf>
    <xf numFmtId="3" fontId="30" fillId="2" borderId="0" xfId="0" applyNumberFormat="1" applyFont="1" applyFill="1" applyBorder="1" applyAlignment="1" applyProtection="1">
      <alignment horizontal="right" vertical="center"/>
    </xf>
    <xf numFmtId="3" fontId="32" fillId="2" borderId="0" xfId="0" applyNumberFormat="1" applyFont="1" applyFill="1" applyBorder="1" applyAlignment="1">
      <alignment vertical="center"/>
    </xf>
    <xf numFmtId="3" fontId="30" fillId="2" borderId="0" xfId="0" applyNumberFormat="1" applyFont="1" applyFill="1" applyBorder="1"/>
    <xf numFmtId="0" fontId="32" fillId="2" borderId="0" xfId="0" applyFont="1" applyFill="1" applyAlignment="1"/>
    <xf numFmtId="0" fontId="32" fillId="2" borderId="0" xfId="0" applyFont="1" applyFill="1" applyBorder="1"/>
    <xf numFmtId="0" fontId="32" fillId="2" borderId="0" xfId="0" applyFont="1" applyFill="1" applyBorder="1" applyAlignment="1"/>
    <xf numFmtId="0" fontId="32" fillId="2" borderId="0" xfId="0" applyFont="1" applyFill="1" applyBorder="1" applyAlignment="1">
      <alignment horizontal="right"/>
    </xf>
    <xf numFmtId="0" fontId="29" fillId="2" borderId="0" xfId="0" applyFont="1" applyFill="1" applyBorder="1" applyAlignment="1" applyProtection="1">
      <alignment horizontal="right" vertical="center"/>
    </xf>
    <xf numFmtId="0" fontId="38" fillId="2" borderId="0" xfId="0" applyFont="1" applyFill="1" applyAlignment="1" applyProtection="1">
      <alignment horizontal="left" vertical="center"/>
    </xf>
    <xf numFmtId="49" fontId="30" fillId="3" borderId="12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31" fillId="4" borderId="8" xfId="2" applyNumberFormat="1" applyFont="1" applyFill="1" applyBorder="1" applyAlignment="1" applyProtection="1">
      <alignment horizontal="left" vertical="center"/>
    </xf>
    <xf numFmtId="170" fontId="31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70" fontId="31" fillId="4" borderId="0" xfId="2" applyNumberFormat="1" applyFont="1" applyFill="1" applyBorder="1" applyAlignment="1">
      <alignment vertical="center"/>
    </xf>
    <xf numFmtId="170" fontId="31" fillId="4" borderId="7" xfId="2" applyNumberFormat="1" applyFont="1" applyFill="1" applyBorder="1" applyAlignment="1">
      <alignment vertical="center"/>
    </xf>
    <xf numFmtId="0" fontId="30" fillId="2" borderId="4" xfId="0" applyFont="1" applyFill="1" applyBorder="1" applyAlignment="1" applyProtection="1">
      <alignment horizontal="right" vertical="center"/>
    </xf>
    <xf numFmtId="0" fontId="30" fillId="3" borderId="6" xfId="0" applyFont="1" applyFill="1" applyBorder="1" applyAlignment="1" applyProtection="1">
      <alignment horizontal="right" vertical="center"/>
    </xf>
    <xf numFmtId="167" fontId="31" fillId="4" borderId="0" xfId="0" applyNumberFormat="1" applyFont="1" applyFill="1" applyBorder="1" applyAlignment="1">
      <alignment vertical="center"/>
    </xf>
    <xf numFmtId="167" fontId="29" fillId="4" borderId="0" xfId="0" applyNumberFormat="1" applyFont="1" applyFill="1" applyBorder="1" applyAlignment="1">
      <alignment vertical="center"/>
    </xf>
    <xf numFmtId="167" fontId="29" fillId="4" borderId="7" xfId="0" applyNumberFormat="1" applyFont="1" applyFill="1" applyBorder="1" applyAlignment="1">
      <alignment vertical="center"/>
    </xf>
    <xf numFmtId="169" fontId="31" fillId="2" borderId="8" xfId="2" applyNumberFormat="1" applyFont="1" applyFill="1" applyBorder="1" applyAlignment="1" applyProtection="1">
      <alignment horizontal="left" vertical="center"/>
    </xf>
    <xf numFmtId="170" fontId="31" fillId="2" borderId="9" xfId="2" applyNumberFormat="1" applyFont="1" applyFill="1" applyBorder="1" applyAlignment="1">
      <alignment vertical="center"/>
    </xf>
    <xf numFmtId="170" fontId="31" fillId="2" borderId="0" xfId="2" applyNumberFormat="1" applyFont="1" applyFill="1" applyBorder="1" applyAlignment="1">
      <alignment vertical="center"/>
    </xf>
    <xf numFmtId="170" fontId="31" fillId="3" borderId="7" xfId="2" applyNumberFormat="1" applyFont="1" applyFill="1" applyBorder="1" applyAlignment="1">
      <alignment vertical="center"/>
    </xf>
    <xf numFmtId="167" fontId="31" fillId="2" borderId="0" xfId="0" applyNumberFormat="1" applyFont="1" applyFill="1" applyBorder="1" applyAlignment="1">
      <alignment vertical="center"/>
    </xf>
    <xf numFmtId="167" fontId="29" fillId="2" borderId="0" xfId="0" applyNumberFormat="1" applyFont="1" applyFill="1" applyBorder="1" applyAlignment="1">
      <alignment vertical="center"/>
    </xf>
    <xf numFmtId="167" fontId="29" fillId="3" borderId="7" xfId="0" applyNumberFormat="1" applyFont="1" applyFill="1" applyBorder="1" applyAlignment="1">
      <alignment vertical="center"/>
    </xf>
    <xf numFmtId="169" fontId="31" fillId="2" borderId="10" xfId="2" applyNumberFormat="1" applyFont="1" applyFill="1" applyBorder="1" applyAlignment="1" applyProtection="1">
      <alignment horizontal="left" vertical="center"/>
    </xf>
    <xf numFmtId="170" fontId="31" fillId="2" borderId="11" xfId="2" applyNumberFormat="1" applyFont="1" applyFill="1" applyBorder="1" applyAlignment="1">
      <alignment vertical="center"/>
    </xf>
    <xf numFmtId="170" fontId="31" fillId="2" borderId="2" xfId="2" applyNumberFormat="1" applyFont="1" applyFill="1" applyBorder="1" applyAlignment="1">
      <alignment vertical="center"/>
    </xf>
    <xf numFmtId="170" fontId="31" fillId="3" borderId="6" xfId="2" applyNumberFormat="1" applyFont="1" applyFill="1" applyBorder="1" applyAlignment="1">
      <alignment vertical="center"/>
    </xf>
    <xf numFmtId="167" fontId="31" fillId="2" borderId="2" xfId="0" applyNumberFormat="1" applyFont="1" applyFill="1" applyBorder="1" applyAlignment="1">
      <alignment vertical="center"/>
    </xf>
    <xf numFmtId="167" fontId="29" fillId="2" borderId="2" xfId="0" applyNumberFormat="1" applyFont="1" applyFill="1" applyBorder="1" applyAlignment="1">
      <alignment vertical="center"/>
    </xf>
    <xf numFmtId="167" fontId="29" fillId="3" borderId="6" xfId="0" applyNumberFormat="1" applyFont="1" applyFill="1" applyBorder="1" applyAlignment="1">
      <alignment vertical="center"/>
    </xf>
    <xf numFmtId="0" fontId="9" fillId="2" borderId="0" xfId="0" applyFont="1" applyFill="1" applyAlignment="1" applyProtection="1">
      <alignment horizontal="center" vertical="center"/>
    </xf>
    <xf numFmtId="3" fontId="32" fillId="2" borderId="0" xfId="0" applyNumberFormat="1" applyFont="1" applyFill="1"/>
    <xf numFmtId="3" fontId="32" fillId="2" borderId="0" xfId="0" applyNumberFormat="1" applyFont="1" applyFill="1" applyAlignment="1"/>
    <xf numFmtId="3" fontId="32" fillId="2" borderId="2" xfId="0" applyNumberFormat="1" applyFont="1" applyFill="1" applyBorder="1" applyAlignment="1">
      <alignment horizontal="right"/>
    </xf>
    <xf numFmtId="0" fontId="30" fillId="2" borderId="5" xfId="0" applyFont="1" applyFill="1" applyBorder="1" applyAlignment="1" applyProtection="1">
      <alignment horizontal="right" vertical="center"/>
    </xf>
    <xf numFmtId="0" fontId="30" fillId="2" borderId="0" xfId="0" applyFont="1" applyFill="1" applyBorder="1" applyAlignment="1" applyProtection="1">
      <alignment horizontal="left" vertical="center"/>
    </xf>
    <xf numFmtId="0" fontId="13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0" fillId="2" borderId="3" xfId="0" applyFont="1" applyFill="1" applyBorder="1" applyAlignment="1" applyProtection="1">
      <alignment horizontal="left" vertical="center"/>
    </xf>
    <xf numFmtId="0" fontId="14" fillId="2" borderId="3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right" vertical="center"/>
    </xf>
    <xf numFmtId="0" fontId="30" fillId="2" borderId="5" xfId="0" applyFont="1" applyFill="1" applyBorder="1" applyAlignment="1" applyProtection="1">
      <alignment horizontal="left" vertical="center"/>
    </xf>
    <xf numFmtId="0" fontId="14" fillId="2" borderId="5" xfId="0" applyFont="1" applyFill="1" applyBorder="1" applyAlignment="1">
      <alignment horizontal="right" vertical="center"/>
    </xf>
    <xf numFmtId="0" fontId="31" fillId="2" borderId="0" xfId="0" applyFont="1" applyFill="1"/>
    <xf numFmtId="0" fontId="30" fillId="2" borderId="0" xfId="0" applyFont="1" applyFill="1" applyBorder="1" applyAlignment="1">
      <alignment vertical="center" wrapText="1"/>
    </xf>
    <xf numFmtId="0" fontId="18" fillId="2" borderId="0" xfId="0" applyFont="1" applyFill="1" applyBorder="1" applyAlignment="1">
      <alignment horizontal="right" vertical="center" wrapText="1"/>
    </xf>
    <xf numFmtId="0" fontId="7" fillId="2" borderId="0" xfId="0" applyFont="1" applyFill="1"/>
    <xf numFmtId="3" fontId="29" fillId="2" borderId="0" xfId="0" applyNumberFormat="1" applyFont="1" applyFill="1" applyBorder="1" applyAlignment="1" applyProtection="1">
      <alignment horizontal="right" vertical="center"/>
    </xf>
    <xf numFmtId="0" fontId="18" fillId="2" borderId="0" xfId="0" applyFont="1" applyFill="1" applyBorder="1" applyAlignment="1">
      <alignment horizontal="right" vertical="center"/>
    </xf>
    <xf numFmtId="0" fontId="32" fillId="2" borderId="0" xfId="0" applyFont="1" applyFill="1" applyBorder="1" applyAlignment="1" applyProtection="1">
      <alignment horizontal="left" vertical="center" indent="1"/>
    </xf>
    <xf numFmtId="3" fontId="31" fillId="2" borderId="0" xfId="0" applyNumberFormat="1" applyFont="1" applyFill="1" applyBorder="1" applyAlignment="1" applyProtection="1">
      <alignment vertical="center"/>
      <protection locked="0"/>
    </xf>
    <xf numFmtId="3" fontId="32" fillId="2" borderId="0" xfId="0" applyNumberFormat="1" applyFont="1" applyFill="1" applyBorder="1" applyAlignment="1" applyProtection="1">
      <alignment vertical="center"/>
      <protection locked="0"/>
    </xf>
    <xf numFmtId="3" fontId="33" fillId="2" borderId="0" xfId="0" applyNumberFormat="1" applyFont="1" applyFill="1" applyBorder="1" applyAlignment="1" applyProtection="1">
      <alignment vertical="center"/>
      <protection locked="0"/>
    </xf>
    <xf numFmtId="0" fontId="24" fillId="2" borderId="0" xfId="0" applyFont="1" applyFill="1" applyBorder="1" applyAlignment="1">
      <alignment horizontal="right" vertical="center" indent="1"/>
    </xf>
    <xf numFmtId="9" fontId="19" fillId="2" borderId="0" xfId="10" applyFont="1" applyFill="1" applyBorder="1" applyAlignment="1">
      <alignment horizontal="right" vertical="center"/>
    </xf>
    <xf numFmtId="0" fontId="19" fillId="2" borderId="0" xfId="0" applyFont="1" applyFill="1" applyBorder="1" applyAlignment="1">
      <alignment horizontal="right" vertical="center"/>
    </xf>
    <xf numFmtId="2" fontId="7" fillId="2" borderId="0" xfId="0" applyNumberFormat="1" applyFont="1" applyFill="1"/>
    <xf numFmtId="3" fontId="32" fillId="2" borderId="0" xfId="0" applyNumberFormat="1" applyFont="1" applyFill="1" applyBorder="1" applyAlignment="1" applyProtection="1">
      <alignment horizontal="right" vertical="center"/>
      <protection locked="0"/>
    </xf>
    <xf numFmtId="0" fontId="19" fillId="2" borderId="0" xfId="0" applyFont="1" applyFill="1" applyBorder="1" applyAlignment="1">
      <alignment horizontal="right" vertical="center" indent="1"/>
    </xf>
    <xf numFmtId="3" fontId="31" fillId="2" borderId="0" xfId="0" applyNumberFormat="1" applyFont="1" applyFill="1" applyBorder="1" applyAlignment="1" applyProtection="1">
      <alignment horizontal="right" vertical="center"/>
      <protection locked="0"/>
    </xf>
    <xf numFmtId="3" fontId="32" fillId="2" borderId="0" xfId="0" applyNumberFormat="1" applyFont="1" applyFill="1" applyBorder="1"/>
    <xf numFmtId="0" fontId="7" fillId="2" borderId="0" xfId="0" applyFont="1" applyFill="1" applyBorder="1"/>
    <xf numFmtId="3" fontId="32" fillId="2" borderId="0" xfId="0" applyNumberFormat="1" applyFont="1" applyFill="1" applyBorder="1" applyAlignment="1">
      <alignment horizontal="right"/>
    </xf>
    <xf numFmtId="3" fontId="32" fillId="2" borderId="0" xfId="0" applyNumberFormat="1" applyFont="1" applyFill="1" applyBorder="1" applyAlignment="1">
      <alignment horizontal="center"/>
    </xf>
    <xf numFmtId="0" fontId="23" fillId="2" borderId="0" xfId="0" applyFont="1" applyFill="1" applyBorder="1" applyAlignment="1">
      <alignment horizontal="right" vertical="center"/>
    </xf>
    <xf numFmtId="3" fontId="29" fillId="2" borderId="0" xfId="0" applyNumberFormat="1" applyFont="1" applyFill="1" applyBorder="1"/>
    <xf numFmtId="3" fontId="30" fillId="2" borderId="0" xfId="0" applyNumberFormat="1" applyFont="1" applyFill="1" applyBorder="1" applyAlignment="1">
      <alignment horizontal="right"/>
    </xf>
    <xf numFmtId="3" fontId="31" fillId="2" borderId="0" xfId="0" applyNumberFormat="1" applyFont="1" applyFill="1"/>
    <xf numFmtId="3" fontId="32" fillId="2" borderId="0" xfId="0" applyNumberFormat="1" applyFont="1" applyFill="1" applyAlignment="1">
      <alignment horizontal="right"/>
    </xf>
    <xf numFmtId="2" fontId="19" fillId="2" borderId="0" xfId="0" applyNumberFormat="1" applyFont="1" applyFill="1" applyBorder="1" applyAlignment="1">
      <alignment horizontal="right" vertical="center"/>
    </xf>
    <xf numFmtId="1" fontId="19" fillId="2" borderId="0" xfId="0" applyNumberFormat="1" applyFont="1" applyFill="1" applyBorder="1" applyAlignment="1">
      <alignment horizontal="right" vertical="center"/>
    </xf>
    <xf numFmtId="0" fontId="5" fillId="2" borderId="0" xfId="0" applyFont="1" applyFill="1" applyAlignment="1" applyProtection="1">
      <alignment horizontal="left" vertical="center"/>
    </xf>
    <xf numFmtId="167" fontId="6" fillId="2" borderId="0" xfId="0" applyNumberFormat="1" applyFont="1" applyFill="1" applyBorder="1" applyAlignment="1">
      <alignment horizontal="center"/>
    </xf>
    <xf numFmtId="167" fontId="6" fillId="2" borderId="0" xfId="0" applyNumberFormat="1" applyFont="1" applyFill="1" applyAlignment="1">
      <alignment horizontal="center"/>
    </xf>
    <xf numFmtId="0" fontId="32" fillId="2" borderId="2" xfId="0" applyFont="1" applyFill="1" applyBorder="1" applyAlignment="1" applyProtection="1">
      <alignment horizontal="left" vertical="center" indent="1"/>
    </xf>
    <xf numFmtId="0" fontId="31" fillId="2" borderId="2" xfId="0" applyFont="1" applyFill="1" applyBorder="1"/>
    <xf numFmtId="3" fontId="32" fillId="2" borderId="2" xfId="0" applyNumberFormat="1" applyFont="1" applyFill="1" applyBorder="1" applyAlignment="1"/>
    <xf numFmtId="0" fontId="20" fillId="2" borderId="2" xfId="0" applyFont="1" applyFill="1" applyBorder="1" applyAlignment="1">
      <alignment horizontal="right" indent="1"/>
    </xf>
    <xf numFmtId="0" fontId="20" fillId="2" borderId="0" xfId="0" applyFont="1" applyFill="1" applyBorder="1" applyAlignment="1">
      <alignment horizontal="right"/>
    </xf>
    <xf numFmtId="0" fontId="9" fillId="2" borderId="0" xfId="0" applyFont="1" applyFill="1" applyAlignment="1" applyProtection="1">
      <alignment horizontal="left" vertical="center"/>
    </xf>
    <xf numFmtId="0" fontId="7" fillId="2" borderId="0" xfId="0" applyFont="1" applyFill="1" applyAlignment="1">
      <alignment vertical="center"/>
    </xf>
    <xf numFmtId="0" fontId="37" fillId="2" borderId="0" xfId="0" applyFont="1" applyFill="1" applyAlignment="1" applyProtection="1">
      <alignment horizontal="left" vertical="center"/>
    </xf>
    <xf numFmtId="167" fontId="9" fillId="2" borderId="0" xfId="0" applyNumberFormat="1" applyFont="1" applyFill="1" applyAlignment="1" applyProtection="1">
      <alignment horizontal="left" vertical="center"/>
    </xf>
    <xf numFmtId="0" fontId="35" fillId="2" borderId="0" xfId="0" applyFont="1" applyFill="1" applyBorder="1" applyAlignment="1" applyProtection="1">
      <alignment horizontal="left" vertical="center"/>
    </xf>
    <xf numFmtId="1" fontId="6" fillId="2" borderId="0" xfId="12" applyNumberFormat="1" applyFont="1" applyFill="1"/>
    <xf numFmtId="167" fontId="7" fillId="2" borderId="0" xfId="0" applyNumberFormat="1" applyFont="1" applyFill="1"/>
    <xf numFmtId="0" fontId="5" fillId="2" borderId="0" xfId="0" applyFont="1" applyFill="1" applyBorder="1" applyAlignment="1" applyProtection="1">
      <alignment horizontal="left" vertical="center"/>
    </xf>
    <xf numFmtId="0" fontId="5" fillId="2" borderId="2" xfId="0" applyFont="1" applyFill="1" applyBorder="1" applyAlignment="1" applyProtection="1">
      <alignment horizontal="left" vertical="center"/>
    </xf>
    <xf numFmtId="167" fontId="6" fillId="2" borderId="2" xfId="0" applyNumberFormat="1" applyFont="1" applyFill="1" applyBorder="1" applyAlignment="1">
      <alignment horizontal="center"/>
    </xf>
    <xf numFmtId="167" fontId="12" fillId="2" borderId="2" xfId="0" applyNumberFormat="1" applyFont="1" applyFill="1" applyBorder="1" applyAlignment="1">
      <alignment horizontal="center"/>
    </xf>
    <xf numFmtId="167" fontId="7" fillId="2" borderId="0" xfId="0" applyNumberFormat="1" applyFont="1" applyFill="1" applyBorder="1" applyAlignment="1">
      <alignment horizontal="center"/>
    </xf>
    <xf numFmtId="167" fontId="0" fillId="2" borderId="0" xfId="0" applyNumberFormat="1" applyFill="1"/>
    <xf numFmtId="167" fontId="7" fillId="2" borderId="2" xfId="0" applyNumberFormat="1" applyFont="1" applyFill="1" applyBorder="1" applyAlignment="1">
      <alignment horizontal="center"/>
    </xf>
    <xf numFmtId="0" fontId="11" fillId="2" borderId="0" xfId="0" applyFont="1" applyFill="1"/>
    <xf numFmtId="9" fontId="6" fillId="2" borderId="0" xfId="12" applyFont="1" applyFill="1"/>
    <xf numFmtId="0" fontId="5" fillId="2" borderId="0" xfId="0" applyFont="1" applyFill="1" applyBorder="1" applyAlignment="1" applyProtection="1">
      <alignment horizontal="right" vertical="center"/>
    </xf>
    <xf numFmtId="0" fontId="32" fillId="2" borderId="0" xfId="0" applyFont="1" applyFill="1" applyAlignment="1">
      <alignment horizontal="right"/>
    </xf>
    <xf numFmtId="0" fontId="35" fillId="2" borderId="2" xfId="0" applyFont="1" applyFill="1" applyBorder="1" applyAlignment="1" applyProtection="1">
      <alignment horizontal="left" vertical="center"/>
    </xf>
    <xf numFmtId="0" fontId="34" fillId="2" borderId="0" xfId="0" applyFont="1" applyFill="1" applyBorder="1" applyAlignment="1" applyProtection="1">
      <alignment horizontal="left" vertical="center"/>
    </xf>
    <xf numFmtId="0" fontId="0" fillId="2" borderId="0" xfId="0" applyFill="1" applyBorder="1"/>
    <xf numFmtId="0" fontId="27" fillId="2" borderId="0" xfId="0" applyFont="1" applyFill="1"/>
    <xf numFmtId="3" fontId="32" fillId="2" borderId="0" xfId="0" applyNumberFormat="1" applyFont="1" applyFill="1" applyBorder="1" applyAlignment="1"/>
    <xf numFmtId="3" fontId="19" fillId="2" borderId="0" xfId="0" applyNumberFormat="1" applyFont="1" applyFill="1" applyBorder="1" applyAlignment="1">
      <alignment horizontal="right" vertical="center"/>
    </xf>
    <xf numFmtId="3" fontId="9" fillId="2" borderId="0" xfId="0" applyNumberFormat="1" applyFont="1" applyFill="1" applyAlignment="1" applyProtection="1">
      <alignment horizontal="left" vertical="center"/>
    </xf>
    <xf numFmtId="0" fontId="30" fillId="2" borderId="0" xfId="0" applyFont="1" applyFill="1" applyBorder="1" applyAlignment="1" applyProtection="1">
      <alignment horizontal="left" vertical="center"/>
    </xf>
    <xf numFmtId="0" fontId="31" fillId="2" borderId="0" xfId="0" applyFont="1" applyFill="1" applyBorder="1"/>
    <xf numFmtId="0" fontId="20" fillId="2" borderId="0" xfId="0" applyFont="1" applyFill="1" applyBorder="1" applyAlignment="1">
      <alignment horizontal="right" indent="1"/>
    </xf>
    <xf numFmtId="0" fontId="36" fillId="2" borderId="0" xfId="0" applyFont="1" applyFill="1" applyBorder="1" applyAlignment="1" applyProtection="1">
      <alignment vertical="center"/>
    </xf>
    <xf numFmtId="0" fontId="26" fillId="2" borderId="0" xfId="0" applyNumberFormat="1" applyFont="1" applyFill="1" applyBorder="1" applyAlignment="1">
      <alignment horizontal="center" vertical="center"/>
    </xf>
    <xf numFmtId="0" fontId="39" fillId="2" borderId="0" xfId="0" applyNumberFormat="1" applyFont="1" applyFill="1" applyBorder="1" applyAlignment="1" applyProtection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30" fillId="2" borderId="5" xfId="0" applyFont="1" applyFill="1" applyBorder="1" applyAlignment="1" applyProtection="1">
      <alignment horizontal="left" vertical="center" wrapText="1"/>
    </xf>
    <xf numFmtId="0" fontId="30" fillId="2" borderId="0" xfId="0" applyFont="1" applyFill="1" applyBorder="1" applyAlignment="1" applyProtection="1">
      <alignment horizontal="left" vertical="center"/>
    </xf>
    <xf numFmtId="0" fontId="30" fillId="2" borderId="2" xfId="0" applyFont="1" applyFill="1" applyBorder="1" applyAlignment="1" applyProtection="1">
      <alignment horizontal="left" vertical="center"/>
    </xf>
    <xf numFmtId="0" fontId="0" fillId="2" borderId="5" xfId="0" applyFill="1" applyBorder="1"/>
    <xf numFmtId="0" fontId="0" fillId="2" borderId="13" xfId="0" applyFill="1" applyBorder="1"/>
    <xf numFmtId="0" fontId="16" fillId="2" borderId="14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horizontal="center" vertical="center" wrapText="1"/>
    </xf>
    <xf numFmtId="0" fontId="39" fillId="2" borderId="2" xfId="0" applyNumberFormat="1" applyFont="1" applyFill="1" applyBorder="1" applyAlignment="1" applyProtection="1">
      <alignment horizontal="center" vertical="center"/>
    </xf>
    <xf numFmtId="0" fontId="26" fillId="2" borderId="0" xfId="0" applyNumberFormat="1" applyFont="1" applyFill="1" applyBorder="1" applyAlignment="1">
      <alignment horizontal="center" vertical="center"/>
    </xf>
  </cellXfs>
  <cellStyles count="13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 2" xfId="7"/>
    <cellStyle name="Normal 5" xfId="8"/>
    <cellStyle name="Normal 5 2" xfId="9"/>
    <cellStyle name="Percent" xfId="10" builtinId="5"/>
    <cellStyle name="Percent 2" xfId="11"/>
    <cellStyle name="Percent 2 2" xfId="12"/>
  </cellStyles>
  <dxfs count="0"/>
  <tableStyles count="0" defaultTableStyle="TableStyleMedium9" defaultPivotStyle="PivotStyleLight16"/>
  <colors>
    <mruColors>
      <color rgb="FFFF3333"/>
      <color rgb="FF9C00EA"/>
      <color rgb="FFFF4B4B"/>
      <color rgb="FFCC00FF"/>
      <color rgb="FFCC66FF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645568"/>
        <c:axId val="154024576"/>
      </c:barChart>
      <c:catAx>
        <c:axId val="151645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024576"/>
        <c:crosses val="autoZero"/>
        <c:auto val="1"/>
        <c:lblAlgn val="ctr"/>
        <c:lblOffset val="100"/>
        <c:noMultiLvlLbl val="0"/>
      </c:catAx>
      <c:valAx>
        <c:axId val="154024576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1516455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548032"/>
        <c:axId val="171582592"/>
      </c:barChart>
      <c:catAx>
        <c:axId val="171548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1582592"/>
        <c:crosses val="autoZero"/>
        <c:auto val="1"/>
        <c:lblAlgn val="ctr"/>
        <c:lblOffset val="100"/>
        <c:noMultiLvlLbl val="0"/>
      </c:catAx>
      <c:valAx>
        <c:axId val="1715825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715480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10.3: Percentage share of Establishments by type, 2014</a:t>
            </a:r>
          </a:p>
        </c:rich>
      </c:tx>
      <c:layout>
        <c:manualLayout>
          <c:xMode val="edge"/>
          <c:yMode val="edge"/>
          <c:x val="0.12083329206490699"/>
          <c:y val="2.67558528428094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6668874837977691"/>
          <c:y val="0.19256907954998775"/>
          <c:w val="0.41159738753586045"/>
          <c:h val="0.78506898966396299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7"/>
          </c:dPt>
          <c:dLbls>
            <c:dLbl>
              <c:idx val="0"/>
              <c:layout>
                <c:manualLayout>
                  <c:x val="-0.13388142658638288"/>
                  <c:y val="0.2555273056621347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1.0124015748031501E-2"/>
                  <c:y val="1.574136008918620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8.3259295713036169E-2"/>
                  <c:y val="-0.1453288740245261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.16593028173268656"/>
                  <c:y val="0.1124787483756312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'10.2'!$Z$31:$Z$34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'10.2'!$AA$31:$AA$34</c:f>
              <c:numCache>
                <c:formatCode>0%</c:formatCode>
                <c:ptCount val="4"/>
                <c:pt idx="0">
                  <c:v>0.21893491124260356</c:v>
                </c:pt>
                <c:pt idx="1">
                  <c:v>3.7475345167652857E-2</c:v>
                </c:pt>
                <c:pt idx="2">
                  <c:v>0.42603550295857989</c:v>
                </c:pt>
                <c:pt idx="3">
                  <c:v>0.31755424063116372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10.4: Percentage share of bed capacity by type of establishment, 2014 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2999010744571961"/>
          <c:y val="0.17639724692208156"/>
          <c:w val="0.47040674587644854"/>
          <c:h val="0.82157844852726747"/>
        </c:manualLayout>
      </c:layout>
      <c:pieChart>
        <c:varyColors val="1"/>
        <c:ser>
          <c:idx val="0"/>
          <c:order val="0"/>
          <c:explosion val="5"/>
          <c:dLbls>
            <c:dLbl>
              <c:idx val="0"/>
              <c:layout>
                <c:manualLayout>
                  <c:x val="0.21333867590321695"/>
                  <c:y val="-7.405699762814824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2.3977561206488533E-2"/>
                  <c:y val="2.8572996816462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2.5597942164103209E-2"/>
                  <c:y val="9.970759358502293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9.1318503219884398E-3"/>
                  <c:y val="2.51492802943358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'10.2'!$Z$24:$Z$27</c:f>
              <c:strCache>
                <c:ptCount val="4"/>
                <c:pt idx="0">
                  <c:v>Resorts (including Marinas)</c:v>
                </c:pt>
                <c:pt idx="1">
                  <c:v>Hotels</c:v>
                </c:pt>
                <c:pt idx="2">
                  <c:v>Guest Houses</c:v>
                </c:pt>
                <c:pt idx="3">
                  <c:v>Safari Vessels</c:v>
                </c:pt>
              </c:strCache>
            </c:strRef>
          </c:cat>
          <c:val>
            <c:numRef>
              <c:f>'10.2'!$AA$24:$AA$27</c:f>
              <c:numCache>
                <c:formatCode>0</c:formatCode>
                <c:ptCount val="4"/>
                <c:pt idx="0">
                  <c:v>75.815226036331239</c:v>
                </c:pt>
                <c:pt idx="1">
                  <c:v>5.4210543059841569</c:v>
                </c:pt>
                <c:pt idx="2">
                  <c:v>10.049947507396686</c:v>
                </c:pt>
                <c:pt idx="3">
                  <c:v>8.7137721502879142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22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1234440</xdr:colOff>
      <xdr:row>18</xdr:row>
      <xdr:rowOff>163830</xdr:rowOff>
    </xdr:from>
    <xdr:to>
      <xdr:col>16</xdr:col>
      <xdr:colOff>396240</xdr:colOff>
      <xdr:row>35</xdr:row>
      <xdr:rowOff>43815</xdr:rowOff>
    </xdr:to>
    <xdr:graphicFrame macro="">
      <xdr:nvGraphicFramePr>
        <xdr:cNvPr id="3262500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1196340</xdr:colOff>
      <xdr:row>36</xdr:row>
      <xdr:rowOff>104775</xdr:rowOff>
    </xdr:from>
    <xdr:to>
      <xdr:col>16</xdr:col>
      <xdr:colOff>365760</xdr:colOff>
      <xdr:row>54</xdr:row>
      <xdr:rowOff>47625</xdr:rowOff>
    </xdr:to>
    <xdr:graphicFrame macro="">
      <xdr:nvGraphicFramePr>
        <xdr:cNvPr id="326250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1493520</xdr:colOff>
      <xdr:row>21</xdr:row>
      <xdr:rowOff>68581</xdr:rowOff>
    </xdr:from>
    <xdr:to>
      <xdr:col>16</xdr:col>
      <xdr:colOff>99060</xdr:colOff>
      <xdr:row>21</xdr:row>
      <xdr:rowOff>68581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493520" y="4442461"/>
          <a:ext cx="501396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0</xdr:col>
      <xdr:colOff>1499235</xdr:colOff>
      <xdr:row>39</xdr:row>
      <xdr:rowOff>81915</xdr:rowOff>
    </xdr:from>
    <xdr:to>
      <xdr:col>16</xdr:col>
      <xdr:colOff>104775</xdr:colOff>
      <xdr:row>39</xdr:row>
      <xdr:rowOff>81915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499235" y="7578090"/>
          <a:ext cx="4844415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3" customWidth="1"/>
    <col min="2" max="2" width="8.140625" style="3" customWidth="1"/>
    <col min="3" max="4" width="8.7109375" style="3" customWidth="1"/>
    <col min="5" max="6" width="9.140625" style="3" customWidth="1"/>
    <col min="7" max="7" width="7" style="3" customWidth="1"/>
    <col min="8" max="9" width="7.28515625" style="3" customWidth="1"/>
    <col min="10" max="11" width="7.85546875" style="3" customWidth="1"/>
    <col min="12" max="16384" width="9.140625" style="3"/>
  </cols>
  <sheetData>
    <row r="1" spans="1:21" ht="24" customHeight="1">
      <c r="A1" s="136" t="s">
        <v>93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M1" s="4" t="s">
        <v>19</v>
      </c>
      <c r="N1" s="4" t="s">
        <v>27</v>
      </c>
      <c r="O1" s="4" t="s">
        <v>82</v>
      </c>
      <c r="P1" s="4" t="s">
        <v>90</v>
      </c>
      <c r="Q1" s="25" t="s">
        <v>92</v>
      </c>
      <c r="S1" s="26">
        <f>Q2/M2</f>
        <v>5.5298836452988356</v>
      </c>
      <c r="T1" s="27" t="s">
        <v>95</v>
      </c>
      <c r="U1" s="27"/>
    </row>
    <row r="2" spans="1:21" ht="9.75" customHeight="1">
      <c r="A2" s="137" t="s">
        <v>94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28" t="s">
        <v>55</v>
      </c>
      <c r="M2" s="29">
        <f>M4/1000</f>
        <v>41.511000000000003</v>
      </c>
      <c r="N2" s="29">
        <f>N4/1000</f>
        <v>60.665999999999997</v>
      </c>
      <c r="O2" s="29">
        <f>O4/1000</f>
        <v>118.961</v>
      </c>
      <c r="P2" s="29">
        <f>P4/1000</f>
        <v>198.655</v>
      </c>
      <c r="Q2" s="29">
        <f>Q4/1000</f>
        <v>229.55099999999999</v>
      </c>
      <c r="R2" s="30" t="s">
        <v>96</v>
      </c>
    </row>
    <row r="3" spans="1:21" ht="3.7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21" ht="21" customHeight="1">
      <c r="A4" s="138" t="s">
        <v>97</v>
      </c>
      <c r="B4" s="133" t="s">
        <v>20</v>
      </c>
      <c r="C4" s="141"/>
      <c r="D4" s="141"/>
      <c r="E4" s="141"/>
      <c r="F4" s="142"/>
      <c r="G4" s="143" t="s">
        <v>91</v>
      </c>
      <c r="H4" s="134"/>
      <c r="I4" s="134"/>
      <c r="J4" s="134"/>
      <c r="K4" s="144"/>
      <c r="L4" s="28" t="s">
        <v>55</v>
      </c>
      <c r="M4" s="29">
        <v>41511</v>
      </c>
      <c r="N4" s="29">
        <v>60666</v>
      </c>
      <c r="O4" s="31">
        <v>118961</v>
      </c>
      <c r="P4" s="31">
        <v>198655</v>
      </c>
      <c r="Q4" s="32">
        <v>229551</v>
      </c>
    </row>
    <row r="5" spans="1:21" ht="13.5" customHeight="1">
      <c r="A5" s="139"/>
      <c r="B5" s="132" t="s">
        <v>87</v>
      </c>
      <c r="C5" s="132"/>
      <c r="D5" s="132"/>
      <c r="E5" s="132"/>
      <c r="F5" s="145"/>
      <c r="G5" s="146" t="s">
        <v>88</v>
      </c>
      <c r="H5" s="135"/>
      <c r="I5" s="135"/>
      <c r="J5" s="135"/>
      <c r="K5" s="147"/>
    </row>
    <row r="6" spans="1:21" ht="15" customHeight="1">
      <c r="A6" s="140"/>
      <c r="B6" s="4" t="s">
        <v>19</v>
      </c>
      <c r="C6" s="4" t="s">
        <v>27</v>
      </c>
      <c r="D6" s="4" t="s">
        <v>82</v>
      </c>
      <c r="E6" s="4" t="s">
        <v>90</v>
      </c>
      <c r="F6" s="25" t="s">
        <v>92</v>
      </c>
      <c r="G6" s="33">
        <v>2008</v>
      </c>
      <c r="H6" s="5">
        <v>2009</v>
      </c>
      <c r="I6" s="5">
        <v>2010</v>
      </c>
      <c r="J6" s="5">
        <v>2011</v>
      </c>
      <c r="K6" s="34">
        <v>2012</v>
      </c>
    </row>
    <row r="7" spans="1:21" ht="12.75" customHeight="1">
      <c r="A7" s="28" t="s">
        <v>55</v>
      </c>
      <c r="B7" s="29">
        <v>41511</v>
      </c>
      <c r="C7" s="29">
        <v>60666</v>
      </c>
      <c r="D7" s="31">
        <v>118961</v>
      </c>
      <c r="E7" s="31">
        <v>198655</v>
      </c>
      <c r="F7" s="32">
        <v>229551</v>
      </c>
      <c r="G7" s="35">
        <v>15.385256837891928</v>
      </c>
      <c r="H7" s="35">
        <f t="shared" ref="H7:K38" si="0">(C7-B7)/B7*100</f>
        <v>46.144395461443956</v>
      </c>
      <c r="I7" s="36">
        <f t="shared" si="0"/>
        <v>96.091715293574651</v>
      </c>
      <c r="J7" s="36">
        <f t="shared" si="0"/>
        <v>66.991703163221558</v>
      </c>
      <c r="K7" s="37">
        <f t="shared" si="0"/>
        <v>15.552591175656289</v>
      </c>
    </row>
    <row r="8" spans="1:21" ht="12.75" customHeight="1">
      <c r="A8" s="28" t="s">
        <v>34</v>
      </c>
      <c r="B8" s="29">
        <v>69240</v>
      </c>
      <c r="C8" s="29">
        <v>69085</v>
      </c>
      <c r="D8" s="31">
        <v>77108</v>
      </c>
      <c r="E8" s="31">
        <v>90517</v>
      </c>
      <c r="F8" s="32">
        <v>98351</v>
      </c>
      <c r="G8" s="35">
        <v>-4.1912853367280576</v>
      </c>
      <c r="H8" s="35">
        <f t="shared" si="0"/>
        <v>-0.2238590410167533</v>
      </c>
      <c r="I8" s="36">
        <f t="shared" si="0"/>
        <v>11.613230078888325</v>
      </c>
      <c r="J8" s="36">
        <f t="shared" si="0"/>
        <v>17.389894693157647</v>
      </c>
      <c r="K8" s="37">
        <f t="shared" si="0"/>
        <v>8.654727841179005</v>
      </c>
    </row>
    <row r="9" spans="1:21" ht="12.75" customHeight="1">
      <c r="A9" s="28" t="s">
        <v>52</v>
      </c>
      <c r="B9" s="29">
        <v>116821</v>
      </c>
      <c r="C9" s="29">
        <v>105950</v>
      </c>
      <c r="D9" s="31">
        <v>114158</v>
      </c>
      <c r="E9" s="31">
        <v>104508</v>
      </c>
      <c r="F9" s="32">
        <v>91776</v>
      </c>
      <c r="G9" s="35">
        <v>-6.6611802681410701</v>
      </c>
      <c r="H9" s="35">
        <f t="shared" si="0"/>
        <v>-9.3056899016443957</v>
      </c>
      <c r="I9" s="36">
        <f t="shared" si="0"/>
        <v>7.7470504955167536</v>
      </c>
      <c r="J9" s="36">
        <f t="shared" si="0"/>
        <v>-8.4531964470295549</v>
      </c>
      <c r="K9" s="37">
        <f t="shared" si="0"/>
        <v>-12.182799402916524</v>
      </c>
    </row>
    <row r="10" spans="1:21" ht="12.75" customHeight="1">
      <c r="A10" s="28" t="s">
        <v>44</v>
      </c>
      <c r="B10" s="29">
        <v>48978</v>
      </c>
      <c r="C10" s="29">
        <v>40014</v>
      </c>
      <c r="D10" s="31">
        <v>49111</v>
      </c>
      <c r="E10" s="31">
        <v>63936</v>
      </c>
      <c r="F10" s="32">
        <v>66378</v>
      </c>
      <c r="G10" s="35">
        <v>53.801224682053693</v>
      </c>
      <c r="H10" s="35">
        <f t="shared" si="0"/>
        <v>-18.302094818081589</v>
      </c>
      <c r="I10" s="36">
        <f t="shared" si="0"/>
        <v>22.734542909981506</v>
      </c>
      <c r="J10" s="36">
        <f t="shared" si="0"/>
        <v>30.186719879456742</v>
      </c>
      <c r="K10" s="37">
        <f t="shared" si="0"/>
        <v>3.8194444444444446</v>
      </c>
    </row>
    <row r="11" spans="1:21" ht="12.75" customHeight="1">
      <c r="A11" s="28" t="s">
        <v>39</v>
      </c>
      <c r="B11" s="29">
        <v>103824</v>
      </c>
      <c r="C11" s="29">
        <v>89292</v>
      </c>
      <c r="D11" s="31">
        <v>89596</v>
      </c>
      <c r="E11" s="31">
        <v>83088</v>
      </c>
      <c r="F11" s="32">
        <v>62782</v>
      </c>
      <c r="G11" s="35">
        <v>-11.44772529553247</v>
      </c>
      <c r="H11" s="35">
        <f t="shared" si="0"/>
        <v>-13.996763754045308</v>
      </c>
      <c r="I11" s="36">
        <f t="shared" si="0"/>
        <v>0.34045603189535456</v>
      </c>
      <c r="J11" s="36">
        <f t="shared" si="0"/>
        <v>-7.2637171302290273</v>
      </c>
      <c r="K11" s="37">
        <f t="shared" si="0"/>
        <v>-24.439148854226843</v>
      </c>
    </row>
    <row r="12" spans="1:21" ht="12.75" customHeight="1">
      <c r="A12" s="28" t="s">
        <v>33</v>
      </c>
      <c r="B12" s="29">
        <v>48100</v>
      </c>
      <c r="C12" s="29">
        <v>50373</v>
      </c>
      <c r="D12" s="31">
        <v>54789</v>
      </c>
      <c r="E12" s="31">
        <v>59694</v>
      </c>
      <c r="F12" s="32">
        <v>56775</v>
      </c>
      <c r="G12" s="35">
        <v>6.1786715525043601</v>
      </c>
      <c r="H12" s="35">
        <f t="shared" si="0"/>
        <v>4.7255717255717258</v>
      </c>
      <c r="I12" s="36">
        <f t="shared" si="0"/>
        <v>8.766601155380858</v>
      </c>
      <c r="J12" s="36">
        <f t="shared" si="0"/>
        <v>8.9525269670919343</v>
      </c>
      <c r="K12" s="37">
        <f t="shared" si="0"/>
        <v>-4.889938687305257</v>
      </c>
    </row>
    <row r="13" spans="1:21" ht="12.75" customHeight="1">
      <c r="A13" s="28" t="s">
        <v>58</v>
      </c>
      <c r="B13" s="29">
        <v>38193</v>
      </c>
      <c r="C13" s="29">
        <v>36641</v>
      </c>
      <c r="D13" s="31">
        <v>38791</v>
      </c>
      <c r="E13" s="31">
        <v>35782</v>
      </c>
      <c r="F13" s="32">
        <v>36438</v>
      </c>
      <c r="G13" s="35">
        <v>-7.120449405413293</v>
      </c>
      <c r="H13" s="35">
        <f t="shared" si="0"/>
        <v>-4.063571858717566</v>
      </c>
      <c r="I13" s="36">
        <f t="shared" si="0"/>
        <v>5.8677437842853637</v>
      </c>
      <c r="J13" s="36">
        <f t="shared" si="0"/>
        <v>-7.7569539326132348</v>
      </c>
      <c r="K13" s="37">
        <f t="shared" si="0"/>
        <v>1.8333240176625119</v>
      </c>
    </row>
    <row r="14" spans="1:21" ht="12.75" customHeight="1">
      <c r="A14" s="28" t="s">
        <v>49</v>
      </c>
      <c r="B14" s="29">
        <v>26983</v>
      </c>
      <c r="C14" s="29">
        <v>26783</v>
      </c>
      <c r="D14" s="31">
        <v>27766</v>
      </c>
      <c r="E14" s="31">
        <v>32504</v>
      </c>
      <c r="F14" s="32">
        <v>35457</v>
      </c>
      <c r="G14" s="35">
        <v>3.0554176373983117</v>
      </c>
      <c r="H14" s="35">
        <f t="shared" si="0"/>
        <v>-0.74120742689841757</v>
      </c>
      <c r="I14" s="36">
        <f t="shared" si="0"/>
        <v>3.6702385841765301</v>
      </c>
      <c r="J14" s="36">
        <f t="shared" si="0"/>
        <v>17.064035150903983</v>
      </c>
      <c r="K14" s="37">
        <f t="shared" si="0"/>
        <v>9.0850356879153349</v>
      </c>
    </row>
    <row r="15" spans="1:21" ht="12.75" customHeight="1">
      <c r="A15" s="28" t="s">
        <v>56</v>
      </c>
      <c r="B15" s="29">
        <v>16663</v>
      </c>
      <c r="C15" s="29">
        <v>15850</v>
      </c>
      <c r="D15" s="31">
        <v>25756</v>
      </c>
      <c r="E15" s="31">
        <v>30978</v>
      </c>
      <c r="F15" s="32">
        <v>31721</v>
      </c>
      <c r="G15" s="35">
        <v>-3.832169446528539</v>
      </c>
      <c r="H15" s="35">
        <f t="shared" si="0"/>
        <v>-4.8790733961471524</v>
      </c>
      <c r="I15" s="36">
        <f t="shared" si="0"/>
        <v>62.498422712933753</v>
      </c>
      <c r="J15" s="36">
        <f t="shared" si="0"/>
        <v>20.274887404876534</v>
      </c>
      <c r="K15" s="37">
        <f t="shared" si="0"/>
        <v>2.3984763380463554</v>
      </c>
    </row>
    <row r="16" spans="1:21" ht="12.75" customHeight="1">
      <c r="A16" s="28" t="s">
        <v>59</v>
      </c>
      <c r="B16" s="29">
        <v>20934</v>
      </c>
      <c r="C16" s="29">
        <v>16135</v>
      </c>
      <c r="D16" s="31">
        <v>24808</v>
      </c>
      <c r="E16" s="31">
        <v>25285</v>
      </c>
      <c r="F16" s="32">
        <v>23933</v>
      </c>
      <c r="G16" s="35">
        <v>-0.20022883295194507</v>
      </c>
      <c r="H16" s="35">
        <f t="shared" si="0"/>
        <v>-22.92442915830706</v>
      </c>
      <c r="I16" s="36">
        <f t="shared" si="0"/>
        <v>53.752711496746208</v>
      </c>
      <c r="J16" s="36">
        <f t="shared" si="0"/>
        <v>1.9227668494034182</v>
      </c>
      <c r="K16" s="37">
        <f t="shared" si="0"/>
        <v>-5.3470437017994854</v>
      </c>
    </row>
    <row r="17" spans="1:15" ht="12.75" customHeight="1">
      <c r="A17" s="38" t="s">
        <v>53</v>
      </c>
      <c r="B17" s="39">
        <v>9482</v>
      </c>
      <c r="C17" s="39">
        <v>9476</v>
      </c>
      <c r="D17" s="40">
        <v>10220</v>
      </c>
      <c r="E17" s="40">
        <v>12088</v>
      </c>
      <c r="F17" s="41">
        <v>18612</v>
      </c>
      <c r="G17" s="42">
        <v>16.272225628448805</v>
      </c>
      <c r="H17" s="42">
        <f t="shared" si="0"/>
        <v>-6.3277789495886944E-2</v>
      </c>
      <c r="I17" s="43">
        <f t="shared" si="0"/>
        <v>7.8514140987758552</v>
      </c>
      <c r="J17" s="43">
        <f t="shared" si="0"/>
        <v>18.277886497064578</v>
      </c>
      <c r="K17" s="44">
        <f t="shared" si="0"/>
        <v>53.970880211780283</v>
      </c>
    </row>
    <row r="18" spans="1:15" ht="12.75" customHeight="1">
      <c r="A18" s="38" t="s">
        <v>28</v>
      </c>
      <c r="B18" s="39">
        <v>13462</v>
      </c>
      <c r="C18" s="39">
        <v>13274</v>
      </c>
      <c r="D18" s="40">
        <v>14944</v>
      </c>
      <c r="E18" s="40">
        <v>16655</v>
      </c>
      <c r="F18" s="41">
        <v>18164</v>
      </c>
      <c r="G18" s="42">
        <v>-1.5431873034447401</v>
      </c>
      <c r="H18" s="42">
        <f t="shared" si="0"/>
        <v>-1.3965235477640767</v>
      </c>
      <c r="I18" s="43">
        <f t="shared" si="0"/>
        <v>12.580985384963087</v>
      </c>
      <c r="J18" s="43">
        <f t="shared" si="0"/>
        <v>11.44941113490364</v>
      </c>
      <c r="K18" s="44">
        <f t="shared" si="0"/>
        <v>9.0603422395676976</v>
      </c>
    </row>
    <row r="19" spans="1:15" ht="12.75" customHeight="1">
      <c r="A19" s="38" t="s">
        <v>72</v>
      </c>
      <c r="B19" s="39">
        <v>8853</v>
      </c>
      <c r="C19" s="39">
        <v>9438</v>
      </c>
      <c r="D19" s="40">
        <v>11482</v>
      </c>
      <c r="E19" s="40">
        <v>14490</v>
      </c>
      <c r="F19" s="41">
        <v>16049</v>
      </c>
      <c r="G19" s="42">
        <v>-5.2952503209242625</v>
      </c>
      <c r="H19" s="42">
        <f t="shared" si="0"/>
        <v>6.607929515418502</v>
      </c>
      <c r="I19" s="43">
        <f t="shared" si="0"/>
        <v>21.657130748039837</v>
      </c>
      <c r="J19" s="43">
        <f t="shared" si="0"/>
        <v>26.197526563316497</v>
      </c>
      <c r="K19" s="44">
        <f t="shared" si="0"/>
        <v>10.759144237405106</v>
      </c>
    </row>
    <row r="20" spans="1:15" ht="12.75" customHeight="1">
      <c r="A20" s="38" t="s">
        <v>74</v>
      </c>
      <c r="B20" s="39">
        <v>9368</v>
      </c>
      <c r="C20" s="39">
        <v>7392</v>
      </c>
      <c r="D20" s="40">
        <v>9622</v>
      </c>
      <c r="E20" s="40">
        <v>12778</v>
      </c>
      <c r="F20" s="41">
        <v>15208</v>
      </c>
      <c r="G20" s="42">
        <v>-0.40399744843716773</v>
      </c>
      <c r="H20" s="42">
        <f t="shared" si="0"/>
        <v>-21.093082835183605</v>
      </c>
      <c r="I20" s="43">
        <f t="shared" si="0"/>
        <v>30.167748917748916</v>
      </c>
      <c r="J20" s="43">
        <f t="shared" si="0"/>
        <v>32.799833714404492</v>
      </c>
      <c r="K20" s="44">
        <f t="shared" si="0"/>
        <v>19.017060572859602</v>
      </c>
    </row>
    <row r="21" spans="1:15" ht="12.75" customHeight="1">
      <c r="A21" s="38" t="s">
        <v>63</v>
      </c>
      <c r="B21" s="39">
        <v>4956</v>
      </c>
      <c r="C21" s="39">
        <v>5214</v>
      </c>
      <c r="D21" s="40">
        <v>5332</v>
      </c>
      <c r="E21" s="40">
        <v>7990</v>
      </c>
      <c r="F21" s="41">
        <v>9625</v>
      </c>
      <c r="G21" s="42">
        <v>11.220825852782765</v>
      </c>
      <c r="H21" s="42">
        <f t="shared" si="0"/>
        <v>5.2058111380145284</v>
      </c>
      <c r="I21" s="43">
        <f t="shared" si="0"/>
        <v>2.263137706175681</v>
      </c>
      <c r="J21" s="43">
        <f t="shared" si="0"/>
        <v>49.849962490622659</v>
      </c>
      <c r="K21" s="44">
        <f t="shared" si="0"/>
        <v>20.463078848560702</v>
      </c>
    </row>
    <row r="22" spans="1:15" ht="12.75" customHeight="1">
      <c r="A22" s="38" t="s">
        <v>64</v>
      </c>
      <c r="B22" s="39">
        <v>9752</v>
      </c>
      <c r="C22" s="39">
        <v>7833</v>
      </c>
      <c r="D22" s="40">
        <v>7872</v>
      </c>
      <c r="E22" s="40">
        <v>9670</v>
      </c>
      <c r="F22" s="41">
        <v>8860</v>
      </c>
      <c r="G22" s="42">
        <v>1.015123264967889</v>
      </c>
      <c r="H22" s="42">
        <f t="shared" si="0"/>
        <v>-19.678014766201805</v>
      </c>
      <c r="I22" s="43">
        <f t="shared" si="0"/>
        <v>0.49789352738414405</v>
      </c>
      <c r="J22" s="43">
        <f t="shared" si="0"/>
        <v>22.840447154471544</v>
      </c>
      <c r="K22" s="44">
        <f t="shared" si="0"/>
        <v>-8.3764219234746644</v>
      </c>
    </row>
    <row r="23" spans="1:15" ht="12.75" customHeight="1">
      <c r="A23" s="38" t="s">
        <v>47</v>
      </c>
      <c r="B23" s="39">
        <v>8217</v>
      </c>
      <c r="C23" s="39">
        <v>7279</v>
      </c>
      <c r="D23" s="40">
        <v>8912</v>
      </c>
      <c r="E23" s="40">
        <v>9710</v>
      </c>
      <c r="F23" s="41">
        <v>8824</v>
      </c>
      <c r="G23" s="42">
        <v>-6.6037735849056602</v>
      </c>
      <c r="H23" s="42">
        <f t="shared" si="0"/>
        <v>-11.415358403310211</v>
      </c>
      <c r="I23" s="43">
        <f t="shared" si="0"/>
        <v>22.434400329715622</v>
      </c>
      <c r="J23" s="43">
        <f t="shared" si="0"/>
        <v>8.9542190305206457</v>
      </c>
      <c r="K23" s="44">
        <f t="shared" si="0"/>
        <v>-9.1246138002059727</v>
      </c>
      <c r="O23" s="27" t="s">
        <v>98</v>
      </c>
    </row>
    <row r="24" spans="1:15" ht="12.75" customHeight="1">
      <c r="A24" s="38" t="s">
        <v>51</v>
      </c>
      <c r="B24" s="39">
        <v>5399</v>
      </c>
      <c r="C24" s="39">
        <v>4643</v>
      </c>
      <c r="D24" s="40">
        <v>5445</v>
      </c>
      <c r="E24" s="40">
        <v>6729</v>
      </c>
      <c r="F24" s="41">
        <v>8044</v>
      </c>
      <c r="G24" s="42">
        <v>52.299012693935119</v>
      </c>
      <c r="H24" s="42">
        <f t="shared" si="0"/>
        <v>-14.002593072791258</v>
      </c>
      <c r="I24" s="43">
        <f t="shared" si="0"/>
        <v>17.273314667241007</v>
      </c>
      <c r="J24" s="43">
        <f t="shared" si="0"/>
        <v>23.581267217630856</v>
      </c>
      <c r="K24" s="44">
        <f t="shared" si="0"/>
        <v>19.542279684945758</v>
      </c>
    </row>
    <row r="25" spans="1:15" ht="12.75" customHeight="1">
      <c r="A25" s="38" t="s">
        <v>79</v>
      </c>
      <c r="B25" s="39">
        <v>2747</v>
      </c>
      <c r="C25" s="39">
        <v>3036</v>
      </c>
      <c r="D25" s="40">
        <v>4040</v>
      </c>
      <c r="E25" s="40">
        <v>5005</v>
      </c>
      <c r="F25" s="41">
        <v>7263</v>
      </c>
      <c r="G25" s="42">
        <v>41.597938144329902</v>
      </c>
      <c r="H25" s="42">
        <f t="shared" si="0"/>
        <v>10.520567892246087</v>
      </c>
      <c r="I25" s="43">
        <f t="shared" si="0"/>
        <v>33.06982872200264</v>
      </c>
      <c r="J25" s="43">
        <f t="shared" si="0"/>
        <v>23.886138613861384</v>
      </c>
      <c r="K25" s="44">
        <f t="shared" si="0"/>
        <v>45.114885114885119</v>
      </c>
    </row>
    <row r="26" spans="1:15" ht="12.75" customHeight="1">
      <c r="A26" s="38" t="s">
        <v>66</v>
      </c>
      <c r="B26" s="39">
        <v>3952</v>
      </c>
      <c r="C26" s="39">
        <v>3813</v>
      </c>
      <c r="D26" s="40">
        <v>5397</v>
      </c>
      <c r="E26" s="40">
        <v>6214</v>
      </c>
      <c r="F26" s="41">
        <v>6896</v>
      </c>
      <c r="G26" s="42">
        <v>7.8897078897078892</v>
      </c>
      <c r="H26" s="42">
        <f t="shared" si="0"/>
        <v>-3.5172064777327936</v>
      </c>
      <c r="I26" s="43">
        <f t="shared" si="0"/>
        <v>41.542092840283239</v>
      </c>
      <c r="J26" s="43">
        <f t="shared" si="0"/>
        <v>15.138039651658328</v>
      </c>
      <c r="K26" s="44">
        <f t="shared" si="0"/>
        <v>10.975217251367878</v>
      </c>
    </row>
    <row r="27" spans="1:15" ht="12.75" customHeight="1">
      <c r="A27" s="38" t="s">
        <v>60</v>
      </c>
      <c r="B27" s="39">
        <v>3137</v>
      </c>
      <c r="C27" s="39">
        <v>3139</v>
      </c>
      <c r="D27" s="40">
        <v>3894</v>
      </c>
      <c r="E27" s="40">
        <v>6055</v>
      </c>
      <c r="F27" s="41">
        <v>6766</v>
      </c>
      <c r="G27" s="42">
        <v>4.6015338446148721</v>
      </c>
      <c r="H27" s="42">
        <f t="shared" si="0"/>
        <v>6.3755180108383797E-2</v>
      </c>
      <c r="I27" s="43">
        <f t="shared" si="0"/>
        <v>24.052245938196879</v>
      </c>
      <c r="J27" s="43">
        <f t="shared" si="0"/>
        <v>55.495634309193633</v>
      </c>
      <c r="K27" s="44">
        <f t="shared" si="0"/>
        <v>11.742361684558217</v>
      </c>
    </row>
    <row r="28" spans="1:15" ht="12.75" customHeight="1">
      <c r="A28" s="38" t="s">
        <v>40</v>
      </c>
      <c r="B28" s="39">
        <v>5595</v>
      </c>
      <c r="C28" s="39">
        <v>5355</v>
      </c>
      <c r="D28" s="40">
        <v>5682</v>
      </c>
      <c r="E28" s="40">
        <v>5693</v>
      </c>
      <c r="F28" s="41">
        <v>6077</v>
      </c>
      <c r="G28" s="42">
        <v>-13.644080876678499</v>
      </c>
      <c r="H28" s="42">
        <f t="shared" si="0"/>
        <v>-4.2895442359249332</v>
      </c>
      <c r="I28" s="43">
        <f t="shared" si="0"/>
        <v>6.1064425770308119</v>
      </c>
      <c r="J28" s="43">
        <f t="shared" si="0"/>
        <v>0.19359380499824005</v>
      </c>
      <c r="K28" s="44">
        <f t="shared" si="0"/>
        <v>6.745125592833304</v>
      </c>
    </row>
    <row r="29" spans="1:15" ht="12.75" customHeight="1">
      <c r="A29" s="38" t="s">
        <v>81</v>
      </c>
      <c r="B29" s="39">
        <v>2585</v>
      </c>
      <c r="C29" s="39">
        <v>2744</v>
      </c>
      <c r="D29" s="40">
        <v>3336</v>
      </c>
      <c r="E29" s="40">
        <v>4130</v>
      </c>
      <c r="F29" s="41">
        <v>5880</v>
      </c>
      <c r="G29" s="42">
        <v>26.777832270720943</v>
      </c>
      <c r="H29" s="42">
        <f t="shared" si="0"/>
        <v>6.1508704061895552</v>
      </c>
      <c r="I29" s="43">
        <f t="shared" si="0"/>
        <v>21.574344023323615</v>
      </c>
      <c r="J29" s="43">
        <f t="shared" si="0"/>
        <v>23.800959232613909</v>
      </c>
      <c r="K29" s="44">
        <f t="shared" si="0"/>
        <v>42.372881355932201</v>
      </c>
    </row>
    <row r="30" spans="1:15" ht="12.75" customHeight="1">
      <c r="A30" s="38" t="s">
        <v>30</v>
      </c>
      <c r="B30" s="39">
        <v>3811</v>
      </c>
      <c r="C30" s="39">
        <v>3851</v>
      </c>
      <c r="D30" s="40">
        <v>5137</v>
      </c>
      <c r="E30" s="40">
        <v>6471</v>
      </c>
      <c r="F30" s="41">
        <v>5588</v>
      </c>
      <c r="G30" s="42">
        <v>37.780187997107738</v>
      </c>
      <c r="H30" s="42">
        <f t="shared" si="0"/>
        <v>1.0495932826029915</v>
      </c>
      <c r="I30" s="43">
        <f t="shared" si="0"/>
        <v>33.393923656193195</v>
      </c>
      <c r="J30" s="43">
        <f t="shared" si="0"/>
        <v>25.968464084095778</v>
      </c>
      <c r="K30" s="44">
        <f t="shared" si="0"/>
        <v>-13.645495286663575</v>
      </c>
    </row>
    <row r="31" spans="1:15" ht="12.75" customHeight="1">
      <c r="A31" s="38" t="s">
        <v>50</v>
      </c>
      <c r="B31" s="39">
        <v>3235</v>
      </c>
      <c r="C31" s="39">
        <v>2758</v>
      </c>
      <c r="D31" s="40">
        <v>4637</v>
      </c>
      <c r="E31" s="40">
        <v>4542</v>
      </c>
      <c r="F31" s="41">
        <v>5416</v>
      </c>
      <c r="G31" s="42">
        <v>32.473382473382472</v>
      </c>
      <c r="H31" s="42">
        <f t="shared" si="0"/>
        <v>-14.744976816074187</v>
      </c>
      <c r="I31" s="43">
        <f t="shared" si="0"/>
        <v>68.129079042784625</v>
      </c>
      <c r="J31" s="43">
        <f t="shared" si="0"/>
        <v>-2.0487384084537417</v>
      </c>
      <c r="K31" s="44">
        <f t="shared" si="0"/>
        <v>19.242624394539849</v>
      </c>
    </row>
    <row r="32" spans="1:15" ht="12.75" customHeight="1">
      <c r="A32" s="38" t="s">
        <v>48</v>
      </c>
      <c r="B32" s="39">
        <v>3542</v>
      </c>
      <c r="C32" s="39">
        <v>3165</v>
      </c>
      <c r="D32" s="40">
        <v>3638</v>
      </c>
      <c r="E32" s="40">
        <v>4896</v>
      </c>
      <c r="F32" s="41">
        <v>5230</v>
      </c>
      <c r="G32" s="42">
        <v>64.820846905537451</v>
      </c>
      <c r="H32" s="42">
        <f t="shared" si="0"/>
        <v>-10.643704121964992</v>
      </c>
      <c r="I32" s="43">
        <f t="shared" si="0"/>
        <v>14.944707740916272</v>
      </c>
      <c r="J32" s="43">
        <f t="shared" si="0"/>
        <v>34.579439252336449</v>
      </c>
      <c r="K32" s="44">
        <f t="shared" si="0"/>
        <v>6.8218954248366011</v>
      </c>
    </row>
    <row r="33" spans="1:14" ht="12.75" customHeight="1">
      <c r="A33" s="38" t="s">
        <v>71</v>
      </c>
      <c r="B33" s="39">
        <v>2966</v>
      </c>
      <c r="C33" s="39">
        <v>3043</v>
      </c>
      <c r="D33" s="40">
        <v>3815</v>
      </c>
      <c r="E33" s="40">
        <v>4690</v>
      </c>
      <c r="F33" s="41">
        <v>5070</v>
      </c>
      <c r="G33" s="42">
        <v>4.0336723956506493</v>
      </c>
      <c r="H33" s="42">
        <f t="shared" si="0"/>
        <v>2.5960890087660147</v>
      </c>
      <c r="I33" s="43">
        <f t="shared" si="0"/>
        <v>25.369700953006902</v>
      </c>
      <c r="J33" s="43">
        <f t="shared" si="0"/>
        <v>22.935779816513762</v>
      </c>
      <c r="K33" s="44">
        <f t="shared" si="0"/>
        <v>8.1023454157782524</v>
      </c>
    </row>
    <row r="34" spans="1:14" ht="12.75" customHeight="1">
      <c r="A34" s="38" t="s">
        <v>65</v>
      </c>
      <c r="B34" s="39">
        <v>2233</v>
      </c>
      <c r="C34" s="39">
        <v>1975</v>
      </c>
      <c r="D34" s="40">
        <v>3831</v>
      </c>
      <c r="E34" s="40">
        <v>5305</v>
      </c>
      <c r="F34" s="41">
        <v>4430</v>
      </c>
      <c r="G34" s="42">
        <v>10.654112983151636</v>
      </c>
      <c r="H34" s="42">
        <f t="shared" si="0"/>
        <v>-11.553963278101209</v>
      </c>
      <c r="I34" s="43">
        <f t="shared" si="0"/>
        <v>93.974683544303801</v>
      </c>
      <c r="J34" s="43">
        <f t="shared" si="0"/>
        <v>38.475593839728525</v>
      </c>
      <c r="K34" s="44">
        <f t="shared" si="0"/>
        <v>-16.493873704052781</v>
      </c>
    </row>
    <row r="35" spans="1:14" ht="12.75" customHeight="1">
      <c r="A35" s="38" t="s">
        <v>80</v>
      </c>
      <c r="B35" s="39">
        <v>1394</v>
      </c>
      <c r="C35" s="39">
        <v>1580</v>
      </c>
      <c r="D35" s="40">
        <v>1699</v>
      </c>
      <c r="E35" s="40">
        <v>2292</v>
      </c>
      <c r="F35" s="41">
        <v>4047</v>
      </c>
      <c r="G35" s="42">
        <v>72.738537794299873</v>
      </c>
      <c r="H35" s="42">
        <f t="shared" si="0"/>
        <v>13.342898134863701</v>
      </c>
      <c r="I35" s="43">
        <f t="shared" si="0"/>
        <v>7.5316455696202533</v>
      </c>
      <c r="J35" s="43">
        <f t="shared" si="0"/>
        <v>34.90288404944085</v>
      </c>
      <c r="K35" s="44">
        <f t="shared" si="0"/>
        <v>76.570680628272243</v>
      </c>
    </row>
    <row r="36" spans="1:14" ht="12.75" customHeight="1">
      <c r="A36" s="38" t="s">
        <v>68</v>
      </c>
      <c r="B36" s="39">
        <v>3732</v>
      </c>
      <c r="C36" s="39">
        <v>2975</v>
      </c>
      <c r="D36" s="40">
        <v>3157</v>
      </c>
      <c r="E36" s="40">
        <v>3684</v>
      </c>
      <c r="F36" s="41">
        <v>3967</v>
      </c>
      <c r="G36" s="42">
        <v>13.331308836926814</v>
      </c>
      <c r="H36" s="42">
        <f t="shared" si="0"/>
        <v>-20.284030010718112</v>
      </c>
      <c r="I36" s="43">
        <f t="shared" si="0"/>
        <v>6.1176470588235299</v>
      </c>
      <c r="J36" s="43">
        <f t="shared" si="0"/>
        <v>16.69306303452645</v>
      </c>
      <c r="K36" s="44">
        <f t="shared" si="0"/>
        <v>7.681867535287731</v>
      </c>
    </row>
    <row r="37" spans="1:14" ht="12.75" customHeight="1">
      <c r="A37" s="38" t="s">
        <v>42</v>
      </c>
      <c r="B37" s="39">
        <v>3325</v>
      </c>
      <c r="C37" s="39">
        <v>3357</v>
      </c>
      <c r="D37" s="40">
        <v>3795</v>
      </c>
      <c r="E37" s="40">
        <v>4158</v>
      </c>
      <c r="F37" s="41">
        <v>3918</v>
      </c>
      <c r="G37" s="42">
        <v>25.047010154193305</v>
      </c>
      <c r="H37" s="42">
        <f t="shared" si="0"/>
        <v>0.96240601503759393</v>
      </c>
      <c r="I37" s="43">
        <f t="shared" si="0"/>
        <v>13.047363717605004</v>
      </c>
      <c r="J37" s="43">
        <f t="shared" si="0"/>
        <v>9.5652173913043477</v>
      </c>
      <c r="K37" s="44">
        <f t="shared" si="0"/>
        <v>-5.7720057720057723</v>
      </c>
    </row>
    <row r="38" spans="1:14" ht="12.75" customHeight="1">
      <c r="A38" s="38" t="s">
        <v>43</v>
      </c>
      <c r="B38" s="39">
        <v>4150</v>
      </c>
      <c r="C38" s="39">
        <v>4822</v>
      </c>
      <c r="D38" s="40">
        <v>4555</v>
      </c>
      <c r="E38" s="40">
        <v>4434</v>
      </c>
      <c r="F38" s="41">
        <v>3660</v>
      </c>
      <c r="G38" s="42">
        <v>-0.90735434574976126</v>
      </c>
      <c r="H38" s="42">
        <f t="shared" si="0"/>
        <v>16.192771084337348</v>
      </c>
      <c r="I38" s="43">
        <f t="shared" si="0"/>
        <v>-5.5371215263376188</v>
      </c>
      <c r="J38" s="43">
        <f t="shared" si="0"/>
        <v>-2.6564215148188803</v>
      </c>
      <c r="K38" s="44">
        <f t="shared" si="0"/>
        <v>-17.456021650879567</v>
      </c>
    </row>
    <row r="39" spans="1:14" ht="12.75" customHeight="1">
      <c r="A39" s="38" t="s">
        <v>31</v>
      </c>
      <c r="B39" s="39">
        <v>1834</v>
      </c>
      <c r="C39" s="39">
        <v>1722</v>
      </c>
      <c r="D39" s="40">
        <v>2422</v>
      </c>
      <c r="E39" s="40">
        <v>3173</v>
      </c>
      <c r="F39" s="41">
        <v>3493</v>
      </c>
      <c r="G39" s="42">
        <v>0.82462891698735563</v>
      </c>
      <c r="H39" s="42">
        <f t="shared" ref="H39:K60" si="1">(C39-B39)/B39*100</f>
        <v>-6.1068702290076331</v>
      </c>
      <c r="I39" s="43">
        <f t="shared" si="1"/>
        <v>40.650406504065039</v>
      </c>
      <c r="J39" s="43">
        <f t="shared" si="1"/>
        <v>31.007431874483899</v>
      </c>
      <c r="K39" s="44">
        <f t="shared" si="1"/>
        <v>10.085092971950834</v>
      </c>
    </row>
    <row r="40" spans="1:14" ht="12.75" customHeight="1">
      <c r="A40" s="38" t="s">
        <v>69</v>
      </c>
      <c r="B40" s="39">
        <v>1962</v>
      </c>
      <c r="C40" s="39">
        <v>2059</v>
      </c>
      <c r="D40" s="40">
        <v>2471</v>
      </c>
      <c r="E40" s="40">
        <v>2781</v>
      </c>
      <c r="F40" s="41">
        <v>3128</v>
      </c>
      <c r="G40" s="42">
        <v>26.336123631680618</v>
      </c>
      <c r="H40" s="42">
        <f t="shared" si="1"/>
        <v>4.9439347604485224</v>
      </c>
      <c r="I40" s="43">
        <f t="shared" si="1"/>
        <v>20.009713453132587</v>
      </c>
      <c r="J40" s="43">
        <f t="shared" si="1"/>
        <v>12.545528126264671</v>
      </c>
      <c r="K40" s="44">
        <f t="shared" si="1"/>
        <v>12.47752606975908</v>
      </c>
    </row>
    <row r="41" spans="1:14" ht="12.75" customHeight="1">
      <c r="A41" s="38" t="s">
        <v>70</v>
      </c>
      <c r="B41" s="39">
        <v>1327</v>
      </c>
      <c r="C41" s="39">
        <v>1304</v>
      </c>
      <c r="D41" s="40">
        <v>1761</v>
      </c>
      <c r="E41" s="40">
        <v>2342</v>
      </c>
      <c r="F41" s="41">
        <v>3061</v>
      </c>
      <c r="G41" s="42">
        <v>87.429378531073439</v>
      </c>
      <c r="H41" s="42">
        <f t="shared" si="1"/>
        <v>-1.7332328560663148</v>
      </c>
      <c r="I41" s="43">
        <f t="shared" si="1"/>
        <v>35.04601226993865</v>
      </c>
      <c r="J41" s="43">
        <f t="shared" si="1"/>
        <v>32.992617830777967</v>
      </c>
      <c r="K41" s="44">
        <f t="shared" si="1"/>
        <v>30.700256191289498</v>
      </c>
    </row>
    <row r="42" spans="1:14" ht="12.75" customHeight="1">
      <c r="A42" s="38" t="s">
        <v>77</v>
      </c>
      <c r="B42" s="39">
        <v>1340</v>
      </c>
      <c r="C42" s="39">
        <v>1181</v>
      </c>
      <c r="D42" s="40">
        <v>1409</v>
      </c>
      <c r="E42" s="40">
        <v>1797</v>
      </c>
      <c r="F42" s="41">
        <v>2987</v>
      </c>
      <c r="G42" s="42">
        <v>33.466135458167329</v>
      </c>
      <c r="H42" s="42">
        <f t="shared" si="1"/>
        <v>-11.865671641791046</v>
      </c>
      <c r="I42" s="43">
        <f t="shared" si="1"/>
        <v>19.30567315834039</v>
      </c>
      <c r="J42" s="43">
        <f t="shared" si="1"/>
        <v>27.537260468417319</v>
      </c>
      <c r="K42" s="44">
        <f t="shared" si="1"/>
        <v>66.221480244852543</v>
      </c>
    </row>
    <row r="43" spans="1:14" ht="12.75" customHeight="1">
      <c r="A43" s="38" t="s">
        <v>41</v>
      </c>
      <c r="B43" s="39">
        <v>2596</v>
      </c>
      <c r="C43" s="39">
        <v>2120</v>
      </c>
      <c r="D43" s="40">
        <v>2153</v>
      </c>
      <c r="E43" s="40">
        <v>2775</v>
      </c>
      <c r="F43" s="41">
        <v>2902</v>
      </c>
      <c r="G43" s="42">
        <v>43.584070796460175</v>
      </c>
      <c r="H43" s="42">
        <f t="shared" si="1"/>
        <v>-18.335901386748844</v>
      </c>
      <c r="I43" s="43">
        <f t="shared" si="1"/>
        <v>1.5566037735849056</v>
      </c>
      <c r="J43" s="43">
        <f t="shared" si="1"/>
        <v>28.889921040408733</v>
      </c>
      <c r="K43" s="44">
        <f t="shared" si="1"/>
        <v>4.576576576576576</v>
      </c>
    </row>
    <row r="44" spans="1:14" ht="12.75" customHeight="1">
      <c r="A44" s="38" t="s">
        <v>45</v>
      </c>
      <c r="B44" s="39">
        <v>1916</v>
      </c>
      <c r="C44" s="39">
        <v>1970</v>
      </c>
      <c r="D44" s="40">
        <v>2348</v>
      </c>
      <c r="E44" s="40">
        <v>2822</v>
      </c>
      <c r="F44" s="41">
        <v>2636</v>
      </c>
      <c r="G44" s="42">
        <v>30.428863172226006</v>
      </c>
      <c r="H44" s="42">
        <f t="shared" si="1"/>
        <v>2.8183716075156577</v>
      </c>
      <c r="I44" s="43">
        <f t="shared" si="1"/>
        <v>19.18781725888325</v>
      </c>
      <c r="J44" s="43">
        <f t="shared" si="1"/>
        <v>20.187393526405451</v>
      </c>
      <c r="K44" s="44">
        <f t="shared" si="1"/>
        <v>-6.5910701630049608</v>
      </c>
    </row>
    <row r="45" spans="1:14" ht="12.75" customHeight="1">
      <c r="A45" s="38" t="s">
        <v>73</v>
      </c>
      <c r="B45" s="39">
        <v>1334</v>
      </c>
      <c r="C45" s="39">
        <v>1374</v>
      </c>
      <c r="D45" s="40">
        <v>1543</v>
      </c>
      <c r="E45" s="40">
        <v>2132</v>
      </c>
      <c r="F45" s="41">
        <v>2594</v>
      </c>
      <c r="G45" s="42">
        <v>3.3307513555383426</v>
      </c>
      <c r="H45" s="42">
        <f t="shared" si="1"/>
        <v>2.9985007496251872</v>
      </c>
      <c r="I45" s="43">
        <f t="shared" si="1"/>
        <v>12.299854439592432</v>
      </c>
      <c r="J45" s="43">
        <f t="shared" si="1"/>
        <v>38.172391445236556</v>
      </c>
      <c r="K45" s="44">
        <f t="shared" si="1"/>
        <v>21.669793621013135</v>
      </c>
      <c r="N45" s="27" t="s">
        <v>99</v>
      </c>
    </row>
    <row r="46" spans="1:14" ht="12" customHeight="1">
      <c r="A46" s="38" t="s">
        <v>38</v>
      </c>
      <c r="B46" s="39">
        <v>1588</v>
      </c>
      <c r="C46" s="39">
        <v>1380</v>
      </c>
      <c r="D46" s="40">
        <v>2113</v>
      </c>
      <c r="E46" s="40">
        <v>2433</v>
      </c>
      <c r="F46" s="41">
        <v>2569</v>
      </c>
      <c r="G46" s="42">
        <v>21.406727828746178</v>
      </c>
      <c r="H46" s="42">
        <f t="shared" si="1"/>
        <v>-13.09823677581864</v>
      </c>
      <c r="I46" s="43">
        <f t="shared" si="1"/>
        <v>53.115942028985508</v>
      </c>
      <c r="J46" s="43">
        <f t="shared" si="1"/>
        <v>15.144344533838144</v>
      </c>
      <c r="K46" s="44">
        <f t="shared" si="1"/>
        <v>5.589806822852446</v>
      </c>
    </row>
    <row r="47" spans="1:14" ht="12.75" customHeight="1">
      <c r="A47" s="38" t="s">
        <v>37</v>
      </c>
      <c r="B47" s="39">
        <v>2884</v>
      </c>
      <c r="C47" s="39">
        <v>2420</v>
      </c>
      <c r="D47" s="40">
        <v>2514</v>
      </c>
      <c r="E47" s="40">
        <v>2444</v>
      </c>
      <c r="F47" s="41">
        <v>2483</v>
      </c>
      <c r="G47" s="42">
        <v>-8.3862770012706473</v>
      </c>
      <c r="H47" s="42">
        <f t="shared" si="1"/>
        <v>-16.08876560332871</v>
      </c>
      <c r="I47" s="43">
        <f t="shared" si="1"/>
        <v>3.884297520661157</v>
      </c>
      <c r="J47" s="43">
        <f t="shared" si="1"/>
        <v>-2.7844073190135243</v>
      </c>
      <c r="K47" s="44">
        <f t="shared" si="1"/>
        <v>1.5957446808510638</v>
      </c>
    </row>
    <row r="48" spans="1:14" ht="12.75" customHeight="1">
      <c r="A48" s="38" t="s">
        <v>36</v>
      </c>
      <c r="B48" s="39">
        <v>2052</v>
      </c>
      <c r="C48" s="39">
        <v>1848</v>
      </c>
      <c r="D48" s="40">
        <v>2434</v>
      </c>
      <c r="E48" s="40">
        <v>2596</v>
      </c>
      <c r="F48" s="41">
        <v>2408</v>
      </c>
      <c r="G48" s="42">
        <v>-20.093457943925234</v>
      </c>
      <c r="H48" s="42">
        <f t="shared" si="1"/>
        <v>-9.9415204678362574</v>
      </c>
      <c r="I48" s="43">
        <f t="shared" si="1"/>
        <v>31.70995670995671</v>
      </c>
      <c r="J48" s="43">
        <f t="shared" si="1"/>
        <v>6.6557107641741986</v>
      </c>
      <c r="K48" s="44">
        <f t="shared" si="1"/>
        <v>-7.2419106317411401</v>
      </c>
    </row>
    <row r="49" spans="1:11" ht="12.75" customHeight="1">
      <c r="A49" s="38" t="s">
        <v>67</v>
      </c>
      <c r="B49" s="39">
        <v>1065</v>
      </c>
      <c r="C49" s="39">
        <v>1182</v>
      </c>
      <c r="D49" s="40">
        <v>1575</v>
      </c>
      <c r="E49" s="40">
        <v>2485</v>
      </c>
      <c r="F49" s="41">
        <v>2345</v>
      </c>
      <c r="G49" s="42">
        <v>-45.412608918503331</v>
      </c>
      <c r="H49" s="42">
        <f t="shared" si="1"/>
        <v>10.985915492957748</v>
      </c>
      <c r="I49" s="43">
        <f t="shared" si="1"/>
        <v>33.248730964467008</v>
      </c>
      <c r="J49" s="43">
        <f t="shared" si="1"/>
        <v>57.777777777777771</v>
      </c>
      <c r="K49" s="44">
        <f t="shared" si="1"/>
        <v>-5.6338028169014089</v>
      </c>
    </row>
    <row r="50" spans="1:11" ht="12.75" customHeight="1">
      <c r="A50" s="38" t="s">
        <v>62</v>
      </c>
      <c r="B50" s="39">
        <v>871</v>
      </c>
      <c r="C50" s="39">
        <v>979</v>
      </c>
      <c r="D50" s="40">
        <v>1066</v>
      </c>
      <c r="E50" s="40">
        <v>1652</v>
      </c>
      <c r="F50" s="41">
        <v>2265</v>
      </c>
      <c r="G50" s="42">
        <v>-11.303462321792262</v>
      </c>
      <c r="H50" s="42">
        <f t="shared" si="1"/>
        <v>12.399540757749714</v>
      </c>
      <c r="I50" s="43">
        <f t="shared" si="1"/>
        <v>8.88661899897855</v>
      </c>
      <c r="J50" s="43">
        <f t="shared" si="1"/>
        <v>54.971857410881796</v>
      </c>
      <c r="K50" s="44">
        <f t="shared" si="1"/>
        <v>37.106537530266344</v>
      </c>
    </row>
    <row r="51" spans="1:11" ht="12.75" customHeight="1">
      <c r="A51" s="38" t="s">
        <v>35</v>
      </c>
      <c r="B51" s="39">
        <v>4926</v>
      </c>
      <c r="C51" s="39">
        <v>5406</v>
      </c>
      <c r="D51" s="40">
        <v>4630</v>
      </c>
      <c r="E51" s="40">
        <v>3009</v>
      </c>
      <c r="F51" s="41">
        <v>2058</v>
      </c>
      <c r="G51" s="42">
        <v>1.5670103092783505</v>
      </c>
      <c r="H51" s="42">
        <f t="shared" si="1"/>
        <v>9.7442143727161987</v>
      </c>
      <c r="I51" s="43">
        <f t="shared" si="1"/>
        <v>-14.354421013688496</v>
      </c>
      <c r="J51" s="43">
        <f t="shared" si="1"/>
        <v>-35.010799136069117</v>
      </c>
      <c r="K51" s="44">
        <f t="shared" si="1"/>
        <v>-31.605184446660019</v>
      </c>
    </row>
    <row r="52" spans="1:11" ht="12.75" customHeight="1">
      <c r="A52" s="38" t="s">
        <v>61</v>
      </c>
      <c r="B52" s="39">
        <v>1191</v>
      </c>
      <c r="C52" s="39">
        <v>1046</v>
      </c>
      <c r="D52" s="40">
        <v>1256</v>
      </c>
      <c r="E52" s="40">
        <v>1842</v>
      </c>
      <c r="F52" s="41">
        <v>1857</v>
      </c>
      <c r="G52" s="42">
        <v>17.5715695952616</v>
      </c>
      <c r="H52" s="42">
        <f t="shared" si="1"/>
        <v>-12.174643157010916</v>
      </c>
      <c r="I52" s="43">
        <f t="shared" si="1"/>
        <v>20.076481835564053</v>
      </c>
      <c r="J52" s="43">
        <f t="shared" si="1"/>
        <v>46.656050955414017</v>
      </c>
      <c r="K52" s="44">
        <f t="shared" si="1"/>
        <v>0.81433224755700329</v>
      </c>
    </row>
    <row r="53" spans="1:11" ht="12.75" customHeight="1">
      <c r="A53" s="38" t="s">
        <v>57</v>
      </c>
      <c r="B53" s="39">
        <v>581</v>
      </c>
      <c r="C53" s="39">
        <v>677</v>
      </c>
      <c r="D53" s="40">
        <v>818</v>
      </c>
      <c r="E53" s="40">
        <v>1283</v>
      </c>
      <c r="F53" s="41">
        <v>1772</v>
      </c>
      <c r="G53" s="42">
        <v>-38.388123011664902</v>
      </c>
      <c r="H53" s="42">
        <f t="shared" si="1"/>
        <v>16.523235800344235</v>
      </c>
      <c r="I53" s="43">
        <f t="shared" si="1"/>
        <v>20.827178729689809</v>
      </c>
      <c r="J53" s="43">
        <f t="shared" si="1"/>
        <v>56.845965770171148</v>
      </c>
      <c r="K53" s="44">
        <f t="shared" si="1"/>
        <v>38.113795791114576</v>
      </c>
    </row>
    <row r="54" spans="1:11" ht="12.75" customHeight="1">
      <c r="A54" s="38" t="s">
        <v>78</v>
      </c>
      <c r="B54" s="39">
        <v>1139</v>
      </c>
      <c r="C54" s="39">
        <v>984</v>
      </c>
      <c r="D54" s="40">
        <v>1145</v>
      </c>
      <c r="E54" s="40">
        <v>1346</v>
      </c>
      <c r="F54" s="41">
        <v>1666</v>
      </c>
      <c r="G54" s="42">
        <v>72.575757575757578</v>
      </c>
      <c r="H54" s="42">
        <f t="shared" si="1"/>
        <v>-13.608428446005268</v>
      </c>
      <c r="I54" s="43">
        <f t="shared" si="1"/>
        <v>16.361788617886177</v>
      </c>
      <c r="J54" s="43">
        <f t="shared" si="1"/>
        <v>17.554585152838428</v>
      </c>
      <c r="K54" s="44">
        <f t="shared" si="1"/>
        <v>23.774145616641899</v>
      </c>
    </row>
    <row r="55" spans="1:11" ht="12.75" customHeight="1">
      <c r="A55" s="38" t="s">
        <v>75</v>
      </c>
      <c r="B55" s="39">
        <v>1184</v>
      </c>
      <c r="C55" s="39">
        <v>991</v>
      </c>
      <c r="D55" s="40">
        <v>1103</v>
      </c>
      <c r="E55" s="40">
        <v>1390</v>
      </c>
      <c r="F55" s="41">
        <v>1579</v>
      </c>
      <c r="G55" s="42">
        <v>3.6777583187390541</v>
      </c>
      <c r="H55" s="42">
        <f t="shared" si="1"/>
        <v>-16.300675675675674</v>
      </c>
      <c r="I55" s="43">
        <f t="shared" si="1"/>
        <v>11.301715438950556</v>
      </c>
      <c r="J55" s="43">
        <f t="shared" si="1"/>
        <v>26.019945602901178</v>
      </c>
      <c r="K55" s="44">
        <f t="shared" si="1"/>
        <v>13.597122302158274</v>
      </c>
    </row>
    <row r="56" spans="1:11" ht="12.75" customHeight="1">
      <c r="A56" s="38" t="s">
        <v>29</v>
      </c>
      <c r="B56" s="39">
        <v>3368</v>
      </c>
      <c r="C56" s="39">
        <v>3437</v>
      </c>
      <c r="D56" s="40">
        <v>4386</v>
      </c>
      <c r="E56" s="40">
        <v>5738</v>
      </c>
      <c r="F56" s="41">
        <v>1509</v>
      </c>
      <c r="G56" s="42">
        <v>-5.1801801801801801</v>
      </c>
      <c r="H56" s="42">
        <f t="shared" si="1"/>
        <v>2.0486935866983371</v>
      </c>
      <c r="I56" s="43">
        <f t="shared" si="1"/>
        <v>27.611288914751235</v>
      </c>
      <c r="J56" s="43">
        <f t="shared" si="1"/>
        <v>30.825353397172822</v>
      </c>
      <c r="K56" s="44">
        <f t="shared" si="1"/>
        <v>-73.701638201463922</v>
      </c>
    </row>
    <row r="57" spans="1:11" ht="12.75" customHeight="1">
      <c r="A57" s="38" t="s">
        <v>32</v>
      </c>
      <c r="B57" s="39">
        <v>865</v>
      </c>
      <c r="C57" s="39">
        <v>1088</v>
      </c>
      <c r="D57" s="40">
        <v>1281</v>
      </c>
      <c r="E57" s="40">
        <v>1535</v>
      </c>
      <c r="F57" s="41">
        <v>1402</v>
      </c>
      <c r="G57" s="42">
        <v>9.6324461343472745</v>
      </c>
      <c r="H57" s="42">
        <f t="shared" si="1"/>
        <v>25.780346820809246</v>
      </c>
      <c r="I57" s="43">
        <f t="shared" si="1"/>
        <v>17.738970588235293</v>
      </c>
      <c r="J57" s="43">
        <f t="shared" si="1"/>
        <v>19.828259172521467</v>
      </c>
      <c r="K57" s="44">
        <f t="shared" si="1"/>
        <v>-8.664495114006515</v>
      </c>
    </row>
    <row r="58" spans="1:11" ht="12.75" customHeight="1">
      <c r="A58" s="38" t="s">
        <v>46</v>
      </c>
      <c r="B58" s="39">
        <v>1372</v>
      </c>
      <c r="C58" s="39">
        <v>1324</v>
      </c>
      <c r="D58" s="40">
        <v>1647</v>
      </c>
      <c r="E58" s="40">
        <v>1609</v>
      </c>
      <c r="F58" s="41">
        <v>1295</v>
      </c>
      <c r="G58" s="42">
        <v>13.953488372093023</v>
      </c>
      <c r="H58" s="42">
        <f t="shared" si="1"/>
        <v>-3.4985422740524781</v>
      </c>
      <c r="I58" s="43">
        <f t="shared" si="1"/>
        <v>24.395770392749245</v>
      </c>
      <c r="J58" s="43">
        <f t="shared" si="1"/>
        <v>-2.3072252580449302</v>
      </c>
      <c r="K58" s="44">
        <f t="shared" si="1"/>
        <v>-19.515226848974518</v>
      </c>
    </row>
    <row r="59" spans="1:11" ht="12.75" customHeight="1">
      <c r="A59" s="38" t="s">
        <v>54</v>
      </c>
      <c r="B59" s="39">
        <v>455</v>
      </c>
      <c r="C59" s="39">
        <v>388</v>
      </c>
      <c r="D59" s="40">
        <v>525</v>
      </c>
      <c r="E59" s="40">
        <v>1496</v>
      </c>
      <c r="F59" s="41">
        <v>1221</v>
      </c>
      <c r="G59" s="42">
        <v>-64.563862928348911</v>
      </c>
      <c r="H59" s="42">
        <f t="shared" si="1"/>
        <v>-14.725274725274726</v>
      </c>
      <c r="I59" s="43">
        <f t="shared" si="1"/>
        <v>35.309278350515463</v>
      </c>
      <c r="J59" s="43">
        <f t="shared" si="1"/>
        <v>184.95238095238096</v>
      </c>
      <c r="K59" s="44">
        <f t="shared" si="1"/>
        <v>-18.382352941176471</v>
      </c>
    </row>
    <row r="60" spans="1:11" ht="12.75" customHeight="1">
      <c r="A60" s="45" t="s">
        <v>76</v>
      </c>
      <c r="B60" s="46">
        <v>22</v>
      </c>
      <c r="C60" s="46">
        <v>21</v>
      </c>
      <c r="D60" s="47">
        <v>31</v>
      </c>
      <c r="E60" s="47">
        <v>27</v>
      </c>
      <c r="F60" s="48">
        <v>39</v>
      </c>
      <c r="G60" s="49">
        <v>-80.530973451327441</v>
      </c>
      <c r="H60" s="49">
        <f t="shared" si="1"/>
        <v>-4.5454545454545459</v>
      </c>
      <c r="I60" s="50">
        <f t="shared" si="1"/>
        <v>47.619047619047613</v>
      </c>
      <c r="J60" s="50">
        <f t="shared" si="1"/>
        <v>-12.903225806451612</v>
      </c>
      <c r="K60" s="51">
        <f t="shared" si="1"/>
        <v>44.444444444444443</v>
      </c>
    </row>
    <row r="61" spans="1:11">
      <c r="A61" s="6"/>
      <c r="B61" s="7"/>
      <c r="C61" s="7"/>
      <c r="D61" s="7"/>
      <c r="E61" s="7"/>
      <c r="F61" s="7"/>
      <c r="G61" s="52"/>
      <c r="H61" s="8"/>
      <c r="I61" s="8"/>
      <c r="J61" s="8"/>
      <c r="K61" s="8"/>
    </row>
    <row r="62" spans="1:11" ht="12" customHeight="1">
      <c r="A62" s="6"/>
      <c r="B62" s="7"/>
      <c r="C62" s="7"/>
      <c r="D62" s="7"/>
      <c r="E62" s="7"/>
      <c r="F62" s="7"/>
      <c r="G62" s="52"/>
      <c r="H62" s="8"/>
      <c r="I62" s="8"/>
      <c r="J62" s="8"/>
      <c r="K62" s="8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92D050"/>
    <pageSetUpPr fitToPage="1"/>
  </sheetPr>
  <dimension ref="A1:AU46"/>
  <sheetViews>
    <sheetView showGridLines="0" tabSelected="1" view="pageBreakPreview" zoomScaleNormal="100" zoomScaleSheetLayoutView="100" workbookViewId="0">
      <selection activeCell="T15" sqref="T15"/>
    </sheetView>
  </sheetViews>
  <sheetFormatPr defaultColWidth="8.85546875" defaultRowHeight="12.75"/>
  <cols>
    <col min="1" max="1" width="31.85546875" style="3" customWidth="1"/>
    <col min="2" max="2" width="6.140625" style="3" hidden="1" customWidth="1"/>
    <col min="3" max="4" width="7.28515625" style="3" hidden="1" customWidth="1"/>
    <col min="5" max="5" width="0.5703125" style="3" hidden="1" customWidth="1"/>
    <col min="6" max="6" width="7.28515625" style="3" hidden="1" customWidth="1"/>
    <col min="7" max="7" width="0.5703125" style="3" customWidth="1"/>
    <col min="8" max="8" width="8.5703125" style="3" customWidth="1"/>
    <col min="9" max="9" width="0.5703125" style="3" customWidth="1"/>
    <col min="10" max="10" width="8.5703125" style="3" customWidth="1"/>
    <col min="11" max="11" width="0.5703125" style="3" customWidth="1"/>
    <col min="12" max="16" width="8.5703125" style="3" customWidth="1"/>
    <col min="17" max="24" width="38.42578125" style="3" customWidth="1"/>
    <col min="25" max="25" width="12.85546875" style="3" customWidth="1"/>
    <col min="26" max="26" width="16.85546875" style="3" customWidth="1"/>
    <col min="27" max="27" width="10.5703125" style="3" customWidth="1"/>
    <col min="28" max="28" width="9.7109375" style="3" customWidth="1"/>
    <col min="29" max="32" width="46.42578125" style="3" customWidth="1"/>
    <col min="33" max="16384" width="8.85546875" style="3"/>
  </cols>
  <sheetData>
    <row r="1" spans="1:39" ht="21.75" customHeight="1">
      <c r="A1" s="149" t="s">
        <v>103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30"/>
      <c r="S1" s="130"/>
      <c r="T1" s="130"/>
      <c r="U1" s="130"/>
      <c r="V1" s="130"/>
      <c r="W1" s="130"/>
      <c r="X1" s="130"/>
      <c r="Y1" s="58"/>
      <c r="Z1" s="58"/>
      <c r="AA1" s="58"/>
      <c r="AB1" s="58"/>
      <c r="AC1" s="58"/>
      <c r="AD1" s="58"/>
      <c r="AE1" s="58"/>
      <c r="AF1" s="58"/>
    </row>
    <row r="2" spans="1:39" ht="22.5" customHeight="1">
      <c r="A2" s="148" t="s">
        <v>102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31"/>
      <c r="S2" s="131"/>
      <c r="T2" s="131"/>
      <c r="U2" s="131"/>
      <c r="V2" s="131"/>
      <c r="W2" s="131"/>
      <c r="X2" s="131"/>
      <c r="Y2" s="59"/>
      <c r="Z2" s="59"/>
      <c r="AA2" s="59"/>
      <c r="AB2" s="59"/>
      <c r="AC2" s="59"/>
      <c r="AD2" s="59"/>
      <c r="AE2" s="59"/>
      <c r="AF2" s="59"/>
    </row>
    <row r="3" spans="1:39" s="11" customFormat="1" ht="18.600000000000001" customHeight="1">
      <c r="A3" s="60" t="s">
        <v>1</v>
      </c>
      <c r="B3" s="13">
        <v>2002</v>
      </c>
      <c r="C3" s="13">
        <v>2005</v>
      </c>
      <c r="D3" s="13">
        <v>2006</v>
      </c>
      <c r="E3" s="13"/>
      <c r="F3" s="13">
        <v>2007</v>
      </c>
      <c r="G3" s="13"/>
      <c r="H3" s="13">
        <v>2008</v>
      </c>
      <c r="I3" s="13"/>
      <c r="J3" s="13">
        <v>2009</v>
      </c>
      <c r="K3" s="13"/>
      <c r="L3" s="13">
        <v>2010</v>
      </c>
      <c r="M3" s="13">
        <v>2011</v>
      </c>
      <c r="N3" s="13">
        <v>2012</v>
      </c>
      <c r="O3" s="13" t="s">
        <v>104</v>
      </c>
      <c r="P3" s="13">
        <v>2014</v>
      </c>
      <c r="Q3" s="61" t="s">
        <v>22</v>
      </c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</row>
    <row r="4" spans="1:39" s="11" customFormat="1" ht="7.9" customHeight="1">
      <c r="A4" s="63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64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</row>
    <row r="5" spans="1:39" s="68" customFormat="1" ht="17.25" customHeight="1">
      <c r="A5" s="126" t="s">
        <v>18</v>
      </c>
      <c r="B5" s="65"/>
      <c r="C5" s="66"/>
      <c r="D5" s="66"/>
      <c r="E5" s="66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67" t="s">
        <v>23</v>
      </c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</row>
    <row r="6" spans="1:39" s="68" customFormat="1" ht="17.25" customHeight="1">
      <c r="A6" s="57" t="s">
        <v>0</v>
      </c>
      <c r="B6" s="69">
        <v>18827</v>
      </c>
      <c r="C6" s="16">
        <f>SUM(C7:C10)</f>
        <v>20198</v>
      </c>
      <c r="D6" s="16">
        <f>SUM(D7:D10)</f>
        <v>20505</v>
      </c>
      <c r="E6" s="53"/>
      <c r="F6" s="16">
        <f>SUM(F7:F10)</f>
        <v>22187</v>
      </c>
      <c r="G6" s="16"/>
      <c r="H6" s="16">
        <f>SUM(H7:H10)</f>
        <v>23464</v>
      </c>
      <c r="I6" s="16"/>
      <c r="J6" s="16">
        <f>SUM(J7:J10)</f>
        <v>24978</v>
      </c>
      <c r="K6" s="16"/>
      <c r="L6" s="16">
        <f>SUM(L7:L10)</f>
        <v>25591</v>
      </c>
      <c r="M6" s="16">
        <f>SUM(M7:M10)</f>
        <v>26896</v>
      </c>
      <c r="N6" s="16">
        <f>SUM(N7:N10)</f>
        <v>28120</v>
      </c>
      <c r="O6" s="16">
        <f>SUM(O7:O10)</f>
        <v>29715</v>
      </c>
      <c r="P6" s="16">
        <f>SUM(P7:P10)</f>
        <v>31433</v>
      </c>
      <c r="Q6" s="70" t="s">
        <v>21</v>
      </c>
      <c r="R6" s="70"/>
      <c r="S6" s="70"/>
      <c r="T6" s="70"/>
      <c r="U6" s="70"/>
      <c r="V6" s="70"/>
      <c r="W6" s="70"/>
      <c r="X6" s="70"/>
      <c r="Y6" s="70"/>
      <c r="Z6" s="67"/>
      <c r="AA6" s="70"/>
      <c r="AB6" s="70"/>
      <c r="AC6" s="70"/>
      <c r="AD6" s="70"/>
      <c r="AE6" s="70"/>
      <c r="AF6" s="70"/>
    </row>
    <row r="7" spans="1:39" s="68" customFormat="1" ht="17.25" customHeight="1">
      <c r="A7" s="71" t="s">
        <v>84</v>
      </c>
      <c r="B7" s="72">
        <v>16400</v>
      </c>
      <c r="C7" s="73">
        <v>17348</v>
      </c>
      <c r="D7" s="73">
        <v>17802</v>
      </c>
      <c r="E7" s="53"/>
      <c r="F7" s="73">
        <v>19028</v>
      </c>
      <c r="G7" s="74"/>
      <c r="H7" s="73">
        <v>19860</v>
      </c>
      <c r="I7" s="74"/>
      <c r="J7" s="1">
        <v>20942</v>
      </c>
      <c r="K7" s="74"/>
      <c r="L7" s="1">
        <v>21232</v>
      </c>
      <c r="M7" s="1">
        <v>22120</v>
      </c>
      <c r="N7" s="1">
        <v>22889</v>
      </c>
      <c r="O7" s="1">
        <v>23373</v>
      </c>
      <c r="P7" s="1">
        <v>23831</v>
      </c>
      <c r="Q7" s="75" t="s">
        <v>85</v>
      </c>
      <c r="R7" s="75"/>
      <c r="S7" s="75"/>
      <c r="T7" s="75"/>
      <c r="U7" s="75"/>
      <c r="V7" s="75"/>
      <c r="W7" s="75"/>
      <c r="X7" s="75"/>
      <c r="Y7" s="76"/>
      <c r="Z7" s="67"/>
      <c r="AA7" s="124"/>
      <c r="AB7" s="77"/>
      <c r="AC7" s="77"/>
      <c r="AD7" s="77"/>
      <c r="AE7" s="77"/>
      <c r="AF7" s="77"/>
      <c r="AG7" s="78"/>
      <c r="AH7" s="78"/>
    </row>
    <row r="8" spans="1:39" s="68" customFormat="1" ht="17.25" customHeight="1">
      <c r="A8" s="71" t="s">
        <v>2</v>
      </c>
      <c r="B8" s="72">
        <v>670</v>
      </c>
      <c r="C8" s="79">
        <v>636</v>
      </c>
      <c r="D8" s="73">
        <v>713</v>
      </c>
      <c r="E8" s="74"/>
      <c r="F8" s="73">
        <v>836</v>
      </c>
      <c r="G8" s="74"/>
      <c r="H8" s="73">
        <v>1110</v>
      </c>
      <c r="I8" s="53"/>
      <c r="J8" s="1">
        <v>1368</v>
      </c>
      <c r="K8" s="74"/>
      <c r="L8" s="1">
        <v>1449</v>
      </c>
      <c r="M8" s="1">
        <v>1603</v>
      </c>
      <c r="N8" s="1">
        <v>1627</v>
      </c>
      <c r="O8" s="1">
        <v>1708</v>
      </c>
      <c r="P8" s="1">
        <v>1704</v>
      </c>
      <c r="Q8" s="80" t="s">
        <v>89</v>
      </c>
      <c r="R8" s="80"/>
      <c r="S8" s="80"/>
      <c r="T8" s="80"/>
      <c r="U8" s="80"/>
      <c r="V8" s="80"/>
      <c r="W8" s="80"/>
      <c r="X8" s="80"/>
      <c r="Y8" s="76"/>
      <c r="Z8" s="67"/>
      <c r="AA8" s="124"/>
      <c r="AB8" s="77"/>
      <c r="AC8" s="77"/>
      <c r="AD8" s="77"/>
      <c r="AE8" s="77"/>
      <c r="AF8" s="77"/>
    </row>
    <row r="9" spans="1:39" s="68" customFormat="1" ht="17.25" customHeight="1">
      <c r="A9" s="71" t="s">
        <v>3</v>
      </c>
      <c r="B9" s="81">
        <v>282</v>
      </c>
      <c r="C9" s="79">
        <v>425</v>
      </c>
      <c r="D9" s="79">
        <v>391</v>
      </c>
      <c r="E9" s="53"/>
      <c r="F9" s="73">
        <v>400</v>
      </c>
      <c r="G9" s="79"/>
      <c r="H9" s="73">
        <v>400</v>
      </c>
      <c r="I9" s="79"/>
      <c r="J9" s="1">
        <v>462</v>
      </c>
      <c r="K9" s="79"/>
      <c r="L9" s="1">
        <v>476</v>
      </c>
      <c r="M9" s="1">
        <v>659</v>
      </c>
      <c r="N9" s="1">
        <v>1101</v>
      </c>
      <c r="O9" s="1">
        <v>1918</v>
      </c>
      <c r="P9" s="1">
        <v>3159</v>
      </c>
      <c r="Q9" s="80" t="s">
        <v>25</v>
      </c>
      <c r="R9" s="80"/>
      <c r="S9" s="80"/>
      <c r="T9" s="80"/>
      <c r="U9" s="80"/>
      <c r="V9" s="80"/>
      <c r="W9" s="80"/>
      <c r="X9" s="80"/>
      <c r="Y9" s="76"/>
      <c r="Z9" s="67"/>
      <c r="AA9" s="124"/>
      <c r="AB9" s="77"/>
      <c r="AC9" s="77"/>
      <c r="AD9" s="77"/>
      <c r="AE9" s="77"/>
      <c r="AF9" s="77"/>
    </row>
    <row r="10" spans="1:39" s="83" customFormat="1" ht="17.25" customHeight="1">
      <c r="A10" s="71" t="s">
        <v>4</v>
      </c>
      <c r="B10" s="81">
        <v>1475</v>
      </c>
      <c r="C10" s="79">
        <v>1789</v>
      </c>
      <c r="D10" s="79">
        <v>1599</v>
      </c>
      <c r="E10" s="82"/>
      <c r="F10" s="73">
        <v>1923</v>
      </c>
      <c r="G10" s="79"/>
      <c r="H10" s="73">
        <v>2094</v>
      </c>
      <c r="I10" s="79"/>
      <c r="J10" s="17">
        <v>2206</v>
      </c>
      <c r="K10" s="79"/>
      <c r="L10" s="17">
        <v>2434</v>
      </c>
      <c r="M10" s="17">
        <v>2514</v>
      </c>
      <c r="N10" s="17">
        <v>2503</v>
      </c>
      <c r="O10" s="1">
        <v>2716</v>
      </c>
      <c r="P10" s="1">
        <v>2739</v>
      </c>
      <c r="Q10" s="80" t="s">
        <v>26</v>
      </c>
      <c r="R10" s="80"/>
      <c r="S10" s="80"/>
      <c r="T10" s="80"/>
      <c r="U10" s="80"/>
      <c r="V10" s="80"/>
      <c r="W10" s="80"/>
      <c r="X10" s="80"/>
      <c r="Y10" s="76"/>
      <c r="Z10" s="67"/>
      <c r="AA10" s="124"/>
      <c r="AB10" s="77"/>
      <c r="AC10" s="77"/>
      <c r="AD10" s="77"/>
      <c r="AE10" s="77"/>
      <c r="AF10" s="77"/>
    </row>
    <row r="11" spans="1:39" ht="12.75" customHeight="1">
      <c r="A11" s="57" t="s">
        <v>5</v>
      </c>
      <c r="B11" s="20"/>
      <c r="C11" s="84"/>
      <c r="D11" s="84"/>
      <c r="E11" s="53"/>
      <c r="F11" s="85"/>
      <c r="G11" s="84"/>
      <c r="H11" s="85"/>
      <c r="I11" s="84"/>
      <c r="J11" s="53"/>
      <c r="K11" s="84"/>
      <c r="L11" s="53"/>
      <c r="M11" s="53"/>
      <c r="N11" s="53"/>
      <c r="O11" s="53"/>
      <c r="P11" s="53"/>
      <c r="Q11" s="86" t="s">
        <v>83</v>
      </c>
      <c r="R11" s="86"/>
      <c r="S11" s="86"/>
      <c r="T11" s="86"/>
      <c r="U11" s="86"/>
      <c r="V11" s="86"/>
      <c r="W11" s="86"/>
      <c r="X11" s="86"/>
      <c r="Y11" s="70"/>
      <c r="Z11" s="67"/>
      <c r="AA11" s="70"/>
      <c r="AB11" s="70"/>
      <c r="AC11" s="70"/>
      <c r="AD11" s="70"/>
      <c r="AE11" s="70"/>
      <c r="AF11" s="70"/>
    </row>
    <row r="12" spans="1:39" s="68" customFormat="1" ht="17.25" customHeight="1">
      <c r="A12" s="57" t="s">
        <v>0</v>
      </c>
      <c r="B12" s="87">
        <v>208</v>
      </c>
      <c r="C12" s="18">
        <f>SUM(C13:C16)</f>
        <v>245</v>
      </c>
      <c r="D12" s="18">
        <f>SUM(D13:D16)</f>
        <v>235</v>
      </c>
      <c r="E12" s="53"/>
      <c r="F12" s="18">
        <f>SUM(F13:F16)</f>
        <v>260</v>
      </c>
      <c r="G12" s="88"/>
      <c r="H12" s="18">
        <f>SUM(H13:H16)</f>
        <v>274</v>
      </c>
      <c r="I12" s="18"/>
      <c r="J12" s="18">
        <f>SUM(J13:J16)</f>
        <v>278</v>
      </c>
      <c r="K12" s="18"/>
      <c r="L12" s="18">
        <f>SUM(L13:L16)</f>
        <v>295</v>
      </c>
      <c r="M12" s="18">
        <f>SUM(M13:M16)</f>
        <v>315</v>
      </c>
      <c r="N12" s="18">
        <f>SUM(N13:N16)</f>
        <v>353</v>
      </c>
      <c r="O12" s="18">
        <f>SUM(O13:O16)</f>
        <v>428</v>
      </c>
      <c r="P12" s="18">
        <f>SUM(P13:P16)</f>
        <v>507</v>
      </c>
      <c r="Q12" s="70" t="s">
        <v>21</v>
      </c>
      <c r="R12" s="70"/>
      <c r="S12" s="70"/>
      <c r="T12" s="70"/>
      <c r="U12" s="70"/>
      <c r="V12" s="70"/>
      <c r="W12" s="70"/>
      <c r="X12" s="70"/>
      <c r="Y12" s="70"/>
      <c r="Z12" s="67"/>
      <c r="AA12" s="70"/>
      <c r="AB12" s="70"/>
      <c r="AC12" s="70"/>
      <c r="AD12" s="70"/>
      <c r="AE12" s="70"/>
      <c r="AF12" s="70"/>
    </row>
    <row r="13" spans="1:39" s="68" customFormat="1" ht="17.25" customHeight="1">
      <c r="A13" s="71" t="s">
        <v>84</v>
      </c>
      <c r="B13" s="89">
        <v>87</v>
      </c>
      <c r="C13" s="90">
        <v>88</v>
      </c>
      <c r="D13" s="90">
        <v>89</v>
      </c>
      <c r="E13" s="53"/>
      <c r="F13" s="54">
        <v>92</v>
      </c>
      <c r="G13" s="90"/>
      <c r="H13" s="54">
        <v>94</v>
      </c>
      <c r="I13" s="90"/>
      <c r="J13" s="53">
        <v>97</v>
      </c>
      <c r="K13" s="74"/>
      <c r="L13" s="53">
        <v>97</v>
      </c>
      <c r="M13" s="53">
        <v>101</v>
      </c>
      <c r="N13" s="53">
        <v>105</v>
      </c>
      <c r="O13" s="1">
        <v>109</v>
      </c>
      <c r="P13" s="1">
        <v>111</v>
      </c>
      <c r="Q13" s="75" t="s">
        <v>85</v>
      </c>
      <c r="R13" s="75"/>
      <c r="S13" s="75"/>
      <c r="T13" s="75"/>
      <c r="U13" s="75"/>
      <c r="V13" s="75"/>
      <c r="W13" s="75"/>
      <c r="X13" s="75"/>
      <c r="Y13" s="91"/>
      <c r="Z13" s="67"/>
      <c r="AA13" s="77"/>
      <c r="AB13" s="77"/>
      <c r="AC13" s="77"/>
      <c r="AD13" s="77"/>
      <c r="AE13" s="77"/>
      <c r="AF13" s="77"/>
      <c r="AI13" s="12" t="s">
        <v>86</v>
      </c>
      <c r="AJ13" s="3"/>
      <c r="AK13" s="3"/>
      <c r="AL13" s="3"/>
      <c r="AM13" s="3"/>
    </row>
    <row r="14" spans="1:39" s="68" customFormat="1" ht="17.25" customHeight="1">
      <c r="A14" s="71" t="s">
        <v>2</v>
      </c>
      <c r="B14" s="65">
        <v>8</v>
      </c>
      <c r="C14" s="90">
        <v>8</v>
      </c>
      <c r="D14" s="90">
        <v>9</v>
      </c>
      <c r="E14" s="53"/>
      <c r="F14" s="54">
        <v>11</v>
      </c>
      <c r="G14" s="90"/>
      <c r="H14" s="54">
        <v>13</v>
      </c>
      <c r="I14" s="90"/>
      <c r="J14" s="53">
        <v>14</v>
      </c>
      <c r="K14" s="90"/>
      <c r="L14" s="53">
        <v>17</v>
      </c>
      <c r="M14" s="53">
        <v>19</v>
      </c>
      <c r="N14" s="53">
        <v>19</v>
      </c>
      <c r="O14" s="1">
        <v>20</v>
      </c>
      <c r="P14" s="1">
        <v>19</v>
      </c>
      <c r="Q14" s="80" t="s">
        <v>24</v>
      </c>
      <c r="R14" s="80"/>
      <c r="S14" s="80"/>
      <c r="T14" s="80"/>
      <c r="U14" s="80"/>
      <c r="V14" s="80"/>
      <c r="W14" s="80"/>
      <c r="X14" s="80"/>
      <c r="Y14" s="91"/>
      <c r="Z14" s="67"/>
      <c r="AA14" s="77"/>
      <c r="AB14" s="77"/>
      <c r="AC14" s="77"/>
      <c r="AD14" s="77"/>
      <c r="AE14" s="77"/>
      <c r="AF14" s="77"/>
      <c r="AJ14" s="3">
        <v>2008</v>
      </c>
      <c r="AK14" s="3">
        <v>2009</v>
      </c>
      <c r="AL14" s="3">
        <v>2010</v>
      </c>
      <c r="AM14" s="3"/>
    </row>
    <row r="15" spans="1:39" s="68" customFormat="1" ht="17.25" customHeight="1">
      <c r="A15" s="71" t="s">
        <v>3</v>
      </c>
      <c r="B15" s="65">
        <v>17</v>
      </c>
      <c r="C15" s="54">
        <v>28</v>
      </c>
      <c r="D15" s="90">
        <v>21</v>
      </c>
      <c r="E15" s="53"/>
      <c r="F15" s="54">
        <v>24</v>
      </c>
      <c r="G15" s="90"/>
      <c r="H15" s="54">
        <v>24</v>
      </c>
      <c r="I15" s="54"/>
      <c r="J15" s="54">
        <v>22</v>
      </c>
      <c r="K15" s="54"/>
      <c r="L15" s="54">
        <v>25</v>
      </c>
      <c r="M15" s="54">
        <v>38</v>
      </c>
      <c r="N15" s="54">
        <v>75</v>
      </c>
      <c r="O15" s="1">
        <v>136</v>
      </c>
      <c r="P15" s="1">
        <v>216</v>
      </c>
      <c r="Q15" s="80" t="s">
        <v>25</v>
      </c>
      <c r="R15" s="80"/>
      <c r="S15" s="80"/>
      <c r="T15" s="80"/>
      <c r="U15" s="80"/>
      <c r="V15" s="80"/>
      <c r="W15" s="80"/>
      <c r="X15" s="80"/>
      <c r="Y15" s="91"/>
      <c r="Z15" s="77"/>
      <c r="AA15" s="92"/>
      <c r="AB15" s="77"/>
      <c r="AC15" s="77"/>
      <c r="AD15" s="77"/>
      <c r="AE15" s="77"/>
      <c r="AF15" s="77"/>
      <c r="AI15" s="93" t="s">
        <v>6</v>
      </c>
      <c r="AJ15" s="94">
        <v>90</v>
      </c>
      <c r="AK15" s="95">
        <v>86.5</v>
      </c>
      <c r="AL15" s="95">
        <v>83.491234188055287</v>
      </c>
      <c r="AM15" s="3"/>
    </row>
    <row r="16" spans="1:39" s="68" customFormat="1" ht="17.25" customHeight="1">
      <c r="A16" s="96" t="s">
        <v>4</v>
      </c>
      <c r="B16" s="97">
        <v>96</v>
      </c>
      <c r="C16" s="98">
        <v>121</v>
      </c>
      <c r="D16" s="55">
        <v>116</v>
      </c>
      <c r="E16" s="55"/>
      <c r="F16" s="55">
        <v>133</v>
      </c>
      <c r="G16" s="55"/>
      <c r="H16" s="55">
        <v>143</v>
      </c>
      <c r="I16" s="55"/>
      <c r="J16" s="55">
        <v>145</v>
      </c>
      <c r="K16" s="55"/>
      <c r="L16" s="55">
        <v>156</v>
      </c>
      <c r="M16" s="55">
        <v>157</v>
      </c>
      <c r="N16" s="55">
        <v>154</v>
      </c>
      <c r="O16" s="55">
        <v>163</v>
      </c>
      <c r="P16" s="55">
        <v>161</v>
      </c>
      <c r="Q16" s="99" t="s">
        <v>26</v>
      </c>
      <c r="R16" s="128"/>
      <c r="S16" s="128"/>
      <c r="T16" s="128"/>
      <c r="U16" s="128"/>
      <c r="V16" s="128"/>
      <c r="W16" s="128"/>
      <c r="X16" s="128"/>
      <c r="Y16" s="91"/>
      <c r="Z16" s="100"/>
      <c r="AA16" s="92"/>
      <c r="AB16" s="100"/>
      <c r="AC16" s="100"/>
      <c r="AD16" s="100"/>
      <c r="AE16" s="100"/>
      <c r="AF16" s="100"/>
      <c r="AI16" s="93" t="s">
        <v>7</v>
      </c>
      <c r="AJ16" s="94">
        <v>99.3</v>
      </c>
      <c r="AK16" s="95">
        <v>85.5</v>
      </c>
      <c r="AL16" s="95">
        <v>92.497790120850709</v>
      </c>
      <c r="AM16" s="3"/>
    </row>
    <row r="17" spans="1:41" s="68" customFormat="1" ht="17.25" customHeight="1">
      <c r="A17" s="129" t="s">
        <v>105</v>
      </c>
      <c r="B17" s="127"/>
      <c r="C17" s="123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128"/>
      <c r="R17" s="128"/>
      <c r="S17" s="128"/>
      <c r="T17" s="128"/>
      <c r="U17" s="128"/>
      <c r="V17" s="128"/>
      <c r="W17" s="128"/>
      <c r="X17" s="128"/>
      <c r="Y17" s="91"/>
      <c r="Z17" s="100"/>
      <c r="AA17" s="92"/>
      <c r="AB17" s="100"/>
      <c r="AC17" s="100"/>
      <c r="AD17" s="100"/>
      <c r="AE17" s="100"/>
      <c r="AF17" s="100"/>
      <c r="AI17" s="93"/>
      <c r="AJ17" s="94"/>
      <c r="AK17" s="95"/>
      <c r="AL17" s="95"/>
      <c r="AM17" s="3"/>
    </row>
    <row r="18" spans="1:41" s="68" customFormat="1" ht="15.75" customHeight="1">
      <c r="A18" s="24" t="s">
        <v>100</v>
      </c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9" t="s">
        <v>101</v>
      </c>
      <c r="R18" s="9"/>
      <c r="S18" s="9"/>
      <c r="T18" s="9"/>
      <c r="U18" s="9"/>
      <c r="V18" s="9"/>
      <c r="W18" s="9"/>
      <c r="X18" s="9"/>
      <c r="Y18" s="9"/>
      <c r="Z18" s="9"/>
      <c r="AA18" s="92"/>
      <c r="AB18" s="9"/>
      <c r="AC18" s="9"/>
      <c r="AD18" s="9"/>
      <c r="AE18" s="9"/>
      <c r="AF18" s="9"/>
      <c r="AG18" s="101"/>
      <c r="AH18" s="101"/>
      <c r="AI18" s="93" t="s">
        <v>8</v>
      </c>
      <c r="AJ18" s="94">
        <v>95.7</v>
      </c>
      <c r="AK18" s="95">
        <v>81.599999999999994</v>
      </c>
      <c r="AL18" s="95">
        <v>82.681844616915185</v>
      </c>
      <c r="AM18" s="3"/>
      <c r="AO18" s="102"/>
    </row>
    <row r="19" spans="1:41" s="68" customFormat="1" ht="13.5" customHeight="1">
      <c r="A19" s="103"/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25"/>
      <c r="P19" s="125"/>
      <c r="Q19" s="9"/>
      <c r="R19" s="9"/>
      <c r="S19" s="9"/>
      <c r="T19" s="9"/>
      <c r="U19" s="9"/>
      <c r="V19" s="9"/>
      <c r="W19" s="9"/>
      <c r="X19" s="9"/>
      <c r="Y19" s="9"/>
      <c r="Z19" s="9"/>
      <c r="AA19" s="92"/>
      <c r="AB19" s="9"/>
      <c r="AC19" s="9"/>
      <c r="AD19" s="9"/>
      <c r="AE19" s="9"/>
      <c r="AF19" s="9"/>
      <c r="AG19" s="101"/>
      <c r="AH19" s="101"/>
      <c r="AI19" s="93" t="s">
        <v>9</v>
      </c>
      <c r="AJ19" s="94">
        <v>88.2</v>
      </c>
      <c r="AK19" s="95">
        <v>75.2</v>
      </c>
      <c r="AL19" s="95">
        <v>74.160355263558102</v>
      </c>
      <c r="AM19" s="3"/>
      <c r="AO19" s="102"/>
    </row>
    <row r="20" spans="1:41" s="68" customFormat="1" ht="13.5" customHeight="1"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9"/>
      <c r="R20" s="9"/>
      <c r="S20" s="9"/>
      <c r="T20" s="9"/>
      <c r="U20" s="9"/>
      <c r="V20" s="9"/>
      <c r="W20" s="9"/>
      <c r="X20" s="9"/>
      <c r="Y20" s="9"/>
      <c r="Z20" s="9"/>
      <c r="AA20" s="77"/>
      <c r="AB20" s="9"/>
      <c r="AC20" s="9"/>
      <c r="AD20" s="9"/>
      <c r="AE20" s="9"/>
      <c r="AF20" s="9"/>
      <c r="AG20" s="101"/>
      <c r="AH20" s="101"/>
      <c r="AI20" s="93" t="s">
        <v>10</v>
      </c>
      <c r="AJ20" s="94">
        <v>70.400000000000006</v>
      </c>
      <c r="AK20" s="95">
        <v>59.1</v>
      </c>
      <c r="AL20" s="95">
        <v>64.503933728937085</v>
      </c>
      <c r="AM20" s="3"/>
      <c r="AO20" s="102"/>
    </row>
    <row r="21" spans="1:41" s="68" customFormat="1" ht="18" customHeight="1">
      <c r="A21" s="101"/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1"/>
      <c r="AH21" s="101"/>
      <c r="AI21" s="93" t="s">
        <v>11</v>
      </c>
      <c r="AJ21" s="94">
        <v>54.2</v>
      </c>
      <c r="AK21" s="95">
        <v>47.5</v>
      </c>
      <c r="AL21" s="95">
        <v>50.151344766188735</v>
      </c>
      <c r="AM21" s="3"/>
      <c r="AO21" s="102"/>
    </row>
    <row r="22" spans="1:41" s="68" customFormat="1" ht="18" customHeight="1">
      <c r="A22" s="101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1"/>
      <c r="AH22" s="101"/>
      <c r="AI22" s="93" t="s">
        <v>12</v>
      </c>
      <c r="AJ22" s="94">
        <v>65.3</v>
      </c>
      <c r="AK22" s="95">
        <v>56.7</v>
      </c>
      <c r="AL22" s="95">
        <v>63.541071520340019</v>
      </c>
      <c r="AM22" s="3"/>
      <c r="AO22" s="102"/>
    </row>
    <row r="23" spans="1:41" s="68" customFormat="1" ht="18" customHeight="1">
      <c r="A23" s="101"/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4"/>
      <c r="AH23" s="101"/>
      <c r="AI23" s="93" t="s">
        <v>13</v>
      </c>
      <c r="AJ23" s="94">
        <v>76</v>
      </c>
      <c r="AK23" s="95">
        <v>66</v>
      </c>
      <c r="AL23" s="95">
        <v>73.075851824343147</v>
      </c>
      <c r="AM23" s="3"/>
      <c r="AO23" s="102"/>
    </row>
    <row r="24" spans="1:41" s="68" customFormat="1">
      <c r="Z24" s="105" t="s">
        <v>84</v>
      </c>
      <c r="AA24" s="106">
        <f>P7/P6*100</f>
        <v>75.815226036331239</v>
      </c>
      <c r="AG24" s="107"/>
      <c r="AI24" s="93" t="s">
        <v>14</v>
      </c>
      <c r="AJ24" s="94">
        <v>66</v>
      </c>
      <c r="AK24" s="95">
        <v>62.7</v>
      </c>
      <c r="AL24" s="95">
        <v>67.645205840820566</v>
      </c>
      <c r="AM24" s="3"/>
    </row>
    <row r="25" spans="1:41" s="68" customFormat="1">
      <c r="Z25" s="105" t="s">
        <v>2</v>
      </c>
      <c r="AA25" s="106">
        <f>P8/P6*100</f>
        <v>5.4210543059841569</v>
      </c>
      <c r="AG25" s="107"/>
      <c r="AI25" s="93" t="s">
        <v>15</v>
      </c>
      <c r="AJ25" s="94">
        <v>76.2</v>
      </c>
      <c r="AK25" s="95">
        <v>73</v>
      </c>
      <c r="AL25" s="95">
        <v>79.832401306097296</v>
      </c>
      <c r="AM25" s="3"/>
    </row>
    <row r="26" spans="1:41" s="68" customFormat="1">
      <c r="Z26" s="105" t="s">
        <v>3</v>
      </c>
      <c r="AA26" s="106">
        <f>P9/P6*100</f>
        <v>10.049947507396686</v>
      </c>
      <c r="AG26" s="107"/>
      <c r="AI26" s="108" t="s">
        <v>16</v>
      </c>
      <c r="AJ26" s="94">
        <v>78.7</v>
      </c>
      <c r="AK26" s="95">
        <v>74.599999999999994</v>
      </c>
      <c r="AL26" s="95">
        <v>81.361352074345533</v>
      </c>
      <c r="AM26" s="3"/>
    </row>
    <row r="27" spans="1:41" s="68" customFormat="1">
      <c r="Z27" s="105" t="s">
        <v>4</v>
      </c>
      <c r="AA27" s="106">
        <f>P10/P6*100</f>
        <v>8.7137721502879142</v>
      </c>
      <c r="AG27" s="107"/>
      <c r="AI27" s="109" t="s">
        <v>17</v>
      </c>
      <c r="AJ27" s="110">
        <v>79.099999999999994</v>
      </c>
      <c r="AK27" s="110">
        <v>73.8</v>
      </c>
      <c r="AL27" s="111">
        <v>77.667630049271267</v>
      </c>
      <c r="AM27" s="3"/>
    </row>
    <row r="28" spans="1:41" s="68" customFormat="1">
      <c r="AG28" s="107"/>
      <c r="AL28" s="112"/>
      <c r="AM28" s="3"/>
    </row>
    <row r="29" spans="1:41">
      <c r="AG29" s="113"/>
      <c r="AL29" s="114"/>
    </row>
    <row r="30" spans="1:41">
      <c r="AG30" s="113"/>
      <c r="AI30" s="115"/>
      <c r="AJ30" s="115"/>
      <c r="AK30" s="115"/>
      <c r="AL30" s="115"/>
    </row>
    <row r="31" spans="1:41">
      <c r="Z31" s="105" t="s">
        <v>84</v>
      </c>
      <c r="AA31" s="116">
        <f>P13/P12</f>
        <v>0.21893491124260356</v>
      </c>
      <c r="AG31" s="113"/>
    </row>
    <row r="32" spans="1:41">
      <c r="Z32" s="105" t="s">
        <v>2</v>
      </c>
      <c r="AA32" s="116">
        <f>P14/P12</f>
        <v>3.7475345167652857E-2</v>
      </c>
      <c r="AG32" s="113"/>
    </row>
    <row r="33" spans="11:47">
      <c r="Z33" s="105" t="s">
        <v>3</v>
      </c>
      <c r="AA33" s="116">
        <f>P15/P12</f>
        <v>0.42603550295857989</v>
      </c>
      <c r="AG33" s="113"/>
      <c r="AI33" s="3" t="s">
        <v>5</v>
      </c>
    </row>
    <row r="34" spans="11:47">
      <c r="Z34" s="105" t="s">
        <v>4</v>
      </c>
      <c r="AA34" s="116">
        <f>P16/P12</f>
        <v>0.31755424063116372</v>
      </c>
      <c r="AG34" s="113"/>
      <c r="AJ34" s="117">
        <v>2002</v>
      </c>
      <c r="AK34" s="117">
        <v>2003</v>
      </c>
      <c r="AL34" s="117">
        <v>2004</v>
      </c>
      <c r="AM34" s="117">
        <v>2005</v>
      </c>
      <c r="AN34" s="117">
        <v>2006</v>
      </c>
      <c r="AO34" s="117">
        <v>2007</v>
      </c>
      <c r="AP34" s="117">
        <v>2008</v>
      </c>
      <c r="AQ34" s="117">
        <v>2009</v>
      </c>
      <c r="AR34" s="117">
        <v>2010</v>
      </c>
      <c r="AS34" s="117">
        <v>2011</v>
      </c>
      <c r="AT34" s="117">
        <v>2012</v>
      </c>
    </row>
    <row r="35" spans="11:47">
      <c r="AI35" s="105" t="s">
        <v>84</v>
      </c>
      <c r="AJ35" s="3">
        <v>87</v>
      </c>
      <c r="AK35" s="3">
        <v>87</v>
      </c>
      <c r="AL35" s="3">
        <v>87</v>
      </c>
      <c r="AM35" s="90">
        <v>88</v>
      </c>
      <c r="AN35" s="90">
        <v>89</v>
      </c>
      <c r="AO35" s="54">
        <v>92</v>
      </c>
      <c r="AP35" s="54">
        <v>94</v>
      </c>
      <c r="AQ35" s="2">
        <v>97</v>
      </c>
      <c r="AR35" s="2">
        <v>97</v>
      </c>
      <c r="AS35" s="2">
        <v>101</v>
      </c>
      <c r="AT35" s="2">
        <v>105</v>
      </c>
    </row>
    <row r="36" spans="11:47">
      <c r="AI36" s="105" t="s">
        <v>2</v>
      </c>
      <c r="AJ36" s="3">
        <v>8</v>
      </c>
      <c r="AK36" s="3">
        <v>8</v>
      </c>
      <c r="AL36" s="3">
        <v>8</v>
      </c>
      <c r="AM36" s="118">
        <v>8</v>
      </c>
      <c r="AN36" s="118">
        <v>9</v>
      </c>
      <c r="AO36" s="19">
        <v>11</v>
      </c>
      <c r="AP36" s="19">
        <v>13</v>
      </c>
      <c r="AQ36" s="2">
        <v>14</v>
      </c>
      <c r="AR36" s="2">
        <v>17</v>
      </c>
      <c r="AS36" s="2">
        <v>19</v>
      </c>
      <c r="AT36" s="2">
        <v>19</v>
      </c>
    </row>
    <row r="37" spans="11:47">
      <c r="AI37" s="105" t="s">
        <v>3</v>
      </c>
      <c r="AJ37" s="3">
        <v>17</v>
      </c>
      <c r="AK37" s="3">
        <v>24</v>
      </c>
      <c r="AL37" s="3">
        <v>28</v>
      </c>
      <c r="AM37" s="19">
        <v>28</v>
      </c>
      <c r="AN37" s="118">
        <v>21</v>
      </c>
      <c r="AO37" s="19">
        <v>24</v>
      </c>
      <c r="AP37" s="19">
        <v>24</v>
      </c>
      <c r="AQ37" s="19">
        <v>22</v>
      </c>
      <c r="AR37" s="19">
        <v>25</v>
      </c>
      <c r="AS37" s="19">
        <v>38</v>
      </c>
      <c r="AT37" s="19">
        <v>75</v>
      </c>
    </row>
    <row r="38" spans="11:47">
      <c r="AI38" s="119" t="s">
        <v>4</v>
      </c>
      <c r="AJ38" s="3">
        <v>96</v>
      </c>
      <c r="AK38" s="3">
        <v>113</v>
      </c>
      <c r="AL38" s="3">
        <v>113</v>
      </c>
      <c r="AM38" s="21">
        <v>121</v>
      </c>
      <c r="AN38" s="22">
        <v>116</v>
      </c>
      <c r="AO38" s="22">
        <v>133</v>
      </c>
      <c r="AP38" s="22">
        <v>143</v>
      </c>
      <c r="AQ38" s="22">
        <v>145</v>
      </c>
      <c r="AR38" s="22">
        <v>156</v>
      </c>
      <c r="AS38" s="22">
        <v>157</v>
      </c>
      <c r="AT38" s="22">
        <v>154</v>
      </c>
    </row>
    <row r="39" spans="11:47">
      <c r="AI39" s="120"/>
      <c r="AL39" s="121"/>
      <c r="AM39" s="23"/>
      <c r="AN39" s="23"/>
      <c r="AO39" s="23"/>
      <c r="AP39" s="23"/>
      <c r="AQ39" s="23"/>
      <c r="AR39" s="23"/>
      <c r="AS39" s="23"/>
      <c r="AT39" s="23"/>
      <c r="AU39" s="121"/>
    </row>
    <row r="40" spans="11:47">
      <c r="K40" s="122"/>
      <c r="AL40" s="105"/>
      <c r="AM40" s="84"/>
      <c r="AN40" s="84"/>
      <c r="AO40" s="123"/>
      <c r="AP40" s="123"/>
      <c r="AQ40" s="20"/>
      <c r="AR40" s="20"/>
      <c r="AS40" s="20"/>
      <c r="AT40" s="20"/>
      <c r="AU40" s="121"/>
    </row>
    <row r="41" spans="11:47">
      <c r="AL41" s="105"/>
      <c r="AM41" s="22"/>
      <c r="AN41" s="22"/>
      <c r="AO41" s="21"/>
      <c r="AP41" s="21"/>
      <c r="AQ41" s="20"/>
      <c r="AR41" s="20"/>
      <c r="AS41" s="20"/>
      <c r="AT41" s="20"/>
      <c r="AU41" s="121"/>
    </row>
    <row r="42" spans="11:47">
      <c r="AL42" s="105"/>
      <c r="AM42" s="21"/>
      <c r="AN42" s="22"/>
      <c r="AO42" s="21"/>
      <c r="AP42" s="21"/>
      <c r="AQ42" s="21"/>
      <c r="AR42" s="21"/>
      <c r="AS42" s="21"/>
      <c r="AT42" s="21"/>
      <c r="AU42" s="121"/>
    </row>
    <row r="43" spans="11:47">
      <c r="AL43" s="105"/>
      <c r="AM43" s="21"/>
      <c r="AN43" s="22"/>
      <c r="AO43" s="22"/>
      <c r="AP43" s="22"/>
      <c r="AQ43" s="22"/>
      <c r="AR43" s="22"/>
      <c r="AS43" s="22"/>
      <c r="AT43" s="22"/>
      <c r="AU43" s="121"/>
    </row>
    <row r="44" spans="11:47"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</row>
    <row r="45" spans="11:47"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</row>
    <row r="46" spans="11:47"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</row>
  </sheetData>
  <mergeCells count="2">
    <mergeCell ref="A2:Q2"/>
    <mergeCell ref="A1:Q1"/>
  </mergeCells>
  <phoneticPr fontId="0" type="noConversion"/>
  <printOptions horizontalCentered="1"/>
  <pageMargins left="0.23622047244094499" right="0.35433070866141703" top="0.39" bottom="0.3" header="0.196850393700787" footer="0.15748031496063"/>
  <pageSetup paperSize="9" scale="75" orientation="portrait" r:id="rId1"/>
  <headerFooter alignWithMargins="0"/>
  <colBreaks count="1" manualBreakCount="1">
    <brk id="32" max="1048575" man="1"/>
  </colBreaks>
  <drawing r:id="rId2"/>
  <webPublishItems count="2">
    <webPublishItem id="5609" divId="10- Tourism_5609" sourceType="printArea" destinationFile="\\Server\dp unit\Publication\Statistical  Year Book\Statistical Year Book 2008\yrbook08 cd\10-Tourism\10.2.htm"/>
    <webPublishItem id="30624" divId="10Tourism_30624" sourceType="range" sourceRef="A2:H67" destinationFile="\\Server\dp unit\Publication\Statistical  Year Book\Statistical Year Book 2008\yrbook08 cd\10-Tourism\10.2, Fig 10.1 &amp; fig 10.2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10.2</vt:lpstr>
      <vt:lpstr>'10.2'!Print_Area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2016-02-25T07:56:52Z</cp:lastPrinted>
  <dcterms:created xsi:type="dcterms:W3CDTF">2007-02-07T06:41:32Z</dcterms:created>
  <dcterms:modified xsi:type="dcterms:W3CDTF">2016-02-25T07:56:55Z</dcterms:modified>
</cp:coreProperties>
</file>