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0. TOURISM\"/>
    </mc:Choice>
  </mc:AlternateContent>
  <bookViews>
    <workbookView xWindow="0" yWindow="0" windowWidth="28800" windowHeight="12330" tabRatio="837" firstSheet="1" activeTab="1"/>
  </bookViews>
  <sheets>
    <sheet name="10.1 figures workings" sheetId="44" state="hidden" r:id="rId1"/>
    <sheet name="10.4" sheetId="55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'10.4'!$A$1:$U$34</definedName>
    <definedName name="Print_Area_MI">#REF!</definedName>
    <definedName name="ttttt">#REF!</definedName>
  </definedNames>
  <calcPr calcId="162913"/>
</workbook>
</file>

<file path=xl/calcChain.xml><?xml version="1.0" encoding="utf-8"?>
<calcChain xmlns="http://schemas.openxmlformats.org/spreadsheetml/2006/main">
  <c r="AE21" i="55" l="1"/>
  <c r="AF21" i="55"/>
  <c r="AE22" i="55"/>
  <c r="AF22" i="55"/>
  <c r="AE23" i="55"/>
  <c r="AF23" i="55"/>
  <c r="AE24" i="55"/>
  <c r="AF24" i="55"/>
  <c r="AE25" i="55"/>
  <c r="AF25" i="55"/>
  <c r="AE26" i="55"/>
  <c r="AF26" i="55"/>
  <c r="AE27" i="55"/>
  <c r="AF27" i="55"/>
  <c r="AE28" i="55"/>
  <c r="AF28" i="55"/>
  <c r="AE29" i="55"/>
  <c r="AF29" i="55"/>
  <c r="AE30" i="55"/>
  <c r="AF30" i="55"/>
  <c r="AE31" i="55"/>
  <c r="AF31" i="55"/>
  <c r="AF20" i="55"/>
  <c r="AE20" i="55"/>
  <c r="S18" i="55" l="1"/>
  <c r="N18" i="55"/>
  <c r="I18" i="55"/>
  <c r="D18" i="55"/>
  <c r="S17" i="55"/>
  <c r="N17" i="55"/>
  <c r="I17" i="55"/>
  <c r="D17" i="55"/>
  <c r="S16" i="55"/>
  <c r="N16" i="55"/>
  <c r="I16" i="55"/>
  <c r="D16" i="55"/>
  <c r="S15" i="55"/>
  <c r="N15" i="55"/>
  <c r="I15" i="55"/>
  <c r="D15" i="55"/>
  <c r="S14" i="55"/>
  <c r="N14" i="55"/>
  <c r="I14" i="55"/>
  <c r="D14" i="55"/>
  <c r="S13" i="55"/>
  <c r="N13" i="55"/>
  <c r="I13" i="55"/>
  <c r="D13" i="55"/>
  <c r="S12" i="55"/>
  <c r="N12" i="55"/>
  <c r="I12" i="55"/>
  <c r="D12" i="55"/>
  <c r="S11" i="55"/>
  <c r="N11" i="55"/>
  <c r="I11" i="55"/>
  <c r="D11" i="55"/>
  <c r="S10" i="55"/>
  <c r="N10" i="55"/>
  <c r="I10" i="55"/>
  <c r="D10" i="55"/>
  <c r="S9" i="55"/>
  <c r="N9" i="55"/>
  <c r="I9" i="55"/>
  <c r="D9" i="55"/>
  <c r="S8" i="55"/>
  <c r="S6" i="55" s="1"/>
  <c r="N8" i="55"/>
  <c r="N6" i="55" s="1"/>
  <c r="I8" i="55"/>
  <c r="D8" i="55"/>
  <c r="S7" i="55"/>
  <c r="N7" i="55"/>
  <c r="I7" i="55"/>
  <c r="D7" i="55"/>
  <c r="D6" i="55" s="1"/>
  <c r="U6" i="55"/>
  <c r="T6" i="55"/>
  <c r="R6" i="55"/>
  <c r="Q6" i="55"/>
  <c r="P6" i="55"/>
  <c r="O6" i="55"/>
  <c r="M6" i="55"/>
  <c r="L6" i="55"/>
  <c r="K6" i="55"/>
  <c r="J6" i="55"/>
  <c r="I6" i="55"/>
  <c r="H6" i="55"/>
  <c r="G6" i="55"/>
  <c r="F6" i="55"/>
  <c r="E6" i="55"/>
  <c r="C6" i="55"/>
  <c r="B6" i="55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<sst xmlns="http://schemas.openxmlformats.org/spreadsheetml/2006/main" count="149" uniqueCount="111">
  <si>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</si>
  <si>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</si>
  <si>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</si>
  <si>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</si>
  <si>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</si>
  <si>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</si>
  <si>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</si>
  <si>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</si>
  <si>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</si>
  <si>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</si>
  <si>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</si>
  <si>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Month</t>
  </si>
  <si>
    <t xml:space="preserve">Registered Bed Capacity </t>
  </si>
  <si>
    <t xml:space="preserve">Beds in operation </t>
  </si>
  <si>
    <t xml:space="preserve">% share of registered beds in operation </t>
  </si>
  <si>
    <t>Annual Average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</si>
  <si>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</si>
  <si>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</si>
  <si>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</si>
  <si>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</si>
  <si>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</si>
  <si>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</si>
  <si>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</si>
  <si>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</si>
  <si>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</si>
  <si>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</si>
  <si>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</si>
  <si>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Sep</t>
  </si>
  <si>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</si>
  <si>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</si>
  <si>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</si>
  <si>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</si>
  <si>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</si>
  <si>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</si>
  <si>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</si>
  <si>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</si>
  <si>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</si>
  <si>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</si>
  <si>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</si>
  <si>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</si>
  <si>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</si>
  <si>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</si>
  <si>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</si>
  <si>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</si>
  <si>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</si>
  <si>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</si>
  <si>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</si>
  <si>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</si>
  <si>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</si>
  <si>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</si>
  <si>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</si>
  <si>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</si>
  <si>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</si>
  <si>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</si>
  <si>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</si>
  <si>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</si>
  <si>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</si>
  <si>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</si>
  <si>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</si>
  <si>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</si>
  <si>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</si>
  <si>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</si>
  <si>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</si>
  <si>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</si>
  <si>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</si>
  <si>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</si>
  <si>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</si>
  <si>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</si>
  <si>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</si>
  <si>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</si>
  <si>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</si>
  <si>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</si>
  <si>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</si>
  <si>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</si>
  <si>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</si>
  <si>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</si>
  <si>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</si>
  <si>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</si>
  <si>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</si>
  <si>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</si>
  <si>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</si>
  <si>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</si>
  <si>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</si>
  <si>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</si>
  <si>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</si>
  <si>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</si>
  <si>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Bed Capacity
 Utilization Rate %</t>
  </si>
  <si>
    <t>Beds in
 operation</t>
  </si>
  <si>
    <t>No. of Tourists</t>
  </si>
  <si>
    <t>% change over previous year</t>
  </si>
  <si>
    <t>Tourist Bednights</t>
  </si>
  <si>
    <t>2011</t>
  </si>
  <si>
    <t>އެނދުގެ ޖާގަ ބޭނުންކުރި މިންވަރު %</t>
  </si>
  <si>
    <t>އެނދުގެ ޖާގައިން  ބޭނުންކުރެވުނު މިންވަރު %</t>
  </si>
  <si>
    <t xml:space="preserve">ބޭނުންކުރެވުނު އެނދުގެ އަދަދު </t>
  </si>
  <si>
    <t xml:space="preserve">އެނދުގެ ޖާގަ  </t>
  </si>
  <si>
    <t>ފަތުރުވެރިން ހޭދަކޮށްފައިވާ ރޭގެ އަދަދު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</si>
  <si>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</si>
  <si>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</si>
  <si>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</si>
  <si>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</si>
  <si>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</si>
  <si>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</si>
  <si>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</si>
  <si>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</si>
  <si>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</si>
  <si>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Source: Ministry of Tourism</t>
  </si>
  <si>
    <t>cmwzirUT cfoa  IrcTcsinim :ctWrwf ivcaed utWmUluAwm</t>
  </si>
  <si>
    <t xml:space="preserve">Registered Bed Capacity  </t>
  </si>
  <si>
    <t>Table  10.4: BED CAPACITY AND UTILIZATION OF RESORTS BY MONTH,  2014 - 2017</t>
  </si>
  <si>
    <t>2017 - 2014  ,urwvcnim unuverukcnunEb wgWjegudnea iaWa wgWj egudnea egukwtuTOsir uhwmcswmikea : 10.4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</si>
</sst>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#,##0.0"/>
    <numFmt numFmtId="165" formatCode="0.0"/>
    <numFmt numFmtId="166" formatCode="0.00_)"/>
    <numFmt numFmtId="167" formatCode="_(* #,##0_);_(* \(#,##0\);_(* &quot;-&quot;??_);_(@_)"/>
    <numFmt numFmtId="168" formatCode="#,##0;[Red]#,##0"/>
    <numFmt numFmtId="169" formatCode="[$-409]mmm\-yy;@"/>
  </numFmts>
  <fonts count="3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6" fontId="3" fillId="0" borderId="0"/>
    <xf numFmtId="0" fontId="2" fillId="0" borderId="0"/>
    <xf numFmtId="1" fontId="11" fillId="0" borderId="1" applyNumberFormat="0"/>
    <xf numFmtId="0" fontId="2" fillId="0" borderId="0"/>
    <xf numFmtId="0" fontId="14" fillId="0" borderId="0"/>
    <xf numFmtId="0" fontId="12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04">
    <xf numFmtId="0" fontId="0" fillId="0" borderId="0" xfId="0"/>
    <xf numFmtId="0" fontId="0" fillId="2" borderId="0" xfId="0" applyFill="1"/>
    <xf numFmtId="49" fontId="16" fillId="2" borderId="3" xfId="0" applyNumberFormat="1" applyFont="1" applyFill="1" applyBorder="1" applyAlignment="1" applyProtection="1">
      <alignment horizontal="right" vertical="center"/>
    </xf>
    <xf numFmtId="0" fontId="16" fillId="2" borderId="2" xfId="0" applyFont="1" applyFill="1" applyBorder="1" applyAlignment="1" applyProtection="1">
      <alignment horizontal="right" vertical="center"/>
    </xf>
    <xf numFmtId="0" fontId="18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20" fillId="2" borderId="0" xfId="0" applyFont="1" applyFill="1" applyBorder="1" applyAlignment="1" applyProtection="1">
      <alignment horizontal="left" vertical="center"/>
    </xf>
    <xf numFmtId="0" fontId="20" fillId="2" borderId="0" xfId="0" applyFont="1" applyFill="1"/>
    <xf numFmtId="3" fontId="20" fillId="2" borderId="0" xfId="0" applyNumberFormat="1" applyFont="1" applyFill="1"/>
    <xf numFmtId="165" fontId="20" fillId="2" borderId="0" xfId="0" applyNumberFormat="1" applyFont="1" applyFill="1"/>
    <xf numFmtId="164" fontId="20" fillId="2" borderId="0" xfId="0" applyNumberFormat="1" applyFont="1" applyFill="1"/>
    <xf numFmtId="165" fontId="20" fillId="2" borderId="0" xfId="0" applyNumberFormat="1" applyFont="1" applyFill="1" applyBorder="1" applyAlignment="1">
      <alignment horizontal="center"/>
    </xf>
    <xf numFmtId="0" fontId="23" fillId="2" borderId="2" xfId="0" applyFont="1" applyFill="1" applyBorder="1" applyAlignment="1" applyProtection="1">
      <alignment horizontal="center" vertical="center" wrapText="1"/>
    </xf>
    <xf numFmtId="0" fontId="20" fillId="2" borderId="0" xfId="0" applyFont="1" applyFill="1" applyAlignment="1" applyProtection="1">
      <alignment horizontal="left" vertical="center"/>
    </xf>
    <xf numFmtId="164" fontId="20" fillId="2" borderId="0" xfId="0" applyNumberFormat="1" applyFont="1" applyFill="1" applyBorder="1"/>
    <xf numFmtId="3" fontId="20" fillId="2" borderId="0" xfId="0" applyNumberFormat="1" applyFont="1" applyFill="1" applyBorder="1"/>
    <xf numFmtId="0" fontId="23" fillId="2" borderId="0" xfId="0" applyFont="1" applyFill="1" applyBorder="1" applyAlignment="1" applyProtection="1">
      <alignment horizontal="center" vertical="center" wrapText="1"/>
    </xf>
    <xf numFmtId="0" fontId="20" fillId="2" borderId="0" xfId="0" applyFont="1" applyFill="1" applyBorder="1"/>
    <xf numFmtId="3" fontId="20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</xf>
    <xf numFmtId="0" fontId="28" fillId="2" borderId="0" xfId="0" applyFont="1" applyFill="1" applyAlignment="1" applyProtection="1">
      <alignment horizontal="left" vertical="center"/>
    </xf>
    <xf numFmtId="0" fontId="26" fillId="2" borderId="0" xfId="0" applyFont="1" applyFill="1"/>
    <xf numFmtId="37" fontId="25" fillId="2" borderId="7" xfId="0" applyNumberFormat="1" applyFont="1" applyFill="1" applyBorder="1" applyAlignment="1" applyProtection="1">
      <alignment horizontal="center" vertical="center" wrapText="1"/>
    </xf>
    <xf numFmtId="0" fontId="24" fillId="2" borderId="0" xfId="0" applyFont="1" applyFill="1" applyAlignment="1" applyProtection="1">
      <alignment horizontal="left" vertical="center" wrapText="1"/>
    </xf>
    <xf numFmtId="3" fontId="24" fillId="2" borderId="0" xfId="0" applyNumberFormat="1" applyFont="1" applyFill="1" applyAlignment="1">
      <alignment horizontal="center"/>
    </xf>
    <xf numFmtId="164" fontId="24" fillId="2" borderId="0" xfId="0" applyNumberFormat="1" applyFont="1" applyFill="1" applyAlignment="1">
      <alignment horizontal="center"/>
    </xf>
    <xf numFmtId="0" fontId="19" fillId="2" borderId="0" xfId="0" applyFont="1" applyFill="1" applyAlignment="1" applyProtection="1">
      <alignment horizontal="left" vertical="center"/>
    </xf>
    <xf numFmtId="3" fontId="19" fillId="2" borderId="0" xfId="0" applyNumberFormat="1" applyFont="1" applyFill="1" applyBorder="1" applyAlignment="1">
      <alignment horizontal="center"/>
    </xf>
    <xf numFmtId="165" fontId="19" fillId="2" borderId="0" xfId="0" applyNumberFormat="1" applyFont="1" applyFill="1" applyAlignment="1">
      <alignment horizontal="center"/>
    </xf>
    <xf numFmtId="165" fontId="19" fillId="2" borderId="0" xfId="0" applyNumberFormat="1" applyFont="1" applyFill="1" applyBorder="1" applyAlignment="1">
      <alignment horizontal="center"/>
    </xf>
    <xf numFmtId="3" fontId="19" fillId="2" borderId="4" xfId="0" applyNumberFormat="1" applyFont="1" applyFill="1" applyBorder="1" applyAlignment="1">
      <alignment horizontal="center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3" fontId="19" fillId="2" borderId="2" xfId="0" applyNumberFormat="1" applyFont="1" applyFill="1" applyBorder="1" applyAlignment="1">
      <alignment horizontal="center"/>
    </xf>
    <xf numFmtId="165" fontId="19" fillId="2" borderId="2" xfId="0" applyNumberFormat="1" applyFont="1" applyFill="1" applyBorder="1" applyAlignment="1">
      <alignment horizontal="center"/>
    </xf>
    <xf numFmtId="3" fontId="19" fillId="2" borderId="5" xfId="0" applyNumberFormat="1" applyFont="1" applyFill="1" applyBorder="1" applyAlignment="1">
      <alignment horizontal="center"/>
    </xf>
    <xf numFmtId="49" fontId="16" fillId="3" borderId="14" xfId="0" applyNumberFormat="1" applyFont="1" applyFill="1" applyBorder="1" applyAlignment="1" applyProtection="1">
      <alignment horizontal="right" vertical="center"/>
    </xf>
    <xf numFmtId="165" fontId="0" fillId="4" borderId="0" xfId="0" applyNumberFormat="1" applyFill="1"/>
    <xf numFmtId="0" fontId="0" fillId="4" borderId="0" xfId="0" applyFill="1"/>
    <xf numFmtId="167" fontId="17" fillId="4" borderId="10" xfId="2" applyNumberFormat="1" applyFont="1" applyFill="1" applyBorder="1" applyAlignment="1" applyProtection="1">
      <alignment horizontal="left" vertical="center"/>
    </xf>
    <xf numFmtId="168" fontId="17" fillId="4" borderId="11" xfId="2" applyNumberFormat="1" applyFont="1" applyFill="1" applyBorder="1" applyAlignment="1">
      <alignment vertical="center"/>
    </xf>
    <xf numFmtId="0" fontId="0" fillId="4" borderId="0" xfId="0" quotePrefix="1" applyFill="1"/>
    <xf numFmtId="168" fontId="17" fillId="4" borderId="0" xfId="2" applyNumberFormat="1" applyFont="1" applyFill="1" applyBorder="1" applyAlignment="1">
      <alignment vertical="center"/>
    </xf>
    <xf numFmtId="168" fontId="17" fillId="4" borderId="9" xfId="2" applyNumberFormat="1" applyFont="1" applyFill="1" applyBorder="1" applyAlignment="1">
      <alignment vertical="center"/>
    </xf>
    <xf numFmtId="0" fontId="16" fillId="2" borderId="5" xfId="0" applyFont="1" applyFill="1" applyBorder="1" applyAlignment="1" applyProtection="1">
      <alignment horizontal="right" vertical="center"/>
    </xf>
    <xf numFmtId="0" fontId="16" fillId="3" borderId="8" xfId="0" applyFont="1" applyFill="1" applyBorder="1" applyAlignment="1" applyProtection="1">
      <alignment horizontal="right" vertical="center"/>
    </xf>
    <xf numFmtId="165" fontId="17" fillId="4" borderId="0" xfId="0" applyNumberFormat="1" applyFont="1" applyFill="1" applyBorder="1" applyAlignment="1">
      <alignment vertical="center"/>
    </xf>
    <xf numFmtId="165" fontId="15" fillId="4" borderId="0" xfId="0" applyNumberFormat="1" applyFont="1" applyFill="1" applyBorder="1" applyAlignment="1">
      <alignment vertical="center"/>
    </xf>
    <xf numFmtId="165" fontId="15" fillId="4" borderId="9" xfId="0" applyNumberFormat="1" applyFont="1" applyFill="1" applyBorder="1" applyAlignment="1">
      <alignment vertical="center"/>
    </xf>
    <xf numFmtId="167" fontId="17" fillId="2" borderId="10" xfId="2" applyNumberFormat="1" applyFont="1" applyFill="1" applyBorder="1" applyAlignment="1" applyProtection="1">
      <alignment horizontal="left" vertical="center"/>
    </xf>
    <xf numFmtId="168" fontId="17" fillId="2" borderId="11" xfId="2" applyNumberFormat="1" applyFont="1" applyFill="1" applyBorder="1" applyAlignment="1">
      <alignment vertical="center"/>
    </xf>
    <xf numFmtId="168" fontId="17" fillId="2" borderId="0" xfId="2" applyNumberFormat="1" applyFont="1" applyFill="1" applyBorder="1" applyAlignment="1">
      <alignment vertical="center"/>
    </xf>
    <xf numFmtId="168" fontId="17" fillId="3" borderId="9" xfId="2" applyNumberFormat="1" applyFont="1" applyFill="1" applyBorder="1" applyAlignment="1">
      <alignment vertical="center"/>
    </xf>
    <xf numFmtId="165" fontId="17" fillId="2" borderId="0" xfId="0" applyNumberFormat="1" applyFont="1" applyFill="1" applyBorder="1" applyAlignment="1">
      <alignment vertical="center"/>
    </xf>
    <xf numFmtId="165" fontId="15" fillId="2" borderId="0" xfId="0" applyNumberFormat="1" applyFont="1" applyFill="1" applyBorder="1" applyAlignment="1">
      <alignment vertical="center"/>
    </xf>
    <xf numFmtId="165" fontId="15" fillId="3" borderId="9" xfId="0" applyNumberFormat="1" applyFont="1" applyFill="1" applyBorder="1" applyAlignment="1">
      <alignment vertical="center"/>
    </xf>
    <xf numFmtId="167" fontId="17" fillId="2" borderId="12" xfId="2" applyNumberFormat="1" applyFont="1" applyFill="1" applyBorder="1" applyAlignment="1" applyProtection="1">
      <alignment horizontal="left" vertical="center"/>
    </xf>
    <xf numFmtId="168" fontId="17" fillId="2" borderId="13" xfId="2" applyNumberFormat="1" applyFont="1" applyFill="1" applyBorder="1" applyAlignment="1">
      <alignment vertical="center"/>
    </xf>
    <xf numFmtId="168" fontId="17" fillId="2" borderId="2" xfId="2" applyNumberFormat="1" applyFont="1" applyFill="1" applyBorder="1" applyAlignment="1">
      <alignment vertical="center"/>
    </xf>
    <xf numFmtId="168" fontId="17" fillId="3" borderId="8" xfId="2" applyNumberFormat="1" applyFont="1" applyFill="1" applyBorder="1" applyAlignment="1">
      <alignment vertical="center"/>
    </xf>
    <xf numFmtId="165" fontId="17" fillId="2" borderId="2" xfId="0" applyNumberFormat="1" applyFont="1" applyFill="1" applyBorder="1" applyAlignment="1">
      <alignment vertical="center"/>
    </xf>
    <xf numFmtId="165" fontId="15" fillId="2" borderId="2" xfId="0" applyNumberFormat="1" applyFont="1" applyFill="1" applyBorder="1" applyAlignment="1">
      <alignment vertical="center"/>
    </xf>
    <xf numFmtId="165" fontId="15" fillId="3" borderId="8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24" fillId="2" borderId="2" xfId="0" applyFont="1" applyFill="1" applyBorder="1" applyAlignment="1" applyProtection="1">
      <alignment horizontal="right" vertical="center" wrapText="1"/>
    </xf>
    <xf numFmtId="37" fontId="25" fillId="2" borderId="16" xfId="0" applyNumberFormat="1" applyFont="1" applyFill="1" applyBorder="1" applyAlignment="1" applyProtection="1">
      <alignment horizontal="center" vertical="center" wrapText="1"/>
    </xf>
    <xf numFmtId="0" fontId="24" fillId="2" borderId="5" xfId="0" applyFont="1" applyFill="1" applyBorder="1" applyAlignment="1" applyProtection="1">
      <alignment horizontal="center" vertical="center" wrapText="1"/>
    </xf>
    <xf numFmtId="3" fontId="24" fillId="2" borderId="18" xfId="0" applyNumberFormat="1" applyFont="1" applyFill="1" applyBorder="1" applyAlignment="1">
      <alignment horizontal="center"/>
    </xf>
    <xf numFmtId="0" fontId="21" fillId="2" borderId="0" xfId="0" applyFont="1" applyFill="1" applyBorder="1" applyAlignment="1" applyProtection="1">
      <alignment horizontal="center" vertical="center" wrapText="1"/>
    </xf>
    <xf numFmtId="0" fontId="22" fillId="2" borderId="0" xfId="0" applyFont="1" applyFill="1" applyBorder="1" applyAlignment="1" applyProtection="1">
      <alignment horizontal="left" vertical="center"/>
    </xf>
    <xf numFmtId="169" fontId="22" fillId="2" borderId="0" xfId="0" applyNumberFormat="1" applyFont="1" applyFill="1" applyBorder="1" applyAlignment="1" applyProtection="1">
      <alignment horizontal="left" vertical="center"/>
    </xf>
    <xf numFmtId="167" fontId="22" fillId="2" borderId="0" xfId="2" applyNumberFormat="1" applyFont="1" applyFill="1" applyBorder="1" applyAlignment="1" applyProtection="1">
      <alignment horizontal="left" vertical="center"/>
    </xf>
    <xf numFmtId="0" fontId="24" fillId="2" borderId="2" xfId="0" applyFont="1" applyFill="1" applyBorder="1" applyAlignment="1" applyProtection="1">
      <alignment horizontal="center" vertical="center" wrapText="1"/>
    </xf>
    <xf numFmtId="167" fontId="24" fillId="2" borderId="0" xfId="2" applyNumberFormat="1" applyFont="1" applyFill="1" applyAlignment="1">
      <alignment horizontal="right" vertical="center"/>
    </xf>
    <xf numFmtId="167" fontId="19" fillId="2" borderId="0" xfId="2" applyNumberFormat="1" applyFont="1" applyFill="1" applyBorder="1" applyAlignment="1">
      <alignment horizontal="right" vertical="center"/>
    </xf>
    <xf numFmtId="167" fontId="19" fillId="2" borderId="2" xfId="2" applyNumberFormat="1" applyFont="1" applyFill="1" applyBorder="1" applyAlignment="1">
      <alignment horizontal="right" vertical="center"/>
    </xf>
    <xf numFmtId="167" fontId="19" fillId="2" borderId="0" xfId="2" applyNumberFormat="1" applyFont="1" applyFill="1" applyBorder="1" applyAlignment="1">
      <alignment horizontal="center"/>
    </xf>
    <xf numFmtId="167" fontId="19" fillId="2" borderId="2" xfId="2" applyNumberFormat="1" applyFont="1" applyFill="1" applyBorder="1" applyAlignment="1">
      <alignment horizontal="center"/>
    </xf>
    <xf numFmtId="167" fontId="24" fillId="2" borderId="0" xfId="2" applyNumberFormat="1" applyFont="1" applyFill="1" applyAlignment="1">
      <alignment horizontal="center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6" fillId="2" borderId="6" xfId="0" applyFont="1" applyFill="1" applyBorder="1" applyAlignment="1" applyProtection="1">
      <alignment horizontal="left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 applyProtection="1">
      <alignment horizontal="left" vertical="center"/>
    </xf>
    <xf numFmtId="0" fontId="9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17" xfId="0" applyFill="1" applyBorder="1"/>
    <xf numFmtId="0" fontId="10" fillId="2" borderId="18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 vertical="center"/>
    </xf>
    <xf numFmtId="0" fontId="27" fillId="2" borderId="2" xfId="0" applyFont="1" applyFill="1" applyBorder="1" applyAlignment="1" applyProtection="1">
      <alignment horizontal="center" vertical="center"/>
    </xf>
    <xf numFmtId="0" fontId="24" fillId="2" borderId="17" xfId="0" applyFont="1" applyFill="1" applyBorder="1" applyAlignment="1" applyProtection="1">
      <alignment horizontal="center" vertical="center" wrapText="1"/>
    </xf>
    <xf numFmtId="0" fontId="24" fillId="2" borderId="9" xfId="0" applyFont="1" applyFill="1" applyBorder="1" applyAlignment="1" applyProtection="1">
      <alignment horizontal="center" vertical="center" wrapText="1"/>
    </xf>
    <xf numFmtId="0" fontId="24" fillId="2" borderId="8" xfId="0" applyFont="1" applyFill="1" applyBorder="1" applyAlignment="1" applyProtection="1">
      <alignment horizontal="center" vertical="center" wrapText="1"/>
    </xf>
    <xf numFmtId="0" fontId="27" fillId="2" borderId="19" xfId="0" applyFont="1" applyFill="1" applyBorder="1" applyAlignment="1" applyProtection="1">
      <alignment horizontal="center" vertical="center"/>
    </xf>
    <xf numFmtId="0" fontId="27" fillId="2" borderId="15" xfId="0" applyFont="1" applyFill="1" applyBorder="1" applyAlignment="1" applyProtection="1">
      <alignment horizontal="center" vertical="center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BC9AB"/>
      <color rgb="FFFCD5BD"/>
      <color rgb="FFFDEADB"/>
      <color rgb="FFFFCC00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A-4189-9E79-CA407ED5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645952"/>
        <c:axId val="297229560"/>
      </c:barChart>
      <c:catAx>
        <c:axId val="2966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29560"/>
        <c:crosses val="autoZero"/>
        <c:auto val="1"/>
        <c:lblAlgn val="ctr"/>
        <c:lblOffset val="100"/>
        <c:noMultiLvlLbl val="0"/>
      </c:catAx>
      <c:valAx>
        <c:axId val="29722956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29664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F-4CBA-8B05-86EBBDB4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216464"/>
        <c:axId val="297268224"/>
      </c:barChart>
      <c:catAx>
        <c:axId val="29721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68224"/>
        <c:crosses val="autoZero"/>
        <c:auto val="1"/>
        <c:lblAlgn val="ctr"/>
        <c:lblOffset val="100"/>
        <c:noMultiLvlLbl val="0"/>
      </c:catAx>
      <c:valAx>
        <c:axId val="297268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9721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10.7:  Bed capacity and beds in operation in resorts , 2017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7906040588959882"/>
          <c:y val="2.802141100570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7231349056003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'10.4'!$AE$19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'10.4'!$AD$20:$AD$31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'10.4'!$AE$20:$AE$31</c:f>
              <c:numCache>
                <c:formatCode>#,##0</c:formatCode>
                <c:ptCount val="12"/>
                <c:pt idx="0">
                  <c:v>27083</c:v>
                </c:pt>
                <c:pt idx="1">
                  <c:v>27497</c:v>
                </c:pt>
                <c:pt idx="2">
                  <c:v>27973</c:v>
                </c:pt>
                <c:pt idx="3">
                  <c:v>28291</c:v>
                </c:pt>
                <c:pt idx="4">
                  <c:v>28549</c:v>
                </c:pt>
                <c:pt idx="5">
                  <c:v>28549</c:v>
                </c:pt>
                <c:pt idx="6">
                  <c:v>28549</c:v>
                </c:pt>
                <c:pt idx="7">
                  <c:v>28629</c:v>
                </c:pt>
                <c:pt idx="8">
                  <c:v>28629</c:v>
                </c:pt>
                <c:pt idx="9">
                  <c:v>28647</c:v>
                </c:pt>
                <c:pt idx="10">
                  <c:v>28995</c:v>
                </c:pt>
                <c:pt idx="11">
                  <c:v>29977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C-40C7-A485-4B4D1B15DE97}"/>
            </c:ext>
          </c:extLst>
        </c:ser>
        <c:ser>
          <c:idx val="1"/>
          <c:order val="1"/>
          <c:tx>
            <c:strRef>
              <c:f>'10.4'!$AF$19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'10.4'!$AD$20:$AD$31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'10.4'!$AF$20:$AF$31</c:f>
              <c:numCache>
                <c:formatCode>#,##0</c:formatCode>
                <c:ptCount val="12"/>
                <c:pt idx="0">
                  <c:v>26302</c:v>
                </c:pt>
                <c:pt idx="1">
                  <c:v>26726</c:v>
                </c:pt>
                <c:pt idx="2">
                  <c:v>27202</c:v>
                </c:pt>
                <c:pt idx="3">
                  <c:v>27202</c:v>
                </c:pt>
                <c:pt idx="4">
                  <c:v>27472</c:v>
                </c:pt>
                <c:pt idx="5">
                  <c:v>27722</c:v>
                </c:pt>
                <c:pt idx="6">
                  <c:v>27842</c:v>
                </c:pt>
                <c:pt idx="7">
                  <c:v>27978</c:v>
                </c:pt>
                <c:pt idx="8">
                  <c:v>28045</c:v>
                </c:pt>
                <c:pt idx="9">
                  <c:v>28155</c:v>
                </c:pt>
                <c:pt idx="10">
                  <c:v>28259</c:v>
                </c:pt>
                <c:pt idx="11">
                  <c:v>29326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C-40C7-A485-4B4D1B15D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525380671"/>
        <c:axId val="525377759"/>
      </c:barChart>
      <c:catAx>
        <c:axId val="52538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77759"/>
        <c:crosses val="autoZero"/>
        <c:auto val="1"/>
        <c:lblAlgn val="ctr"/>
        <c:lblOffset val="100"/>
        <c:noMultiLvlLbl val="0"/>
      </c:catAx>
      <c:valAx>
        <c:axId val="525377759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80671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0430427252948521"/>
          <c:y val="0.18157243928746811"/>
          <c:w val="0.50406928972831611"/>
          <c:h val="8.2076887725865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714375</xdr:colOff>
      <xdr:row>19</xdr:row>
      <xdr:rowOff>38100</xdr:rowOff>
    </xdr:from>
    <xdr:to>
      <xdr:col>14</xdr:col>
      <xdr:colOff>599325</xdr:colOff>
      <xdr:row>33</xdr:row>
      <xdr:rowOff>21404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503006</xdr:colOff>
      <xdr:row>20</xdr:row>
      <xdr:rowOff>160534</xdr:rowOff>
    </xdr:from>
    <xdr:to>
      <xdr:col>13</xdr:col>
      <xdr:colOff>614009</xdr:colOff>
      <xdr:row>20</xdr:row>
      <xdr:rowOff>160534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6175197" y="5672191"/>
          <a:ext cx="4852099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81" t="s">
        <v>99</v>
      </c>
      <c r="B1" s="81"/>
      <c r="C1" s="81"/>
      <c r="D1" s="81"/>
      <c r="E1" s="81"/>
      <c r="F1" s="81"/>
      <c r="G1" s="81"/>
      <c r="H1" s="81"/>
      <c r="I1" s="81"/>
      <c r="J1" s="81"/>
      <c r="K1" s="81"/>
      <c r="M1" s="2" t="s">
        <v>28</v>
      </c>
      <c r="N1" s="2" t="s">
        <v>30</v>
      </c>
      <c r="O1" s="2" t="s">
        <v>85</v>
      </c>
      <c r="P1" s="2" t="s">
        <v>91</v>
      </c>
      <c r="Q1" s="38" t="s">
        <v>98</v>
      </c>
      <c r="S1" s="39">
        <f>Q2/M2</f>
        <v>5.5298836452988356</v>
      </c>
      <c r="T1" s="40" t="s">
        <v>101</v>
      </c>
      <c r="U1" s="40"/>
    </row>
    <row r="2" spans="1:21" ht="9.75" customHeight="1">
      <c r="A2" s="82" t="s">
        <v>100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41" t="s">
        <v>58</v>
      </c>
      <c r="M2" s="42">
        <f>M4/1000</f>
        <v>41.511000000000003</v>
      </c>
      <c r="N2" s="42">
        <f>N4/1000</f>
        <v>60.665999999999997</v>
      </c>
      <c r="O2" s="42">
        <f>O4/1000</f>
        <v>118.961</v>
      </c>
      <c r="P2" s="42">
        <f>P4/1000</f>
        <v>198.655</v>
      </c>
      <c r="Q2" s="42">
        <f>Q4/1000</f>
        <v>229.55099999999999</v>
      </c>
      <c r="R2" s="43" t="s">
        <v>102</v>
      </c>
    </row>
    <row r="3" spans="1:21" ht="3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21" ht="21" customHeight="1">
      <c r="A4" s="83" t="s">
        <v>103</v>
      </c>
      <c r="B4" s="86" t="s">
        <v>29</v>
      </c>
      <c r="C4" s="87"/>
      <c r="D4" s="87"/>
      <c r="E4" s="87"/>
      <c r="F4" s="88"/>
      <c r="G4" s="89" t="s">
        <v>97</v>
      </c>
      <c r="H4" s="90"/>
      <c r="I4" s="90"/>
      <c r="J4" s="90"/>
      <c r="K4" s="91"/>
      <c r="L4" s="41" t="s">
        <v>58</v>
      </c>
      <c r="M4" s="42">
        <v>41511</v>
      </c>
      <c r="N4" s="42">
        <v>60666</v>
      </c>
      <c r="O4" s="44">
        <v>118961</v>
      </c>
      <c r="P4" s="44">
        <v>198655</v>
      </c>
      <c r="Q4" s="45">
        <v>229551</v>
      </c>
    </row>
    <row r="5" spans="1:21" ht="13.5" customHeight="1">
      <c r="A5" s="84"/>
      <c r="B5" s="92" t="s">
        <v>88</v>
      </c>
      <c r="C5" s="92"/>
      <c r="D5" s="92"/>
      <c r="E5" s="92"/>
      <c r="F5" s="93"/>
      <c r="G5" s="94" t="s">
        <v>89</v>
      </c>
      <c r="H5" s="95"/>
      <c r="I5" s="95"/>
      <c r="J5" s="95"/>
      <c r="K5" s="96"/>
    </row>
    <row r="6" spans="1:21" ht="15" customHeight="1">
      <c r="A6" s="85"/>
      <c r="B6" s="2" t="s">
        <v>28</v>
      </c>
      <c r="C6" s="2" t="s">
        <v>30</v>
      </c>
      <c r="D6" s="2" t="s">
        <v>85</v>
      </c>
      <c r="E6" s="2" t="s">
        <v>91</v>
      </c>
      <c r="F6" s="38" t="s">
        <v>98</v>
      </c>
      <c r="G6" s="46">
        <v>2008</v>
      </c>
      <c r="H6" s="3">
        <v>2009</v>
      </c>
      <c r="I6" s="3">
        <v>2010</v>
      </c>
      <c r="J6" s="3">
        <v>2011</v>
      </c>
      <c r="K6" s="47">
        <v>2012</v>
      </c>
    </row>
    <row r="7" spans="1:21" ht="12.75" customHeight="1">
      <c r="A7" s="41" t="s">
        <v>58</v>
      </c>
      <c r="B7" s="42">
        <v>41511</v>
      </c>
      <c r="C7" s="42">
        <v>60666</v>
      </c>
      <c r="D7" s="44">
        <v>118961</v>
      </c>
      <c r="E7" s="44">
        <v>198655</v>
      </c>
      <c r="F7" s="45">
        <v>229551</v>
      </c>
      <c r="G7" s="48">
        <v>15.385256837891928</v>
      </c>
      <c r="H7" s="48">
        <f t="shared" ref="H7:K38" si="0">(C7-B7)/B7*100</f>
        <v>46.144395461443956</v>
      </c>
      <c r="I7" s="49">
        <f t="shared" si="0"/>
        <v>96.091715293574651</v>
      </c>
      <c r="J7" s="49">
        <f t="shared" si="0"/>
        <v>66.991703163221558</v>
      </c>
      <c r="K7" s="50">
        <f t="shared" si="0"/>
        <v>15.552591175656289</v>
      </c>
    </row>
    <row r="8" spans="1:21" ht="12.75" customHeight="1">
      <c r="A8" s="41" t="s">
        <v>37</v>
      </c>
      <c r="B8" s="42">
        <v>69240</v>
      </c>
      <c r="C8" s="42">
        <v>69085</v>
      </c>
      <c r="D8" s="44">
        <v>77108</v>
      </c>
      <c r="E8" s="44">
        <v>90517</v>
      </c>
      <c r="F8" s="45">
        <v>98351</v>
      </c>
      <c r="G8" s="48">
        <v>-4.1912853367280576</v>
      </c>
      <c r="H8" s="48">
        <f t="shared" si="0"/>
        <v>-0.2238590410167533</v>
      </c>
      <c r="I8" s="49">
        <f t="shared" si="0"/>
        <v>11.613230078888325</v>
      </c>
      <c r="J8" s="49">
        <f t="shared" si="0"/>
        <v>17.389894693157647</v>
      </c>
      <c r="K8" s="50">
        <f t="shared" si="0"/>
        <v>8.654727841179005</v>
      </c>
    </row>
    <row r="9" spans="1:21" ht="12.75" customHeight="1">
      <c r="A9" s="41" t="s">
        <v>55</v>
      </c>
      <c r="B9" s="42">
        <v>116821</v>
      </c>
      <c r="C9" s="42">
        <v>105950</v>
      </c>
      <c r="D9" s="44">
        <v>114158</v>
      </c>
      <c r="E9" s="44">
        <v>104508</v>
      </c>
      <c r="F9" s="45">
        <v>91776</v>
      </c>
      <c r="G9" s="48">
        <v>-6.6611802681410701</v>
      </c>
      <c r="H9" s="48">
        <f t="shared" si="0"/>
        <v>-9.3056899016443957</v>
      </c>
      <c r="I9" s="49">
        <f t="shared" si="0"/>
        <v>7.7470504955167536</v>
      </c>
      <c r="J9" s="49">
        <f t="shared" si="0"/>
        <v>-8.4531964470295549</v>
      </c>
      <c r="K9" s="50">
        <f t="shared" si="0"/>
        <v>-12.182799402916524</v>
      </c>
    </row>
    <row r="10" spans="1:21" ht="12.75" customHeight="1">
      <c r="A10" s="41" t="s">
        <v>47</v>
      </c>
      <c r="B10" s="42">
        <v>48978</v>
      </c>
      <c r="C10" s="42">
        <v>40014</v>
      </c>
      <c r="D10" s="44">
        <v>49111</v>
      </c>
      <c r="E10" s="44">
        <v>63936</v>
      </c>
      <c r="F10" s="45">
        <v>66378</v>
      </c>
      <c r="G10" s="48">
        <v>53.801224682053693</v>
      </c>
      <c r="H10" s="48">
        <f t="shared" si="0"/>
        <v>-18.302094818081589</v>
      </c>
      <c r="I10" s="49">
        <f t="shared" si="0"/>
        <v>22.734542909981506</v>
      </c>
      <c r="J10" s="49">
        <f t="shared" si="0"/>
        <v>30.186719879456742</v>
      </c>
      <c r="K10" s="50">
        <f t="shared" si="0"/>
        <v>3.8194444444444446</v>
      </c>
    </row>
    <row r="11" spans="1:21" ht="12.75" customHeight="1">
      <c r="A11" s="41" t="s">
        <v>42</v>
      </c>
      <c r="B11" s="42">
        <v>103824</v>
      </c>
      <c r="C11" s="42">
        <v>89292</v>
      </c>
      <c r="D11" s="44">
        <v>89596</v>
      </c>
      <c r="E11" s="44">
        <v>83088</v>
      </c>
      <c r="F11" s="45">
        <v>62782</v>
      </c>
      <c r="G11" s="48">
        <v>-11.44772529553247</v>
      </c>
      <c r="H11" s="48">
        <f t="shared" si="0"/>
        <v>-13.996763754045308</v>
      </c>
      <c r="I11" s="49">
        <f t="shared" si="0"/>
        <v>0.34045603189535456</v>
      </c>
      <c r="J11" s="49">
        <f t="shared" si="0"/>
        <v>-7.2637171302290273</v>
      </c>
      <c r="K11" s="50">
        <f t="shared" si="0"/>
        <v>-24.439148854226843</v>
      </c>
    </row>
    <row r="12" spans="1:21" ht="12.75" customHeight="1">
      <c r="A12" s="41" t="s">
        <v>36</v>
      </c>
      <c r="B12" s="42">
        <v>48100</v>
      </c>
      <c r="C12" s="42">
        <v>50373</v>
      </c>
      <c r="D12" s="44">
        <v>54789</v>
      </c>
      <c r="E12" s="44">
        <v>59694</v>
      </c>
      <c r="F12" s="45">
        <v>56775</v>
      </c>
      <c r="G12" s="48">
        <v>6.1786715525043601</v>
      </c>
      <c r="H12" s="48">
        <f t="shared" si="0"/>
        <v>4.7255717255717258</v>
      </c>
      <c r="I12" s="49">
        <f t="shared" si="0"/>
        <v>8.766601155380858</v>
      </c>
      <c r="J12" s="49">
        <f t="shared" si="0"/>
        <v>8.9525269670919343</v>
      </c>
      <c r="K12" s="50">
        <f t="shared" si="0"/>
        <v>-4.889938687305257</v>
      </c>
    </row>
    <row r="13" spans="1:21" ht="12.75" customHeight="1">
      <c r="A13" s="41" t="s">
        <v>61</v>
      </c>
      <c r="B13" s="42">
        <v>38193</v>
      </c>
      <c r="C13" s="42">
        <v>36641</v>
      </c>
      <c r="D13" s="44">
        <v>38791</v>
      </c>
      <c r="E13" s="44">
        <v>35782</v>
      </c>
      <c r="F13" s="45">
        <v>36438</v>
      </c>
      <c r="G13" s="48">
        <v>-7.120449405413293</v>
      </c>
      <c r="H13" s="48">
        <f t="shared" si="0"/>
        <v>-4.063571858717566</v>
      </c>
      <c r="I13" s="49">
        <f t="shared" si="0"/>
        <v>5.8677437842853637</v>
      </c>
      <c r="J13" s="49">
        <f t="shared" si="0"/>
        <v>-7.7569539326132348</v>
      </c>
      <c r="K13" s="50">
        <f t="shared" si="0"/>
        <v>1.8333240176625119</v>
      </c>
    </row>
    <row r="14" spans="1:21" ht="12.75" customHeight="1">
      <c r="A14" s="41" t="s">
        <v>52</v>
      </c>
      <c r="B14" s="42">
        <v>26983</v>
      </c>
      <c r="C14" s="42">
        <v>26783</v>
      </c>
      <c r="D14" s="44">
        <v>27766</v>
      </c>
      <c r="E14" s="44">
        <v>32504</v>
      </c>
      <c r="F14" s="45">
        <v>35457</v>
      </c>
      <c r="G14" s="48">
        <v>3.0554176373983117</v>
      </c>
      <c r="H14" s="48">
        <f t="shared" si="0"/>
        <v>-0.74120742689841757</v>
      </c>
      <c r="I14" s="49">
        <f t="shared" si="0"/>
        <v>3.6702385841765301</v>
      </c>
      <c r="J14" s="49">
        <f t="shared" si="0"/>
        <v>17.064035150903983</v>
      </c>
      <c r="K14" s="50">
        <f t="shared" si="0"/>
        <v>9.0850356879153349</v>
      </c>
    </row>
    <row r="15" spans="1:21" ht="12.75" customHeight="1">
      <c r="A15" s="41" t="s">
        <v>59</v>
      </c>
      <c r="B15" s="42">
        <v>16663</v>
      </c>
      <c r="C15" s="42">
        <v>15850</v>
      </c>
      <c r="D15" s="44">
        <v>25756</v>
      </c>
      <c r="E15" s="44">
        <v>30978</v>
      </c>
      <c r="F15" s="45">
        <v>31721</v>
      </c>
      <c r="G15" s="48">
        <v>-3.832169446528539</v>
      </c>
      <c r="H15" s="48">
        <f t="shared" si="0"/>
        <v>-4.8790733961471524</v>
      </c>
      <c r="I15" s="49">
        <f t="shared" si="0"/>
        <v>62.498422712933753</v>
      </c>
      <c r="J15" s="49">
        <f t="shared" si="0"/>
        <v>20.274887404876534</v>
      </c>
      <c r="K15" s="50">
        <f t="shared" si="0"/>
        <v>2.3984763380463554</v>
      </c>
    </row>
    <row r="16" spans="1:21" ht="12.75" customHeight="1">
      <c r="A16" s="41" t="s">
        <v>62</v>
      </c>
      <c r="B16" s="42">
        <v>20934</v>
      </c>
      <c r="C16" s="42">
        <v>16135</v>
      </c>
      <c r="D16" s="44">
        <v>24808</v>
      </c>
      <c r="E16" s="44">
        <v>25285</v>
      </c>
      <c r="F16" s="45">
        <v>23933</v>
      </c>
      <c r="G16" s="48">
        <v>-0.20022883295194507</v>
      </c>
      <c r="H16" s="48">
        <f t="shared" si="0"/>
        <v>-22.92442915830706</v>
      </c>
      <c r="I16" s="49">
        <f t="shared" si="0"/>
        <v>53.752711496746208</v>
      </c>
      <c r="J16" s="49">
        <f t="shared" si="0"/>
        <v>1.9227668494034182</v>
      </c>
      <c r="K16" s="50">
        <f t="shared" si="0"/>
        <v>-5.3470437017994854</v>
      </c>
    </row>
    <row r="17" spans="1:15" ht="12.75" customHeight="1">
      <c r="A17" s="51" t="s">
        <v>56</v>
      </c>
      <c r="B17" s="52">
        <v>9482</v>
      </c>
      <c r="C17" s="52">
        <v>9476</v>
      </c>
      <c r="D17" s="53">
        <v>10220</v>
      </c>
      <c r="E17" s="53">
        <v>12088</v>
      </c>
      <c r="F17" s="54">
        <v>18612</v>
      </c>
      <c r="G17" s="55">
        <v>16.272225628448805</v>
      </c>
      <c r="H17" s="55">
        <f t="shared" si="0"/>
        <v>-6.3277789495886944E-2</v>
      </c>
      <c r="I17" s="56">
        <f t="shared" si="0"/>
        <v>7.8514140987758552</v>
      </c>
      <c r="J17" s="56">
        <f t="shared" si="0"/>
        <v>18.277886497064578</v>
      </c>
      <c r="K17" s="57">
        <f t="shared" si="0"/>
        <v>53.970880211780283</v>
      </c>
    </row>
    <row r="18" spans="1:15" ht="12.75" customHeight="1">
      <c r="A18" s="51" t="s">
        <v>31</v>
      </c>
      <c r="B18" s="52">
        <v>13462</v>
      </c>
      <c r="C18" s="52">
        <v>13274</v>
      </c>
      <c r="D18" s="53">
        <v>14944</v>
      </c>
      <c r="E18" s="53">
        <v>16655</v>
      </c>
      <c r="F18" s="54">
        <v>18164</v>
      </c>
      <c r="G18" s="55">
        <v>-1.5431873034447401</v>
      </c>
      <c r="H18" s="55">
        <f t="shared" si="0"/>
        <v>-1.3965235477640767</v>
      </c>
      <c r="I18" s="56">
        <f t="shared" si="0"/>
        <v>12.580985384963087</v>
      </c>
      <c r="J18" s="56">
        <f t="shared" si="0"/>
        <v>11.44941113490364</v>
      </c>
      <c r="K18" s="57">
        <f t="shared" si="0"/>
        <v>9.0603422395676976</v>
      </c>
    </row>
    <row r="19" spans="1:15" ht="12.75" customHeight="1">
      <c r="A19" s="51" t="s">
        <v>75</v>
      </c>
      <c r="B19" s="52">
        <v>8853</v>
      </c>
      <c r="C19" s="52">
        <v>9438</v>
      </c>
      <c r="D19" s="53">
        <v>11482</v>
      </c>
      <c r="E19" s="53">
        <v>14490</v>
      </c>
      <c r="F19" s="54">
        <v>16049</v>
      </c>
      <c r="G19" s="55">
        <v>-5.2952503209242625</v>
      </c>
      <c r="H19" s="55">
        <f t="shared" si="0"/>
        <v>6.607929515418502</v>
      </c>
      <c r="I19" s="56">
        <f t="shared" si="0"/>
        <v>21.657130748039837</v>
      </c>
      <c r="J19" s="56">
        <f t="shared" si="0"/>
        <v>26.197526563316497</v>
      </c>
      <c r="K19" s="57">
        <f t="shared" si="0"/>
        <v>10.759144237405106</v>
      </c>
    </row>
    <row r="20" spans="1:15" ht="12.75" customHeight="1">
      <c r="A20" s="51" t="s">
        <v>77</v>
      </c>
      <c r="B20" s="52">
        <v>9368</v>
      </c>
      <c r="C20" s="52">
        <v>7392</v>
      </c>
      <c r="D20" s="53">
        <v>9622</v>
      </c>
      <c r="E20" s="53">
        <v>12778</v>
      </c>
      <c r="F20" s="54">
        <v>15208</v>
      </c>
      <c r="G20" s="55">
        <v>-0.40399744843716773</v>
      </c>
      <c r="H20" s="55">
        <f t="shared" si="0"/>
        <v>-21.093082835183605</v>
      </c>
      <c r="I20" s="56">
        <f t="shared" si="0"/>
        <v>30.167748917748916</v>
      </c>
      <c r="J20" s="56">
        <f t="shared" si="0"/>
        <v>32.799833714404492</v>
      </c>
      <c r="K20" s="57">
        <f t="shared" si="0"/>
        <v>19.017060572859602</v>
      </c>
    </row>
    <row r="21" spans="1:15" ht="12.75" customHeight="1">
      <c r="A21" s="51" t="s">
        <v>66</v>
      </c>
      <c r="B21" s="52">
        <v>4956</v>
      </c>
      <c r="C21" s="52">
        <v>5214</v>
      </c>
      <c r="D21" s="53">
        <v>5332</v>
      </c>
      <c r="E21" s="53">
        <v>7990</v>
      </c>
      <c r="F21" s="54">
        <v>9625</v>
      </c>
      <c r="G21" s="55">
        <v>11.220825852782765</v>
      </c>
      <c r="H21" s="55">
        <f t="shared" si="0"/>
        <v>5.2058111380145284</v>
      </c>
      <c r="I21" s="56">
        <f t="shared" si="0"/>
        <v>2.263137706175681</v>
      </c>
      <c r="J21" s="56">
        <f t="shared" si="0"/>
        <v>49.849962490622659</v>
      </c>
      <c r="K21" s="57">
        <f t="shared" si="0"/>
        <v>20.463078848560702</v>
      </c>
    </row>
    <row r="22" spans="1:15" ht="12.75" customHeight="1">
      <c r="A22" s="51" t="s">
        <v>67</v>
      </c>
      <c r="B22" s="52">
        <v>9752</v>
      </c>
      <c r="C22" s="52">
        <v>7833</v>
      </c>
      <c r="D22" s="53">
        <v>7872</v>
      </c>
      <c r="E22" s="53">
        <v>9670</v>
      </c>
      <c r="F22" s="54">
        <v>8860</v>
      </c>
      <c r="G22" s="55">
        <v>1.015123264967889</v>
      </c>
      <c r="H22" s="55">
        <f t="shared" si="0"/>
        <v>-19.678014766201805</v>
      </c>
      <c r="I22" s="56">
        <f t="shared" si="0"/>
        <v>0.49789352738414405</v>
      </c>
      <c r="J22" s="56">
        <f t="shared" si="0"/>
        <v>22.840447154471544</v>
      </c>
      <c r="K22" s="57">
        <f t="shared" si="0"/>
        <v>-8.3764219234746644</v>
      </c>
    </row>
    <row r="23" spans="1:15" ht="12.75" customHeight="1">
      <c r="A23" s="51" t="s">
        <v>50</v>
      </c>
      <c r="B23" s="52">
        <v>8217</v>
      </c>
      <c r="C23" s="52">
        <v>7279</v>
      </c>
      <c r="D23" s="53">
        <v>8912</v>
      </c>
      <c r="E23" s="53">
        <v>9710</v>
      </c>
      <c r="F23" s="54">
        <v>8824</v>
      </c>
      <c r="G23" s="55">
        <v>-6.6037735849056602</v>
      </c>
      <c r="H23" s="55">
        <f t="shared" si="0"/>
        <v>-11.415358403310211</v>
      </c>
      <c r="I23" s="56">
        <f t="shared" si="0"/>
        <v>22.434400329715622</v>
      </c>
      <c r="J23" s="56">
        <f t="shared" si="0"/>
        <v>8.9542190305206457</v>
      </c>
      <c r="K23" s="57">
        <f t="shared" si="0"/>
        <v>-9.1246138002059727</v>
      </c>
      <c r="O23" s="40" t="s">
        <v>104</v>
      </c>
    </row>
    <row r="24" spans="1:15" ht="12.75" customHeight="1">
      <c r="A24" s="51" t="s">
        <v>54</v>
      </c>
      <c r="B24" s="52">
        <v>5399</v>
      </c>
      <c r="C24" s="52">
        <v>4643</v>
      </c>
      <c r="D24" s="53">
        <v>5445</v>
      </c>
      <c r="E24" s="53">
        <v>6729</v>
      </c>
      <c r="F24" s="54">
        <v>8044</v>
      </c>
      <c r="G24" s="55">
        <v>52.299012693935119</v>
      </c>
      <c r="H24" s="55">
        <f t="shared" si="0"/>
        <v>-14.002593072791258</v>
      </c>
      <c r="I24" s="56">
        <f t="shared" si="0"/>
        <v>17.273314667241007</v>
      </c>
      <c r="J24" s="56">
        <f t="shared" si="0"/>
        <v>23.581267217630856</v>
      </c>
      <c r="K24" s="57">
        <f t="shared" si="0"/>
        <v>19.542279684945758</v>
      </c>
    </row>
    <row r="25" spans="1:15" ht="12.75" customHeight="1">
      <c r="A25" s="51" t="s">
        <v>82</v>
      </c>
      <c r="B25" s="52">
        <v>2747</v>
      </c>
      <c r="C25" s="52">
        <v>3036</v>
      </c>
      <c r="D25" s="53">
        <v>4040</v>
      </c>
      <c r="E25" s="53">
        <v>5005</v>
      </c>
      <c r="F25" s="54">
        <v>7263</v>
      </c>
      <c r="G25" s="55">
        <v>41.597938144329902</v>
      </c>
      <c r="H25" s="55">
        <f t="shared" si="0"/>
        <v>10.520567892246087</v>
      </c>
      <c r="I25" s="56">
        <f t="shared" si="0"/>
        <v>33.06982872200264</v>
      </c>
      <c r="J25" s="56">
        <f t="shared" si="0"/>
        <v>23.886138613861384</v>
      </c>
      <c r="K25" s="57">
        <f t="shared" si="0"/>
        <v>45.114885114885119</v>
      </c>
    </row>
    <row r="26" spans="1:15" ht="12.75" customHeight="1">
      <c r="A26" s="51" t="s">
        <v>69</v>
      </c>
      <c r="B26" s="52">
        <v>3952</v>
      </c>
      <c r="C26" s="52">
        <v>3813</v>
      </c>
      <c r="D26" s="53">
        <v>5397</v>
      </c>
      <c r="E26" s="53">
        <v>6214</v>
      </c>
      <c r="F26" s="54">
        <v>6896</v>
      </c>
      <c r="G26" s="55">
        <v>7.8897078897078892</v>
      </c>
      <c r="H26" s="55">
        <f t="shared" si="0"/>
        <v>-3.5172064777327936</v>
      </c>
      <c r="I26" s="56">
        <f t="shared" si="0"/>
        <v>41.542092840283239</v>
      </c>
      <c r="J26" s="56">
        <f t="shared" si="0"/>
        <v>15.138039651658328</v>
      </c>
      <c r="K26" s="57">
        <f t="shared" si="0"/>
        <v>10.975217251367878</v>
      </c>
    </row>
    <row r="27" spans="1:15" ht="12.75" customHeight="1">
      <c r="A27" s="51" t="s">
        <v>63</v>
      </c>
      <c r="B27" s="52">
        <v>3137</v>
      </c>
      <c r="C27" s="52">
        <v>3139</v>
      </c>
      <c r="D27" s="53">
        <v>3894</v>
      </c>
      <c r="E27" s="53">
        <v>6055</v>
      </c>
      <c r="F27" s="54">
        <v>6766</v>
      </c>
      <c r="G27" s="55">
        <v>4.6015338446148721</v>
      </c>
      <c r="H27" s="55">
        <f t="shared" si="0"/>
        <v>6.3755180108383797E-2</v>
      </c>
      <c r="I27" s="56">
        <f t="shared" si="0"/>
        <v>24.052245938196879</v>
      </c>
      <c r="J27" s="56">
        <f t="shared" si="0"/>
        <v>55.495634309193633</v>
      </c>
      <c r="K27" s="57">
        <f t="shared" si="0"/>
        <v>11.742361684558217</v>
      </c>
    </row>
    <row r="28" spans="1:15" ht="12.75" customHeight="1">
      <c r="A28" s="51" t="s">
        <v>43</v>
      </c>
      <c r="B28" s="52">
        <v>5595</v>
      </c>
      <c r="C28" s="52">
        <v>5355</v>
      </c>
      <c r="D28" s="53">
        <v>5682</v>
      </c>
      <c r="E28" s="53">
        <v>5693</v>
      </c>
      <c r="F28" s="54">
        <v>6077</v>
      </c>
      <c r="G28" s="55">
        <v>-13.644080876678499</v>
      </c>
      <c r="H28" s="55">
        <f t="shared" si="0"/>
        <v>-4.2895442359249332</v>
      </c>
      <c r="I28" s="56">
        <f t="shared" si="0"/>
        <v>6.1064425770308119</v>
      </c>
      <c r="J28" s="56">
        <f t="shared" si="0"/>
        <v>0.19359380499824005</v>
      </c>
      <c r="K28" s="57">
        <f t="shared" si="0"/>
        <v>6.745125592833304</v>
      </c>
    </row>
    <row r="29" spans="1:15" ht="12.75" customHeight="1">
      <c r="A29" s="51" t="s">
        <v>84</v>
      </c>
      <c r="B29" s="52">
        <v>2585</v>
      </c>
      <c r="C29" s="52">
        <v>2744</v>
      </c>
      <c r="D29" s="53">
        <v>3336</v>
      </c>
      <c r="E29" s="53">
        <v>4130</v>
      </c>
      <c r="F29" s="54">
        <v>5880</v>
      </c>
      <c r="G29" s="55">
        <v>26.777832270720943</v>
      </c>
      <c r="H29" s="55">
        <f t="shared" si="0"/>
        <v>6.1508704061895552</v>
      </c>
      <c r="I29" s="56">
        <f t="shared" si="0"/>
        <v>21.574344023323615</v>
      </c>
      <c r="J29" s="56">
        <f t="shared" si="0"/>
        <v>23.800959232613909</v>
      </c>
      <c r="K29" s="57">
        <f t="shared" si="0"/>
        <v>42.372881355932201</v>
      </c>
    </row>
    <row r="30" spans="1:15" ht="12.75" customHeight="1">
      <c r="A30" s="51" t="s">
        <v>33</v>
      </c>
      <c r="B30" s="52">
        <v>3811</v>
      </c>
      <c r="C30" s="52">
        <v>3851</v>
      </c>
      <c r="D30" s="53">
        <v>5137</v>
      </c>
      <c r="E30" s="53">
        <v>6471</v>
      </c>
      <c r="F30" s="54">
        <v>5588</v>
      </c>
      <c r="G30" s="55">
        <v>37.780187997107738</v>
      </c>
      <c r="H30" s="55">
        <f t="shared" si="0"/>
        <v>1.0495932826029915</v>
      </c>
      <c r="I30" s="56">
        <f t="shared" si="0"/>
        <v>33.393923656193195</v>
      </c>
      <c r="J30" s="56">
        <f t="shared" si="0"/>
        <v>25.968464084095778</v>
      </c>
      <c r="K30" s="57">
        <f t="shared" si="0"/>
        <v>-13.645495286663575</v>
      </c>
    </row>
    <row r="31" spans="1:15" ht="12.75" customHeight="1">
      <c r="A31" s="51" t="s">
        <v>53</v>
      </c>
      <c r="B31" s="52">
        <v>3235</v>
      </c>
      <c r="C31" s="52">
        <v>2758</v>
      </c>
      <c r="D31" s="53">
        <v>4637</v>
      </c>
      <c r="E31" s="53">
        <v>4542</v>
      </c>
      <c r="F31" s="54">
        <v>5416</v>
      </c>
      <c r="G31" s="55">
        <v>32.473382473382472</v>
      </c>
      <c r="H31" s="55">
        <f t="shared" si="0"/>
        <v>-14.744976816074187</v>
      </c>
      <c r="I31" s="56">
        <f t="shared" si="0"/>
        <v>68.129079042784625</v>
      </c>
      <c r="J31" s="56">
        <f t="shared" si="0"/>
        <v>-2.0487384084537417</v>
      </c>
      <c r="K31" s="57">
        <f t="shared" si="0"/>
        <v>19.242624394539849</v>
      </c>
    </row>
    <row r="32" spans="1:15" ht="12.75" customHeight="1">
      <c r="A32" s="51" t="s">
        <v>51</v>
      </c>
      <c r="B32" s="52">
        <v>3542</v>
      </c>
      <c r="C32" s="52">
        <v>3165</v>
      </c>
      <c r="D32" s="53">
        <v>3638</v>
      </c>
      <c r="E32" s="53">
        <v>4896</v>
      </c>
      <c r="F32" s="54">
        <v>5230</v>
      </c>
      <c r="G32" s="55">
        <v>64.820846905537451</v>
      </c>
      <c r="H32" s="55">
        <f t="shared" si="0"/>
        <v>-10.643704121964992</v>
      </c>
      <c r="I32" s="56">
        <f t="shared" si="0"/>
        <v>14.944707740916272</v>
      </c>
      <c r="J32" s="56">
        <f t="shared" si="0"/>
        <v>34.579439252336449</v>
      </c>
      <c r="K32" s="57">
        <f t="shared" si="0"/>
        <v>6.8218954248366011</v>
      </c>
    </row>
    <row r="33" spans="1:14" ht="12.75" customHeight="1">
      <c r="A33" s="51" t="s">
        <v>74</v>
      </c>
      <c r="B33" s="52">
        <v>2966</v>
      </c>
      <c r="C33" s="52">
        <v>3043</v>
      </c>
      <c r="D33" s="53">
        <v>3815</v>
      </c>
      <c r="E33" s="53">
        <v>4690</v>
      </c>
      <c r="F33" s="54">
        <v>5070</v>
      </c>
      <c r="G33" s="55">
        <v>4.0336723956506493</v>
      </c>
      <c r="H33" s="55">
        <f t="shared" si="0"/>
        <v>2.5960890087660147</v>
      </c>
      <c r="I33" s="56">
        <f t="shared" si="0"/>
        <v>25.369700953006902</v>
      </c>
      <c r="J33" s="56">
        <f t="shared" si="0"/>
        <v>22.935779816513762</v>
      </c>
      <c r="K33" s="57">
        <f t="shared" si="0"/>
        <v>8.1023454157782524</v>
      </c>
    </row>
    <row r="34" spans="1:14" ht="12.75" customHeight="1">
      <c r="A34" s="51" t="s">
        <v>68</v>
      </c>
      <c r="B34" s="52">
        <v>2233</v>
      </c>
      <c r="C34" s="52">
        <v>1975</v>
      </c>
      <c r="D34" s="53">
        <v>3831</v>
      </c>
      <c r="E34" s="53">
        <v>5305</v>
      </c>
      <c r="F34" s="54">
        <v>4430</v>
      </c>
      <c r="G34" s="55">
        <v>10.654112983151636</v>
      </c>
      <c r="H34" s="55">
        <f t="shared" si="0"/>
        <v>-11.553963278101209</v>
      </c>
      <c r="I34" s="56">
        <f t="shared" si="0"/>
        <v>93.974683544303801</v>
      </c>
      <c r="J34" s="56">
        <f t="shared" si="0"/>
        <v>38.475593839728525</v>
      </c>
      <c r="K34" s="57">
        <f t="shared" si="0"/>
        <v>-16.493873704052781</v>
      </c>
    </row>
    <row r="35" spans="1:14" ht="12.75" customHeight="1">
      <c r="A35" s="51" t="s">
        <v>83</v>
      </c>
      <c r="B35" s="52">
        <v>1394</v>
      </c>
      <c r="C35" s="52">
        <v>1580</v>
      </c>
      <c r="D35" s="53">
        <v>1699</v>
      </c>
      <c r="E35" s="53">
        <v>2292</v>
      </c>
      <c r="F35" s="54">
        <v>4047</v>
      </c>
      <c r="G35" s="55">
        <v>72.738537794299873</v>
      </c>
      <c r="H35" s="55">
        <f t="shared" si="0"/>
        <v>13.342898134863701</v>
      </c>
      <c r="I35" s="56">
        <f t="shared" si="0"/>
        <v>7.5316455696202533</v>
      </c>
      <c r="J35" s="56">
        <f t="shared" si="0"/>
        <v>34.90288404944085</v>
      </c>
      <c r="K35" s="57">
        <f t="shared" si="0"/>
        <v>76.570680628272243</v>
      </c>
    </row>
    <row r="36" spans="1:14" ht="12.75" customHeight="1">
      <c r="A36" s="51" t="s">
        <v>71</v>
      </c>
      <c r="B36" s="52">
        <v>3732</v>
      </c>
      <c r="C36" s="52">
        <v>2975</v>
      </c>
      <c r="D36" s="53">
        <v>3157</v>
      </c>
      <c r="E36" s="53">
        <v>3684</v>
      </c>
      <c r="F36" s="54">
        <v>3967</v>
      </c>
      <c r="G36" s="55">
        <v>13.331308836926814</v>
      </c>
      <c r="H36" s="55">
        <f t="shared" si="0"/>
        <v>-20.284030010718112</v>
      </c>
      <c r="I36" s="56">
        <f t="shared" si="0"/>
        <v>6.1176470588235299</v>
      </c>
      <c r="J36" s="56">
        <f t="shared" si="0"/>
        <v>16.69306303452645</v>
      </c>
      <c r="K36" s="57">
        <f t="shared" si="0"/>
        <v>7.681867535287731</v>
      </c>
    </row>
    <row r="37" spans="1:14" ht="12.75" customHeight="1">
      <c r="A37" s="51" t="s">
        <v>45</v>
      </c>
      <c r="B37" s="52">
        <v>3325</v>
      </c>
      <c r="C37" s="52">
        <v>3357</v>
      </c>
      <c r="D37" s="53">
        <v>3795</v>
      </c>
      <c r="E37" s="53">
        <v>4158</v>
      </c>
      <c r="F37" s="54">
        <v>3918</v>
      </c>
      <c r="G37" s="55">
        <v>25.047010154193305</v>
      </c>
      <c r="H37" s="55">
        <f t="shared" si="0"/>
        <v>0.96240601503759393</v>
      </c>
      <c r="I37" s="56">
        <f t="shared" si="0"/>
        <v>13.047363717605004</v>
      </c>
      <c r="J37" s="56">
        <f t="shared" si="0"/>
        <v>9.5652173913043477</v>
      </c>
      <c r="K37" s="57">
        <f t="shared" si="0"/>
        <v>-5.7720057720057723</v>
      </c>
    </row>
    <row r="38" spans="1:14" ht="12.75" customHeight="1">
      <c r="A38" s="51" t="s">
        <v>46</v>
      </c>
      <c r="B38" s="52">
        <v>4150</v>
      </c>
      <c r="C38" s="52">
        <v>4822</v>
      </c>
      <c r="D38" s="53">
        <v>4555</v>
      </c>
      <c r="E38" s="53">
        <v>4434</v>
      </c>
      <c r="F38" s="54">
        <v>3660</v>
      </c>
      <c r="G38" s="55">
        <v>-0.90735434574976126</v>
      </c>
      <c r="H38" s="55">
        <f t="shared" si="0"/>
        <v>16.192771084337348</v>
      </c>
      <c r="I38" s="56">
        <f t="shared" si="0"/>
        <v>-5.5371215263376188</v>
      </c>
      <c r="J38" s="56">
        <f t="shared" si="0"/>
        <v>-2.6564215148188803</v>
      </c>
      <c r="K38" s="57">
        <f t="shared" si="0"/>
        <v>-17.456021650879567</v>
      </c>
    </row>
    <row r="39" spans="1:14" ht="12.75" customHeight="1">
      <c r="A39" s="51" t="s">
        <v>34</v>
      </c>
      <c r="B39" s="52">
        <v>1834</v>
      </c>
      <c r="C39" s="52">
        <v>1722</v>
      </c>
      <c r="D39" s="53">
        <v>2422</v>
      </c>
      <c r="E39" s="53">
        <v>3173</v>
      </c>
      <c r="F39" s="54">
        <v>3493</v>
      </c>
      <c r="G39" s="55">
        <v>0.82462891698735563</v>
      </c>
      <c r="H39" s="55">
        <f t="shared" ref="H39:K60" si="1">(C39-B39)/B39*100</f>
        <v>-6.1068702290076331</v>
      </c>
      <c r="I39" s="56">
        <f t="shared" si="1"/>
        <v>40.650406504065039</v>
      </c>
      <c r="J39" s="56">
        <f t="shared" si="1"/>
        <v>31.007431874483899</v>
      </c>
      <c r="K39" s="57">
        <f t="shared" si="1"/>
        <v>10.085092971950834</v>
      </c>
    </row>
    <row r="40" spans="1:14" ht="12.75" customHeight="1">
      <c r="A40" s="51" t="s">
        <v>72</v>
      </c>
      <c r="B40" s="52">
        <v>1962</v>
      </c>
      <c r="C40" s="52">
        <v>2059</v>
      </c>
      <c r="D40" s="53">
        <v>2471</v>
      </c>
      <c r="E40" s="53">
        <v>2781</v>
      </c>
      <c r="F40" s="54">
        <v>3128</v>
      </c>
      <c r="G40" s="55">
        <v>26.336123631680618</v>
      </c>
      <c r="H40" s="55">
        <f t="shared" si="1"/>
        <v>4.9439347604485224</v>
      </c>
      <c r="I40" s="56">
        <f t="shared" si="1"/>
        <v>20.009713453132587</v>
      </c>
      <c r="J40" s="56">
        <f t="shared" si="1"/>
        <v>12.545528126264671</v>
      </c>
      <c r="K40" s="57">
        <f t="shared" si="1"/>
        <v>12.47752606975908</v>
      </c>
    </row>
    <row r="41" spans="1:14" ht="12.75" customHeight="1">
      <c r="A41" s="51" t="s">
        <v>73</v>
      </c>
      <c r="B41" s="52">
        <v>1327</v>
      </c>
      <c r="C41" s="52">
        <v>1304</v>
      </c>
      <c r="D41" s="53">
        <v>1761</v>
      </c>
      <c r="E41" s="53">
        <v>2342</v>
      </c>
      <c r="F41" s="54">
        <v>3061</v>
      </c>
      <c r="G41" s="55">
        <v>87.429378531073439</v>
      </c>
      <c r="H41" s="55">
        <f t="shared" si="1"/>
        <v>-1.7332328560663148</v>
      </c>
      <c r="I41" s="56">
        <f t="shared" si="1"/>
        <v>35.04601226993865</v>
      </c>
      <c r="J41" s="56">
        <f t="shared" si="1"/>
        <v>32.992617830777967</v>
      </c>
      <c r="K41" s="57">
        <f t="shared" si="1"/>
        <v>30.700256191289498</v>
      </c>
    </row>
    <row r="42" spans="1:14" ht="12.75" customHeight="1">
      <c r="A42" s="51" t="s">
        <v>80</v>
      </c>
      <c r="B42" s="52">
        <v>1340</v>
      </c>
      <c r="C42" s="52">
        <v>1181</v>
      </c>
      <c r="D42" s="53">
        <v>1409</v>
      </c>
      <c r="E42" s="53">
        <v>1797</v>
      </c>
      <c r="F42" s="54">
        <v>2987</v>
      </c>
      <c r="G42" s="55">
        <v>33.466135458167329</v>
      </c>
      <c r="H42" s="55">
        <f t="shared" si="1"/>
        <v>-11.865671641791046</v>
      </c>
      <c r="I42" s="56">
        <f t="shared" si="1"/>
        <v>19.30567315834039</v>
      </c>
      <c r="J42" s="56">
        <f t="shared" si="1"/>
        <v>27.537260468417319</v>
      </c>
      <c r="K42" s="57">
        <f t="shared" si="1"/>
        <v>66.221480244852543</v>
      </c>
    </row>
    <row r="43" spans="1:14" ht="12.75" customHeight="1">
      <c r="A43" s="51" t="s">
        <v>44</v>
      </c>
      <c r="B43" s="52">
        <v>2596</v>
      </c>
      <c r="C43" s="52">
        <v>2120</v>
      </c>
      <c r="D43" s="53">
        <v>2153</v>
      </c>
      <c r="E43" s="53">
        <v>2775</v>
      </c>
      <c r="F43" s="54">
        <v>2902</v>
      </c>
      <c r="G43" s="55">
        <v>43.584070796460175</v>
      </c>
      <c r="H43" s="55">
        <f t="shared" si="1"/>
        <v>-18.335901386748844</v>
      </c>
      <c r="I43" s="56">
        <f t="shared" si="1"/>
        <v>1.5566037735849056</v>
      </c>
      <c r="J43" s="56">
        <f t="shared" si="1"/>
        <v>28.889921040408733</v>
      </c>
      <c r="K43" s="57">
        <f t="shared" si="1"/>
        <v>4.576576576576576</v>
      </c>
    </row>
    <row r="44" spans="1:14" ht="12.75" customHeight="1">
      <c r="A44" s="51" t="s">
        <v>48</v>
      </c>
      <c r="B44" s="52">
        <v>1916</v>
      </c>
      <c r="C44" s="52">
        <v>1970</v>
      </c>
      <c r="D44" s="53">
        <v>2348</v>
      </c>
      <c r="E44" s="53">
        <v>2822</v>
      </c>
      <c r="F44" s="54">
        <v>2636</v>
      </c>
      <c r="G44" s="55">
        <v>30.428863172226006</v>
      </c>
      <c r="H44" s="55">
        <f t="shared" si="1"/>
        <v>2.8183716075156577</v>
      </c>
      <c r="I44" s="56">
        <f t="shared" si="1"/>
        <v>19.18781725888325</v>
      </c>
      <c r="J44" s="56">
        <f t="shared" si="1"/>
        <v>20.187393526405451</v>
      </c>
      <c r="K44" s="57">
        <f t="shared" si="1"/>
        <v>-6.5910701630049608</v>
      </c>
    </row>
    <row r="45" spans="1:14" ht="12.75" customHeight="1">
      <c r="A45" s="51" t="s">
        <v>76</v>
      </c>
      <c r="B45" s="52">
        <v>1334</v>
      </c>
      <c r="C45" s="52">
        <v>1374</v>
      </c>
      <c r="D45" s="53">
        <v>1543</v>
      </c>
      <c r="E45" s="53">
        <v>2132</v>
      </c>
      <c r="F45" s="54">
        <v>2594</v>
      </c>
      <c r="G45" s="55">
        <v>3.3307513555383426</v>
      </c>
      <c r="H45" s="55">
        <f t="shared" si="1"/>
        <v>2.9985007496251872</v>
      </c>
      <c r="I45" s="56">
        <f t="shared" si="1"/>
        <v>12.299854439592432</v>
      </c>
      <c r="J45" s="56">
        <f t="shared" si="1"/>
        <v>38.172391445236556</v>
      </c>
      <c r="K45" s="57">
        <f t="shared" si="1"/>
        <v>21.669793621013135</v>
      </c>
      <c r="N45" s="40" t="s">
        <v>105</v>
      </c>
    </row>
    <row r="46" spans="1:14" ht="12" customHeight="1">
      <c r="A46" s="51" t="s">
        <v>41</v>
      </c>
      <c r="B46" s="52">
        <v>1588</v>
      </c>
      <c r="C46" s="52">
        <v>1380</v>
      </c>
      <c r="D46" s="53">
        <v>2113</v>
      </c>
      <c r="E46" s="53">
        <v>2433</v>
      </c>
      <c r="F46" s="54">
        <v>2569</v>
      </c>
      <c r="G46" s="55">
        <v>21.406727828746178</v>
      </c>
      <c r="H46" s="55">
        <f t="shared" si="1"/>
        <v>-13.09823677581864</v>
      </c>
      <c r="I46" s="56">
        <f t="shared" si="1"/>
        <v>53.115942028985508</v>
      </c>
      <c r="J46" s="56">
        <f t="shared" si="1"/>
        <v>15.144344533838144</v>
      </c>
      <c r="K46" s="57">
        <f t="shared" si="1"/>
        <v>5.589806822852446</v>
      </c>
    </row>
    <row r="47" spans="1:14" ht="12.75" customHeight="1">
      <c r="A47" s="51" t="s">
        <v>40</v>
      </c>
      <c r="B47" s="52">
        <v>2884</v>
      </c>
      <c r="C47" s="52">
        <v>2420</v>
      </c>
      <c r="D47" s="53">
        <v>2514</v>
      </c>
      <c r="E47" s="53">
        <v>2444</v>
      </c>
      <c r="F47" s="54">
        <v>2483</v>
      </c>
      <c r="G47" s="55">
        <v>-8.3862770012706473</v>
      </c>
      <c r="H47" s="55">
        <f t="shared" si="1"/>
        <v>-16.08876560332871</v>
      </c>
      <c r="I47" s="56">
        <f t="shared" si="1"/>
        <v>3.884297520661157</v>
      </c>
      <c r="J47" s="56">
        <f t="shared" si="1"/>
        <v>-2.7844073190135243</v>
      </c>
      <c r="K47" s="57">
        <f t="shared" si="1"/>
        <v>1.5957446808510638</v>
      </c>
    </row>
    <row r="48" spans="1:14" ht="12.75" customHeight="1">
      <c r="A48" s="51" t="s">
        <v>39</v>
      </c>
      <c r="B48" s="52">
        <v>2052</v>
      </c>
      <c r="C48" s="52">
        <v>1848</v>
      </c>
      <c r="D48" s="53">
        <v>2434</v>
      </c>
      <c r="E48" s="53">
        <v>2596</v>
      </c>
      <c r="F48" s="54">
        <v>2408</v>
      </c>
      <c r="G48" s="55">
        <v>-20.093457943925234</v>
      </c>
      <c r="H48" s="55">
        <f t="shared" si="1"/>
        <v>-9.9415204678362574</v>
      </c>
      <c r="I48" s="56">
        <f t="shared" si="1"/>
        <v>31.70995670995671</v>
      </c>
      <c r="J48" s="56">
        <f t="shared" si="1"/>
        <v>6.6557107641741986</v>
      </c>
      <c r="K48" s="57">
        <f t="shared" si="1"/>
        <v>-7.2419106317411401</v>
      </c>
    </row>
    <row r="49" spans="1:11" ht="12.75" customHeight="1">
      <c r="A49" s="51" t="s">
        <v>70</v>
      </c>
      <c r="B49" s="52">
        <v>1065</v>
      </c>
      <c r="C49" s="52">
        <v>1182</v>
      </c>
      <c r="D49" s="53">
        <v>1575</v>
      </c>
      <c r="E49" s="53">
        <v>2485</v>
      </c>
      <c r="F49" s="54">
        <v>2345</v>
      </c>
      <c r="G49" s="55">
        <v>-45.412608918503331</v>
      </c>
      <c r="H49" s="55">
        <f t="shared" si="1"/>
        <v>10.985915492957748</v>
      </c>
      <c r="I49" s="56">
        <f t="shared" si="1"/>
        <v>33.248730964467008</v>
      </c>
      <c r="J49" s="56">
        <f t="shared" si="1"/>
        <v>57.777777777777771</v>
      </c>
      <c r="K49" s="57">
        <f t="shared" si="1"/>
        <v>-5.6338028169014089</v>
      </c>
    </row>
    <row r="50" spans="1:11" ht="12.75" customHeight="1">
      <c r="A50" s="51" t="s">
        <v>65</v>
      </c>
      <c r="B50" s="52">
        <v>871</v>
      </c>
      <c r="C50" s="52">
        <v>979</v>
      </c>
      <c r="D50" s="53">
        <v>1066</v>
      </c>
      <c r="E50" s="53">
        <v>1652</v>
      </c>
      <c r="F50" s="54">
        <v>2265</v>
      </c>
      <c r="G50" s="55">
        <v>-11.303462321792262</v>
      </c>
      <c r="H50" s="55">
        <f t="shared" si="1"/>
        <v>12.399540757749714</v>
      </c>
      <c r="I50" s="56">
        <f t="shared" si="1"/>
        <v>8.88661899897855</v>
      </c>
      <c r="J50" s="56">
        <f t="shared" si="1"/>
        <v>54.971857410881796</v>
      </c>
      <c r="K50" s="57">
        <f t="shared" si="1"/>
        <v>37.106537530266344</v>
      </c>
    </row>
    <row r="51" spans="1:11" ht="12.75" customHeight="1">
      <c r="A51" s="51" t="s">
        <v>38</v>
      </c>
      <c r="B51" s="52">
        <v>4926</v>
      </c>
      <c r="C51" s="52">
        <v>5406</v>
      </c>
      <c r="D51" s="53">
        <v>4630</v>
      </c>
      <c r="E51" s="53">
        <v>3009</v>
      </c>
      <c r="F51" s="54">
        <v>2058</v>
      </c>
      <c r="G51" s="55">
        <v>1.5670103092783505</v>
      </c>
      <c r="H51" s="55">
        <f t="shared" si="1"/>
        <v>9.7442143727161987</v>
      </c>
      <c r="I51" s="56">
        <f t="shared" si="1"/>
        <v>-14.354421013688496</v>
      </c>
      <c r="J51" s="56">
        <f t="shared" si="1"/>
        <v>-35.010799136069117</v>
      </c>
      <c r="K51" s="57">
        <f t="shared" si="1"/>
        <v>-31.605184446660019</v>
      </c>
    </row>
    <row r="52" spans="1:11" ht="12.75" customHeight="1">
      <c r="A52" s="51" t="s">
        <v>64</v>
      </c>
      <c r="B52" s="52">
        <v>1191</v>
      </c>
      <c r="C52" s="52">
        <v>1046</v>
      </c>
      <c r="D52" s="53">
        <v>1256</v>
      </c>
      <c r="E52" s="53">
        <v>1842</v>
      </c>
      <c r="F52" s="54">
        <v>1857</v>
      </c>
      <c r="G52" s="55">
        <v>17.5715695952616</v>
      </c>
      <c r="H52" s="55">
        <f t="shared" si="1"/>
        <v>-12.174643157010916</v>
      </c>
      <c r="I52" s="56">
        <f t="shared" si="1"/>
        <v>20.076481835564053</v>
      </c>
      <c r="J52" s="56">
        <f t="shared" si="1"/>
        <v>46.656050955414017</v>
      </c>
      <c r="K52" s="57">
        <f t="shared" si="1"/>
        <v>0.81433224755700329</v>
      </c>
    </row>
    <row r="53" spans="1:11" ht="12.75" customHeight="1">
      <c r="A53" s="51" t="s">
        <v>60</v>
      </c>
      <c r="B53" s="52">
        <v>581</v>
      </c>
      <c r="C53" s="52">
        <v>677</v>
      </c>
      <c r="D53" s="53">
        <v>818</v>
      </c>
      <c r="E53" s="53">
        <v>1283</v>
      </c>
      <c r="F53" s="54">
        <v>1772</v>
      </c>
      <c r="G53" s="55">
        <v>-38.388123011664902</v>
      </c>
      <c r="H53" s="55">
        <f t="shared" si="1"/>
        <v>16.523235800344235</v>
      </c>
      <c r="I53" s="56">
        <f t="shared" si="1"/>
        <v>20.827178729689809</v>
      </c>
      <c r="J53" s="56">
        <f t="shared" si="1"/>
        <v>56.845965770171148</v>
      </c>
      <c r="K53" s="57">
        <f t="shared" si="1"/>
        <v>38.113795791114576</v>
      </c>
    </row>
    <row r="54" spans="1:11" ht="12.75" customHeight="1">
      <c r="A54" s="51" t="s">
        <v>81</v>
      </c>
      <c r="B54" s="52">
        <v>1139</v>
      </c>
      <c r="C54" s="52">
        <v>984</v>
      </c>
      <c r="D54" s="53">
        <v>1145</v>
      </c>
      <c r="E54" s="53">
        <v>1346</v>
      </c>
      <c r="F54" s="54">
        <v>1666</v>
      </c>
      <c r="G54" s="55">
        <v>72.575757575757578</v>
      </c>
      <c r="H54" s="55">
        <f t="shared" si="1"/>
        <v>-13.608428446005268</v>
      </c>
      <c r="I54" s="56">
        <f t="shared" si="1"/>
        <v>16.361788617886177</v>
      </c>
      <c r="J54" s="56">
        <f t="shared" si="1"/>
        <v>17.554585152838428</v>
      </c>
      <c r="K54" s="57">
        <f t="shared" si="1"/>
        <v>23.774145616641899</v>
      </c>
    </row>
    <row r="55" spans="1:11" ht="12.75" customHeight="1">
      <c r="A55" s="51" t="s">
        <v>78</v>
      </c>
      <c r="B55" s="52">
        <v>1184</v>
      </c>
      <c r="C55" s="52">
        <v>991</v>
      </c>
      <c r="D55" s="53">
        <v>1103</v>
      </c>
      <c r="E55" s="53">
        <v>1390</v>
      </c>
      <c r="F55" s="54">
        <v>1579</v>
      </c>
      <c r="G55" s="55">
        <v>3.6777583187390541</v>
      </c>
      <c r="H55" s="55">
        <f t="shared" si="1"/>
        <v>-16.300675675675674</v>
      </c>
      <c r="I55" s="56">
        <f t="shared" si="1"/>
        <v>11.301715438950556</v>
      </c>
      <c r="J55" s="56">
        <f t="shared" si="1"/>
        <v>26.019945602901178</v>
      </c>
      <c r="K55" s="57">
        <f t="shared" si="1"/>
        <v>13.597122302158274</v>
      </c>
    </row>
    <row r="56" spans="1:11" ht="12.75" customHeight="1">
      <c r="A56" s="51" t="s">
        <v>32</v>
      </c>
      <c r="B56" s="52">
        <v>3368</v>
      </c>
      <c r="C56" s="52">
        <v>3437</v>
      </c>
      <c r="D56" s="53">
        <v>4386</v>
      </c>
      <c r="E56" s="53">
        <v>5738</v>
      </c>
      <c r="F56" s="54">
        <v>1509</v>
      </c>
      <c r="G56" s="55">
        <v>-5.1801801801801801</v>
      </c>
      <c r="H56" s="55">
        <f t="shared" si="1"/>
        <v>2.0486935866983371</v>
      </c>
      <c r="I56" s="56">
        <f t="shared" si="1"/>
        <v>27.611288914751235</v>
      </c>
      <c r="J56" s="56">
        <f t="shared" si="1"/>
        <v>30.825353397172822</v>
      </c>
      <c r="K56" s="57">
        <f t="shared" si="1"/>
        <v>-73.701638201463922</v>
      </c>
    </row>
    <row r="57" spans="1:11" ht="12.75" customHeight="1">
      <c r="A57" s="51" t="s">
        <v>35</v>
      </c>
      <c r="B57" s="52">
        <v>865</v>
      </c>
      <c r="C57" s="52">
        <v>1088</v>
      </c>
      <c r="D57" s="53">
        <v>1281</v>
      </c>
      <c r="E57" s="53">
        <v>1535</v>
      </c>
      <c r="F57" s="54">
        <v>1402</v>
      </c>
      <c r="G57" s="55">
        <v>9.6324461343472745</v>
      </c>
      <c r="H57" s="55">
        <f t="shared" si="1"/>
        <v>25.780346820809246</v>
      </c>
      <c r="I57" s="56">
        <f t="shared" si="1"/>
        <v>17.738970588235293</v>
      </c>
      <c r="J57" s="56">
        <f t="shared" si="1"/>
        <v>19.828259172521467</v>
      </c>
      <c r="K57" s="57">
        <f t="shared" si="1"/>
        <v>-8.664495114006515</v>
      </c>
    </row>
    <row r="58" spans="1:11" ht="12.75" customHeight="1">
      <c r="A58" s="51" t="s">
        <v>49</v>
      </c>
      <c r="B58" s="52">
        <v>1372</v>
      </c>
      <c r="C58" s="52">
        <v>1324</v>
      </c>
      <c r="D58" s="53">
        <v>1647</v>
      </c>
      <c r="E58" s="53">
        <v>1609</v>
      </c>
      <c r="F58" s="54">
        <v>1295</v>
      </c>
      <c r="G58" s="55">
        <v>13.953488372093023</v>
      </c>
      <c r="H58" s="55">
        <f t="shared" si="1"/>
        <v>-3.4985422740524781</v>
      </c>
      <c r="I58" s="56">
        <f t="shared" si="1"/>
        <v>24.395770392749245</v>
      </c>
      <c r="J58" s="56">
        <f t="shared" si="1"/>
        <v>-2.3072252580449302</v>
      </c>
      <c r="K58" s="57">
        <f t="shared" si="1"/>
        <v>-19.515226848974518</v>
      </c>
    </row>
    <row r="59" spans="1:11" ht="12.75" customHeight="1">
      <c r="A59" s="51" t="s">
        <v>57</v>
      </c>
      <c r="B59" s="52">
        <v>455</v>
      </c>
      <c r="C59" s="52">
        <v>388</v>
      </c>
      <c r="D59" s="53">
        <v>525</v>
      </c>
      <c r="E59" s="53">
        <v>1496</v>
      </c>
      <c r="F59" s="54">
        <v>1221</v>
      </c>
      <c r="G59" s="55">
        <v>-64.563862928348911</v>
      </c>
      <c r="H59" s="55">
        <f t="shared" si="1"/>
        <v>-14.725274725274726</v>
      </c>
      <c r="I59" s="56">
        <f t="shared" si="1"/>
        <v>35.309278350515463</v>
      </c>
      <c r="J59" s="56">
        <f t="shared" si="1"/>
        <v>184.95238095238096</v>
      </c>
      <c r="K59" s="57">
        <f t="shared" si="1"/>
        <v>-18.382352941176471</v>
      </c>
    </row>
    <row r="60" spans="1:11" ht="12.75" customHeight="1">
      <c r="A60" s="58" t="s">
        <v>79</v>
      </c>
      <c r="B60" s="59">
        <v>22</v>
      </c>
      <c r="C60" s="59">
        <v>21</v>
      </c>
      <c r="D60" s="60">
        <v>31</v>
      </c>
      <c r="E60" s="60">
        <v>27</v>
      </c>
      <c r="F60" s="61">
        <v>39</v>
      </c>
      <c r="G60" s="62">
        <v>-80.530973451327441</v>
      </c>
      <c r="H60" s="62">
        <f t="shared" si="1"/>
        <v>-4.5454545454545459</v>
      </c>
      <c r="I60" s="63">
        <f t="shared" si="1"/>
        <v>47.619047619047613</v>
      </c>
      <c r="J60" s="63">
        <f t="shared" si="1"/>
        <v>-12.903225806451612</v>
      </c>
      <c r="K60" s="64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5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5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46"/>
  <sheetViews>
    <sheetView tabSelected="1" zoomScale="89" zoomScaleNormal="89" workbookViewId="0">
      <selection activeCell="R25" sqref="R25"/>
    </sheetView>
  </sheetViews>
  <sheetFormatPr defaultColWidth="9.140625" defaultRowHeight="12"/>
  <cols>
    <col min="1" max="1" width="13.7109375" style="9" customWidth="1"/>
    <col min="2" max="2" width="12" style="9" customWidth="1"/>
    <col min="3" max="3" width="11.28515625" style="9" customWidth="1"/>
    <col min="4" max="4" width="14.42578125" style="9" customWidth="1"/>
    <col min="5" max="8" width="11.28515625" style="9" customWidth="1"/>
    <col min="9" max="9" width="14.85546875" style="9" customWidth="1"/>
    <col min="10" max="13" width="11.28515625" style="9" customWidth="1"/>
    <col min="14" max="14" width="14.85546875" style="9" customWidth="1"/>
    <col min="15" max="18" width="11.28515625" style="9" customWidth="1"/>
    <col min="19" max="19" width="14.85546875" style="9" customWidth="1"/>
    <col min="20" max="21" width="11.28515625" style="9" customWidth="1"/>
    <col min="22" max="22" width="9.85546875" style="9" bestFit="1" customWidth="1"/>
    <col min="23" max="27" width="18.28515625" style="9" customWidth="1"/>
    <col min="28" max="16384" width="9.140625" style="9"/>
  </cols>
  <sheetData>
    <row r="1" spans="1:27" ht="17.25" customHeight="1">
      <c r="A1" s="97" t="s">
        <v>110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</row>
    <row r="2" spans="1:27" ht="24" customHeight="1">
      <c r="A2" s="98" t="s">
        <v>109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8"/>
      <c r="W2" s="70"/>
      <c r="X2" s="70"/>
      <c r="Y2" s="70"/>
      <c r="Z2" s="70"/>
      <c r="AA2" s="70"/>
    </row>
    <row r="3" spans="1:27" s="23" customFormat="1" ht="18.75" customHeight="1">
      <c r="A3" s="99" t="s">
        <v>11</v>
      </c>
      <c r="B3" s="102">
        <v>2014</v>
      </c>
      <c r="C3" s="103"/>
      <c r="D3" s="103"/>
      <c r="E3" s="103"/>
      <c r="F3" s="103"/>
      <c r="G3" s="102">
        <v>2015</v>
      </c>
      <c r="H3" s="103"/>
      <c r="I3" s="103"/>
      <c r="J3" s="103"/>
      <c r="K3" s="103"/>
      <c r="L3" s="102">
        <v>2016</v>
      </c>
      <c r="M3" s="103"/>
      <c r="N3" s="103"/>
      <c r="O3" s="103"/>
      <c r="P3" s="103"/>
      <c r="Q3" s="102">
        <v>2017</v>
      </c>
      <c r="R3" s="103"/>
      <c r="S3" s="103"/>
      <c r="T3" s="103"/>
      <c r="U3" s="103"/>
      <c r="V3" s="72"/>
      <c r="W3" s="13"/>
      <c r="X3" s="13"/>
      <c r="Y3" s="13"/>
      <c r="Z3" s="13"/>
      <c r="AA3" s="13"/>
    </row>
    <row r="4" spans="1:27" s="23" customFormat="1" ht="72" customHeight="1">
      <c r="A4" s="100"/>
      <c r="B4" s="67" t="s">
        <v>95</v>
      </c>
      <c r="C4" s="24" t="s">
        <v>94</v>
      </c>
      <c r="D4" s="24" t="s">
        <v>93</v>
      </c>
      <c r="E4" s="24" t="s">
        <v>92</v>
      </c>
      <c r="F4" s="24" t="s">
        <v>96</v>
      </c>
      <c r="G4" s="67" t="s">
        <v>95</v>
      </c>
      <c r="H4" s="24" t="s">
        <v>94</v>
      </c>
      <c r="I4" s="24" t="s">
        <v>93</v>
      </c>
      <c r="J4" s="24" t="s">
        <v>92</v>
      </c>
      <c r="K4" s="24" t="s">
        <v>96</v>
      </c>
      <c r="L4" s="67" t="s">
        <v>95</v>
      </c>
      <c r="M4" s="24" t="s">
        <v>94</v>
      </c>
      <c r="N4" s="24" t="s">
        <v>93</v>
      </c>
      <c r="O4" s="24" t="s">
        <v>92</v>
      </c>
      <c r="P4" s="24" t="s">
        <v>96</v>
      </c>
      <c r="Q4" s="67" t="s">
        <v>95</v>
      </c>
      <c r="R4" s="24" t="s">
        <v>94</v>
      </c>
      <c r="S4" s="24" t="s">
        <v>93</v>
      </c>
      <c r="T4" s="24" t="s">
        <v>92</v>
      </c>
      <c r="U4" s="24" t="s">
        <v>96</v>
      </c>
      <c r="V4" s="71"/>
      <c r="W4" s="13"/>
      <c r="X4" s="13"/>
      <c r="Y4" s="13"/>
      <c r="Z4" s="13"/>
      <c r="AA4" s="13"/>
    </row>
    <row r="5" spans="1:27" s="23" customFormat="1" ht="46.5" customHeight="1">
      <c r="A5" s="101"/>
      <c r="B5" s="68" t="s">
        <v>108</v>
      </c>
      <c r="C5" s="74" t="s">
        <v>87</v>
      </c>
      <c r="D5" s="74" t="s">
        <v>14</v>
      </c>
      <c r="E5" s="74" t="s">
        <v>86</v>
      </c>
      <c r="F5" s="74" t="s">
        <v>90</v>
      </c>
      <c r="G5" s="68" t="s">
        <v>12</v>
      </c>
      <c r="H5" s="74" t="s">
        <v>87</v>
      </c>
      <c r="I5" s="74" t="s">
        <v>14</v>
      </c>
      <c r="J5" s="74" t="s">
        <v>86</v>
      </c>
      <c r="K5" s="74" t="s">
        <v>90</v>
      </c>
      <c r="L5" s="68" t="s">
        <v>12</v>
      </c>
      <c r="M5" s="74" t="s">
        <v>87</v>
      </c>
      <c r="N5" s="74" t="s">
        <v>14</v>
      </c>
      <c r="O5" s="74" t="s">
        <v>86</v>
      </c>
      <c r="P5" s="66" t="s">
        <v>90</v>
      </c>
      <c r="Q5" s="68" t="s">
        <v>12</v>
      </c>
      <c r="R5" s="74" t="s">
        <v>87</v>
      </c>
      <c r="S5" s="74" t="s">
        <v>14</v>
      </c>
      <c r="T5" s="74" t="s">
        <v>86</v>
      </c>
      <c r="U5" s="74" t="s">
        <v>90</v>
      </c>
      <c r="V5" s="71"/>
      <c r="W5" s="13"/>
      <c r="X5" s="13"/>
      <c r="Y5" s="13"/>
      <c r="Z5" s="13"/>
      <c r="AA5" s="13"/>
    </row>
    <row r="6" spans="1:27" s="23" customFormat="1" ht="16.5" customHeight="1">
      <c r="A6" s="25" t="s">
        <v>15</v>
      </c>
      <c r="B6" s="69">
        <f>AVERAGE(B7:B18)</f>
        <v>23749</v>
      </c>
      <c r="C6" s="26">
        <f>AVERAGE(C7:C18)</f>
        <v>22986.166666666668</v>
      </c>
      <c r="D6" s="27">
        <f>AVERAGE(D7:D18)</f>
        <v>96.791548571941533</v>
      </c>
      <c r="E6" s="27">
        <f>AVERAGE(E7:E18)</f>
        <v>81.856214093483658</v>
      </c>
      <c r="F6" s="80">
        <f>SUM(F7:F18)</f>
        <v>6864861</v>
      </c>
      <c r="G6" s="69">
        <f>AVERAGE(G7:G18)</f>
        <v>24277.166666666668</v>
      </c>
      <c r="H6" s="26">
        <f>AVERAGE(H7:H18)</f>
        <v>23348.416666666668</v>
      </c>
      <c r="I6" s="27">
        <f>AVERAGE(I7:I18)</f>
        <v>96.178936860248868</v>
      </c>
      <c r="J6" s="27">
        <f>AVERAGE(J7:J18)</f>
        <v>76.220607180907422</v>
      </c>
      <c r="K6" s="75">
        <f>SUM(K7:K18)</f>
        <v>6489783.3599999994</v>
      </c>
      <c r="L6" s="69">
        <f>AVERAGE(L7:L18)</f>
        <v>25685.333333333332</v>
      </c>
      <c r="M6" s="26">
        <f>AVERAGE(M7:M18)</f>
        <v>24567.666666666668</v>
      </c>
      <c r="N6" s="27">
        <f>AVERAGE(N7:N18)</f>
        <v>95.634598373056804</v>
      </c>
      <c r="O6" s="27">
        <f>AVERAGE(O7:O18)</f>
        <v>73.996436740211678</v>
      </c>
      <c r="P6" s="75">
        <f>SUM(P7:P18)</f>
        <v>6645765</v>
      </c>
      <c r="Q6" s="69">
        <f>AVERAGE(Q7:Q18)</f>
        <v>28447.333333333332</v>
      </c>
      <c r="R6" s="26">
        <f>AVERAGE(R7:R18)</f>
        <v>27685.916666666668</v>
      </c>
      <c r="S6" s="27">
        <f>AVERAGE(S7:S18)</f>
        <v>97.318320171036859</v>
      </c>
      <c r="T6" s="27">
        <f>AVERAGE(T7:T18)</f>
        <v>72.738665701182953</v>
      </c>
      <c r="U6" s="75">
        <f>SUM(U7:U18)</f>
        <v>7343577.0649094805</v>
      </c>
      <c r="V6" s="71"/>
      <c r="W6" s="13"/>
      <c r="X6" s="13"/>
      <c r="Y6" s="13"/>
      <c r="Z6" s="13"/>
      <c r="AA6" s="13"/>
    </row>
    <row r="7" spans="1:27" s="23" customFormat="1" ht="16.5" customHeight="1">
      <c r="A7" s="28" t="s">
        <v>16</v>
      </c>
      <c r="B7" s="32">
        <v>23487</v>
      </c>
      <c r="C7" s="29">
        <v>22987</v>
      </c>
      <c r="D7" s="30">
        <f>C7/B7*100</f>
        <v>97.871162770894543</v>
      </c>
      <c r="E7" s="30">
        <v>90.256765043916815</v>
      </c>
      <c r="F7" s="78">
        <v>643167</v>
      </c>
      <c r="G7" s="32">
        <v>24047</v>
      </c>
      <c r="H7" s="29">
        <v>23447</v>
      </c>
      <c r="I7" s="30">
        <f t="shared" ref="I7:I18" si="0">H7/G7*100</f>
        <v>97.504886264398877</v>
      </c>
      <c r="J7" s="30">
        <v>80.148089651747185</v>
      </c>
      <c r="K7" s="76">
        <v>582562</v>
      </c>
      <c r="L7" s="32">
        <v>25047</v>
      </c>
      <c r="M7" s="29">
        <v>23986</v>
      </c>
      <c r="N7" s="30">
        <f>M7/L7*100</f>
        <v>95.763963748153472</v>
      </c>
      <c r="O7" s="30">
        <v>75.397879946097589</v>
      </c>
      <c r="P7" s="76">
        <v>560633</v>
      </c>
      <c r="Q7" s="32">
        <v>27083</v>
      </c>
      <c r="R7" s="29">
        <v>26302</v>
      </c>
      <c r="S7" s="30">
        <f>R7/Q7*100</f>
        <v>97.116272200273229</v>
      </c>
      <c r="T7" s="30">
        <v>83.731194350629409</v>
      </c>
      <c r="U7" s="76">
        <v>682712.34088117897</v>
      </c>
      <c r="V7" s="73"/>
      <c r="W7" s="13"/>
      <c r="X7" s="13"/>
      <c r="Y7" s="13"/>
      <c r="Z7" s="13"/>
      <c r="AA7" s="13"/>
    </row>
    <row r="8" spans="1:27" s="23" customFormat="1" ht="16.5" customHeight="1">
      <c r="A8" s="28" t="s">
        <v>17</v>
      </c>
      <c r="B8" s="32">
        <v>23487</v>
      </c>
      <c r="C8" s="29">
        <v>22987</v>
      </c>
      <c r="D8" s="30">
        <f t="shared" ref="D8:D18" si="1">C8/B8*100</f>
        <v>97.871162770894543</v>
      </c>
      <c r="E8" s="30">
        <v>98.009900005593224</v>
      </c>
      <c r="F8" s="78">
        <v>630827</v>
      </c>
      <c r="G8" s="32">
        <v>24107</v>
      </c>
      <c r="H8" s="29">
        <v>23507</v>
      </c>
      <c r="I8" s="30">
        <f t="shared" si="0"/>
        <v>97.511096362052513</v>
      </c>
      <c r="J8" s="30">
        <v>95.221788038821259</v>
      </c>
      <c r="K8" s="76">
        <v>626746</v>
      </c>
      <c r="L8" s="32">
        <v>25079</v>
      </c>
      <c r="M8" s="29">
        <v>24076</v>
      </c>
      <c r="N8" s="30">
        <f t="shared" ref="N8:N18" si="2">M8/L8*100</f>
        <v>96.000637983970648</v>
      </c>
      <c r="O8" s="30">
        <v>91.06579165974415</v>
      </c>
      <c r="P8" s="76">
        <v>635825</v>
      </c>
      <c r="Q8" s="32">
        <v>27497</v>
      </c>
      <c r="R8" s="29">
        <v>26726</v>
      </c>
      <c r="S8" s="30">
        <f t="shared" ref="S8:S18" si="3">R8/Q8*100</f>
        <v>97.196057751754736</v>
      </c>
      <c r="T8" s="30">
        <v>86.16289755688598</v>
      </c>
      <c r="U8" s="76">
        <v>644781.08802949369</v>
      </c>
      <c r="V8" s="73"/>
      <c r="W8" s="13"/>
      <c r="X8" s="13"/>
      <c r="Y8" s="13"/>
      <c r="Z8" s="13"/>
      <c r="AA8" s="13"/>
    </row>
    <row r="9" spans="1:27" s="23" customFormat="1" ht="16.5" customHeight="1">
      <c r="A9" s="28" t="s">
        <v>18</v>
      </c>
      <c r="B9" s="32">
        <v>23715</v>
      </c>
      <c r="C9" s="29">
        <v>23023</v>
      </c>
      <c r="D9" s="30">
        <f t="shared" si="1"/>
        <v>97.082015601939702</v>
      </c>
      <c r="E9" s="30">
        <v>87.894013419960132</v>
      </c>
      <c r="F9" s="78">
        <v>627311</v>
      </c>
      <c r="G9" s="32">
        <v>24123</v>
      </c>
      <c r="H9" s="29">
        <v>23527</v>
      </c>
      <c r="I9" s="30">
        <f t="shared" si="0"/>
        <v>97.529328856278241</v>
      </c>
      <c r="J9" s="30">
        <v>82.75241760667565</v>
      </c>
      <c r="K9" s="76">
        <v>603544</v>
      </c>
      <c r="L9" s="32">
        <v>25079</v>
      </c>
      <c r="M9" s="29">
        <v>24086</v>
      </c>
      <c r="N9" s="30">
        <f t="shared" si="2"/>
        <v>96.040511982136451</v>
      </c>
      <c r="O9" s="30">
        <v>84.819852517725465</v>
      </c>
      <c r="P9" s="76">
        <v>633321</v>
      </c>
      <c r="Q9" s="32">
        <v>27973</v>
      </c>
      <c r="R9" s="29">
        <v>27202</v>
      </c>
      <c r="S9" s="30">
        <f t="shared" si="3"/>
        <v>97.243770778965427</v>
      </c>
      <c r="T9" s="30">
        <v>73.328085017627217</v>
      </c>
      <c r="U9" s="76">
        <v>618347.87628134363</v>
      </c>
      <c r="V9" s="73"/>
      <c r="W9" s="13"/>
      <c r="X9" s="13"/>
      <c r="Y9" s="13"/>
      <c r="Z9" s="13"/>
      <c r="AA9" s="13"/>
    </row>
    <row r="10" spans="1:27" s="23" customFormat="1" ht="16.5" customHeight="1">
      <c r="A10" s="28" t="s">
        <v>19</v>
      </c>
      <c r="B10" s="32">
        <v>23715</v>
      </c>
      <c r="C10" s="29">
        <v>23243</v>
      </c>
      <c r="D10" s="30">
        <f t="shared" si="1"/>
        <v>98.009698503057137</v>
      </c>
      <c r="E10" s="30">
        <v>87.08069813133703</v>
      </c>
      <c r="F10" s="78">
        <v>607205</v>
      </c>
      <c r="G10" s="32">
        <v>24123</v>
      </c>
      <c r="H10" s="29">
        <v>23415</v>
      </c>
      <c r="I10" s="30">
        <f t="shared" si="0"/>
        <v>97.065041661484884</v>
      </c>
      <c r="J10" s="30">
        <v>79.978361449213466</v>
      </c>
      <c r="K10" s="76">
        <v>561808</v>
      </c>
      <c r="L10" s="32">
        <v>25153</v>
      </c>
      <c r="M10" s="29">
        <v>24182</v>
      </c>
      <c r="N10" s="30">
        <f t="shared" si="2"/>
        <v>96.139625491989023</v>
      </c>
      <c r="O10" s="30">
        <v>76.86709122487801</v>
      </c>
      <c r="P10" s="76">
        <v>557640</v>
      </c>
      <c r="Q10" s="32">
        <v>28291</v>
      </c>
      <c r="R10" s="29">
        <v>27202</v>
      </c>
      <c r="S10" s="30">
        <f t="shared" si="3"/>
        <v>96.150719310027924</v>
      </c>
      <c r="T10" s="30">
        <v>77.118214294636388</v>
      </c>
      <c r="U10" s="76">
        <v>629330.89957280969</v>
      </c>
      <c r="V10" s="73"/>
      <c r="W10" s="13"/>
      <c r="X10" s="13"/>
      <c r="Y10" s="13"/>
      <c r="Z10" s="13"/>
      <c r="AA10" s="13"/>
    </row>
    <row r="11" spans="1:27" s="23" customFormat="1" ht="16.5" customHeight="1">
      <c r="A11" s="28" t="s">
        <v>4</v>
      </c>
      <c r="B11" s="32">
        <v>23715</v>
      </c>
      <c r="C11" s="29">
        <v>22905</v>
      </c>
      <c r="D11" s="30">
        <f t="shared" si="1"/>
        <v>96.584440227703979</v>
      </c>
      <c r="E11" s="30">
        <v>75.539218792910418</v>
      </c>
      <c r="F11" s="78">
        <v>536370</v>
      </c>
      <c r="G11" s="32">
        <v>24123</v>
      </c>
      <c r="H11" s="29">
        <v>23321</v>
      </c>
      <c r="I11" s="30">
        <f t="shared" si="0"/>
        <v>96.675372051569042</v>
      </c>
      <c r="J11" s="30">
        <v>72.083723516531549</v>
      </c>
      <c r="K11" s="76">
        <v>521130</v>
      </c>
      <c r="L11" s="32">
        <v>25425</v>
      </c>
      <c r="M11" s="29">
        <v>24182</v>
      </c>
      <c r="N11" s="30">
        <f t="shared" si="2"/>
        <v>95.111111111111114</v>
      </c>
      <c r="O11" s="30">
        <v>67.042401573017528</v>
      </c>
      <c r="P11" s="76">
        <v>502578</v>
      </c>
      <c r="Q11" s="32">
        <v>28549</v>
      </c>
      <c r="R11" s="29">
        <v>27472</v>
      </c>
      <c r="S11" s="30">
        <f t="shared" si="3"/>
        <v>96.227538617814986</v>
      </c>
      <c r="T11" s="30">
        <v>61.332135429745883</v>
      </c>
      <c r="U11" s="76">
        <v>522324.09160305344</v>
      </c>
      <c r="V11" s="73"/>
      <c r="W11" s="13"/>
      <c r="X11" s="13"/>
      <c r="Y11" s="13"/>
      <c r="Z11" s="13"/>
      <c r="AA11" s="13"/>
    </row>
    <row r="12" spans="1:27" s="23" customFormat="1" ht="16.5" customHeight="1">
      <c r="A12" s="28" t="s">
        <v>20</v>
      </c>
      <c r="B12" s="32">
        <v>23801</v>
      </c>
      <c r="C12" s="29">
        <v>22589</v>
      </c>
      <c r="D12" s="30">
        <f t="shared" si="1"/>
        <v>94.907776984160336</v>
      </c>
      <c r="E12" s="30">
        <v>65.391857393716705</v>
      </c>
      <c r="F12" s="78">
        <v>443141</v>
      </c>
      <c r="G12" s="32">
        <v>24233</v>
      </c>
      <c r="H12" s="29">
        <v>23090</v>
      </c>
      <c r="I12" s="30">
        <f t="shared" si="0"/>
        <v>95.283291379523789</v>
      </c>
      <c r="J12" s="30">
        <v>59.618016457340836</v>
      </c>
      <c r="K12" s="76">
        <v>412974</v>
      </c>
      <c r="L12" s="32">
        <v>25425</v>
      </c>
      <c r="M12" s="29">
        <v>24060</v>
      </c>
      <c r="N12" s="30">
        <f t="shared" si="2"/>
        <v>94.631268436578182</v>
      </c>
      <c r="O12" s="30">
        <v>54.676087558880582</v>
      </c>
      <c r="P12" s="76">
        <v>394652</v>
      </c>
      <c r="Q12" s="32">
        <v>28549</v>
      </c>
      <c r="R12" s="29">
        <v>27722</v>
      </c>
      <c r="S12" s="30">
        <f t="shared" si="3"/>
        <v>97.103226032435458</v>
      </c>
      <c r="T12" s="30">
        <v>51.167891593936609</v>
      </c>
      <c r="U12" s="76">
        <v>425542.88723013323</v>
      </c>
      <c r="V12" s="73"/>
      <c r="W12" s="13"/>
      <c r="X12" s="13"/>
      <c r="Y12" s="13"/>
      <c r="Z12" s="13"/>
      <c r="AA12" s="13"/>
    </row>
    <row r="13" spans="1:27" s="23" customFormat="1" ht="16.5" customHeight="1">
      <c r="A13" s="28" t="s">
        <v>21</v>
      </c>
      <c r="B13" s="32">
        <v>23801</v>
      </c>
      <c r="C13" s="29">
        <v>23117</v>
      </c>
      <c r="D13" s="30">
        <f t="shared" si="1"/>
        <v>97.126171169278592</v>
      </c>
      <c r="E13" s="30">
        <v>75.655536283171031</v>
      </c>
      <c r="F13" s="78">
        <v>542168</v>
      </c>
      <c r="G13" s="32">
        <v>24233</v>
      </c>
      <c r="H13" s="29">
        <v>23162</v>
      </c>
      <c r="I13" s="30">
        <f t="shared" si="0"/>
        <v>95.58040688317584</v>
      </c>
      <c r="J13" s="30">
        <v>73.059232168373669</v>
      </c>
      <c r="K13" s="76">
        <v>524581.36</v>
      </c>
      <c r="L13" s="32">
        <v>25783</v>
      </c>
      <c r="M13" s="29">
        <v>24244</v>
      </c>
      <c r="N13" s="30">
        <f t="shared" si="2"/>
        <v>94.030950626381724</v>
      </c>
      <c r="O13" s="30">
        <v>73.919719411786616</v>
      </c>
      <c r="P13" s="76">
        <v>555554</v>
      </c>
      <c r="Q13" s="32">
        <v>28549</v>
      </c>
      <c r="R13" s="29">
        <v>27842</v>
      </c>
      <c r="S13" s="30">
        <f t="shared" si="3"/>
        <v>97.523555991453293</v>
      </c>
      <c r="T13" s="30">
        <v>68.194649424883451</v>
      </c>
      <c r="U13" s="76">
        <v>588589.38307915756</v>
      </c>
      <c r="V13" s="73"/>
      <c r="W13" s="13"/>
      <c r="X13" s="13"/>
      <c r="Y13" s="13"/>
      <c r="Z13" s="13"/>
      <c r="AA13" s="13"/>
    </row>
    <row r="14" spans="1:27" s="23" customFormat="1" ht="16.5" customHeight="1">
      <c r="A14" s="28" t="s">
        <v>22</v>
      </c>
      <c r="B14" s="32">
        <v>23781</v>
      </c>
      <c r="C14" s="29">
        <v>23027</v>
      </c>
      <c r="D14" s="30">
        <f t="shared" si="1"/>
        <v>96.829401623144534</v>
      </c>
      <c r="E14" s="30">
        <v>83.523409405788712</v>
      </c>
      <c r="F14" s="78">
        <v>596221</v>
      </c>
      <c r="G14" s="32">
        <v>24233</v>
      </c>
      <c r="H14" s="29">
        <v>23110</v>
      </c>
      <c r="I14" s="30">
        <f t="shared" si="0"/>
        <v>95.365823463871578</v>
      </c>
      <c r="J14" s="30">
        <v>79.296352647227138</v>
      </c>
      <c r="K14" s="76">
        <v>568087</v>
      </c>
      <c r="L14" s="32">
        <v>25811</v>
      </c>
      <c r="M14" s="29">
        <v>24408</v>
      </c>
      <c r="N14" s="30">
        <f t="shared" si="2"/>
        <v>94.564333036302344</v>
      </c>
      <c r="O14" s="30">
        <v>77.69094744187521</v>
      </c>
      <c r="P14" s="76">
        <v>587847</v>
      </c>
      <c r="Q14" s="32">
        <v>28629</v>
      </c>
      <c r="R14" s="29">
        <v>27978</v>
      </c>
      <c r="S14" s="30">
        <f t="shared" si="3"/>
        <v>97.726081944881059</v>
      </c>
      <c r="T14" s="30">
        <v>73.756760528139182</v>
      </c>
      <c r="U14" s="76">
        <v>639705.66027744627</v>
      </c>
      <c r="V14" s="73"/>
      <c r="W14" s="13"/>
      <c r="X14" s="13"/>
      <c r="Y14" s="13"/>
      <c r="Z14" s="13"/>
      <c r="AA14" s="13"/>
    </row>
    <row r="15" spans="1:27" s="23" customFormat="1" ht="16.5" customHeight="1">
      <c r="A15" s="28" t="s">
        <v>23</v>
      </c>
      <c r="B15" s="32">
        <v>23821</v>
      </c>
      <c r="C15" s="29">
        <v>23027</v>
      </c>
      <c r="D15" s="30">
        <f t="shared" si="1"/>
        <v>96.666806599219186</v>
      </c>
      <c r="E15" s="30">
        <v>74.063490684848219</v>
      </c>
      <c r="F15" s="78">
        <v>511638</v>
      </c>
      <c r="G15" s="32">
        <v>24233</v>
      </c>
      <c r="H15" s="29">
        <v>23162</v>
      </c>
      <c r="I15" s="30">
        <f t="shared" si="0"/>
        <v>95.58040688317584</v>
      </c>
      <c r="J15" s="30">
        <v>70.561264139538892</v>
      </c>
      <c r="K15" s="76">
        <v>490302</v>
      </c>
      <c r="L15" s="32">
        <v>25891</v>
      </c>
      <c r="M15" s="29">
        <v>24436</v>
      </c>
      <c r="N15" s="30">
        <f t="shared" si="2"/>
        <v>94.380286586072387</v>
      </c>
      <c r="O15" s="30">
        <v>68.733971735690503</v>
      </c>
      <c r="P15" s="76">
        <v>503875</v>
      </c>
      <c r="Q15" s="32">
        <v>28629</v>
      </c>
      <c r="R15" s="29">
        <v>28045</v>
      </c>
      <c r="S15" s="30">
        <f t="shared" si="3"/>
        <v>97.96011037758916</v>
      </c>
      <c r="T15" s="30">
        <v>62.450661942024709</v>
      </c>
      <c r="U15" s="76">
        <v>525428.64424922492</v>
      </c>
      <c r="V15" s="73"/>
      <c r="W15" s="13"/>
      <c r="X15" s="13"/>
      <c r="Y15" s="13"/>
      <c r="Z15" s="13"/>
      <c r="AA15" s="13"/>
    </row>
    <row r="16" spans="1:27" s="23" customFormat="1" ht="16.5" customHeight="1">
      <c r="A16" s="28" t="s">
        <v>24</v>
      </c>
      <c r="B16" s="32">
        <v>23817</v>
      </c>
      <c r="C16" s="29">
        <v>22951</v>
      </c>
      <c r="D16" s="30">
        <f t="shared" si="1"/>
        <v>96.363941722299202</v>
      </c>
      <c r="E16" s="30">
        <v>88.745307323737393</v>
      </c>
      <c r="F16" s="78">
        <v>631406</v>
      </c>
      <c r="G16" s="32">
        <v>24483</v>
      </c>
      <c r="H16" s="29">
        <v>22962</v>
      </c>
      <c r="I16" s="30">
        <f t="shared" si="0"/>
        <v>93.787526038475676</v>
      </c>
      <c r="J16" s="30">
        <v>79.945548184799009</v>
      </c>
      <c r="K16" s="76">
        <v>569070</v>
      </c>
      <c r="L16" s="32">
        <v>26089</v>
      </c>
      <c r="M16" s="29">
        <v>24516</v>
      </c>
      <c r="N16" s="30">
        <f t="shared" si="2"/>
        <v>93.970638966614288</v>
      </c>
      <c r="O16" s="30">
        <v>79.563181911483753</v>
      </c>
      <c r="P16" s="76">
        <v>604677</v>
      </c>
      <c r="Q16" s="32">
        <v>28647</v>
      </c>
      <c r="R16" s="29">
        <v>28155</v>
      </c>
      <c r="S16" s="30">
        <f t="shared" si="3"/>
        <v>98.282542674625617</v>
      </c>
      <c r="T16" s="30">
        <v>79.174362471815755</v>
      </c>
      <c r="U16" s="76">
        <v>691037.79437213147</v>
      </c>
      <c r="V16" s="73"/>
      <c r="W16" s="13"/>
      <c r="X16" s="13"/>
      <c r="Y16" s="13"/>
      <c r="Z16" s="13"/>
      <c r="AA16" s="13"/>
    </row>
    <row r="17" spans="1:32" s="23" customFormat="1" ht="16.5" customHeight="1">
      <c r="A17" s="33" t="s">
        <v>25</v>
      </c>
      <c r="B17" s="32">
        <v>23817</v>
      </c>
      <c r="C17" s="29">
        <v>22951</v>
      </c>
      <c r="D17" s="30">
        <f t="shared" si="1"/>
        <v>96.363941722299202</v>
      </c>
      <c r="E17" s="30">
        <v>75.058893584883734</v>
      </c>
      <c r="F17" s="78">
        <v>516803</v>
      </c>
      <c r="G17" s="32">
        <v>24511</v>
      </c>
      <c r="H17" s="29">
        <v>23542</v>
      </c>
      <c r="I17" s="30">
        <f t="shared" si="0"/>
        <v>96.046672922361381</v>
      </c>
      <c r="J17" s="30">
        <v>68.670461303202785</v>
      </c>
      <c r="K17" s="76">
        <v>484992</v>
      </c>
      <c r="L17" s="32">
        <v>26509</v>
      </c>
      <c r="M17" s="29">
        <v>26079</v>
      </c>
      <c r="N17" s="30">
        <f t="shared" si="2"/>
        <v>98.377909389264033</v>
      </c>
      <c r="O17" s="30">
        <v>69.515957922721981</v>
      </c>
      <c r="P17" s="76">
        <v>543872</v>
      </c>
      <c r="Q17" s="32">
        <v>28995</v>
      </c>
      <c r="R17" s="29">
        <v>28259</v>
      </c>
      <c r="S17" s="30">
        <f t="shared" si="3"/>
        <v>97.461631315744086</v>
      </c>
      <c r="T17" s="30">
        <v>75.801974513548259</v>
      </c>
      <c r="U17" s="76">
        <v>642626.3993335081</v>
      </c>
      <c r="V17" s="73"/>
      <c r="W17" s="13"/>
      <c r="X17" s="13"/>
      <c r="Y17" s="13"/>
      <c r="Z17" s="13"/>
      <c r="AA17" s="13"/>
    </row>
    <row r="18" spans="1:32" s="23" customFormat="1" ht="16.5" customHeight="1">
      <c r="A18" s="34" t="s">
        <v>26</v>
      </c>
      <c r="B18" s="37">
        <v>24031</v>
      </c>
      <c r="C18" s="35">
        <v>23027</v>
      </c>
      <c r="D18" s="36">
        <f t="shared" si="1"/>
        <v>95.822063168407482</v>
      </c>
      <c r="E18" s="36">
        <v>81.055479051940424</v>
      </c>
      <c r="F18" s="79">
        <v>578604</v>
      </c>
      <c r="G18" s="37">
        <v>24877</v>
      </c>
      <c r="H18" s="35">
        <v>23936</v>
      </c>
      <c r="I18" s="36">
        <f t="shared" si="0"/>
        <v>96.217389556618556</v>
      </c>
      <c r="J18" s="36">
        <v>73.31203100741763</v>
      </c>
      <c r="K18" s="77">
        <v>543987</v>
      </c>
      <c r="L18" s="37">
        <v>26933</v>
      </c>
      <c r="M18" s="35">
        <v>26557</v>
      </c>
      <c r="N18" s="36">
        <f t="shared" si="2"/>
        <v>98.603943118107892</v>
      </c>
      <c r="O18" s="36">
        <v>68.664357978638762</v>
      </c>
      <c r="P18" s="77">
        <v>565291</v>
      </c>
      <c r="Q18" s="37">
        <v>29977</v>
      </c>
      <c r="R18" s="35">
        <v>29326</v>
      </c>
      <c r="S18" s="36">
        <f t="shared" si="3"/>
        <v>97.828335056876938</v>
      </c>
      <c r="T18" s="36">
        <v>80.645161290322577</v>
      </c>
      <c r="U18" s="77">
        <v>733150</v>
      </c>
      <c r="V18" s="73"/>
      <c r="W18" s="13"/>
      <c r="X18" s="13"/>
      <c r="Y18" s="13"/>
      <c r="Z18" s="13"/>
      <c r="AA18" s="13"/>
    </row>
    <row r="19" spans="1:32" ht="19.5" customHeight="1">
      <c r="A19" s="22" t="s">
        <v>106</v>
      </c>
      <c r="B19" s="12"/>
      <c r="C19" s="12"/>
      <c r="D19" s="11"/>
      <c r="G19" s="12"/>
      <c r="H19" s="12"/>
      <c r="I19" s="11"/>
      <c r="L19" s="12"/>
      <c r="M19" s="12"/>
      <c r="N19" s="11"/>
      <c r="Q19" s="12"/>
      <c r="R19" s="12"/>
      <c r="S19" s="11"/>
      <c r="U19" s="7" t="s">
        <v>107</v>
      </c>
      <c r="V19" s="71"/>
      <c r="W19" s="13"/>
      <c r="X19" s="13"/>
      <c r="Y19" s="13"/>
      <c r="Z19" s="13"/>
      <c r="AA19" s="13"/>
      <c r="AE19" s="14" t="s">
        <v>12</v>
      </c>
      <c r="AF19" s="14" t="s">
        <v>13</v>
      </c>
    </row>
    <row r="20" spans="1:32" ht="18.75" customHeight="1">
      <c r="A20" s="8"/>
      <c r="B20" s="12"/>
      <c r="C20" s="12"/>
      <c r="G20" s="12"/>
      <c r="H20" s="12"/>
      <c r="L20" s="12"/>
      <c r="M20" s="12"/>
      <c r="Q20" s="12"/>
      <c r="R20" s="12"/>
      <c r="V20" s="71"/>
      <c r="W20" s="13"/>
      <c r="X20" s="13"/>
      <c r="Y20" s="13"/>
      <c r="Z20" s="13"/>
      <c r="AA20" s="13"/>
      <c r="AD20" s="15" t="s">
        <v>0</v>
      </c>
      <c r="AE20" s="32">
        <f>Q7</f>
        <v>27083</v>
      </c>
      <c r="AF20" s="32">
        <f>R7</f>
        <v>26302</v>
      </c>
    </row>
    <row r="21" spans="1:32" ht="18.75" customHeight="1">
      <c r="A21" s="8"/>
      <c r="B21" s="12"/>
      <c r="C21" s="12"/>
      <c r="G21" s="12"/>
      <c r="H21" s="12"/>
      <c r="L21" s="12"/>
      <c r="M21" s="12"/>
      <c r="Q21" s="12"/>
      <c r="R21" s="12"/>
      <c r="V21" s="71"/>
      <c r="W21" s="13"/>
      <c r="X21" s="13"/>
      <c r="Y21" s="13"/>
      <c r="Z21" s="13"/>
      <c r="AA21" s="13"/>
      <c r="AD21" s="15" t="s">
        <v>1</v>
      </c>
      <c r="AE21" s="32">
        <f t="shared" ref="AE21:AF21" si="4">Q8</f>
        <v>27497</v>
      </c>
      <c r="AF21" s="32">
        <f t="shared" si="4"/>
        <v>26726</v>
      </c>
    </row>
    <row r="22" spans="1:32" ht="18.75" customHeight="1">
      <c r="A22" s="8"/>
      <c r="B22" s="12"/>
      <c r="C22" s="12"/>
      <c r="G22" s="12"/>
      <c r="H22" s="12"/>
      <c r="L22" s="12"/>
      <c r="M22" s="12"/>
      <c r="Q22" s="12"/>
      <c r="R22" s="12"/>
      <c r="V22" s="71"/>
      <c r="W22" s="13"/>
      <c r="X22" s="13"/>
      <c r="Y22" s="13"/>
      <c r="Z22" s="13"/>
      <c r="AA22" s="13"/>
      <c r="AD22" s="15" t="s">
        <v>2</v>
      </c>
      <c r="AE22" s="32">
        <f t="shared" ref="AE22:AF22" si="5">Q9</f>
        <v>27973</v>
      </c>
      <c r="AF22" s="32">
        <f t="shared" si="5"/>
        <v>27202</v>
      </c>
    </row>
    <row r="23" spans="1:32" ht="18.75" customHeight="1">
      <c r="A23" s="8"/>
      <c r="B23" s="12"/>
      <c r="C23" s="12"/>
      <c r="G23" s="12"/>
      <c r="H23" s="12"/>
      <c r="L23" s="12"/>
      <c r="M23" s="12"/>
      <c r="Q23" s="12"/>
      <c r="R23" s="12"/>
      <c r="V23" s="71"/>
      <c r="W23" s="13"/>
      <c r="X23" s="13"/>
      <c r="Y23" s="13"/>
      <c r="Z23" s="13"/>
      <c r="AA23" s="13"/>
      <c r="AD23" s="15" t="s">
        <v>3</v>
      </c>
      <c r="AE23" s="32">
        <f t="shared" ref="AE23:AF23" si="6">Q10</f>
        <v>28291</v>
      </c>
      <c r="AF23" s="32">
        <f t="shared" si="6"/>
        <v>27202</v>
      </c>
    </row>
    <row r="24" spans="1:32" ht="18.75" customHeight="1">
      <c r="A24" s="8"/>
      <c r="B24" s="12"/>
      <c r="C24" s="12"/>
      <c r="G24" s="12"/>
      <c r="H24" s="12"/>
      <c r="L24" s="12"/>
      <c r="M24" s="12"/>
      <c r="Q24" s="12"/>
      <c r="R24" s="12"/>
      <c r="V24" s="71"/>
      <c r="W24" s="13"/>
      <c r="X24" s="13"/>
      <c r="Y24" s="13"/>
      <c r="Z24" s="13"/>
      <c r="AA24" s="13"/>
      <c r="AD24" s="15" t="s">
        <v>4</v>
      </c>
      <c r="AE24" s="32">
        <f t="shared" ref="AE24:AF24" si="7">Q11</f>
        <v>28549</v>
      </c>
      <c r="AF24" s="32">
        <f t="shared" si="7"/>
        <v>27472</v>
      </c>
    </row>
    <row r="25" spans="1:32" ht="18.75" customHeight="1">
      <c r="A25" s="8"/>
      <c r="B25" s="12"/>
      <c r="C25" s="12"/>
      <c r="G25" s="12"/>
      <c r="H25" s="12"/>
      <c r="L25" s="12"/>
      <c r="M25" s="12"/>
      <c r="Q25" s="12"/>
      <c r="R25" s="12"/>
      <c r="V25" s="72"/>
      <c r="W25" s="31"/>
      <c r="X25" s="31"/>
      <c r="Y25" s="31"/>
      <c r="Z25" s="31"/>
      <c r="AA25" s="31"/>
      <c r="AD25" s="15" t="s">
        <v>5</v>
      </c>
      <c r="AE25" s="32">
        <f t="shared" ref="AE25:AF25" si="8">Q12</f>
        <v>28549</v>
      </c>
      <c r="AF25" s="32">
        <f t="shared" si="8"/>
        <v>27722</v>
      </c>
    </row>
    <row r="26" spans="1:32" ht="18.75" customHeight="1">
      <c r="A26" s="8"/>
      <c r="B26" s="12"/>
      <c r="C26" s="12"/>
      <c r="G26" s="12"/>
      <c r="H26" s="12"/>
      <c r="L26" s="12"/>
      <c r="M26" s="12"/>
      <c r="Q26" s="12"/>
      <c r="R26" s="12"/>
      <c r="V26" s="71"/>
      <c r="W26" s="31"/>
      <c r="X26" s="31"/>
      <c r="Y26" s="31"/>
      <c r="Z26" s="31"/>
      <c r="AA26" s="31"/>
      <c r="AD26" s="15" t="s">
        <v>6</v>
      </c>
      <c r="AE26" s="32">
        <f t="shared" ref="AE26:AF26" si="9">Q13</f>
        <v>28549</v>
      </c>
      <c r="AF26" s="32">
        <f t="shared" si="9"/>
        <v>27842</v>
      </c>
    </row>
    <row r="27" spans="1:32" ht="18.75" customHeight="1">
      <c r="A27" s="8"/>
      <c r="B27" s="12"/>
      <c r="C27" s="12"/>
      <c r="G27" s="12"/>
      <c r="H27" s="12"/>
      <c r="L27" s="12"/>
      <c r="M27" s="12"/>
      <c r="Q27" s="12"/>
      <c r="R27" s="12"/>
      <c r="V27" s="71"/>
      <c r="W27" s="31"/>
      <c r="X27" s="31"/>
      <c r="Y27" s="31"/>
      <c r="Z27" s="31"/>
      <c r="AA27" s="31"/>
      <c r="AD27" s="15" t="s">
        <v>7</v>
      </c>
      <c r="AE27" s="32">
        <f t="shared" ref="AE27:AF27" si="10">Q14</f>
        <v>28629</v>
      </c>
      <c r="AF27" s="32">
        <f t="shared" si="10"/>
        <v>27978</v>
      </c>
    </row>
    <row r="28" spans="1:32" ht="18.75" customHeight="1">
      <c r="A28" s="8"/>
      <c r="B28" s="12"/>
      <c r="C28" s="12"/>
      <c r="G28" s="12"/>
      <c r="H28" s="12"/>
      <c r="L28" s="12"/>
      <c r="M28" s="12"/>
      <c r="Q28" s="12"/>
      <c r="R28" s="12"/>
      <c r="V28" s="71"/>
      <c r="W28" s="31"/>
      <c r="X28" s="31"/>
      <c r="Y28" s="31"/>
      <c r="Z28" s="31"/>
      <c r="AA28" s="31"/>
      <c r="AD28" s="15" t="s">
        <v>27</v>
      </c>
      <c r="AE28" s="32">
        <f t="shared" ref="AE28:AF28" si="11">Q15</f>
        <v>28629</v>
      </c>
      <c r="AF28" s="32">
        <f t="shared" si="11"/>
        <v>28045</v>
      </c>
    </row>
    <row r="29" spans="1:32" ht="18.75" customHeight="1">
      <c r="A29" s="8"/>
      <c r="B29" s="12"/>
      <c r="C29" s="12"/>
      <c r="D29" s="10"/>
      <c r="G29" s="12"/>
      <c r="H29" s="12"/>
      <c r="I29" s="10"/>
      <c r="L29" s="12"/>
      <c r="M29" s="12"/>
      <c r="N29" s="10"/>
      <c r="Q29" s="12"/>
      <c r="R29" s="12"/>
      <c r="S29" s="10"/>
      <c r="V29" s="71"/>
      <c r="W29" s="31"/>
      <c r="X29" s="31"/>
      <c r="Y29" s="31"/>
      <c r="Z29" s="31"/>
      <c r="AA29" s="31"/>
      <c r="AD29" s="15" t="s">
        <v>8</v>
      </c>
      <c r="AE29" s="32">
        <f t="shared" ref="AE29:AF29" si="12">Q16</f>
        <v>28647</v>
      </c>
      <c r="AF29" s="32">
        <f t="shared" si="12"/>
        <v>28155</v>
      </c>
    </row>
    <row r="30" spans="1:32" ht="18.75" customHeight="1">
      <c r="A30" s="8"/>
      <c r="B30" s="16"/>
      <c r="C30" s="16"/>
      <c r="D30" s="17"/>
      <c r="G30" s="16"/>
      <c r="H30" s="16"/>
      <c r="I30" s="17"/>
      <c r="L30" s="16"/>
      <c r="M30" s="16"/>
      <c r="N30" s="17"/>
      <c r="Q30" s="16"/>
      <c r="R30" s="16"/>
      <c r="S30" s="17"/>
      <c r="V30" s="71"/>
      <c r="W30" s="31"/>
      <c r="X30" s="31"/>
      <c r="Y30" s="31"/>
      <c r="Z30" s="31"/>
      <c r="AA30" s="31"/>
      <c r="AD30" s="15" t="s">
        <v>9</v>
      </c>
      <c r="AE30" s="32">
        <f t="shared" ref="AE30:AF30" si="13">Q17</f>
        <v>28995</v>
      </c>
      <c r="AF30" s="32">
        <f t="shared" si="13"/>
        <v>28259</v>
      </c>
    </row>
    <row r="31" spans="1:32" ht="9.75" customHeight="1">
      <c r="A31" s="8"/>
      <c r="B31" s="18"/>
      <c r="C31" s="18"/>
      <c r="D31" s="18"/>
      <c r="E31" s="19"/>
      <c r="G31" s="18"/>
      <c r="H31" s="18"/>
      <c r="I31" s="18"/>
      <c r="J31" s="19"/>
      <c r="L31" s="18"/>
      <c r="M31" s="18"/>
      <c r="N31" s="18"/>
      <c r="O31" s="19"/>
      <c r="Q31" s="18"/>
      <c r="R31" s="18"/>
      <c r="S31" s="18"/>
      <c r="T31" s="19"/>
      <c r="V31" s="71"/>
      <c r="W31" s="31"/>
      <c r="X31" s="31"/>
      <c r="Y31" s="31"/>
      <c r="Z31" s="31"/>
      <c r="AA31" s="31"/>
      <c r="AD31" s="15" t="s">
        <v>10</v>
      </c>
      <c r="AE31" s="32">
        <f t="shared" ref="AE31:AF31" si="14">Q18</f>
        <v>29977</v>
      </c>
      <c r="AF31" s="32">
        <f t="shared" si="14"/>
        <v>29326</v>
      </c>
    </row>
    <row r="32" spans="1:32" ht="18.75" customHeight="1">
      <c r="A32" s="8"/>
      <c r="B32" s="20"/>
      <c r="C32" s="20"/>
      <c r="D32" s="20"/>
      <c r="E32" s="19"/>
      <c r="G32" s="20"/>
      <c r="H32" s="20"/>
      <c r="I32" s="20"/>
      <c r="J32" s="19"/>
      <c r="L32" s="20"/>
      <c r="M32" s="20"/>
      <c r="N32" s="20"/>
      <c r="O32" s="19"/>
      <c r="Q32" s="20"/>
      <c r="R32" s="20"/>
      <c r="S32" s="20"/>
      <c r="T32" s="19"/>
      <c r="V32" s="71"/>
      <c r="W32" s="31"/>
      <c r="X32" s="31"/>
      <c r="Y32" s="31"/>
      <c r="Z32" s="31"/>
      <c r="AA32" s="31"/>
    </row>
    <row r="33" spans="1:27" ht="18.75" customHeight="1">
      <c r="A33" s="8"/>
      <c r="B33" s="20"/>
      <c r="C33" s="20"/>
      <c r="D33" s="20"/>
      <c r="E33" s="19"/>
      <c r="F33" s="19"/>
      <c r="G33" s="20"/>
      <c r="H33" s="20"/>
      <c r="I33" s="20"/>
      <c r="J33" s="19"/>
      <c r="K33" s="19"/>
      <c r="L33" s="20"/>
      <c r="M33" s="20"/>
      <c r="N33" s="20"/>
      <c r="O33" s="19"/>
      <c r="P33" s="19"/>
      <c r="Q33" s="20"/>
      <c r="R33" s="20"/>
      <c r="S33" s="20"/>
      <c r="T33" s="19"/>
      <c r="U33" s="19"/>
      <c r="V33" s="71"/>
      <c r="W33" s="31"/>
      <c r="X33" s="31"/>
      <c r="Y33" s="31"/>
      <c r="Z33" s="31"/>
      <c r="AA33" s="31"/>
    </row>
    <row r="34" spans="1:27" ht="12.75">
      <c r="B34" s="20"/>
      <c r="C34" s="20"/>
      <c r="D34" s="20"/>
      <c r="E34" s="19"/>
      <c r="F34" s="70"/>
      <c r="G34" s="20"/>
      <c r="H34" s="20"/>
      <c r="I34" s="20"/>
      <c r="J34" s="19"/>
      <c r="K34" s="70"/>
      <c r="L34" s="20"/>
      <c r="M34" s="20"/>
      <c r="N34" s="20"/>
      <c r="O34" s="19"/>
      <c r="P34" s="70"/>
      <c r="Q34" s="20"/>
      <c r="R34" s="20"/>
      <c r="S34" s="20"/>
      <c r="T34" s="19"/>
      <c r="U34" s="70"/>
      <c r="V34" s="71"/>
      <c r="W34" s="31"/>
      <c r="X34" s="31"/>
      <c r="Y34" s="31"/>
      <c r="Z34" s="31"/>
      <c r="AA34" s="31"/>
    </row>
    <row r="35" spans="1:27" ht="12.75">
      <c r="B35" s="20"/>
      <c r="C35" s="20"/>
      <c r="D35" s="20"/>
      <c r="E35" s="15"/>
      <c r="F35" s="19"/>
      <c r="G35" s="20"/>
      <c r="H35" s="20"/>
      <c r="I35" s="20"/>
      <c r="J35" s="15"/>
      <c r="K35" s="19"/>
      <c r="L35" s="20"/>
      <c r="M35" s="20"/>
      <c r="N35" s="20"/>
      <c r="O35" s="15"/>
      <c r="P35" s="19"/>
      <c r="Q35" s="20"/>
      <c r="R35" s="20"/>
      <c r="S35" s="20"/>
      <c r="T35" s="15"/>
      <c r="U35" s="19"/>
      <c r="V35" s="71"/>
      <c r="W35" s="31"/>
      <c r="X35" s="31"/>
      <c r="Y35" s="31"/>
      <c r="Z35" s="31"/>
      <c r="AA35" s="31"/>
    </row>
    <row r="36" spans="1:27" ht="12.75">
      <c r="B36" s="20"/>
      <c r="C36" s="20"/>
      <c r="D36" s="20"/>
      <c r="E36" s="15"/>
      <c r="G36" s="20"/>
      <c r="H36" s="20"/>
      <c r="I36" s="20"/>
      <c r="J36" s="15"/>
      <c r="L36" s="20"/>
      <c r="M36" s="20"/>
      <c r="N36" s="20"/>
      <c r="O36" s="15"/>
      <c r="Q36" s="20"/>
      <c r="R36" s="20"/>
      <c r="S36" s="20"/>
      <c r="T36" s="15"/>
      <c r="V36" s="71"/>
      <c r="W36" s="31"/>
      <c r="X36" s="31"/>
      <c r="Y36" s="31"/>
      <c r="Z36" s="31"/>
      <c r="AA36" s="31"/>
    </row>
    <row r="37" spans="1:27">
      <c r="B37" s="20"/>
      <c r="C37" s="20"/>
      <c r="D37" s="20"/>
      <c r="E37" s="15"/>
      <c r="G37" s="20"/>
      <c r="H37" s="20"/>
      <c r="I37" s="20"/>
      <c r="J37" s="15"/>
      <c r="L37" s="20"/>
      <c r="M37" s="20"/>
      <c r="N37" s="20"/>
      <c r="O37" s="15"/>
      <c r="Q37" s="20"/>
      <c r="R37" s="20"/>
      <c r="S37" s="20"/>
      <c r="T37" s="15"/>
    </row>
    <row r="38" spans="1:27">
      <c r="B38" s="20"/>
      <c r="C38" s="20"/>
      <c r="D38" s="20"/>
      <c r="E38" s="15"/>
      <c r="G38" s="20"/>
      <c r="H38" s="20"/>
      <c r="I38" s="20"/>
      <c r="J38" s="15"/>
      <c r="L38" s="20"/>
      <c r="M38" s="20"/>
      <c r="N38" s="20"/>
      <c r="O38" s="15"/>
      <c r="Q38" s="20"/>
      <c r="R38" s="20"/>
      <c r="S38" s="20"/>
      <c r="T38" s="15"/>
    </row>
    <row r="39" spans="1:27">
      <c r="B39" s="20"/>
      <c r="C39" s="20"/>
      <c r="D39" s="20"/>
      <c r="E39" s="15"/>
      <c r="G39" s="20"/>
      <c r="H39" s="20"/>
      <c r="I39" s="20"/>
      <c r="J39" s="15"/>
      <c r="L39" s="20"/>
      <c r="M39" s="20"/>
      <c r="N39" s="20"/>
      <c r="O39" s="15"/>
      <c r="Q39" s="20"/>
      <c r="R39" s="20"/>
      <c r="S39" s="20"/>
      <c r="T39" s="15"/>
    </row>
    <row r="40" spans="1:27">
      <c r="B40" s="20"/>
      <c r="C40" s="20"/>
      <c r="D40" s="20"/>
      <c r="E40" s="15"/>
      <c r="G40" s="20"/>
      <c r="H40" s="20"/>
      <c r="I40" s="20"/>
      <c r="J40" s="15"/>
      <c r="L40" s="20"/>
      <c r="M40" s="20"/>
      <c r="N40" s="20"/>
      <c r="O40" s="15"/>
      <c r="Q40" s="20"/>
      <c r="R40" s="20"/>
      <c r="S40" s="20"/>
      <c r="T40" s="15"/>
    </row>
    <row r="41" spans="1:27">
      <c r="B41" s="20"/>
      <c r="C41" s="20"/>
      <c r="D41" s="20"/>
      <c r="E41" s="15"/>
      <c r="G41" s="20"/>
      <c r="H41" s="20"/>
      <c r="I41" s="20"/>
      <c r="J41" s="15"/>
      <c r="L41" s="20"/>
      <c r="M41" s="20"/>
      <c r="N41" s="20"/>
      <c r="O41" s="15"/>
      <c r="Q41" s="20"/>
      <c r="R41" s="20"/>
      <c r="S41" s="20"/>
      <c r="T41" s="15"/>
    </row>
    <row r="42" spans="1:27">
      <c r="B42" s="20"/>
      <c r="C42" s="20"/>
      <c r="D42" s="20"/>
      <c r="E42" s="15"/>
      <c r="G42" s="20"/>
      <c r="H42" s="20"/>
      <c r="I42" s="20"/>
      <c r="J42" s="15"/>
      <c r="L42" s="20"/>
      <c r="M42" s="20"/>
      <c r="N42" s="20"/>
      <c r="O42" s="15"/>
      <c r="Q42" s="20"/>
      <c r="R42" s="20"/>
      <c r="S42" s="20"/>
      <c r="T42" s="15"/>
    </row>
    <row r="43" spans="1:27">
      <c r="B43" s="20"/>
      <c r="C43" s="20"/>
      <c r="D43" s="20"/>
      <c r="E43" s="15"/>
      <c r="G43" s="20"/>
      <c r="H43" s="20"/>
      <c r="I43" s="20"/>
      <c r="J43" s="15"/>
      <c r="L43" s="20"/>
      <c r="M43" s="20"/>
      <c r="N43" s="20"/>
      <c r="O43" s="15"/>
      <c r="Q43" s="20"/>
      <c r="R43" s="20"/>
      <c r="S43" s="20"/>
      <c r="T43" s="15"/>
    </row>
    <row r="44" spans="1:27">
      <c r="B44" s="19"/>
      <c r="C44" s="19"/>
      <c r="D44" s="19"/>
      <c r="E44" s="15"/>
      <c r="G44" s="19"/>
      <c r="H44" s="19"/>
      <c r="I44" s="19"/>
      <c r="J44" s="15"/>
      <c r="L44" s="19"/>
      <c r="M44" s="19"/>
      <c r="N44" s="19"/>
      <c r="O44" s="15"/>
      <c r="Q44" s="19"/>
      <c r="R44" s="19"/>
      <c r="S44" s="19"/>
      <c r="T44" s="15"/>
    </row>
    <row r="45" spans="1:27">
      <c r="B45" s="19"/>
      <c r="C45" s="19"/>
      <c r="D45" s="19"/>
      <c r="E45" s="15"/>
      <c r="G45" s="19"/>
      <c r="H45" s="19"/>
      <c r="I45" s="19"/>
      <c r="J45" s="15"/>
      <c r="L45" s="19"/>
      <c r="M45" s="19"/>
      <c r="N45" s="19"/>
      <c r="O45" s="15"/>
      <c r="Q45" s="19"/>
      <c r="R45" s="19"/>
      <c r="S45" s="19"/>
      <c r="T45" s="15"/>
    </row>
    <row r="46" spans="1:27">
      <c r="E46" s="15"/>
      <c r="J46" s="15"/>
      <c r="O46" s="15"/>
      <c r="T46" s="15"/>
    </row>
  </sheetData>
  <mergeCells count="7">
    <mergeCell ref="A1:U1"/>
    <mergeCell ref="A2:U2"/>
    <mergeCell ref="A3:A5"/>
    <mergeCell ref="B3:F3"/>
    <mergeCell ref="G3:K3"/>
    <mergeCell ref="L3:P3"/>
    <mergeCell ref="Q3:U3"/>
  </mergeCells>
  <pageMargins left="0.7" right="0.7" top="0.75" bottom="0.75" header="0.3" footer="0.3"/>
  <pageSetup paperSize="9" scale="52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10.4</vt:lpstr>
      <vt:lpstr>'10.4'!Print_Area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2018-10-07T08:30:24Z</cp:lastPrinted>
  <dcterms:created xsi:type="dcterms:W3CDTF">2007-02-07T06:41:32Z</dcterms:created>
  <dcterms:modified xsi:type="dcterms:W3CDTF">2018-10-07T08:30:28Z</dcterms:modified>
</cp:coreProperties>
</file>