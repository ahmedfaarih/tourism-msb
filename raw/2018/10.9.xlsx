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9" sheetId="5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'10.9'!$A$1:$R$70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M13" i="5" l="1"/>
  <c r="M14" i="5"/>
  <c r="M15" i="5"/>
  <c r="M16" i="5"/>
  <c r="M17" i="5"/>
  <c r="M18" i="5"/>
  <c r="M19" i="5"/>
  <c r="M20" i="5"/>
  <c r="M11" i="5"/>
  <c r="M10" i="5"/>
  <c r="M8" i="5"/>
  <c r="M9" i="5"/>
  <c r="K20" i="5"/>
  <c r="K19" i="5"/>
  <c r="K10" i="5"/>
  <c r="K11" i="5"/>
  <c r="K12" i="5"/>
  <c r="K13" i="5"/>
  <c r="K14" i="5"/>
  <c r="K15" i="5"/>
  <c r="K16" i="5"/>
  <c r="K17" i="5"/>
  <c r="K18" i="5"/>
  <c r="K9" i="5"/>
  <c r="P9" i="5" l="1"/>
  <c r="N10" i="5"/>
  <c r="N9" i="5"/>
  <c r="K8" i="5"/>
  <c r="P20" i="5"/>
  <c r="N20" i="5"/>
  <c r="P19" i="5"/>
  <c r="N19" i="5"/>
  <c r="P18" i="5"/>
  <c r="N18" i="5"/>
  <c r="P17" i="5"/>
  <c r="N17" i="5"/>
  <c r="P16" i="5"/>
  <c r="N16" i="5"/>
  <c r="P15" i="5"/>
  <c r="N15" i="5"/>
  <c r="P14" i="5"/>
  <c r="N14" i="5"/>
  <c r="P13" i="5"/>
  <c r="N13" i="5"/>
  <c r="P12" i="5"/>
  <c r="N12" i="5"/>
  <c r="M12" i="5"/>
  <c r="P11" i="5"/>
  <c r="N11" i="5"/>
  <c r="P10" i="5"/>
  <c r="J8" i="5"/>
  <c r="I8" i="5"/>
  <c r="H8" i="5"/>
  <c r="G8" i="5"/>
  <c r="E8" i="5"/>
  <c r="D8" i="5"/>
  <c r="C8" i="5"/>
  <c r="B8" i="5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<sst xmlns="http://schemas.openxmlformats.org/spreadsheetml/2006/main" count="137" uniqueCount="121">
  <si>
    <t>Total</t>
  </si>
  <si>
    <t>May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</si>
  <si>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</si>
  <si>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</si>
  <si>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</si>
  <si>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</si>
  <si>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</si>
  <si>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</si>
  <si>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</si>
  <si>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</si>
  <si>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</si>
  <si>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</si>
  <si>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</si>
  <si>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</si>
  <si>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Tourist Arrivals </t>
  </si>
  <si>
    <t>2008</t>
  </si>
  <si>
    <t>udwdwA egcnirevurutwf</t>
  </si>
  <si>
    <t>wlcmuj</t>
  </si>
  <si>
    <t>cswm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</si>
  <si>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</si>
  <si>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</si>
  <si>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</si>
  <si>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</si>
  <si>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</si>
  <si>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</si>
  <si>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</si>
  <si>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</si>
  <si>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</si>
  <si>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</si>
  <si>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</si>
  <si>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</si>
  <si>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</si>
  <si>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</si>
  <si>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</si>
  <si>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</si>
  <si>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</si>
  <si>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</si>
  <si>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</si>
  <si>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</si>
  <si>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</si>
  <si>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</si>
  <si>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</si>
  <si>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</si>
  <si>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</si>
  <si>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</si>
  <si>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</si>
  <si>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</si>
  <si>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</si>
  <si>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</si>
  <si>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</si>
  <si>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</si>
  <si>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</si>
  <si>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</si>
  <si>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</si>
  <si>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</si>
  <si>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</si>
  <si>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</si>
  <si>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</si>
  <si>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</si>
  <si>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</si>
  <si>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</si>
  <si>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</si>
  <si>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</si>
  <si>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</si>
  <si>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</si>
  <si>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</si>
  <si>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</si>
  <si>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</si>
  <si>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</si>
  <si>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</si>
  <si>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</si>
  <si>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</si>
  <si>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</si>
  <si>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</si>
  <si>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</si>
  <si>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</si>
  <si>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</si>
  <si>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</si>
  <si>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</si>
  <si>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</si>
  <si>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</si>
  <si>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</si>
  <si>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</si>
  <si>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</si>
  <si>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</si>
  <si>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</si>
  <si>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</si>
  <si>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Tourist Bed-nights*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</si>
  <si>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</si>
  <si>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</si>
  <si>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</si>
  <si>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</si>
  <si>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</si>
  <si>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</si>
  <si>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</si>
  <si>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</si>
  <si>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</si>
  <si>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</si>
  <si>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</si>
  <si>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</si>
  <si>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% change from previous month</t>
  </si>
  <si>
    <t xml:space="preserve">ފަތުރުވެރިން ހޭދަކުރި ރޭގެ އަދަދު </t>
  </si>
  <si>
    <t xml:space="preserve">ފަތުރުވެރިންގެ އަދަދު </t>
  </si>
  <si>
    <t>ވޭތުވެދިޔަ މަހާއި އަޅާބަލާއިރު އިތުރުވި މިންވަރު</t>
  </si>
  <si>
    <t>ވޭތުވެދިޔަ އަހަރުގެ މިމަހާއި އަޅާބަލާއިރު އިތުރުވި މިންވަރު</t>
  </si>
  <si>
    <t>ނޯޓް: ފަތުރުވެރިން ހޭދަކުރި ރޭގެ އަދަދުގެ ތެރޭގައި ރިސޯޓް، ހޮޓާ، ސަފާރީ އަދި ގެސްޓްހައުސްތައްވެސް ހިމެނެއެވެ.</t>
  </si>
  <si>
    <t>_</t>
  </si>
  <si>
    <t>Source: Ministry of Tourism</t>
  </si>
  <si>
    <t>cmwzirUT cfoa  IrcTcsinim :ctWrwf ivcaed utWmUluAwm</t>
  </si>
  <si>
    <t xml:space="preserve">% change same month of previous year </t>
  </si>
  <si>
    <t>2016-2017</t>
  </si>
  <si>
    <r>
      <rPr>
        <i/>
        <sz val="11"/>
        <color theme="1"/>
        <rFont val="Calibri"/>
        <family val="2"/>
        <scheme val="minor"/>
      </rPr>
      <t xml:space="preserve">       * </t>
    </r>
    <r>
      <rPr>
        <i/>
        <sz val="9"/>
        <color theme="1"/>
        <rFont val="Calibri"/>
        <family val="2"/>
        <scheme val="minor"/>
      </rPr>
      <t>Includes estimates for missing data</t>
    </r>
  </si>
  <si>
    <r>
      <t>2014</t>
    </r>
    <r>
      <rPr>
        <b/>
        <vertAlign val="superscript"/>
        <sz val="10"/>
        <color theme="1"/>
        <rFont val="Calibri"/>
        <family val="2"/>
        <scheme val="minor"/>
      </rPr>
      <t>1 _/</t>
    </r>
  </si>
  <si>
    <r>
      <t>2015</t>
    </r>
    <r>
      <rPr>
        <b/>
        <vertAlign val="superscript"/>
        <sz val="10"/>
        <color theme="1"/>
        <rFont val="Calibri"/>
        <family val="2"/>
        <scheme val="minor"/>
      </rPr>
      <t>1 _/</t>
    </r>
  </si>
  <si>
    <r>
      <t>2016</t>
    </r>
    <r>
      <rPr>
        <b/>
        <vertAlign val="superscript"/>
        <sz val="10"/>
        <color theme="1"/>
        <rFont val="Calibri"/>
        <family val="2"/>
        <scheme val="minor"/>
      </rPr>
      <t>1 _/</t>
    </r>
  </si>
  <si>
    <t>2017 - 2014 , udwdwA egEr irukwdEh cnirevurutwf iaWrwviawa cnirevurutwf iawguhwmcswmikea : 10.9 ulwvWt</t>
  </si>
  <si>
    <t xml:space="preserve">Table 10.9: TOURIST ARRIVALS,AND TOURIST BED-NIGHTS BY MONTH,  2014 - 2017
</t>
  </si>
  <si>
    <t>* Tourist Bed night figures include resorts/hotels/safaris &amp; guesthouses</t>
  </si>
  <si>
    <t xml:space="preserve">   </t>
  </si>
  <si>
    <t>Note:   1_/ Revised</t>
  </si>
  <si>
    <t xml:space="preserve">ނޯޓް: 2015/_1 ޑޭޓާ އިސްލާޙްކުރެވިފައި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</si>
</sst>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_Utheem"/>
    </font>
    <font>
      <b/>
      <sz val="9"/>
      <color theme="1"/>
      <name val="A_Randhoo"/>
    </font>
    <font>
      <sz val="9"/>
      <color theme="1"/>
      <name val="A_Randhoo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0"/>
      <color theme="1"/>
      <name val="A_Randhoo"/>
    </font>
    <font>
      <sz val="9"/>
      <color theme="1"/>
      <name val="Faruma"/>
    </font>
    <font>
      <b/>
      <sz val="12"/>
      <color theme="1"/>
      <name val="A_Randhoo"/>
    </font>
    <font>
      <b/>
      <sz val="9.5"/>
      <color theme="1"/>
      <name val="Faruma"/>
    </font>
    <font>
      <b/>
      <vertAlign val="superscript"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1" fillId="0" borderId="1" applyNumberFormat="0"/>
    <xf numFmtId="0" fontId="2" fillId="0" borderId="0"/>
    <xf numFmtId="0" fontId="14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45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9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1" fillId="2" borderId="0" xfId="0" applyFont="1" applyFill="1"/>
    <xf numFmtId="167" fontId="21" fillId="2" borderId="0" xfId="0" applyNumberFormat="1" applyFont="1" applyFill="1"/>
    <xf numFmtId="0" fontId="2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0" fontId="30" fillId="2" borderId="0" xfId="0" applyFont="1" applyFill="1" applyAlignment="1" applyProtection="1">
      <alignment horizontal="left" vertical="center"/>
    </xf>
    <xf numFmtId="0" fontId="27" fillId="2" borderId="0" xfId="0" applyFont="1" applyFill="1"/>
    <xf numFmtId="3" fontId="20" fillId="2" borderId="0" xfId="0" applyNumberFormat="1" applyFont="1" applyFill="1" applyBorder="1" applyAlignment="1">
      <alignment horizontal="right" vertical="center"/>
    </xf>
    <xf numFmtId="3" fontId="20" fillId="2" borderId="2" xfId="0" applyNumberFormat="1" applyFont="1" applyFill="1" applyBorder="1" applyAlignment="1">
      <alignment horizontal="right" vertical="center"/>
    </xf>
    <xf numFmtId="49" fontId="16" fillId="3" borderId="20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14" xfId="2" applyNumberFormat="1" applyFont="1" applyFill="1" applyBorder="1" applyAlignment="1" applyProtection="1">
      <alignment horizontal="left" vertical="center"/>
    </xf>
    <xf numFmtId="170" fontId="17" fillId="4" borderId="15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11" xfId="2" applyNumberFormat="1" applyFont="1" applyFill="1" applyBorder="1" applyAlignment="1">
      <alignment vertical="center"/>
    </xf>
    <xf numFmtId="0" fontId="16" fillId="2" borderId="6" xfId="0" applyFont="1" applyFill="1" applyBorder="1" applyAlignment="1" applyProtection="1">
      <alignment horizontal="right" vertical="center"/>
    </xf>
    <xf numFmtId="0" fontId="16" fillId="3" borderId="10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11" xfId="0" applyNumberFormat="1" applyFont="1" applyFill="1" applyBorder="1" applyAlignment="1">
      <alignment vertical="center"/>
    </xf>
    <xf numFmtId="169" fontId="17" fillId="2" borderId="14" xfId="2" applyNumberFormat="1" applyFont="1" applyFill="1" applyBorder="1" applyAlignment="1" applyProtection="1">
      <alignment horizontal="left" vertical="center"/>
    </xf>
    <xf numFmtId="170" fontId="17" fillId="2" borderId="15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11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11" xfId="0" applyNumberFormat="1" applyFont="1" applyFill="1" applyBorder="1" applyAlignment="1">
      <alignment vertical="center"/>
    </xf>
    <xf numFmtId="169" fontId="17" fillId="2" borderId="16" xfId="2" applyNumberFormat="1" applyFont="1" applyFill="1" applyBorder="1" applyAlignment="1" applyProtection="1">
      <alignment horizontal="left" vertical="center"/>
    </xf>
    <xf numFmtId="170" fontId="17" fillId="2" borderId="17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10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10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5" fillId="2" borderId="0" xfId="0" applyFont="1" applyFill="1" applyAlignment="1" applyProtection="1">
      <alignment horizontal="left" vertical="center"/>
    </xf>
    <xf numFmtId="0" fontId="24" fillId="2" borderId="0" xfId="0" applyFont="1" applyFill="1" applyAlignment="1">
      <alignment horizontal="right" vertical="center"/>
    </xf>
    <xf numFmtId="0" fontId="25" fillId="2" borderId="2" xfId="0" applyFont="1" applyFill="1" applyBorder="1" applyAlignment="1" applyProtection="1">
      <alignment horizontal="right" vertical="center" wrapText="1"/>
    </xf>
    <xf numFmtId="0" fontId="21" fillId="2" borderId="0" xfId="0" applyFont="1" applyFill="1" applyAlignment="1">
      <alignment horizontal="right" vertical="center"/>
    </xf>
    <xf numFmtId="3" fontId="25" fillId="2" borderId="0" xfId="0" applyNumberFormat="1" applyFont="1" applyFill="1" applyAlignment="1" applyProtection="1">
      <alignment horizontal="right" vertical="center"/>
    </xf>
    <xf numFmtId="37" fontId="21" fillId="2" borderId="0" xfId="0" applyNumberFormat="1" applyFont="1" applyFill="1" applyAlignment="1" applyProtection="1">
      <alignment horizontal="right" vertical="center"/>
    </xf>
    <xf numFmtId="3" fontId="20" fillId="2" borderId="0" xfId="0" applyNumberFormat="1" applyFont="1" applyFill="1" applyBorder="1" applyAlignment="1" applyProtection="1">
      <alignment horizontal="right" vertical="center"/>
    </xf>
    <xf numFmtId="0" fontId="26" fillId="2" borderId="24" xfId="0" applyFont="1" applyFill="1" applyBorder="1" applyAlignment="1" applyProtection="1">
      <alignment horizontal="right" vertical="center" wrapText="1" indent="2"/>
    </xf>
    <xf numFmtId="0" fontId="26" fillId="2" borderId="25" xfId="0" applyFont="1" applyFill="1" applyBorder="1" applyAlignment="1" applyProtection="1">
      <alignment horizontal="center" vertical="center" wrapText="1"/>
    </xf>
    <xf numFmtId="0" fontId="26" fillId="2" borderId="5" xfId="0" applyFont="1" applyFill="1" applyBorder="1" applyAlignment="1" applyProtection="1">
      <alignment horizontal="center" vertical="center" wrapText="1"/>
    </xf>
    <xf numFmtId="0" fontId="26" fillId="2" borderId="25" xfId="0" applyFont="1" applyFill="1" applyBorder="1" applyAlignment="1" applyProtection="1">
      <alignment vertical="top" wrapText="1"/>
    </xf>
    <xf numFmtId="0" fontId="32" fillId="2" borderId="0" xfId="0" applyFont="1" applyFill="1" applyAlignment="1">
      <alignment vertical="center"/>
    </xf>
    <xf numFmtId="3" fontId="25" fillId="2" borderId="0" xfId="0" applyNumberFormat="1" applyFont="1" applyFill="1" applyBorder="1" applyAlignment="1" applyProtection="1">
      <alignment horizontal="center" vertical="center"/>
    </xf>
    <xf numFmtId="3" fontId="25" fillId="2" borderId="8" xfId="0" applyNumberFormat="1" applyFont="1" applyFill="1" applyBorder="1" applyAlignment="1" applyProtection="1">
      <alignment horizontal="center" vertical="center"/>
    </xf>
    <xf numFmtId="165" fontId="20" fillId="2" borderId="8" xfId="0" applyNumberFormat="1" applyFont="1" applyFill="1" applyBorder="1" applyAlignment="1" applyProtection="1">
      <alignment horizontal="center" vertical="center"/>
    </xf>
    <xf numFmtId="165" fontId="20" fillId="2" borderId="0" xfId="0" applyNumberFormat="1" applyFont="1" applyFill="1" applyBorder="1" applyAlignment="1" applyProtection="1">
      <alignment horizontal="center" vertical="center"/>
    </xf>
    <xf numFmtId="165" fontId="20" fillId="2" borderId="13" xfId="0" applyNumberFormat="1" applyFont="1" applyFill="1" applyBorder="1" applyAlignment="1" applyProtection="1">
      <alignment horizontal="center" vertical="center"/>
    </xf>
    <xf numFmtId="165" fontId="20" fillId="2" borderId="9" xfId="0" applyNumberFormat="1" applyFont="1" applyFill="1" applyBorder="1" applyAlignment="1" applyProtection="1">
      <alignment horizontal="center" vertical="center"/>
    </xf>
    <xf numFmtId="165" fontId="20" fillId="2" borderId="2" xfId="0" applyNumberFormat="1" applyFont="1" applyFill="1" applyBorder="1" applyAlignment="1" applyProtection="1">
      <alignment horizontal="center" vertical="center"/>
    </xf>
    <xf numFmtId="165" fontId="20" fillId="2" borderId="18" xfId="0" applyNumberFormat="1" applyFont="1" applyFill="1" applyBorder="1" applyAlignment="1" applyProtection="1">
      <alignment horizontal="center" vertical="center"/>
    </xf>
    <xf numFmtId="3" fontId="25" fillId="2" borderId="7" xfId="0" applyNumberFormat="1" applyFont="1" applyFill="1" applyBorder="1" applyAlignment="1" applyProtection="1">
      <alignment horizontal="center" vertical="center"/>
    </xf>
    <xf numFmtId="0" fontId="26" fillId="2" borderId="24" xfId="0" applyFont="1" applyFill="1" applyBorder="1" applyAlignment="1" applyProtection="1">
      <alignment horizontal="right" vertical="top" wrapText="1"/>
    </xf>
    <xf numFmtId="0" fontId="23" fillId="2" borderId="0" xfId="0" applyFont="1" applyFill="1" applyAlignment="1">
      <alignment horizontal="right" vertical="center" indent="1"/>
    </xf>
    <xf numFmtId="0" fontId="25" fillId="2" borderId="21" xfId="0" applyFont="1" applyFill="1" applyBorder="1" applyAlignment="1" applyProtection="1">
      <alignment horizontal="center" vertical="top" wrapText="1"/>
    </xf>
    <xf numFmtId="0" fontId="25" fillId="2" borderId="22" xfId="0" applyFont="1" applyFill="1" applyBorder="1" applyAlignment="1" applyProtection="1">
      <alignment horizontal="center" vertical="top" wrapText="1"/>
    </xf>
    <xf numFmtId="0" fontId="26" fillId="2" borderId="0" xfId="0" applyFont="1" applyFill="1" applyBorder="1" applyAlignment="1" applyProtection="1">
      <alignment horizontal="center" vertical="center" wrapText="1"/>
    </xf>
    <xf numFmtId="3" fontId="25" fillId="2" borderId="8" xfId="0" applyNumberFormat="1" applyFont="1" applyFill="1" applyBorder="1" applyAlignment="1" applyProtection="1">
      <alignment horizontal="right" vertical="center"/>
    </xf>
    <xf numFmtId="3" fontId="20" fillId="2" borderId="8" xfId="0" applyNumberFormat="1" applyFont="1" applyFill="1" applyBorder="1" applyAlignment="1">
      <alignment horizontal="right" vertical="center"/>
    </xf>
    <xf numFmtId="3" fontId="20" fillId="2" borderId="9" xfId="0" applyNumberFormat="1" applyFont="1" applyFill="1" applyBorder="1" applyAlignment="1">
      <alignment horizontal="right" vertical="center"/>
    </xf>
    <xf numFmtId="165" fontId="25" fillId="2" borderId="0" xfId="0" applyNumberFormat="1" applyFont="1" applyFill="1" applyBorder="1" applyAlignment="1" applyProtection="1">
      <alignment horizontal="center" vertical="center"/>
    </xf>
    <xf numFmtId="165" fontId="25" fillId="2" borderId="13" xfId="0" applyNumberFormat="1" applyFont="1" applyFill="1" applyBorder="1" applyAlignment="1" applyProtection="1">
      <alignment horizontal="center" vertical="center"/>
    </xf>
    <xf numFmtId="3" fontId="25" fillId="2" borderId="13" xfId="0" applyNumberFormat="1" applyFont="1" applyFill="1" applyBorder="1" applyAlignment="1" applyProtection="1">
      <alignment horizontal="right" vertical="center"/>
    </xf>
    <xf numFmtId="165" fontId="25" fillId="2" borderId="26" xfId="0" applyNumberFormat="1" applyFont="1" applyFill="1" applyBorder="1" applyAlignment="1" applyProtection="1">
      <alignment horizontal="center" vertical="center"/>
    </xf>
    <xf numFmtId="3" fontId="20" fillId="2" borderId="2" xfId="0" applyNumberFormat="1" applyFont="1" applyFill="1" applyBorder="1" applyAlignment="1" applyProtection="1">
      <alignment horizontal="right" vertical="center"/>
    </xf>
    <xf numFmtId="0" fontId="20" fillId="2" borderId="0" xfId="0" applyFont="1" applyFill="1" applyAlignment="1" applyProtection="1">
      <alignment horizontal="left" vertical="center" indent="1"/>
    </xf>
    <xf numFmtId="0" fontId="20" fillId="2" borderId="2" xfId="0" applyFont="1" applyFill="1" applyBorder="1" applyAlignment="1" applyProtection="1">
      <alignment horizontal="left" vertical="center" indent="1"/>
    </xf>
    <xf numFmtId="0" fontId="24" fillId="2" borderId="0" xfId="0" applyFont="1" applyFill="1" applyAlignment="1">
      <alignment horizontal="right" vertical="center" indent="2"/>
    </xf>
    <xf numFmtId="0" fontId="24" fillId="2" borderId="2" xfId="0" applyFont="1" applyFill="1" applyBorder="1" applyAlignment="1">
      <alignment horizontal="right" vertical="center" indent="2"/>
    </xf>
    <xf numFmtId="0" fontId="32" fillId="2" borderId="0" xfId="0" applyFont="1" applyFill="1" applyAlignment="1">
      <alignment horizontal="right" vertical="center"/>
    </xf>
    <xf numFmtId="0" fontId="25" fillId="2" borderId="2" xfId="0" applyFont="1" applyFill="1" applyBorder="1" applyAlignment="1" applyProtection="1">
      <alignment vertical="center" wrapText="1"/>
    </xf>
    <xf numFmtId="0" fontId="25" fillId="2" borderId="30" xfId="0" applyFont="1" applyFill="1" applyBorder="1" applyAlignment="1" applyProtection="1">
      <alignment horizontal="right" vertical="center" wrapText="1"/>
    </xf>
    <xf numFmtId="0" fontId="10" fillId="2" borderId="0" xfId="0" applyFont="1" applyFill="1" applyBorder="1" applyAlignment="1">
      <alignment horizontal="right" vertical="center"/>
    </xf>
    <xf numFmtId="3" fontId="25" fillId="2" borderId="0" xfId="0" applyNumberFormat="1" applyFont="1" applyFill="1" applyBorder="1" applyAlignment="1" applyProtection="1">
      <alignment horizontal="right" vertical="center"/>
    </xf>
    <xf numFmtId="0" fontId="25" fillId="2" borderId="31" xfId="0" applyFont="1" applyFill="1" applyBorder="1" applyAlignment="1" applyProtection="1">
      <alignment horizontal="right" vertical="center" wrapText="1"/>
    </xf>
    <xf numFmtId="3" fontId="20" fillId="2" borderId="13" xfId="0" applyNumberFormat="1" applyFont="1" applyFill="1" applyBorder="1" applyAlignment="1">
      <alignment horizontal="right" vertical="center"/>
    </xf>
    <xf numFmtId="3" fontId="20" fillId="2" borderId="18" xfId="0" applyNumberFormat="1" applyFont="1" applyFill="1" applyBorder="1" applyAlignment="1">
      <alignment horizontal="right" vertical="center"/>
    </xf>
    <xf numFmtId="3" fontId="18" fillId="2" borderId="0" xfId="0" applyNumberFormat="1" applyFont="1" applyFill="1" applyBorder="1" applyAlignment="1" applyProtection="1">
      <alignment horizontal="right" vertical="center"/>
    </xf>
    <xf numFmtId="3" fontId="18" fillId="2" borderId="2" xfId="0" applyNumberFormat="1" applyFont="1" applyFill="1" applyBorder="1" applyAlignment="1" applyProtection="1">
      <alignment horizontal="right" vertical="center"/>
    </xf>
    <xf numFmtId="0" fontId="25" fillId="2" borderId="7" xfId="0" applyFont="1" applyFill="1" applyBorder="1" applyAlignment="1" applyProtection="1">
      <alignment horizontal="center" vertical="center" wrapText="1"/>
    </xf>
    <xf numFmtId="0" fontId="26" fillId="2" borderId="12" xfId="0" applyFont="1" applyFill="1" applyBorder="1" applyAlignment="1" applyProtection="1">
      <alignment horizontal="center" vertical="center" wrapText="1"/>
    </xf>
    <xf numFmtId="0" fontId="25" fillId="2" borderId="21" xfId="0" applyFont="1" applyFill="1" applyBorder="1" applyAlignment="1" applyProtection="1">
      <alignment horizontal="center" vertical="center" wrapText="1"/>
    </xf>
    <xf numFmtId="0" fontId="25" fillId="2" borderId="22" xfId="0" applyFont="1" applyFill="1" applyBorder="1" applyAlignment="1" applyProtection="1">
      <alignment horizontal="center" vertical="center" wrapText="1"/>
    </xf>
    <xf numFmtId="0" fontId="25" fillId="2" borderId="2" xfId="0" applyFont="1" applyFill="1" applyBorder="1" applyAlignment="1" applyProtection="1">
      <alignment horizontal="center" vertical="center" wrapText="1"/>
    </xf>
    <xf numFmtId="0" fontId="25" fillId="2" borderId="23" xfId="0" applyFont="1" applyFill="1" applyBorder="1" applyAlignment="1" applyProtection="1">
      <alignment horizontal="center" vertical="center" wrapText="1"/>
    </xf>
    <xf numFmtId="0" fontId="25" fillId="2" borderId="27" xfId="0" applyFont="1" applyFill="1" applyBorder="1" applyAlignment="1" applyProtection="1">
      <alignment horizontal="right" vertical="center" wrapText="1"/>
    </xf>
    <xf numFmtId="0" fontId="28" fillId="2" borderId="0" xfId="0" applyFont="1" applyFill="1" applyAlignment="1">
      <alignment horizontal="left" vertical="center" indent="3"/>
    </xf>
    <xf numFmtId="0" fontId="30" fillId="2" borderId="0" xfId="0" applyFont="1" applyFill="1" applyAlignment="1" applyProtection="1">
      <alignment horizontal="left" vertical="center" indent="1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7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28" xfId="0" applyFill="1" applyBorder="1"/>
    <xf numFmtId="0" fontId="9" fillId="2" borderId="2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/>
    </xf>
    <xf numFmtId="0" fontId="29" fillId="2" borderId="2" xfId="0" applyFont="1" applyFill="1" applyBorder="1" applyAlignment="1" applyProtection="1">
      <alignment horizontal="center" vertical="center" wrapText="1"/>
    </xf>
    <xf numFmtId="0" fontId="25" fillId="2" borderId="7" xfId="0" applyFont="1" applyFill="1" applyBorder="1" applyAlignment="1" applyProtection="1">
      <alignment horizontal="left" vertical="center"/>
    </xf>
    <xf numFmtId="0" fontId="25" fillId="2" borderId="0" xfId="0" applyFont="1" applyFill="1" applyBorder="1" applyAlignment="1" applyProtection="1">
      <alignment horizontal="left" vertical="center"/>
    </xf>
    <xf numFmtId="0" fontId="25" fillId="2" borderId="2" xfId="0" applyFont="1" applyFill="1" applyBorder="1" applyAlignment="1" applyProtection="1">
      <alignment horizontal="left" vertical="center"/>
    </xf>
    <xf numFmtId="0" fontId="25" fillId="2" borderId="7" xfId="0" applyFont="1" applyFill="1" applyBorder="1" applyAlignment="1" applyProtection="1">
      <alignment horizontal="center" vertical="center" wrapText="1"/>
    </xf>
    <xf numFmtId="0" fontId="26" fillId="2" borderId="7" xfId="0" applyFont="1" applyFill="1" applyBorder="1" applyAlignment="1" applyProtection="1">
      <alignment horizontal="center" vertical="center" wrapText="1"/>
    </xf>
    <xf numFmtId="0" fontId="26" fillId="2" borderId="12" xfId="0" applyFont="1" applyFill="1" applyBorder="1" applyAlignment="1" applyProtection="1">
      <alignment horizontal="center" vertical="center" wrapText="1"/>
    </xf>
    <xf numFmtId="0" fontId="25" fillId="2" borderId="26" xfId="0" applyFont="1" applyFill="1" applyBorder="1" applyAlignment="1" applyProtection="1">
      <alignment horizontal="center" vertical="center" wrapText="1"/>
    </xf>
    <xf numFmtId="0" fontId="25" fillId="2" borderId="19" xfId="0" applyFont="1" applyFill="1" applyBorder="1" applyAlignment="1" applyProtection="1">
      <alignment horizontal="center" vertical="center" wrapText="1"/>
    </xf>
    <xf numFmtId="0" fontId="25" fillId="2" borderId="9" xfId="0" applyFont="1" applyFill="1" applyBorder="1" applyAlignment="1" applyProtection="1">
      <alignment horizontal="center" vertical="center" wrapText="1"/>
    </xf>
    <xf numFmtId="0" fontId="25" fillId="2" borderId="2" xfId="0" applyFont="1" applyFill="1" applyBorder="1" applyAlignment="1" applyProtection="1">
      <alignment horizontal="center" vertical="center" wrapText="1"/>
    </xf>
    <xf numFmtId="0" fontId="25" fillId="2" borderId="18" xfId="0" applyFont="1" applyFill="1" applyBorder="1" applyAlignment="1" applyProtection="1">
      <alignment horizontal="center" vertical="center" wrapText="1"/>
    </xf>
    <xf numFmtId="0" fontId="26" fillId="2" borderId="26" xfId="0" applyFont="1" applyFill="1" applyBorder="1" applyAlignment="1" applyProtection="1">
      <alignment horizontal="center" vertical="center" wrapText="1"/>
    </xf>
    <xf numFmtId="0" fontId="26" fillId="2" borderId="19" xfId="0" applyFont="1" applyFill="1" applyBorder="1" applyAlignment="1" applyProtection="1">
      <alignment horizontal="center" vertical="center" wrapText="1"/>
    </xf>
    <xf numFmtId="0" fontId="26" fillId="2" borderId="32" xfId="0" applyFont="1" applyFill="1" applyBorder="1" applyAlignment="1" applyProtection="1">
      <alignment horizontal="center" vertical="center" wrapText="1"/>
    </xf>
    <xf numFmtId="0" fontId="26" fillId="2" borderId="4" xfId="0" applyFont="1" applyFill="1" applyBorder="1" applyAlignment="1" applyProtection="1">
      <alignment horizontal="center" vertical="center" wrapText="1"/>
    </xf>
    <xf numFmtId="0" fontId="25" fillId="2" borderId="21" xfId="0" applyFont="1" applyFill="1" applyBorder="1" applyAlignment="1" applyProtection="1">
      <alignment horizontal="center" vertical="center" wrapText="1"/>
    </xf>
    <xf numFmtId="0" fontId="25" fillId="2" borderId="22" xfId="0" applyFont="1" applyFill="1" applyBorder="1" applyAlignment="1" applyProtection="1">
      <alignment horizontal="center" vertical="center" wrapText="1"/>
    </xf>
    <xf numFmtId="0" fontId="25" fillId="2" borderId="23" xfId="0" applyFont="1" applyFill="1" applyBorder="1" applyAlignment="1" applyProtection="1">
      <alignment horizontal="center" vertical="center" wrapText="1"/>
    </xf>
    <xf numFmtId="0" fontId="31" fillId="2" borderId="7" xfId="0" applyFont="1" applyFill="1" applyBorder="1" applyAlignment="1">
      <alignment horizontal="right" vertical="center" indent="1"/>
    </xf>
    <xf numFmtId="0" fontId="31" fillId="2" borderId="0" xfId="0" applyFont="1" applyFill="1" applyBorder="1" applyAlignment="1">
      <alignment horizontal="right" vertical="center" indent="1"/>
    </xf>
    <xf numFmtId="0" fontId="31" fillId="2" borderId="2" xfId="0" applyFont="1" applyFill="1" applyBorder="1" applyAlignment="1">
      <alignment horizontal="right" vertical="center" indent="1"/>
    </xf>
    <xf numFmtId="0" fontId="34" fillId="2" borderId="30" xfId="0" applyFont="1" applyFill="1" applyBorder="1" applyAlignment="1" applyProtection="1">
      <alignment horizontal="center" vertical="top"/>
    </xf>
    <xf numFmtId="0" fontId="34" fillId="2" borderId="31" xfId="0" applyFont="1" applyFill="1" applyBorder="1" applyAlignment="1" applyProtection="1">
      <alignment horizontal="center" vertical="top"/>
    </xf>
    <xf numFmtId="0" fontId="34" fillId="2" borderId="27" xfId="0" applyFont="1" applyFill="1" applyBorder="1" applyAlignment="1" applyProtection="1">
      <alignment horizontal="center" vertical="top"/>
    </xf>
    <xf numFmtId="0" fontId="34" fillId="2" borderId="30" xfId="0" applyFont="1" applyFill="1" applyBorder="1" applyAlignment="1" applyProtection="1">
      <alignment horizontal="center" vertical="top" wrapText="1"/>
    </xf>
    <xf numFmtId="0" fontId="34" fillId="2" borderId="31" xfId="0" applyFont="1" applyFill="1" applyBorder="1" applyAlignment="1" applyProtection="1">
      <alignment horizontal="center" vertical="top" wrapText="1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54506451212172E-2"/>
          <c:y val="0.16485972637374249"/>
          <c:w val="0.9166905172558566"/>
          <c:h val="0.71330419841719406"/>
        </c:manualLayout>
      </c:layout>
      <c:lineChart>
        <c:grouping val="standard"/>
        <c:varyColors val="0"/>
        <c:ser>
          <c:idx val="0"/>
          <c:order val="0"/>
          <c:tx>
            <c:v>Tourist Bed-nights</c:v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'10.9'!$A$9:$A$20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'10.9'!$K$9:$K$20</c:f>
              <c:numCache>
                <c:formatCode>#,##0.0</c:formatCode>
                <c:ptCount val="12"/>
                <c:pt idx="0">
                  <c:v>21.416882584002362</c:v>
                </c:pt>
                <c:pt idx="1">
                  <c:v>3.0626279158576297</c:v>
                </c:pt>
                <c:pt idx="2">
                  <c:v>0.51746853236733781</c:v>
                </c:pt>
                <c:pt idx="3">
                  <c:v>13.199089149151044</c:v>
                </c:pt>
                <c:pt idx="4">
                  <c:v>4.8880122232949574</c:v>
                </c:pt>
                <c:pt idx="5">
                  <c:v>8.3238157517122602</c:v>
                </c:pt>
                <c:pt idx="6">
                  <c:v>9.326395366678808</c:v>
                </c:pt>
                <c:pt idx="7">
                  <c:v>9.9390177723264639</c:v>
                </c:pt>
                <c:pt idx="8">
                  <c:v>2.4354738745822724</c:v>
                </c:pt>
                <c:pt idx="9">
                  <c:v>12.325305745472859</c:v>
                </c:pt>
                <c:pt idx="10">
                  <c:v>15.045956412665218</c:v>
                </c:pt>
                <c:pt idx="11">
                  <c:v>25.822924246619184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B-4AB8-A11F-66C2DAC8FC46}"/>
            </c:ext>
          </c:extLst>
        </c:ser>
        <c:ser>
          <c:idx val="1"/>
          <c:order val="1"/>
          <c:tx>
            <c:strRef>
              <c:f>'10.9'!$M$5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'10.9'!$A$9:$A$20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'10.9'!$M$9:$M$20</c:f>
              <c:numCache>
                <c:formatCode>#,##0.0</c:formatCode>
                <c:ptCount val="12"/>
                <c:pt idx="0">
                  <c:v>15.627882947710248</c:v>
                </c:pt>
                <c:pt idx="1">
                  <c:v>0.3423436865358731</c:v>
                </c:pt>
                <c:pt idx="2">
                  <c:v>-2.1419079135940766</c:v>
                </c:pt>
                <c:pt idx="3">
                  <c:v>15.731498748707651</c:v>
                </c:pt>
                <c:pt idx="4">
                  <c:v>0.28210408890032568</c:v>
                </c:pt>
                <c:pt idx="5">
                  <c:v>7.8295417162233871</c:v>
                </c:pt>
                <c:pt idx="6">
                  <c:v>2.4838814836279255</c:v>
                </c:pt>
                <c:pt idx="7">
                  <c:v>8.0404695320710253</c:v>
                </c:pt>
                <c:pt idx="8">
                  <c:v>3.99866547606198</c:v>
                </c:pt>
                <c:pt idx="9">
                  <c:v>8.9344534381942111</c:v>
                </c:pt>
                <c:pt idx="10">
                  <c:v>15.237348429790011</c:v>
                </c:pt>
                <c:pt idx="11">
                  <c:v>19.669539027859106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1-4F5E-964F-19EBFADF4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553624"/>
        <c:axId val="297554016"/>
      </c:lineChart>
      <c:catAx>
        <c:axId val="297553624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ln w="25400">
            <a:solidFill>
              <a:schemeClr val="bg1">
                <a:lumMod val="75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297554016"/>
        <c:crosses val="autoZero"/>
        <c:auto val="1"/>
        <c:lblAlgn val="ctr"/>
        <c:lblOffset val="100"/>
        <c:noMultiLvlLbl val="0"/>
      </c:catAx>
      <c:valAx>
        <c:axId val="297554016"/>
        <c:scaling>
          <c:orientation val="minMax"/>
          <c:max val="30"/>
          <c:min val="-1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7.6830459769088189E-3"/>
              <c:y val="0.3758709856509705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29755362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443982250514979"/>
          <c:y val="0.27436748288948737"/>
          <c:w val="0.3155007152794676"/>
          <c:h val="7.151769455096128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10.15: Percentage change of tourist arrivals and bed-nights compared to previous month, 2017</a:t>
            </a:r>
          </a:p>
        </c:rich>
      </c:tx>
      <c:layout>
        <c:manualLayout>
          <c:xMode val="edge"/>
          <c:yMode val="edge"/>
          <c:x val="0.15355991000113384"/>
          <c:y val="2.58933416608664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789414397915836E-2"/>
          <c:y val="0.17897647925182064"/>
          <c:w val="0.90005013412575996"/>
          <c:h val="0.74553029319443698"/>
        </c:manualLayout>
      </c:layout>
      <c:lineChart>
        <c:grouping val="standard"/>
        <c:varyColors val="0"/>
        <c:ser>
          <c:idx val="0"/>
          <c:order val="0"/>
          <c:tx>
            <c:v>Tourist Bed-nights</c:v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'10.9'!$A$9:$A$20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'10.9'!$N$9:$N$20</c:f>
              <c:numCache>
                <c:formatCode>#,##0.0</c:formatCode>
                <c:ptCount val="12"/>
                <c:pt idx="0">
                  <c:v>16.644242979318658</c:v>
                </c:pt>
                <c:pt idx="1">
                  <c:v>-3.4636237493189448</c:v>
                </c:pt>
                <c:pt idx="2">
                  <c:v>-2.8457874952380058</c:v>
                </c:pt>
                <c:pt idx="3">
                  <c:v>-1.0572766734408323</c:v>
                </c:pt>
                <c:pt idx="4">
                  <c:v>-18.990128171970266</c:v>
                </c:pt>
                <c:pt idx="5">
                  <c:v>-20.051114909186818</c:v>
                </c:pt>
                <c:pt idx="6">
                  <c:v>43.072480052970484</c:v>
                </c:pt>
                <c:pt idx="7">
                  <c:v>8.5168056480913847</c:v>
                </c:pt>
                <c:pt idx="8">
                  <c:v>-19.078397108498979</c:v>
                </c:pt>
                <c:pt idx="9">
                  <c:v>31.331808756404133</c:v>
                </c:pt>
                <c:pt idx="10">
                  <c:v>-5.4723991733801602</c:v>
                </c:pt>
                <c:pt idx="11">
                  <c:v>15.070361218480532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F-457B-B1F8-7B920895335D}"/>
            </c:ext>
          </c:extLst>
        </c:ser>
        <c:ser>
          <c:idx val="1"/>
          <c:order val="1"/>
          <c:tx>
            <c:strRef>
              <c:f>'10.9'!$P$5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'10.9'!$A$9:$A$20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'10.9'!$P$9:$P$20</c:f>
              <c:numCache>
                <c:formatCode>#,##0.0</c:formatCode>
                <c:ptCount val="12"/>
                <c:pt idx="0">
                  <c:v>4.8573579854429783</c:v>
                </c:pt>
                <c:pt idx="1">
                  <c:v>-3.4180123827152631</c:v>
                </c:pt>
                <c:pt idx="2">
                  <c:v>-6.9284274526649758</c:v>
                </c:pt>
                <c:pt idx="3">
                  <c:v>6.3098566546842427</c:v>
                </c:pt>
                <c:pt idx="4">
                  <c:v>-21.943827541870519</c:v>
                </c:pt>
                <c:pt idx="5">
                  <c:v>-8.8447016290338141</c:v>
                </c:pt>
                <c:pt idx="6">
                  <c:v>32.800215906690752</c:v>
                </c:pt>
                <c:pt idx="7">
                  <c:v>7.1879832118400655</c:v>
                </c:pt>
                <c:pt idx="8">
                  <c:v>-12.63374824828951</c:v>
                </c:pt>
                <c:pt idx="9">
                  <c:v>20.759737318840578</c:v>
                </c:pt>
                <c:pt idx="10">
                  <c:v>-5.8443892300720446</c:v>
                </c:pt>
                <c:pt idx="11">
                  <c:v>18.700313677327273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C-4A25-A3EC-9FCE23F78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554800"/>
        <c:axId val="297555192"/>
      </c:lineChart>
      <c:catAx>
        <c:axId val="297554800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nextTo"/>
        <c:spPr>
          <a:ln w="31750">
            <a:solidFill>
              <a:schemeClr val="bg1">
                <a:lumMod val="65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297555192"/>
        <c:crosses val="autoZero"/>
        <c:auto val="1"/>
        <c:lblAlgn val="ctr"/>
        <c:lblOffset val="100"/>
        <c:noMultiLvlLbl val="0"/>
      </c:catAx>
      <c:valAx>
        <c:axId val="2975551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29755480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3183333553690027"/>
          <c:y val="0.2819329137806923"/>
          <c:w val="0.31204084458463149"/>
          <c:h val="6.2523375446576795E-2"/>
        </c:manualLayout>
      </c:layout>
      <c:overlay val="0"/>
      <c:spPr>
        <a:noFill/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715632</xdr:colOff>
      <xdr:row>24</xdr:row>
      <xdr:rowOff>125802</xdr:rowOff>
    </xdr:from>
    <xdr:to>
      <xdr:col>14</xdr:col>
      <xdr:colOff>0</xdr:colOff>
      <xdr:row>44</xdr:row>
      <xdr:rowOff>143773</xdr:rowOff>
    </xdr:to>
    <xdr:graphicFrame macro="">
      <xdr:nvGraphicFramePr>
        <xdr:cNvPr id="2061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725697</xdr:colOff>
      <xdr:row>47</xdr:row>
      <xdr:rowOff>46727</xdr:rowOff>
    </xdr:from>
    <xdr:to>
      <xdr:col>14</xdr:col>
      <xdr:colOff>9525</xdr:colOff>
      <xdr:row>68</xdr:row>
      <xdr:rowOff>74044</xdr:rowOff>
    </xdr:to>
    <xdr:graphicFrame macro="">
      <xdr:nvGraphicFramePr>
        <xdr:cNvPr id="206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691912</xdr:colOff>
      <xdr:row>27</xdr:row>
      <xdr:rowOff>60963</xdr:rowOff>
    </xdr:from>
    <xdr:to>
      <xdr:col>13</xdr:col>
      <xdr:colOff>763798</xdr:colOff>
      <xdr:row>27</xdr:row>
      <xdr:rowOff>62900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3369695" y="6548746"/>
          <a:ext cx="7188678" cy="1937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4</xdr:col>
      <xdr:colOff>398876</xdr:colOff>
      <xdr:row>49</xdr:row>
      <xdr:rowOff>152400</xdr:rowOff>
    </xdr:from>
    <xdr:to>
      <xdr:col>13</xdr:col>
      <xdr:colOff>466725</xdr:colOff>
      <xdr:row>49</xdr:row>
      <xdr:rowOff>156574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3894551" y="10267950"/>
          <a:ext cx="6363874" cy="4174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3</xdr:col>
      <xdr:colOff>417135</xdr:colOff>
      <xdr:row>67</xdr:row>
      <xdr:rowOff>17885</xdr:rowOff>
    </xdr:from>
    <xdr:to>
      <xdr:col>8</xdr:col>
      <xdr:colOff>625063</xdr:colOff>
      <xdr:row>68</xdr:row>
      <xdr:rowOff>33559</xdr:rowOff>
    </xdr:to>
    <xdr:sp macro="" textlink="">
      <xdr:nvSpPr>
        <xdr:cNvPr id="2" name="TextBox 1"/>
        <xdr:cNvSpPr txBox="1"/>
      </xdr:nvSpPr>
      <xdr:spPr>
        <a:xfrm>
          <a:off x="3093660" y="13048085"/>
          <a:ext cx="3389278" cy="177599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800" i="1"/>
            <a:t>* Tourist Bed night figures include resorts/hotels/safaris &amp; guesthouses</a:t>
          </a:r>
        </a:p>
      </xdr:txBody>
    </xdr:sp>
    <xdr:clientData/>
  </xdr:twoCellAnchor>
  <xdr:twoCellAnchor>
    <xdr:from>
      <xdr:col>3</xdr:col>
      <xdr:colOff>276788</xdr:colOff>
      <xdr:row>42</xdr:row>
      <xdr:rowOff>161924</xdr:rowOff>
    </xdr:from>
    <xdr:to>
      <xdr:col>8</xdr:col>
      <xdr:colOff>321006</xdr:colOff>
      <xdr:row>44</xdr:row>
      <xdr:rowOff>47265</xdr:rowOff>
    </xdr:to>
    <xdr:sp macro="" textlink="">
      <xdr:nvSpPr>
        <xdr:cNvPr id="3" name="TextBox 2"/>
        <xdr:cNvSpPr txBox="1"/>
      </xdr:nvSpPr>
      <xdr:spPr>
        <a:xfrm>
          <a:off x="2953313" y="9143999"/>
          <a:ext cx="3225568" cy="209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Tourist Bed night figures include resorts/hotels/safaris &amp; guesthouses</a:t>
          </a:r>
          <a:endParaRPr lang="en-US" sz="8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0.07637</cdr:x>
      <cdr:y>0.03197</cdr:y>
    </cdr:from>
    <cdr:to>
      <cdr:x>0.966</cdr:x>
      <cdr:y>0.1148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41232" y="95090"/>
          <a:ext cx="7469338" cy="24637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10.14: Percentage change of tourist arrivals and bed-nights compared to same month of previous year, 2016 - 2017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0.00268</cdr:x>
      <cdr:y>0.38852</cdr:y>
    </cdr:from>
    <cdr:to>
      <cdr:x>0.04289</cdr:x>
      <cdr:y>0.59806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2465" y="1330265"/>
          <a:ext cx="337582" cy="7174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+mn-lt"/>
            </a:rPr>
            <a:t>In percent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01" t="s">
        <v>93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M1" s="2" t="s">
        <v>15</v>
      </c>
      <c r="N1" s="2" t="s">
        <v>31</v>
      </c>
      <c r="O1" s="2" t="s">
        <v>86</v>
      </c>
      <c r="P1" s="2" t="s">
        <v>90</v>
      </c>
      <c r="Q1" s="16" t="s">
        <v>92</v>
      </c>
      <c r="S1" s="17">
        <f>Q2/M2</f>
        <v>5.5298836452988356</v>
      </c>
      <c r="T1" s="18" t="s">
        <v>95</v>
      </c>
      <c r="U1" s="18"/>
    </row>
    <row r="2" spans="1:21" ht="9.75" customHeight="1">
      <c r="A2" s="102" t="s">
        <v>94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9" t="s">
        <v>59</v>
      </c>
      <c r="M2" s="20">
        <f>M4/1000</f>
        <v>41.511000000000003</v>
      </c>
      <c r="N2" s="20">
        <f>N4/1000</f>
        <v>60.665999999999997</v>
      </c>
      <c r="O2" s="20">
        <f>O4/1000</f>
        <v>118.961</v>
      </c>
      <c r="P2" s="20">
        <f>P4/1000</f>
        <v>198.655</v>
      </c>
      <c r="Q2" s="20">
        <f>Q4/1000</f>
        <v>229.55099999999999</v>
      </c>
      <c r="R2" s="21" t="s">
        <v>96</v>
      </c>
    </row>
    <row r="3" spans="1:21" ht="3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21" ht="21" customHeight="1">
      <c r="A4" s="103" t="s">
        <v>97</v>
      </c>
      <c r="B4" s="106" t="s">
        <v>16</v>
      </c>
      <c r="C4" s="107"/>
      <c r="D4" s="107"/>
      <c r="E4" s="107"/>
      <c r="F4" s="108"/>
      <c r="G4" s="109" t="s">
        <v>91</v>
      </c>
      <c r="H4" s="110"/>
      <c r="I4" s="110"/>
      <c r="J4" s="110"/>
      <c r="K4" s="111"/>
      <c r="L4" s="19" t="s">
        <v>59</v>
      </c>
      <c r="M4" s="20">
        <v>41511</v>
      </c>
      <c r="N4" s="20">
        <v>60666</v>
      </c>
      <c r="O4" s="22">
        <v>118961</v>
      </c>
      <c r="P4" s="22">
        <v>198655</v>
      </c>
      <c r="Q4" s="23">
        <v>229551</v>
      </c>
    </row>
    <row r="5" spans="1:21" ht="13.5" customHeight="1">
      <c r="A5" s="104"/>
      <c r="B5" s="112" t="s">
        <v>88</v>
      </c>
      <c r="C5" s="112"/>
      <c r="D5" s="112"/>
      <c r="E5" s="112"/>
      <c r="F5" s="113"/>
      <c r="G5" s="114" t="s">
        <v>89</v>
      </c>
      <c r="H5" s="115"/>
      <c r="I5" s="115"/>
      <c r="J5" s="115"/>
      <c r="K5" s="116"/>
    </row>
    <row r="6" spans="1:21" ht="15" customHeight="1">
      <c r="A6" s="105"/>
      <c r="B6" s="2" t="s">
        <v>15</v>
      </c>
      <c r="C6" s="2" t="s">
        <v>31</v>
      </c>
      <c r="D6" s="2" t="s">
        <v>86</v>
      </c>
      <c r="E6" s="2" t="s">
        <v>90</v>
      </c>
      <c r="F6" s="16" t="s">
        <v>92</v>
      </c>
      <c r="G6" s="24">
        <v>2008</v>
      </c>
      <c r="H6" s="3">
        <v>2009</v>
      </c>
      <c r="I6" s="3">
        <v>2010</v>
      </c>
      <c r="J6" s="3">
        <v>2011</v>
      </c>
      <c r="K6" s="25">
        <v>2012</v>
      </c>
    </row>
    <row r="7" spans="1:21" ht="12.75" customHeight="1">
      <c r="A7" s="19" t="s">
        <v>59</v>
      </c>
      <c r="B7" s="20">
        <v>41511</v>
      </c>
      <c r="C7" s="20">
        <v>60666</v>
      </c>
      <c r="D7" s="22">
        <v>118961</v>
      </c>
      <c r="E7" s="22">
        <v>198655</v>
      </c>
      <c r="F7" s="23">
        <v>229551</v>
      </c>
      <c r="G7" s="26">
        <v>15.385256837891928</v>
      </c>
      <c r="H7" s="26">
        <f t="shared" ref="H7:K38" si="0">(C7-B7)/B7*100</f>
        <v>46.144395461443956</v>
      </c>
      <c r="I7" s="27">
        <f t="shared" si="0"/>
        <v>96.091715293574651</v>
      </c>
      <c r="J7" s="27">
        <f t="shared" si="0"/>
        <v>66.991703163221558</v>
      </c>
      <c r="K7" s="28">
        <f t="shared" si="0"/>
        <v>15.552591175656289</v>
      </c>
    </row>
    <row r="8" spans="1:21" ht="12.75" customHeight="1">
      <c r="A8" s="19" t="s">
        <v>38</v>
      </c>
      <c r="B8" s="20">
        <v>69240</v>
      </c>
      <c r="C8" s="20">
        <v>69085</v>
      </c>
      <c r="D8" s="22">
        <v>77108</v>
      </c>
      <c r="E8" s="22">
        <v>90517</v>
      </c>
      <c r="F8" s="23">
        <v>98351</v>
      </c>
      <c r="G8" s="26">
        <v>-4.1912853367280576</v>
      </c>
      <c r="H8" s="26">
        <f t="shared" si="0"/>
        <v>-0.2238590410167533</v>
      </c>
      <c r="I8" s="27">
        <f t="shared" si="0"/>
        <v>11.613230078888325</v>
      </c>
      <c r="J8" s="27">
        <f t="shared" si="0"/>
        <v>17.389894693157647</v>
      </c>
      <c r="K8" s="28">
        <f t="shared" si="0"/>
        <v>8.654727841179005</v>
      </c>
    </row>
    <row r="9" spans="1:21" ht="12.75" customHeight="1">
      <c r="A9" s="19" t="s">
        <v>56</v>
      </c>
      <c r="B9" s="20">
        <v>116821</v>
      </c>
      <c r="C9" s="20">
        <v>105950</v>
      </c>
      <c r="D9" s="22">
        <v>114158</v>
      </c>
      <c r="E9" s="22">
        <v>104508</v>
      </c>
      <c r="F9" s="23">
        <v>91776</v>
      </c>
      <c r="G9" s="26">
        <v>-6.6611802681410701</v>
      </c>
      <c r="H9" s="26">
        <f t="shared" si="0"/>
        <v>-9.3056899016443957</v>
      </c>
      <c r="I9" s="27">
        <f t="shared" si="0"/>
        <v>7.7470504955167536</v>
      </c>
      <c r="J9" s="27">
        <f t="shared" si="0"/>
        <v>-8.4531964470295549</v>
      </c>
      <c r="K9" s="28">
        <f t="shared" si="0"/>
        <v>-12.182799402916524</v>
      </c>
    </row>
    <row r="10" spans="1:21" ht="12.75" customHeight="1">
      <c r="A10" s="19" t="s">
        <v>48</v>
      </c>
      <c r="B10" s="20">
        <v>48978</v>
      </c>
      <c r="C10" s="20">
        <v>40014</v>
      </c>
      <c r="D10" s="22">
        <v>49111</v>
      </c>
      <c r="E10" s="22">
        <v>63936</v>
      </c>
      <c r="F10" s="23">
        <v>66378</v>
      </c>
      <c r="G10" s="26">
        <v>53.801224682053693</v>
      </c>
      <c r="H10" s="26">
        <f t="shared" si="0"/>
        <v>-18.302094818081589</v>
      </c>
      <c r="I10" s="27">
        <f t="shared" si="0"/>
        <v>22.734542909981506</v>
      </c>
      <c r="J10" s="27">
        <f t="shared" si="0"/>
        <v>30.186719879456742</v>
      </c>
      <c r="K10" s="28">
        <f t="shared" si="0"/>
        <v>3.8194444444444446</v>
      </c>
    </row>
    <row r="11" spans="1:21" ht="12.75" customHeight="1">
      <c r="A11" s="19" t="s">
        <v>43</v>
      </c>
      <c r="B11" s="20">
        <v>103824</v>
      </c>
      <c r="C11" s="20">
        <v>89292</v>
      </c>
      <c r="D11" s="22">
        <v>89596</v>
      </c>
      <c r="E11" s="22">
        <v>83088</v>
      </c>
      <c r="F11" s="23">
        <v>62782</v>
      </c>
      <c r="G11" s="26">
        <v>-11.44772529553247</v>
      </c>
      <c r="H11" s="26">
        <f t="shared" si="0"/>
        <v>-13.996763754045308</v>
      </c>
      <c r="I11" s="27">
        <f t="shared" si="0"/>
        <v>0.34045603189535456</v>
      </c>
      <c r="J11" s="27">
        <f t="shared" si="0"/>
        <v>-7.2637171302290273</v>
      </c>
      <c r="K11" s="28">
        <f t="shared" si="0"/>
        <v>-24.439148854226843</v>
      </c>
    </row>
    <row r="12" spans="1:21" ht="12.75" customHeight="1">
      <c r="A12" s="19" t="s">
        <v>37</v>
      </c>
      <c r="B12" s="20">
        <v>48100</v>
      </c>
      <c r="C12" s="20">
        <v>50373</v>
      </c>
      <c r="D12" s="22">
        <v>54789</v>
      </c>
      <c r="E12" s="22">
        <v>59694</v>
      </c>
      <c r="F12" s="23">
        <v>56775</v>
      </c>
      <c r="G12" s="26">
        <v>6.1786715525043601</v>
      </c>
      <c r="H12" s="26">
        <f t="shared" si="0"/>
        <v>4.7255717255717258</v>
      </c>
      <c r="I12" s="27">
        <f t="shared" si="0"/>
        <v>8.766601155380858</v>
      </c>
      <c r="J12" s="27">
        <f t="shared" si="0"/>
        <v>8.9525269670919343</v>
      </c>
      <c r="K12" s="28">
        <f t="shared" si="0"/>
        <v>-4.889938687305257</v>
      </c>
    </row>
    <row r="13" spans="1:21" ht="12.75" customHeight="1">
      <c r="A13" s="19" t="s">
        <v>62</v>
      </c>
      <c r="B13" s="20">
        <v>38193</v>
      </c>
      <c r="C13" s="20">
        <v>36641</v>
      </c>
      <c r="D13" s="22">
        <v>38791</v>
      </c>
      <c r="E13" s="22">
        <v>35782</v>
      </c>
      <c r="F13" s="23">
        <v>36438</v>
      </c>
      <c r="G13" s="26">
        <v>-7.120449405413293</v>
      </c>
      <c r="H13" s="26">
        <f t="shared" si="0"/>
        <v>-4.063571858717566</v>
      </c>
      <c r="I13" s="27">
        <f t="shared" si="0"/>
        <v>5.8677437842853637</v>
      </c>
      <c r="J13" s="27">
        <f t="shared" si="0"/>
        <v>-7.7569539326132348</v>
      </c>
      <c r="K13" s="28">
        <f t="shared" si="0"/>
        <v>1.8333240176625119</v>
      </c>
    </row>
    <row r="14" spans="1:21" ht="12.75" customHeight="1">
      <c r="A14" s="19" t="s">
        <v>53</v>
      </c>
      <c r="B14" s="20">
        <v>26983</v>
      </c>
      <c r="C14" s="20">
        <v>26783</v>
      </c>
      <c r="D14" s="22">
        <v>27766</v>
      </c>
      <c r="E14" s="22">
        <v>32504</v>
      </c>
      <c r="F14" s="23">
        <v>35457</v>
      </c>
      <c r="G14" s="26">
        <v>3.0554176373983117</v>
      </c>
      <c r="H14" s="26">
        <f t="shared" si="0"/>
        <v>-0.74120742689841757</v>
      </c>
      <c r="I14" s="27">
        <f t="shared" si="0"/>
        <v>3.6702385841765301</v>
      </c>
      <c r="J14" s="27">
        <f t="shared" si="0"/>
        <v>17.064035150903983</v>
      </c>
      <c r="K14" s="28">
        <f t="shared" si="0"/>
        <v>9.0850356879153349</v>
      </c>
    </row>
    <row r="15" spans="1:21" ht="12.75" customHeight="1">
      <c r="A15" s="19" t="s">
        <v>60</v>
      </c>
      <c r="B15" s="20">
        <v>16663</v>
      </c>
      <c r="C15" s="20">
        <v>15850</v>
      </c>
      <c r="D15" s="22">
        <v>25756</v>
      </c>
      <c r="E15" s="22">
        <v>30978</v>
      </c>
      <c r="F15" s="23">
        <v>31721</v>
      </c>
      <c r="G15" s="26">
        <v>-3.832169446528539</v>
      </c>
      <c r="H15" s="26">
        <f t="shared" si="0"/>
        <v>-4.8790733961471524</v>
      </c>
      <c r="I15" s="27">
        <f t="shared" si="0"/>
        <v>62.498422712933753</v>
      </c>
      <c r="J15" s="27">
        <f t="shared" si="0"/>
        <v>20.274887404876534</v>
      </c>
      <c r="K15" s="28">
        <f t="shared" si="0"/>
        <v>2.3984763380463554</v>
      </c>
    </row>
    <row r="16" spans="1:21" ht="12.75" customHeight="1">
      <c r="A16" s="19" t="s">
        <v>63</v>
      </c>
      <c r="B16" s="20">
        <v>20934</v>
      </c>
      <c r="C16" s="20">
        <v>16135</v>
      </c>
      <c r="D16" s="22">
        <v>24808</v>
      </c>
      <c r="E16" s="22">
        <v>25285</v>
      </c>
      <c r="F16" s="23">
        <v>23933</v>
      </c>
      <c r="G16" s="26">
        <v>-0.20022883295194507</v>
      </c>
      <c r="H16" s="26">
        <f t="shared" si="0"/>
        <v>-22.92442915830706</v>
      </c>
      <c r="I16" s="27">
        <f t="shared" si="0"/>
        <v>53.752711496746208</v>
      </c>
      <c r="J16" s="27">
        <f t="shared" si="0"/>
        <v>1.9227668494034182</v>
      </c>
      <c r="K16" s="28">
        <f t="shared" si="0"/>
        <v>-5.3470437017994854</v>
      </c>
    </row>
    <row r="17" spans="1:15" ht="12.75" customHeight="1">
      <c r="A17" s="29" t="s">
        <v>57</v>
      </c>
      <c r="B17" s="30">
        <v>9482</v>
      </c>
      <c r="C17" s="30">
        <v>9476</v>
      </c>
      <c r="D17" s="31">
        <v>10220</v>
      </c>
      <c r="E17" s="31">
        <v>12088</v>
      </c>
      <c r="F17" s="32">
        <v>18612</v>
      </c>
      <c r="G17" s="33">
        <v>16.272225628448805</v>
      </c>
      <c r="H17" s="33">
        <f t="shared" si="0"/>
        <v>-6.3277789495886944E-2</v>
      </c>
      <c r="I17" s="34">
        <f t="shared" si="0"/>
        <v>7.8514140987758552</v>
      </c>
      <c r="J17" s="34">
        <f t="shared" si="0"/>
        <v>18.277886497064578</v>
      </c>
      <c r="K17" s="35">
        <f t="shared" si="0"/>
        <v>53.970880211780283</v>
      </c>
    </row>
    <row r="18" spans="1:15" ht="12.75" customHeight="1">
      <c r="A18" s="29" t="s">
        <v>32</v>
      </c>
      <c r="B18" s="30">
        <v>13462</v>
      </c>
      <c r="C18" s="30">
        <v>13274</v>
      </c>
      <c r="D18" s="31">
        <v>14944</v>
      </c>
      <c r="E18" s="31">
        <v>16655</v>
      </c>
      <c r="F18" s="32">
        <v>18164</v>
      </c>
      <c r="G18" s="33">
        <v>-1.5431873034447401</v>
      </c>
      <c r="H18" s="33">
        <f t="shared" si="0"/>
        <v>-1.3965235477640767</v>
      </c>
      <c r="I18" s="34">
        <f t="shared" si="0"/>
        <v>12.580985384963087</v>
      </c>
      <c r="J18" s="34">
        <f t="shared" si="0"/>
        <v>11.44941113490364</v>
      </c>
      <c r="K18" s="35">
        <f t="shared" si="0"/>
        <v>9.0603422395676976</v>
      </c>
    </row>
    <row r="19" spans="1:15" ht="12.75" customHeight="1">
      <c r="A19" s="29" t="s">
        <v>76</v>
      </c>
      <c r="B19" s="30">
        <v>8853</v>
      </c>
      <c r="C19" s="30">
        <v>9438</v>
      </c>
      <c r="D19" s="31">
        <v>11482</v>
      </c>
      <c r="E19" s="31">
        <v>14490</v>
      </c>
      <c r="F19" s="32">
        <v>16049</v>
      </c>
      <c r="G19" s="33">
        <v>-5.2952503209242625</v>
      </c>
      <c r="H19" s="33">
        <f t="shared" si="0"/>
        <v>6.607929515418502</v>
      </c>
      <c r="I19" s="34">
        <f t="shared" si="0"/>
        <v>21.657130748039837</v>
      </c>
      <c r="J19" s="34">
        <f t="shared" si="0"/>
        <v>26.197526563316497</v>
      </c>
      <c r="K19" s="35">
        <f t="shared" si="0"/>
        <v>10.759144237405106</v>
      </c>
    </row>
    <row r="20" spans="1:15" ht="12.75" customHeight="1">
      <c r="A20" s="29" t="s">
        <v>78</v>
      </c>
      <c r="B20" s="30">
        <v>9368</v>
      </c>
      <c r="C20" s="30">
        <v>7392</v>
      </c>
      <c r="D20" s="31">
        <v>9622</v>
      </c>
      <c r="E20" s="31">
        <v>12778</v>
      </c>
      <c r="F20" s="32">
        <v>15208</v>
      </c>
      <c r="G20" s="33">
        <v>-0.40399744843716773</v>
      </c>
      <c r="H20" s="33">
        <f t="shared" si="0"/>
        <v>-21.093082835183605</v>
      </c>
      <c r="I20" s="34">
        <f t="shared" si="0"/>
        <v>30.167748917748916</v>
      </c>
      <c r="J20" s="34">
        <f t="shared" si="0"/>
        <v>32.799833714404492</v>
      </c>
      <c r="K20" s="35">
        <f t="shared" si="0"/>
        <v>19.017060572859602</v>
      </c>
    </row>
    <row r="21" spans="1:15" ht="12.75" customHeight="1">
      <c r="A21" s="29" t="s">
        <v>67</v>
      </c>
      <c r="B21" s="30">
        <v>4956</v>
      </c>
      <c r="C21" s="30">
        <v>5214</v>
      </c>
      <c r="D21" s="31">
        <v>5332</v>
      </c>
      <c r="E21" s="31">
        <v>7990</v>
      </c>
      <c r="F21" s="32">
        <v>9625</v>
      </c>
      <c r="G21" s="33">
        <v>11.220825852782765</v>
      </c>
      <c r="H21" s="33">
        <f t="shared" si="0"/>
        <v>5.2058111380145284</v>
      </c>
      <c r="I21" s="34">
        <f t="shared" si="0"/>
        <v>2.263137706175681</v>
      </c>
      <c r="J21" s="34">
        <f t="shared" si="0"/>
        <v>49.849962490622659</v>
      </c>
      <c r="K21" s="35">
        <f t="shared" si="0"/>
        <v>20.463078848560702</v>
      </c>
    </row>
    <row r="22" spans="1:15" ht="12.75" customHeight="1">
      <c r="A22" s="29" t="s">
        <v>68</v>
      </c>
      <c r="B22" s="30">
        <v>9752</v>
      </c>
      <c r="C22" s="30">
        <v>7833</v>
      </c>
      <c r="D22" s="31">
        <v>7872</v>
      </c>
      <c r="E22" s="31">
        <v>9670</v>
      </c>
      <c r="F22" s="32">
        <v>8860</v>
      </c>
      <c r="G22" s="33">
        <v>1.015123264967889</v>
      </c>
      <c r="H22" s="33">
        <f t="shared" si="0"/>
        <v>-19.678014766201805</v>
      </c>
      <c r="I22" s="34">
        <f t="shared" si="0"/>
        <v>0.49789352738414405</v>
      </c>
      <c r="J22" s="34">
        <f t="shared" si="0"/>
        <v>22.840447154471544</v>
      </c>
      <c r="K22" s="35">
        <f t="shared" si="0"/>
        <v>-8.3764219234746644</v>
      </c>
    </row>
    <row r="23" spans="1:15" ht="12.75" customHeight="1">
      <c r="A23" s="29" t="s">
        <v>51</v>
      </c>
      <c r="B23" s="30">
        <v>8217</v>
      </c>
      <c r="C23" s="30">
        <v>7279</v>
      </c>
      <c r="D23" s="31">
        <v>8912</v>
      </c>
      <c r="E23" s="31">
        <v>9710</v>
      </c>
      <c r="F23" s="32">
        <v>8824</v>
      </c>
      <c r="G23" s="33">
        <v>-6.6037735849056602</v>
      </c>
      <c r="H23" s="33">
        <f t="shared" si="0"/>
        <v>-11.415358403310211</v>
      </c>
      <c r="I23" s="34">
        <f t="shared" si="0"/>
        <v>22.434400329715622</v>
      </c>
      <c r="J23" s="34">
        <f t="shared" si="0"/>
        <v>8.9542190305206457</v>
      </c>
      <c r="K23" s="35">
        <f t="shared" si="0"/>
        <v>-9.1246138002059727</v>
      </c>
      <c r="O23" s="18" t="s">
        <v>98</v>
      </c>
    </row>
    <row r="24" spans="1:15" ht="12.75" customHeight="1">
      <c r="A24" s="29" t="s">
        <v>55</v>
      </c>
      <c r="B24" s="30">
        <v>5399</v>
      </c>
      <c r="C24" s="30">
        <v>4643</v>
      </c>
      <c r="D24" s="31">
        <v>5445</v>
      </c>
      <c r="E24" s="31">
        <v>6729</v>
      </c>
      <c r="F24" s="32">
        <v>8044</v>
      </c>
      <c r="G24" s="33">
        <v>52.299012693935119</v>
      </c>
      <c r="H24" s="33">
        <f t="shared" si="0"/>
        <v>-14.002593072791258</v>
      </c>
      <c r="I24" s="34">
        <f t="shared" si="0"/>
        <v>17.273314667241007</v>
      </c>
      <c r="J24" s="34">
        <f t="shared" si="0"/>
        <v>23.581267217630856</v>
      </c>
      <c r="K24" s="35">
        <f t="shared" si="0"/>
        <v>19.542279684945758</v>
      </c>
    </row>
    <row r="25" spans="1:15" ht="12.75" customHeight="1">
      <c r="A25" s="29" t="s">
        <v>83</v>
      </c>
      <c r="B25" s="30">
        <v>2747</v>
      </c>
      <c r="C25" s="30">
        <v>3036</v>
      </c>
      <c r="D25" s="31">
        <v>4040</v>
      </c>
      <c r="E25" s="31">
        <v>5005</v>
      </c>
      <c r="F25" s="32">
        <v>7263</v>
      </c>
      <c r="G25" s="33">
        <v>41.597938144329902</v>
      </c>
      <c r="H25" s="33">
        <f t="shared" si="0"/>
        <v>10.520567892246087</v>
      </c>
      <c r="I25" s="34">
        <f t="shared" si="0"/>
        <v>33.06982872200264</v>
      </c>
      <c r="J25" s="34">
        <f t="shared" si="0"/>
        <v>23.886138613861384</v>
      </c>
      <c r="K25" s="35">
        <f t="shared" si="0"/>
        <v>45.114885114885119</v>
      </c>
    </row>
    <row r="26" spans="1:15" ht="12.75" customHeight="1">
      <c r="A26" s="29" t="s">
        <v>70</v>
      </c>
      <c r="B26" s="30">
        <v>3952</v>
      </c>
      <c r="C26" s="30">
        <v>3813</v>
      </c>
      <c r="D26" s="31">
        <v>5397</v>
      </c>
      <c r="E26" s="31">
        <v>6214</v>
      </c>
      <c r="F26" s="32">
        <v>6896</v>
      </c>
      <c r="G26" s="33">
        <v>7.8897078897078892</v>
      </c>
      <c r="H26" s="33">
        <f t="shared" si="0"/>
        <v>-3.5172064777327936</v>
      </c>
      <c r="I26" s="34">
        <f t="shared" si="0"/>
        <v>41.542092840283239</v>
      </c>
      <c r="J26" s="34">
        <f t="shared" si="0"/>
        <v>15.138039651658328</v>
      </c>
      <c r="K26" s="35">
        <f t="shared" si="0"/>
        <v>10.975217251367878</v>
      </c>
    </row>
    <row r="27" spans="1:15" ht="12.75" customHeight="1">
      <c r="A27" s="29" t="s">
        <v>64</v>
      </c>
      <c r="B27" s="30">
        <v>3137</v>
      </c>
      <c r="C27" s="30">
        <v>3139</v>
      </c>
      <c r="D27" s="31">
        <v>3894</v>
      </c>
      <c r="E27" s="31">
        <v>6055</v>
      </c>
      <c r="F27" s="32">
        <v>6766</v>
      </c>
      <c r="G27" s="33">
        <v>4.6015338446148721</v>
      </c>
      <c r="H27" s="33">
        <f t="shared" si="0"/>
        <v>6.3755180108383797E-2</v>
      </c>
      <c r="I27" s="34">
        <f t="shared" si="0"/>
        <v>24.052245938196879</v>
      </c>
      <c r="J27" s="34">
        <f t="shared" si="0"/>
        <v>55.495634309193633</v>
      </c>
      <c r="K27" s="35">
        <f t="shared" si="0"/>
        <v>11.742361684558217</v>
      </c>
    </row>
    <row r="28" spans="1:15" ht="12.75" customHeight="1">
      <c r="A28" s="29" t="s">
        <v>44</v>
      </c>
      <c r="B28" s="30">
        <v>5595</v>
      </c>
      <c r="C28" s="30">
        <v>5355</v>
      </c>
      <c r="D28" s="31">
        <v>5682</v>
      </c>
      <c r="E28" s="31">
        <v>5693</v>
      </c>
      <c r="F28" s="32">
        <v>6077</v>
      </c>
      <c r="G28" s="33">
        <v>-13.644080876678499</v>
      </c>
      <c r="H28" s="33">
        <f t="shared" si="0"/>
        <v>-4.2895442359249332</v>
      </c>
      <c r="I28" s="34">
        <f t="shared" si="0"/>
        <v>6.1064425770308119</v>
      </c>
      <c r="J28" s="34">
        <f t="shared" si="0"/>
        <v>0.19359380499824005</v>
      </c>
      <c r="K28" s="35">
        <f t="shared" si="0"/>
        <v>6.745125592833304</v>
      </c>
    </row>
    <row r="29" spans="1:15" ht="12.75" customHeight="1">
      <c r="A29" s="29" t="s">
        <v>85</v>
      </c>
      <c r="B29" s="30">
        <v>2585</v>
      </c>
      <c r="C29" s="30">
        <v>2744</v>
      </c>
      <c r="D29" s="31">
        <v>3336</v>
      </c>
      <c r="E29" s="31">
        <v>4130</v>
      </c>
      <c r="F29" s="32">
        <v>5880</v>
      </c>
      <c r="G29" s="33">
        <v>26.777832270720943</v>
      </c>
      <c r="H29" s="33">
        <f t="shared" si="0"/>
        <v>6.1508704061895552</v>
      </c>
      <c r="I29" s="34">
        <f t="shared" si="0"/>
        <v>21.574344023323615</v>
      </c>
      <c r="J29" s="34">
        <f t="shared" si="0"/>
        <v>23.800959232613909</v>
      </c>
      <c r="K29" s="35">
        <f t="shared" si="0"/>
        <v>42.372881355932201</v>
      </c>
    </row>
    <row r="30" spans="1:15" ht="12.75" customHeight="1">
      <c r="A30" s="29" t="s">
        <v>34</v>
      </c>
      <c r="B30" s="30">
        <v>3811</v>
      </c>
      <c r="C30" s="30">
        <v>3851</v>
      </c>
      <c r="D30" s="31">
        <v>5137</v>
      </c>
      <c r="E30" s="31">
        <v>6471</v>
      </c>
      <c r="F30" s="32">
        <v>5588</v>
      </c>
      <c r="G30" s="33">
        <v>37.780187997107738</v>
      </c>
      <c r="H30" s="33">
        <f t="shared" si="0"/>
        <v>1.0495932826029915</v>
      </c>
      <c r="I30" s="34">
        <f t="shared" si="0"/>
        <v>33.393923656193195</v>
      </c>
      <c r="J30" s="34">
        <f t="shared" si="0"/>
        <v>25.968464084095778</v>
      </c>
      <c r="K30" s="35">
        <f t="shared" si="0"/>
        <v>-13.645495286663575</v>
      </c>
    </row>
    <row r="31" spans="1:15" ht="12.75" customHeight="1">
      <c r="A31" s="29" t="s">
        <v>54</v>
      </c>
      <c r="B31" s="30">
        <v>3235</v>
      </c>
      <c r="C31" s="30">
        <v>2758</v>
      </c>
      <c r="D31" s="31">
        <v>4637</v>
      </c>
      <c r="E31" s="31">
        <v>4542</v>
      </c>
      <c r="F31" s="32">
        <v>5416</v>
      </c>
      <c r="G31" s="33">
        <v>32.473382473382472</v>
      </c>
      <c r="H31" s="33">
        <f t="shared" si="0"/>
        <v>-14.744976816074187</v>
      </c>
      <c r="I31" s="34">
        <f t="shared" si="0"/>
        <v>68.129079042784625</v>
      </c>
      <c r="J31" s="34">
        <f t="shared" si="0"/>
        <v>-2.0487384084537417</v>
      </c>
      <c r="K31" s="35">
        <f t="shared" si="0"/>
        <v>19.242624394539849</v>
      </c>
    </row>
    <row r="32" spans="1:15" ht="12.75" customHeight="1">
      <c r="A32" s="29" t="s">
        <v>52</v>
      </c>
      <c r="B32" s="30">
        <v>3542</v>
      </c>
      <c r="C32" s="30">
        <v>3165</v>
      </c>
      <c r="D32" s="31">
        <v>3638</v>
      </c>
      <c r="E32" s="31">
        <v>4896</v>
      </c>
      <c r="F32" s="32">
        <v>5230</v>
      </c>
      <c r="G32" s="33">
        <v>64.820846905537451</v>
      </c>
      <c r="H32" s="33">
        <f t="shared" si="0"/>
        <v>-10.643704121964992</v>
      </c>
      <c r="I32" s="34">
        <f t="shared" si="0"/>
        <v>14.944707740916272</v>
      </c>
      <c r="J32" s="34">
        <f t="shared" si="0"/>
        <v>34.579439252336449</v>
      </c>
      <c r="K32" s="35">
        <f t="shared" si="0"/>
        <v>6.8218954248366011</v>
      </c>
    </row>
    <row r="33" spans="1:14" ht="12.75" customHeight="1">
      <c r="A33" s="29" t="s">
        <v>75</v>
      </c>
      <c r="B33" s="30">
        <v>2966</v>
      </c>
      <c r="C33" s="30">
        <v>3043</v>
      </c>
      <c r="D33" s="31">
        <v>3815</v>
      </c>
      <c r="E33" s="31">
        <v>4690</v>
      </c>
      <c r="F33" s="32">
        <v>5070</v>
      </c>
      <c r="G33" s="33">
        <v>4.0336723956506493</v>
      </c>
      <c r="H33" s="33">
        <f t="shared" si="0"/>
        <v>2.5960890087660147</v>
      </c>
      <c r="I33" s="34">
        <f t="shared" si="0"/>
        <v>25.369700953006902</v>
      </c>
      <c r="J33" s="34">
        <f t="shared" si="0"/>
        <v>22.935779816513762</v>
      </c>
      <c r="K33" s="35">
        <f t="shared" si="0"/>
        <v>8.1023454157782524</v>
      </c>
    </row>
    <row r="34" spans="1:14" ht="12.75" customHeight="1">
      <c r="A34" s="29" t="s">
        <v>69</v>
      </c>
      <c r="B34" s="30">
        <v>2233</v>
      </c>
      <c r="C34" s="30">
        <v>1975</v>
      </c>
      <c r="D34" s="31">
        <v>3831</v>
      </c>
      <c r="E34" s="31">
        <v>5305</v>
      </c>
      <c r="F34" s="32">
        <v>4430</v>
      </c>
      <c r="G34" s="33">
        <v>10.654112983151636</v>
      </c>
      <c r="H34" s="33">
        <f t="shared" si="0"/>
        <v>-11.553963278101209</v>
      </c>
      <c r="I34" s="34">
        <f t="shared" si="0"/>
        <v>93.974683544303801</v>
      </c>
      <c r="J34" s="34">
        <f t="shared" si="0"/>
        <v>38.475593839728525</v>
      </c>
      <c r="K34" s="35">
        <f t="shared" si="0"/>
        <v>-16.493873704052781</v>
      </c>
    </row>
    <row r="35" spans="1:14" ht="12.75" customHeight="1">
      <c r="A35" s="29" t="s">
        <v>84</v>
      </c>
      <c r="B35" s="30">
        <v>1394</v>
      </c>
      <c r="C35" s="30">
        <v>1580</v>
      </c>
      <c r="D35" s="31">
        <v>1699</v>
      </c>
      <c r="E35" s="31">
        <v>2292</v>
      </c>
      <c r="F35" s="32">
        <v>4047</v>
      </c>
      <c r="G35" s="33">
        <v>72.738537794299873</v>
      </c>
      <c r="H35" s="33">
        <f t="shared" si="0"/>
        <v>13.342898134863701</v>
      </c>
      <c r="I35" s="34">
        <f t="shared" si="0"/>
        <v>7.5316455696202533</v>
      </c>
      <c r="J35" s="34">
        <f t="shared" si="0"/>
        <v>34.90288404944085</v>
      </c>
      <c r="K35" s="35">
        <f t="shared" si="0"/>
        <v>76.570680628272243</v>
      </c>
    </row>
    <row r="36" spans="1:14" ht="12.75" customHeight="1">
      <c r="A36" s="29" t="s">
        <v>72</v>
      </c>
      <c r="B36" s="30">
        <v>3732</v>
      </c>
      <c r="C36" s="30">
        <v>2975</v>
      </c>
      <c r="D36" s="31">
        <v>3157</v>
      </c>
      <c r="E36" s="31">
        <v>3684</v>
      </c>
      <c r="F36" s="32">
        <v>3967</v>
      </c>
      <c r="G36" s="33">
        <v>13.331308836926814</v>
      </c>
      <c r="H36" s="33">
        <f t="shared" si="0"/>
        <v>-20.284030010718112</v>
      </c>
      <c r="I36" s="34">
        <f t="shared" si="0"/>
        <v>6.1176470588235299</v>
      </c>
      <c r="J36" s="34">
        <f t="shared" si="0"/>
        <v>16.69306303452645</v>
      </c>
      <c r="K36" s="35">
        <f t="shared" si="0"/>
        <v>7.681867535287731</v>
      </c>
    </row>
    <row r="37" spans="1:14" ht="12.75" customHeight="1">
      <c r="A37" s="29" t="s">
        <v>46</v>
      </c>
      <c r="B37" s="30">
        <v>3325</v>
      </c>
      <c r="C37" s="30">
        <v>3357</v>
      </c>
      <c r="D37" s="31">
        <v>3795</v>
      </c>
      <c r="E37" s="31">
        <v>4158</v>
      </c>
      <c r="F37" s="32">
        <v>3918</v>
      </c>
      <c r="G37" s="33">
        <v>25.047010154193305</v>
      </c>
      <c r="H37" s="33">
        <f t="shared" si="0"/>
        <v>0.96240601503759393</v>
      </c>
      <c r="I37" s="34">
        <f t="shared" si="0"/>
        <v>13.047363717605004</v>
      </c>
      <c r="J37" s="34">
        <f t="shared" si="0"/>
        <v>9.5652173913043477</v>
      </c>
      <c r="K37" s="35">
        <f t="shared" si="0"/>
        <v>-5.7720057720057723</v>
      </c>
    </row>
    <row r="38" spans="1:14" ht="12.75" customHeight="1">
      <c r="A38" s="29" t="s">
        <v>47</v>
      </c>
      <c r="B38" s="30">
        <v>4150</v>
      </c>
      <c r="C38" s="30">
        <v>4822</v>
      </c>
      <c r="D38" s="31">
        <v>4555</v>
      </c>
      <c r="E38" s="31">
        <v>4434</v>
      </c>
      <c r="F38" s="32">
        <v>3660</v>
      </c>
      <c r="G38" s="33">
        <v>-0.90735434574976126</v>
      </c>
      <c r="H38" s="33">
        <f t="shared" si="0"/>
        <v>16.192771084337348</v>
      </c>
      <c r="I38" s="34">
        <f t="shared" si="0"/>
        <v>-5.5371215263376188</v>
      </c>
      <c r="J38" s="34">
        <f t="shared" si="0"/>
        <v>-2.6564215148188803</v>
      </c>
      <c r="K38" s="35">
        <f t="shared" si="0"/>
        <v>-17.456021650879567</v>
      </c>
    </row>
    <row r="39" spans="1:14" ht="12.75" customHeight="1">
      <c r="A39" s="29" t="s">
        <v>35</v>
      </c>
      <c r="B39" s="30">
        <v>1834</v>
      </c>
      <c r="C39" s="30">
        <v>1722</v>
      </c>
      <c r="D39" s="31">
        <v>2422</v>
      </c>
      <c r="E39" s="31">
        <v>3173</v>
      </c>
      <c r="F39" s="32">
        <v>3493</v>
      </c>
      <c r="G39" s="33">
        <v>0.82462891698735563</v>
      </c>
      <c r="H39" s="33">
        <f t="shared" ref="H39:K60" si="1">(C39-B39)/B39*100</f>
        <v>-6.1068702290076331</v>
      </c>
      <c r="I39" s="34">
        <f t="shared" si="1"/>
        <v>40.650406504065039</v>
      </c>
      <c r="J39" s="34">
        <f t="shared" si="1"/>
        <v>31.007431874483899</v>
      </c>
      <c r="K39" s="35">
        <f t="shared" si="1"/>
        <v>10.085092971950834</v>
      </c>
    </row>
    <row r="40" spans="1:14" ht="12.75" customHeight="1">
      <c r="A40" s="29" t="s">
        <v>73</v>
      </c>
      <c r="B40" s="30">
        <v>1962</v>
      </c>
      <c r="C40" s="30">
        <v>2059</v>
      </c>
      <c r="D40" s="31">
        <v>2471</v>
      </c>
      <c r="E40" s="31">
        <v>2781</v>
      </c>
      <c r="F40" s="32">
        <v>3128</v>
      </c>
      <c r="G40" s="33">
        <v>26.336123631680618</v>
      </c>
      <c r="H40" s="33">
        <f t="shared" si="1"/>
        <v>4.9439347604485224</v>
      </c>
      <c r="I40" s="34">
        <f t="shared" si="1"/>
        <v>20.009713453132587</v>
      </c>
      <c r="J40" s="34">
        <f t="shared" si="1"/>
        <v>12.545528126264671</v>
      </c>
      <c r="K40" s="35">
        <f t="shared" si="1"/>
        <v>12.47752606975908</v>
      </c>
    </row>
    <row r="41" spans="1:14" ht="12.75" customHeight="1">
      <c r="A41" s="29" t="s">
        <v>74</v>
      </c>
      <c r="B41" s="30">
        <v>1327</v>
      </c>
      <c r="C41" s="30">
        <v>1304</v>
      </c>
      <c r="D41" s="31">
        <v>1761</v>
      </c>
      <c r="E41" s="31">
        <v>2342</v>
      </c>
      <c r="F41" s="32">
        <v>3061</v>
      </c>
      <c r="G41" s="33">
        <v>87.429378531073439</v>
      </c>
      <c r="H41" s="33">
        <f t="shared" si="1"/>
        <v>-1.7332328560663148</v>
      </c>
      <c r="I41" s="34">
        <f t="shared" si="1"/>
        <v>35.04601226993865</v>
      </c>
      <c r="J41" s="34">
        <f t="shared" si="1"/>
        <v>32.992617830777967</v>
      </c>
      <c r="K41" s="35">
        <f t="shared" si="1"/>
        <v>30.700256191289498</v>
      </c>
    </row>
    <row r="42" spans="1:14" ht="12.75" customHeight="1">
      <c r="A42" s="29" t="s">
        <v>81</v>
      </c>
      <c r="B42" s="30">
        <v>1340</v>
      </c>
      <c r="C42" s="30">
        <v>1181</v>
      </c>
      <c r="D42" s="31">
        <v>1409</v>
      </c>
      <c r="E42" s="31">
        <v>1797</v>
      </c>
      <c r="F42" s="32">
        <v>2987</v>
      </c>
      <c r="G42" s="33">
        <v>33.466135458167329</v>
      </c>
      <c r="H42" s="33">
        <f t="shared" si="1"/>
        <v>-11.865671641791046</v>
      </c>
      <c r="I42" s="34">
        <f t="shared" si="1"/>
        <v>19.30567315834039</v>
      </c>
      <c r="J42" s="34">
        <f t="shared" si="1"/>
        <v>27.537260468417319</v>
      </c>
      <c r="K42" s="35">
        <f t="shared" si="1"/>
        <v>66.221480244852543</v>
      </c>
    </row>
    <row r="43" spans="1:14" ht="12.75" customHeight="1">
      <c r="A43" s="29" t="s">
        <v>45</v>
      </c>
      <c r="B43" s="30">
        <v>2596</v>
      </c>
      <c r="C43" s="30">
        <v>2120</v>
      </c>
      <c r="D43" s="31">
        <v>2153</v>
      </c>
      <c r="E43" s="31">
        <v>2775</v>
      </c>
      <c r="F43" s="32">
        <v>2902</v>
      </c>
      <c r="G43" s="33">
        <v>43.584070796460175</v>
      </c>
      <c r="H43" s="33">
        <f t="shared" si="1"/>
        <v>-18.335901386748844</v>
      </c>
      <c r="I43" s="34">
        <f t="shared" si="1"/>
        <v>1.5566037735849056</v>
      </c>
      <c r="J43" s="34">
        <f t="shared" si="1"/>
        <v>28.889921040408733</v>
      </c>
      <c r="K43" s="35">
        <f t="shared" si="1"/>
        <v>4.576576576576576</v>
      </c>
    </row>
    <row r="44" spans="1:14" ht="12.75" customHeight="1">
      <c r="A44" s="29" t="s">
        <v>49</v>
      </c>
      <c r="B44" s="30">
        <v>1916</v>
      </c>
      <c r="C44" s="30">
        <v>1970</v>
      </c>
      <c r="D44" s="31">
        <v>2348</v>
      </c>
      <c r="E44" s="31">
        <v>2822</v>
      </c>
      <c r="F44" s="32">
        <v>2636</v>
      </c>
      <c r="G44" s="33">
        <v>30.428863172226006</v>
      </c>
      <c r="H44" s="33">
        <f t="shared" si="1"/>
        <v>2.8183716075156577</v>
      </c>
      <c r="I44" s="34">
        <f t="shared" si="1"/>
        <v>19.18781725888325</v>
      </c>
      <c r="J44" s="34">
        <f t="shared" si="1"/>
        <v>20.187393526405451</v>
      </c>
      <c r="K44" s="35">
        <f t="shared" si="1"/>
        <v>-6.5910701630049608</v>
      </c>
    </row>
    <row r="45" spans="1:14" ht="12.75" customHeight="1">
      <c r="A45" s="29" t="s">
        <v>77</v>
      </c>
      <c r="B45" s="30">
        <v>1334</v>
      </c>
      <c r="C45" s="30">
        <v>1374</v>
      </c>
      <c r="D45" s="31">
        <v>1543</v>
      </c>
      <c r="E45" s="31">
        <v>2132</v>
      </c>
      <c r="F45" s="32">
        <v>2594</v>
      </c>
      <c r="G45" s="33">
        <v>3.3307513555383426</v>
      </c>
      <c r="H45" s="33">
        <f t="shared" si="1"/>
        <v>2.9985007496251872</v>
      </c>
      <c r="I45" s="34">
        <f t="shared" si="1"/>
        <v>12.299854439592432</v>
      </c>
      <c r="J45" s="34">
        <f t="shared" si="1"/>
        <v>38.172391445236556</v>
      </c>
      <c r="K45" s="35">
        <f t="shared" si="1"/>
        <v>21.669793621013135</v>
      </c>
      <c r="N45" s="18" t="s">
        <v>99</v>
      </c>
    </row>
    <row r="46" spans="1:14" ht="12" customHeight="1">
      <c r="A46" s="29" t="s">
        <v>42</v>
      </c>
      <c r="B46" s="30">
        <v>1588</v>
      </c>
      <c r="C46" s="30">
        <v>1380</v>
      </c>
      <c r="D46" s="31">
        <v>2113</v>
      </c>
      <c r="E46" s="31">
        <v>2433</v>
      </c>
      <c r="F46" s="32">
        <v>2569</v>
      </c>
      <c r="G46" s="33">
        <v>21.406727828746178</v>
      </c>
      <c r="H46" s="33">
        <f t="shared" si="1"/>
        <v>-13.09823677581864</v>
      </c>
      <c r="I46" s="34">
        <f t="shared" si="1"/>
        <v>53.115942028985508</v>
      </c>
      <c r="J46" s="34">
        <f t="shared" si="1"/>
        <v>15.144344533838144</v>
      </c>
      <c r="K46" s="35">
        <f t="shared" si="1"/>
        <v>5.589806822852446</v>
      </c>
    </row>
    <row r="47" spans="1:14" ht="12.75" customHeight="1">
      <c r="A47" s="29" t="s">
        <v>41</v>
      </c>
      <c r="B47" s="30">
        <v>2884</v>
      </c>
      <c r="C47" s="30">
        <v>2420</v>
      </c>
      <c r="D47" s="31">
        <v>2514</v>
      </c>
      <c r="E47" s="31">
        <v>2444</v>
      </c>
      <c r="F47" s="32">
        <v>2483</v>
      </c>
      <c r="G47" s="33">
        <v>-8.3862770012706473</v>
      </c>
      <c r="H47" s="33">
        <f t="shared" si="1"/>
        <v>-16.08876560332871</v>
      </c>
      <c r="I47" s="34">
        <f t="shared" si="1"/>
        <v>3.884297520661157</v>
      </c>
      <c r="J47" s="34">
        <f t="shared" si="1"/>
        <v>-2.7844073190135243</v>
      </c>
      <c r="K47" s="35">
        <f t="shared" si="1"/>
        <v>1.5957446808510638</v>
      </c>
    </row>
    <row r="48" spans="1:14" ht="12.75" customHeight="1">
      <c r="A48" s="29" t="s">
        <v>40</v>
      </c>
      <c r="B48" s="30">
        <v>2052</v>
      </c>
      <c r="C48" s="30">
        <v>1848</v>
      </c>
      <c r="D48" s="31">
        <v>2434</v>
      </c>
      <c r="E48" s="31">
        <v>2596</v>
      </c>
      <c r="F48" s="32">
        <v>2408</v>
      </c>
      <c r="G48" s="33">
        <v>-20.093457943925234</v>
      </c>
      <c r="H48" s="33">
        <f t="shared" si="1"/>
        <v>-9.9415204678362574</v>
      </c>
      <c r="I48" s="34">
        <f t="shared" si="1"/>
        <v>31.70995670995671</v>
      </c>
      <c r="J48" s="34">
        <f t="shared" si="1"/>
        <v>6.6557107641741986</v>
      </c>
      <c r="K48" s="35">
        <f t="shared" si="1"/>
        <v>-7.2419106317411401</v>
      </c>
    </row>
    <row r="49" spans="1:11" ht="12.75" customHeight="1">
      <c r="A49" s="29" t="s">
        <v>71</v>
      </c>
      <c r="B49" s="30">
        <v>1065</v>
      </c>
      <c r="C49" s="30">
        <v>1182</v>
      </c>
      <c r="D49" s="31">
        <v>1575</v>
      </c>
      <c r="E49" s="31">
        <v>2485</v>
      </c>
      <c r="F49" s="32">
        <v>2345</v>
      </c>
      <c r="G49" s="33">
        <v>-45.412608918503331</v>
      </c>
      <c r="H49" s="33">
        <f t="shared" si="1"/>
        <v>10.985915492957748</v>
      </c>
      <c r="I49" s="34">
        <f t="shared" si="1"/>
        <v>33.248730964467008</v>
      </c>
      <c r="J49" s="34">
        <f t="shared" si="1"/>
        <v>57.777777777777771</v>
      </c>
      <c r="K49" s="35">
        <f t="shared" si="1"/>
        <v>-5.6338028169014089</v>
      </c>
    </row>
    <row r="50" spans="1:11" ht="12.75" customHeight="1">
      <c r="A50" s="29" t="s">
        <v>66</v>
      </c>
      <c r="B50" s="30">
        <v>871</v>
      </c>
      <c r="C50" s="30">
        <v>979</v>
      </c>
      <c r="D50" s="31">
        <v>1066</v>
      </c>
      <c r="E50" s="31">
        <v>1652</v>
      </c>
      <c r="F50" s="32">
        <v>2265</v>
      </c>
      <c r="G50" s="33">
        <v>-11.303462321792262</v>
      </c>
      <c r="H50" s="33">
        <f t="shared" si="1"/>
        <v>12.399540757749714</v>
      </c>
      <c r="I50" s="34">
        <f t="shared" si="1"/>
        <v>8.88661899897855</v>
      </c>
      <c r="J50" s="34">
        <f t="shared" si="1"/>
        <v>54.971857410881796</v>
      </c>
      <c r="K50" s="35">
        <f t="shared" si="1"/>
        <v>37.106537530266344</v>
      </c>
    </row>
    <row r="51" spans="1:11" ht="12.75" customHeight="1">
      <c r="A51" s="29" t="s">
        <v>39</v>
      </c>
      <c r="B51" s="30">
        <v>4926</v>
      </c>
      <c r="C51" s="30">
        <v>5406</v>
      </c>
      <c r="D51" s="31">
        <v>4630</v>
      </c>
      <c r="E51" s="31">
        <v>3009</v>
      </c>
      <c r="F51" s="32">
        <v>2058</v>
      </c>
      <c r="G51" s="33">
        <v>1.5670103092783505</v>
      </c>
      <c r="H51" s="33">
        <f t="shared" si="1"/>
        <v>9.7442143727161987</v>
      </c>
      <c r="I51" s="34">
        <f t="shared" si="1"/>
        <v>-14.354421013688496</v>
      </c>
      <c r="J51" s="34">
        <f t="shared" si="1"/>
        <v>-35.010799136069117</v>
      </c>
      <c r="K51" s="35">
        <f t="shared" si="1"/>
        <v>-31.605184446660019</v>
      </c>
    </row>
    <row r="52" spans="1:11" ht="12.75" customHeight="1">
      <c r="A52" s="29" t="s">
        <v>65</v>
      </c>
      <c r="B52" s="30">
        <v>1191</v>
      </c>
      <c r="C52" s="30">
        <v>1046</v>
      </c>
      <c r="D52" s="31">
        <v>1256</v>
      </c>
      <c r="E52" s="31">
        <v>1842</v>
      </c>
      <c r="F52" s="32">
        <v>1857</v>
      </c>
      <c r="G52" s="33">
        <v>17.5715695952616</v>
      </c>
      <c r="H52" s="33">
        <f t="shared" si="1"/>
        <v>-12.174643157010916</v>
      </c>
      <c r="I52" s="34">
        <f t="shared" si="1"/>
        <v>20.076481835564053</v>
      </c>
      <c r="J52" s="34">
        <f t="shared" si="1"/>
        <v>46.656050955414017</v>
      </c>
      <c r="K52" s="35">
        <f t="shared" si="1"/>
        <v>0.81433224755700329</v>
      </c>
    </row>
    <row r="53" spans="1:11" ht="12.75" customHeight="1">
      <c r="A53" s="29" t="s">
        <v>61</v>
      </c>
      <c r="B53" s="30">
        <v>581</v>
      </c>
      <c r="C53" s="30">
        <v>677</v>
      </c>
      <c r="D53" s="31">
        <v>818</v>
      </c>
      <c r="E53" s="31">
        <v>1283</v>
      </c>
      <c r="F53" s="32">
        <v>1772</v>
      </c>
      <c r="G53" s="33">
        <v>-38.388123011664902</v>
      </c>
      <c r="H53" s="33">
        <f t="shared" si="1"/>
        <v>16.523235800344235</v>
      </c>
      <c r="I53" s="34">
        <f t="shared" si="1"/>
        <v>20.827178729689809</v>
      </c>
      <c r="J53" s="34">
        <f t="shared" si="1"/>
        <v>56.845965770171148</v>
      </c>
      <c r="K53" s="35">
        <f t="shared" si="1"/>
        <v>38.113795791114576</v>
      </c>
    </row>
    <row r="54" spans="1:11" ht="12.75" customHeight="1">
      <c r="A54" s="29" t="s">
        <v>82</v>
      </c>
      <c r="B54" s="30">
        <v>1139</v>
      </c>
      <c r="C54" s="30">
        <v>984</v>
      </c>
      <c r="D54" s="31">
        <v>1145</v>
      </c>
      <c r="E54" s="31">
        <v>1346</v>
      </c>
      <c r="F54" s="32">
        <v>1666</v>
      </c>
      <c r="G54" s="33">
        <v>72.575757575757578</v>
      </c>
      <c r="H54" s="33">
        <f t="shared" si="1"/>
        <v>-13.608428446005268</v>
      </c>
      <c r="I54" s="34">
        <f t="shared" si="1"/>
        <v>16.361788617886177</v>
      </c>
      <c r="J54" s="34">
        <f t="shared" si="1"/>
        <v>17.554585152838428</v>
      </c>
      <c r="K54" s="35">
        <f t="shared" si="1"/>
        <v>23.774145616641899</v>
      </c>
    </row>
    <row r="55" spans="1:11" ht="12.75" customHeight="1">
      <c r="A55" s="29" t="s">
        <v>79</v>
      </c>
      <c r="B55" s="30">
        <v>1184</v>
      </c>
      <c r="C55" s="30">
        <v>991</v>
      </c>
      <c r="D55" s="31">
        <v>1103</v>
      </c>
      <c r="E55" s="31">
        <v>1390</v>
      </c>
      <c r="F55" s="32">
        <v>1579</v>
      </c>
      <c r="G55" s="33">
        <v>3.6777583187390541</v>
      </c>
      <c r="H55" s="33">
        <f t="shared" si="1"/>
        <v>-16.300675675675674</v>
      </c>
      <c r="I55" s="34">
        <f t="shared" si="1"/>
        <v>11.301715438950556</v>
      </c>
      <c r="J55" s="34">
        <f t="shared" si="1"/>
        <v>26.019945602901178</v>
      </c>
      <c r="K55" s="35">
        <f t="shared" si="1"/>
        <v>13.597122302158274</v>
      </c>
    </row>
    <row r="56" spans="1:11" ht="12.75" customHeight="1">
      <c r="A56" s="29" t="s">
        <v>33</v>
      </c>
      <c r="B56" s="30">
        <v>3368</v>
      </c>
      <c r="C56" s="30">
        <v>3437</v>
      </c>
      <c r="D56" s="31">
        <v>4386</v>
      </c>
      <c r="E56" s="31">
        <v>5738</v>
      </c>
      <c r="F56" s="32">
        <v>1509</v>
      </c>
      <c r="G56" s="33">
        <v>-5.1801801801801801</v>
      </c>
      <c r="H56" s="33">
        <f t="shared" si="1"/>
        <v>2.0486935866983371</v>
      </c>
      <c r="I56" s="34">
        <f t="shared" si="1"/>
        <v>27.611288914751235</v>
      </c>
      <c r="J56" s="34">
        <f t="shared" si="1"/>
        <v>30.825353397172822</v>
      </c>
      <c r="K56" s="35">
        <f t="shared" si="1"/>
        <v>-73.701638201463922</v>
      </c>
    </row>
    <row r="57" spans="1:11" ht="12.75" customHeight="1">
      <c r="A57" s="29" t="s">
        <v>36</v>
      </c>
      <c r="B57" s="30">
        <v>865</v>
      </c>
      <c r="C57" s="30">
        <v>1088</v>
      </c>
      <c r="D57" s="31">
        <v>1281</v>
      </c>
      <c r="E57" s="31">
        <v>1535</v>
      </c>
      <c r="F57" s="32">
        <v>1402</v>
      </c>
      <c r="G57" s="33">
        <v>9.6324461343472745</v>
      </c>
      <c r="H57" s="33">
        <f t="shared" si="1"/>
        <v>25.780346820809246</v>
      </c>
      <c r="I57" s="34">
        <f t="shared" si="1"/>
        <v>17.738970588235293</v>
      </c>
      <c r="J57" s="34">
        <f t="shared" si="1"/>
        <v>19.828259172521467</v>
      </c>
      <c r="K57" s="35">
        <f t="shared" si="1"/>
        <v>-8.664495114006515</v>
      </c>
    </row>
    <row r="58" spans="1:11" ht="12.75" customHeight="1">
      <c r="A58" s="29" t="s">
        <v>50</v>
      </c>
      <c r="B58" s="30">
        <v>1372</v>
      </c>
      <c r="C58" s="30">
        <v>1324</v>
      </c>
      <c r="D58" s="31">
        <v>1647</v>
      </c>
      <c r="E58" s="31">
        <v>1609</v>
      </c>
      <c r="F58" s="32">
        <v>1295</v>
      </c>
      <c r="G58" s="33">
        <v>13.953488372093023</v>
      </c>
      <c r="H58" s="33">
        <f t="shared" si="1"/>
        <v>-3.4985422740524781</v>
      </c>
      <c r="I58" s="34">
        <f t="shared" si="1"/>
        <v>24.395770392749245</v>
      </c>
      <c r="J58" s="34">
        <f t="shared" si="1"/>
        <v>-2.3072252580449302</v>
      </c>
      <c r="K58" s="35">
        <f t="shared" si="1"/>
        <v>-19.515226848974518</v>
      </c>
    </row>
    <row r="59" spans="1:11" ht="12.75" customHeight="1">
      <c r="A59" s="29" t="s">
        <v>58</v>
      </c>
      <c r="B59" s="30">
        <v>455</v>
      </c>
      <c r="C59" s="30">
        <v>388</v>
      </c>
      <c r="D59" s="31">
        <v>525</v>
      </c>
      <c r="E59" s="31">
        <v>1496</v>
      </c>
      <c r="F59" s="32">
        <v>1221</v>
      </c>
      <c r="G59" s="33">
        <v>-64.563862928348911</v>
      </c>
      <c r="H59" s="33">
        <f t="shared" si="1"/>
        <v>-14.725274725274726</v>
      </c>
      <c r="I59" s="34">
        <f t="shared" si="1"/>
        <v>35.309278350515463</v>
      </c>
      <c r="J59" s="34">
        <f t="shared" si="1"/>
        <v>184.95238095238096</v>
      </c>
      <c r="K59" s="35">
        <f t="shared" si="1"/>
        <v>-18.382352941176471</v>
      </c>
    </row>
    <row r="60" spans="1:11" ht="12.75" customHeight="1">
      <c r="A60" s="36" t="s">
        <v>80</v>
      </c>
      <c r="B60" s="37">
        <v>22</v>
      </c>
      <c r="C60" s="37">
        <v>21</v>
      </c>
      <c r="D60" s="38">
        <v>31</v>
      </c>
      <c r="E60" s="38">
        <v>27</v>
      </c>
      <c r="F60" s="39">
        <v>39</v>
      </c>
      <c r="G60" s="40">
        <v>-80.530973451327441</v>
      </c>
      <c r="H60" s="40">
        <f t="shared" si="1"/>
        <v>-4.5454545454545459</v>
      </c>
      <c r="I60" s="41">
        <f t="shared" si="1"/>
        <v>47.619047619047613</v>
      </c>
      <c r="J60" s="41">
        <f t="shared" si="1"/>
        <v>-12.903225806451612</v>
      </c>
      <c r="K60" s="42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43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43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1:S28"/>
  <sheetViews>
    <sheetView showGridLines="0" tabSelected="1" zoomScaleNormal="100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V40" sqref="V40"/>
    </sheetView>
  </sheetViews>
  <sheetFormatPr defaultColWidth="9.140625" defaultRowHeight="12.75"/>
  <cols>
    <col min="1" max="1" width="15.5703125" style="13" customWidth="1"/>
    <col min="2" max="5" width="12.28515625" style="13" customWidth="1"/>
    <col min="6" max="6" width="0.85546875" style="13" customWidth="1"/>
    <col min="7" max="10" width="11.140625" style="13" customWidth="1"/>
    <col min="11" max="11" width="20" style="13" customWidth="1"/>
    <col min="12" max="12" width="1.5703125" style="13" customWidth="1"/>
    <col min="13" max="13" width="15.140625" style="13" customWidth="1"/>
    <col min="14" max="14" width="17.7109375" style="13" customWidth="1"/>
    <col min="15" max="15" width="2.42578125" style="13" customWidth="1"/>
    <col min="16" max="16" width="14.5703125" style="13" customWidth="1"/>
    <col min="17" max="17" width="12.7109375" style="13" customWidth="1"/>
    <col min="18" max="18" width="1.85546875" style="13" customWidth="1"/>
    <col min="19" max="16384" width="9.140625" style="13"/>
  </cols>
  <sheetData>
    <row r="1" spans="1:19" ht="27.75" customHeight="1">
      <c r="A1" s="117" t="s">
        <v>115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7"/>
    </row>
    <row r="2" spans="1:19" ht="24.75" customHeight="1">
      <c r="A2" s="118" t="s">
        <v>116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</row>
    <row r="3" spans="1:19" s="8" customFormat="1" ht="28.5" customHeight="1">
      <c r="A3" s="119" t="s">
        <v>2</v>
      </c>
      <c r="B3" s="122" t="s">
        <v>87</v>
      </c>
      <c r="C3" s="122"/>
      <c r="D3" s="122"/>
      <c r="E3" s="122"/>
      <c r="F3" s="92"/>
      <c r="G3" s="125" t="s">
        <v>14</v>
      </c>
      <c r="H3" s="122"/>
      <c r="I3" s="122"/>
      <c r="J3" s="126"/>
      <c r="K3" s="134" t="s">
        <v>109</v>
      </c>
      <c r="L3" s="135"/>
      <c r="M3" s="136"/>
      <c r="N3" s="134" t="s">
        <v>100</v>
      </c>
      <c r="O3" s="135"/>
      <c r="P3" s="135"/>
      <c r="Q3" s="137" t="s">
        <v>18</v>
      </c>
    </row>
    <row r="4" spans="1:19" s="8" customFormat="1" ht="21.75" customHeight="1">
      <c r="A4" s="120"/>
      <c r="B4" s="83"/>
      <c r="C4" s="83"/>
      <c r="D4" s="83"/>
      <c r="E4" s="83"/>
      <c r="F4" s="96"/>
      <c r="G4" s="127"/>
      <c r="H4" s="128"/>
      <c r="I4" s="128"/>
      <c r="J4" s="129"/>
      <c r="K4" s="140" t="s">
        <v>104</v>
      </c>
      <c r="L4" s="141"/>
      <c r="M4" s="142"/>
      <c r="N4" s="143" t="s">
        <v>103</v>
      </c>
      <c r="O4" s="144"/>
      <c r="P4" s="144"/>
      <c r="Q4" s="138"/>
    </row>
    <row r="5" spans="1:19" s="8" customFormat="1" ht="14.25" customHeight="1">
      <c r="A5" s="120"/>
      <c r="B5" s="123" t="s">
        <v>101</v>
      </c>
      <c r="C5" s="123"/>
      <c r="D5" s="123"/>
      <c r="E5" s="123"/>
      <c r="F5" s="69"/>
      <c r="G5" s="130" t="s">
        <v>102</v>
      </c>
      <c r="H5" s="123"/>
      <c r="I5" s="123"/>
      <c r="J5" s="131"/>
      <c r="K5" s="94" t="s">
        <v>87</v>
      </c>
      <c r="L5" s="95"/>
      <c r="M5" s="97" t="s">
        <v>14</v>
      </c>
      <c r="N5" s="67" t="s">
        <v>87</v>
      </c>
      <c r="O5" s="68"/>
      <c r="P5" s="68" t="s">
        <v>14</v>
      </c>
      <c r="Q5" s="138"/>
    </row>
    <row r="6" spans="1:19" s="8" customFormat="1" ht="33" customHeight="1">
      <c r="A6" s="120"/>
      <c r="B6" s="124"/>
      <c r="C6" s="124"/>
      <c r="D6" s="124"/>
      <c r="E6" s="124"/>
      <c r="F6" s="93"/>
      <c r="G6" s="132"/>
      <c r="H6" s="124"/>
      <c r="I6" s="124"/>
      <c r="J6" s="133"/>
      <c r="K6" s="51" t="s">
        <v>101</v>
      </c>
      <c r="L6" s="52"/>
      <c r="M6" s="53" t="s">
        <v>102</v>
      </c>
      <c r="N6" s="65" t="s">
        <v>101</v>
      </c>
      <c r="O6" s="54"/>
      <c r="P6" s="54" t="s">
        <v>102</v>
      </c>
      <c r="Q6" s="138"/>
    </row>
    <row r="7" spans="1:19" s="47" customFormat="1" ht="16.5" customHeight="1">
      <c r="A7" s="121"/>
      <c r="B7" s="46" t="s">
        <v>112</v>
      </c>
      <c r="C7" s="46" t="s">
        <v>113</v>
      </c>
      <c r="D7" s="46" t="s">
        <v>114</v>
      </c>
      <c r="E7" s="46">
        <v>2017</v>
      </c>
      <c r="F7" s="46"/>
      <c r="G7" s="84">
        <v>2014</v>
      </c>
      <c r="H7" s="87">
        <v>2015</v>
      </c>
      <c r="I7" s="87">
        <v>2016</v>
      </c>
      <c r="J7" s="98">
        <v>2017</v>
      </c>
      <c r="K7" s="127" t="s">
        <v>110</v>
      </c>
      <c r="L7" s="128"/>
      <c r="M7" s="129"/>
      <c r="N7" s="127">
        <v>2017</v>
      </c>
      <c r="O7" s="128"/>
      <c r="P7" s="128"/>
      <c r="Q7" s="139"/>
    </row>
    <row r="8" spans="1:19" s="8" customFormat="1" ht="19.5" customHeight="1">
      <c r="A8" s="44" t="s">
        <v>0</v>
      </c>
      <c r="B8" s="48">
        <f>SUM(B9:B20)</f>
        <v>7505622.2623784998</v>
      </c>
      <c r="C8" s="48">
        <f>SUM(C9:C20)</f>
        <v>7322683.0686780298</v>
      </c>
      <c r="D8" s="48">
        <f>SUM(D9:D20)</f>
        <v>7770922.642037821</v>
      </c>
      <c r="E8" s="48">
        <f>SUM(E9:E20)</f>
        <v>8593283.6177621465</v>
      </c>
      <c r="F8" s="48"/>
      <c r="G8" s="70">
        <f>SUM(G9:G20)</f>
        <v>1204857</v>
      </c>
      <c r="H8" s="86">
        <f>SUM(H9:H20)</f>
        <v>1234248</v>
      </c>
      <c r="I8" s="86">
        <f>SUM(I9:I20)</f>
        <v>1286135</v>
      </c>
      <c r="J8" s="75">
        <f>SUM(J9:J20)</f>
        <v>1389542</v>
      </c>
      <c r="K8" s="76">
        <f>((E8/D8)-1)*100</f>
        <v>10.582539726694185</v>
      </c>
      <c r="L8" s="73"/>
      <c r="M8" s="74">
        <f>((J8/I8)-1)*100</f>
        <v>8.0401357555777597</v>
      </c>
      <c r="N8" s="57" t="s">
        <v>106</v>
      </c>
      <c r="O8" s="64"/>
      <c r="P8" s="56" t="s">
        <v>106</v>
      </c>
      <c r="Q8" s="66" t="s">
        <v>17</v>
      </c>
    </row>
    <row r="9" spans="1:19" s="8" customFormat="1" ht="19.5" customHeight="1">
      <c r="A9" s="78" t="s">
        <v>3</v>
      </c>
      <c r="B9" s="50">
        <v>702057.23965050967</v>
      </c>
      <c r="C9" s="90">
        <v>663541.53766544769</v>
      </c>
      <c r="D9" s="50">
        <v>658991.02257734654</v>
      </c>
      <c r="E9" s="50">
        <v>800126.35612185334</v>
      </c>
      <c r="F9" s="14"/>
      <c r="G9" s="71">
        <v>105296</v>
      </c>
      <c r="H9" s="14">
        <v>97073</v>
      </c>
      <c r="I9" s="14">
        <v>108396</v>
      </c>
      <c r="J9" s="88">
        <v>125336</v>
      </c>
      <c r="K9" s="58">
        <f>((E9/D9)-1)*100</f>
        <v>21.416882584002362</v>
      </c>
      <c r="L9" s="59"/>
      <c r="M9" s="60">
        <f>((J9/I9)-1)*100</f>
        <v>15.627882947710248</v>
      </c>
      <c r="N9" s="58">
        <f>((E9/D20)-1)*100</f>
        <v>16.644242979318658</v>
      </c>
      <c r="O9" s="59"/>
      <c r="P9" s="59">
        <f>((J9/I20)-1)*100</f>
        <v>4.8573579854429783</v>
      </c>
      <c r="Q9" s="80" t="s">
        <v>19</v>
      </c>
      <c r="S9" s="9"/>
    </row>
    <row r="10" spans="1:19" s="8" customFormat="1" ht="19.5" customHeight="1">
      <c r="A10" s="78" t="s">
        <v>4</v>
      </c>
      <c r="B10" s="50">
        <v>701834.83220814099</v>
      </c>
      <c r="C10" s="90">
        <v>713662.18298669241</v>
      </c>
      <c r="D10" s="50">
        <v>749459.82384348847</v>
      </c>
      <c r="E10" s="50">
        <v>772412.98962665652</v>
      </c>
      <c r="F10" s="14"/>
      <c r="G10" s="71">
        <v>110705</v>
      </c>
      <c r="H10" s="14">
        <v>120468</v>
      </c>
      <c r="I10" s="14">
        <v>120639</v>
      </c>
      <c r="J10" s="88">
        <v>121052</v>
      </c>
      <c r="K10" s="58">
        <f t="shared" ref="K10:K18" si="0">((E10/D10)-1)*100</f>
        <v>3.0626279158576297</v>
      </c>
      <c r="L10" s="59"/>
      <c r="M10" s="60">
        <f>((J10/I10)-1)*100</f>
        <v>0.3423436865358731</v>
      </c>
      <c r="N10" s="58">
        <f>((E10/E9)-1)*100</f>
        <v>-3.4636237493189448</v>
      </c>
      <c r="O10" s="59"/>
      <c r="P10" s="59">
        <f>((J10/J9)-1)*100</f>
        <v>-3.4180123827152631</v>
      </c>
      <c r="Q10" s="80" t="s">
        <v>20</v>
      </c>
      <c r="S10" s="9"/>
    </row>
    <row r="11" spans="1:19" s="8" customFormat="1" ht="19.5" customHeight="1">
      <c r="A11" s="78" t="s">
        <v>5</v>
      </c>
      <c r="B11" s="50">
        <v>706437.32186961442</v>
      </c>
      <c r="C11" s="90">
        <v>692862.60109209386</v>
      </c>
      <c r="D11" s="50">
        <v>746568.50029467535</v>
      </c>
      <c r="E11" s="50">
        <v>750431.75735626707</v>
      </c>
      <c r="F11" s="14"/>
      <c r="G11" s="71">
        <v>105560</v>
      </c>
      <c r="H11" s="14">
        <v>112427</v>
      </c>
      <c r="I11" s="14">
        <v>115131</v>
      </c>
      <c r="J11" s="88">
        <v>112665</v>
      </c>
      <c r="K11" s="58">
        <f t="shared" si="0"/>
        <v>0.51746853236733781</v>
      </c>
      <c r="L11" s="59"/>
      <c r="M11" s="60">
        <f>((J11/I11)-1)*100</f>
        <v>-2.1419079135940766</v>
      </c>
      <c r="N11" s="58">
        <f>((E11/E10)-1)*100</f>
        <v>-2.8457874952380058</v>
      </c>
      <c r="O11" s="59"/>
      <c r="P11" s="59">
        <f>((J11/J10)-1)*100</f>
        <v>-6.9284274526649758</v>
      </c>
      <c r="Q11" s="80" t="s">
        <v>21</v>
      </c>
      <c r="S11" s="9"/>
    </row>
    <row r="12" spans="1:19" s="8" customFormat="1" ht="19.5" customHeight="1">
      <c r="A12" s="78" t="s">
        <v>6</v>
      </c>
      <c r="B12" s="50">
        <v>673309.98970234313</v>
      </c>
      <c r="C12" s="90">
        <v>640521.60154796869</v>
      </c>
      <c r="D12" s="50">
        <v>655921.90097689989</v>
      </c>
      <c r="E12" s="50">
        <v>742497.61743564717</v>
      </c>
      <c r="F12" s="14"/>
      <c r="G12" s="71">
        <v>105309</v>
      </c>
      <c r="H12" s="14">
        <v>102242</v>
      </c>
      <c r="I12" s="14">
        <v>103493</v>
      </c>
      <c r="J12" s="88">
        <v>119774</v>
      </c>
      <c r="K12" s="58">
        <f t="shared" si="0"/>
        <v>13.199089149151044</v>
      </c>
      <c r="L12" s="59"/>
      <c r="M12" s="60">
        <f t="shared" ref="M12:M20" si="1">((J12/I12)-1)*100</f>
        <v>15.731498748707651</v>
      </c>
      <c r="N12" s="58">
        <f t="shared" ref="N12:N20" si="2">((E12/E11)-1)*100</f>
        <v>-1.0572766734408323</v>
      </c>
      <c r="O12" s="59"/>
      <c r="P12" s="59">
        <f>((J12/J11)-1)*100</f>
        <v>6.3098566546842427</v>
      </c>
      <c r="Q12" s="80" t="s">
        <v>22</v>
      </c>
      <c r="S12" s="9"/>
    </row>
    <row r="13" spans="1:19" s="8" customFormat="1" ht="19.5" customHeight="1">
      <c r="A13" s="78" t="s">
        <v>1</v>
      </c>
      <c r="B13" s="50">
        <v>577519.5276717894</v>
      </c>
      <c r="C13" s="90">
        <v>575317.18052742502</v>
      </c>
      <c r="D13" s="50">
        <v>573465.31358633551</v>
      </c>
      <c r="E13" s="50">
        <v>601496.36821079231</v>
      </c>
      <c r="F13" s="14"/>
      <c r="G13" s="71">
        <v>91296</v>
      </c>
      <c r="H13" s="14">
        <v>95389</v>
      </c>
      <c r="I13" s="14">
        <v>93228</v>
      </c>
      <c r="J13" s="88">
        <v>93491</v>
      </c>
      <c r="K13" s="58">
        <f t="shared" si="0"/>
        <v>4.8880122232949574</v>
      </c>
      <c r="L13" s="59"/>
      <c r="M13" s="60">
        <f t="shared" si="1"/>
        <v>0.28210408890032568</v>
      </c>
      <c r="N13" s="58">
        <f>((E13/E12)-1)*100</f>
        <v>-18.990128171970266</v>
      </c>
      <c r="O13" s="59"/>
      <c r="P13" s="59">
        <f t="shared" ref="P13:P19" si="3">((J13/J12)-1)*100</f>
        <v>-21.943827541870519</v>
      </c>
      <c r="Q13" s="80" t="s">
        <v>23</v>
      </c>
      <c r="S13" s="9"/>
    </row>
    <row r="14" spans="1:19" s="8" customFormat="1" ht="19.5" customHeight="1">
      <c r="A14" s="78" t="s">
        <v>7</v>
      </c>
      <c r="B14" s="50">
        <v>472676.95853012655</v>
      </c>
      <c r="C14" s="90">
        <v>447882.4886566248</v>
      </c>
      <c r="D14" s="50">
        <v>443937.13137700246</v>
      </c>
      <c r="E14" s="50">
        <v>480889.64024626091</v>
      </c>
      <c r="F14" s="14"/>
      <c r="G14" s="71">
        <v>83347</v>
      </c>
      <c r="H14" s="14">
        <v>81506</v>
      </c>
      <c r="I14" s="14">
        <v>79034</v>
      </c>
      <c r="J14" s="88">
        <v>85222</v>
      </c>
      <c r="K14" s="58">
        <f t="shared" si="0"/>
        <v>8.3238157517122602</v>
      </c>
      <c r="L14" s="59"/>
      <c r="M14" s="60">
        <f t="shared" si="1"/>
        <v>7.8295417162233871</v>
      </c>
      <c r="N14" s="58">
        <f t="shared" si="2"/>
        <v>-20.051114909186818</v>
      </c>
      <c r="O14" s="59"/>
      <c r="P14" s="59">
        <f t="shared" si="3"/>
        <v>-8.8447016290338141</v>
      </c>
      <c r="Q14" s="80" t="s">
        <v>24</v>
      </c>
      <c r="S14" s="9"/>
    </row>
    <row r="15" spans="1:19" s="8" customFormat="1" ht="19.5" customHeight="1">
      <c r="A15" s="78" t="s">
        <v>8</v>
      </c>
      <c r="B15" s="50">
        <v>576664.64986032562</v>
      </c>
      <c r="C15" s="90">
        <v>570407.39669035666</v>
      </c>
      <c r="D15" s="50">
        <v>629327.19249594188</v>
      </c>
      <c r="E15" s="50">
        <v>688020.73461813317</v>
      </c>
      <c r="F15" s="14"/>
      <c r="G15" s="71">
        <v>100191</v>
      </c>
      <c r="H15" s="14">
        <v>104517</v>
      </c>
      <c r="I15" s="14">
        <v>110432</v>
      </c>
      <c r="J15" s="88">
        <v>113175</v>
      </c>
      <c r="K15" s="58">
        <f t="shared" si="0"/>
        <v>9.326395366678808</v>
      </c>
      <c r="L15" s="59"/>
      <c r="M15" s="60">
        <f t="shared" si="1"/>
        <v>2.4838814836279255</v>
      </c>
      <c r="N15" s="58">
        <f t="shared" si="2"/>
        <v>43.072480052970484</v>
      </c>
      <c r="O15" s="59"/>
      <c r="P15" s="59">
        <f t="shared" si="3"/>
        <v>32.800215906690752</v>
      </c>
      <c r="Q15" s="80" t="s">
        <v>25</v>
      </c>
      <c r="S15" s="9"/>
    </row>
    <row r="16" spans="1:19" s="8" customFormat="1" ht="19.5" customHeight="1">
      <c r="A16" s="78" t="s">
        <v>9</v>
      </c>
      <c r="B16" s="50">
        <v>644401.86744888476</v>
      </c>
      <c r="C16" s="90">
        <v>634864.87032498559</v>
      </c>
      <c r="D16" s="50">
        <v>679120.24186927639</v>
      </c>
      <c r="E16" s="50">
        <v>746618.12340413022</v>
      </c>
      <c r="F16" s="14"/>
      <c r="G16" s="71">
        <v>104186</v>
      </c>
      <c r="H16" s="14">
        <v>110144</v>
      </c>
      <c r="I16" s="14">
        <v>112282</v>
      </c>
      <c r="J16" s="88">
        <v>121310</v>
      </c>
      <c r="K16" s="58">
        <f t="shared" si="0"/>
        <v>9.9390177723264639</v>
      </c>
      <c r="L16" s="59"/>
      <c r="M16" s="60">
        <f t="shared" si="1"/>
        <v>8.0404695320710253</v>
      </c>
      <c r="N16" s="58">
        <f t="shared" si="2"/>
        <v>8.5168056480913847</v>
      </c>
      <c r="O16" s="59"/>
      <c r="P16" s="59">
        <f t="shared" si="3"/>
        <v>7.1879832118400655</v>
      </c>
      <c r="Q16" s="80" t="s">
        <v>26</v>
      </c>
      <c r="S16" s="9"/>
    </row>
    <row r="17" spans="1:19" s="8" customFormat="1" ht="19.5" customHeight="1">
      <c r="A17" s="78" t="s">
        <v>10</v>
      </c>
      <c r="B17" s="50">
        <v>550854.33086917293</v>
      </c>
      <c r="C17" s="90">
        <v>545085.53667477472</v>
      </c>
      <c r="D17" s="50">
        <v>589810.66820347263</v>
      </c>
      <c r="E17" s="50">
        <v>604175.35293706728</v>
      </c>
      <c r="F17" s="14"/>
      <c r="G17" s="71">
        <v>95114</v>
      </c>
      <c r="H17" s="14">
        <v>95511</v>
      </c>
      <c r="I17" s="14">
        <v>101909</v>
      </c>
      <c r="J17" s="88">
        <v>105984</v>
      </c>
      <c r="K17" s="58">
        <f t="shared" si="0"/>
        <v>2.4354738745822724</v>
      </c>
      <c r="L17" s="59"/>
      <c r="M17" s="60">
        <f t="shared" si="1"/>
        <v>3.99866547606198</v>
      </c>
      <c r="N17" s="58">
        <f t="shared" si="2"/>
        <v>-19.078397108498979</v>
      </c>
      <c r="O17" s="59"/>
      <c r="P17" s="59">
        <f t="shared" si="3"/>
        <v>-12.63374824828951</v>
      </c>
      <c r="Q17" s="80" t="s">
        <v>27</v>
      </c>
      <c r="S17" s="9"/>
    </row>
    <row r="18" spans="1:19" s="8" customFormat="1" ht="19.5" customHeight="1">
      <c r="A18" s="78" t="s">
        <v>11</v>
      </c>
      <c r="B18" s="50">
        <v>684193.71933576756</v>
      </c>
      <c r="C18" s="90">
        <v>638669.93168310425</v>
      </c>
      <c r="D18" s="50">
        <v>706407.53106039867</v>
      </c>
      <c r="E18" s="50">
        <v>793474.41907263896</v>
      </c>
      <c r="F18" s="14"/>
      <c r="G18" s="71">
        <v>110331</v>
      </c>
      <c r="H18" s="14">
        <v>105498</v>
      </c>
      <c r="I18" s="14">
        <v>117489</v>
      </c>
      <c r="J18" s="88">
        <v>127986</v>
      </c>
      <c r="K18" s="58">
        <f t="shared" si="0"/>
        <v>12.325305745472859</v>
      </c>
      <c r="L18" s="59"/>
      <c r="M18" s="60">
        <f t="shared" si="1"/>
        <v>8.9344534381942111</v>
      </c>
      <c r="N18" s="58">
        <f t="shared" si="2"/>
        <v>31.331808756404133</v>
      </c>
      <c r="O18" s="59"/>
      <c r="P18" s="59">
        <f t="shared" si="3"/>
        <v>20.759737318840578</v>
      </c>
      <c r="Q18" s="80" t="s">
        <v>28</v>
      </c>
      <c r="S18" s="9"/>
    </row>
    <row r="19" spans="1:19" s="8" customFormat="1" ht="19.5" customHeight="1">
      <c r="A19" s="78" t="s">
        <v>12</v>
      </c>
      <c r="B19" s="50">
        <v>572968.68602542835</v>
      </c>
      <c r="C19" s="90">
        <v>566992.26515688817</v>
      </c>
      <c r="D19" s="50">
        <v>651958.88226781064</v>
      </c>
      <c r="E19" s="50">
        <v>750052.33152232482</v>
      </c>
      <c r="F19" s="14"/>
      <c r="G19" s="71">
        <v>89778</v>
      </c>
      <c r="H19" s="14">
        <v>90218</v>
      </c>
      <c r="I19" s="14">
        <v>104572</v>
      </c>
      <c r="J19" s="88">
        <v>120506</v>
      </c>
      <c r="K19" s="58">
        <f>((E19/D19)-1)*100</f>
        <v>15.045956412665218</v>
      </c>
      <c r="L19" s="59"/>
      <c r="M19" s="60">
        <f t="shared" si="1"/>
        <v>15.237348429790011</v>
      </c>
      <c r="N19" s="58">
        <f t="shared" si="2"/>
        <v>-5.4723991733801602</v>
      </c>
      <c r="O19" s="59"/>
      <c r="P19" s="59">
        <f t="shared" si="3"/>
        <v>-5.8443892300720446</v>
      </c>
      <c r="Q19" s="80" t="s">
        <v>29</v>
      </c>
      <c r="S19" s="9"/>
    </row>
    <row r="20" spans="1:19" s="8" customFormat="1" ht="19.5" customHeight="1">
      <c r="A20" s="79" t="s">
        <v>13</v>
      </c>
      <c r="B20" s="77">
        <v>642703.13920639607</v>
      </c>
      <c r="C20" s="91">
        <v>632875.47567166749</v>
      </c>
      <c r="D20" s="77">
        <v>685954.43348517246</v>
      </c>
      <c r="E20" s="77">
        <v>863087.92721037427</v>
      </c>
      <c r="F20" s="15"/>
      <c r="G20" s="72">
        <v>103744</v>
      </c>
      <c r="H20" s="15">
        <v>119255</v>
      </c>
      <c r="I20" s="15">
        <v>119530</v>
      </c>
      <c r="J20" s="89">
        <v>143041</v>
      </c>
      <c r="K20" s="61">
        <f>((E20/D20)-1)*100</f>
        <v>25.822924246619184</v>
      </c>
      <c r="L20" s="62"/>
      <c r="M20" s="63">
        <f t="shared" si="1"/>
        <v>19.669539027859106</v>
      </c>
      <c r="N20" s="61">
        <f t="shared" si="2"/>
        <v>15.070361218480532</v>
      </c>
      <c r="O20" s="62"/>
      <c r="P20" s="62">
        <f>((J20/J19)-1)*100</f>
        <v>18.700313677327273</v>
      </c>
      <c r="Q20" s="81" t="s">
        <v>30</v>
      </c>
      <c r="S20" s="9"/>
    </row>
    <row r="21" spans="1:19" s="8" customFormat="1" ht="15.75" customHeight="1">
      <c r="A21" s="12" t="s">
        <v>119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5" t="s">
        <v>105</v>
      </c>
    </row>
    <row r="22" spans="1:19" s="8" customFormat="1" ht="15.75" customHeight="1">
      <c r="A22" s="99" t="s">
        <v>117</v>
      </c>
      <c r="G22" s="49"/>
      <c r="H22" s="12" t="s">
        <v>118</v>
      </c>
      <c r="I22" s="49"/>
      <c r="J22" s="49"/>
      <c r="K22" s="49"/>
      <c r="L22" s="49"/>
      <c r="M22" s="49"/>
      <c r="N22" s="49"/>
      <c r="O22" s="49"/>
      <c r="P22" s="49"/>
      <c r="Q22" s="85" t="s">
        <v>120</v>
      </c>
    </row>
    <row r="23" spans="1:19" s="8" customFormat="1" ht="15.75" customHeight="1">
      <c r="A23" s="100" t="s">
        <v>111</v>
      </c>
      <c r="Q23" s="10" t="s">
        <v>108</v>
      </c>
    </row>
    <row r="24" spans="1:19" s="8" customFormat="1" ht="14.25" customHeight="1">
      <c r="A24" s="12" t="s">
        <v>107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82"/>
    </row>
    <row r="25" spans="1:19" s="8" customFormat="1" ht="14.25" customHeight="1">
      <c r="A25" s="12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9" s="8" customFormat="1" ht="14.25" customHeight="1">
      <c r="A26" s="12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5"/>
    </row>
    <row r="27" spans="1:19" ht="6" customHeight="1"/>
    <row r="28" spans="1:19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</sheetData>
  <mergeCells count="14">
    <mergeCell ref="A1:Q1"/>
    <mergeCell ref="A2:Q2"/>
    <mergeCell ref="A3:A7"/>
    <mergeCell ref="B3:E3"/>
    <mergeCell ref="B5:E6"/>
    <mergeCell ref="G3:J4"/>
    <mergeCell ref="G5:J6"/>
    <mergeCell ref="K3:M3"/>
    <mergeCell ref="N3:P3"/>
    <mergeCell ref="Q3:Q7"/>
    <mergeCell ref="K4:M4"/>
    <mergeCell ref="N4:P4"/>
    <mergeCell ref="K7:M7"/>
    <mergeCell ref="N7:P7"/>
  </mergeCells>
  <phoneticPr fontId="0" type="noConversion"/>
  <printOptions horizontalCentered="1" verticalCentered="1"/>
  <pageMargins left="0.05" right="0.14000000000000001" top="0.19" bottom="0.18" header="3.06" footer="0.17"/>
  <pageSetup paperSize="9" scale="74" orientation="landscape" horizontalDpi="4294967295" verticalDpi="4294967295" r:id="rId1"/>
  <headerFooter alignWithMargins="0"/>
  <rowBreaks count="1" manualBreakCount="1">
    <brk id="46" max="17" man="1"/>
  </rowBreaks>
  <colBreaks count="2" manualBreakCount="2">
    <brk id="18" max="66" man="1"/>
    <brk id="19" max="1048575" man="1"/>
  </colBreaks>
  <drawing r:id="rId2"/>
  <webPublishItems count="1">
    <webPublishItem id="19630" divId="10- Tourism_19630" sourceType="range" sourceRef="A24:F27" destinationFile="\\Server\dp unit\Publication\Statistical  Year Book\Statistical Year Book 2008\yrbook08 cd\10-Tourism\10.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10.9</vt:lpstr>
      <vt:lpstr>'10.9'!Print_Area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2018-10-07T08:53:12Z</cp:lastPrinted>
  <dcterms:created xsi:type="dcterms:W3CDTF">2007-02-07T06:41:32Z</dcterms:created>
  <dcterms:modified xsi:type="dcterms:W3CDTF">2018-10-07T08:53:24Z</dcterms:modified>
</cp:coreProperties>
</file>