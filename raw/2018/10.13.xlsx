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13" sheetId="42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'10.13'!$A$1:$O$108</definedName>
    <definedName name="Print_Area_MI">#REF!</definedName>
    <definedName name="_xlnm.Print_Titles" localSheetId="1">'10.13'!$4:$4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AB29" i="42" l="1"/>
  <c r="AB28" i="42"/>
  <c r="AB27" i="42"/>
  <c r="AB26" i="42"/>
  <c r="AB30" i="42"/>
  <c r="AB31" i="42"/>
  <c r="AB32" i="42"/>
  <c r="AB33" i="42"/>
  <c r="AB34" i="42"/>
  <c r="AB25" i="42"/>
  <c r="AB19" i="42" l="1"/>
  <c r="AB22" i="42"/>
  <c r="AB21" i="42"/>
  <c r="AC21" i="42"/>
  <c r="AN21" i="42" s="1"/>
  <c r="AD21" i="42"/>
  <c r="AE21" i="42"/>
  <c r="AF21" i="42"/>
  <c r="AG21" i="42"/>
  <c r="AH21" i="42"/>
  <c r="AI21" i="42"/>
  <c r="AJ21" i="42"/>
  <c r="AK21" i="42"/>
  <c r="AL21" i="42"/>
  <c r="AM21" i="42"/>
  <c r="AB20" i="42"/>
  <c r="C27" i="42" l="1"/>
  <c r="D27" i="42"/>
  <c r="E27" i="42"/>
  <c r="F27" i="42"/>
  <c r="G27" i="42"/>
  <c r="H27" i="42"/>
  <c r="I27" i="42"/>
  <c r="J27" i="42"/>
  <c r="K27" i="42"/>
  <c r="L27" i="42"/>
  <c r="M27" i="42"/>
  <c r="N27" i="42"/>
  <c r="C19" i="42"/>
  <c r="D19" i="42"/>
  <c r="E19" i="42"/>
  <c r="F19" i="42"/>
  <c r="G19" i="42"/>
  <c r="H19" i="42"/>
  <c r="I19" i="42"/>
  <c r="J19" i="42"/>
  <c r="K19" i="42"/>
  <c r="L19" i="42"/>
  <c r="M19" i="42"/>
  <c r="N19" i="42"/>
  <c r="B85" i="42" l="1"/>
  <c r="B84" i="42"/>
  <c r="B83" i="42"/>
  <c r="B82" i="42"/>
  <c r="B81" i="42"/>
  <c r="B80" i="42"/>
  <c r="B79" i="42"/>
  <c r="N78" i="42"/>
  <c r="M78" i="42"/>
  <c r="L78" i="42"/>
  <c r="K78" i="42"/>
  <c r="J78" i="42"/>
  <c r="I78" i="42"/>
  <c r="H78" i="42"/>
  <c r="G78" i="42"/>
  <c r="F78" i="42"/>
  <c r="E78" i="42"/>
  <c r="D78" i="42"/>
  <c r="C78" i="42"/>
  <c r="B77" i="42"/>
  <c r="B76" i="42"/>
  <c r="B75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3" i="42"/>
  <c r="B72" i="42"/>
  <c r="B71" i="42"/>
  <c r="B70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8" i="42"/>
  <c r="B67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N60" i="42"/>
  <c r="B64" i="42"/>
  <c r="B63" i="42"/>
  <c r="B62" i="42"/>
  <c r="B61" i="42"/>
  <c r="M60" i="42"/>
  <c r="L60" i="42"/>
  <c r="K60" i="42"/>
  <c r="J60" i="42"/>
  <c r="I60" i="42"/>
  <c r="H60" i="42"/>
  <c r="G60" i="42"/>
  <c r="F60" i="42"/>
  <c r="E60" i="42"/>
  <c r="D60" i="42"/>
  <c r="C60" i="42"/>
  <c r="B59" i="42"/>
  <c r="B58" i="42"/>
  <c r="B57" i="42"/>
  <c r="B56" i="42"/>
  <c r="B55" i="42"/>
  <c r="B54" i="42"/>
  <c r="N53" i="42"/>
  <c r="M53" i="42"/>
  <c r="L53" i="42"/>
  <c r="K53" i="42"/>
  <c r="J53" i="42"/>
  <c r="I53" i="42"/>
  <c r="H53" i="42"/>
  <c r="G53" i="42"/>
  <c r="F53" i="42"/>
  <c r="E53" i="42"/>
  <c r="D53" i="42"/>
  <c r="C53" i="42"/>
  <c r="B52" i="42"/>
  <c r="B51" i="42"/>
  <c r="B50" i="42"/>
  <c r="B49" i="42"/>
  <c r="B48" i="42"/>
  <c r="N47" i="42"/>
  <c r="M47" i="42"/>
  <c r="L47" i="42"/>
  <c r="K47" i="42"/>
  <c r="J47" i="42"/>
  <c r="I47" i="42"/>
  <c r="H47" i="42"/>
  <c r="G47" i="42"/>
  <c r="F47" i="42"/>
  <c r="E47" i="42"/>
  <c r="D47" i="42"/>
  <c r="C47" i="42"/>
  <c r="B45" i="42"/>
  <c r="B44" i="42"/>
  <c r="B43" i="42"/>
  <c r="N42" i="42"/>
  <c r="M42" i="42"/>
  <c r="L42" i="42"/>
  <c r="K42" i="42"/>
  <c r="J42" i="42"/>
  <c r="I42" i="42"/>
  <c r="H42" i="42"/>
  <c r="G42" i="42"/>
  <c r="F42" i="42"/>
  <c r="E42" i="42"/>
  <c r="D42" i="42"/>
  <c r="C42" i="42"/>
  <c r="B41" i="42"/>
  <c r="B40" i="42"/>
  <c r="B39" i="42"/>
  <c r="B38" i="42"/>
  <c r="B37" i="42"/>
  <c r="B36" i="42"/>
  <c r="B35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3" i="42"/>
  <c r="B32" i="42"/>
  <c r="B31" i="42"/>
  <c r="B30" i="42"/>
  <c r="B29" i="42"/>
  <c r="B28" i="42"/>
  <c r="B26" i="42"/>
  <c r="B25" i="42"/>
  <c r="B24" i="42"/>
  <c r="B23" i="42"/>
  <c r="B22" i="42"/>
  <c r="B21" i="42"/>
  <c r="B20" i="42"/>
  <c r="B18" i="42"/>
  <c r="B17" i="42"/>
  <c r="B16" i="42"/>
  <c r="B15" i="42"/>
  <c r="B14" i="42"/>
  <c r="B13" i="42"/>
  <c r="B12" i="42"/>
  <c r="B11" i="42"/>
  <c r="B10" i="42"/>
  <c r="B9" i="42"/>
  <c r="B8" i="42"/>
  <c r="N7" i="42"/>
  <c r="AM20" i="42" s="1"/>
  <c r="M7" i="42"/>
  <c r="AL20" i="42" s="1"/>
  <c r="L7" i="42"/>
  <c r="AK20" i="42" s="1"/>
  <c r="K7" i="42"/>
  <c r="AJ20" i="42" s="1"/>
  <c r="J7" i="42"/>
  <c r="AI20" i="42" s="1"/>
  <c r="I7" i="42"/>
  <c r="AH20" i="42" s="1"/>
  <c r="H7" i="42"/>
  <c r="AG20" i="42" s="1"/>
  <c r="G7" i="42"/>
  <c r="AF20" i="42" s="1"/>
  <c r="F7" i="42"/>
  <c r="AE20" i="42" s="1"/>
  <c r="E7" i="42"/>
  <c r="AD20" i="42" s="1"/>
  <c r="D7" i="42"/>
  <c r="AC20" i="42" s="1"/>
  <c r="C7" i="42"/>
  <c r="AN20" i="42" l="1"/>
  <c r="M46" i="42"/>
  <c r="E46" i="42"/>
  <c r="I46" i="42"/>
  <c r="F46" i="42"/>
  <c r="F6" i="42"/>
  <c r="I6" i="42"/>
  <c r="M6" i="42"/>
  <c r="E6" i="42"/>
  <c r="N6" i="42"/>
  <c r="J6" i="42"/>
  <c r="K6" i="42"/>
  <c r="D46" i="42"/>
  <c r="H46" i="42"/>
  <c r="L46" i="42"/>
  <c r="C46" i="42"/>
  <c r="G46" i="42"/>
  <c r="K46" i="42"/>
  <c r="B69" i="42"/>
  <c r="B74" i="42"/>
  <c r="B78" i="42"/>
  <c r="B42" i="42"/>
  <c r="J46" i="42"/>
  <c r="N46" i="42"/>
  <c r="B27" i="42"/>
  <c r="G6" i="42"/>
  <c r="D6" i="42"/>
  <c r="D5" i="42" s="1"/>
  <c r="AC19" i="42" s="1"/>
  <c r="L6" i="42"/>
  <c r="B66" i="42"/>
  <c r="B34" i="42"/>
  <c r="H6" i="42"/>
  <c r="B47" i="42"/>
  <c r="B19" i="42"/>
  <c r="C6" i="42"/>
  <c r="B7" i="42"/>
  <c r="B60" i="42"/>
  <c r="B65" i="42"/>
  <c r="B53" i="42"/>
  <c r="AC22" i="42" l="1"/>
  <c r="C5" i="42"/>
  <c r="M5" i="42"/>
  <c r="AL19" i="42" s="1"/>
  <c r="AL22" i="42" s="1"/>
  <c r="I5" i="42"/>
  <c r="AH19" i="42" s="1"/>
  <c r="AH22" i="42" s="1"/>
  <c r="F5" i="42"/>
  <c r="AE19" i="42" s="1"/>
  <c r="AE22" i="42" s="1"/>
  <c r="B46" i="42"/>
  <c r="E5" i="42"/>
  <c r="AD19" i="42" s="1"/>
  <c r="AD22" i="42" s="1"/>
  <c r="G5" i="42"/>
  <c r="AF19" i="42" s="1"/>
  <c r="AF22" i="42" s="1"/>
  <c r="N5" i="42"/>
  <c r="AM19" i="42" s="1"/>
  <c r="AM22" i="42" s="1"/>
  <c r="H5" i="42"/>
  <c r="AG19" i="42" s="1"/>
  <c r="AG22" i="42" s="1"/>
  <c r="L5" i="42"/>
  <c r="AK19" i="42" s="1"/>
  <c r="AK22" i="42" s="1"/>
  <c r="J5" i="42"/>
  <c r="AI19" i="42" s="1"/>
  <c r="AI22" i="42" s="1"/>
  <c r="K5" i="42"/>
  <c r="AJ19" i="42" s="1"/>
  <c r="AJ22" i="42" s="1"/>
  <c r="B6" i="42"/>
  <c r="AN19" i="42" l="1"/>
  <c r="AN22" i="42"/>
  <c r="B5" i="42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<sst xmlns="http://schemas.openxmlformats.org/spreadsheetml/2006/main" count="297" uniqueCount="234">
  <si>
    <t>Country of Nationality</t>
  </si>
  <si>
    <t>Total</t>
  </si>
  <si>
    <t>Europe</t>
  </si>
  <si>
    <t>Italy</t>
  </si>
  <si>
    <t>United Kingdom</t>
  </si>
  <si>
    <t>Germany</t>
  </si>
  <si>
    <t>France</t>
  </si>
  <si>
    <t>Switzerland</t>
  </si>
  <si>
    <t>Russia</t>
  </si>
  <si>
    <t>Austria</t>
  </si>
  <si>
    <t>Spain</t>
  </si>
  <si>
    <t>Portugal</t>
  </si>
  <si>
    <t>Belgium</t>
  </si>
  <si>
    <t>Sweden</t>
  </si>
  <si>
    <t>Denmark</t>
  </si>
  <si>
    <t>Asia</t>
  </si>
  <si>
    <t>Japan</t>
  </si>
  <si>
    <t>India</t>
  </si>
  <si>
    <t>Korea</t>
  </si>
  <si>
    <t>Sri Lanka</t>
  </si>
  <si>
    <t>Thailand</t>
  </si>
  <si>
    <t>Singapore</t>
  </si>
  <si>
    <t>Africa</t>
  </si>
  <si>
    <t>South Africa</t>
  </si>
  <si>
    <t>America</t>
  </si>
  <si>
    <t>Canada</t>
  </si>
  <si>
    <t>Oceania</t>
  </si>
  <si>
    <t>Australia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</si>
  <si>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</si>
  <si>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</si>
  <si>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</si>
  <si>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</si>
  <si>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</si>
  <si>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</si>
  <si>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</si>
  <si>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</si>
  <si>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</si>
  <si>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</si>
  <si>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</si>
  <si>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</si>
  <si>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 xml:space="preserve">   Total</t>
  </si>
  <si>
    <t>2008</t>
  </si>
  <si>
    <t>Middle East</t>
  </si>
  <si>
    <t>Kuwait</t>
  </si>
  <si>
    <t>Lebanon</t>
  </si>
  <si>
    <t>Saudi Arabia</t>
  </si>
  <si>
    <t>United Arab Emirates</t>
  </si>
  <si>
    <t>Others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</si>
  <si>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</si>
  <si>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</si>
  <si>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</si>
  <si>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</si>
  <si>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</si>
  <si>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</si>
  <si>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</si>
  <si>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</si>
  <si>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</si>
  <si>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</si>
  <si>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</si>
  <si>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</si>
  <si>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</si>
  <si>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</si>
  <si>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</si>
  <si>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</si>
  <si>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</si>
  <si>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</si>
  <si>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</si>
  <si>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</si>
  <si>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</si>
  <si>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</si>
  <si>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</si>
  <si>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</si>
  <si>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</si>
  <si>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</si>
  <si>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</si>
  <si>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</si>
  <si>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</si>
  <si>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</si>
  <si>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</si>
  <si>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</si>
  <si>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</si>
  <si>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</si>
  <si>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</si>
  <si>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</si>
  <si>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</si>
  <si>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</si>
  <si>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</si>
  <si>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</si>
  <si>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</si>
  <si>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</si>
  <si>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</si>
  <si>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</si>
  <si>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</si>
  <si>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</si>
  <si>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</si>
  <si>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</si>
  <si>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</si>
  <si>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</si>
  <si>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</si>
  <si>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</si>
  <si>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</si>
  <si>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</si>
  <si>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</si>
  <si>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</si>
  <si>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އޮސްޓްރިއާ</t>
  </si>
  <si>
    <t>ޖުމްލަ</t>
  </si>
  <si>
    <t>ޔޫރަޕް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</si>
  <si>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</si>
  <si>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</si>
  <si>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</si>
  <si>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</si>
  <si>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</si>
  <si>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</si>
  <si>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</si>
  <si>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</si>
  <si>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</si>
  <si>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</si>
  <si>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</si>
  <si>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އޭޝިއާ</t>
  </si>
  <si>
    <t>ޗައިނާ</t>
  </si>
  <si>
    <t>އިންޑޮނޭޝިއާ</t>
  </si>
  <si>
    <t>އިންޑިއާ</t>
  </si>
  <si>
    <t>ކޮރެއާ</t>
  </si>
  <si>
    <t>ޖަޕާން</t>
  </si>
  <si>
    <t>މެލޭޝިއާ</t>
  </si>
  <si>
    <t>ޕާކިސްތާން</t>
  </si>
  <si>
    <t>ޓައިވާން</t>
  </si>
  <si>
    <t>އެފްރިކާ</t>
  </si>
  <si>
    <t>ކެނެޑާ</t>
  </si>
  <si>
    <t>އޮސްޓްރޭލިއާ</t>
  </si>
  <si>
    <t>ކުވެއިތު</t>
  </si>
  <si>
    <t>2010</t>
  </si>
  <si>
    <t>Central/Eastern Europe</t>
  </si>
  <si>
    <t>Belarus</t>
  </si>
  <si>
    <t>Bulgaria</t>
  </si>
  <si>
    <t>Czech Republic</t>
  </si>
  <si>
    <t>Hungary</t>
  </si>
  <si>
    <t>Kazakhstan</t>
  </si>
  <si>
    <t>Poland</t>
  </si>
  <si>
    <t>Romania</t>
  </si>
  <si>
    <t>Slovakia</t>
  </si>
  <si>
    <t>Ukraine</t>
  </si>
  <si>
    <t>Northern Europe</t>
  </si>
  <si>
    <t>Finland</t>
  </si>
  <si>
    <t>Ireland</t>
  </si>
  <si>
    <t>Norway</t>
  </si>
  <si>
    <t>Southern Europe</t>
  </si>
  <si>
    <t>Greece</t>
  </si>
  <si>
    <t>Slovenia</t>
  </si>
  <si>
    <t>Western Europe</t>
  </si>
  <si>
    <t xml:space="preserve">Netherlands </t>
  </si>
  <si>
    <t>East/Mediterranean Europe</t>
  </si>
  <si>
    <t>Israel</t>
  </si>
  <si>
    <t>Turkey</t>
  </si>
  <si>
    <t>North East Asia</t>
  </si>
  <si>
    <t>China</t>
  </si>
  <si>
    <t>Taiwan</t>
  </si>
  <si>
    <t>South East Asia</t>
  </si>
  <si>
    <t>Indonesia</t>
  </si>
  <si>
    <t>Malaysia</t>
  </si>
  <si>
    <t>Philippines</t>
  </si>
  <si>
    <t>South Asia</t>
  </si>
  <si>
    <t>Bangladesh</t>
  </si>
  <si>
    <t>Pakistan</t>
  </si>
  <si>
    <t>Brazil</t>
  </si>
  <si>
    <t>United States</t>
  </si>
  <si>
    <t>New Zealand</t>
  </si>
  <si>
    <t>No. of Tourists</t>
  </si>
  <si>
    <t>% change over previous year</t>
  </si>
  <si>
    <t>އެމެރިކާ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</si>
  <si>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</si>
  <si>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</si>
  <si>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</si>
  <si>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</si>
  <si>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</si>
  <si>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</si>
  <si>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</si>
  <si>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</si>
  <si>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</si>
  <si>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</si>
  <si>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Other continents</t>
  </si>
  <si>
    <t>ވަޒަންވެރިވެފައިވާ ޤައުމު</t>
  </si>
  <si>
    <t>މެދު އިރުމަތީ ޔޫރަޕް</t>
  </si>
  <si>
    <t>ބެލަރުސް</t>
  </si>
  <si>
    <t>ބަލްގޭރިއާ</t>
  </si>
  <si>
    <t>ޗެކް ރިޕަބްލިކް</t>
  </si>
  <si>
    <t>ހަންގޭރީ</t>
  </si>
  <si>
    <t>ކަޒަކިސްތާން</t>
  </si>
  <si>
    <t>ޕޮލަންޑް</t>
  </si>
  <si>
    <t>ރޮމޭނިއާ</t>
  </si>
  <si>
    <t>ޔޫކްރެއިން</t>
  </si>
  <si>
    <t>އުތުރު ޔޫރަޕް</t>
  </si>
  <si>
    <t>ޑެންމާކް</t>
  </si>
  <si>
    <t>އަޔަލެންޑް</t>
  </si>
  <si>
    <t>ނޯވޭ</t>
  </si>
  <si>
    <t>ސްވިޑެން</t>
  </si>
  <si>
    <t>ދެކުނު ޔޫރަޕް</t>
  </si>
  <si>
    <t>ސްލޮވޭނިއާ</t>
  </si>
  <si>
    <t>ހުޅަނގު ޔޫރަޕް</t>
  </si>
  <si>
    <t>ޖަރުމަނީ</t>
  </si>
  <si>
    <t>ނެދަލެންޑްސް</t>
  </si>
  <si>
    <t>ސްވިޓްޒަލެންޑް</t>
  </si>
  <si>
    <t>އިރުމަތީ ޔޫރަޕް</t>
  </si>
  <si>
    <t>އިސްރާއީލް</t>
  </si>
  <si>
    <t>ތުރުކީ</t>
  </si>
  <si>
    <t>އިރު އުތުރު އޭޝިއާ</t>
  </si>
  <si>
    <t>އިރު ދެކުނު އޭޝިއާ</t>
  </si>
  <si>
    <t>ފިލިޕިންސް</t>
  </si>
  <si>
    <t>ސިންގަޕޯ</t>
  </si>
  <si>
    <t>ތައިލެންޑް</t>
  </si>
  <si>
    <t>ދެކުނު އޭޝިއާ</t>
  </si>
  <si>
    <t>ބަންގްލަދެޝް</t>
  </si>
  <si>
    <t>ސްރީ ލަންކާ</t>
  </si>
  <si>
    <t>ދެކުނު އެފްރިކާ</t>
  </si>
  <si>
    <t>ބްރެޒިލް</t>
  </si>
  <si>
    <t>ޔުނައިޓެޑް ސްޓޭޓްސް</t>
  </si>
  <si>
    <t>އޯޝިއާނާ</t>
  </si>
  <si>
    <t>ނިއުޒިލެންޑް</t>
  </si>
  <si>
    <t>މެދު އިރުމަތީ</t>
  </si>
  <si>
    <t>ލެބަނާން</t>
  </si>
  <si>
    <t>ސައުދީ އަރަބިއްޔާ</t>
  </si>
  <si>
    <t>ޔުނައިޓެޑް އަރަބް އެމަރެޓްސް</t>
  </si>
  <si>
    <t xml:space="preserve">UN Passport Holders </t>
  </si>
  <si>
    <t>Others/Not Stated</t>
  </si>
  <si>
    <t>UN Passpoert holders</t>
  </si>
  <si>
    <t xml:space="preserve">Others Not Stated </t>
  </si>
  <si>
    <t xml:space="preserve">ޔޫ އެން ޕާސްޕޯޓު ހޯލްޑަރސް </t>
  </si>
  <si>
    <t>Source: Ministry of Tourism</t>
  </si>
  <si>
    <t>cmwzirUT cfoa  IrcTcsinim :ctWrwf ivcaed utWmUluAwm</t>
  </si>
  <si>
    <t>މޯލްޑިވްސް އިމިގްރޭޝަން</t>
  </si>
  <si>
    <t>Maldives Immigration</t>
  </si>
  <si>
    <t>..</t>
  </si>
  <si>
    <t>Table 10.13 :   MONTHLY DISTRIBUTION OF TOURIST ARRIVALS BY NATIONALITY, 2017</t>
  </si>
  <si>
    <t>ތާވަލު 10.13: ޤައުމުތަކުގެ ގޮތުން ރާއްޖެއައި ފަތުރުވެރިންގެ ޢަދަދު، މަސްމަހުގެ ގޮތުން،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</si>
</sst>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11"/>
      <name val="Faruma"/>
    </font>
    <font>
      <sz val="9"/>
      <name val="Faruma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1" fillId="0" borderId="1" applyNumberFormat="0"/>
    <xf numFmtId="0" fontId="2" fillId="0" borderId="0"/>
    <xf numFmtId="0" fontId="17" fillId="0" borderId="0"/>
    <xf numFmtId="0" fontId="12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04">
    <xf numFmtId="0" fontId="0" fillId="0" borderId="0" xfId="0"/>
    <xf numFmtId="0" fontId="0" fillId="2" borderId="0" xfId="0" applyFill="1"/>
    <xf numFmtId="49" fontId="19" fillId="2" borderId="3" xfId="0" applyNumberFormat="1" applyFont="1" applyFill="1" applyBorder="1" applyAlignment="1" applyProtection="1">
      <alignment horizontal="right" vertical="center"/>
    </xf>
    <xf numFmtId="0" fontId="19" fillId="2" borderId="2" xfId="0" applyFont="1" applyFill="1" applyBorder="1" applyAlignment="1" applyProtection="1">
      <alignment horizontal="right" vertical="center"/>
    </xf>
    <xf numFmtId="0" fontId="22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0" fontId="19" fillId="2" borderId="0" xfId="4" applyFont="1" applyFill="1" applyBorder="1" applyAlignment="1" applyProtection="1">
      <alignment horizontal="left" vertical="center"/>
    </xf>
    <xf numFmtId="0" fontId="21" fillId="2" borderId="0" xfId="4" applyFont="1" applyFill="1"/>
    <xf numFmtId="0" fontId="19" fillId="2" borderId="2" xfId="4" applyFont="1" applyFill="1" applyBorder="1" applyAlignment="1" applyProtection="1">
      <alignment horizontal="center" vertical="center"/>
    </xf>
    <xf numFmtId="0" fontId="21" fillId="2" borderId="0" xfId="4" applyFont="1" applyFill="1" applyBorder="1"/>
    <xf numFmtId="0" fontId="19" fillId="2" borderId="2" xfId="4" applyFont="1" applyFill="1" applyBorder="1" applyAlignment="1" applyProtection="1">
      <alignment horizontal="left" vertical="center"/>
    </xf>
    <xf numFmtId="0" fontId="19" fillId="2" borderId="2" xfId="4" applyFont="1" applyFill="1" applyBorder="1" applyAlignment="1" applyProtection="1">
      <alignment horizontal="right" vertical="center"/>
    </xf>
    <xf numFmtId="0" fontId="20" fillId="2" borderId="0" xfId="4" applyFont="1" applyFill="1" applyAlignment="1">
      <alignment vertical="center"/>
    </xf>
    <xf numFmtId="0" fontId="19" fillId="2" borderId="5" xfId="4" applyFont="1" applyFill="1" applyBorder="1" applyAlignment="1" applyProtection="1">
      <alignment horizontal="left" vertical="center"/>
    </xf>
    <xf numFmtId="169" fontId="19" fillId="2" borderId="5" xfId="2" applyNumberFormat="1" applyFont="1" applyFill="1" applyBorder="1" applyAlignment="1" applyProtection="1">
      <alignment horizontal="right" vertical="center"/>
    </xf>
    <xf numFmtId="0" fontId="20" fillId="2" borderId="0" xfId="4" applyFont="1" applyFill="1"/>
    <xf numFmtId="169" fontId="20" fillId="2" borderId="0" xfId="4" applyNumberFormat="1" applyFont="1" applyFill="1" applyAlignment="1">
      <alignment vertical="center"/>
    </xf>
    <xf numFmtId="17" fontId="19" fillId="2" borderId="0" xfId="9" applyNumberFormat="1" applyFont="1" applyFill="1" applyBorder="1" applyAlignment="1">
      <alignment horizontal="left" vertical="center" indent="1"/>
    </xf>
    <xf numFmtId="0" fontId="21" fillId="2" borderId="0" xfId="9" applyFont="1" applyFill="1" applyBorder="1" applyAlignment="1">
      <alignment horizontal="left" vertical="center" indent="2"/>
    </xf>
    <xf numFmtId="169" fontId="19" fillId="2" borderId="0" xfId="2" applyNumberFormat="1" applyFont="1" applyFill="1" applyBorder="1" applyAlignment="1">
      <alignment vertical="center"/>
    </xf>
    <xf numFmtId="169" fontId="21" fillId="2" borderId="0" xfId="2" applyNumberFormat="1" applyFont="1" applyFill="1" applyBorder="1" applyAlignment="1">
      <alignment vertical="center"/>
    </xf>
    <xf numFmtId="0" fontId="21" fillId="2" borderId="0" xfId="9" quotePrefix="1" applyFont="1" applyFill="1" applyBorder="1" applyAlignment="1">
      <alignment horizontal="left" vertical="center" indent="2"/>
    </xf>
    <xf numFmtId="169" fontId="19" fillId="2" borderId="0" xfId="2" applyNumberFormat="1" applyFont="1" applyFill="1" applyBorder="1" applyAlignment="1">
      <alignment horizontal="right" vertical="center"/>
    </xf>
    <xf numFmtId="17" fontId="19" fillId="2" borderId="0" xfId="9" applyNumberFormat="1" applyFont="1" applyFill="1" applyBorder="1" applyAlignment="1">
      <alignment horizontal="left" vertical="center" wrapText="1" indent="1"/>
    </xf>
    <xf numFmtId="0" fontId="21" fillId="2" borderId="2" xfId="9" applyFont="1" applyFill="1" applyBorder="1" applyAlignment="1">
      <alignment horizontal="left" vertical="center" indent="2"/>
    </xf>
    <xf numFmtId="169" fontId="19" fillId="2" borderId="2" xfId="2" applyNumberFormat="1" applyFont="1" applyFill="1" applyBorder="1" applyAlignment="1">
      <alignment vertical="center"/>
    </xf>
    <xf numFmtId="169" fontId="21" fillId="2" borderId="2" xfId="2" applyNumberFormat="1" applyFont="1" applyFill="1" applyBorder="1" applyAlignment="1">
      <alignment vertical="center"/>
    </xf>
    <xf numFmtId="0" fontId="21" fillId="2" borderId="0" xfId="9" applyFont="1" applyFill="1" applyBorder="1" applyAlignment="1">
      <alignment horizontal="left" vertical="center" indent="1"/>
    </xf>
    <xf numFmtId="0" fontId="21" fillId="2" borderId="2" xfId="9" applyFont="1" applyFill="1" applyBorder="1" applyAlignment="1">
      <alignment horizontal="left" vertical="center" indent="1"/>
    </xf>
    <xf numFmtId="0" fontId="22" fillId="2" borderId="0" xfId="4" applyFont="1" applyFill="1" applyAlignment="1" applyProtection="1">
      <alignment horizontal="left" vertical="center"/>
    </xf>
    <xf numFmtId="3" fontId="21" fillId="2" borderId="0" xfId="4" applyNumberFormat="1" applyFont="1" applyFill="1"/>
    <xf numFmtId="49" fontId="19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0" fillId="4" borderId="8" xfId="2" applyNumberFormat="1" applyFont="1" applyFill="1" applyBorder="1" applyAlignment="1" applyProtection="1">
      <alignment horizontal="left" vertical="center"/>
    </xf>
    <xf numFmtId="170" fontId="20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0" fillId="4" borderId="0" xfId="2" applyNumberFormat="1" applyFont="1" applyFill="1" applyBorder="1" applyAlignment="1">
      <alignment vertical="center"/>
    </xf>
    <xf numFmtId="170" fontId="20" fillId="4" borderId="7" xfId="2" applyNumberFormat="1" applyFont="1" applyFill="1" applyBorder="1" applyAlignment="1">
      <alignment vertical="center"/>
    </xf>
    <xf numFmtId="0" fontId="19" fillId="2" borderId="4" xfId="0" applyFont="1" applyFill="1" applyBorder="1" applyAlignment="1" applyProtection="1">
      <alignment horizontal="right" vertical="center"/>
    </xf>
    <xf numFmtId="0" fontId="19" fillId="3" borderId="6" xfId="0" applyFont="1" applyFill="1" applyBorder="1" applyAlignment="1" applyProtection="1">
      <alignment horizontal="right" vertical="center"/>
    </xf>
    <xf numFmtId="167" fontId="20" fillId="4" borderId="0" xfId="0" applyNumberFormat="1" applyFont="1" applyFill="1" applyBorder="1" applyAlignment="1">
      <alignment vertical="center"/>
    </xf>
    <xf numFmtId="167" fontId="18" fillId="4" borderId="0" xfId="0" applyNumberFormat="1" applyFont="1" applyFill="1" applyBorder="1" applyAlignment="1">
      <alignment vertical="center"/>
    </xf>
    <xf numFmtId="167" fontId="18" fillId="4" borderId="7" xfId="0" applyNumberFormat="1" applyFont="1" applyFill="1" applyBorder="1" applyAlignment="1">
      <alignment vertical="center"/>
    </xf>
    <xf numFmtId="169" fontId="20" fillId="2" borderId="8" xfId="2" applyNumberFormat="1" applyFont="1" applyFill="1" applyBorder="1" applyAlignment="1" applyProtection="1">
      <alignment horizontal="left" vertical="center"/>
    </xf>
    <xf numFmtId="170" fontId="20" fillId="2" borderId="9" xfId="2" applyNumberFormat="1" applyFont="1" applyFill="1" applyBorder="1" applyAlignment="1">
      <alignment vertical="center"/>
    </xf>
    <xf numFmtId="170" fontId="20" fillId="2" borderId="0" xfId="2" applyNumberFormat="1" applyFont="1" applyFill="1" applyBorder="1" applyAlignment="1">
      <alignment vertical="center"/>
    </xf>
    <xf numFmtId="170" fontId="20" fillId="3" borderId="7" xfId="2" applyNumberFormat="1" applyFont="1" applyFill="1" applyBorder="1" applyAlignment="1">
      <alignment vertical="center"/>
    </xf>
    <xf numFmtId="167" fontId="20" fillId="2" borderId="0" xfId="0" applyNumberFormat="1" applyFont="1" applyFill="1" applyBorder="1" applyAlignment="1">
      <alignment vertical="center"/>
    </xf>
    <xf numFmtId="167" fontId="18" fillId="2" borderId="0" xfId="0" applyNumberFormat="1" applyFont="1" applyFill="1" applyBorder="1" applyAlignment="1">
      <alignment vertical="center"/>
    </xf>
    <xf numFmtId="167" fontId="18" fillId="3" borderId="7" xfId="0" applyNumberFormat="1" applyFont="1" applyFill="1" applyBorder="1" applyAlignment="1">
      <alignment vertical="center"/>
    </xf>
    <xf numFmtId="169" fontId="20" fillId="2" borderId="10" xfId="2" applyNumberFormat="1" applyFont="1" applyFill="1" applyBorder="1" applyAlignment="1" applyProtection="1">
      <alignment horizontal="left" vertical="center"/>
    </xf>
    <xf numFmtId="170" fontId="20" fillId="2" borderId="11" xfId="2" applyNumberFormat="1" applyFont="1" applyFill="1" applyBorder="1" applyAlignment="1">
      <alignment vertical="center"/>
    </xf>
    <xf numFmtId="170" fontId="20" fillId="2" borderId="2" xfId="2" applyNumberFormat="1" applyFont="1" applyFill="1" applyBorder="1" applyAlignment="1">
      <alignment vertical="center"/>
    </xf>
    <xf numFmtId="170" fontId="20" fillId="3" borderId="6" xfId="2" applyNumberFormat="1" applyFont="1" applyFill="1" applyBorder="1" applyAlignment="1">
      <alignment vertical="center"/>
    </xf>
    <xf numFmtId="167" fontId="20" fillId="2" borderId="2" xfId="0" applyNumberFormat="1" applyFont="1" applyFill="1" applyBorder="1" applyAlignment="1">
      <alignment vertical="center"/>
    </xf>
    <xf numFmtId="167" fontId="18" fillId="2" borderId="2" xfId="0" applyNumberFormat="1" applyFont="1" applyFill="1" applyBorder="1" applyAlignment="1">
      <alignment vertical="center"/>
    </xf>
    <xf numFmtId="167" fontId="18" fillId="3" borderId="6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1" fillId="2" borderId="0" xfId="4" applyFont="1" applyFill="1" applyAlignment="1">
      <alignment vertical="center"/>
    </xf>
    <xf numFmtId="0" fontId="22" fillId="2" borderId="5" xfId="4" applyFont="1" applyFill="1" applyBorder="1" applyAlignment="1" applyProtection="1">
      <alignment horizontal="left" vertical="center"/>
    </xf>
    <xf numFmtId="0" fontId="19" fillId="2" borderId="3" xfId="4" applyFont="1" applyFill="1" applyBorder="1" applyAlignment="1" applyProtection="1">
      <alignment horizontal="right" vertical="center"/>
    </xf>
    <xf numFmtId="0" fontId="14" fillId="2" borderId="3" xfId="4" applyFont="1" applyFill="1" applyBorder="1" applyAlignment="1">
      <alignment vertical="center"/>
    </xf>
    <xf numFmtId="0" fontId="14" fillId="2" borderId="5" xfId="4" applyFont="1" applyFill="1" applyBorder="1"/>
    <xf numFmtId="0" fontId="14" fillId="2" borderId="0" xfId="4" applyFont="1" applyFill="1"/>
    <xf numFmtId="0" fontId="10" fillId="2" borderId="0" xfId="4" applyFont="1" applyFill="1" applyBorder="1" applyAlignment="1">
      <alignment horizontal="right" vertical="center" indent="1"/>
    </xf>
    <xf numFmtId="0" fontId="14" fillId="2" borderId="0" xfId="4" applyFont="1" applyFill="1" applyAlignment="1">
      <alignment horizontal="right" indent="1"/>
    </xf>
    <xf numFmtId="0" fontId="16" fillId="2" borderId="0" xfId="4" applyFont="1" applyFill="1" applyAlignment="1">
      <alignment horizontal="right" indent="2"/>
    </xf>
    <xf numFmtId="0" fontId="14" fillId="2" borderId="0" xfId="4" applyFont="1" applyFill="1" applyAlignment="1">
      <alignment horizontal="right" indent="1" readingOrder="1"/>
    </xf>
    <xf numFmtId="0" fontId="16" fillId="2" borderId="0" xfId="4" applyFont="1" applyFill="1" applyBorder="1" applyAlignment="1">
      <alignment horizontal="right" indent="2"/>
    </xf>
    <xf numFmtId="0" fontId="16" fillId="2" borderId="0" xfId="4" applyFont="1" applyFill="1" applyAlignment="1">
      <alignment horizontal="right" indent="1"/>
    </xf>
    <xf numFmtId="169" fontId="20" fillId="2" borderId="0" xfId="4" applyNumberFormat="1" applyFont="1" applyFill="1"/>
    <xf numFmtId="0" fontId="14" fillId="2" borderId="0" xfId="4" applyFont="1" applyFill="1" applyBorder="1"/>
    <xf numFmtId="0" fontId="16" fillId="2" borderId="2" xfId="4" applyFont="1" applyFill="1" applyBorder="1" applyAlignment="1">
      <alignment horizontal="right" indent="2"/>
    </xf>
    <xf numFmtId="0" fontId="16" fillId="2" borderId="2" xfId="4" applyFont="1" applyFill="1" applyBorder="1" applyAlignment="1">
      <alignment horizontal="right" indent="1"/>
    </xf>
    <xf numFmtId="169" fontId="21" fillId="2" borderId="0" xfId="2" applyNumberFormat="1" applyFont="1" applyFill="1" applyBorder="1" applyAlignment="1">
      <alignment horizontal="right" vertical="center"/>
    </xf>
    <xf numFmtId="169" fontId="21" fillId="2" borderId="2" xfId="2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169" fontId="19" fillId="2" borderId="0" xfId="2" applyNumberFormat="1" applyFont="1" applyFill="1" applyBorder="1" applyAlignment="1" applyProtection="1">
      <alignment horizontal="right" vertical="center"/>
    </xf>
    <xf numFmtId="169" fontId="19" fillId="2" borderId="2" xfId="2" applyNumberFormat="1" applyFont="1" applyFill="1" applyBorder="1" applyAlignment="1" applyProtection="1">
      <alignment horizontal="right" vertical="center"/>
    </xf>
    <xf numFmtId="0" fontId="19" fillId="2" borderId="0" xfId="4" applyFont="1" applyFill="1" applyBorder="1" applyAlignment="1" applyProtection="1">
      <alignment vertical="center"/>
    </xf>
    <xf numFmtId="169" fontId="19" fillId="2" borderId="2" xfId="4" applyNumberFormat="1" applyFont="1" applyFill="1" applyBorder="1" applyAlignment="1" applyProtection="1">
      <alignment horizontal="center" vertical="center"/>
    </xf>
    <xf numFmtId="0" fontId="23" fillId="2" borderId="0" xfId="0" applyFont="1" applyFill="1" applyAlignment="1" applyProtection="1">
      <alignment horizontal="left" vertical="center" indent="3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left" vertical="center" wrapText="1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0" fillId="2" borderId="1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5" fillId="2" borderId="0" xfId="4" applyFont="1" applyFill="1" applyBorder="1" applyAlignment="1" applyProtection="1">
      <alignment horizontal="center" vertical="center"/>
    </xf>
    <xf numFmtId="0" fontId="15" fillId="2" borderId="0" xfId="4" applyFont="1" applyFill="1" applyAlignment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>
                <a:latin typeface="Candara" pitchFamily="34" charset="0"/>
              </a:rPr>
              <a:t>Figure 10.20: Monthly tourist arrivals by continent, 2017</a:t>
            </a:r>
          </a:p>
        </c:rich>
      </c:tx>
      <c:layout>
        <c:manualLayout>
          <c:xMode val="edge"/>
          <c:yMode val="edge"/>
          <c:x val="0.30845712656267216"/>
          <c:y val="3.70369519506165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0"/>
          <c:order val="0"/>
          <c:tx>
            <c:strRef>
              <c:f>'10.13'!$AA$20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strRef>
              <c:f>'10.13'!$AB$18:$AM$18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'10.13'!$AB$20:$AM$20</c:f>
              <c:numCache>
                <c:formatCode>_(* #,##0_);_(* \(#,##0\);_(* "-"??_);_(@_)</c:formatCode>
                <c:ptCount val="12"/>
                <c:pt idx="0">
                  <c:v>64030</c:v>
                </c:pt>
                <c:pt idx="1">
                  <c:v>67730</c:v>
                </c:pt>
                <c:pt idx="2">
                  <c:v>61927</c:v>
                </c:pt>
                <c:pt idx="3">
                  <c:v>61542</c:v>
                </c:pt>
                <c:pt idx="4">
                  <c:v>35739</c:v>
                </c:pt>
                <c:pt idx="5">
                  <c:v>29194</c:v>
                </c:pt>
                <c:pt idx="6">
                  <c:v>42192</c:v>
                </c:pt>
                <c:pt idx="7">
                  <c:v>47465</c:v>
                </c:pt>
                <c:pt idx="8">
                  <c:v>40014</c:v>
                </c:pt>
                <c:pt idx="9">
                  <c:v>62018</c:v>
                </c:pt>
                <c:pt idx="10">
                  <c:v>60170</c:v>
                </c:pt>
                <c:pt idx="11">
                  <c:v>74322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1-4965-991F-80E58B1CE454}"/>
            </c:ext>
          </c:extLst>
        </c:ser>
        <c:ser>
          <c:idx val="1"/>
          <c:order val="1"/>
          <c:tx>
            <c:strRef>
              <c:f>'10.13'!$AA$21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squar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strRef>
              <c:f>'10.13'!$AB$18:$AM$18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'10.13'!$AB$21:$AM$21</c:f>
              <c:numCache>
                <c:formatCode>_(* #,##0_);_(* \(#,##0\);_(* "-"??_);_(@_)</c:formatCode>
                <c:ptCount val="12"/>
                <c:pt idx="0">
                  <c:v>48579</c:v>
                </c:pt>
                <c:pt idx="1">
                  <c:v>43019</c:v>
                </c:pt>
                <c:pt idx="2">
                  <c:v>38122</c:v>
                </c:pt>
                <c:pt idx="3">
                  <c:v>44308</c:v>
                </c:pt>
                <c:pt idx="4">
                  <c:v>47584</c:v>
                </c:pt>
                <c:pt idx="5">
                  <c:v>45958</c:v>
                </c:pt>
                <c:pt idx="6">
                  <c:v>54520</c:v>
                </c:pt>
                <c:pt idx="7">
                  <c:v>57701</c:v>
                </c:pt>
                <c:pt idx="8">
                  <c:v>51532</c:v>
                </c:pt>
                <c:pt idx="9">
                  <c:v>54974</c:v>
                </c:pt>
                <c:pt idx="10">
                  <c:v>47363</c:v>
                </c:pt>
                <c:pt idx="11">
                  <c:v>53131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21-4965-991F-80E58B1CE454}"/>
            </c:ext>
          </c:extLst>
        </c:ser>
        <c:ser>
          <c:idx val="2"/>
          <c:order val="2"/>
          <c:tx>
            <c:strRef>
              <c:f>'10.13'!$AA$22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'10.13'!$AB$18:$AM$18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'10.13'!$AB$22:$AM$22</c:f>
              <c:numCache>
                <c:formatCode>General</c:formatCode>
                <c:ptCount val="12"/>
                <c:pt idx="0" formatCode="_(* #,##0_);_(* \(#,##0\);_(* &quot;-&quot;??_);_(@_)">
                  <c:v>12727</c:v>
                </c:pt>
                <c:pt idx="1">
                  <c:v>10303</c:v>
                </c:pt>
                <c:pt idx="2">
                  <c:v>12616</c:v>
                </c:pt>
                <c:pt idx="3">
                  <c:v>13924</c:v>
                </c:pt>
                <c:pt idx="4">
                  <c:v>10168</c:v>
                </c:pt>
                <c:pt idx="5">
                  <c:v>10070</c:v>
                </c:pt>
                <c:pt idx="6">
                  <c:v>16463</c:v>
                </c:pt>
                <c:pt idx="7">
                  <c:v>16144</c:v>
                </c:pt>
                <c:pt idx="8">
                  <c:v>14438</c:v>
                </c:pt>
                <c:pt idx="9">
                  <c:v>10994</c:v>
                </c:pt>
                <c:pt idx="10">
                  <c:v>12973</c:v>
                </c:pt>
                <c:pt idx="11">
                  <c:v>15588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21-4965-991F-80E58B1C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960088"/>
        <c:axId val="298960480"/>
      </c:lineChart>
      <c:catAx>
        <c:axId val="29896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98960480"/>
        <c:crosses val="autoZero"/>
        <c:auto val="1"/>
        <c:lblAlgn val="ctr"/>
        <c:lblOffset val="100"/>
        <c:noMultiLvlLbl val="0"/>
      </c:catAx>
      <c:valAx>
        <c:axId val="29896048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2989600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2041608213593203"/>
          <c:y val="0.16179150832705513"/>
          <c:w val="0.61132939197738667"/>
          <c:h val="9.9092613423321985E-2"/>
        </c:manualLayout>
      </c:layout>
      <c:overlay val="0"/>
    </c:legend>
    <c:plotVisOnly val="1"/>
    <c:dispBlanksAs val="zero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425235</xdr:colOff>
      <xdr:row>88</xdr:row>
      <xdr:rowOff>0</xdr:rowOff>
    </xdr:from>
    <xdr:to>
      <xdr:col>12</xdr:col>
      <xdr:colOff>532755</xdr:colOff>
      <xdr:row>106</xdr:row>
      <xdr:rowOff>152400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619125</xdr:colOff>
      <xdr:row>90</xdr:row>
      <xdr:rowOff>9525</xdr:rowOff>
    </xdr:from>
    <xdr:to>
      <xdr:col>9</xdr:col>
      <xdr:colOff>571500</xdr:colOff>
      <xdr:row>90</xdr:row>
      <xdr:rowOff>9525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4162425" y="20831175"/>
          <a:ext cx="338137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86" t="s">
        <v>173</v>
      </c>
      <c r="B1" s="86"/>
      <c r="C1" s="86"/>
      <c r="D1" s="86"/>
      <c r="E1" s="86"/>
      <c r="F1" s="86"/>
      <c r="G1" s="86"/>
      <c r="H1" s="86"/>
      <c r="I1" s="86"/>
      <c r="J1" s="86"/>
      <c r="K1" s="86"/>
      <c r="M1" s="2" t="s">
        <v>41</v>
      </c>
      <c r="N1" s="2" t="s">
        <v>49</v>
      </c>
      <c r="O1" s="2" t="s">
        <v>131</v>
      </c>
      <c r="P1" s="2" t="s">
        <v>170</v>
      </c>
      <c r="Q1" s="34" t="s">
        <v>172</v>
      </c>
      <c r="S1" s="35">
        <f>Q2/M2</f>
        <v>5.5298836452988356</v>
      </c>
      <c r="T1" s="36" t="s">
        <v>175</v>
      </c>
      <c r="U1" s="36"/>
    </row>
    <row r="2" spans="1:21" ht="9.75" customHeight="1">
      <c r="A2" s="87" t="s">
        <v>174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37" t="s">
        <v>77</v>
      </c>
      <c r="M2" s="38">
        <f>M4/1000</f>
        <v>41.511000000000003</v>
      </c>
      <c r="N2" s="38">
        <f>N4/1000</f>
        <v>60.665999999999997</v>
      </c>
      <c r="O2" s="38">
        <f>O4/1000</f>
        <v>118.961</v>
      </c>
      <c r="P2" s="38">
        <f>P4/1000</f>
        <v>198.655</v>
      </c>
      <c r="Q2" s="38">
        <f>Q4/1000</f>
        <v>229.55099999999999</v>
      </c>
      <c r="R2" s="39" t="s">
        <v>176</v>
      </c>
    </row>
    <row r="3" spans="1:21" ht="3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21" ht="21" customHeight="1">
      <c r="A4" s="88" t="s">
        <v>177</v>
      </c>
      <c r="B4" s="91" t="s">
        <v>48</v>
      </c>
      <c r="C4" s="92"/>
      <c r="D4" s="92"/>
      <c r="E4" s="92"/>
      <c r="F4" s="93"/>
      <c r="G4" s="94" t="s">
        <v>171</v>
      </c>
      <c r="H4" s="95"/>
      <c r="I4" s="95"/>
      <c r="J4" s="95"/>
      <c r="K4" s="96"/>
      <c r="L4" s="37" t="s">
        <v>77</v>
      </c>
      <c r="M4" s="38">
        <v>41511</v>
      </c>
      <c r="N4" s="38">
        <v>60666</v>
      </c>
      <c r="O4" s="40">
        <v>118961</v>
      </c>
      <c r="P4" s="40">
        <v>198655</v>
      </c>
      <c r="Q4" s="41">
        <v>229551</v>
      </c>
    </row>
    <row r="5" spans="1:21" ht="13.5" customHeight="1">
      <c r="A5" s="89"/>
      <c r="B5" s="97" t="s">
        <v>167</v>
      </c>
      <c r="C5" s="97"/>
      <c r="D5" s="97"/>
      <c r="E5" s="97"/>
      <c r="F5" s="98"/>
      <c r="G5" s="99" t="s">
        <v>168</v>
      </c>
      <c r="H5" s="100"/>
      <c r="I5" s="100"/>
      <c r="J5" s="100"/>
      <c r="K5" s="101"/>
    </row>
    <row r="6" spans="1:21" ht="15" customHeight="1">
      <c r="A6" s="90"/>
      <c r="B6" s="2" t="s">
        <v>41</v>
      </c>
      <c r="C6" s="2" t="s">
        <v>49</v>
      </c>
      <c r="D6" s="2" t="s">
        <v>131</v>
      </c>
      <c r="E6" s="2" t="s">
        <v>170</v>
      </c>
      <c r="F6" s="34" t="s">
        <v>172</v>
      </c>
      <c r="G6" s="42">
        <v>2008</v>
      </c>
      <c r="H6" s="3">
        <v>2009</v>
      </c>
      <c r="I6" s="3">
        <v>2010</v>
      </c>
      <c r="J6" s="3">
        <v>2011</v>
      </c>
      <c r="K6" s="43">
        <v>2012</v>
      </c>
    </row>
    <row r="7" spans="1:21" ht="12.75" customHeight="1">
      <c r="A7" s="37" t="s">
        <v>77</v>
      </c>
      <c r="B7" s="38">
        <v>41511</v>
      </c>
      <c r="C7" s="38">
        <v>60666</v>
      </c>
      <c r="D7" s="40">
        <v>118961</v>
      </c>
      <c r="E7" s="40">
        <v>198655</v>
      </c>
      <c r="F7" s="41">
        <v>229551</v>
      </c>
      <c r="G7" s="44">
        <v>15.385256837891928</v>
      </c>
      <c r="H7" s="44">
        <f t="shared" ref="H7:K38" si="0">(C7-B7)/B7*100</f>
        <v>46.144395461443956</v>
      </c>
      <c r="I7" s="45">
        <f t="shared" si="0"/>
        <v>96.091715293574651</v>
      </c>
      <c r="J7" s="45">
        <f t="shared" si="0"/>
        <v>66.991703163221558</v>
      </c>
      <c r="K7" s="46">
        <f t="shared" si="0"/>
        <v>15.552591175656289</v>
      </c>
    </row>
    <row r="8" spans="1:21" ht="12.75" customHeight="1">
      <c r="A8" s="37" t="s">
        <v>56</v>
      </c>
      <c r="B8" s="38">
        <v>69240</v>
      </c>
      <c r="C8" s="38">
        <v>69085</v>
      </c>
      <c r="D8" s="40">
        <v>77108</v>
      </c>
      <c r="E8" s="40">
        <v>90517</v>
      </c>
      <c r="F8" s="41">
        <v>98351</v>
      </c>
      <c r="G8" s="44">
        <v>-4.1912853367280576</v>
      </c>
      <c r="H8" s="44">
        <f t="shared" si="0"/>
        <v>-0.2238590410167533</v>
      </c>
      <c r="I8" s="45">
        <f t="shared" si="0"/>
        <v>11.613230078888325</v>
      </c>
      <c r="J8" s="45">
        <f t="shared" si="0"/>
        <v>17.389894693157647</v>
      </c>
      <c r="K8" s="46">
        <f t="shared" si="0"/>
        <v>8.654727841179005</v>
      </c>
    </row>
    <row r="9" spans="1:21" ht="12.75" customHeight="1">
      <c r="A9" s="37" t="s">
        <v>74</v>
      </c>
      <c r="B9" s="38">
        <v>116821</v>
      </c>
      <c r="C9" s="38">
        <v>105950</v>
      </c>
      <c r="D9" s="40">
        <v>114158</v>
      </c>
      <c r="E9" s="40">
        <v>104508</v>
      </c>
      <c r="F9" s="41">
        <v>91776</v>
      </c>
      <c r="G9" s="44">
        <v>-6.6611802681410701</v>
      </c>
      <c r="H9" s="44">
        <f t="shared" si="0"/>
        <v>-9.3056899016443957</v>
      </c>
      <c r="I9" s="45">
        <f t="shared" si="0"/>
        <v>7.7470504955167536</v>
      </c>
      <c r="J9" s="45">
        <f t="shared" si="0"/>
        <v>-8.4531964470295549</v>
      </c>
      <c r="K9" s="46">
        <f t="shared" si="0"/>
        <v>-12.182799402916524</v>
      </c>
    </row>
    <row r="10" spans="1:21" ht="12.75" customHeight="1">
      <c r="A10" s="37" t="s">
        <v>66</v>
      </c>
      <c r="B10" s="38">
        <v>48978</v>
      </c>
      <c r="C10" s="38">
        <v>40014</v>
      </c>
      <c r="D10" s="40">
        <v>49111</v>
      </c>
      <c r="E10" s="40">
        <v>63936</v>
      </c>
      <c r="F10" s="41">
        <v>66378</v>
      </c>
      <c r="G10" s="44">
        <v>53.801224682053693</v>
      </c>
      <c r="H10" s="44">
        <f t="shared" si="0"/>
        <v>-18.302094818081589</v>
      </c>
      <c r="I10" s="45">
        <f t="shared" si="0"/>
        <v>22.734542909981506</v>
      </c>
      <c r="J10" s="45">
        <f t="shared" si="0"/>
        <v>30.186719879456742</v>
      </c>
      <c r="K10" s="46">
        <f t="shared" si="0"/>
        <v>3.8194444444444446</v>
      </c>
    </row>
    <row r="11" spans="1:21" ht="12.75" customHeight="1">
      <c r="A11" s="37" t="s">
        <v>61</v>
      </c>
      <c r="B11" s="38">
        <v>103824</v>
      </c>
      <c r="C11" s="38">
        <v>89292</v>
      </c>
      <c r="D11" s="40">
        <v>89596</v>
      </c>
      <c r="E11" s="40">
        <v>83088</v>
      </c>
      <c r="F11" s="41">
        <v>62782</v>
      </c>
      <c r="G11" s="44">
        <v>-11.44772529553247</v>
      </c>
      <c r="H11" s="44">
        <f t="shared" si="0"/>
        <v>-13.996763754045308</v>
      </c>
      <c r="I11" s="45">
        <f t="shared" si="0"/>
        <v>0.34045603189535456</v>
      </c>
      <c r="J11" s="45">
        <f t="shared" si="0"/>
        <v>-7.2637171302290273</v>
      </c>
      <c r="K11" s="46">
        <f t="shared" si="0"/>
        <v>-24.439148854226843</v>
      </c>
    </row>
    <row r="12" spans="1:21" ht="12.75" customHeight="1">
      <c r="A12" s="37" t="s">
        <v>55</v>
      </c>
      <c r="B12" s="38">
        <v>48100</v>
      </c>
      <c r="C12" s="38">
        <v>50373</v>
      </c>
      <c r="D12" s="40">
        <v>54789</v>
      </c>
      <c r="E12" s="40">
        <v>59694</v>
      </c>
      <c r="F12" s="41">
        <v>56775</v>
      </c>
      <c r="G12" s="44">
        <v>6.1786715525043601</v>
      </c>
      <c r="H12" s="44">
        <f t="shared" si="0"/>
        <v>4.7255717255717258</v>
      </c>
      <c r="I12" s="45">
        <f t="shared" si="0"/>
        <v>8.766601155380858</v>
      </c>
      <c r="J12" s="45">
        <f t="shared" si="0"/>
        <v>8.9525269670919343</v>
      </c>
      <c r="K12" s="46">
        <f t="shared" si="0"/>
        <v>-4.889938687305257</v>
      </c>
    </row>
    <row r="13" spans="1:21" ht="12.75" customHeight="1">
      <c r="A13" s="37" t="s">
        <v>80</v>
      </c>
      <c r="B13" s="38">
        <v>38193</v>
      </c>
      <c r="C13" s="38">
        <v>36641</v>
      </c>
      <c r="D13" s="40">
        <v>38791</v>
      </c>
      <c r="E13" s="40">
        <v>35782</v>
      </c>
      <c r="F13" s="41">
        <v>36438</v>
      </c>
      <c r="G13" s="44">
        <v>-7.120449405413293</v>
      </c>
      <c r="H13" s="44">
        <f t="shared" si="0"/>
        <v>-4.063571858717566</v>
      </c>
      <c r="I13" s="45">
        <f t="shared" si="0"/>
        <v>5.8677437842853637</v>
      </c>
      <c r="J13" s="45">
        <f t="shared" si="0"/>
        <v>-7.7569539326132348</v>
      </c>
      <c r="K13" s="46">
        <f t="shared" si="0"/>
        <v>1.8333240176625119</v>
      </c>
    </row>
    <row r="14" spans="1:21" ht="12.75" customHeight="1">
      <c r="A14" s="37" t="s">
        <v>71</v>
      </c>
      <c r="B14" s="38">
        <v>26983</v>
      </c>
      <c r="C14" s="38">
        <v>26783</v>
      </c>
      <c r="D14" s="40">
        <v>27766</v>
      </c>
      <c r="E14" s="40">
        <v>32504</v>
      </c>
      <c r="F14" s="41">
        <v>35457</v>
      </c>
      <c r="G14" s="44">
        <v>3.0554176373983117</v>
      </c>
      <c r="H14" s="44">
        <f t="shared" si="0"/>
        <v>-0.74120742689841757</v>
      </c>
      <c r="I14" s="45">
        <f t="shared" si="0"/>
        <v>3.6702385841765301</v>
      </c>
      <c r="J14" s="45">
        <f t="shared" si="0"/>
        <v>17.064035150903983</v>
      </c>
      <c r="K14" s="46">
        <f t="shared" si="0"/>
        <v>9.0850356879153349</v>
      </c>
    </row>
    <row r="15" spans="1:21" ht="12.75" customHeight="1">
      <c r="A15" s="37" t="s">
        <v>78</v>
      </c>
      <c r="B15" s="38">
        <v>16663</v>
      </c>
      <c r="C15" s="38">
        <v>15850</v>
      </c>
      <c r="D15" s="40">
        <v>25756</v>
      </c>
      <c r="E15" s="40">
        <v>30978</v>
      </c>
      <c r="F15" s="41">
        <v>31721</v>
      </c>
      <c r="G15" s="44">
        <v>-3.832169446528539</v>
      </c>
      <c r="H15" s="44">
        <f t="shared" si="0"/>
        <v>-4.8790733961471524</v>
      </c>
      <c r="I15" s="45">
        <f t="shared" si="0"/>
        <v>62.498422712933753</v>
      </c>
      <c r="J15" s="45">
        <f t="shared" si="0"/>
        <v>20.274887404876534</v>
      </c>
      <c r="K15" s="46">
        <f t="shared" si="0"/>
        <v>2.3984763380463554</v>
      </c>
    </row>
    <row r="16" spans="1:21" ht="12.75" customHeight="1">
      <c r="A16" s="37" t="s">
        <v>81</v>
      </c>
      <c r="B16" s="38">
        <v>20934</v>
      </c>
      <c r="C16" s="38">
        <v>16135</v>
      </c>
      <c r="D16" s="40">
        <v>24808</v>
      </c>
      <c r="E16" s="40">
        <v>25285</v>
      </c>
      <c r="F16" s="41">
        <v>23933</v>
      </c>
      <c r="G16" s="44">
        <v>-0.20022883295194507</v>
      </c>
      <c r="H16" s="44">
        <f t="shared" si="0"/>
        <v>-22.92442915830706</v>
      </c>
      <c r="I16" s="45">
        <f t="shared" si="0"/>
        <v>53.752711496746208</v>
      </c>
      <c r="J16" s="45">
        <f t="shared" si="0"/>
        <v>1.9227668494034182</v>
      </c>
      <c r="K16" s="46">
        <f t="shared" si="0"/>
        <v>-5.3470437017994854</v>
      </c>
    </row>
    <row r="17" spans="1:15" ht="12.75" customHeight="1">
      <c r="A17" s="47" t="s">
        <v>75</v>
      </c>
      <c r="B17" s="48">
        <v>9482</v>
      </c>
      <c r="C17" s="48">
        <v>9476</v>
      </c>
      <c r="D17" s="49">
        <v>10220</v>
      </c>
      <c r="E17" s="49">
        <v>12088</v>
      </c>
      <c r="F17" s="50">
        <v>18612</v>
      </c>
      <c r="G17" s="51">
        <v>16.272225628448805</v>
      </c>
      <c r="H17" s="51">
        <f t="shared" si="0"/>
        <v>-6.3277789495886944E-2</v>
      </c>
      <c r="I17" s="52">
        <f t="shared" si="0"/>
        <v>7.8514140987758552</v>
      </c>
      <c r="J17" s="52">
        <f t="shared" si="0"/>
        <v>18.277886497064578</v>
      </c>
      <c r="K17" s="53">
        <f t="shared" si="0"/>
        <v>53.970880211780283</v>
      </c>
    </row>
    <row r="18" spans="1:15" ht="12.75" customHeight="1">
      <c r="A18" s="47" t="s">
        <v>50</v>
      </c>
      <c r="B18" s="48">
        <v>13462</v>
      </c>
      <c r="C18" s="48">
        <v>13274</v>
      </c>
      <c r="D18" s="49">
        <v>14944</v>
      </c>
      <c r="E18" s="49">
        <v>16655</v>
      </c>
      <c r="F18" s="50">
        <v>18164</v>
      </c>
      <c r="G18" s="51">
        <v>-1.5431873034447401</v>
      </c>
      <c r="H18" s="51">
        <f t="shared" si="0"/>
        <v>-1.3965235477640767</v>
      </c>
      <c r="I18" s="52">
        <f t="shared" si="0"/>
        <v>12.580985384963087</v>
      </c>
      <c r="J18" s="52">
        <f t="shared" si="0"/>
        <v>11.44941113490364</v>
      </c>
      <c r="K18" s="53">
        <f t="shared" si="0"/>
        <v>9.0603422395676976</v>
      </c>
    </row>
    <row r="19" spans="1:15" ht="12.75" customHeight="1">
      <c r="A19" s="47" t="s">
        <v>94</v>
      </c>
      <c r="B19" s="48">
        <v>8853</v>
      </c>
      <c r="C19" s="48">
        <v>9438</v>
      </c>
      <c r="D19" s="49">
        <v>11482</v>
      </c>
      <c r="E19" s="49">
        <v>14490</v>
      </c>
      <c r="F19" s="50">
        <v>16049</v>
      </c>
      <c r="G19" s="51">
        <v>-5.2952503209242625</v>
      </c>
      <c r="H19" s="51">
        <f t="shared" si="0"/>
        <v>6.607929515418502</v>
      </c>
      <c r="I19" s="52">
        <f t="shared" si="0"/>
        <v>21.657130748039837</v>
      </c>
      <c r="J19" s="52">
        <f t="shared" si="0"/>
        <v>26.197526563316497</v>
      </c>
      <c r="K19" s="53">
        <f t="shared" si="0"/>
        <v>10.759144237405106</v>
      </c>
    </row>
    <row r="20" spans="1:15" ht="12.75" customHeight="1">
      <c r="A20" s="47" t="s">
        <v>96</v>
      </c>
      <c r="B20" s="48">
        <v>9368</v>
      </c>
      <c r="C20" s="48">
        <v>7392</v>
      </c>
      <c r="D20" s="49">
        <v>9622</v>
      </c>
      <c r="E20" s="49">
        <v>12778</v>
      </c>
      <c r="F20" s="50">
        <v>15208</v>
      </c>
      <c r="G20" s="51">
        <v>-0.40399744843716773</v>
      </c>
      <c r="H20" s="51">
        <f t="shared" si="0"/>
        <v>-21.093082835183605</v>
      </c>
      <c r="I20" s="52">
        <f t="shared" si="0"/>
        <v>30.167748917748916</v>
      </c>
      <c r="J20" s="52">
        <f t="shared" si="0"/>
        <v>32.799833714404492</v>
      </c>
      <c r="K20" s="53">
        <f t="shared" si="0"/>
        <v>19.017060572859602</v>
      </c>
    </row>
    <row r="21" spans="1:15" ht="12.75" customHeight="1">
      <c r="A21" s="47" t="s">
        <v>85</v>
      </c>
      <c r="B21" s="48">
        <v>4956</v>
      </c>
      <c r="C21" s="48">
        <v>5214</v>
      </c>
      <c r="D21" s="49">
        <v>5332</v>
      </c>
      <c r="E21" s="49">
        <v>7990</v>
      </c>
      <c r="F21" s="50">
        <v>9625</v>
      </c>
      <c r="G21" s="51">
        <v>11.220825852782765</v>
      </c>
      <c r="H21" s="51">
        <f t="shared" si="0"/>
        <v>5.2058111380145284</v>
      </c>
      <c r="I21" s="52">
        <f t="shared" si="0"/>
        <v>2.263137706175681</v>
      </c>
      <c r="J21" s="52">
        <f t="shared" si="0"/>
        <v>49.849962490622659</v>
      </c>
      <c r="K21" s="53">
        <f t="shared" si="0"/>
        <v>20.463078848560702</v>
      </c>
    </row>
    <row r="22" spans="1:15" ht="12.75" customHeight="1">
      <c r="A22" s="47" t="s">
        <v>86</v>
      </c>
      <c r="B22" s="48">
        <v>9752</v>
      </c>
      <c r="C22" s="48">
        <v>7833</v>
      </c>
      <c r="D22" s="49">
        <v>7872</v>
      </c>
      <c r="E22" s="49">
        <v>9670</v>
      </c>
      <c r="F22" s="50">
        <v>8860</v>
      </c>
      <c r="G22" s="51">
        <v>1.015123264967889</v>
      </c>
      <c r="H22" s="51">
        <f t="shared" si="0"/>
        <v>-19.678014766201805</v>
      </c>
      <c r="I22" s="52">
        <f t="shared" si="0"/>
        <v>0.49789352738414405</v>
      </c>
      <c r="J22" s="52">
        <f t="shared" si="0"/>
        <v>22.840447154471544</v>
      </c>
      <c r="K22" s="53">
        <f t="shared" si="0"/>
        <v>-8.3764219234746644</v>
      </c>
    </row>
    <row r="23" spans="1:15" ht="12.75" customHeight="1">
      <c r="A23" s="47" t="s">
        <v>69</v>
      </c>
      <c r="B23" s="48">
        <v>8217</v>
      </c>
      <c r="C23" s="48">
        <v>7279</v>
      </c>
      <c r="D23" s="49">
        <v>8912</v>
      </c>
      <c r="E23" s="49">
        <v>9710</v>
      </c>
      <c r="F23" s="50">
        <v>8824</v>
      </c>
      <c r="G23" s="51">
        <v>-6.6037735849056602</v>
      </c>
      <c r="H23" s="51">
        <f t="shared" si="0"/>
        <v>-11.415358403310211</v>
      </c>
      <c r="I23" s="52">
        <f t="shared" si="0"/>
        <v>22.434400329715622</v>
      </c>
      <c r="J23" s="52">
        <f t="shared" si="0"/>
        <v>8.9542190305206457</v>
      </c>
      <c r="K23" s="53">
        <f t="shared" si="0"/>
        <v>-9.1246138002059727</v>
      </c>
      <c r="O23" s="36" t="s">
        <v>178</v>
      </c>
    </row>
    <row r="24" spans="1:15" ht="12.75" customHeight="1">
      <c r="A24" s="47" t="s">
        <v>73</v>
      </c>
      <c r="B24" s="48">
        <v>5399</v>
      </c>
      <c r="C24" s="48">
        <v>4643</v>
      </c>
      <c r="D24" s="49">
        <v>5445</v>
      </c>
      <c r="E24" s="49">
        <v>6729</v>
      </c>
      <c r="F24" s="50">
        <v>8044</v>
      </c>
      <c r="G24" s="51">
        <v>52.299012693935119</v>
      </c>
      <c r="H24" s="51">
        <f t="shared" si="0"/>
        <v>-14.002593072791258</v>
      </c>
      <c r="I24" s="52">
        <f t="shared" si="0"/>
        <v>17.273314667241007</v>
      </c>
      <c r="J24" s="52">
        <f t="shared" si="0"/>
        <v>23.581267217630856</v>
      </c>
      <c r="K24" s="53">
        <f t="shared" si="0"/>
        <v>19.542279684945758</v>
      </c>
    </row>
    <row r="25" spans="1:15" ht="12.75" customHeight="1">
      <c r="A25" s="47" t="s">
        <v>101</v>
      </c>
      <c r="B25" s="48">
        <v>2747</v>
      </c>
      <c r="C25" s="48">
        <v>3036</v>
      </c>
      <c r="D25" s="49">
        <v>4040</v>
      </c>
      <c r="E25" s="49">
        <v>5005</v>
      </c>
      <c r="F25" s="50">
        <v>7263</v>
      </c>
      <c r="G25" s="51">
        <v>41.597938144329902</v>
      </c>
      <c r="H25" s="51">
        <f t="shared" si="0"/>
        <v>10.520567892246087</v>
      </c>
      <c r="I25" s="52">
        <f t="shared" si="0"/>
        <v>33.06982872200264</v>
      </c>
      <c r="J25" s="52">
        <f t="shared" si="0"/>
        <v>23.886138613861384</v>
      </c>
      <c r="K25" s="53">
        <f t="shared" si="0"/>
        <v>45.114885114885119</v>
      </c>
    </row>
    <row r="26" spans="1:15" ht="12.75" customHeight="1">
      <c r="A26" s="47" t="s">
        <v>88</v>
      </c>
      <c r="B26" s="48">
        <v>3952</v>
      </c>
      <c r="C26" s="48">
        <v>3813</v>
      </c>
      <c r="D26" s="49">
        <v>5397</v>
      </c>
      <c r="E26" s="49">
        <v>6214</v>
      </c>
      <c r="F26" s="50">
        <v>6896</v>
      </c>
      <c r="G26" s="51">
        <v>7.8897078897078892</v>
      </c>
      <c r="H26" s="51">
        <f t="shared" si="0"/>
        <v>-3.5172064777327936</v>
      </c>
      <c r="I26" s="52">
        <f t="shared" si="0"/>
        <v>41.542092840283239</v>
      </c>
      <c r="J26" s="52">
        <f t="shared" si="0"/>
        <v>15.138039651658328</v>
      </c>
      <c r="K26" s="53">
        <f t="shared" si="0"/>
        <v>10.975217251367878</v>
      </c>
    </row>
    <row r="27" spans="1:15" ht="12.75" customHeight="1">
      <c r="A27" s="47" t="s">
        <v>82</v>
      </c>
      <c r="B27" s="48">
        <v>3137</v>
      </c>
      <c r="C27" s="48">
        <v>3139</v>
      </c>
      <c r="D27" s="49">
        <v>3894</v>
      </c>
      <c r="E27" s="49">
        <v>6055</v>
      </c>
      <c r="F27" s="50">
        <v>6766</v>
      </c>
      <c r="G27" s="51">
        <v>4.6015338446148721</v>
      </c>
      <c r="H27" s="51">
        <f t="shared" si="0"/>
        <v>6.3755180108383797E-2</v>
      </c>
      <c r="I27" s="52">
        <f t="shared" si="0"/>
        <v>24.052245938196879</v>
      </c>
      <c r="J27" s="52">
        <f t="shared" si="0"/>
        <v>55.495634309193633</v>
      </c>
      <c r="K27" s="53">
        <f t="shared" si="0"/>
        <v>11.742361684558217</v>
      </c>
    </row>
    <row r="28" spans="1:15" ht="12.75" customHeight="1">
      <c r="A28" s="47" t="s">
        <v>62</v>
      </c>
      <c r="B28" s="48">
        <v>5595</v>
      </c>
      <c r="C28" s="48">
        <v>5355</v>
      </c>
      <c r="D28" s="49">
        <v>5682</v>
      </c>
      <c r="E28" s="49">
        <v>5693</v>
      </c>
      <c r="F28" s="50">
        <v>6077</v>
      </c>
      <c r="G28" s="51">
        <v>-13.644080876678499</v>
      </c>
      <c r="H28" s="51">
        <f t="shared" si="0"/>
        <v>-4.2895442359249332</v>
      </c>
      <c r="I28" s="52">
        <f t="shared" si="0"/>
        <v>6.1064425770308119</v>
      </c>
      <c r="J28" s="52">
        <f t="shared" si="0"/>
        <v>0.19359380499824005</v>
      </c>
      <c r="K28" s="53">
        <f t="shared" si="0"/>
        <v>6.745125592833304</v>
      </c>
    </row>
    <row r="29" spans="1:15" ht="12.75" customHeight="1">
      <c r="A29" s="47" t="s">
        <v>103</v>
      </c>
      <c r="B29" s="48">
        <v>2585</v>
      </c>
      <c r="C29" s="48">
        <v>2744</v>
      </c>
      <c r="D29" s="49">
        <v>3336</v>
      </c>
      <c r="E29" s="49">
        <v>4130</v>
      </c>
      <c r="F29" s="50">
        <v>5880</v>
      </c>
      <c r="G29" s="51">
        <v>26.777832270720943</v>
      </c>
      <c r="H29" s="51">
        <f t="shared" si="0"/>
        <v>6.1508704061895552</v>
      </c>
      <c r="I29" s="52">
        <f t="shared" si="0"/>
        <v>21.574344023323615</v>
      </c>
      <c r="J29" s="52">
        <f t="shared" si="0"/>
        <v>23.800959232613909</v>
      </c>
      <c r="K29" s="53">
        <f t="shared" si="0"/>
        <v>42.372881355932201</v>
      </c>
    </row>
    <row r="30" spans="1:15" ht="12.75" customHeight="1">
      <c r="A30" s="47" t="s">
        <v>52</v>
      </c>
      <c r="B30" s="48">
        <v>3811</v>
      </c>
      <c r="C30" s="48">
        <v>3851</v>
      </c>
      <c r="D30" s="49">
        <v>5137</v>
      </c>
      <c r="E30" s="49">
        <v>6471</v>
      </c>
      <c r="F30" s="50">
        <v>5588</v>
      </c>
      <c r="G30" s="51">
        <v>37.780187997107738</v>
      </c>
      <c r="H30" s="51">
        <f t="shared" si="0"/>
        <v>1.0495932826029915</v>
      </c>
      <c r="I30" s="52">
        <f t="shared" si="0"/>
        <v>33.393923656193195</v>
      </c>
      <c r="J30" s="52">
        <f t="shared" si="0"/>
        <v>25.968464084095778</v>
      </c>
      <c r="K30" s="53">
        <f t="shared" si="0"/>
        <v>-13.645495286663575</v>
      </c>
    </row>
    <row r="31" spans="1:15" ht="12.75" customHeight="1">
      <c r="A31" s="47" t="s">
        <v>72</v>
      </c>
      <c r="B31" s="48">
        <v>3235</v>
      </c>
      <c r="C31" s="48">
        <v>2758</v>
      </c>
      <c r="D31" s="49">
        <v>4637</v>
      </c>
      <c r="E31" s="49">
        <v>4542</v>
      </c>
      <c r="F31" s="50">
        <v>5416</v>
      </c>
      <c r="G31" s="51">
        <v>32.473382473382472</v>
      </c>
      <c r="H31" s="51">
        <f t="shared" si="0"/>
        <v>-14.744976816074187</v>
      </c>
      <c r="I31" s="52">
        <f t="shared" si="0"/>
        <v>68.129079042784625</v>
      </c>
      <c r="J31" s="52">
        <f t="shared" si="0"/>
        <v>-2.0487384084537417</v>
      </c>
      <c r="K31" s="53">
        <f t="shared" si="0"/>
        <v>19.242624394539849</v>
      </c>
    </row>
    <row r="32" spans="1:15" ht="12.75" customHeight="1">
      <c r="A32" s="47" t="s">
        <v>70</v>
      </c>
      <c r="B32" s="48">
        <v>3542</v>
      </c>
      <c r="C32" s="48">
        <v>3165</v>
      </c>
      <c r="D32" s="49">
        <v>3638</v>
      </c>
      <c r="E32" s="49">
        <v>4896</v>
      </c>
      <c r="F32" s="50">
        <v>5230</v>
      </c>
      <c r="G32" s="51">
        <v>64.820846905537451</v>
      </c>
      <c r="H32" s="51">
        <f t="shared" si="0"/>
        <v>-10.643704121964992</v>
      </c>
      <c r="I32" s="52">
        <f t="shared" si="0"/>
        <v>14.944707740916272</v>
      </c>
      <c r="J32" s="52">
        <f t="shared" si="0"/>
        <v>34.579439252336449</v>
      </c>
      <c r="K32" s="53">
        <f t="shared" si="0"/>
        <v>6.8218954248366011</v>
      </c>
    </row>
    <row r="33" spans="1:14" ht="12.75" customHeight="1">
      <c r="A33" s="47" t="s">
        <v>93</v>
      </c>
      <c r="B33" s="48">
        <v>2966</v>
      </c>
      <c r="C33" s="48">
        <v>3043</v>
      </c>
      <c r="D33" s="49">
        <v>3815</v>
      </c>
      <c r="E33" s="49">
        <v>4690</v>
      </c>
      <c r="F33" s="50">
        <v>5070</v>
      </c>
      <c r="G33" s="51">
        <v>4.0336723956506493</v>
      </c>
      <c r="H33" s="51">
        <f t="shared" si="0"/>
        <v>2.5960890087660147</v>
      </c>
      <c r="I33" s="52">
        <f t="shared" si="0"/>
        <v>25.369700953006902</v>
      </c>
      <c r="J33" s="52">
        <f t="shared" si="0"/>
        <v>22.935779816513762</v>
      </c>
      <c r="K33" s="53">
        <f t="shared" si="0"/>
        <v>8.1023454157782524</v>
      </c>
    </row>
    <row r="34" spans="1:14" ht="12.75" customHeight="1">
      <c r="A34" s="47" t="s">
        <v>87</v>
      </c>
      <c r="B34" s="48">
        <v>2233</v>
      </c>
      <c r="C34" s="48">
        <v>1975</v>
      </c>
      <c r="D34" s="49">
        <v>3831</v>
      </c>
      <c r="E34" s="49">
        <v>5305</v>
      </c>
      <c r="F34" s="50">
        <v>4430</v>
      </c>
      <c r="G34" s="51">
        <v>10.654112983151636</v>
      </c>
      <c r="H34" s="51">
        <f t="shared" si="0"/>
        <v>-11.553963278101209</v>
      </c>
      <c r="I34" s="52">
        <f t="shared" si="0"/>
        <v>93.974683544303801</v>
      </c>
      <c r="J34" s="52">
        <f t="shared" si="0"/>
        <v>38.475593839728525</v>
      </c>
      <c r="K34" s="53">
        <f t="shared" si="0"/>
        <v>-16.493873704052781</v>
      </c>
    </row>
    <row r="35" spans="1:14" ht="12.75" customHeight="1">
      <c r="A35" s="47" t="s">
        <v>102</v>
      </c>
      <c r="B35" s="48">
        <v>1394</v>
      </c>
      <c r="C35" s="48">
        <v>1580</v>
      </c>
      <c r="D35" s="49">
        <v>1699</v>
      </c>
      <c r="E35" s="49">
        <v>2292</v>
      </c>
      <c r="F35" s="50">
        <v>4047</v>
      </c>
      <c r="G35" s="51">
        <v>72.738537794299873</v>
      </c>
      <c r="H35" s="51">
        <f t="shared" si="0"/>
        <v>13.342898134863701</v>
      </c>
      <c r="I35" s="52">
        <f t="shared" si="0"/>
        <v>7.5316455696202533</v>
      </c>
      <c r="J35" s="52">
        <f t="shared" si="0"/>
        <v>34.90288404944085</v>
      </c>
      <c r="K35" s="53">
        <f t="shared" si="0"/>
        <v>76.570680628272243</v>
      </c>
    </row>
    <row r="36" spans="1:14" ht="12.75" customHeight="1">
      <c r="A36" s="47" t="s">
        <v>90</v>
      </c>
      <c r="B36" s="48">
        <v>3732</v>
      </c>
      <c r="C36" s="48">
        <v>2975</v>
      </c>
      <c r="D36" s="49">
        <v>3157</v>
      </c>
      <c r="E36" s="49">
        <v>3684</v>
      </c>
      <c r="F36" s="50">
        <v>3967</v>
      </c>
      <c r="G36" s="51">
        <v>13.331308836926814</v>
      </c>
      <c r="H36" s="51">
        <f t="shared" si="0"/>
        <v>-20.284030010718112</v>
      </c>
      <c r="I36" s="52">
        <f t="shared" si="0"/>
        <v>6.1176470588235299</v>
      </c>
      <c r="J36" s="52">
        <f t="shared" si="0"/>
        <v>16.69306303452645</v>
      </c>
      <c r="K36" s="53">
        <f t="shared" si="0"/>
        <v>7.681867535287731</v>
      </c>
    </row>
    <row r="37" spans="1:14" ht="12.75" customHeight="1">
      <c r="A37" s="47" t="s">
        <v>64</v>
      </c>
      <c r="B37" s="48">
        <v>3325</v>
      </c>
      <c r="C37" s="48">
        <v>3357</v>
      </c>
      <c r="D37" s="49">
        <v>3795</v>
      </c>
      <c r="E37" s="49">
        <v>4158</v>
      </c>
      <c r="F37" s="50">
        <v>3918</v>
      </c>
      <c r="G37" s="51">
        <v>25.047010154193305</v>
      </c>
      <c r="H37" s="51">
        <f t="shared" si="0"/>
        <v>0.96240601503759393</v>
      </c>
      <c r="I37" s="52">
        <f t="shared" si="0"/>
        <v>13.047363717605004</v>
      </c>
      <c r="J37" s="52">
        <f t="shared" si="0"/>
        <v>9.5652173913043477</v>
      </c>
      <c r="K37" s="53">
        <f t="shared" si="0"/>
        <v>-5.7720057720057723</v>
      </c>
    </row>
    <row r="38" spans="1:14" ht="12.75" customHeight="1">
      <c r="A38" s="47" t="s">
        <v>65</v>
      </c>
      <c r="B38" s="48">
        <v>4150</v>
      </c>
      <c r="C38" s="48">
        <v>4822</v>
      </c>
      <c r="D38" s="49">
        <v>4555</v>
      </c>
      <c r="E38" s="49">
        <v>4434</v>
      </c>
      <c r="F38" s="50">
        <v>3660</v>
      </c>
      <c r="G38" s="51">
        <v>-0.90735434574976126</v>
      </c>
      <c r="H38" s="51">
        <f t="shared" si="0"/>
        <v>16.192771084337348</v>
      </c>
      <c r="I38" s="52">
        <f t="shared" si="0"/>
        <v>-5.5371215263376188</v>
      </c>
      <c r="J38" s="52">
        <f t="shared" si="0"/>
        <v>-2.6564215148188803</v>
      </c>
      <c r="K38" s="53">
        <f t="shared" si="0"/>
        <v>-17.456021650879567</v>
      </c>
    </row>
    <row r="39" spans="1:14" ht="12.75" customHeight="1">
      <c r="A39" s="47" t="s">
        <v>53</v>
      </c>
      <c r="B39" s="48">
        <v>1834</v>
      </c>
      <c r="C39" s="48">
        <v>1722</v>
      </c>
      <c r="D39" s="49">
        <v>2422</v>
      </c>
      <c r="E39" s="49">
        <v>3173</v>
      </c>
      <c r="F39" s="50">
        <v>3493</v>
      </c>
      <c r="G39" s="51">
        <v>0.82462891698735563</v>
      </c>
      <c r="H39" s="51">
        <f t="shared" ref="H39:K60" si="1">(C39-B39)/B39*100</f>
        <v>-6.1068702290076331</v>
      </c>
      <c r="I39" s="52">
        <f t="shared" si="1"/>
        <v>40.650406504065039</v>
      </c>
      <c r="J39" s="52">
        <f t="shared" si="1"/>
        <v>31.007431874483899</v>
      </c>
      <c r="K39" s="53">
        <f t="shared" si="1"/>
        <v>10.085092971950834</v>
      </c>
    </row>
    <row r="40" spans="1:14" ht="12.75" customHeight="1">
      <c r="A40" s="47" t="s">
        <v>91</v>
      </c>
      <c r="B40" s="48">
        <v>1962</v>
      </c>
      <c r="C40" s="48">
        <v>2059</v>
      </c>
      <c r="D40" s="49">
        <v>2471</v>
      </c>
      <c r="E40" s="49">
        <v>2781</v>
      </c>
      <c r="F40" s="50">
        <v>3128</v>
      </c>
      <c r="G40" s="51">
        <v>26.336123631680618</v>
      </c>
      <c r="H40" s="51">
        <f t="shared" si="1"/>
        <v>4.9439347604485224</v>
      </c>
      <c r="I40" s="52">
        <f t="shared" si="1"/>
        <v>20.009713453132587</v>
      </c>
      <c r="J40" s="52">
        <f t="shared" si="1"/>
        <v>12.545528126264671</v>
      </c>
      <c r="K40" s="53">
        <f t="shared" si="1"/>
        <v>12.47752606975908</v>
      </c>
    </row>
    <row r="41" spans="1:14" ht="12.75" customHeight="1">
      <c r="A41" s="47" t="s">
        <v>92</v>
      </c>
      <c r="B41" s="48">
        <v>1327</v>
      </c>
      <c r="C41" s="48">
        <v>1304</v>
      </c>
      <c r="D41" s="49">
        <v>1761</v>
      </c>
      <c r="E41" s="49">
        <v>2342</v>
      </c>
      <c r="F41" s="50">
        <v>3061</v>
      </c>
      <c r="G41" s="51">
        <v>87.429378531073439</v>
      </c>
      <c r="H41" s="51">
        <f t="shared" si="1"/>
        <v>-1.7332328560663148</v>
      </c>
      <c r="I41" s="52">
        <f t="shared" si="1"/>
        <v>35.04601226993865</v>
      </c>
      <c r="J41" s="52">
        <f t="shared" si="1"/>
        <v>32.992617830777967</v>
      </c>
      <c r="K41" s="53">
        <f t="shared" si="1"/>
        <v>30.700256191289498</v>
      </c>
    </row>
    <row r="42" spans="1:14" ht="12.75" customHeight="1">
      <c r="A42" s="47" t="s">
        <v>99</v>
      </c>
      <c r="B42" s="48">
        <v>1340</v>
      </c>
      <c r="C42" s="48">
        <v>1181</v>
      </c>
      <c r="D42" s="49">
        <v>1409</v>
      </c>
      <c r="E42" s="49">
        <v>1797</v>
      </c>
      <c r="F42" s="50">
        <v>2987</v>
      </c>
      <c r="G42" s="51">
        <v>33.466135458167329</v>
      </c>
      <c r="H42" s="51">
        <f t="shared" si="1"/>
        <v>-11.865671641791046</v>
      </c>
      <c r="I42" s="52">
        <f t="shared" si="1"/>
        <v>19.30567315834039</v>
      </c>
      <c r="J42" s="52">
        <f t="shared" si="1"/>
        <v>27.537260468417319</v>
      </c>
      <c r="K42" s="53">
        <f t="shared" si="1"/>
        <v>66.221480244852543</v>
      </c>
    </row>
    <row r="43" spans="1:14" ht="12.75" customHeight="1">
      <c r="A43" s="47" t="s">
        <v>63</v>
      </c>
      <c r="B43" s="48">
        <v>2596</v>
      </c>
      <c r="C43" s="48">
        <v>2120</v>
      </c>
      <c r="D43" s="49">
        <v>2153</v>
      </c>
      <c r="E43" s="49">
        <v>2775</v>
      </c>
      <c r="F43" s="50">
        <v>2902</v>
      </c>
      <c r="G43" s="51">
        <v>43.584070796460175</v>
      </c>
      <c r="H43" s="51">
        <f t="shared" si="1"/>
        <v>-18.335901386748844</v>
      </c>
      <c r="I43" s="52">
        <f t="shared" si="1"/>
        <v>1.5566037735849056</v>
      </c>
      <c r="J43" s="52">
        <f t="shared" si="1"/>
        <v>28.889921040408733</v>
      </c>
      <c r="K43" s="53">
        <f t="shared" si="1"/>
        <v>4.576576576576576</v>
      </c>
    </row>
    <row r="44" spans="1:14" ht="12.75" customHeight="1">
      <c r="A44" s="47" t="s">
        <v>67</v>
      </c>
      <c r="B44" s="48">
        <v>1916</v>
      </c>
      <c r="C44" s="48">
        <v>1970</v>
      </c>
      <c r="D44" s="49">
        <v>2348</v>
      </c>
      <c r="E44" s="49">
        <v>2822</v>
      </c>
      <c r="F44" s="50">
        <v>2636</v>
      </c>
      <c r="G44" s="51">
        <v>30.428863172226006</v>
      </c>
      <c r="H44" s="51">
        <f t="shared" si="1"/>
        <v>2.8183716075156577</v>
      </c>
      <c r="I44" s="52">
        <f t="shared" si="1"/>
        <v>19.18781725888325</v>
      </c>
      <c r="J44" s="52">
        <f t="shared" si="1"/>
        <v>20.187393526405451</v>
      </c>
      <c r="K44" s="53">
        <f t="shared" si="1"/>
        <v>-6.5910701630049608</v>
      </c>
    </row>
    <row r="45" spans="1:14" ht="12.75" customHeight="1">
      <c r="A45" s="47" t="s">
        <v>95</v>
      </c>
      <c r="B45" s="48">
        <v>1334</v>
      </c>
      <c r="C45" s="48">
        <v>1374</v>
      </c>
      <c r="D45" s="49">
        <v>1543</v>
      </c>
      <c r="E45" s="49">
        <v>2132</v>
      </c>
      <c r="F45" s="50">
        <v>2594</v>
      </c>
      <c r="G45" s="51">
        <v>3.3307513555383426</v>
      </c>
      <c r="H45" s="51">
        <f t="shared" si="1"/>
        <v>2.9985007496251872</v>
      </c>
      <c r="I45" s="52">
        <f t="shared" si="1"/>
        <v>12.299854439592432</v>
      </c>
      <c r="J45" s="52">
        <f t="shared" si="1"/>
        <v>38.172391445236556</v>
      </c>
      <c r="K45" s="53">
        <f t="shared" si="1"/>
        <v>21.669793621013135</v>
      </c>
      <c r="N45" s="36" t="s">
        <v>179</v>
      </c>
    </row>
    <row r="46" spans="1:14" ht="12" customHeight="1">
      <c r="A46" s="47" t="s">
        <v>60</v>
      </c>
      <c r="B46" s="48">
        <v>1588</v>
      </c>
      <c r="C46" s="48">
        <v>1380</v>
      </c>
      <c r="D46" s="49">
        <v>2113</v>
      </c>
      <c r="E46" s="49">
        <v>2433</v>
      </c>
      <c r="F46" s="50">
        <v>2569</v>
      </c>
      <c r="G46" s="51">
        <v>21.406727828746178</v>
      </c>
      <c r="H46" s="51">
        <f t="shared" si="1"/>
        <v>-13.09823677581864</v>
      </c>
      <c r="I46" s="52">
        <f t="shared" si="1"/>
        <v>53.115942028985508</v>
      </c>
      <c r="J46" s="52">
        <f t="shared" si="1"/>
        <v>15.144344533838144</v>
      </c>
      <c r="K46" s="53">
        <f t="shared" si="1"/>
        <v>5.589806822852446</v>
      </c>
    </row>
    <row r="47" spans="1:14" ht="12.75" customHeight="1">
      <c r="A47" s="47" t="s">
        <v>59</v>
      </c>
      <c r="B47" s="48">
        <v>2884</v>
      </c>
      <c r="C47" s="48">
        <v>2420</v>
      </c>
      <c r="D47" s="49">
        <v>2514</v>
      </c>
      <c r="E47" s="49">
        <v>2444</v>
      </c>
      <c r="F47" s="50">
        <v>2483</v>
      </c>
      <c r="G47" s="51">
        <v>-8.3862770012706473</v>
      </c>
      <c r="H47" s="51">
        <f t="shared" si="1"/>
        <v>-16.08876560332871</v>
      </c>
      <c r="I47" s="52">
        <f t="shared" si="1"/>
        <v>3.884297520661157</v>
      </c>
      <c r="J47" s="52">
        <f t="shared" si="1"/>
        <v>-2.7844073190135243</v>
      </c>
      <c r="K47" s="53">
        <f t="shared" si="1"/>
        <v>1.5957446808510638</v>
      </c>
    </row>
    <row r="48" spans="1:14" ht="12.75" customHeight="1">
      <c r="A48" s="47" t="s">
        <v>58</v>
      </c>
      <c r="B48" s="48">
        <v>2052</v>
      </c>
      <c r="C48" s="48">
        <v>1848</v>
      </c>
      <c r="D48" s="49">
        <v>2434</v>
      </c>
      <c r="E48" s="49">
        <v>2596</v>
      </c>
      <c r="F48" s="50">
        <v>2408</v>
      </c>
      <c r="G48" s="51">
        <v>-20.093457943925234</v>
      </c>
      <c r="H48" s="51">
        <f t="shared" si="1"/>
        <v>-9.9415204678362574</v>
      </c>
      <c r="I48" s="52">
        <f t="shared" si="1"/>
        <v>31.70995670995671</v>
      </c>
      <c r="J48" s="52">
        <f t="shared" si="1"/>
        <v>6.6557107641741986</v>
      </c>
      <c r="K48" s="53">
        <f t="shared" si="1"/>
        <v>-7.2419106317411401</v>
      </c>
    </row>
    <row r="49" spans="1:11" ht="12.75" customHeight="1">
      <c r="A49" s="47" t="s">
        <v>89</v>
      </c>
      <c r="B49" s="48">
        <v>1065</v>
      </c>
      <c r="C49" s="48">
        <v>1182</v>
      </c>
      <c r="D49" s="49">
        <v>1575</v>
      </c>
      <c r="E49" s="49">
        <v>2485</v>
      </c>
      <c r="F49" s="50">
        <v>2345</v>
      </c>
      <c r="G49" s="51">
        <v>-45.412608918503331</v>
      </c>
      <c r="H49" s="51">
        <f t="shared" si="1"/>
        <v>10.985915492957748</v>
      </c>
      <c r="I49" s="52">
        <f t="shared" si="1"/>
        <v>33.248730964467008</v>
      </c>
      <c r="J49" s="52">
        <f t="shared" si="1"/>
        <v>57.777777777777771</v>
      </c>
      <c r="K49" s="53">
        <f t="shared" si="1"/>
        <v>-5.6338028169014089</v>
      </c>
    </row>
    <row r="50" spans="1:11" ht="12.75" customHeight="1">
      <c r="A50" s="47" t="s">
        <v>84</v>
      </c>
      <c r="B50" s="48">
        <v>871</v>
      </c>
      <c r="C50" s="48">
        <v>979</v>
      </c>
      <c r="D50" s="49">
        <v>1066</v>
      </c>
      <c r="E50" s="49">
        <v>1652</v>
      </c>
      <c r="F50" s="50">
        <v>2265</v>
      </c>
      <c r="G50" s="51">
        <v>-11.303462321792262</v>
      </c>
      <c r="H50" s="51">
        <f t="shared" si="1"/>
        <v>12.399540757749714</v>
      </c>
      <c r="I50" s="52">
        <f t="shared" si="1"/>
        <v>8.88661899897855</v>
      </c>
      <c r="J50" s="52">
        <f t="shared" si="1"/>
        <v>54.971857410881796</v>
      </c>
      <c r="K50" s="53">
        <f t="shared" si="1"/>
        <v>37.106537530266344</v>
      </c>
    </row>
    <row r="51" spans="1:11" ht="12.75" customHeight="1">
      <c r="A51" s="47" t="s">
        <v>57</v>
      </c>
      <c r="B51" s="48">
        <v>4926</v>
      </c>
      <c r="C51" s="48">
        <v>5406</v>
      </c>
      <c r="D51" s="49">
        <v>4630</v>
      </c>
      <c r="E51" s="49">
        <v>3009</v>
      </c>
      <c r="F51" s="50">
        <v>2058</v>
      </c>
      <c r="G51" s="51">
        <v>1.5670103092783505</v>
      </c>
      <c r="H51" s="51">
        <f t="shared" si="1"/>
        <v>9.7442143727161987</v>
      </c>
      <c r="I51" s="52">
        <f t="shared" si="1"/>
        <v>-14.354421013688496</v>
      </c>
      <c r="J51" s="52">
        <f t="shared" si="1"/>
        <v>-35.010799136069117</v>
      </c>
      <c r="K51" s="53">
        <f t="shared" si="1"/>
        <v>-31.605184446660019</v>
      </c>
    </row>
    <row r="52" spans="1:11" ht="12.75" customHeight="1">
      <c r="A52" s="47" t="s">
        <v>83</v>
      </c>
      <c r="B52" s="48">
        <v>1191</v>
      </c>
      <c r="C52" s="48">
        <v>1046</v>
      </c>
      <c r="D52" s="49">
        <v>1256</v>
      </c>
      <c r="E52" s="49">
        <v>1842</v>
      </c>
      <c r="F52" s="50">
        <v>1857</v>
      </c>
      <c r="G52" s="51">
        <v>17.5715695952616</v>
      </c>
      <c r="H52" s="51">
        <f t="shared" si="1"/>
        <v>-12.174643157010916</v>
      </c>
      <c r="I52" s="52">
        <f t="shared" si="1"/>
        <v>20.076481835564053</v>
      </c>
      <c r="J52" s="52">
        <f t="shared" si="1"/>
        <v>46.656050955414017</v>
      </c>
      <c r="K52" s="53">
        <f t="shared" si="1"/>
        <v>0.81433224755700329</v>
      </c>
    </row>
    <row r="53" spans="1:11" ht="12.75" customHeight="1">
      <c r="A53" s="47" t="s">
        <v>79</v>
      </c>
      <c r="B53" s="48">
        <v>581</v>
      </c>
      <c r="C53" s="48">
        <v>677</v>
      </c>
      <c r="D53" s="49">
        <v>818</v>
      </c>
      <c r="E53" s="49">
        <v>1283</v>
      </c>
      <c r="F53" s="50">
        <v>1772</v>
      </c>
      <c r="G53" s="51">
        <v>-38.388123011664902</v>
      </c>
      <c r="H53" s="51">
        <f t="shared" si="1"/>
        <v>16.523235800344235</v>
      </c>
      <c r="I53" s="52">
        <f t="shared" si="1"/>
        <v>20.827178729689809</v>
      </c>
      <c r="J53" s="52">
        <f t="shared" si="1"/>
        <v>56.845965770171148</v>
      </c>
      <c r="K53" s="53">
        <f t="shared" si="1"/>
        <v>38.113795791114576</v>
      </c>
    </row>
    <row r="54" spans="1:11" ht="12.75" customHeight="1">
      <c r="A54" s="47" t="s">
        <v>100</v>
      </c>
      <c r="B54" s="48">
        <v>1139</v>
      </c>
      <c r="C54" s="48">
        <v>984</v>
      </c>
      <c r="D54" s="49">
        <v>1145</v>
      </c>
      <c r="E54" s="49">
        <v>1346</v>
      </c>
      <c r="F54" s="50">
        <v>1666</v>
      </c>
      <c r="G54" s="51">
        <v>72.575757575757578</v>
      </c>
      <c r="H54" s="51">
        <f t="shared" si="1"/>
        <v>-13.608428446005268</v>
      </c>
      <c r="I54" s="52">
        <f t="shared" si="1"/>
        <v>16.361788617886177</v>
      </c>
      <c r="J54" s="52">
        <f t="shared" si="1"/>
        <v>17.554585152838428</v>
      </c>
      <c r="K54" s="53">
        <f t="shared" si="1"/>
        <v>23.774145616641899</v>
      </c>
    </row>
    <row r="55" spans="1:11" ht="12.75" customHeight="1">
      <c r="A55" s="47" t="s">
        <v>97</v>
      </c>
      <c r="B55" s="48">
        <v>1184</v>
      </c>
      <c r="C55" s="48">
        <v>991</v>
      </c>
      <c r="D55" s="49">
        <v>1103</v>
      </c>
      <c r="E55" s="49">
        <v>1390</v>
      </c>
      <c r="F55" s="50">
        <v>1579</v>
      </c>
      <c r="G55" s="51">
        <v>3.6777583187390541</v>
      </c>
      <c r="H55" s="51">
        <f t="shared" si="1"/>
        <v>-16.300675675675674</v>
      </c>
      <c r="I55" s="52">
        <f t="shared" si="1"/>
        <v>11.301715438950556</v>
      </c>
      <c r="J55" s="52">
        <f t="shared" si="1"/>
        <v>26.019945602901178</v>
      </c>
      <c r="K55" s="53">
        <f t="shared" si="1"/>
        <v>13.597122302158274</v>
      </c>
    </row>
    <row r="56" spans="1:11" ht="12.75" customHeight="1">
      <c r="A56" s="47" t="s">
        <v>51</v>
      </c>
      <c r="B56" s="48">
        <v>3368</v>
      </c>
      <c r="C56" s="48">
        <v>3437</v>
      </c>
      <c r="D56" s="49">
        <v>4386</v>
      </c>
      <c r="E56" s="49">
        <v>5738</v>
      </c>
      <c r="F56" s="50">
        <v>1509</v>
      </c>
      <c r="G56" s="51">
        <v>-5.1801801801801801</v>
      </c>
      <c r="H56" s="51">
        <f t="shared" si="1"/>
        <v>2.0486935866983371</v>
      </c>
      <c r="I56" s="52">
        <f t="shared" si="1"/>
        <v>27.611288914751235</v>
      </c>
      <c r="J56" s="52">
        <f t="shared" si="1"/>
        <v>30.825353397172822</v>
      </c>
      <c r="K56" s="53">
        <f t="shared" si="1"/>
        <v>-73.701638201463922</v>
      </c>
    </row>
    <row r="57" spans="1:11" ht="12.75" customHeight="1">
      <c r="A57" s="47" t="s">
        <v>54</v>
      </c>
      <c r="B57" s="48">
        <v>865</v>
      </c>
      <c r="C57" s="48">
        <v>1088</v>
      </c>
      <c r="D57" s="49">
        <v>1281</v>
      </c>
      <c r="E57" s="49">
        <v>1535</v>
      </c>
      <c r="F57" s="50">
        <v>1402</v>
      </c>
      <c r="G57" s="51">
        <v>9.6324461343472745</v>
      </c>
      <c r="H57" s="51">
        <f t="shared" si="1"/>
        <v>25.780346820809246</v>
      </c>
      <c r="I57" s="52">
        <f t="shared" si="1"/>
        <v>17.738970588235293</v>
      </c>
      <c r="J57" s="52">
        <f t="shared" si="1"/>
        <v>19.828259172521467</v>
      </c>
      <c r="K57" s="53">
        <f t="shared" si="1"/>
        <v>-8.664495114006515</v>
      </c>
    </row>
    <row r="58" spans="1:11" ht="12.75" customHeight="1">
      <c r="A58" s="47" t="s">
        <v>68</v>
      </c>
      <c r="B58" s="48">
        <v>1372</v>
      </c>
      <c r="C58" s="48">
        <v>1324</v>
      </c>
      <c r="D58" s="49">
        <v>1647</v>
      </c>
      <c r="E58" s="49">
        <v>1609</v>
      </c>
      <c r="F58" s="50">
        <v>1295</v>
      </c>
      <c r="G58" s="51">
        <v>13.953488372093023</v>
      </c>
      <c r="H58" s="51">
        <f t="shared" si="1"/>
        <v>-3.4985422740524781</v>
      </c>
      <c r="I58" s="52">
        <f t="shared" si="1"/>
        <v>24.395770392749245</v>
      </c>
      <c r="J58" s="52">
        <f t="shared" si="1"/>
        <v>-2.3072252580449302</v>
      </c>
      <c r="K58" s="53">
        <f t="shared" si="1"/>
        <v>-19.515226848974518</v>
      </c>
    </row>
    <row r="59" spans="1:11" ht="12.75" customHeight="1">
      <c r="A59" s="47" t="s">
        <v>76</v>
      </c>
      <c r="B59" s="48">
        <v>455</v>
      </c>
      <c r="C59" s="48">
        <v>388</v>
      </c>
      <c r="D59" s="49">
        <v>525</v>
      </c>
      <c r="E59" s="49">
        <v>1496</v>
      </c>
      <c r="F59" s="50">
        <v>1221</v>
      </c>
      <c r="G59" s="51">
        <v>-64.563862928348911</v>
      </c>
      <c r="H59" s="51">
        <f t="shared" si="1"/>
        <v>-14.725274725274726</v>
      </c>
      <c r="I59" s="52">
        <f t="shared" si="1"/>
        <v>35.309278350515463</v>
      </c>
      <c r="J59" s="52">
        <f t="shared" si="1"/>
        <v>184.95238095238096</v>
      </c>
      <c r="K59" s="53">
        <f t="shared" si="1"/>
        <v>-18.382352941176471</v>
      </c>
    </row>
    <row r="60" spans="1:11" ht="12.75" customHeight="1">
      <c r="A60" s="54" t="s">
        <v>98</v>
      </c>
      <c r="B60" s="55">
        <v>22</v>
      </c>
      <c r="C60" s="55">
        <v>21</v>
      </c>
      <c r="D60" s="56">
        <v>31</v>
      </c>
      <c r="E60" s="56">
        <v>27</v>
      </c>
      <c r="F60" s="57">
        <v>39</v>
      </c>
      <c r="G60" s="58">
        <v>-80.530973451327441</v>
      </c>
      <c r="H60" s="58">
        <f t="shared" si="1"/>
        <v>-4.5454545454545459</v>
      </c>
      <c r="I60" s="59">
        <f t="shared" si="1"/>
        <v>47.619047619047613</v>
      </c>
      <c r="J60" s="59">
        <f t="shared" si="1"/>
        <v>-12.903225806451612</v>
      </c>
      <c r="K60" s="60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1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1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90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1" sqref="Q1:S1048576"/>
    </sheetView>
  </sheetViews>
  <sheetFormatPr defaultColWidth="9.140625" defaultRowHeight="12.75"/>
  <cols>
    <col min="1" max="1" width="21" style="10" customWidth="1"/>
    <col min="2" max="2" width="11.5703125" style="10" bestFit="1" customWidth="1"/>
    <col min="3" max="10" width="10.28515625" style="10" bestFit="1" customWidth="1"/>
    <col min="11" max="11" width="9.85546875" style="10" bestFit="1" customWidth="1"/>
    <col min="12" max="14" width="10.28515625" style="10" bestFit="1" customWidth="1"/>
    <col min="15" max="15" width="18.28515625" style="10" customWidth="1"/>
    <col min="16" max="16384" width="9.140625" style="10"/>
  </cols>
  <sheetData>
    <row r="1" spans="1:40" s="62" customFormat="1" ht="18.75" customHeight="1">
      <c r="A1" s="103" t="s">
        <v>233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40" ht="17.25" customHeight="1">
      <c r="A2" s="102" t="s">
        <v>232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</row>
    <row r="3" spans="1:40" s="12" customFormat="1" ht="12.75" customHeight="1">
      <c r="A3" s="11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40" s="15" customFormat="1" ht="18.75" customHeight="1">
      <c r="A4" s="13" t="s">
        <v>0</v>
      </c>
      <c r="B4" s="14" t="s">
        <v>40</v>
      </c>
      <c r="C4" s="14" t="s">
        <v>28</v>
      </c>
      <c r="D4" s="14" t="s">
        <v>29</v>
      </c>
      <c r="E4" s="14" t="s">
        <v>30</v>
      </c>
      <c r="F4" s="14" t="s">
        <v>31</v>
      </c>
      <c r="G4" s="14" t="s">
        <v>32</v>
      </c>
      <c r="H4" s="14" t="s">
        <v>33</v>
      </c>
      <c r="I4" s="14" t="s">
        <v>34</v>
      </c>
      <c r="J4" s="14" t="s">
        <v>35</v>
      </c>
      <c r="K4" s="14" t="s">
        <v>39</v>
      </c>
      <c r="L4" s="14" t="s">
        <v>36</v>
      </c>
      <c r="M4" s="14" t="s">
        <v>37</v>
      </c>
      <c r="N4" s="64" t="s">
        <v>38</v>
      </c>
      <c r="O4" s="65" t="s">
        <v>181</v>
      </c>
    </row>
    <row r="5" spans="1:40" s="18" customFormat="1" ht="18" customHeight="1">
      <c r="A5" s="16" t="s">
        <v>1</v>
      </c>
      <c r="B5" s="17">
        <f>SUM(C5:N5)</f>
        <v>1389542</v>
      </c>
      <c r="C5" s="17">
        <f>C6+C46+C66+C69+C74+C78+C84+C85</f>
        <v>125336</v>
      </c>
      <c r="D5" s="17">
        <f>D6+D46+D66+D69+D74+D78+D84+D85</f>
        <v>121052</v>
      </c>
      <c r="E5" s="17">
        <f t="shared" ref="E5:K5" si="0">E6+E46+E66+E69+E74+E78+E84+E85</f>
        <v>112665</v>
      </c>
      <c r="F5" s="17">
        <f t="shared" si="0"/>
        <v>119774</v>
      </c>
      <c r="G5" s="17">
        <f t="shared" si="0"/>
        <v>93491</v>
      </c>
      <c r="H5" s="17">
        <f t="shared" si="0"/>
        <v>85222</v>
      </c>
      <c r="I5" s="17">
        <f t="shared" si="0"/>
        <v>113175</v>
      </c>
      <c r="J5" s="17">
        <f t="shared" si="0"/>
        <v>121310</v>
      </c>
      <c r="K5" s="17">
        <f t="shared" si="0"/>
        <v>105984</v>
      </c>
      <c r="L5" s="17">
        <f>L6+L46+L66+L69+L74+L78+L84+L85</f>
        <v>127986</v>
      </c>
      <c r="M5" s="17">
        <f t="shared" ref="M5:N5" si="1">M6+M46+M66+M69+M74+M78+M84+M85</f>
        <v>120506</v>
      </c>
      <c r="N5" s="17">
        <f t="shared" si="1"/>
        <v>143041</v>
      </c>
      <c r="O5" s="66" t="s">
        <v>105</v>
      </c>
      <c r="W5" s="74"/>
      <c r="X5" s="74"/>
      <c r="Y5" s="74"/>
      <c r="Z5" s="74"/>
      <c r="AA5" s="74" t="s">
        <v>15</v>
      </c>
      <c r="AB5" s="74">
        <v>586791</v>
      </c>
      <c r="AC5" s="74">
        <v>48579</v>
      </c>
      <c r="AD5" s="74">
        <v>43019</v>
      </c>
      <c r="AE5" s="74">
        <v>38122</v>
      </c>
      <c r="AF5" s="74">
        <v>44308</v>
      </c>
      <c r="AG5" s="74">
        <v>47584</v>
      </c>
      <c r="AH5" s="74">
        <v>45958</v>
      </c>
      <c r="AI5" s="74">
        <v>54520</v>
      </c>
      <c r="AJ5" s="74">
        <v>57701</v>
      </c>
      <c r="AK5" s="18">
        <v>51532</v>
      </c>
      <c r="AL5" s="18">
        <v>54974</v>
      </c>
      <c r="AM5" s="18">
        <v>47363</v>
      </c>
      <c r="AN5" s="18">
        <v>53131</v>
      </c>
    </row>
    <row r="6" spans="1:40" s="18" customFormat="1" ht="18" customHeight="1">
      <c r="A6" s="9" t="s">
        <v>2</v>
      </c>
      <c r="B6" s="81">
        <f>SUM(C6:N6)</f>
        <v>646343</v>
      </c>
      <c r="C6" s="81">
        <f>C7+C19+C27+C34+C42</f>
        <v>64030</v>
      </c>
      <c r="D6" s="81">
        <f t="shared" ref="D6:N6" si="2">D7+D19+D27+D34+D42</f>
        <v>67730</v>
      </c>
      <c r="E6" s="81">
        <f t="shared" si="2"/>
        <v>61927</v>
      </c>
      <c r="F6" s="81">
        <f t="shared" si="2"/>
        <v>61542</v>
      </c>
      <c r="G6" s="81">
        <f t="shared" si="2"/>
        <v>35739</v>
      </c>
      <c r="H6" s="81">
        <f>H7+H19+H27+H34+H42</f>
        <v>29194</v>
      </c>
      <c r="I6" s="81">
        <f t="shared" si="2"/>
        <v>42192</v>
      </c>
      <c r="J6" s="81">
        <f t="shared" si="2"/>
        <v>47465</v>
      </c>
      <c r="K6" s="81">
        <f t="shared" si="2"/>
        <v>40014</v>
      </c>
      <c r="L6" s="81">
        <f>L7+L19+L27+L34+L42</f>
        <v>62018</v>
      </c>
      <c r="M6" s="81">
        <f t="shared" si="2"/>
        <v>60170</v>
      </c>
      <c r="N6" s="81">
        <f t="shared" si="2"/>
        <v>74322</v>
      </c>
      <c r="O6" s="67" t="s">
        <v>106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 t="s">
        <v>154</v>
      </c>
      <c r="AB6" s="19">
        <v>392905</v>
      </c>
      <c r="AC6" s="19">
        <v>36623</v>
      </c>
      <c r="AD6" s="19">
        <v>30854</v>
      </c>
      <c r="AE6" s="19">
        <v>25086</v>
      </c>
      <c r="AF6" s="19">
        <v>28600</v>
      </c>
      <c r="AG6" s="19">
        <v>29509</v>
      </c>
      <c r="AH6" s="18">
        <v>29889</v>
      </c>
      <c r="AI6" s="18">
        <v>40001</v>
      </c>
      <c r="AJ6" s="18">
        <v>41056</v>
      </c>
      <c r="AK6" s="18">
        <v>34715</v>
      </c>
      <c r="AL6" s="18">
        <v>37871</v>
      </c>
      <c r="AM6" s="18">
        <v>30097</v>
      </c>
      <c r="AN6" s="18">
        <v>28604</v>
      </c>
    </row>
    <row r="7" spans="1:40" s="18" customFormat="1" ht="18" customHeight="1">
      <c r="A7" s="20" t="s">
        <v>132</v>
      </c>
      <c r="B7" s="81">
        <f>SUM(C7:N7)</f>
        <v>129560</v>
      </c>
      <c r="C7" s="81">
        <f>SUM(C8:C18)</f>
        <v>15434</v>
      </c>
      <c r="D7" s="81">
        <f t="shared" ref="D7:N7" si="3">SUM(D8:D18)</f>
        <v>13456</v>
      </c>
      <c r="E7" s="81">
        <f t="shared" si="3"/>
        <v>13762</v>
      </c>
      <c r="F7" s="81">
        <f t="shared" si="3"/>
        <v>10830</v>
      </c>
      <c r="G7" s="81">
        <f t="shared" si="3"/>
        <v>6428</v>
      </c>
      <c r="H7" s="81">
        <f t="shared" si="3"/>
        <v>5765</v>
      </c>
      <c r="I7" s="81">
        <f t="shared" si="3"/>
        <v>7933</v>
      </c>
      <c r="J7" s="81">
        <f t="shared" si="3"/>
        <v>7693</v>
      </c>
      <c r="K7" s="81">
        <f t="shared" si="3"/>
        <v>6903</v>
      </c>
      <c r="L7" s="81">
        <f t="shared" si="3"/>
        <v>11115</v>
      </c>
      <c r="M7" s="81">
        <f t="shared" si="3"/>
        <v>13621</v>
      </c>
      <c r="N7" s="81">
        <f t="shared" si="3"/>
        <v>16620</v>
      </c>
      <c r="O7" s="68" t="s">
        <v>182</v>
      </c>
      <c r="AA7" s="18" t="s">
        <v>157</v>
      </c>
      <c r="AB7" s="18">
        <v>82162</v>
      </c>
      <c r="AC7" s="18">
        <v>3810</v>
      </c>
      <c r="AD7" s="18">
        <v>4010</v>
      </c>
      <c r="AE7" s="18">
        <v>5598</v>
      </c>
      <c r="AF7" s="18">
        <v>8038</v>
      </c>
      <c r="AG7" s="18">
        <v>8066</v>
      </c>
      <c r="AH7" s="18">
        <v>7192</v>
      </c>
      <c r="AI7" s="18">
        <v>6332</v>
      </c>
      <c r="AJ7" s="18">
        <v>7191</v>
      </c>
      <c r="AK7" s="18">
        <v>7100</v>
      </c>
      <c r="AL7" s="18">
        <v>7897</v>
      </c>
      <c r="AM7" s="18">
        <v>7903</v>
      </c>
      <c r="AN7" s="18">
        <v>9025</v>
      </c>
    </row>
    <row r="8" spans="1:40" s="18" customFormat="1" ht="18" customHeight="1">
      <c r="A8" s="21" t="s">
        <v>133</v>
      </c>
      <c r="B8" s="22">
        <f>SUM(C8:N8)</f>
        <v>1776</v>
      </c>
      <c r="C8" s="23">
        <v>190</v>
      </c>
      <c r="D8" s="23">
        <v>174</v>
      </c>
      <c r="E8" s="23">
        <v>185</v>
      </c>
      <c r="F8" s="23">
        <v>138</v>
      </c>
      <c r="G8" s="23">
        <v>85</v>
      </c>
      <c r="H8" s="23">
        <v>89</v>
      </c>
      <c r="I8" s="23">
        <v>109</v>
      </c>
      <c r="J8" s="23">
        <v>127</v>
      </c>
      <c r="K8" s="23">
        <v>103</v>
      </c>
      <c r="L8" s="23">
        <v>127</v>
      </c>
      <c r="M8" s="23">
        <v>172</v>
      </c>
      <c r="N8" s="23">
        <v>277</v>
      </c>
      <c r="O8" s="70" t="s">
        <v>183</v>
      </c>
      <c r="P8" s="15"/>
      <c r="Q8" s="15"/>
      <c r="R8" s="15"/>
      <c r="S8" s="15"/>
      <c r="T8" s="15"/>
      <c r="U8" s="15"/>
      <c r="V8" s="15"/>
      <c r="AA8" s="18" t="s">
        <v>161</v>
      </c>
      <c r="AB8" s="18">
        <v>111724</v>
      </c>
      <c r="AC8" s="18">
        <v>8146</v>
      </c>
      <c r="AD8" s="18">
        <v>8155</v>
      </c>
      <c r="AE8" s="18">
        <v>7438</v>
      </c>
      <c r="AF8" s="18">
        <v>7670</v>
      </c>
      <c r="AG8" s="18">
        <v>10009</v>
      </c>
      <c r="AH8" s="18">
        <v>8877</v>
      </c>
      <c r="AI8" s="18">
        <v>8187</v>
      </c>
      <c r="AJ8" s="18">
        <v>9454</v>
      </c>
      <c r="AK8" s="18">
        <v>9717</v>
      </c>
      <c r="AL8" s="18">
        <v>9206</v>
      </c>
      <c r="AM8" s="18">
        <v>9363</v>
      </c>
      <c r="AN8" s="18">
        <v>15502</v>
      </c>
    </row>
    <row r="9" spans="1:40" s="18" customFormat="1" ht="18" customHeight="1">
      <c r="A9" s="21" t="s">
        <v>134</v>
      </c>
      <c r="B9" s="22">
        <f>SUM(C9:N9)</f>
        <v>5150</v>
      </c>
      <c r="C9" s="23">
        <v>728</v>
      </c>
      <c r="D9" s="23">
        <v>832</v>
      </c>
      <c r="E9" s="23">
        <v>689</v>
      </c>
      <c r="F9" s="23">
        <v>606</v>
      </c>
      <c r="G9" s="23">
        <v>140</v>
      </c>
      <c r="H9" s="23">
        <v>92</v>
      </c>
      <c r="I9" s="23">
        <v>144</v>
      </c>
      <c r="J9" s="23">
        <v>134</v>
      </c>
      <c r="K9" s="23">
        <v>170</v>
      </c>
      <c r="L9" s="23">
        <v>345</v>
      </c>
      <c r="M9" s="23">
        <v>549</v>
      </c>
      <c r="N9" s="23">
        <v>721</v>
      </c>
      <c r="O9" s="70" t="s">
        <v>184</v>
      </c>
      <c r="AA9" s="18" t="s">
        <v>26</v>
      </c>
      <c r="AB9" s="18">
        <v>30332</v>
      </c>
      <c r="AC9" s="18">
        <v>2371</v>
      </c>
      <c r="AD9" s="18">
        <v>1657</v>
      </c>
      <c r="AE9" s="18">
        <v>2180</v>
      </c>
      <c r="AF9" s="18">
        <v>2924</v>
      </c>
      <c r="AG9" s="18">
        <v>2080</v>
      </c>
      <c r="AH9" s="18">
        <v>2479</v>
      </c>
      <c r="AI9" s="18">
        <v>3057</v>
      </c>
      <c r="AJ9" s="18">
        <v>2199</v>
      </c>
      <c r="AK9" s="18">
        <v>3153</v>
      </c>
      <c r="AL9" s="18">
        <v>2684</v>
      </c>
      <c r="AM9" s="18">
        <v>2703</v>
      </c>
      <c r="AN9" s="18">
        <v>2845</v>
      </c>
    </row>
    <row r="10" spans="1:40" s="18" customFormat="1" ht="18" customHeight="1">
      <c r="A10" s="21" t="s">
        <v>135</v>
      </c>
      <c r="B10" s="22">
        <f t="shared" ref="B10:B73" si="4">SUM(C10:N10)</f>
        <v>11459</v>
      </c>
      <c r="C10" s="23">
        <v>1024</v>
      </c>
      <c r="D10" s="23">
        <v>1665</v>
      </c>
      <c r="E10" s="23">
        <v>1364</v>
      </c>
      <c r="F10" s="23">
        <v>988</v>
      </c>
      <c r="G10" s="23">
        <v>541</v>
      </c>
      <c r="H10" s="23">
        <v>399</v>
      </c>
      <c r="I10" s="23">
        <v>895</v>
      </c>
      <c r="J10" s="23">
        <v>599</v>
      </c>
      <c r="K10" s="23">
        <v>522</v>
      </c>
      <c r="L10" s="23">
        <v>817</v>
      </c>
      <c r="M10" s="23">
        <v>1271</v>
      </c>
      <c r="N10" s="23">
        <v>1374</v>
      </c>
      <c r="O10" s="70" t="s">
        <v>185</v>
      </c>
      <c r="P10" s="15"/>
      <c r="Q10" s="15"/>
      <c r="R10" s="15"/>
      <c r="S10" s="15"/>
      <c r="T10" s="15"/>
      <c r="U10" s="15"/>
      <c r="V10" s="15"/>
      <c r="AA10" s="18" t="s">
        <v>22</v>
      </c>
      <c r="AB10" s="18">
        <v>14674</v>
      </c>
      <c r="AC10" s="18">
        <v>877</v>
      </c>
      <c r="AD10" s="18">
        <v>676</v>
      </c>
      <c r="AE10" s="18">
        <v>1001</v>
      </c>
      <c r="AF10" s="18">
        <v>1452</v>
      </c>
      <c r="AG10" s="18">
        <v>1141</v>
      </c>
      <c r="AH10" s="18">
        <v>880</v>
      </c>
      <c r="AI10" s="18">
        <v>1710</v>
      </c>
      <c r="AJ10" s="18">
        <v>1631</v>
      </c>
      <c r="AK10" s="18">
        <v>1194</v>
      </c>
      <c r="AL10" s="18">
        <v>1000</v>
      </c>
      <c r="AM10" s="18">
        <v>929</v>
      </c>
      <c r="AN10" s="18">
        <v>2183</v>
      </c>
    </row>
    <row r="11" spans="1:40" s="18" customFormat="1" ht="18" customHeight="1">
      <c r="A11" s="24" t="s">
        <v>136</v>
      </c>
      <c r="B11" s="22">
        <f t="shared" si="4"/>
        <v>6375</v>
      </c>
      <c r="C11" s="23">
        <v>1252</v>
      </c>
      <c r="D11" s="23">
        <v>1044</v>
      </c>
      <c r="E11" s="23">
        <v>630</v>
      </c>
      <c r="F11" s="23">
        <v>380</v>
      </c>
      <c r="G11" s="23">
        <v>190</v>
      </c>
      <c r="H11" s="23">
        <v>165</v>
      </c>
      <c r="I11" s="23">
        <v>312</v>
      </c>
      <c r="J11" s="23">
        <v>210</v>
      </c>
      <c r="K11" s="23">
        <v>181</v>
      </c>
      <c r="L11" s="23">
        <v>562</v>
      </c>
      <c r="M11" s="23">
        <v>558</v>
      </c>
      <c r="N11" s="23">
        <v>891</v>
      </c>
      <c r="O11" s="70" t="s">
        <v>186</v>
      </c>
      <c r="AA11" s="74" t="s">
        <v>24</v>
      </c>
      <c r="AB11" s="74">
        <v>61973</v>
      </c>
      <c r="AC11" s="74">
        <v>5474</v>
      </c>
      <c r="AD11" s="74">
        <v>4574</v>
      </c>
      <c r="AE11" s="74">
        <v>5440</v>
      </c>
      <c r="AF11" s="74">
        <v>5294</v>
      </c>
      <c r="AG11" s="74">
        <v>4214</v>
      </c>
      <c r="AH11" s="74">
        <v>4104</v>
      </c>
      <c r="AI11" s="74">
        <v>5083</v>
      </c>
      <c r="AJ11" s="74">
        <v>4739</v>
      </c>
      <c r="AK11" s="74">
        <v>4633</v>
      </c>
      <c r="AL11" s="74">
        <v>5008</v>
      </c>
      <c r="AM11" s="74">
        <v>6269</v>
      </c>
      <c r="AN11" s="74">
        <v>7141</v>
      </c>
    </row>
    <row r="12" spans="1:40" s="18" customFormat="1" ht="18" customHeight="1">
      <c r="A12" s="21" t="s">
        <v>137</v>
      </c>
      <c r="B12" s="22">
        <f t="shared" si="4"/>
        <v>4446</v>
      </c>
      <c r="C12" s="23">
        <v>716</v>
      </c>
      <c r="D12" s="23">
        <v>243</v>
      </c>
      <c r="E12" s="23">
        <v>737</v>
      </c>
      <c r="F12" s="23">
        <v>196</v>
      </c>
      <c r="G12" s="23">
        <v>143</v>
      </c>
      <c r="H12" s="23">
        <v>170</v>
      </c>
      <c r="I12" s="23">
        <v>336</v>
      </c>
      <c r="J12" s="23">
        <v>408</v>
      </c>
      <c r="K12" s="23">
        <v>175</v>
      </c>
      <c r="L12" s="23">
        <v>235</v>
      </c>
      <c r="M12" s="23">
        <v>222</v>
      </c>
      <c r="N12" s="23">
        <v>865</v>
      </c>
      <c r="O12" s="70" t="s">
        <v>187</v>
      </c>
      <c r="P12" s="15"/>
      <c r="Q12" s="15"/>
      <c r="R12" s="15"/>
      <c r="S12" s="15"/>
      <c r="T12" s="15"/>
      <c r="U12" s="15"/>
      <c r="V12" s="15"/>
      <c r="AA12" s="19" t="s">
        <v>42</v>
      </c>
      <c r="AB12" s="74">
        <v>49193</v>
      </c>
      <c r="AC12" s="74">
        <v>3969</v>
      </c>
      <c r="AD12" s="74">
        <v>3381</v>
      </c>
      <c r="AE12" s="74">
        <v>3976</v>
      </c>
      <c r="AF12" s="74">
        <v>4231</v>
      </c>
      <c r="AG12" s="74">
        <v>2725</v>
      </c>
      <c r="AH12" s="74">
        <v>2603</v>
      </c>
      <c r="AI12" s="74">
        <v>6593</v>
      </c>
      <c r="AJ12" s="74">
        <v>7547</v>
      </c>
      <c r="AK12" s="74">
        <v>5429</v>
      </c>
      <c r="AL12" s="74">
        <v>2286</v>
      </c>
      <c r="AM12" s="74">
        <v>3055</v>
      </c>
      <c r="AN12" s="74">
        <v>3398</v>
      </c>
    </row>
    <row r="13" spans="1:40" s="18" customFormat="1" ht="18" customHeight="1">
      <c r="A13" s="21" t="s">
        <v>138</v>
      </c>
      <c r="B13" s="22">
        <f t="shared" si="4"/>
        <v>8699</v>
      </c>
      <c r="C13" s="23">
        <v>1078</v>
      </c>
      <c r="D13" s="23">
        <v>1093</v>
      </c>
      <c r="E13" s="23">
        <v>762</v>
      </c>
      <c r="F13" s="23">
        <v>671</v>
      </c>
      <c r="G13" s="23">
        <v>410</v>
      </c>
      <c r="H13" s="23">
        <v>413</v>
      </c>
      <c r="I13" s="23">
        <v>485</v>
      </c>
      <c r="J13" s="23">
        <v>427</v>
      </c>
      <c r="K13" s="23">
        <v>494</v>
      </c>
      <c r="L13" s="23">
        <v>670</v>
      </c>
      <c r="M13" s="23">
        <v>1100</v>
      </c>
      <c r="N13" s="23">
        <v>1096</v>
      </c>
      <c r="O13" s="70" t="s">
        <v>188</v>
      </c>
      <c r="AA13" s="18" t="s">
        <v>222</v>
      </c>
      <c r="AB13" s="74">
        <v>95</v>
      </c>
      <c r="AC13" s="74">
        <v>19</v>
      </c>
      <c r="AD13" s="74">
        <v>6</v>
      </c>
      <c r="AE13" s="74">
        <v>5</v>
      </c>
      <c r="AF13" s="74">
        <v>8</v>
      </c>
      <c r="AG13" s="74">
        <v>2</v>
      </c>
      <c r="AH13" s="74">
        <v>2</v>
      </c>
      <c r="AI13" s="74">
        <v>4</v>
      </c>
      <c r="AJ13" s="74">
        <v>19</v>
      </c>
      <c r="AK13" s="74">
        <v>14</v>
      </c>
      <c r="AL13" s="74">
        <v>4</v>
      </c>
      <c r="AM13" s="74">
        <v>5</v>
      </c>
      <c r="AN13" s="74">
        <v>7</v>
      </c>
    </row>
    <row r="14" spans="1:40" s="18" customFormat="1" ht="18" customHeight="1">
      <c r="A14" s="21" t="s">
        <v>139</v>
      </c>
      <c r="B14" s="22">
        <f t="shared" si="4"/>
        <v>6914</v>
      </c>
      <c r="C14" s="23">
        <v>682</v>
      </c>
      <c r="D14" s="23">
        <v>850</v>
      </c>
      <c r="E14" s="23">
        <v>450</v>
      </c>
      <c r="F14" s="23">
        <v>527</v>
      </c>
      <c r="G14" s="23">
        <v>258</v>
      </c>
      <c r="H14" s="23">
        <v>276</v>
      </c>
      <c r="I14" s="23">
        <v>347</v>
      </c>
      <c r="J14" s="23">
        <v>366</v>
      </c>
      <c r="K14" s="23">
        <v>362</v>
      </c>
      <c r="L14" s="23">
        <v>744</v>
      </c>
      <c r="M14" s="23">
        <v>903</v>
      </c>
      <c r="N14" s="23">
        <v>1149</v>
      </c>
      <c r="O14" s="70" t="s">
        <v>189</v>
      </c>
      <c r="P14" s="15"/>
      <c r="Q14" s="15"/>
      <c r="R14" s="15"/>
      <c r="S14" s="15"/>
      <c r="T14" s="15"/>
      <c r="U14" s="15"/>
      <c r="V14" s="15"/>
      <c r="AA14" s="18" t="s">
        <v>223</v>
      </c>
      <c r="AB14" s="74">
        <v>141</v>
      </c>
      <c r="AC14" s="74">
        <v>17</v>
      </c>
      <c r="AD14" s="74">
        <v>9</v>
      </c>
      <c r="AE14" s="74">
        <v>14</v>
      </c>
      <c r="AF14" s="74">
        <v>15</v>
      </c>
      <c r="AG14" s="74">
        <v>6</v>
      </c>
      <c r="AH14" s="74">
        <v>2</v>
      </c>
      <c r="AI14" s="74">
        <v>16</v>
      </c>
      <c r="AJ14" s="74">
        <v>9</v>
      </c>
      <c r="AK14" s="74">
        <v>15</v>
      </c>
      <c r="AL14" s="74">
        <v>12</v>
      </c>
      <c r="AM14" s="74">
        <v>12</v>
      </c>
      <c r="AN14" s="74">
        <v>14</v>
      </c>
    </row>
    <row r="15" spans="1:40" s="18" customFormat="1" ht="18" customHeight="1">
      <c r="A15" s="21" t="s">
        <v>8</v>
      </c>
      <c r="B15" s="22">
        <f t="shared" si="4"/>
        <v>61931</v>
      </c>
      <c r="C15" s="23">
        <v>6874</v>
      </c>
      <c r="D15" s="23">
        <v>5113</v>
      </c>
      <c r="E15" s="23">
        <v>6413</v>
      </c>
      <c r="F15" s="23">
        <v>5400</v>
      </c>
      <c r="G15" s="23">
        <v>3564</v>
      </c>
      <c r="H15" s="23">
        <v>3262</v>
      </c>
      <c r="I15" s="23">
        <v>4144</v>
      </c>
      <c r="J15" s="23">
        <v>4166</v>
      </c>
      <c r="K15" s="23">
        <v>3522</v>
      </c>
      <c r="L15" s="23">
        <v>5485</v>
      </c>
      <c r="M15" s="23">
        <v>6421</v>
      </c>
      <c r="N15" s="23">
        <v>7567</v>
      </c>
      <c r="O15" s="70" t="s">
        <v>113</v>
      </c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</row>
    <row r="16" spans="1:40" s="18" customFormat="1" ht="18" customHeight="1">
      <c r="A16" s="21" t="s">
        <v>140</v>
      </c>
      <c r="B16" s="22">
        <f t="shared" si="4"/>
        <v>6079</v>
      </c>
      <c r="C16" s="23">
        <v>655</v>
      </c>
      <c r="D16" s="23">
        <v>920</v>
      </c>
      <c r="E16" s="23">
        <v>758</v>
      </c>
      <c r="F16" s="23">
        <v>595</v>
      </c>
      <c r="G16" s="23">
        <v>308</v>
      </c>
      <c r="H16" s="23">
        <v>172</v>
      </c>
      <c r="I16" s="23">
        <v>344</v>
      </c>
      <c r="J16" s="23">
        <v>247</v>
      </c>
      <c r="K16" s="23">
        <v>193</v>
      </c>
      <c r="L16" s="23">
        <v>509</v>
      </c>
      <c r="M16" s="23">
        <v>747</v>
      </c>
      <c r="N16" s="23">
        <v>631</v>
      </c>
      <c r="O16" s="70" t="s">
        <v>114</v>
      </c>
      <c r="P16" s="15"/>
      <c r="Q16" s="15"/>
      <c r="R16" s="15"/>
      <c r="S16" s="15"/>
      <c r="T16" s="15"/>
      <c r="U16" s="15"/>
      <c r="V16" s="15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</row>
    <row r="17" spans="1:40" s="18" customFormat="1" ht="18" customHeight="1">
      <c r="A17" s="21" t="s">
        <v>141</v>
      </c>
      <c r="B17" s="22">
        <f t="shared" si="4"/>
        <v>9722</v>
      </c>
      <c r="C17" s="23">
        <v>1280</v>
      </c>
      <c r="D17" s="23">
        <v>850</v>
      </c>
      <c r="E17" s="23">
        <v>920</v>
      </c>
      <c r="F17" s="23">
        <v>822</v>
      </c>
      <c r="G17" s="23">
        <v>527</v>
      </c>
      <c r="H17" s="23">
        <v>426</v>
      </c>
      <c r="I17" s="23">
        <v>504</v>
      </c>
      <c r="J17" s="23">
        <v>656</v>
      </c>
      <c r="K17" s="23">
        <v>673</v>
      </c>
      <c r="L17" s="23">
        <v>1017</v>
      </c>
      <c r="M17" s="23">
        <v>861</v>
      </c>
      <c r="N17" s="23">
        <v>1186</v>
      </c>
      <c r="O17" s="70" t="s">
        <v>190</v>
      </c>
    </row>
    <row r="18" spans="1:40" s="18" customFormat="1" ht="18" customHeight="1">
      <c r="A18" s="21" t="s">
        <v>47</v>
      </c>
      <c r="B18" s="22">
        <f t="shared" si="4"/>
        <v>7009</v>
      </c>
      <c r="C18" s="23">
        <v>955</v>
      </c>
      <c r="D18" s="23">
        <v>672</v>
      </c>
      <c r="E18" s="23">
        <v>854</v>
      </c>
      <c r="F18" s="23">
        <v>507</v>
      </c>
      <c r="G18" s="23">
        <v>262</v>
      </c>
      <c r="H18" s="23">
        <v>301</v>
      </c>
      <c r="I18" s="23">
        <v>313</v>
      </c>
      <c r="J18" s="23">
        <v>353</v>
      </c>
      <c r="K18" s="23">
        <v>508</v>
      </c>
      <c r="L18" s="23">
        <v>604</v>
      </c>
      <c r="M18" s="23">
        <v>817</v>
      </c>
      <c r="N18" s="23">
        <v>863</v>
      </c>
      <c r="O18" s="70" t="s">
        <v>117</v>
      </c>
      <c r="P18" s="15"/>
      <c r="Q18" s="15"/>
      <c r="R18" s="15"/>
      <c r="S18" s="15"/>
      <c r="T18" s="15"/>
      <c r="U18" s="15"/>
      <c r="V18" s="15"/>
      <c r="AB18" s="18" t="s">
        <v>28</v>
      </c>
      <c r="AC18" s="18" t="s">
        <v>29</v>
      </c>
      <c r="AD18" s="18" t="s">
        <v>30</v>
      </c>
      <c r="AE18" s="18" t="s">
        <v>31</v>
      </c>
      <c r="AF18" s="18" t="s">
        <v>32</v>
      </c>
      <c r="AG18" s="18" t="s">
        <v>33</v>
      </c>
      <c r="AH18" s="18" t="s">
        <v>34</v>
      </c>
      <c r="AI18" s="18" t="s">
        <v>35</v>
      </c>
      <c r="AJ18" s="18" t="s">
        <v>39</v>
      </c>
      <c r="AK18" s="18" t="s">
        <v>36</v>
      </c>
      <c r="AL18" s="18" t="s">
        <v>37</v>
      </c>
      <c r="AM18" s="18" t="s">
        <v>38</v>
      </c>
    </row>
    <row r="19" spans="1:40" s="18" customFormat="1" ht="18" customHeight="1">
      <c r="A19" s="20" t="s">
        <v>142</v>
      </c>
      <c r="B19" s="22">
        <f t="shared" si="4"/>
        <v>140535</v>
      </c>
      <c r="C19" s="25">
        <f>SUM(C20:C26)</f>
        <v>12858</v>
      </c>
      <c r="D19" s="25">
        <f t="shared" ref="D19:N19" si="5">SUM(D20:D26)</f>
        <v>15469</v>
      </c>
      <c r="E19" s="25">
        <f t="shared" si="5"/>
        <v>12948</v>
      </c>
      <c r="F19" s="25">
        <f t="shared" si="5"/>
        <v>12094</v>
      </c>
      <c r="G19" s="25">
        <f t="shared" si="5"/>
        <v>8323</v>
      </c>
      <c r="H19" s="25">
        <f t="shared" si="5"/>
        <v>7653</v>
      </c>
      <c r="I19" s="25">
        <f t="shared" si="5"/>
        <v>11134</v>
      </c>
      <c r="J19" s="25">
        <f t="shared" si="5"/>
        <v>10029</v>
      </c>
      <c r="K19" s="25">
        <f t="shared" si="5"/>
        <v>9146</v>
      </c>
      <c r="L19" s="25">
        <f t="shared" si="5"/>
        <v>13361</v>
      </c>
      <c r="M19" s="25">
        <f t="shared" si="5"/>
        <v>12986</v>
      </c>
      <c r="N19" s="25">
        <f t="shared" si="5"/>
        <v>14534</v>
      </c>
      <c r="O19" s="69" t="s">
        <v>191</v>
      </c>
      <c r="AA19" s="18" t="s">
        <v>1</v>
      </c>
      <c r="AB19" s="74">
        <f>C5</f>
        <v>125336</v>
      </c>
      <c r="AC19" s="74">
        <f>D5</f>
        <v>121052</v>
      </c>
      <c r="AD19" s="74">
        <f>E5</f>
        <v>112665</v>
      </c>
      <c r="AE19" s="74">
        <f>F5</f>
        <v>119774</v>
      </c>
      <c r="AF19" s="74">
        <f>G5</f>
        <v>93491</v>
      </c>
      <c r="AG19" s="74">
        <f>H5</f>
        <v>85222</v>
      </c>
      <c r="AH19" s="74">
        <f>I5</f>
        <v>113175</v>
      </c>
      <c r="AI19" s="74">
        <f>J5</f>
        <v>121310</v>
      </c>
      <c r="AJ19" s="74">
        <f>K5</f>
        <v>105984</v>
      </c>
      <c r="AK19" s="74">
        <f>L5</f>
        <v>127986</v>
      </c>
      <c r="AL19" s="74">
        <f>M5</f>
        <v>120506</v>
      </c>
      <c r="AM19" s="74">
        <f>N5</f>
        <v>143041</v>
      </c>
      <c r="AN19" s="74">
        <f>SUM(AB19:AM19)</f>
        <v>1389542</v>
      </c>
    </row>
    <row r="20" spans="1:40" s="18" customFormat="1" ht="18" customHeight="1">
      <c r="A20" s="21" t="s">
        <v>14</v>
      </c>
      <c r="B20" s="22">
        <f t="shared" si="4"/>
        <v>10629</v>
      </c>
      <c r="C20" s="23">
        <v>1455</v>
      </c>
      <c r="D20" s="23">
        <v>2026</v>
      </c>
      <c r="E20" s="23">
        <v>957</v>
      </c>
      <c r="F20" s="23">
        <v>865</v>
      </c>
      <c r="G20" s="23">
        <v>289</v>
      </c>
      <c r="H20" s="23">
        <v>263</v>
      </c>
      <c r="I20" s="23">
        <v>1349</v>
      </c>
      <c r="J20" s="23">
        <v>354</v>
      </c>
      <c r="K20" s="23">
        <v>350</v>
      </c>
      <c r="L20" s="23">
        <v>1133</v>
      </c>
      <c r="M20" s="23">
        <v>719</v>
      </c>
      <c r="N20" s="23">
        <v>869</v>
      </c>
      <c r="O20" s="70" t="s">
        <v>192</v>
      </c>
      <c r="P20" s="15"/>
      <c r="Q20" s="15"/>
      <c r="R20" s="15"/>
      <c r="S20" s="15"/>
      <c r="T20" s="15"/>
      <c r="U20" s="15"/>
      <c r="V20" s="15"/>
      <c r="AA20" s="18" t="s">
        <v>2</v>
      </c>
      <c r="AB20" s="74">
        <f>C7+C19+C27+C34+C42</f>
        <v>64030</v>
      </c>
      <c r="AC20" s="74">
        <f>D7+D19+D27+D34+D42</f>
        <v>67730</v>
      </c>
      <c r="AD20" s="74">
        <f>E7+E19+E27+E34+E42</f>
        <v>61927</v>
      </c>
      <c r="AE20" s="74">
        <f>F7+F19+F27+F34+F42</f>
        <v>61542</v>
      </c>
      <c r="AF20" s="74">
        <f>G7+G19+G27+G34+G42</f>
        <v>35739</v>
      </c>
      <c r="AG20" s="74">
        <f>H7+H19+H27+H34+H42</f>
        <v>29194</v>
      </c>
      <c r="AH20" s="74">
        <f>I7+I19+I27+I34+I42</f>
        <v>42192</v>
      </c>
      <c r="AI20" s="74">
        <f>J7+J19+J27+J34+J42</f>
        <v>47465</v>
      </c>
      <c r="AJ20" s="74">
        <f>K7+K19+K27+K34+K42</f>
        <v>40014</v>
      </c>
      <c r="AK20" s="74">
        <f>L7+L19+L27+L34+L42</f>
        <v>62018</v>
      </c>
      <c r="AL20" s="74">
        <f>M7+M19+M27+M34+M42</f>
        <v>60170</v>
      </c>
      <c r="AM20" s="74">
        <f>N7+N19+N27+N34+N42</f>
        <v>74322</v>
      </c>
      <c r="AN20" s="74">
        <f t="shared" ref="AN20:AN22" si="6">SUM(AB20:AM20)</f>
        <v>646343</v>
      </c>
    </row>
    <row r="21" spans="1:40" s="18" customFormat="1" ht="18" customHeight="1">
      <c r="A21" s="21" t="s">
        <v>143</v>
      </c>
      <c r="B21" s="22">
        <f t="shared" si="4"/>
        <v>3705</v>
      </c>
      <c r="C21" s="23">
        <v>399</v>
      </c>
      <c r="D21" s="23">
        <v>466</v>
      </c>
      <c r="E21" s="23">
        <v>298</v>
      </c>
      <c r="F21" s="23">
        <v>207</v>
      </c>
      <c r="G21" s="23">
        <v>138</v>
      </c>
      <c r="H21" s="23">
        <v>156</v>
      </c>
      <c r="I21" s="23">
        <v>174</v>
      </c>
      <c r="J21" s="23">
        <v>110</v>
      </c>
      <c r="K21" s="23">
        <v>190</v>
      </c>
      <c r="L21" s="23">
        <v>397</v>
      </c>
      <c r="M21" s="23">
        <v>492</v>
      </c>
      <c r="N21" s="23">
        <v>678</v>
      </c>
      <c r="O21" s="70" t="s">
        <v>108</v>
      </c>
      <c r="AA21" s="18" t="s">
        <v>15</v>
      </c>
      <c r="AB21" s="74">
        <f>C46</f>
        <v>48579</v>
      </c>
      <c r="AC21" s="74">
        <f>D46</f>
        <v>43019</v>
      </c>
      <c r="AD21" s="74">
        <f>E46</f>
        <v>38122</v>
      </c>
      <c r="AE21" s="74">
        <f>F46</f>
        <v>44308</v>
      </c>
      <c r="AF21" s="74">
        <f>G46</f>
        <v>47584</v>
      </c>
      <c r="AG21" s="74">
        <f>H46</f>
        <v>45958</v>
      </c>
      <c r="AH21" s="74">
        <f>I46</f>
        <v>54520</v>
      </c>
      <c r="AI21" s="74">
        <f>J46</f>
        <v>57701</v>
      </c>
      <c r="AJ21" s="74">
        <f>K46</f>
        <v>51532</v>
      </c>
      <c r="AK21" s="74">
        <f>L46</f>
        <v>54974</v>
      </c>
      <c r="AL21" s="74">
        <f>M46</f>
        <v>47363</v>
      </c>
      <c r="AM21" s="74">
        <f>N46</f>
        <v>53131</v>
      </c>
      <c r="AN21" s="74">
        <f t="shared" si="6"/>
        <v>586791</v>
      </c>
    </row>
    <row r="22" spans="1:40" s="18" customFormat="1" ht="18" customHeight="1">
      <c r="A22" s="21" t="s">
        <v>144</v>
      </c>
      <c r="B22" s="22">
        <f t="shared" si="4"/>
        <v>3892</v>
      </c>
      <c r="C22" s="23">
        <v>298</v>
      </c>
      <c r="D22" s="23">
        <v>305</v>
      </c>
      <c r="E22" s="23">
        <v>325</v>
      </c>
      <c r="F22" s="23">
        <v>396</v>
      </c>
      <c r="G22" s="23">
        <v>247</v>
      </c>
      <c r="H22" s="23">
        <v>328</v>
      </c>
      <c r="I22" s="23">
        <v>342</v>
      </c>
      <c r="J22" s="23">
        <v>343</v>
      </c>
      <c r="K22" s="23">
        <v>333</v>
      </c>
      <c r="L22" s="23">
        <v>308</v>
      </c>
      <c r="M22" s="23">
        <v>324</v>
      </c>
      <c r="N22" s="23">
        <v>343</v>
      </c>
      <c r="O22" s="70" t="s">
        <v>193</v>
      </c>
      <c r="P22" s="15"/>
      <c r="Q22" s="15"/>
      <c r="R22" s="15"/>
      <c r="S22" s="15"/>
      <c r="T22" s="15"/>
      <c r="U22" s="15"/>
      <c r="V22" s="15"/>
      <c r="AA22" s="18" t="s">
        <v>180</v>
      </c>
      <c r="AB22" s="74">
        <f>AB19-AB20-AB21</f>
        <v>12727</v>
      </c>
      <c r="AC22" s="18">
        <f t="shared" ref="AC22:AM22" si="7">AC19-AC20-AC21</f>
        <v>10303</v>
      </c>
      <c r="AD22" s="18">
        <f t="shared" si="7"/>
        <v>12616</v>
      </c>
      <c r="AE22" s="18">
        <f t="shared" si="7"/>
        <v>13924</v>
      </c>
      <c r="AF22" s="18">
        <f t="shared" si="7"/>
        <v>10168</v>
      </c>
      <c r="AG22" s="18">
        <f t="shared" si="7"/>
        <v>10070</v>
      </c>
      <c r="AH22" s="18">
        <f t="shared" si="7"/>
        <v>16463</v>
      </c>
      <c r="AI22" s="18">
        <f t="shared" si="7"/>
        <v>16144</v>
      </c>
      <c r="AJ22" s="18">
        <f t="shared" si="7"/>
        <v>14438</v>
      </c>
      <c r="AK22" s="18">
        <f t="shared" si="7"/>
        <v>10994</v>
      </c>
      <c r="AL22" s="18">
        <f t="shared" si="7"/>
        <v>12973</v>
      </c>
      <c r="AM22" s="18">
        <f t="shared" si="7"/>
        <v>15588</v>
      </c>
      <c r="AN22" s="74">
        <f t="shared" si="6"/>
        <v>156408</v>
      </c>
    </row>
    <row r="23" spans="1:40" s="18" customFormat="1" ht="18" customHeight="1">
      <c r="A23" s="21" t="s">
        <v>145</v>
      </c>
      <c r="B23" s="22">
        <f t="shared" si="4"/>
        <v>5006</v>
      </c>
      <c r="C23" s="23">
        <v>442</v>
      </c>
      <c r="D23" s="23">
        <v>642</v>
      </c>
      <c r="E23" s="23">
        <v>280</v>
      </c>
      <c r="F23" s="23">
        <v>419</v>
      </c>
      <c r="G23" s="23">
        <v>173</v>
      </c>
      <c r="H23" s="23">
        <v>358</v>
      </c>
      <c r="I23" s="23">
        <v>850</v>
      </c>
      <c r="J23" s="23">
        <v>256</v>
      </c>
      <c r="K23" s="23">
        <v>287</v>
      </c>
      <c r="L23" s="23">
        <v>369</v>
      </c>
      <c r="M23" s="23">
        <v>384</v>
      </c>
      <c r="N23" s="23">
        <v>546</v>
      </c>
      <c r="O23" s="70" t="s">
        <v>194</v>
      </c>
      <c r="AA23" s="83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</row>
    <row r="24" spans="1:40" s="18" customFormat="1" ht="18" customHeight="1">
      <c r="A24" s="21" t="s">
        <v>13</v>
      </c>
      <c r="B24" s="22">
        <f t="shared" si="4"/>
        <v>13127</v>
      </c>
      <c r="C24" s="23">
        <v>1612</v>
      </c>
      <c r="D24" s="23">
        <v>1618</v>
      </c>
      <c r="E24" s="23">
        <v>1007</v>
      </c>
      <c r="F24" s="23">
        <v>764</v>
      </c>
      <c r="G24" s="23">
        <v>318</v>
      </c>
      <c r="H24" s="23">
        <v>453</v>
      </c>
      <c r="I24" s="23">
        <v>696</v>
      </c>
      <c r="J24" s="23">
        <v>391</v>
      </c>
      <c r="K24" s="23">
        <v>478</v>
      </c>
      <c r="L24" s="23">
        <v>1964</v>
      </c>
      <c r="M24" s="23">
        <v>1461</v>
      </c>
      <c r="N24" s="23">
        <v>2365</v>
      </c>
      <c r="O24" s="70" t="s">
        <v>195</v>
      </c>
      <c r="P24" s="15"/>
      <c r="Q24" s="15"/>
      <c r="R24" s="15"/>
      <c r="S24" s="15"/>
      <c r="T24" s="15"/>
      <c r="U24" s="15"/>
      <c r="V24" s="15"/>
      <c r="AA24" s="83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</row>
    <row r="25" spans="1:40" s="18" customFormat="1" ht="18" customHeight="1">
      <c r="A25" s="21" t="s">
        <v>4</v>
      </c>
      <c r="B25" s="22">
        <f t="shared" si="4"/>
        <v>103977</v>
      </c>
      <c r="C25" s="23">
        <v>8630</v>
      </c>
      <c r="D25" s="23">
        <v>10395</v>
      </c>
      <c r="E25" s="23">
        <v>10063</v>
      </c>
      <c r="F25" s="23">
        <v>9417</v>
      </c>
      <c r="G25" s="23">
        <v>7151</v>
      </c>
      <c r="H25" s="23">
        <v>6081</v>
      </c>
      <c r="I25" s="23">
        <v>7705</v>
      </c>
      <c r="J25" s="23">
        <v>8565</v>
      </c>
      <c r="K25" s="23">
        <v>7499</v>
      </c>
      <c r="L25" s="23">
        <v>9173</v>
      </c>
      <c r="M25" s="23">
        <v>9579</v>
      </c>
      <c r="N25" s="23">
        <v>9719</v>
      </c>
      <c r="O25" s="70" t="s">
        <v>116</v>
      </c>
      <c r="AA25" s="74" t="s">
        <v>15</v>
      </c>
      <c r="AB25" s="81">
        <f>B46-AB5</f>
        <v>0</v>
      </c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</row>
    <row r="26" spans="1:40" s="18" customFormat="1" ht="18" customHeight="1">
      <c r="A26" s="21" t="s">
        <v>47</v>
      </c>
      <c r="B26" s="22">
        <f t="shared" si="4"/>
        <v>199</v>
      </c>
      <c r="C26" s="23">
        <v>22</v>
      </c>
      <c r="D26" s="23">
        <v>17</v>
      </c>
      <c r="E26" s="23">
        <v>18</v>
      </c>
      <c r="F26" s="23">
        <v>26</v>
      </c>
      <c r="G26" s="23">
        <v>7</v>
      </c>
      <c r="H26" s="23">
        <v>14</v>
      </c>
      <c r="I26" s="23">
        <v>18</v>
      </c>
      <c r="J26" s="23">
        <v>10</v>
      </c>
      <c r="K26" s="23">
        <v>9</v>
      </c>
      <c r="L26" s="23">
        <v>17</v>
      </c>
      <c r="M26" s="23">
        <v>27</v>
      </c>
      <c r="N26" s="23">
        <v>14</v>
      </c>
      <c r="O26" s="70" t="s">
        <v>117</v>
      </c>
      <c r="P26" s="15"/>
      <c r="Q26" s="15"/>
      <c r="R26" s="15"/>
      <c r="S26" s="15"/>
      <c r="T26" s="15"/>
      <c r="U26" s="15"/>
      <c r="V26" s="15"/>
      <c r="AA26" s="19" t="s">
        <v>154</v>
      </c>
      <c r="AB26" s="81">
        <f>B47-AB6</f>
        <v>0</v>
      </c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</row>
    <row r="27" spans="1:40" s="18" customFormat="1" ht="18" customHeight="1">
      <c r="A27" s="20" t="s">
        <v>146</v>
      </c>
      <c r="B27" s="22">
        <f t="shared" si="4"/>
        <v>132454</v>
      </c>
      <c r="C27" s="25">
        <f>SUM(C28:C33)</f>
        <v>14660</v>
      </c>
      <c r="D27" s="25">
        <f t="shared" ref="D27:N27" si="8">SUM(D28:D33)</f>
        <v>13800</v>
      </c>
      <c r="E27" s="25">
        <f t="shared" si="8"/>
        <v>12240</v>
      </c>
      <c r="F27" s="25">
        <f t="shared" si="8"/>
        <v>12175</v>
      </c>
      <c r="G27" s="25">
        <f t="shared" si="8"/>
        <v>5263</v>
      </c>
      <c r="H27" s="25">
        <f t="shared" si="8"/>
        <v>5344</v>
      </c>
      <c r="I27" s="25">
        <f t="shared" si="8"/>
        <v>7920</v>
      </c>
      <c r="J27" s="25">
        <f t="shared" si="8"/>
        <v>13542</v>
      </c>
      <c r="K27" s="25">
        <f t="shared" si="8"/>
        <v>7917</v>
      </c>
      <c r="L27" s="25">
        <f t="shared" si="8"/>
        <v>9514</v>
      </c>
      <c r="M27" s="25">
        <f t="shared" si="8"/>
        <v>10288</v>
      </c>
      <c r="N27" s="25">
        <f t="shared" si="8"/>
        <v>19791</v>
      </c>
      <c r="O27" s="69" t="s">
        <v>196</v>
      </c>
      <c r="AA27" s="18" t="s">
        <v>157</v>
      </c>
      <c r="AB27" s="81">
        <f>B53-AB7</f>
        <v>0</v>
      </c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</row>
    <row r="28" spans="1:40" s="18" customFormat="1" ht="18" customHeight="1">
      <c r="A28" s="21" t="s">
        <v>147</v>
      </c>
      <c r="B28" s="22">
        <f t="shared" si="4"/>
        <v>2470</v>
      </c>
      <c r="C28" s="23">
        <v>189</v>
      </c>
      <c r="D28" s="23">
        <v>261</v>
      </c>
      <c r="E28" s="23">
        <v>155</v>
      </c>
      <c r="F28" s="23">
        <v>230</v>
      </c>
      <c r="G28" s="23">
        <v>94</v>
      </c>
      <c r="H28" s="23">
        <v>101</v>
      </c>
      <c r="I28" s="23">
        <v>163</v>
      </c>
      <c r="J28" s="23">
        <v>256</v>
      </c>
      <c r="K28" s="23">
        <v>176</v>
      </c>
      <c r="L28" s="23">
        <v>210</v>
      </c>
      <c r="M28" s="23">
        <v>219</v>
      </c>
      <c r="N28" s="23">
        <v>416</v>
      </c>
      <c r="O28" s="70" t="s">
        <v>110</v>
      </c>
      <c r="P28" s="15"/>
      <c r="Q28" s="15"/>
      <c r="R28" s="15"/>
      <c r="S28" s="15"/>
      <c r="T28" s="15"/>
      <c r="U28" s="15"/>
      <c r="V28" s="15"/>
      <c r="AA28" s="18" t="s">
        <v>161</v>
      </c>
      <c r="AB28" s="81">
        <f>B60-AB8</f>
        <v>0</v>
      </c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</row>
    <row r="29" spans="1:40" s="18" customFormat="1" ht="18" customHeight="1">
      <c r="A29" s="21" t="s">
        <v>3</v>
      </c>
      <c r="B29" s="22">
        <f t="shared" si="4"/>
        <v>88848</v>
      </c>
      <c r="C29" s="23">
        <v>12079</v>
      </c>
      <c r="D29" s="23">
        <v>11215</v>
      </c>
      <c r="E29" s="23">
        <v>9900</v>
      </c>
      <c r="F29" s="23">
        <v>8601</v>
      </c>
      <c r="G29" s="23">
        <v>3131</v>
      </c>
      <c r="H29" s="23">
        <v>2768</v>
      </c>
      <c r="I29" s="23">
        <v>3698</v>
      </c>
      <c r="J29" s="23">
        <v>7227</v>
      </c>
      <c r="K29" s="23">
        <v>3577</v>
      </c>
      <c r="L29" s="23">
        <v>4898</v>
      </c>
      <c r="M29" s="23">
        <v>6998</v>
      </c>
      <c r="N29" s="23">
        <v>14756</v>
      </c>
      <c r="O29" s="70" t="s">
        <v>111</v>
      </c>
      <c r="AA29" s="18" t="s">
        <v>26</v>
      </c>
      <c r="AB29" s="81">
        <f>B74-AB9</f>
        <v>0</v>
      </c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</row>
    <row r="30" spans="1:40" s="18" customFormat="1" ht="18" customHeight="1">
      <c r="A30" s="21" t="s">
        <v>11</v>
      </c>
      <c r="B30" s="22">
        <f t="shared" si="4"/>
        <v>6882</v>
      </c>
      <c r="C30" s="23">
        <v>361</v>
      </c>
      <c r="D30" s="23">
        <v>352</v>
      </c>
      <c r="E30" s="23">
        <v>389</v>
      </c>
      <c r="F30" s="23">
        <v>803</v>
      </c>
      <c r="G30" s="23">
        <v>389</v>
      </c>
      <c r="H30" s="23">
        <v>448</v>
      </c>
      <c r="I30" s="23">
        <v>731</v>
      </c>
      <c r="J30" s="23">
        <v>877</v>
      </c>
      <c r="K30" s="23">
        <v>662</v>
      </c>
      <c r="L30" s="23">
        <v>703</v>
      </c>
      <c r="M30" s="23">
        <v>419</v>
      </c>
      <c r="N30" s="23">
        <v>748</v>
      </c>
      <c r="O30" s="70" t="s">
        <v>112</v>
      </c>
      <c r="P30" s="15"/>
      <c r="Q30" s="15"/>
      <c r="R30" s="15"/>
      <c r="S30" s="15"/>
      <c r="T30" s="15"/>
      <c r="U30" s="15"/>
      <c r="V30" s="15"/>
      <c r="AA30" s="18" t="s">
        <v>22</v>
      </c>
      <c r="AB30" s="81">
        <f t="shared" ref="AB30:AB34" si="9">B51-AB10</f>
        <v>-4348</v>
      </c>
    </row>
    <row r="31" spans="1:40" s="18" customFormat="1" ht="18" customHeight="1">
      <c r="A31" s="21" t="s">
        <v>148</v>
      </c>
      <c r="B31" s="22">
        <f t="shared" si="4"/>
        <v>2100</v>
      </c>
      <c r="C31" s="23">
        <v>184</v>
      </c>
      <c r="D31" s="23">
        <v>282</v>
      </c>
      <c r="E31" s="23">
        <v>165</v>
      </c>
      <c r="F31" s="23">
        <v>236</v>
      </c>
      <c r="G31" s="23">
        <v>87</v>
      </c>
      <c r="H31" s="23">
        <v>76</v>
      </c>
      <c r="I31" s="23">
        <v>126</v>
      </c>
      <c r="J31" s="23">
        <v>112</v>
      </c>
      <c r="K31" s="23">
        <v>81</v>
      </c>
      <c r="L31" s="23">
        <v>292</v>
      </c>
      <c r="M31" s="23">
        <v>253</v>
      </c>
      <c r="N31" s="23">
        <v>206</v>
      </c>
      <c r="O31" s="70" t="s">
        <v>197</v>
      </c>
      <c r="AA31" s="74" t="s">
        <v>24</v>
      </c>
      <c r="AB31" s="81">
        <f t="shared" si="9"/>
        <v>-61865</v>
      </c>
    </row>
    <row r="32" spans="1:40" s="18" customFormat="1" ht="18" customHeight="1">
      <c r="A32" s="21" t="s">
        <v>10</v>
      </c>
      <c r="B32" s="22">
        <f t="shared" si="4"/>
        <v>25843</v>
      </c>
      <c r="C32" s="23">
        <v>1031</v>
      </c>
      <c r="D32" s="23">
        <v>1051</v>
      </c>
      <c r="E32" s="23">
        <v>1169</v>
      </c>
      <c r="F32" s="23">
        <v>1823</v>
      </c>
      <c r="G32" s="23">
        <v>1249</v>
      </c>
      <c r="H32" s="23">
        <v>1680</v>
      </c>
      <c r="I32" s="23">
        <v>2811</v>
      </c>
      <c r="J32" s="23">
        <v>4563</v>
      </c>
      <c r="K32" s="23">
        <v>2921</v>
      </c>
      <c r="L32" s="23">
        <v>2749</v>
      </c>
      <c r="M32" s="23">
        <v>1900</v>
      </c>
      <c r="N32" s="23">
        <v>2896</v>
      </c>
      <c r="O32" s="70" t="s">
        <v>115</v>
      </c>
      <c r="P32" s="15"/>
      <c r="Q32" s="15"/>
      <c r="R32" s="15"/>
      <c r="S32" s="15"/>
      <c r="T32" s="15"/>
      <c r="U32" s="15"/>
      <c r="V32" s="15"/>
      <c r="AA32" s="19" t="s">
        <v>42</v>
      </c>
      <c r="AB32" s="81">
        <f t="shared" si="9"/>
        <v>32969</v>
      </c>
    </row>
    <row r="33" spans="1:28" s="18" customFormat="1" ht="18" customHeight="1">
      <c r="A33" s="21" t="s">
        <v>47</v>
      </c>
      <c r="B33" s="22">
        <f t="shared" si="4"/>
        <v>6311</v>
      </c>
      <c r="C33" s="23">
        <v>816</v>
      </c>
      <c r="D33" s="23">
        <v>639</v>
      </c>
      <c r="E33" s="23">
        <v>462</v>
      </c>
      <c r="F33" s="23">
        <v>482</v>
      </c>
      <c r="G33" s="23">
        <v>313</v>
      </c>
      <c r="H33" s="23">
        <v>271</v>
      </c>
      <c r="I33" s="23">
        <v>391</v>
      </c>
      <c r="J33" s="23">
        <v>507</v>
      </c>
      <c r="K33" s="23">
        <v>500</v>
      </c>
      <c r="L33" s="23">
        <v>662</v>
      </c>
      <c r="M33" s="23">
        <v>499</v>
      </c>
      <c r="N33" s="23">
        <v>769</v>
      </c>
      <c r="O33" s="70" t="s">
        <v>117</v>
      </c>
      <c r="AA33" s="18" t="s">
        <v>222</v>
      </c>
      <c r="AB33" s="81">
        <f t="shared" si="9"/>
        <v>5280</v>
      </c>
    </row>
    <row r="34" spans="1:28" s="18" customFormat="1" ht="18" customHeight="1">
      <c r="A34" s="20" t="s">
        <v>149</v>
      </c>
      <c r="B34" s="22">
        <f t="shared" si="4"/>
        <v>226114</v>
      </c>
      <c r="C34" s="25">
        <f>SUM(C35:C41)</f>
        <v>19232</v>
      </c>
      <c r="D34" s="25">
        <f t="shared" ref="D34:N34" si="10">SUM(D35:D41)</f>
        <v>24094</v>
      </c>
      <c r="E34" s="25">
        <f t="shared" si="10"/>
        <v>21901</v>
      </c>
      <c r="F34" s="25">
        <f t="shared" si="10"/>
        <v>24946</v>
      </c>
      <c r="G34" s="25">
        <f t="shared" si="10"/>
        <v>14361</v>
      </c>
      <c r="H34" s="25">
        <f t="shared" si="10"/>
        <v>9685</v>
      </c>
      <c r="I34" s="25">
        <f t="shared" si="10"/>
        <v>13585</v>
      </c>
      <c r="J34" s="25">
        <f t="shared" si="10"/>
        <v>14090</v>
      </c>
      <c r="K34" s="25">
        <f t="shared" si="10"/>
        <v>14116</v>
      </c>
      <c r="L34" s="25">
        <f t="shared" si="10"/>
        <v>25957</v>
      </c>
      <c r="M34" s="25">
        <f t="shared" si="10"/>
        <v>22090</v>
      </c>
      <c r="N34" s="25">
        <f t="shared" si="10"/>
        <v>22057</v>
      </c>
      <c r="O34" s="69" t="s">
        <v>198</v>
      </c>
      <c r="P34" s="15"/>
      <c r="Q34" s="15"/>
      <c r="R34" s="15"/>
      <c r="S34" s="15"/>
      <c r="T34" s="15"/>
      <c r="U34" s="15"/>
      <c r="V34" s="15"/>
      <c r="AA34" s="18" t="s">
        <v>223</v>
      </c>
      <c r="AB34" s="81">
        <f t="shared" si="9"/>
        <v>18951</v>
      </c>
    </row>
    <row r="35" spans="1:28" s="18" customFormat="1" ht="18" customHeight="1">
      <c r="A35" s="21" t="s">
        <v>9</v>
      </c>
      <c r="B35" s="22">
        <f t="shared" si="4"/>
        <v>19709</v>
      </c>
      <c r="C35" s="23">
        <v>2085</v>
      </c>
      <c r="D35" s="23">
        <v>2820</v>
      </c>
      <c r="E35" s="23">
        <v>1931</v>
      </c>
      <c r="F35" s="23">
        <v>1903</v>
      </c>
      <c r="G35" s="23">
        <v>1079</v>
      </c>
      <c r="H35" s="23">
        <v>573</v>
      </c>
      <c r="I35" s="23">
        <v>1280</v>
      </c>
      <c r="J35" s="23">
        <v>964</v>
      </c>
      <c r="K35" s="23">
        <v>835</v>
      </c>
      <c r="L35" s="23">
        <v>2043</v>
      </c>
      <c r="M35" s="23">
        <v>1846</v>
      </c>
      <c r="N35" s="23">
        <v>2350</v>
      </c>
      <c r="O35" s="70" t="s">
        <v>104</v>
      </c>
    </row>
    <row r="36" spans="1:28" s="18" customFormat="1" ht="18" customHeight="1">
      <c r="A36" s="21" t="s">
        <v>12</v>
      </c>
      <c r="B36" s="22">
        <f t="shared" si="4"/>
        <v>5854</v>
      </c>
      <c r="C36" s="23">
        <v>563</v>
      </c>
      <c r="D36" s="23">
        <v>732</v>
      </c>
      <c r="E36" s="23">
        <v>554</v>
      </c>
      <c r="F36" s="23">
        <v>649</v>
      </c>
      <c r="G36" s="23">
        <v>252</v>
      </c>
      <c r="H36" s="23">
        <v>192</v>
      </c>
      <c r="I36" s="23">
        <v>528</v>
      </c>
      <c r="J36" s="23">
        <v>332</v>
      </c>
      <c r="K36" s="23">
        <v>404</v>
      </c>
      <c r="L36" s="23">
        <v>502</v>
      </c>
      <c r="M36" s="23">
        <v>487</v>
      </c>
      <c r="N36" s="23">
        <v>659</v>
      </c>
      <c r="O36" s="70" t="s">
        <v>107</v>
      </c>
      <c r="P36" s="15"/>
      <c r="Q36" s="15"/>
      <c r="R36" s="15"/>
      <c r="S36" s="15"/>
      <c r="T36" s="15"/>
      <c r="U36" s="15"/>
      <c r="V36" s="15"/>
    </row>
    <row r="37" spans="1:28" s="18" customFormat="1" ht="18" customHeight="1">
      <c r="A37" s="21" t="s">
        <v>6</v>
      </c>
      <c r="B37" s="22">
        <f t="shared" si="4"/>
        <v>42365</v>
      </c>
      <c r="C37" s="23">
        <v>4868</v>
      </c>
      <c r="D37" s="23">
        <v>6785</v>
      </c>
      <c r="E37" s="23">
        <v>5192</v>
      </c>
      <c r="F37" s="23">
        <v>4938</v>
      </c>
      <c r="G37" s="23">
        <v>2161</v>
      </c>
      <c r="H37" s="23">
        <v>701</v>
      </c>
      <c r="I37" s="23">
        <v>1504</v>
      </c>
      <c r="J37" s="23">
        <v>2695</v>
      </c>
      <c r="K37" s="23">
        <v>1515</v>
      </c>
      <c r="L37" s="23">
        <v>3170</v>
      </c>
      <c r="M37" s="23">
        <v>3345</v>
      </c>
      <c r="N37" s="23">
        <v>5491</v>
      </c>
      <c r="O37" s="70" t="s">
        <v>109</v>
      </c>
    </row>
    <row r="38" spans="1:28" s="18" customFormat="1" ht="18" customHeight="1">
      <c r="A38" s="21" t="s">
        <v>5</v>
      </c>
      <c r="B38" s="22">
        <f t="shared" si="4"/>
        <v>112109</v>
      </c>
      <c r="C38" s="23">
        <v>7803</v>
      </c>
      <c r="D38" s="23">
        <v>8874</v>
      </c>
      <c r="E38" s="23">
        <v>10216</v>
      </c>
      <c r="F38" s="23">
        <v>11172</v>
      </c>
      <c r="G38" s="23">
        <v>8742</v>
      </c>
      <c r="H38" s="23">
        <v>6885</v>
      </c>
      <c r="I38" s="23">
        <v>6830</v>
      </c>
      <c r="J38" s="23">
        <v>6916</v>
      </c>
      <c r="K38" s="23">
        <v>8793</v>
      </c>
      <c r="L38" s="23">
        <v>15007</v>
      </c>
      <c r="M38" s="23">
        <v>11829</v>
      </c>
      <c r="N38" s="23">
        <v>9042</v>
      </c>
      <c r="O38" s="70" t="s">
        <v>199</v>
      </c>
      <c r="P38" s="15"/>
      <c r="Q38" s="15"/>
      <c r="R38" s="15"/>
      <c r="S38" s="15"/>
      <c r="T38" s="15"/>
      <c r="U38" s="15"/>
      <c r="V38" s="15"/>
    </row>
    <row r="39" spans="1:28" s="18" customFormat="1" ht="18" customHeight="1">
      <c r="A39" s="24" t="s">
        <v>150</v>
      </c>
      <c r="B39" s="22">
        <f t="shared" si="4"/>
        <v>12438</v>
      </c>
      <c r="C39" s="23">
        <v>831</v>
      </c>
      <c r="D39" s="23">
        <v>898</v>
      </c>
      <c r="E39" s="23">
        <v>809</v>
      </c>
      <c r="F39" s="23">
        <v>903</v>
      </c>
      <c r="G39" s="23">
        <v>669</v>
      </c>
      <c r="H39" s="23">
        <v>589</v>
      </c>
      <c r="I39" s="23">
        <v>1478</v>
      </c>
      <c r="J39" s="23">
        <v>2171</v>
      </c>
      <c r="K39" s="23">
        <v>1053</v>
      </c>
      <c r="L39" s="23">
        <v>980</v>
      </c>
      <c r="M39" s="23">
        <v>962</v>
      </c>
      <c r="N39" s="23">
        <v>1095</v>
      </c>
      <c r="O39" s="70" t="s">
        <v>200</v>
      </c>
    </row>
    <row r="40" spans="1:28" s="18" customFormat="1" ht="18" customHeight="1">
      <c r="A40" s="21" t="s">
        <v>7</v>
      </c>
      <c r="B40" s="22">
        <f t="shared" si="4"/>
        <v>32651</v>
      </c>
      <c r="C40" s="23">
        <v>2995</v>
      </c>
      <c r="D40" s="23">
        <v>3883</v>
      </c>
      <c r="E40" s="23">
        <v>3132</v>
      </c>
      <c r="F40" s="23">
        <v>5215</v>
      </c>
      <c r="G40" s="23">
        <v>1432</v>
      </c>
      <c r="H40" s="23">
        <v>715</v>
      </c>
      <c r="I40" s="23">
        <v>1891</v>
      </c>
      <c r="J40" s="23">
        <v>900</v>
      </c>
      <c r="K40" s="23">
        <v>1469</v>
      </c>
      <c r="L40" s="23">
        <v>4171</v>
      </c>
      <c r="M40" s="23">
        <v>3552</v>
      </c>
      <c r="N40" s="23">
        <v>3296</v>
      </c>
      <c r="O40" s="70" t="s">
        <v>201</v>
      </c>
      <c r="P40" s="15"/>
      <c r="Q40" s="15"/>
      <c r="R40" s="15"/>
      <c r="S40" s="15"/>
      <c r="T40" s="15"/>
      <c r="U40" s="15"/>
      <c r="V40" s="15"/>
      <c r="Y40" s="18" t="s">
        <v>231</v>
      </c>
    </row>
    <row r="41" spans="1:28" s="18" customFormat="1" ht="18" customHeight="1">
      <c r="A41" s="21" t="s">
        <v>47</v>
      </c>
      <c r="B41" s="22">
        <f t="shared" si="4"/>
        <v>988</v>
      </c>
      <c r="C41" s="23">
        <v>87</v>
      </c>
      <c r="D41" s="23">
        <v>102</v>
      </c>
      <c r="E41" s="23">
        <v>67</v>
      </c>
      <c r="F41" s="23">
        <v>166</v>
      </c>
      <c r="G41" s="23">
        <v>26</v>
      </c>
      <c r="H41" s="23">
        <v>30</v>
      </c>
      <c r="I41" s="23">
        <v>74</v>
      </c>
      <c r="J41" s="23">
        <v>112</v>
      </c>
      <c r="K41" s="23">
        <v>47</v>
      </c>
      <c r="L41" s="23">
        <v>84</v>
      </c>
      <c r="M41" s="23">
        <v>69</v>
      </c>
      <c r="N41" s="23">
        <v>124</v>
      </c>
      <c r="O41" s="70" t="s">
        <v>117</v>
      </c>
    </row>
    <row r="42" spans="1:28" s="18" customFormat="1" ht="23.25" customHeight="1">
      <c r="A42" s="26" t="s">
        <v>151</v>
      </c>
      <c r="B42" s="22">
        <f t="shared" si="4"/>
        <v>17680</v>
      </c>
      <c r="C42" s="25">
        <f>SUM(C43:C45)</f>
        <v>1846</v>
      </c>
      <c r="D42" s="25">
        <f t="shared" ref="D42:N42" si="11">SUM(D43:D45)</f>
        <v>911</v>
      </c>
      <c r="E42" s="25">
        <f t="shared" si="11"/>
        <v>1076</v>
      </c>
      <c r="F42" s="25">
        <f t="shared" si="11"/>
        <v>1497</v>
      </c>
      <c r="G42" s="25">
        <f t="shared" si="11"/>
        <v>1364</v>
      </c>
      <c r="H42" s="25">
        <f t="shared" si="11"/>
        <v>747</v>
      </c>
      <c r="I42" s="25">
        <f t="shared" si="11"/>
        <v>1620</v>
      </c>
      <c r="J42" s="25">
        <f t="shared" si="11"/>
        <v>2111</v>
      </c>
      <c r="K42" s="25">
        <f t="shared" si="11"/>
        <v>1932</v>
      </c>
      <c r="L42" s="25">
        <f t="shared" si="11"/>
        <v>2071</v>
      </c>
      <c r="M42" s="25">
        <f t="shared" si="11"/>
        <v>1185</v>
      </c>
      <c r="N42" s="25">
        <f t="shared" si="11"/>
        <v>1320</v>
      </c>
      <c r="O42" s="69" t="s">
        <v>202</v>
      </c>
      <c r="P42" s="15"/>
      <c r="Q42" s="15"/>
      <c r="R42" s="15"/>
      <c r="S42" s="15"/>
      <c r="T42" s="15"/>
      <c r="U42" s="15"/>
      <c r="V42" s="15"/>
    </row>
    <row r="43" spans="1:28" s="18" customFormat="1" ht="18" customHeight="1">
      <c r="A43" s="24" t="s">
        <v>152</v>
      </c>
      <c r="B43" s="22">
        <f t="shared" si="4"/>
        <v>5949</v>
      </c>
      <c r="C43" s="23">
        <v>362</v>
      </c>
      <c r="D43" s="23">
        <v>313</v>
      </c>
      <c r="E43" s="23">
        <v>290</v>
      </c>
      <c r="F43" s="23">
        <v>598</v>
      </c>
      <c r="G43" s="23">
        <v>309</v>
      </c>
      <c r="H43" s="23">
        <v>251</v>
      </c>
      <c r="I43" s="23">
        <v>488</v>
      </c>
      <c r="J43" s="23">
        <v>880</v>
      </c>
      <c r="K43" s="23">
        <v>744</v>
      </c>
      <c r="L43" s="23">
        <v>977</v>
      </c>
      <c r="M43" s="23">
        <v>274</v>
      </c>
      <c r="N43" s="23">
        <v>463</v>
      </c>
      <c r="O43" s="70" t="s">
        <v>203</v>
      </c>
    </row>
    <row r="44" spans="1:28" s="18" customFormat="1" ht="18" customHeight="1">
      <c r="A44" s="21" t="s">
        <v>153</v>
      </c>
      <c r="B44" s="22">
        <f t="shared" si="4"/>
        <v>11168</v>
      </c>
      <c r="C44" s="23">
        <v>1446</v>
      </c>
      <c r="D44" s="23">
        <v>569</v>
      </c>
      <c r="E44" s="23">
        <v>761</v>
      </c>
      <c r="F44" s="23">
        <v>835</v>
      </c>
      <c r="G44" s="23">
        <v>1046</v>
      </c>
      <c r="H44" s="23">
        <v>462</v>
      </c>
      <c r="I44" s="23">
        <v>1089</v>
      </c>
      <c r="J44" s="23">
        <v>1124</v>
      </c>
      <c r="K44" s="23">
        <v>1168</v>
      </c>
      <c r="L44" s="23">
        <v>1043</v>
      </c>
      <c r="M44" s="23">
        <v>862</v>
      </c>
      <c r="N44" s="23">
        <v>763</v>
      </c>
      <c r="O44" s="70" t="s">
        <v>204</v>
      </c>
      <c r="P44" s="15"/>
      <c r="Q44" s="15"/>
      <c r="R44" s="15"/>
      <c r="S44" s="15"/>
      <c r="T44" s="15"/>
      <c r="U44" s="15"/>
      <c r="V44" s="15"/>
    </row>
    <row r="45" spans="1:28" s="18" customFormat="1" ht="18" customHeight="1">
      <c r="A45" s="27" t="s">
        <v>47</v>
      </c>
      <c r="B45" s="28">
        <f t="shared" si="4"/>
        <v>563</v>
      </c>
      <c r="C45" s="29">
        <v>38</v>
      </c>
      <c r="D45" s="29">
        <v>29</v>
      </c>
      <c r="E45" s="29">
        <v>25</v>
      </c>
      <c r="F45" s="29">
        <v>64</v>
      </c>
      <c r="G45" s="29">
        <v>9</v>
      </c>
      <c r="H45" s="29">
        <v>34</v>
      </c>
      <c r="I45" s="29">
        <v>43</v>
      </c>
      <c r="J45" s="29">
        <v>107</v>
      </c>
      <c r="K45" s="29">
        <v>20</v>
      </c>
      <c r="L45" s="29">
        <v>51</v>
      </c>
      <c r="M45" s="29">
        <v>49</v>
      </c>
      <c r="N45" s="29">
        <v>94</v>
      </c>
      <c r="O45" s="76" t="s">
        <v>117</v>
      </c>
    </row>
    <row r="46" spans="1:28" s="18" customFormat="1" ht="23.25" customHeight="1">
      <c r="A46" s="9" t="s">
        <v>15</v>
      </c>
      <c r="B46" s="81">
        <f t="shared" si="4"/>
        <v>586791</v>
      </c>
      <c r="C46" s="81">
        <f>C47+C53+C60</f>
        <v>48579</v>
      </c>
      <c r="D46" s="81">
        <f t="shared" ref="D46:N46" si="12">D47+D53+D60</f>
        <v>43019</v>
      </c>
      <c r="E46" s="81">
        <f t="shared" si="12"/>
        <v>38122</v>
      </c>
      <c r="F46" s="81">
        <f t="shared" si="12"/>
        <v>44308</v>
      </c>
      <c r="G46" s="81">
        <f t="shared" si="12"/>
        <v>47584</v>
      </c>
      <c r="H46" s="81">
        <f t="shared" si="12"/>
        <v>45958</v>
      </c>
      <c r="I46" s="81">
        <f t="shared" si="12"/>
        <v>54520</v>
      </c>
      <c r="J46" s="81">
        <f t="shared" si="12"/>
        <v>57701</v>
      </c>
      <c r="K46" s="81">
        <f t="shared" si="12"/>
        <v>51532</v>
      </c>
      <c r="L46" s="81">
        <f t="shared" si="12"/>
        <v>54974</v>
      </c>
      <c r="M46" s="81">
        <f t="shared" si="12"/>
        <v>47363</v>
      </c>
      <c r="N46" s="81">
        <f t="shared" si="12"/>
        <v>53131</v>
      </c>
      <c r="O46" s="75" t="s">
        <v>118</v>
      </c>
      <c r="P46" s="15"/>
      <c r="Q46" s="15"/>
      <c r="R46" s="15"/>
      <c r="S46" s="15"/>
      <c r="T46" s="15"/>
      <c r="U46" s="15"/>
      <c r="V46" s="15"/>
    </row>
    <row r="47" spans="1:28" s="18" customFormat="1" ht="18" customHeight="1">
      <c r="A47" s="20" t="s">
        <v>154</v>
      </c>
      <c r="B47" s="22">
        <f t="shared" si="4"/>
        <v>392905</v>
      </c>
      <c r="C47" s="25">
        <f>SUM(C48:C52)</f>
        <v>36623</v>
      </c>
      <c r="D47" s="25">
        <f t="shared" ref="D47:N47" si="13">SUM(D48:D52)</f>
        <v>30854</v>
      </c>
      <c r="E47" s="25">
        <f t="shared" si="13"/>
        <v>25086</v>
      </c>
      <c r="F47" s="25">
        <f t="shared" si="13"/>
        <v>28600</v>
      </c>
      <c r="G47" s="25">
        <f t="shared" si="13"/>
        <v>29509</v>
      </c>
      <c r="H47" s="25">
        <f t="shared" si="13"/>
        <v>29889</v>
      </c>
      <c r="I47" s="25">
        <f t="shared" si="13"/>
        <v>40001</v>
      </c>
      <c r="J47" s="25">
        <f t="shared" si="13"/>
        <v>41056</v>
      </c>
      <c r="K47" s="25">
        <f t="shared" si="13"/>
        <v>34715</v>
      </c>
      <c r="L47" s="25">
        <f t="shared" si="13"/>
        <v>37871</v>
      </c>
      <c r="M47" s="25">
        <f t="shared" si="13"/>
        <v>30097</v>
      </c>
      <c r="N47" s="25">
        <f t="shared" si="13"/>
        <v>28604</v>
      </c>
      <c r="O47" s="71" t="s">
        <v>205</v>
      </c>
    </row>
    <row r="48" spans="1:28" s="18" customFormat="1" ht="18" customHeight="1">
      <c r="A48" s="21" t="s">
        <v>155</v>
      </c>
      <c r="B48" s="22">
        <f t="shared" si="4"/>
        <v>306530</v>
      </c>
      <c r="C48" s="23">
        <v>30669</v>
      </c>
      <c r="D48" s="23">
        <v>24263</v>
      </c>
      <c r="E48" s="23">
        <v>18203</v>
      </c>
      <c r="F48" s="23">
        <v>20975</v>
      </c>
      <c r="G48" s="23">
        <v>23225</v>
      </c>
      <c r="H48" s="23">
        <v>24160</v>
      </c>
      <c r="I48" s="23">
        <v>34276</v>
      </c>
      <c r="J48" s="23">
        <v>33743</v>
      </c>
      <c r="K48" s="23">
        <v>27214</v>
      </c>
      <c r="L48" s="23">
        <v>28689</v>
      </c>
      <c r="M48" s="23">
        <v>21195</v>
      </c>
      <c r="N48" s="23">
        <v>19918</v>
      </c>
      <c r="O48" s="70" t="s">
        <v>119</v>
      </c>
      <c r="P48" s="15"/>
      <c r="Q48" s="15"/>
      <c r="R48" s="15"/>
      <c r="S48" s="15"/>
      <c r="T48" s="15"/>
      <c r="U48" s="15"/>
      <c r="V48" s="15"/>
    </row>
    <row r="49" spans="1:22" s="18" customFormat="1" ht="18" customHeight="1">
      <c r="A49" s="21" t="s">
        <v>16</v>
      </c>
      <c r="B49" s="22">
        <f t="shared" si="4"/>
        <v>41133</v>
      </c>
      <c r="C49" s="23">
        <v>2914</v>
      </c>
      <c r="D49" s="23">
        <v>3470</v>
      </c>
      <c r="E49" s="23">
        <v>3955</v>
      </c>
      <c r="F49" s="23">
        <v>3638</v>
      </c>
      <c r="G49" s="23">
        <v>2081</v>
      </c>
      <c r="H49" s="23">
        <v>2495</v>
      </c>
      <c r="I49" s="23">
        <v>3000</v>
      </c>
      <c r="J49" s="23">
        <v>4384</v>
      </c>
      <c r="K49" s="23">
        <v>3608</v>
      </c>
      <c r="L49" s="23">
        <v>3474</v>
      </c>
      <c r="M49" s="23">
        <v>3815</v>
      </c>
      <c r="N49" s="23">
        <v>4299</v>
      </c>
      <c r="O49" s="70" t="s">
        <v>123</v>
      </c>
    </row>
    <row r="50" spans="1:22" s="18" customFormat="1" ht="18" customHeight="1">
      <c r="A50" s="21" t="s">
        <v>18</v>
      </c>
      <c r="B50" s="22">
        <f t="shared" si="4"/>
        <v>34808</v>
      </c>
      <c r="C50" s="23">
        <v>1945</v>
      </c>
      <c r="D50" s="23">
        <v>2308</v>
      </c>
      <c r="E50" s="23">
        <v>2059</v>
      </c>
      <c r="F50" s="23">
        <v>3254</v>
      </c>
      <c r="G50" s="23">
        <v>3154</v>
      </c>
      <c r="H50" s="23">
        <v>2432</v>
      </c>
      <c r="I50" s="23">
        <v>1856</v>
      </c>
      <c r="J50" s="23">
        <v>2223</v>
      </c>
      <c r="K50" s="23">
        <v>3189</v>
      </c>
      <c r="L50" s="23">
        <v>4487</v>
      </c>
      <c r="M50" s="23">
        <v>4308</v>
      </c>
      <c r="N50" s="23">
        <v>3593</v>
      </c>
      <c r="O50" s="70" t="s">
        <v>122</v>
      </c>
      <c r="P50" s="15"/>
      <c r="Q50" s="15"/>
      <c r="R50" s="15"/>
      <c r="S50" s="15"/>
      <c r="T50" s="15"/>
      <c r="U50" s="15"/>
      <c r="V50" s="15"/>
    </row>
    <row r="51" spans="1:22" s="18" customFormat="1" ht="18" customHeight="1">
      <c r="A51" s="21" t="s">
        <v>156</v>
      </c>
      <c r="B51" s="22">
        <f t="shared" si="4"/>
        <v>10326</v>
      </c>
      <c r="C51" s="23">
        <v>1068</v>
      </c>
      <c r="D51" s="23">
        <v>808</v>
      </c>
      <c r="E51" s="23">
        <v>861</v>
      </c>
      <c r="F51" s="23">
        <v>729</v>
      </c>
      <c r="G51" s="23">
        <v>1040</v>
      </c>
      <c r="H51" s="23">
        <v>802</v>
      </c>
      <c r="I51" s="23">
        <v>854</v>
      </c>
      <c r="J51" s="23">
        <v>704</v>
      </c>
      <c r="K51" s="23">
        <v>698</v>
      </c>
      <c r="L51" s="23">
        <v>1216</v>
      </c>
      <c r="M51" s="23">
        <v>769</v>
      </c>
      <c r="N51" s="23">
        <v>777</v>
      </c>
      <c r="O51" s="70" t="s">
        <v>126</v>
      </c>
    </row>
    <row r="52" spans="1:22" s="18" customFormat="1" ht="18" customHeight="1">
      <c r="A52" s="21" t="s">
        <v>47</v>
      </c>
      <c r="B52" s="22">
        <f t="shared" si="4"/>
        <v>108</v>
      </c>
      <c r="C52" s="23">
        <v>27</v>
      </c>
      <c r="D52" s="23">
        <v>5</v>
      </c>
      <c r="E52" s="23">
        <v>8</v>
      </c>
      <c r="F52" s="23">
        <v>4</v>
      </c>
      <c r="G52" s="23">
        <v>9</v>
      </c>
      <c r="H52" s="23">
        <v>0</v>
      </c>
      <c r="I52" s="23">
        <v>15</v>
      </c>
      <c r="J52" s="23">
        <v>2</v>
      </c>
      <c r="K52" s="23">
        <v>6</v>
      </c>
      <c r="L52" s="23">
        <v>5</v>
      </c>
      <c r="M52" s="23">
        <v>10</v>
      </c>
      <c r="N52" s="23">
        <v>17</v>
      </c>
      <c r="O52" s="70" t="s">
        <v>117</v>
      </c>
      <c r="P52" s="15"/>
      <c r="Q52" s="15"/>
      <c r="R52" s="15"/>
      <c r="S52" s="15"/>
      <c r="T52" s="15"/>
      <c r="U52" s="15"/>
      <c r="V52" s="15"/>
    </row>
    <row r="53" spans="1:22" s="18" customFormat="1" ht="18" customHeight="1">
      <c r="A53" s="20" t="s">
        <v>157</v>
      </c>
      <c r="B53" s="22">
        <f t="shared" si="4"/>
        <v>82162</v>
      </c>
      <c r="C53" s="25">
        <f>SUM(C54:C59)</f>
        <v>3810</v>
      </c>
      <c r="D53" s="25">
        <f t="shared" ref="D53:N53" si="14">SUM(D54:D59)</f>
        <v>4010</v>
      </c>
      <c r="E53" s="25">
        <f t="shared" si="14"/>
        <v>5598</v>
      </c>
      <c r="F53" s="25">
        <f t="shared" si="14"/>
        <v>8038</v>
      </c>
      <c r="G53" s="25">
        <f t="shared" si="14"/>
        <v>8066</v>
      </c>
      <c r="H53" s="25">
        <f t="shared" si="14"/>
        <v>7192</v>
      </c>
      <c r="I53" s="25">
        <f t="shared" si="14"/>
        <v>6332</v>
      </c>
      <c r="J53" s="25">
        <f t="shared" si="14"/>
        <v>7191</v>
      </c>
      <c r="K53" s="25">
        <f t="shared" si="14"/>
        <v>7100</v>
      </c>
      <c r="L53" s="25">
        <f t="shared" si="14"/>
        <v>7897</v>
      </c>
      <c r="M53" s="25">
        <f t="shared" si="14"/>
        <v>7903</v>
      </c>
      <c r="N53" s="25">
        <f t="shared" si="14"/>
        <v>9025</v>
      </c>
      <c r="O53" s="71" t="s">
        <v>206</v>
      </c>
    </row>
    <row r="54" spans="1:22" s="18" customFormat="1" ht="18" customHeight="1">
      <c r="A54" s="21" t="s">
        <v>158</v>
      </c>
      <c r="B54" s="22">
        <f t="shared" si="4"/>
        <v>5375</v>
      </c>
      <c r="C54" s="23">
        <v>368</v>
      </c>
      <c r="D54" s="23">
        <v>303</v>
      </c>
      <c r="E54" s="23">
        <v>366</v>
      </c>
      <c r="F54" s="23">
        <v>495</v>
      </c>
      <c r="G54" s="23">
        <v>570</v>
      </c>
      <c r="H54" s="23">
        <v>591</v>
      </c>
      <c r="I54" s="23">
        <v>449</v>
      </c>
      <c r="J54" s="23">
        <v>438</v>
      </c>
      <c r="K54" s="23">
        <v>492</v>
      </c>
      <c r="L54" s="23">
        <v>379</v>
      </c>
      <c r="M54" s="23">
        <v>425</v>
      </c>
      <c r="N54" s="23">
        <v>499</v>
      </c>
      <c r="O54" s="70" t="s">
        <v>120</v>
      </c>
      <c r="P54" s="15"/>
      <c r="Q54" s="15"/>
      <c r="R54" s="15"/>
      <c r="S54" s="15"/>
      <c r="T54" s="15"/>
      <c r="U54" s="15"/>
      <c r="V54" s="15"/>
    </row>
    <row r="55" spans="1:22" s="18" customFormat="1" ht="18" customHeight="1">
      <c r="A55" s="21" t="s">
        <v>159</v>
      </c>
      <c r="B55" s="22">
        <f t="shared" si="4"/>
        <v>19092</v>
      </c>
      <c r="C55" s="23">
        <v>1028</v>
      </c>
      <c r="D55" s="23">
        <v>999</v>
      </c>
      <c r="E55" s="23">
        <v>1489</v>
      </c>
      <c r="F55" s="23">
        <v>1943</v>
      </c>
      <c r="G55" s="23">
        <v>2097</v>
      </c>
      <c r="H55" s="23">
        <v>1677</v>
      </c>
      <c r="I55" s="23">
        <v>1282</v>
      </c>
      <c r="J55" s="23">
        <v>1717</v>
      </c>
      <c r="K55" s="23">
        <v>1262</v>
      </c>
      <c r="L55" s="23">
        <v>1655</v>
      </c>
      <c r="M55" s="23">
        <v>1712</v>
      </c>
      <c r="N55" s="23">
        <v>2231</v>
      </c>
      <c r="O55" s="70" t="s">
        <v>124</v>
      </c>
    </row>
    <row r="56" spans="1:22" s="18" customFormat="1" ht="18" customHeight="1">
      <c r="A56" s="21" t="s">
        <v>160</v>
      </c>
      <c r="B56" s="22">
        <f t="shared" si="4"/>
        <v>10532</v>
      </c>
      <c r="C56" s="23">
        <v>552</v>
      </c>
      <c r="D56" s="23">
        <v>567</v>
      </c>
      <c r="E56" s="23">
        <v>783</v>
      </c>
      <c r="F56" s="23">
        <v>1118</v>
      </c>
      <c r="G56" s="23">
        <v>1211</v>
      </c>
      <c r="H56" s="23">
        <v>1118</v>
      </c>
      <c r="I56" s="23">
        <v>876</v>
      </c>
      <c r="J56" s="23">
        <v>937</v>
      </c>
      <c r="K56" s="23">
        <v>764</v>
      </c>
      <c r="L56" s="23">
        <v>954</v>
      </c>
      <c r="M56" s="23">
        <v>963</v>
      </c>
      <c r="N56" s="23">
        <v>689</v>
      </c>
      <c r="O56" s="70" t="s">
        <v>207</v>
      </c>
      <c r="P56" s="15"/>
      <c r="Q56" s="15"/>
      <c r="R56" s="15"/>
      <c r="S56" s="15"/>
      <c r="T56" s="15"/>
      <c r="U56" s="15"/>
      <c r="V56" s="15"/>
    </row>
    <row r="57" spans="1:22" s="18" customFormat="1" ht="18" customHeight="1">
      <c r="A57" s="21" t="s">
        <v>21</v>
      </c>
      <c r="B57" s="22">
        <f t="shared" si="4"/>
        <v>14502</v>
      </c>
      <c r="C57" s="23">
        <v>893</v>
      </c>
      <c r="D57" s="23">
        <v>980</v>
      </c>
      <c r="E57" s="23">
        <v>1283</v>
      </c>
      <c r="F57" s="23">
        <v>1028</v>
      </c>
      <c r="G57" s="23">
        <v>1031</v>
      </c>
      <c r="H57" s="23">
        <v>1547</v>
      </c>
      <c r="I57" s="23">
        <v>848</v>
      </c>
      <c r="J57" s="23">
        <v>1010</v>
      </c>
      <c r="K57" s="23">
        <v>974</v>
      </c>
      <c r="L57" s="23">
        <v>1001</v>
      </c>
      <c r="M57" s="23">
        <v>1466</v>
      </c>
      <c r="N57" s="23">
        <v>2441</v>
      </c>
      <c r="O57" s="70" t="s">
        <v>208</v>
      </c>
    </row>
    <row r="58" spans="1:22" s="18" customFormat="1" ht="18" customHeight="1">
      <c r="A58" s="21" t="s">
        <v>20</v>
      </c>
      <c r="B58" s="22">
        <f t="shared" si="4"/>
        <v>26037</v>
      </c>
      <c r="C58" s="23">
        <v>538</v>
      </c>
      <c r="D58" s="23">
        <v>715</v>
      </c>
      <c r="E58" s="23">
        <v>1282</v>
      </c>
      <c r="F58" s="23">
        <v>2569</v>
      </c>
      <c r="G58" s="23">
        <v>2529</v>
      </c>
      <c r="H58" s="23">
        <v>1643</v>
      </c>
      <c r="I58" s="23">
        <v>2142</v>
      </c>
      <c r="J58" s="23">
        <v>2457</v>
      </c>
      <c r="K58" s="23">
        <v>3199</v>
      </c>
      <c r="L58" s="23">
        <v>3481</v>
      </c>
      <c r="M58" s="23">
        <v>2833</v>
      </c>
      <c r="N58" s="23">
        <v>2649</v>
      </c>
      <c r="O58" s="70" t="s">
        <v>209</v>
      </c>
      <c r="P58" s="15"/>
      <c r="Q58" s="15"/>
      <c r="R58" s="15"/>
      <c r="S58" s="15"/>
      <c r="T58" s="15"/>
      <c r="U58" s="15"/>
      <c r="V58" s="15"/>
    </row>
    <row r="59" spans="1:22" s="18" customFormat="1" ht="18" customHeight="1">
      <c r="A59" s="21" t="s">
        <v>47</v>
      </c>
      <c r="B59" s="22">
        <f t="shared" si="4"/>
        <v>6624</v>
      </c>
      <c r="C59" s="23">
        <v>431</v>
      </c>
      <c r="D59" s="23">
        <v>446</v>
      </c>
      <c r="E59" s="23">
        <v>395</v>
      </c>
      <c r="F59" s="23">
        <v>885</v>
      </c>
      <c r="G59" s="23">
        <v>628</v>
      </c>
      <c r="H59" s="23">
        <v>616</v>
      </c>
      <c r="I59" s="23">
        <v>735</v>
      </c>
      <c r="J59" s="23">
        <v>632</v>
      </c>
      <c r="K59" s="23">
        <v>409</v>
      </c>
      <c r="L59" s="23">
        <v>427</v>
      </c>
      <c r="M59" s="23">
        <v>504</v>
      </c>
      <c r="N59" s="23">
        <v>516</v>
      </c>
      <c r="O59" s="70" t="s">
        <v>117</v>
      </c>
    </row>
    <row r="60" spans="1:22" s="18" customFormat="1" ht="18" customHeight="1">
      <c r="A60" s="20" t="s">
        <v>161</v>
      </c>
      <c r="B60" s="22">
        <f t="shared" si="4"/>
        <v>111724</v>
      </c>
      <c r="C60" s="25">
        <f t="shared" ref="C60:N60" si="15">SUM(C61:C65)</f>
        <v>8146</v>
      </c>
      <c r="D60" s="25">
        <f t="shared" si="15"/>
        <v>8155</v>
      </c>
      <c r="E60" s="25">
        <f t="shared" si="15"/>
        <v>7438</v>
      </c>
      <c r="F60" s="25">
        <f t="shared" si="15"/>
        <v>7670</v>
      </c>
      <c r="G60" s="25">
        <f t="shared" si="15"/>
        <v>10009</v>
      </c>
      <c r="H60" s="25">
        <f t="shared" si="15"/>
        <v>8877</v>
      </c>
      <c r="I60" s="25">
        <f t="shared" si="15"/>
        <v>8187</v>
      </c>
      <c r="J60" s="25">
        <f t="shared" si="15"/>
        <v>9454</v>
      </c>
      <c r="K60" s="25">
        <f t="shared" si="15"/>
        <v>9717</v>
      </c>
      <c r="L60" s="25">
        <f t="shared" si="15"/>
        <v>9206</v>
      </c>
      <c r="M60" s="25">
        <f t="shared" si="15"/>
        <v>9363</v>
      </c>
      <c r="N60" s="25">
        <f t="shared" si="15"/>
        <v>15502</v>
      </c>
      <c r="O60" s="71" t="s">
        <v>210</v>
      </c>
      <c r="P60" s="15"/>
      <c r="Q60" s="15"/>
      <c r="R60" s="15"/>
      <c r="S60" s="15"/>
      <c r="T60" s="15"/>
      <c r="U60" s="15"/>
      <c r="V60" s="15"/>
    </row>
    <row r="61" spans="1:22" s="18" customFormat="1" ht="18" customHeight="1">
      <c r="A61" s="21" t="s">
        <v>162</v>
      </c>
      <c r="B61" s="22">
        <f t="shared" si="4"/>
        <v>4714</v>
      </c>
      <c r="C61" s="23">
        <v>270</v>
      </c>
      <c r="D61" s="23">
        <v>385</v>
      </c>
      <c r="E61" s="23">
        <v>363</v>
      </c>
      <c r="F61" s="23">
        <v>257</v>
      </c>
      <c r="G61" s="23">
        <v>347</v>
      </c>
      <c r="H61" s="23">
        <v>515</v>
      </c>
      <c r="I61" s="23">
        <v>379</v>
      </c>
      <c r="J61" s="23">
        <v>463</v>
      </c>
      <c r="K61" s="23">
        <v>644</v>
      </c>
      <c r="L61" s="23">
        <v>187</v>
      </c>
      <c r="M61" s="23">
        <v>361</v>
      </c>
      <c r="N61" s="23">
        <v>543</v>
      </c>
      <c r="O61" s="72" t="s">
        <v>211</v>
      </c>
    </row>
    <row r="62" spans="1:22" s="18" customFormat="1" ht="18" customHeight="1">
      <c r="A62" s="21" t="s">
        <v>17</v>
      </c>
      <c r="B62" s="22">
        <f t="shared" si="4"/>
        <v>83019</v>
      </c>
      <c r="C62" s="23">
        <v>6043</v>
      </c>
      <c r="D62" s="23">
        <v>6105</v>
      </c>
      <c r="E62" s="23">
        <v>5008</v>
      </c>
      <c r="F62" s="23">
        <v>5362</v>
      </c>
      <c r="G62" s="23">
        <v>8092</v>
      </c>
      <c r="H62" s="23">
        <v>6919</v>
      </c>
      <c r="I62" s="23">
        <v>5386</v>
      </c>
      <c r="J62" s="23">
        <v>6024</v>
      </c>
      <c r="K62" s="23">
        <v>6788</v>
      </c>
      <c r="L62" s="23">
        <v>7414</v>
      </c>
      <c r="M62" s="23">
        <v>7231</v>
      </c>
      <c r="N62" s="23">
        <v>12647</v>
      </c>
      <c r="O62" s="72" t="s">
        <v>121</v>
      </c>
      <c r="P62" s="15"/>
      <c r="Q62" s="15"/>
      <c r="R62" s="15"/>
      <c r="S62" s="15"/>
      <c r="T62" s="15"/>
      <c r="U62" s="15"/>
      <c r="V62" s="15"/>
    </row>
    <row r="63" spans="1:22" s="18" customFormat="1" ht="18" customHeight="1">
      <c r="A63" s="21" t="s">
        <v>163</v>
      </c>
      <c r="B63" s="22">
        <f t="shared" si="4"/>
        <v>6241</v>
      </c>
      <c r="C63" s="23">
        <v>563</v>
      </c>
      <c r="D63" s="23">
        <v>386</v>
      </c>
      <c r="E63" s="23">
        <v>427</v>
      </c>
      <c r="F63" s="23">
        <v>509</v>
      </c>
      <c r="G63" s="23">
        <v>400</v>
      </c>
      <c r="H63" s="23">
        <v>383</v>
      </c>
      <c r="I63" s="23">
        <v>882</v>
      </c>
      <c r="J63" s="23">
        <v>815</v>
      </c>
      <c r="K63" s="23">
        <v>543</v>
      </c>
      <c r="L63" s="23">
        <v>347</v>
      </c>
      <c r="M63" s="23">
        <v>436</v>
      </c>
      <c r="N63" s="23">
        <v>550</v>
      </c>
      <c r="O63" s="72" t="s">
        <v>125</v>
      </c>
    </row>
    <row r="64" spans="1:22" s="18" customFormat="1" ht="18" customHeight="1">
      <c r="A64" s="21" t="s">
        <v>19</v>
      </c>
      <c r="B64" s="22">
        <f t="shared" si="4"/>
        <v>14070</v>
      </c>
      <c r="C64" s="23">
        <v>1036</v>
      </c>
      <c r="D64" s="23">
        <v>1062</v>
      </c>
      <c r="E64" s="23">
        <v>851</v>
      </c>
      <c r="F64" s="23">
        <v>1363</v>
      </c>
      <c r="G64" s="23">
        <v>998</v>
      </c>
      <c r="H64" s="23">
        <v>810</v>
      </c>
      <c r="I64" s="23">
        <v>1288</v>
      </c>
      <c r="J64" s="23">
        <v>1868</v>
      </c>
      <c r="K64" s="23">
        <v>1208</v>
      </c>
      <c r="L64" s="23">
        <v>1026</v>
      </c>
      <c r="M64" s="23">
        <v>1091</v>
      </c>
      <c r="N64" s="23">
        <v>1469</v>
      </c>
      <c r="O64" s="72" t="s">
        <v>212</v>
      </c>
      <c r="P64" s="15"/>
      <c r="Q64" s="15"/>
      <c r="R64" s="15"/>
      <c r="S64" s="15"/>
      <c r="T64" s="15"/>
      <c r="U64" s="15"/>
      <c r="V64" s="15"/>
    </row>
    <row r="65" spans="1:22" s="18" customFormat="1" ht="18" customHeight="1">
      <c r="A65" s="27" t="s">
        <v>47</v>
      </c>
      <c r="B65" s="28">
        <f t="shared" si="4"/>
        <v>3680</v>
      </c>
      <c r="C65" s="29">
        <v>234</v>
      </c>
      <c r="D65" s="29">
        <v>217</v>
      </c>
      <c r="E65" s="29">
        <v>789</v>
      </c>
      <c r="F65" s="29">
        <v>179</v>
      </c>
      <c r="G65" s="29">
        <v>172</v>
      </c>
      <c r="H65" s="29">
        <v>250</v>
      </c>
      <c r="I65" s="29">
        <v>252</v>
      </c>
      <c r="J65" s="29">
        <v>284</v>
      </c>
      <c r="K65" s="29">
        <v>534</v>
      </c>
      <c r="L65" s="29">
        <v>232</v>
      </c>
      <c r="M65" s="29">
        <v>244</v>
      </c>
      <c r="N65" s="29">
        <v>293</v>
      </c>
      <c r="O65" s="76" t="s">
        <v>117</v>
      </c>
    </row>
    <row r="66" spans="1:22" s="18" customFormat="1" ht="20.25" customHeight="1">
      <c r="A66" s="9" t="s">
        <v>22</v>
      </c>
      <c r="B66" s="81">
        <f t="shared" si="4"/>
        <v>14674</v>
      </c>
      <c r="C66" s="81">
        <f t="shared" ref="C66:N66" si="16">SUM(C67:C68)</f>
        <v>877</v>
      </c>
      <c r="D66" s="81">
        <f t="shared" si="16"/>
        <v>676</v>
      </c>
      <c r="E66" s="81">
        <f t="shared" si="16"/>
        <v>1001</v>
      </c>
      <c r="F66" s="81">
        <f t="shared" si="16"/>
        <v>1452</v>
      </c>
      <c r="G66" s="81">
        <f t="shared" si="16"/>
        <v>1141</v>
      </c>
      <c r="H66" s="81">
        <f t="shared" si="16"/>
        <v>880</v>
      </c>
      <c r="I66" s="81">
        <f t="shared" si="16"/>
        <v>1710</v>
      </c>
      <c r="J66" s="81">
        <f t="shared" si="16"/>
        <v>1631</v>
      </c>
      <c r="K66" s="81">
        <f t="shared" si="16"/>
        <v>1194</v>
      </c>
      <c r="L66" s="81">
        <f t="shared" si="16"/>
        <v>1000</v>
      </c>
      <c r="M66" s="81">
        <f t="shared" si="16"/>
        <v>929</v>
      </c>
      <c r="N66" s="81">
        <f t="shared" si="16"/>
        <v>2183</v>
      </c>
      <c r="O66" s="75" t="s">
        <v>127</v>
      </c>
      <c r="P66" s="15"/>
      <c r="Q66" s="15"/>
      <c r="R66" s="15"/>
      <c r="S66" s="15"/>
      <c r="T66" s="15"/>
      <c r="U66" s="15"/>
      <c r="V66" s="15"/>
    </row>
    <row r="67" spans="1:22" s="18" customFormat="1" ht="18" customHeight="1">
      <c r="A67" s="30" t="s">
        <v>23</v>
      </c>
      <c r="B67" s="22">
        <f t="shared" si="4"/>
        <v>7050</v>
      </c>
      <c r="C67" s="23">
        <v>342</v>
      </c>
      <c r="D67" s="23">
        <v>258</v>
      </c>
      <c r="E67" s="23">
        <v>409</v>
      </c>
      <c r="F67" s="23">
        <v>749</v>
      </c>
      <c r="G67" s="23">
        <v>632</v>
      </c>
      <c r="H67" s="23">
        <v>585</v>
      </c>
      <c r="I67" s="23">
        <v>736</v>
      </c>
      <c r="J67" s="23">
        <v>565</v>
      </c>
      <c r="K67" s="23">
        <v>523</v>
      </c>
      <c r="L67" s="23">
        <v>469</v>
      </c>
      <c r="M67" s="23">
        <v>485</v>
      </c>
      <c r="N67" s="23">
        <v>1297</v>
      </c>
      <c r="O67" s="73" t="s">
        <v>213</v>
      </c>
    </row>
    <row r="68" spans="1:22" s="18" customFormat="1" ht="18" customHeight="1">
      <c r="A68" s="31" t="s">
        <v>47</v>
      </c>
      <c r="B68" s="28">
        <f t="shared" si="4"/>
        <v>7624</v>
      </c>
      <c r="C68" s="29">
        <v>535</v>
      </c>
      <c r="D68" s="29">
        <v>418</v>
      </c>
      <c r="E68" s="29">
        <v>592</v>
      </c>
      <c r="F68" s="29">
        <v>703</v>
      </c>
      <c r="G68" s="29">
        <v>509</v>
      </c>
      <c r="H68" s="29">
        <v>295</v>
      </c>
      <c r="I68" s="29">
        <v>974</v>
      </c>
      <c r="J68" s="29">
        <v>1066</v>
      </c>
      <c r="K68" s="29">
        <v>671</v>
      </c>
      <c r="L68" s="29">
        <v>531</v>
      </c>
      <c r="M68" s="29">
        <v>444</v>
      </c>
      <c r="N68" s="29">
        <v>886</v>
      </c>
      <c r="O68" s="77" t="s">
        <v>117</v>
      </c>
      <c r="P68" s="15"/>
      <c r="Q68" s="15"/>
      <c r="R68" s="15"/>
      <c r="S68" s="15"/>
      <c r="T68" s="15"/>
      <c r="U68" s="15"/>
      <c r="V68" s="15"/>
    </row>
    <row r="69" spans="1:22" s="18" customFormat="1" ht="24.75" customHeight="1">
      <c r="A69" s="9" t="s">
        <v>24</v>
      </c>
      <c r="B69" s="81">
        <f t="shared" si="4"/>
        <v>61973</v>
      </c>
      <c r="C69" s="81">
        <f t="shared" ref="C69:N69" si="17">SUM(C70:C73)</f>
        <v>5474</v>
      </c>
      <c r="D69" s="81">
        <f t="shared" si="17"/>
        <v>4574</v>
      </c>
      <c r="E69" s="81">
        <f t="shared" si="17"/>
        <v>5440</v>
      </c>
      <c r="F69" s="81">
        <f t="shared" si="17"/>
        <v>5294</v>
      </c>
      <c r="G69" s="81">
        <f t="shared" si="17"/>
        <v>4214</v>
      </c>
      <c r="H69" s="81">
        <f t="shared" si="17"/>
        <v>4104</v>
      </c>
      <c r="I69" s="81">
        <f t="shared" si="17"/>
        <v>5083</v>
      </c>
      <c r="J69" s="81">
        <f t="shared" si="17"/>
        <v>4739</v>
      </c>
      <c r="K69" s="81">
        <f t="shared" si="17"/>
        <v>4633</v>
      </c>
      <c r="L69" s="81">
        <f t="shared" si="17"/>
        <v>5008</v>
      </c>
      <c r="M69" s="81">
        <f t="shared" si="17"/>
        <v>6269</v>
      </c>
      <c r="N69" s="81">
        <f t="shared" si="17"/>
        <v>7141</v>
      </c>
      <c r="O69" s="75" t="s">
        <v>169</v>
      </c>
    </row>
    <row r="70" spans="1:22" s="18" customFormat="1" ht="18" customHeight="1">
      <c r="A70" s="30" t="s">
        <v>164</v>
      </c>
      <c r="B70" s="22">
        <f t="shared" si="4"/>
        <v>7064</v>
      </c>
      <c r="C70" s="23">
        <v>483</v>
      </c>
      <c r="D70" s="23">
        <v>421</v>
      </c>
      <c r="E70" s="23">
        <v>557</v>
      </c>
      <c r="F70" s="23">
        <v>596</v>
      </c>
      <c r="G70" s="23">
        <v>564</v>
      </c>
      <c r="H70" s="23">
        <v>442</v>
      </c>
      <c r="I70" s="23">
        <v>595</v>
      </c>
      <c r="J70" s="23">
        <v>466</v>
      </c>
      <c r="K70" s="23">
        <v>672</v>
      </c>
      <c r="L70" s="23">
        <v>725</v>
      </c>
      <c r="M70" s="23">
        <v>823</v>
      </c>
      <c r="N70" s="23">
        <v>720</v>
      </c>
      <c r="O70" s="73" t="s">
        <v>214</v>
      </c>
      <c r="P70" s="15"/>
      <c r="Q70" s="15"/>
      <c r="R70" s="15"/>
      <c r="S70" s="15"/>
      <c r="T70" s="15"/>
      <c r="U70" s="15"/>
      <c r="V70" s="15"/>
    </row>
    <row r="71" spans="1:22" s="18" customFormat="1" ht="18" customHeight="1">
      <c r="A71" s="30" t="s">
        <v>25</v>
      </c>
      <c r="B71" s="22">
        <f t="shared" si="4"/>
        <v>8994</v>
      </c>
      <c r="C71" s="23">
        <v>882</v>
      </c>
      <c r="D71" s="23">
        <v>746</v>
      </c>
      <c r="E71" s="23">
        <v>913</v>
      </c>
      <c r="F71" s="23">
        <v>784</v>
      </c>
      <c r="G71" s="23">
        <v>506</v>
      </c>
      <c r="H71" s="23">
        <v>486</v>
      </c>
      <c r="I71" s="23">
        <v>675</v>
      </c>
      <c r="J71" s="23">
        <v>751</v>
      </c>
      <c r="K71" s="23">
        <v>610</v>
      </c>
      <c r="L71" s="23">
        <v>670</v>
      </c>
      <c r="M71" s="23">
        <v>872</v>
      </c>
      <c r="N71" s="23">
        <v>1099</v>
      </c>
      <c r="O71" s="73" t="s">
        <v>128</v>
      </c>
    </row>
    <row r="72" spans="1:22" s="18" customFormat="1" ht="18" customHeight="1">
      <c r="A72" s="30" t="s">
        <v>165</v>
      </c>
      <c r="B72" s="22">
        <f t="shared" si="4"/>
        <v>39180</v>
      </c>
      <c r="C72" s="23">
        <v>3499</v>
      </c>
      <c r="D72" s="23">
        <v>2867</v>
      </c>
      <c r="E72" s="23">
        <v>3302</v>
      </c>
      <c r="F72" s="23">
        <v>3187</v>
      </c>
      <c r="G72" s="23">
        <v>2658</v>
      </c>
      <c r="H72" s="23">
        <v>2754</v>
      </c>
      <c r="I72" s="23">
        <v>3334</v>
      </c>
      <c r="J72" s="23">
        <v>3062</v>
      </c>
      <c r="K72" s="23">
        <v>2744</v>
      </c>
      <c r="L72" s="23">
        <v>3043</v>
      </c>
      <c r="M72" s="23">
        <v>3961</v>
      </c>
      <c r="N72" s="23">
        <v>4769</v>
      </c>
      <c r="O72" s="73" t="s">
        <v>215</v>
      </c>
      <c r="P72" s="15"/>
      <c r="Q72" s="15"/>
      <c r="R72" s="15"/>
      <c r="S72" s="15"/>
      <c r="T72" s="15"/>
      <c r="U72" s="15"/>
      <c r="V72" s="15"/>
    </row>
    <row r="73" spans="1:22" s="18" customFormat="1" ht="18" customHeight="1">
      <c r="A73" s="31" t="s">
        <v>47</v>
      </c>
      <c r="B73" s="28">
        <f t="shared" si="4"/>
        <v>6735</v>
      </c>
      <c r="C73" s="29">
        <v>610</v>
      </c>
      <c r="D73" s="29">
        <v>540</v>
      </c>
      <c r="E73" s="29">
        <v>668</v>
      </c>
      <c r="F73" s="29">
        <v>727</v>
      </c>
      <c r="G73" s="29">
        <v>486</v>
      </c>
      <c r="H73" s="29">
        <v>422</v>
      </c>
      <c r="I73" s="29">
        <v>479</v>
      </c>
      <c r="J73" s="29">
        <v>460</v>
      </c>
      <c r="K73" s="29">
        <v>607</v>
      </c>
      <c r="L73" s="29">
        <v>570</v>
      </c>
      <c r="M73" s="29">
        <v>613</v>
      </c>
      <c r="N73" s="29">
        <v>553</v>
      </c>
      <c r="O73" s="77" t="s">
        <v>117</v>
      </c>
    </row>
    <row r="74" spans="1:22" s="18" customFormat="1" ht="22.5" customHeight="1">
      <c r="A74" s="9" t="s">
        <v>26</v>
      </c>
      <c r="B74" s="81">
        <f t="shared" ref="B74:B82" si="18">SUM(C74:N74)</f>
        <v>30332</v>
      </c>
      <c r="C74" s="81">
        <f>SUM(C75:C77)</f>
        <v>2371</v>
      </c>
      <c r="D74" s="81">
        <f t="shared" ref="D74:N74" si="19">SUM(D75:D77)</f>
        <v>1657</v>
      </c>
      <c r="E74" s="81">
        <f t="shared" si="19"/>
        <v>2180</v>
      </c>
      <c r="F74" s="81">
        <f t="shared" si="19"/>
        <v>2924</v>
      </c>
      <c r="G74" s="81">
        <f t="shared" si="19"/>
        <v>2080</v>
      </c>
      <c r="H74" s="81">
        <f t="shared" si="19"/>
        <v>2479</v>
      </c>
      <c r="I74" s="81">
        <f t="shared" si="19"/>
        <v>3057</v>
      </c>
      <c r="J74" s="81">
        <f t="shared" si="19"/>
        <v>2199</v>
      </c>
      <c r="K74" s="81">
        <f t="shared" si="19"/>
        <v>3153</v>
      </c>
      <c r="L74" s="81">
        <f t="shared" si="19"/>
        <v>2684</v>
      </c>
      <c r="M74" s="81">
        <f t="shared" si="19"/>
        <v>2703</v>
      </c>
      <c r="N74" s="81">
        <f t="shared" si="19"/>
        <v>2845</v>
      </c>
      <c r="O74" s="75" t="s">
        <v>216</v>
      </c>
      <c r="P74" s="15"/>
      <c r="Q74" s="15"/>
      <c r="R74" s="15"/>
      <c r="S74" s="15"/>
      <c r="T74" s="15"/>
      <c r="U74" s="15"/>
      <c r="V74" s="15"/>
    </row>
    <row r="75" spans="1:22" s="18" customFormat="1" ht="18" customHeight="1">
      <c r="A75" s="30" t="s">
        <v>27</v>
      </c>
      <c r="B75" s="81">
        <f t="shared" si="18"/>
        <v>27360</v>
      </c>
      <c r="C75" s="23">
        <v>2186</v>
      </c>
      <c r="D75" s="23">
        <v>1476</v>
      </c>
      <c r="E75" s="23">
        <v>2003</v>
      </c>
      <c r="F75" s="23">
        <v>2625</v>
      </c>
      <c r="G75" s="23">
        <v>1822</v>
      </c>
      <c r="H75" s="23">
        <v>2236</v>
      </c>
      <c r="I75" s="23">
        <v>2731</v>
      </c>
      <c r="J75" s="23">
        <v>1947</v>
      </c>
      <c r="K75" s="23">
        <v>2894</v>
      </c>
      <c r="L75" s="23">
        <v>2372</v>
      </c>
      <c r="M75" s="23">
        <v>2493</v>
      </c>
      <c r="N75" s="23">
        <v>2575</v>
      </c>
      <c r="O75" s="73" t="s">
        <v>129</v>
      </c>
    </row>
    <row r="76" spans="1:22" s="18" customFormat="1" ht="18" customHeight="1">
      <c r="A76" s="30" t="s">
        <v>166</v>
      </c>
      <c r="B76" s="81">
        <f t="shared" si="18"/>
        <v>2877</v>
      </c>
      <c r="C76" s="23">
        <v>180</v>
      </c>
      <c r="D76" s="23">
        <v>181</v>
      </c>
      <c r="E76" s="23">
        <v>171</v>
      </c>
      <c r="F76" s="23">
        <v>295</v>
      </c>
      <c r="G76" s="23">
        <v>254</v>
      </c>
      <c r="H76" s="23">
        <v>239</v>
      </c>
      <c r="I76" s="23">
        <v>324</v>
      </c>
      <c r="J76" s="23">
        <v>249</v>
      </c>
      <c r="K76" s="23">
        <v>257</v>
      </c>
      <c r="L76" s="23">
        <v>287</v>
      </c>
      <c r="M76" s="23">
        <v>203</v>
      </c>
      <c r="N76" s="23">
        <v>237</v>
      </c>
      <c r="O76" s="73" t="s">
        <v>217</v>
      </c>
      <c r="P76" s="15"/>
      <c r="Q76" s="15"/>
      <c r="R76" s="15"/>
      <c r="S76" s="15"/>
      <c r="T76" s="15"/>
      <c r="U76" s="15"/>
      <c r="V76" s="15"/>
    </row>
    <row r="77" spans="1:22" s="18" customFormat="1" ht="18" customHeight="1">
      <c r="A77" s="31" t="s">
        <v>47</v>
      </c>
      <c r="B77" s="82">
        <f t="shared" si="18"/>
        <v>95</v>
      </c>
      <c r="C77" s="29">
        <v>5</v>
      </c>
      <c r="D77" s="29">
        <v>0</v>
      </c>
      <c r="E77" s="29">
        <v>6</v>
      </c>
      <c r="F77" s="29">
        <v>4</v>
      </c>
      <c r="G77" s="29">
        <v>4</v>
      </c>
      <c r="H77" s="29">
        <v>4</v>
      </c>
      <c r="I77" s="29">
        <v>2</v>
      </c>
      <c r="J77" s="29">
        <v>3</v>
      </c>
      <c r="K77" s="29">
        <v>2</v>
      </c>
      <c r="L77" s="29">
        <v>25</v>
      </c>
      <c r="M77" s="29">
        <v>7</v>
      </c>
      <c r="N77" s="29">
        <v>33</v>
      </c>
      <c r="O77" s="77" t="s">
        <v>117</v>
      </c>
    </row>
    <row r="78" spans="1:22" s="18" customFormat="1" ht="18.75" customHeight="1">
      <c r="A78" s="9" t="s">
        <v>42</v>
      </c>
      <c r="B78" s="81">
        <f t="shared" si="18"/>
        <v>49193</v>
      </c>
      <c r="C78" s="81">
        <f>SUM(C79:C83)</f>
        <v>3969</v>
      </c>
      <c r="D78" s="81">
        <f t="shared" ref="D78:N78" si="20">SUM(D79:D83)</f>
        <v>3381</v>
      </c>
      <c r="E78" s="81">
        <f t="shared" si="20"/>
        <v>3976</v>
      </c>
      <c r="F78" s="81">
        <f t="shared" si="20"/>
        <v>4231</v>
      </c>
      <c r="G78" s="81">
        <f t="shared" si="20"/>
        <v>2725</v>
      </c>
      <c r="H78" s="81">
        <f t="shared" si="20"/>
        <v>2603</v>
      </c>
      <c r="I78" s="81">
        <f t="shared" si="20"/>
        <v>6593</v>
      </c>
      <c r="J78" s="81">
        <f t="shared" si="20"/>
        <v>7547</v>
      </c>
      <c r="K78" s="81">
        <f t="shared" si="20"/>
        <v>5429</v>
      </c>
      <c r="L78" s="81">
        <f t="shared" si="20"/>
        <v>2286</v>
      </c>
      <c r="M78" s="81">
        <f t="shared" si="20"/>
        <v>3055</v>
      </c>
      <c r="N78" s="81">
        <f t="shared" si="20"/>
        <v>3398</v>
      </c>
      <c r="O78" s="75" t="s">
        <v>218</v>
      </c>
      <c r="P78" s="15"/>
      <c r="Q78" s="15"/>
      <c r="R78" s="15"/>
      <c r="S78" s="15"/>
      <c r="T78" s="15"/>
      <c r="U78" s="15"/>
      <c r="V78" s="15"/>
    </row>
    <row r="79" spans="1:22" s="18" customFormat="1" ht="19.5" customHeight="1">
      <c r="A79" s="30" t="s">
        <v>43</v>
      </c>
      <c r="B79" s="22">
        <f t="shared" si="18"/>
        <v>4576</v>
      </c>
      <c r="C79" s="23">
        <v>472</v>
      </c>
      <c r="D79" s="23">
        <v>620</v>
      </c>
      <c r="E79" s="23">
        <v>435</v>
      </c>
      <c r="F79" s="23">
        <v>533</v>
      </c>
      <c r="G79" s="23">
        <v>284</v>
      </c>
      <c r="H79" s="23">
        <v>230</v>
      </c>
      <c r="I79" s="23">
        <v>380</v>
      </c>
      <c r="J79" s="23">
        <v>512</v>
      </c>
      <c r="K79" s="23">
        <v>264</v>
      </c>
      <c r="L79" s="23">
        <v>176</v>
      </c>
      <c r="M79" s="23">
        <v>217</v>
      </c>
      <c r="N79" s="23">
        <v>453</v>
      </c>
      <c r="O79" s="73" t="s">
        <v>130</v>
      </c>
    </row>
    <row r="80" spans="1:22" s="18" customFormat="1" ht="18" customHeight="1">
      <c r="A80" s="30" t="s">
        <v>44</v>
      </c>
      <c r="B80" s="22">
        <f t="shared" si="18"/>
        <v>2444</v>
      </c>
      <c r="C80" s="23">
        <v>135</v>
      </c>
      <c r="D80" s="23">
        <v>176</v>
      </c>
      <c r="E80" s="23">
        <v>201</v>
      </c>
      <c r="F80" s="23">
        <v>306</v>
      </c>
      <c r="G80" s="23">
        <v>183</v>
      </c>
      <c r="H80" s="23">
        <v>161</v>
      </c>
      <c r="I80" s="23">
        <v>249</v>
      </c>
      <c r="J80" s="23">
        <v>304</v>
      </c>
      <c r="K80" s="23">
        <v>210</v>
      </c>
      <c r="L80" s="23">
        <v>130</v>
      </c>
      <c r="M80" s="23">
        <v>195</v>
      </c>
      <c r="N80" s="23">
        <v>194</v>
      </c>
      <c r="O80" s="73" t="s">
        <v>219</v>
      </c>
      <c r="P80" s="15"/>
      <c r="Q80" s="15"/>
      <c r="R80" s="15"/>
      <c r="S80" s="15"/>
      <c r="T80" s="15"/>
      <c r="U80" s="15"/>
      <c r="V80" s="15"/>
    </row>
    <row r="81" spans="1:22" s="18" customFormat="1" ht="18" customHeight="1">
      <c r="A81" s="30" t="s">
        <v>45</v>
      </c>
      <c r="B81" s="22">
        <f t="shared" si="18"/>
        <v>19546</v>
      </c>
      <c r="C81" s="23">
        <v>1983</v>
      </c>
      <c r="D81" s="23">
        <v>1403</v>
      </c>
      <c r="E81" s="23">
        <v>1533</v>
      </c>
      <c r="F81" s="23">
        <v>1482</v>
      </c>
      <c r="G81" s="23">
        <v>754</v>
      </c>
      <c r="H81" s="23">
        <v>580</v>
      </c>
      <c r="I81" s="23">
        <v>3196</v>
      </c>
      <c r="J81" s="23">
        <v>3348</v>
      </c>
      <c r="K81" s="23">
        <v>2304</v>
      </c>
      <c r="L81" s="23">
        <v>875</v>
      </c>
      <c r="M81" s="23">
        <v>1056</v>
      </c>
      <c r="N81" s="23">
        <v>1032</v>
      </c>
      <c r="O81" s="73" t="s">
        <v>220</v>
      </c>
    </row>
    <row r="82" spans="1:22" s="18" customFormat="1" ht="18" customHeight="1">
      <c r="A82" s="30" t="s">
        <v>46</v>
      </c>
      <c r="B82" s="22">
        <f t="shared" si="18"/>
        <v>10485</v>
      </c>
      <c r="C82" s="23">
        <v>381</v>
      </c>
      <c r="D82" s="23">
        <v>374</v>
      </c>
      <c r="E82" s="23">
        <v>880</v>
      </c>
      <c r="F82" s="23">
        <v>809</v>
      </c>
      <c r="G82" s="23">
        <v>753</v>
      </c>
      <c r="H82" s="23">
        <v>921</v>
      </c>
      <c r="I82" s="23">
        <v>1454</v>
      </c>
      <c r="J82" s="23">
        <v>1762</v>
      </c>
      <c r="K82" s="23">
        <v>1109</v>
      </c>
      <c r="L82" s="23">
        <v>484</v>
      </c>
      <c r="M82" s="23">
        <v>801</v>
      </c>
      <c r="N82" s="23">
        <v>757</v>
      </c>
      <c r="O82" s="73" t="s">
        <v>221</v>
      </c>
      <c r="P82" s="15"/>
      <c r="Q82" s="15"/>
      <c r="R82" s="15"/>
      <c r="S82" s="15"/>
      <c r="T82" s="15"/>
      <c r="U82" s="15"/>
      <c r="V82" s="15"/>
    </row>
    <row r="83" spans="1:22" s="18" customFormat="1" ht="18" customHeight="1">
      <c r="A83" s="31" t="s">
        <v>47</v>
      </c>
      <c r="B83" s="28">
        <f>SUM(C83:N83)</f>
        <v>12142</v>
      </c>
      <c r="C83" s="29">
        <v>998</v>
      </c>
      <c r="D83" s="29">
        <v>808</v>
      </c>
      <c r="E83" s="29">
        <v>927</v>
      </c>
      <c r="F83" s="29">
        <v>1101</v>
      </c>
      <c r="G83" s="29">
        <v>751</v>
      </c>
      <c r="H83" s="29">
        <v>711</v>
      </c>
      <c r="I83" s="29">
        <v>1314</v>
      </c>
      <c r="J83" s="29">
        <v>1621</v>
      </c>
      <c r="K83" s="29">
        <v>1542</v>
      </c>
      <c r="L83" s="29">
        <v>621</v>
      </c>
      <c r="M83" s="29">
        <v>786</v>
      </c>
      <c r="N83" s="29">
        <v>962</v>
      </c>
      <c r="O83" s="73" t="s">
        <v>117</v>
      </c>
    </row>
    <row r="84" spans="1:22" s="18" customFormat="1" ht="18" customHeight="1">
      <c r="A84" s="9" t="s">
        <v>224</v>
      </c>
      <c r="B84" s="81">
        <f t="shared" ref="B84:B85" si="21">SUM(C84:N84)</f>
        <v>95</v>
      </c>
      <c r="C84" s="78">
        <v>19</v>
      </c>
      <c r="D84" s="78">
        <v>6</v>
      </c>
      <c r="E84" s="78">
        <v>5</v>
      </c>
      <c r="F84" s="78">
        <v>8</v>
      </c>
      <c r="G84" s="78">
        <v>2</v>
      </c>
      <c r="H84" s="78">
        <v>2</v>
      </c>
      <c r="I84" s="78">
        <v>4</v>
      </c>
      <c r="J84" s="78">
        <v>19</v>
      </c>
      <c r="K84" s="23">
        <v>14</v>
      </c>
      <c r="L84" s="23">
        <v>4</v>
      </c>
      <c r="M84" s="23">
        <v>5</v>
      </c>
      <c r="N84" s="23">
        <v>7</v>
      </c>
      <c r="O84" s="66" t="s">
        <v>226</v>
      </c>
    </row>
    <row r="85" spans="1:22" s="18" customFormat="1" ht="18" customHeight="1">
      <c r="A85" s="13" t="s">
        <v>225</v>
      </c>
      <c r="B85" s="82">
        <f t="shared" si="21"/>
        <v>141</v>
      </c>
      <c r="C85" s="79">
        <v>17</v>
      </c>
      <c r="D85" s="79">
        <v>9</v>
      </c>
      <c r="E85" s="79">
        <v>14</v>
      </c>
      <c r="F85" s="79">
        <v>15</v>
      </c>
      <c r="G85" s="79">
        <v>6</v>
      </c>
      <c r="H85" s="79">
        <v>2</v>
      </c>
      <c r="I85" s="79">
        <v>16</v>
      </c>
      <c r="J85" s="79">
        <v>9</v>
      </c>
      <c r="K85" s="29">
        <v>15</v>
      </c>
      <c r="L85" s="29">
        <v>12</v>
      </c>
      <c r="M85" s="29">
        <v>12</v>
      </c>
      <c r="N85" s="29">
        <v>14</v>
      </c>
      <c r="O85" s="77" t="s">
        <v>117</v>
      </c>
    </row>
    <row r="86" spans="1:22" s="18" customFormat="1" ht="17.25" customHeight="1">
      <c r="A86" s="32" t="s">
        <v>227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63"/>
      <c r="N86" s="63"/>
      <c r="O86" s="7" t="s">
        <v>228</v>
      </c>
      <c r="P86" s="15"/>
      <c r="Q86" s="15"/>
      <c r="R86" s="15"/>
      <c r="S86" s="15"/>
      <c r="T86" s="15"/>
      <c r="U86" s="15"/>
      <c r="V86" s="15"/>
    </row>
    <row r="87" spans="1:22" s="18" customFormat="1" ht="17.25" customHeight="1">
      <c r="A87" s="85" t="s">
        <v>230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O87" s="80" t="s">
        <v>229</v>
      </c>
    </row>
    <row r="88" spans="1:22" ht="12.75" customHeight="1"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</row>
    <row r="89" spans="1:22" ht="12.75" customHeight="1"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</row>
    <row r="90" spans="1:22"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</row>
  </sheetData>
  <mergeCells count="2">
    <mergeCell ref="A2:O2"/>
    <mergeCell ref="A1:O1"/>
  </mergeCells>
  <printOptions horizontalCentered="1"/>
  <pageMargins left="0.17" right="0.16" top="0.59" bottom="0.511811023622047" header="0.196850393700787" footer="0.196850393700787"/>
  <pageSetup paperSize="9" scale="55" orientation="portrait" horizontalDpi="4294967295" verticalDpi="4294967295" r:id="rId1"/>
  <headerFooter alignWithMargins="0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 figures workings</vt:lpstr>
      <vt:lpstr>10.13</vt:lpstr>
      <vt:lpstr>'10.13'!Print_Area</vt:lpstr>
      <vt:lpstr>'10.13'!Print_Titles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2018-10-07T08:57:15Z</cp:lastPrinted>
  <dcterms:created xsi:type="dcterms:W3CDTF">2007-02-07T06:41:32Z</dcterms:created>
  <dcterms:modified xsi:type="dcterms:W3CDTF">2018-10-07T08:57:46Z</dcterms:modified>
</cp:coreProperties>
</file>