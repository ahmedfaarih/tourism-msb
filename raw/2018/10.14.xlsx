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14" sheetId="43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_xlnm._FilterDatabase" localSheetId="1" hidden="1">'10.14'!$A$5:$T$161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'10.14'!$A$1:$Q$161</definedName>
    <definedName name="Print_Area_MI">#REF!</definedName>
    <definedName name="_xlnm.Print_Titles" localSheetId="1">'10.14'!$4:$5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P7" i="43" l="1"/>
  <c r="P11" i="43"/>
  <c r="P21" i="43"/>
  <c r="P14" i="43"/>
  <c r="P28" i="43"/>
  <c r="P42" i="43"/>
  <c r="P51" i="43"/>
  <c r="P97" i="43"/>
  <c r="P111" i="43"/>
  <c r="P132" i="43"/>
  <c r="P137" i="43"/>
  <c r="P144" i="43"/>
  <c r="P146" i="43"/>
  <c r="P148" i="43"/>
  <c r="P153" i="43"/>
  <c r="P157" i="43"/>
  <c r="N170" i="43" l="1"/>
  <c r="P135" i="43" l="1"/>
  <c r="P129" i="43"/>
  <c r="P6" i="43" s="1"/>
  <c r="Q40" i="43" l="1"/>
  <c r="Q120" i="43"/>
  <c r="Q25" i="43"/>
  <c r="Q23" i="43"/>
  <c r="Q91" i="43"/>
  <c r="Q26" i="43"/>
  <c r="Q13" i="43"/>
  <c r="Q24" i="43"/>
  <c r="Q75" i="43"/>
  <c r="Q12" i="43"/>
  <c r="Q119" i="43"/>
  <c r="Q45" i="43"/>
  <c r="Q140" i="43"/>
  <c r="Q19" i="43"/>
  <c r="Q112" i="43"/>
  <c r="Q118" i="43"/>
  <c r="Q122" i="43"/>
  <c r="Q125" i="43"/>
  <c r="Q113" i="43"/>
  <c r="Q117" i="43"/>
  <c r="Q114" i="43"/>
  <c r="Q116" i="43"/>
  <c r="Q124" i="43"/>
  <c r="Q115" i="43"/>
  <c r="Q123" i="43"/>
  <c r="Q6" i="43"/>
  <c r="Q157" i="43"/>
  <c r="Q153" i="43"/>
  <c r="Q149" i="43"/>
  <c r="Q145" i="43"/>
  <c r="Q141" i="43"/>
  <c r="Q136" i="43"/>
  <c r="Q132" i="43"/>
  <c r="Q121" i="43"/>
  <c r="Q108" i="43"/>
  <c r="Q104" i="43"/>
  <c r="Q101" i="43"/>
  <c r="Q53" i="43"/>
  <c r="Q92" i="43"/>
  <c r="Q83" i="43"/>
  <c r="Q82" i="43"/>
  <c r="Q65" i="43"/>
  <c r="Q84" i="43"/>
  <c r="Q90" i="43"/>
  <c r="Q70" i="43"/>
  <c r="Q67" i="43"/>
  <c r="Q59" i="43"/>
  <c r="Q55" i="43"/>
  <c r="Q50" i="43"/>
  <c r="Q46" i="43"/>
  <c r="Q41" i="43"/>
  <c r="Q36" i="43"/>
  <c r="Q32" i="43"/>
  <c r="Q28" i="43"/>
  <c r="Q21" i="43"/>
  <c r="Q16" i="43"/>
  <c r="Q11" i="43"/>
  <c r="Q80" i="43"/>
  <c r="Q156" i="43"/>
  <c r="Q152" i="43"/>
  <c r="Q148" i="43"/>
  <c r="Q144" i="43"/>
  <c r="Q139" i="43"/>
  <c r="Q135" i="43"/>
  <c r="Q131" i="43"/>
  <c r="Q128" i="43"/>
  <c r="Q111" i="43"/>
  <c r="Q107" i="43"/>
  <c r="Q103" i="43"/>
  <c r="Q100" i="43"/>
  <c r="Q94" i="43"/>
  <c r="Q87" i="43"/>
  <c r="Q81" i="43"/>
  <c r="Q76" i="43"/>
  <c r="Q62" i="43"/>
  <c r="Q73" i="43"/>
  <c r="Q69" i="43"/>
  <c r="Q66" i="43"/>
  <c r="Q58" i="43"/>
  <c r="Q54" i="43"/>
  <c r="Q49" i="43"/>
  <c r="Q44" i="43"/>
  <c r="Q39" i="43"/>
  <c r="Q35" i="43"/>
  <c r="Q31" i="43"/>
  <c r="Q27" i="43"/>
  <c r="Q20" i="43"/>
  <c r="Q15" i="43"/>
  <c r="Q10" i="43"/>
  <c r="Q159" i="43"/>
  <c r="Q155" i="43"/>
  <c r="Q151" i="43"/>
  <c r="Q147" i="43"/>
  <c r="Q143" i="43"/>
  <c r="Q138" i="43"/>
  <c r="Q134" i="43"/>
  <c r="Q130" i="43"/>
  <c r="Q127" i="43"/>
  <c r="Q110" i="43"/>
  <c r="Q106" i="43"/>
  <c r="Q102" i="43"/>
  <c r="Q98" i="43"/>
  <c r="Q93" i="43"/>
  <c r="Q89" i="43"/>
  <c r="Q86" i="43"/>
  <c r="Q95" i="43"/>
  <c r="Q78" i="43"/>
  <c r="Q64" i="43"/>
  <c r="Q72" i="43"/>
  <c r="Q63" i="43"/>
  <c r="Q61" i="43"/>
  <c r="Q57" i="43"/>
  <c r="Q52" i="43"/>
  <c r="Q48" i="43"/>
  <c r="Q43" i="43"/>
  <c r="Q38" i="43"/>
  <c r="Q34" i="43"/>
  <c r="Q30" i="43"/>
  <c r="Q18" i="43"/>
  <c r="Q14" i="43"/>
  <c r="Q9" i="43"/>
  <c r="Q158" i="43"/>
  <c r="Q154" i="43"/>
  <c r="Q150" i="43"/>
  <c r="Q146" i="43"/>
  <c r="Q142" i="43"/>
  <c r="Q137" i="43"/>
  <c r="Q133" i="43"/>
  <c r="Q129" i="43"/>
  <c r="Q126" i="43"/>
  <c r="Q109" i="43"/>
  <c r="Q105" i="43"/>
  <c r="Q99" i="43"/>
  <c r="Q97" i="43"/>
  <c r="Q96" i="43"/>
  <c r="Q88" i="43"/>
  <c r="Q85" i="43"/>
  <c r="Q79" i="43"/>
  <c r="Q77" i="43"/>
  <c r="Q74" i="43"/>
  <c r="Q71" i="43"/>
  <c r="Q68" i="43"/>
  <c r="Q60" i="43"/>
  <c r="Q56" i="43"/>
  <c r="Q51" i="43"/>
  <c r="Q47" i="43"/>
  <c r="Q42" i="43"/>
  <c r="Q37" i="43"/>
  <c r="Q33" i="43"/>
  <c r="Q29" i="43"/>
  <c r="Q22" i="43"/>
  <c r="Q17" i="43"/>
  <c r="Q8" i="43"/>
  <c r="Q7" i="43"/>
  <c r="O111" i="43" l="1"/>
  <c r="O97" i="43"/>
  <c r="O157" i="43" l="1"/>
  <c r="O153" i="43"/>
  <c r="O148" i="43"/>
  <c r="O146" i="43"/>
  <c r="O144" i="43"/>
  <c r="O137" i="43"/>
  <c r="O135" i="43"/>
  <c r="O132" i="43"/>
  <c r="O129" i="43"/>
  <c r="O51" i="43"/>
  <c r="O42" i="43"/>
  <c r="O28" i="43"/>
  <c r="O21" i="43"/>
  <c r="O14" i="43"/>
  <c r="O11" i="43"/>
  <c r="O7" i="43"/>
  <c r="O6" i="43" l="1"/>
  <c r="N157" i="43"/>
  <c r="M157" i="43"/>
  <c r="L157" i="43"/>
  <c r="K157" i="43"/>
  <c r="J157" i="43"/>
  <c r="I157" i="43"/>
  <c r="H157" i="43"/>
  <c r="G157" i="43"/>
  <c r="F157" i="43"/>
  <c r="N153" i="43"/>
  <c r="M153" i="43"/>
  <c r="L153" i="43"/>
  <c r="K153" i="43"/>
  <c r="J153" i="43"/>
  <c r="N148" i="43"/>
  <c r="M148" i="43"/>
  <c r="L148" i="43"/>
  <c r="K148" i="43"/>
  <c r="J148" i="43"/>
  <c r="I148" i="43"/>
  <c r="H148" i="43"/>
  <c r="N146" i="43"/>
  <c r="M146" i="43"/>
  <c r="L146" i="43"/>
  <c r="K146" i="43"/>
  <c r="J146" i="43"/>
  <c r="N144" i="43"/>
  <c r="M144" i="43"/>
  <c r="L144" i="43"/>
  <c r="N137" i="43"/>
  <c r="M137" i="43"/>
  <c r="L137" i="43"/>
  <c r="K137" i="43"/>
  <c r="J137" i="43"/>
  <c r="I137" i="43"/>
  <c r="H137" i="43"/>
  <c r="G137" i="43"/>
  <c r="F137" i="43"/>
  <c r="N135" i="43"/>
  <c r="M135" i="43"/>
  <c r="L135" i="43"/>
  <c r="K135" i="43"/>
  <c r="J135" i="43"/>
  <c r="I135" i="43"/>
  <c r="H135" i="43"/>
  <c r="G135" i="43"/>
  <c r="F135" i="43"/>
  <c r="N132" i="43"/>
  <c r="M132" i="43"/>
  <c r="L132" i="43"/>
  <c r="K132" i="43"/>
  <c r="J132" i="43"/>
  <c r="I132" i="43"/>
  <c r="H132" i="43"/>
  <c r="G132" i="43"/>
  <c r="F132" i="43"/>
  <c r="N129" i="43"/>
  <c r="M129" i="43"/>
  <c r="L129" i="43"/>
  <c r="K129" i="43"/>
  <c r="J129" i="43"/>
  <c r="I129" i="43"/>
  <c r="H129" i="43"/>
  <c r="G129" i="43"/>
  <c r="F129" i="43"/>
  <c r="N111" i="43"/>
  <c r="M111" i="43"/>
  <c r="L111" i="43"/>
  <c r="K111" i="43"/>
  <c r="J111" i="43"/>
  <c r="I111" i="43"/>
  <c r="H111" i="43"/>
  <c r="G111" i="43"/>
  <c r="F111" i="43"/>
  <c r="N97" i="43"/>
  <c r="M97" i="43"/>
  <c r="L97" i="43"/>
  <c r="K97" i="43"/>
  <c r="J97" i="43"/>
  <c r="I97" i="43"/>
  <c r="H97" i="43"/>
  <c r="G97" i="43"/>
  <c r="F97" i="43"/>
  <c r="N51" i="43"/>
  <c r="M51" i="43"/>
  <c r="L51" i="43"/>
  <c r="K51" i="43"/>
  <c r="J51" i="43"/>
  <c r="I51" i="43"/>
  <c r="H51" i="43"/>
  <c r="G51" i="43"/>
  <c r="F51" i="43"/>
  <c r="N42" i="43"/>
  <c r="M42" i="43"/>
  <c r="L42" i="43"/>
  <c r="K42" i="43"/>
  <c r="J42" i="43"/>
  <c r="I42" i="43"/>
  <c r="H42" i="43"/>
  <c r="G42" i="43"/>
  <c r="F42" i="43"/>
  <c r="N28" i="43"/>
  <c r="M28" i="43"/>
  <c r="L28" i="43"/>
  <c r="K28" i="43"/>
  <c r="J28" i="43"/>
  <c r="I28" i="43"/>
  <c r="H28" i="43"/>
  <c r="G28" i="43"/>
  <c r="F28" i="43"/>
  <c r="N21" i="43"/>
  <c r="M21" i="43"/>
  <c r="L21" i="43"/>
  <c r="K21" i="43"/>
  <c r="J21" i="43"/>
  <c r="I21" i="43"/>
  <c r="H21" i="43"/>
  <c r="G21" i="43"/>
  <c r="F21" i="43"/>
  <c r="N14" i="43"/>
  <c r="M14" i="43"/>
  <c r="L14" i="43"/>
  <c r="K14" i="43"/>
  <c r="J14" i="43"/>
  <c r="I14" i="43"/>
  <c r="H14" i="43"/>
  <c r="G14" i="43"/>
  <c r="F14" i="43"/>
  <c r="N11" i="43"/>
  <c r="M11" i="43"/>
  <c r="L11" i="43"/>
  <c r="K11" i="43"/>
  <c r="J11" i="43"/>
  <c r="I11" i="43"/>
  <c r="H11" i="43"/>
  <c r="G11" i="43"/>
  <c r="F11" i="43"/>
  <c r="N7" i="43"/>
  <c r="M7" i="43"/>
  <c r="L7" i="43"/>
  <c r="K7" i="43"/>
  <c r="J7" i="43"/>
  <c r="I7" i="43"/>
  <c r="H7" i="43"/>
  <c r="G7" i="43"/>
  <c r="F7" i="43"/>
  <c r="J6" i="43" l="1"/>
  <c r="L6" i="43"/>
  <c r="I6" i="43"/>
  <c r="H6" i="43"/>
  <c r="K6" i="43"/>
  <c r="G6" i="43"/>
  <c r="F6" i="43"/>
  <c r="M6" i="43"/>
  <c r="N6" i="43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comments1.xml><?xml version="1.0" encoding="utf-8"?>
<comments xmlns="http://schemas.openxmlformats.org/spreadsheetml/2006/main">
  <authors>
    <author>Fathimath Shifaza</author>
  </authors>
  <commentList>
    <comment ref="B91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previously known as: Soneva Gili by Six Senses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previously known as :Kudarah Island Resort</t>
        </r>
      </text>
    </comment>
  </commentList>
</comments>
</file>

<file path=xl/sharedStrings.xml><?xml version="1.0" encoding="utf-8"?>
<sst xmlns="http://schemas.openxmlformats.org/spreadsheetml/2006/main" count="663" uniqueCount="266">
  <si>
    <t>2006</t>
  </si>
  <si>
    <t>Resorts</t>
  </si>
  <si>
    <t>-</t>
  </si>
  <si>
    <t xml:space="preserve">Year of Initial </t>
  </si>
  <si>
    <t>Initial Bed</t>
  </si>
  <si>
    <t>Distance from</t>
  </si>
  <si>
    <t xml:space="preserve">% Share </t>
  </si>
  <si>
    <t>Operation</t>
  </si>
  <si>
    <t>Capacity</t>
  </si>
  <si>
    <t>Airport (in Km)</t>
  </si>
  <si>
    <t>All Resorts</t>
  </si>
  <si>
    <t>North Maalhosmadulu (R)</t>
  </si>
  <si>
    <t>South Maalhosmadulu (B)</t>
  </si>
  <si>
    <t>1999</t>
  </si>
  <si>
    <t xml:space="preserve">     1983</t>
  </si>
  <si>
    <t>Faadhippolhu (Lh)</t>
  </si>
  <si>
    <t xml:space="preserve">     1978</t>
  </si>
  <si>
    <t>Male' Atoll (K)</t>
  </si>
  <si>
    <t xml:space="preserve">     1981</t>
  </si>
  <si>
    <t xml:space="preserve">     1972</t>
  </si>
  <si>
    <t xml:space="preserve">     1977</t>
  </si>
  <si>
    <t xml:space="preserve">     1973</t>
  </si>
  <si>
    <t xml:space="preserve">     1982</t>
  </si>
  <si>
    <t xml:space="preserve">     1979</t>
  </si>
  <si>
    <t xml:space="preserve">     1980</t>
  </si>
  <si>
    <t>1977</t>
  </si>
  <si>
    <t xml:space="preserve">     1985</t>
  </si>
  <si>
    <t xml:space="preserve">     1991</t>
  </si>
  <si>
    <t xml:space="preserve">     1974</t>
  </si>
  <si>
    <t>North Ari Atoll (AA)</t>
  </si>
  <si>
    <t xml:space="preserve">     1987</t>
  </si>
  <si>
    <t xml:space="preserve">     1989</t>
  </si>
  <si>
    <t xml:space="preserve">     1984</t>
  </si>
  <si>
    <t>South Ari Atoll (ADh)</t>
  </si>
  <si>
    <t xml:space="preserve">     1990</t>
  </si>
  <si>
    <t xml:space="preserve">  1992</t>
  </si>
  <si>
    <t>Felidhu Atoll (V)</t>
  </si>
  <si>
    <t xml:space="preserve">     1975</t>
  </si>
  <si>
    <t>Mulakatholhu (M)</t>
  </si>
  <si>
    <t>North Nilandhe Atoll (F)</t>
  </si>
  <si>
    <t>South Nilandhe Atoll (D)</t>
  </si>
  <si>
    <t>* Resorts beds include marinas</t>
  </si>
  <si>
    <t>2008</t>
  </si>
  <si>
    <t>Addu Atoll (S)</t>
  </si>
  <si>
    <t>North Thiladhunmathi Atoll (HA)</t>
  </si>
  <si>
    <t>South Miladhunmadulu Atoll (N)</t>
  </si>
  <si>
    <t>udwdwA egcnirevurutwf</t>
  </si>
  <si>
    <t>2009</t>
  </si>
  <si>
    <t>Four Seasons Resort Maldives at Landaa Giraavaru</t>
  </si>
  <si>
    <t>Kihaadhuffaru Resort</t>
  </si>
  <si>
    <t>Reethi Beach Resort</t>
  </si>
  <si>
    <t>Royal Island Resort &amp; Spa</t>
  </si>
  <si>
    <t>Soneva Fushi By Six Senses</t>
  </si>
  <si>
    <t>Komandoo Maldive Island Resort</t>
  </si>
  <si>
    <t>Adaaran Select Meedhupparu</t>
  </si>
  <si>
    <t>One &amp; Only Kanuhura, Maldives</t>
  </si>
  <si>
    <t>Kuredhdhoo Island Resort</t>
  </si>
  <si>
    <t>Palm Beach Island</t>
  </si>
  <si>
    <t>Adaaran Club Rannalhi</t>
  </si>
  <si>
    <t>Anantara Resort &amp; Spa Maldives (Dhigufinolhu)</t>
  </si>
  <si>
    <t xml:space="preserve">Angsana Resort &amp; Spa Maldives, Ihuru </t>
  </si>
  <si>
    <t>Banyan Tree Maldives Vabbinfaru</t>
  </si>
  <si>
    <t>Baros Holiday Resort</t>
  </si>
  <si>
    <t>Biyaadhoo Island Resort</t>
  </si>
  <si>
    <t>Coco Palm Boduhithi</t>
  </si>
  <si>
    <t>Cocoa Island</t>
  </si>
  <si>
    <t xml:space="preserve">Embudhoo Village </t>
  </si>
  <si>
    <t>Eriyadhoo Island Resort</t>
  </si>
  <si>
    <t>Fihaalhohi Island Resort</t>
  </si>
  <si>
    <t>Four Seasons Resort Maldives at Kuda Huraa</t>
  </si>
  <si>
    <t>Fun Island Resort</t>
  </si>
  <si>
    <t>Huvafenfushi</t>
  </si>
  <si>
    <t>Club Med Kanifinolhu</t>
  </si>
  <si>
    <t>Kurumba Maldives</t>
  </si>
  <si>
    <t>Velassaru Maldives (Laguna Maldives)</t>
  </si>
  <si>
    <t>Makunudu Island</t>
  </si>
  <si>
    <t>Meeru Island Resort</t>
  </si>
  <si>
    <t>Olhuveli Beach &amp; Spa Resort</t>
  </si>
  <si>
    <t>Naladhu (Palm Tree Island)</t>
  </si>
  <si>
    <t>Paradise Island Resort &amp; Spa</t>
  </si>
  <si>
    <t>Rihiveli Beach Resort</t>
  </si>
  <si>
    <t>Vivanta by Taj - Coral Reef, Maldives</t>
  </si>
  <si>
    <t>Taj Exortica Resort &amp; Spa Maldives</t>
  </si>
  <si>
    <t>Thulhaagiri Island Resort</t>
  </si>
  <si>
    <t>Gangehi Island Resort</t>
  </si>
  <si>
    <t>Maayafushi Tourist Resort</t>
  </si>
  <si>
    <t>Madoogali Resort</t>
  </si>
  <si>
    <t>Nika Island Resort</t>
  </si>
  <si>
    <t>Velidhu Island Resort</t>
  </si>
  <si>
    <t>Veligandu Island</t>
  </si>
  <si>
    <t>W. Retreat and Spa Maldives Fesdhu</t>
  </si>
  <si>
    <t>Angaaga Island Resort and Spa</t>
  </si>
  <si>
    <t>Holiday Island</t>
  </si>
  <si>
    <t>Lily Beach Resort</t>
  </si>
  <si>
    <t>Mirihi Island Resort</t>
  </si>
  <si>
    <t>Ranveli Village</t>
  </si>
  <si>
    <t>Sun Island Resort &amp; Spa</t>
  </si>
  <si>
    <t>Thundufushi Island Resort</t>
  </si>
  <si>
    <t>Twin Island Resort</t>
  </si>
  <si>
    <t>Vakarufalhi Island Resort</t>
  </si>
  <si>
    <t>Vilamendhoo Island Resort</t>
  </si>
  <si>
    <t>Alimatha Aquatic Resort</t>
  </si>
  <si>
    <t>Dhiggiri Tourist Resort</t>
  </si>
  <si>
    <t>Medhufushi Island Resort</t>
  </si>
  <si>
    <t xml:space="preserve">Filitheyo Island Resort </t>
  </si>
  <si>
    <t>Angsana Resort &amp; Spa Maldives - Velavaru</t>
  </si>
  <si>
    <t>Hilton Maldives - Irufushi Resort &amp; Spa (Medhafushi)</t>
  </si>
  <si>
    <t>North Huvadhu Atoll (GA)</t>
  </si>
  <si>
    <t>Alila Villas Hadahaa</t>
  </si>
  <si>
    <t xml:space="preserve">                                    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</si>
  <si>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</si>
  <si>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</si>
  <si>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</si>
  <si>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</si>
  <si>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</si>
  <si>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</si>
  <si>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</si>
  <si>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</si>
  <si>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</si>
  <si>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</si>
  <si>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</si>
  <si>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</si>
  <si>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</si>
  <si>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</si>
  <si>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</si>
  <si>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</si>
  <si>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</si>
  <si>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</si>
  <si>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</si>
  <si>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</si>
  <si>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</si>
  <si>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</si>
  <si>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</si>
  <si>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</si>
  <si>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</si>
  <si>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</si>
  <si>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</si>
  <si>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</si>
  <si>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</si>
  <si>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</si>
  <si>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</si>
  <si>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</si>
  <si>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</si>
  <si>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</si>
  <si>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</si>
  <si>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</si>
  <si>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</si>
  <si>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</si>
  <si>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</si>
  <si>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</si>
  <si>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</si>
  <si>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</si>
  <si>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</si>
  <si>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</si>
  <si>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</si>
  <si>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</si>
  <si>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</si>
  <si>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</si>
  <si>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</si>
  <si>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</si>
  <si>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</si>
  <si>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</si>
  <si>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</si>
  <si>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</si>
  <si>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</si>
  <si>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Asdhu Sun Island</t>
  </si>
  <si>
    <t>1984</t>
  </si>
  <si>
    <t xml:space="preserve">Holiday Inn Resort Kandooma Maldives </t>
  </si>
  <si>
    <t>Coco Palm Dhuni Kolhu</t>
  </si>
  <si>
    <t>No. of Tourists</t>
  </si>
  <si>
    <t>% change over previous year</t>
  </si>
  <si>
    <t>2011</t>
  </si>
  <si>
    <t xml:space="preserve">Anantara Kihava Villas, Maldives </t>
  </si>
  <si>
    <t>Jumeirah Dhevanafushi (Meradhoo)</t>
  </si>
  <si>
    <t>South Huvadhu Atoll (GDh)</t>
  </si>
  <si>
    <t>Ayada Maldives(Magudhuva)</t>
  </si>
  <si>
    <t>Laamu Atoll (L)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</si>
  <si>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</si>
  <si>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</si>
  <si>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</si>
  <si>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</si>
  <si>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Niyama (Olhuveli &amp; Embudhufushi)</t>
  </si>
  <si>
    <t>Viceroy Maldives (Vagaru)</t>
  </si>
  <si>
    <t>North Miladhunmadulu Atoll (Sh)</t>
  </si>
  <si>
    <t>Dusit Thani Maldives (Mudhdhoo)</t>
  </si>
  <si>
    <t>The Residence Maldives (Falhumaafushi)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</si>
  <si>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</si>
  <si>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</si>
  <si>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</si>
  <si>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</si>
  <si>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</si>
  <si>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2013</t>
  </si>
  <si>
    <t>Cheval Blanc randheli</t>
  </si>
  <si>
    <t xml:space="preserve">Velaa Private Island </t>
  </si>
  <si>
    <t xml:space="preserve">Atmosphere Kanifushi Maldives </t>
  </si>
  <si>
    <t>Source: Ministry of Tourism</t>
  </si>
  <si>
    <t>Thaa Atoll (Th)</t>
  </si>
  <si>
    <t>Maalifushi By Como (Male'fushi)</t>
  </si>
  <si>
    <t>2014</t>
  </si>
  <si>
    <t>Kandholhu Island Maldives</t>
  </si>
  <si>
    <t>Safari Island (Mushimasmigili)</t>
  </si>
  <si>
    <t>Drift Thelu Veliga Retreat (Theluveliga)</t>
  </si>
  <si>
    <t>Outrigger Konotta Maldives Resort</t>
  </si>
  <si>
    <t>AaaVeee Nature's Paradise  (Dhoores)</t>
  </si>
  <si>
    <t>Robinson Club Maldives (Funamauddua)</t>
  </si>
  <si>
    <t>Centara Ras Fushi Resort &amp; Spa (Giraavaru)</t>
  </si>
  <si>
    <t>Bed Capacity  (end year)*</t>
  </si>
  <si>
    <t>2016</t>
  </si>
  <si>
    <t>Soneva Jani (Medhufaru)</t>
  </si>
  <si>
    <t>Roxy Maldives Resort (Kudafunafaru)</t>
  </si>
  <si>
    <t>Furaveri Island Resort &amp; Spa</t>
  </si>
  <si>
    <t>Dhigufaru Island Resort (Dhigufaruvinagandu)</t>
  </si>
  <si>
    <t>Finolhu Baa Atoll Maldives (Kanufushi)</t>
  </si>
  <si>
    <t>Four Seasons Private Island Maldives at Voavah (Voavah)</t>
  </si>
  <si>
    <t>Milaidhoo Island Maldives (Milaidhoo)</t>
  </si>
  <si>
    <t>Cocoon Maldives (Ookolhu Finolhu)</t>
  </si>
  <si>
    <t>Hurawalhi Island Resort  (Hurawalhi)</t>
  </si>
  <si>
    <t>Malahini Kuda Bandos (Kudabandos)</t>
  </si>
  <si>
    <t>One and Only Reethi Rah, Maldives</t>
  </si>
  <si>
    <t>Ozen By Atmosphere at Maadhoo (Maadhoo Finolhu)</t>
  </si>
  <si>
    <t>The St. Regis Vommuli Resort, Maldives (Vommuli)</t>
  </si>
  <si>
    <t>Six Sensese Laamu Atoll (Olhuveli)</t>
  </si>
  <si>
    <t>Canareef Resort Maldives (Herethere)</t>
  </si>
  <si>
    <t>Shangri - La's Villingili Resort &amp; Spa, Maldives</t>
  </si>
  <si>
    <t>Kuramathi Maldives</t>
  </si>
  <si>
    <t>Lux South Ari Atoll, Maldives (Diva Maldives)</t>
  </si>
  <si>
    <t>Sun Aqua Vilu Reef Maldives (Vilu Reef)</t>
  </si>
  <si>
    <t xml:space="preserve">Coco Privé Kuda Hithi Island </t>
  </si>
  <si>
    <t>Cinnamon Dhonveli Maldives</t>
  </si>
  <si>
    <t>Sheraton Maldives Full Moon Resort &amp; Spa</t>
  </si>
  <si>
    <t>Club Med Finolhu Villas (Gasfinolhu)</t>
  </si>
  <si>
    <t xml:space="preserve">Jumeirah Vittaveli Island Resort at Bolifushi </t>
  </si>
  <si>
    <t>Summer Island Maldives</t>
  </si>
  <si>
    <t xml:space="preserve">Adaaran Prestige Vaadhu </t>
  </si>
  <si>
    <t xml:space="preserve">Bathala Island Resort </t>
  </si>
  <si>
    <t>Ellaidhoo Maldives By Cinnamon</t>
  </si>
  <si>
    <t>Constance Halaveli Resort</t>
  </si>
  <si>
    <t>Conrad Maldives, Rangali Island</t>
  </si>
  <si>
    <t>Centara Grand Island Resort &amp; Spa Maldives</t>
  </si>
  <si>
    <t>Constance Moofushi Resort</t>
  </si>
  <si>
    <t>Cinnamon Hakuraa Huraa Maldives</t>
  </si>
  <si>
    <t>Amari Havodda Maldives</t>
  </si>
  <si>
    <t>Hideaway Beach Resort and Spa at Dhonakulhi Island Maldives</t>
  </si>
  <si>
    <t>Alidhoo Island Resort</t>
  </si>
  <si>
    <t>JA Manafaru (Beach House Maldives)</t>
  </si>
  <si>
    <t>Loama Resort Maldives at Maamigili</t>
  </si>
  <si>
    <t>Adaaran Select Hudhuranfushi (Lhohifushi)</t>
  </si>
  <si>
    <t>Bandos Maldives</t>
  </si>
  <si>
    <t>Dream Island Maldives</t>
  </si>
  <si>
    <t>Oblu By Atmosphere at Helengeli</t>
  </si>
  <si>
    <t>2017</t>
  </si>
  <si>
    <t>in 2017</t>
  </si>
  <si>
    <t>Sirru Fenfushi</t>
  </si>
  <si>
    <t>Robinson Club Maldives Noonu</t>
  </si>
  <si>
    <t>Dhigali Maldives</t>
  </si>
  <si>
    <t>Kudafushi Resort &amp; Spa</t>
  </si>
  <si>
    <t>Reethi Faru Resort</t>
  </si>
  <si>
    <t>Vakkaru Maldives</t>
  </si>
  <si>
    <t>Fushifaru Maldives</t>
  </si>
  <si>
    <t>Grand Park Kohddiparu</t>
  </si>
  <si>
    <t>Gili Lankanfushi</t>
  </si>
  <si>
    <t>Amaya Kudarah Maldives</t>
  </si>
  <si>
    <t>Diamonds Athurugau Island Resort</t>
  </si>
  <si>
    <t>Kandima Maldives</t>
  </si>
  <si>
    <t>ތާވަލު 10.14: ރިސޯޓްތަކުގެ އެނދުގެ ޖާގައާއި ބައިނަލްއަޤަވާމީ ވައިގެ ބަނދަރާއިހުރި ދުރުމިން،  2013 - 2017</t>
  </si>
  <si>
    <t>Table 10.14   BED CAPACITY OF TOURIST RESORTS AND THE DISTANCE FROM MALE' INTERNATIONAL AIRPORT, 2013 - 2017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</si>
</sst>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2" fillId="0" borderId="1" applyNumberFormat="0"/>
    <xf numFmtId="0" fontId="2" fillId="0" borderId="0"/>
    <xf numFmtId="0" fontId="15" fillId="0" borderId="0"/>
    <xf numFmtId="0" fontId="13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56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0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49" fontId="21" fillId="2" borderId="0" xfId="2" applyNumberFormat="1" applyFont="1" applyFill="1" applyBorder="1" applyAlignment="1" applyProtection="1">
      <alignment horizontal="right" vertical="center"/>
    </xf>
    <xf numFmtId="3" fontId="25" fillId="2" borderId="0" xfId="4" applyNumberFormat="1" applyFont="1" applyFill="1" applyBorder="1" applyAlignment="1">
      <alignment horizontal="right" vertical="center"/>
    </xf>
    <xf numFmtId="3" fontId="21" fillId="2" borderId="0" xfId="4" applyNumberFormat="1" applyFont="1" applyFill="1" applyBorder="1" applyAlignment="1">
      <alignment horizontal="right" vertical="center"/>
    </xf>
    <xf numFmtId="0" fontId="24" fillId="2" borderId="0" xfId="4" applyFont="1" applyFill="1" applyBorder="1" applyAlignment="1">
      <alignment horizontal="right" vertical="center"/>
    </xf>
    <xf numFmtId="3" fontId="24" fillId="2" borderId="0" xfId="4" applyNumberFormat="1" applyFont="1" applyFill="1" applyBorder="1" applyAlignment="1">
      <alignment horizontal="right" vertical="center"/>
    </xf>
    <xf numFmtId="0" fontId="25" fillId="2" borderId="5" xfId="4" applyFont="1" applyFill="1" applyBorder="1" applyAlignment="1" applyProtection="1">
      <alignment horizontal="right" vertical="center"/>
    </xf>
    <xf numFmtId="0" fontId="25" fillId="2" borderId="2" xfId="4" applyFont="1" applyFill="1" applyBorder="1" applyAlignment="1" applyProtection="1">
      <alignment horizontal="right" vertical="center"/>
    </xf>
    <xf numFmtId="49" fontId="21" fillId="2" borderId="0" xfId="4" applyNumberFormat="1" applyFont="1" applyFill="1" applyBorder="1" applyAlignment="1" applyProtection="1">
      <alignment horizontal="right" vertical="center"/>
    </xf>
    <xf numFmtId="3" fontId="21" fillId="2" borderId="0" xfId="4" applyNumberFormat="1" applyFont="1" applyFill="1" applyBorder="1" applyAlignment="1" applyProtection="1">
      <alignment horizontal="right" vertical="center"/>
      <protection locked="0"/>
    </xf>
    <xf numFmtId="3" fontId="24" fillId="2" borderId="0" xfId="4" applyNumberFormat="1" applyFont="1" applyFill="1" applyBorder="1" applyAlignment="1" applyProtection="1">
      <alignment horizontal="right" vertical="center"/>
      <protection locked="0"/>
    </xf>
    <xf numFmtId="1" fontId="21" fillId="2" borderId="0" xfId="4" applyNumberFormat="1" applyFont="1" applyFill="1" applyBorder="1" applyAlignment="1" applyProtection="1">
      <alignment horizontal="right" vertical="center"/>
    </xf>
    <xf numFmtId="1" fontId="21" fillId="2" borderId="0" xfId="4" applyNumberFormat="1" applyFont="1" applyFill="1" applyBorder="1" applyAlignment="1" applyProtection="1">
      <alignment horizontal="right" vertical="center"/>
      <protection locked="0"/>
    </xf>
    <xf numFmtId="3" fontId="21" fillId="2" borderId="0" xfId="4" applyNumberFormat="1" applyFont="1" applyFill="1" applyBorder="1" applyAlignment="1" applyProtection="1">
      <alignment horizontal="right" vertical="center"/>
    </xf>
    <xf numFmtId="3" fontId="25" fillId="2" borderId="0" xfId="4" applyNumberFormat="1" applyFont="1" applyFill="1" applyBorder="1" applyAlignment="1" applyProtection="1">
      <alignment horizontal="right" vertical="center"/>
      <protection locked="0"/>
    </xf>
    <xf numFmtId="0" fontId="21" fillId="2" borderId="0" xfId="4" applyFont="1" applyFill="1" applyBorder="1" applyAlignment="1" applyProtection="1">
      <alignment horizontal="right" vertical="center"/>
    </xf>
    <xf numFmtId="3" fontId="21" fillId="2" borderId="2" xfId="4" applyNumberFormat="1" applyFont="1" applyFill="1" applyBorder="1" applyAlignment="1" applyProtection="1">
      <alignment horizontal="right" vertical="center"/>
      <protection locked="0"/>
    </xf>
    <xf numFmtId="0" fontId="26" fillId="2" borderId="0" xfId="4" applyFont="1" applyFill="1"/>
    <xf numFmtId="0" fontId="26" fillId="2" borderId="0" xfId="4" applyFont="1" applyFill="1" applyAlignment="1">
      <alignment horizontal="right" vertical="center"/>
    </xf>
    <xf numFmtId="1" fontId="22" fillId="2" borderId="0" xfId="4" applyNumberFormat="1" applyFont="1" applyFill="1" applyBorder="1" applyAlignment="1" applyProtection="1">
      <alignment horizontal="right" vertical="center"/>
    </xf>
    <xf numFmtId="3" fontId="22" fillId="2" borderId="0" xfId="4" applyNumberFormat="1" applyFont="1" applyFill="1" applyBorder="1" applyAlignment="1" applyProtection="1">
      <alignment horizontal="right" vertical="center"/>
      <protection locked="0"/>
    </xf>
    <xf numFmtId="165" fontId="22" fillId="2" borderId="0" xfId="4" applyNumberFormat="1" applyFont="1" applyFill="1" applyBorder="1" applyAlignment="1" applyProtection="1">
      <alignment horizontal="right" vertical="center"/>
      <protection locked="0"/>
    </xf>
    <xf numFmtId="0" fontId="27" fillId="2" borderId="0" xfId="4" applyFont="1" applyFill="1" applyBorder="1" applyAlignment="1" applyProtection="1">
      <alignment horizontal="left" vertical="center"/>
    </xf>
    <xf numFmtId="0" fontId="27" fillId="2" borderId="0" xfId="4" applyFont="1" applyFill="1" applyBorder="1" applyAlignment="1" applyProtection="1">
      <alignment horizontal="right" vertical="center"/>
    </xf>
    <xf numFmtId="166" fontId="22" fillId="2" borderId="0" xfId="4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49" fontId="21" fillId="2" borderId="2" xfId="4" applyNumberFormat="1" applyFont="1" applyFill="1" applyBorder="1" applyAlignment="1" applyProtection="1">
      <alignment horizontal="right" vertical="center"/>
    </xf>
    <xf numFmtId="49" fontId="21" fillId="2" borderId="18" xfId="4" applyNumberFormat="1" applyFont="1" applyFill="1" applyBorder="1" applyAlignment="1" applyProtection="1">
      <alignment horizontal="right" vertical="center"/>
    </xf>
    <xf numFmtId="1" fontId="21" fillId="2" borderId="18" xfId="4" applyNumberFormat="1" applyFont="1" applyFill="1" applyBorder="1" applyAlignment="1" applyProtection="1">
      <alignment horizontal="right" vertical="center"/>
      <protection locked="0"/>
    </xf>
    <xf numFmtId="3" fontId="21" fillId="2" borderId="18" xfId="4" applyNumberFormat="1" applyFont="1" applyFill="1" applyBorder="1" applyAlignment="1" applyProtection="1">
      <alignment horizontal="right" vertical="center"/>
      <protection locked="0"/>
    </xf>
    <xf numFmtId="3" fontId="21" fillId="2" borderId="18" xfId="4" applyNumberFormat="1" applyFont="1" applyFill="1" applyBorder="1" applyAlignment="1" applyProtection="1">
      <alignment horizontal="right" vertical="center"/>
    </xf>
    <xf numFmtId="1" fontId="21" fillId="2" borderId="18" xfId="4" applyNumberFormat="1" applyFont="1" applyFill="1" applyBorder="1" applyAlignment="1" applyProtection="1">
      <alignment horizontal="right" vertical="center"/>
    </xf>
    <xf numFmtId="49" fontId="21" fillId="2" borderId="18" xfId="2" applyNumberFormat="1" applyFont="1" applyFill="1" applyBorder="1" applyAlignment="1" applyProtection="1">
      <alignment horizontal="right" vertical="center"/>
    </xf>
    <xf numFmtId="0" fontId="21" fillId="2" borderId="18" xfId="4" applyFont="1" applyFill="1" applyBorder="1" applyAlignment="1">
      <alignment horizontal="right" vertical="center"/>
    </xf>
    <xf numFmtId="0" fontId="21" fillId="2" borderId="18" xfId="4" applyFont="1" applyFill="1" applyBorder="1" applyAlignment="1" applyProtection="1">
      <alignment horizontal="right" vertical="center"/>
    </xf>
    <xf numFmtId="1" fontId="25" fillId="2" borderId="2" xfId="4" applyNumberFormat="1" applyFont="1" applyFill="1" applyBorder="1" applyAlignment="1">
      <alignment horizontal="right" vertical="center"/>
    </xf>
    <xf numFmtId="0" fontId="25" fillId="2" borderId="0" xfId="4" applyFont="1" applyFill="1" applyBorder="1" applyAlignment="1" applyProtection="1">
      <alignment horizontal="left" vertical="center" wrapText="1"/>
    </xf>
    <xf numFmtId="0" fontId="25" fillId="2" borderId="0" xfId="4" applyFont="1" applyFill="1" applyBorder="1" applyAlignment="1">
      <alignment horizontal="left" vertical="center" wrapText="1"/>
    </xf>
    <xf numFmtId="3" fontId="21" fillId="2" borderId="18" xfId="4" applyNumberFormat="1" applyFont="1" applyFill="1" applyBorder="1" applyAlignment="1">
      <alignment horizontal="right" vertical="center"/>
    </xf>
    <xf numFmtId="49" fontId="18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10" xfId="2" applyNumberFormat="1" applyFont="1" applyFill="1" applyBorder="1" applyAlignment="1" applyProtection="1">
      <alignment horizontal="left" vertical="center"/>
    </xf>
    <xf numFmtId="170" fontId="19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8" xfId="2" applyNumberFormat="1" applyFont="1" applyFill="1" applyBorder="1" applyAlignment="1">
      <alignment vertical="center"/>
    </xf>
    <xf numFmtId="0" fontId="18" fillId="2" borderId="4" xfId="0" applyFont="1" applyFill="1" applyBorder="1" applyAlignment="1" applyProtection="1">
      <alignment horizontal="right" vertical="center"/>
    </xf>
    <xf numFmtId="0" fontId="18" fillId="3" borderId="7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8" xfId="0" applyNumberFormat="1" applyFont="1" applyFill="1" applyBorder="1" applyAlignment="1">
      <alignment vertical="center"/>
    </xf>
    <xf numFmtId="169" fontId="19" fillId="2" borderId="10" xfId="2" applyNumberFormat="1" applyFont="1" applyFill="1" applyBorder="1" applyAlignment="1" applyProtection="1">
      <alignment horizontal="left" vertical="center"/>
    </xf>
    <xf numFmtId="170" fontId="19" fillId="2" borderId="11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8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vertical="center"/>
    </xf>
    <xf numFmtId="169" fontId="19" fillId="2" borderId="12" xfId="2" applyNumberFormat="1" applyFont="1" applyFill="1" applyBorder="1" applyAlignment="1" applyProtection="1">
      <alignment horizontal="left" vertical="center"/>
    </xf>
    <xf numFmtId="170" fontId="19" fillId="2" borderId="13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7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7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8" fillId="2" borderId="0" xfId="4" applyFont="1" applyFill="1" applyBorder="1" applyAlignment="1" applyProtection="1">
      <alignment horizontal="center" vertical="center"/>
    </xf>
    <xf numFmtId="0" fontId="28" fillId="2" borderId="0" xfId="4" applyFont="1" applyFill="1" applyAlignment="1">
      <alignment vertical="center"/>
    </xf>
    <xf numFmtId="0" fontId="24" fillId="2" borderId="0" xfId="4" applyFont="1" applyFill="1" applyAlignment="1">
      <alignment vertical="center"/>
    </xf>
    <xf numFmtId="0" fontId="22" fillId="2" borderId="0" xfId="4" applyFont="1" applyFill="1"/>
    <xf numFmtId="3" fontId="21" fillId="2" borderId="9" xfId="4" applyNumberFormat="1" applyFont="1" applyFill="1" applyBorder="1" applyAlignment="1" applyProtection="1">
      <alignment horizontal="right" vertical="center"/>
      <protection locked="0"/>
    </xf>
    <xf numFmtId="3" fontId="21" fillId="2" borderId="9" xfId="4" applyNumberFormat="1" applyFont="1" applyFill="1" applyBorder="1" applyAlignment="1">
      <alignment horizontal="right" vertical="center"/>
    </xf>
    <xf numFmtId="0" fontId="26" fillId="2" borderId="0" xfId="4" applyFont="1" applyFill="1" applyAlignment="1">
      <alignment horizontal="center" vertical="center"/>
    </xf>
    <xf numFmtId="0" fontId="23" fillId="2" borderId="5" xfId="4" applyFont="1" applyFill="1" applyBorder="1" applyAlignment="1">
      <alignment horizontal="center" vertical="center"/>
    </xf>
    <xf numFmtId="0" fontId="25" fillId="2" borderId="2" xfId="4" applyFont="1" applyFill="1" applyBorder="1" applyAlignment="1">
      <alignment horizontal="center" vertical="center"/>
    </xf>
    <xf numFmtId="3" fontId="25" fillId="2" borderId="0" xfId="4" applyNumberFormat="1" applyFont="1" applyFill="1" applyBorder="1" applyAlignment="1">
      <alignment horizontal="center" vertical="center"/>
    </xf>
    <xf numFmtId="165" fontId="25" fillId="2" borderId="0" xfId="4" applyNumberFormat="1" applyFont="1" applyFill="1" applyBorder="1" applyAlignment="1">
      <alignment horizontal="center" vertical="center"/>
    </xf>
    <xf numFmtId="165" fontId="25" fillId="2" borderId="6" xfId="4" applyNumberFormat="1" applyFont="1" applyFill="1" applyBorder="1" applyAlignment="1">
      <alignment horizontal="center" vertical="center"/>
    </xf>
    <xf numFmtId="3" fontId="24" fillId="2" borderId="0" xfId="4" applyNumberFormat="1" applyFont="1" applyFill="1" applyBorder="1" applyAlignment="1">
      <alignment horizontal="center" vertical="center"/>
    </xf>
    <xf numFmtId="0" fontId="27" fillId="2" borderId="0" xfId="4" applyFont="1" applyFill="1" applyBorder="1" applyAlignment="1" applyProtection="1">
      <alignment horizontal="center" vertical="center"/>
    </xf>
    <xf numFmtId="165" fontId="21" fillId="2" borderId="0" xfId="4" applyNumberFormat="1" applyFont="1" applyFill="1" applyBorder="1" applyAlignment="1">
      <alignment horizontal="center" vertical="center"/>
    </xf>
    <xf numFmtId="165" fontId="21" fillId="2" borderId="2" xfId="4" applyNumberFormat="1" applyFont="1" applyFill="1" applyBorder="1" applyAlignment="1">
      <alignment horizontal="center" vertical="center"/>
    </xf>
    <xf numFmtId="165" fontId="21" fillId="2" borderId="9" xfId="4" applyNumberFormat="1" applyFont="1" applyFill="1" applyBorder="1" applyAlignment="1">
      <alignment horizontal="center" vertical="center"/>
    </xf>
    <xf numFmtId="165" fontId="21" fillId="2" borderId="18" xfId="4" applyNumberFormat="1" applyFont="1" applyFill="1" applyBorder="1" applyAlignment="1">
      <alignment horizontal="center" vertical="center"/>
    </xf>
    <xf numFmtId="0" fontId="25" fillId="2" borderId="6" xfId="4" applyFont="1" applyFill="1" applyBorder="1" applyAlignment="1" applyProtection="1">
      <alignment horizontal="left" vertical="center" wrapText="1"/>
    </xf>
    <xf numFmtId="3" fontId="25" fillId="2" borderId="6" xfId="4" applyNumberFormat="1" applyFont="1" applyFill="1" applyBorder="1" applyAlignment="1">
      <alignment horizontal="right" vertical="center"/>
    </xf>
    <xf numFmtId="0" fontId="26" fillId="2" borderId="0" xfId="4" applyFont="1" applyFill="1" applyBorder="1"/>
    <xf numFmtId="1" fontId="21" fillId="2" borderId="9" xfId="4" applyNumberFormat="1" applyFont="1" applyFill="1" applyBorder="1" applyAlignment="1" applyProtection="1">
      <alignment horizontal="right" vertical="center"/>
    </xf>
    <xf numFmtId="0" fontId="21" fillId="2" borderId="9" xfId="4" applyFont="1" applyFill="1" applyBorder="1" applyAlignment="1">
      <alignment horizontal="right" vertical="center"/>
    </xf>
    <xf numFmtId="3" fontId="22" fillId="2" borderId="0" xfId="4" applyNumberFormat="1" applyFont="1" applyFill="1" applyBorder="1" applyAlignment="1">
      <alignment horizontal="right" vertical="center"/>
    </xf>
    <xf numFmtId="0" fontId="21" fillId="2" borderId="0" xfId="4" applyFont="1" applyFill="1" applyBorder="1" applyAlignment="1" applyProtection="1">
      <alignment horizontal="left" vertical="center" wrapText="1"/>
    </xf>
    <xf numFmtId="0" fontId="21" fillId="2" borderId="18" xfId="4" applyFont="1" applyFill="1" applyBorder="1" applyAlignment="1" applyProtection="1">
      <alignment horizontal="left" vertical="center" wrapText="1"/>
    </xf>
    <xf numFmtId="0" fontId="21" fillId="2" borderId="18" xfId="4" applyFont="1" applyFill="1" applyBorder="1" applyAlignment="1">
      <alignment horizontal="left" vertical="center" wrapText="1"/>
    </xf>
    <xf numFmtId="0" fontId="21" fillId="2" borderId="2" xfId="4" applyFont="1" applyFill="1" applyBorder="1" applyAlignment="1" applyProtection="1">
      <alignment horizontal="left" vertical="center" wrapText="1"/>
    </xf>
    <xf numFmtId="0" fontId="29" fillId="2" borderId="0" xfId="4" applyFont="1" applyFill="1" applyBorder="1" applyAlignment="1" applyProtection="1">
      <alignment horizontal="left" vertical="center" wrapText="1"/>
    </xf>
    <xf numFmtId="0" fontId="21" fillId="2" borderId="0" xfId="4" applyFont="1" applyFill="1" applyAlignment="1">
      <alignment wrapText="1"/>
    </xf>
    <xf numFmtId="165" fontId="21" fillId="2" borderId="0" xfId="4" applyNumberFormat="1" applyFont="1" applyFill="1" applyBorder="1" applyAlignment="1" applyProtection="1">
      <alignment horizontal="right" vertical="center" wrapText="1"/>
      <protection locked="0"/>
    </xf>
    <xf numFmtId="0" fontId="26" fillId="2" borderId="0" xfId="4" applyFont="1" applyFill="1" applyAlignment="1">
      <alignment wrapText="1"/>
    </xf>
    <xf numFmtId="0" fontId="22" fillId="2" borderId="0" xfId="4" applyFont="1" applyFill="1" applyBorder="1" applyAlignment="1" applyProtection="1">
      <alignment horizontal="left" vertical="center" wrapText="1"/>
    </xf>
    <xf numFmtId="0" fontId="21" fillId="2" borderId="0" xfId="4" applyFont="1" applyFill="1" applyBorder="1" applyAlignment="1">
      <alignment horizontal="right" vertical="center"/>
    </xf>
    <xf numFmtId="0" fontId="21" fillId="2" borderId="0" xfId="4" applyFont="1" applyFill="1" applyBorder="1" applyAlignment="1">
      <alignment horizontal="left" vertical="center" wrapText="1"/>
    </xf>
    <xf numFmtId="0" fontId="28" fillId="2" borderId="0" xfId="4" applyFont="1" applyFill="1" applyBorder="1" applyAlignment="1">
      <alignment vertical="center"/>
    </xf>
    <xf numFmtId="3" fontId="28" fillId="2" borderId="0" xfId="4" applyNumberFormat="1" applyFont="1" applyFill="1" applyAlignment="1">
      <alignment vertical="center"/>
    </xf>
    <xf numFmtId="0" fontId="24" fillId="2" borderId="0" xfId="4" applyFont="1" applyFill="1" applyBorder="1" applyAlignment="1">
      <alignment vertical="center"/>
    </xf>
    <xf numFmtId="0" fontId="22" fillId="2" borderId="0" xfId="4" applyFont="1" applyFill="1" applyBorder="1"/>
    <xf numFmtId="0" fontId="24" fillId="2" borderId="0" xfId="4" applyFont="1" applyFill="1"/>
    <xf numFmtId="0" fontId="28" fillId="2" borderId="0" xfId="4" applyFont="1" applyFill="1"/>
    <xf numFmtId="0" fontId="21" fillId="2" borderId="0" xfId="0" applyFont="1" applyFill="1" applyBorder="1" applyAlignment="1" applyProtection="1">
      <alignment horizontal="left"/>
    </xf>
    <xf numFmtId="0" fontId="22" fillId="2" borderId="0" xfId="4" applyFont="1" applyFill="1" applyAlignment="1">
      <alignment vertical="center"/>
    </xf>
    <xf numFmtId="0" fontId="21" fillId="2" borderId="9" xfId="0" applyFont="1" applyFill="1" applyBorder="1" applyAlignment="1" applyProtection="1">
      <alignment horizontal="left"/>
    </xf>
    <xf numFmtId="0" fontId="2" fillId="2" borderId="0" xfId="4" applyFont="1" applyFill="1" applyBorder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19" fillId="2" borderId="0" xfId="4" applyFont="1" applyFill="1" applyBorder="1" applyAlignment="1">
      <alignment horizontal="center" vertical="center"/>
    </xf>
    <xf numFmtId="0" fontId="19" fillId="2" borderId="9" xfId="4" applyFont="1" applyFill="1" applyBorder="1" applyAlignment="1">
      <alignment horizontal="center" vertical="center"/>
    </xf>
    <xf numFmtId="0" fontId="19" fillId="2" borderId="6" xfId="4" applyFont="1" applyFill="1" applyBorder="1" applyAlignment="1">
      <alignment horizontal="center" vertical="center"/>
    </xf>
    <xf numFmtId="0" fontId="6" fillId="2" borderId="0" xfId="4" applyFont="1" applyFill="1" applyBorder="1" applyAlignment="1">
      <alignment horizontal="center" vertical="center"/>
    </xf>
    <xf numFmtId="0" fontId="19" fillId="2" borderId="2" xfId="4" applyFont="1" applyFill="1" applyBorder="1" applyAlignment="1">
      <alignment horizontal="center" vertical="center"/>
    </xf>
    <xf numFmtId="0" fontId="25" fillId="2" borderId="15" xfId="4" applyFont="1" applyFill="1" applyBorder="1" applyAlignment="1">
      <alignment vertical="center"/>
    </xf>
    <xf numFmtId="0" fontId="30" fillId="2" borderId="0" xfId="4" applyFont="1" applyFill="1" applyBorder="1" applyAlignment="1" applyProtection="1">
      <alignment horizontal="center" vertical="center" wrapText="1"/>
    </xf>
    <xf numFmtId="0" fontId="16" fillId="2" borderId="0" xfId="4" applyFont="1" applyFill="1" applyBorder="1" applyAlignment="1" applyProtection="1">
      <alignment horizontal="center" vertical="center"/>
    </xf>
    <xf numFmtId="0" fontId="33" fillId="2" borderId="0" xfId="0" applyNumberFormat="1" applyFont="1" applyFill="1" applyBorder="1" applyAlignment="1" applyProtection="1"/>
    <xf numFmtId="1" fontId="25" fillId="2" borderId="0" xfId="4" applyNumberFormat="1" applyFont="1" applyFill="1" applyBorder="1" applyAlignment="1">
      <alignment vertical="center"/>
    </xf>
    <xf numFmtId="1" fontId="25" fillId="2" borderId="0" xfId="4" applyNumberFormat="1" applyFont="1" applyFill="1" applyBorder="1" applyAlignment="1">
      <alignment horizontal="right" vertical="center"/>
    </xf>
    <xf numFmtId="169" fontId="24" fillId="2" borderId="0" xfId="2" applyNumberFormat="1" applyFont="1" applyFill="1" applyBorder="1" applyAlignment="1">
      <alignment vertical="center"/>
    </xf>
    <xf numFmtId="3" fontId="24" fillId="2" borderId="0" xfId="4" applyNumberFormat="1" applyFont="1" applyFill="1" applyBorder="1" applyAlignment="1">
      <alignment vertical="center"/>
    </xf>
    <xf numFmtId="0" fontId="26" fillId="2" borderId="5" xfId="4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8" fillId="2" borderId="5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6" xfId="0" applyFill="1" applyBorder="1"/>
    <xf numFmtId="0" fontId="11" fillId="2" borderId="17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30" fillId="2" borderId="0" xfId="4" applyFont="1" applyFill="1" applyBorder="1" applyAlignment="1" applyProtection="1">
      <alignment horizontal="center" vertical="center" wrapText="1"/>
    </xf>
    <xf numFmtId="0" fontId="25" fillId="2" borderId="5" xfId="4" applyFont="1" applyFill="1" applyBorder="1" applyAlignment="1" applyProtection="1">
      <alignment horizontal="left" vertical="center" wrapText="1"/>
    </xf>
    <xf numFmtId="0" fontId="25" fillId="2" borderId="2" xfId="4" applyFont="1" applyFill="1" applyBorder="1" applyAlignment="1" applyProtection="1">
      <alignment horizontal="left" vertical="center" wrapText="1"/>
    </xf>
    <xf numFmtId="0" fontId="16" fillId="2" borderId="0" xfId="4" applyFont="1" applyFill="1" applyBorder="1" applyAlignment="1" applyProtection="1">
      <alignment horizontal="center" vertical="center"/>
    </xf>
    <xf numFmtId="0" fontId="25" fillId="2" borderId="15" xfId="4" applyFont="1" applyFill="1" applyBorder="1" applyAlignment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35" t="s">
        <v>179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M1" s="2" t="s">
        <v>42</v>
      </c>
      <c r="N1" s="2" t="s">
        <v>47</v>
      </c>
      <c r="O1" s="2" t="s">
        <v>164</v>
      </c>
      <c r="P1" s="2" t="s">
        <v>171</v>
      </c>
      <c r="Q1" s="45" t="s">
        <v>178</v>
      </c>
      <c r="S1" s="46">
        <f>Q2/M2</f>
        <v>5.5298836452988356</v>
      </c>
      <c r="T1" s="47" t="s">
        <v>186</v>
      </c>
      <c r="U1" s="47"/>
    </row>
    <row r="2" spans="1:21" ht="9.75" customHeight="1">
      <c r="A2" s="136" t="s">
        <v>180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48" t="s">
        <v>137</v>
      </c>
      <c r="M2" s="49">
        <f>M4/1000</f>
        <v>41.511000000000003</v>
      </c>
      <c r="N2" s="49">
        <f>N4/1000</f>
        <v>60.665999999999997</v>
      </c>
      <c r="O2" s="49">
        <f>O4/1000</f>
        <v>118.961</v>
      </c>
      <c r="P2" s="49">
        <f>P4/1000</f>
        <v>198.655</v>
      </c>
      <c r="Q2" s="49">
        <f>Q4/1000</f>
        <v>229.55099999999999</v>
      </c>
      <c r="R2" s="50" t="s">
        <v>187</v>
      </c>
    </row>
    <row r="3" spans="1:21" ht="3.7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21" ht="21" customHeight="1">
      <c r="A4" s="137" t="s">
        <v>188</v>
      </c>
      <c r="B4" s="140" t="s">
        <v>46</v>
      </c>
      <c r="C4" s="141"/>
      <c r="D4" s="141"/>
      <c r="E4" s="141"/>
      <c r="F4" s="142"/>
      <c r="G4" s="143" t="s">
        <v>177</v>
      </c>
      <c r="H4" s="144"/>
      <c r="I4" s="144"/>
      <c r="J4" s="144"/>
      <c r="K4" s="145"/>
      <c r="L4" s="48" t="s">
        <v>137</v>
      </c>
      <c r="M4" s="49">
        <v>41511</v>
      </c>
      <c r="N4" s="49">
        <v>60666</v>
      </c>
      <c r="O4" s="51">
        <v>118961</v>
      </c>
      <c r="P4" s="51">
        <v>198655</v>
      </c>
      <c r="Q4" s="52">
        <v>229551</v>
      </c>
    </row>
    <row r="5" spans="1:21" ht="13.5" customHeight="1">
      <c r="A5" s="138"/>
      <c r="B5" s="146" t="s">
        <v>169</v>
      </c>
      <c r="C5" s="146"/>
      <c r="D5" s="146"/>
      <c r="E5" s="146"/>
      <c r="F5" s="147"/>
      <c r="G5" s="148" t="s">
        <v>170</v>
      </c>
      <c r="H5" s="149"/>
      <c r="I5" s="149"/>
      <c r="J5" s="149"/>
      <c r="K5" s="150"/>
    </row>
    <row r="6" spans="1:21" ht="15" customHeight="1">
      <c r="A6" s="139"/>
      <c r="B6" s="2" t="s">
        <v>42</v>
      </c>
      <c r="C6" s="2" t="s">
        <v>47</v>
      </c>
      <c r="D6" s="2" t="s">
        <v>164</v>
      </c>
      <c r="E6" s="2" t="s">
        <v>171</v>
      </c>
      <c r="F6" s="45" t="s">
        <v>178</v>
      </c>
      <c r="G6" s="53">
        <v>2008</v>
      </c>
      <c r="H6" s="3">
        <v>2009</v>
      </c>
      <c r="I6" s="3">
        <v>2010</v>
      </c>
      <c r="J6" s="3">
        <v>2011</v>
      </c>
      <c r="K6" s="54">
        <v>2012</v>
      </c>
    </row>
    <row r="7" spans="1:21" ht="12.75" customHeight="1">
      <c r="A7" s="48" t="s">
        <v>137</v>
      </c>
      <c r="B7" s="49">
        <v>41511</v>
      </c>
      <c r="C7" s="49">
        <v>60666</v>
      </c>
      <c r="D7" s="51">
        <v>118961</v>
      </c>
      <c r="E7" s="51">
        <v>198655</v>
      </c>
      <c r="F7" s="52">
        <v>229551</v>
      </c>
      <c r="G7" s="55">
        <v>15.385256837891928</v>
      </c>
      <c r="H7" s="55">
        <f t="shared" ref="H7:K38" si="0">(C7-B7)/B7*100</f>
        <v>46.144395461443956</v>
      </c>
      <c r="I7" s="56">
        <f t="shared" si="0"/>
        <v>96.091715293574651</v>
      </c>
      <c r="J7" s="56">
        <f t="shared" si="0"/>
        <v>66.991703163221558</v>
      </c>
      <c r="K7" s="57">
        <f t="shared" si="0"/>
        <v>15.552591175656289</v>
      </c>
    </row>
    <row r="8" spans="1:21" ht="12.75" customHeight="1">
      <c r="A8" s="48" t="s">
        <v>116</v>
      </c>
      <c r="B8" s="49">
        <v>69240</v>
      </c>
      <c r="C8" s="49">
        <v>69085</v>
      </c>
      <c r="D8" s="51">
        <v>77108</v>
      </c>
      <c r="E8" s="51">
        <v>90517</v>
      </c>
      <c r="F8" s="52">
        <v>98351</v>
      </c>
      <c r="G8" s="55">
        <v>-4.1912853367280576</v>
      </c>
      <c r="H8" s="55">
        <f t="shared" si="0"/>
        <v>-0.2238590410167533</v>
      </c>
      <c r="I8" s="56">
        <f t="shared" si="0"/>
        <v>11.613230078888325</v>
      </c>
      <c r="J8" s="56">
        <f t="shared" si="0"/>
        <v>17.389894693157647</v>
      </c>
      <c r="K8" s="57">
        <f t="shared" si="0"/>
        <v>8.654727841179005</v>
      </c>
    </row>
    <row r="9" spans="1:21" ht="12.75" customHeight="1">
      <c r="A9" s="48" t="s">
        <v>134</v>
      </c>
      <c r="B9" s="49">
        <v>116821</v>
      </c>
      <c r="C9" s="49">
        <v>105950</v>
      </c>
      <c r="D9" s="51">
        <v>114158</v>
      </c>
      <c r="E9" s="51">
        <v>104508</v>
      </c>
      <c r="F9" s="52">
        <v>91776</v>
      </c>
      <c r="G9" s="55">
        <v>-6.6611802681410701</v>
      </c>
      <c r="H9" s="55">
        <f t="shared" si="0"/>
        <v>-9.3056899016443957</v>
      </c>
      <c r="I9" s="56">
        <f t="shared" si="0"/>
        <v>7.7470504955167536</v>
      </c>
      <c r="J9" s="56">
        <f t="shared" si="0"/>
        <v>-8.4531964470295549</v>
      </c>
      <c r="K9" s="57">
        <f t="shared" si="0"/>
        <v>-12.182799402916524</v>
      </c>
    </row>
    <row r="10" spans="1:21" ht="12.75" customHeight="1">
      <c r="A10" s="48" t="s">
        <v>126</v>
      </c>
      <c r="B10" s="49">
        <v>48978</v>
      </c>
      <c r="C10" s="49">
        <v>40014</v>
      </c>
      <c r="D10" s="51">
        <v>49111</v>
      </c>
      <c r="E10" s="51">
        <v>63936</v>
      </c>
      <c r="F10" s="52">
        <v>66378</v>
      </c>
      <c r="G10" s="55">
        <v>53.801224682053693</v>
      </c>
      <c r="H10" s="55">
        <f t="shared" si="0"/>
        <v>-18.302094818081589</v>
      </c>
      <c r="I10" s="56">
        <f t="shared" si="0"/>
        <v>22.734542909981506</v>
      </c>
      <c r="J10" s="56">
        <f t="shared" si="0"/>
        <v>30.186719879456742</v>
      </c>
      <c r="K10" s="57">
        <f t="shared" si="0"/>
        <v>3.8194444444444446</v>
      </c>
    </row>
    <row r="11" spans="1:21" ht="12.75" customHeight="1">
      <c r="A11" s="48" t="s">
        <v>121</v>
      </c>
      <c r="B11" s="49">
        <v>103824</v>
      </c>
      <c r="C11" s="49">
        <v>89292</v>
      </c>
      <c r="D11" s="51">
        <v>89596</v>
      </c>
      <c r="E11" s="51">
        <v>83088</v>
      </c>
      <c r="F11" s="52">
        <v>62782</v>
      </c>
      <c r="G11" s="55">
        <v>-11.44772529553247</v>
      </c>
      <c r="H11" s="55">
        <f t="shared" si="0"/>
        <v>-13.996763754045308</v>
      </c>
      <c r="I11" s="56">
        <f t="shared" si="0"/>
        <v>0.34045603189535456</v>
      </c>
      <c r="J11" s="56">
        <f t="shared" si="0"/>
        <v>-7.2637171302290273</v>
      </c>
      <c r="K11" s="57">
        <f t="shared" si="0"/>
        <v>-24.439148854226843</v>
      </c>
    </row>
    <row r="12" spans="1:21" ht="12.75" customHeight="1">
      <c r="A12" s="48" t="s">
        <v>115</v>
      </c>
      <c r="B12" s="49">
        <v>48100</v>
      </c>
      <c r="C12" s="49">
        <v>50373</v>
      </c>
      <c r="D12" s="51">
        <v>54789</v>
      </c>
      <c r="E12" s="51">
        <v>59694</v>
      </c>
      <c r="F12" s="52">
        <v>56775</v>
      </c>
      <c r="G12" s="55">
        <v>6.1786715525043601</v>
      </c>
      <c r="H12" s="55">
        <f t="shared" si="0"/>
        <v>4.7255717255717258</v>
      </c>
      <c r="I12" s="56">
        <f t="shared" si="0"/>
        <v>8.766601155380858</v>
      </c>
      <c r="J12" s="56">
        <f t="shared" si="0"/>
        <v>8.9525269670919343</v>
      </c>
      <c r="K12" s="57">
        <f t="shared" si="0"/>
        <v>-4.889938687305257</v>
      </c>
    </row>
    <row r="13" spans="1:21" ht="12.75" customHeight="1">
      <c r="A13" s="48" t="s">
        <v>140</v>
      </c>
      <c r="B13" s="49">
        <v>38193</v>
      </c>
      <c r="C13" s="49">
        <v>36641</v>
      </c>
      <c r="D13" s="51">
        <v>38791</v>
      </c>
      <c r="E13" s="51">
        <v>35782</v>
      </c>
      <c r="F13" s="52">
        <v>36438</v>
      </c>
      <c r="G13" s="55">
        <v>-7.120449405413293</v>
      </c>
      <c r="H13" s="55">
        <f t="shared" si="0"/>
        <v>-4.063571858717566</v>
      </c>
      <c r="I13" s="56">
        <f t="shared" si="0"/>
        <v>5.8677437842853637</v>
      </c>
      <c r="J13" s="56">
        <f t="shared" si="0"/>
        <v>-7.7569539326132348</v>
      </c>
      <c r="K13" s="57">
        <f t="shared" si="0"/>
        <v>1.8333240176625119</v>
      </c>
    </row>
    <row r="14" spans="1:21" ht="12.75" customHeight="1">
      <c r="A14" s="48" t="s">
        <v>131</v>
      </c>
      <c r="B14" s="49">
        <v>26983</v>
      </c>
      <c r="C14" s="49">
        <v>26783</v>
      </c>
      <c r="D14" s="51">
        <v>27766</v>
      </c>
      <c r="E14" s="51">
        <v>32504</v>
      </c>
      <c r="F14" s="52">
        <v>35457</v>
      </c>
      <c r="G14" s="55">
        <v>3.0554176373983117</v>
      </c>
      <c r="H14" s="55">
        <f t="shared" si="0"/>
        <v>-0.74120742689841757</v>
      </c>
      <c r="I14" s="56">
        <f t="shared" si="0"/>
        <v>3.6702385841765301</v>
      </c>
      <c r="J14" s="56">
        <f t="shared" si="0"/>
        <v>17.064035150903983</v>
      </c>
      <c r="K14" s="57">
        <f t="shared" si="0"/>
        <v>9.0850356879153349</v>
      </c>
    </row>
    <row r="15" spans="1:21" ht="12.75" customHeight="1">
      <c r="A15" s="48" t="s">
        <v>138</v>
      </c>
      <c r="B15" s="49">
        <v>16663</v>
      </c>
      <c r="C15" s="49">
        <v>15850</v>
      </c>
      <c r="D15" s="51">
        <v>25756</v>
      </c>
      <c r="E15" s="51">
        <v>30978</v>
      </c>
      <c r="F15" s="52">
        <v>31721</v>
      </c>
      <c r="G15" s="55">
        <v>-3.832169446528539</v>
      </c>
      <c r="H15" s="55">
        <f t="shared" si="0"/>
        <v>-4.8790733961471524</v>
      </c>
      <c r="I15" s="56">
        <f t="shared" si="0"/>
        <v>62.498422712933753</v>
      </c>
      <c r="J15" s="56">
        <f t="shared" si="0"/>
        <v>20.274887404876534</v>
      </c>
      <c r="K15" s="57">
        <f t="shared" si="0"/>
        <v>2.3984763380463554</v>
      </c>
    </row>
    <row r="16" spans="1:21" ht="12.75" customHeight="1">
      <c r="A16" s="48" t="s">
        <v>141</v>
      </c>
      <c r="B16" s="49">
        <v>20934</v>
      </c>
      <c r="C16" s="49">
        <v>16135</v>
      </c>
      <c r="D16" s="51">
        <v>24808</v>
      </c>
      <c r="E16" s="51">
        <v>25285</v>
      </c>
      <c r="F16" s="52">
        <v>23933</v>
      </c>
      <c r="G16" s="55">
        <v>-0.20022883295194507</v>
      </c>
      <c r="H16" s="55">
        <f t="shared" si="0"/>
        <v>-22.92442915830706</v>
      </c>
      <c r="I16" s="56">
        <f t="shared" si="0"/>
        <v>53.752711496746208</v>
      </c>
      <c r="J16" s="56">
        <f t="shared" si="0"/>
        <v>1.9227668494034182</v>
      </c>
      <c r="K16" s="57">
        <f t="shared" si="0"/>
        <v>-5.3470437017994854</v>
      </c>
    </row>
    <row r="17" spans="1:15" ht="12.75" customHeight="1">
      <c r="A17" s="58" t="s">
        <v>135</v>
      </c>
      <c r="B17" s="59">
        <v>9482</v>
      </c>
      <c r="C17" s="59">
        <v>9476</v>
      </c>
      <c r="D17" s="60">
        <v>10220</v>
      </c>
      <c r="E17" s="60">
        <v>12088</v>
      </c>
      <c r="F17" s="61">
        <v>18612</v>
      </c>
      <c r="G17" s="62">
        <v>16.272225628448805</v>
      </c>
      <c r="H17" s="62">
        <f t="shared" si="0"/>
        <v>-6.3277789495886944E-2</v>
      </c>
      <c r="I17" s="63">
        <f t="shared" si="0"/>
        <v>7.8514140987758552</v>
      </c>
      <c r="J17" s="63">
        <f t="shared" si="0"/>
        <v>18.277886497064578</v>
      </c>
      <c r="K17" s="64">
        <f t="shared" si="0"/>
        <v>53.970880211780283</v>
      </c>
    </row>
    <row r="18" spans="1:15" ht="12.75" customHeight="1">
      <c r="A18" s="58" t="s">
        <v>110</v>
      </c>
      <c r="B18" s="59">
        <v>13462</v>
      </c>
      <c r="C18" s="59">
        <v>13274</v>
      </c>
      <c r="D18" s="60">
        <v>14944</v>
      </c>
      <c r="E18" s="60">
        <v>16655</v>
      </c>
      <c r="F18" s="61">
        <v>18164</v>
      </c>
      <c r="G18" s="62">
        <v>-1.5431873034447401</v>
      </c>
      <c r="H18" s="62">
        <f t="shared" si="0"/>
        <v>-1.3965235477640767</v>
      </c>
      <c r="I18" s="63">
        <f t="shared" si="0"/>
        <v>12.580985384963087</v>
      </c>
      <c r="J18" s="63">
        <f t="shared" si="0"/>
        <v>11.44941113490364</v>
      </c>
      <c r="K18" s="64">
        <f t="shared" si="0"/>
        <v>9.0603422395676976</v>
      </c>
    </row>
    <row r="19" spans="1:15" ht="12.75" customHeight="1">
      <c r="A19" s="58" t="s">
        <v>154</v>
      </c>
      <c r="B19" s="59">
        <v>8853</v>
      </c>
      <c r="C19" s="59">
        <v>9438</v>
      </c>
      <c r="D19" s="60">
        <v>11482</v>
      </c>
      <c r="E19" s="60">
        <v>14490</v>
      </c>
      <c r="F19" s="61">
        <v>16049</v>
      </c>
      <c r="G19" s="62">
        <v>-5.2952503209242625</v>
      </c>
      <c r="H19" s="62">
        <f t="shared" si="0"/>
        <v>6.607929515418502</v>
      </c>
      <c r="I19" s="63">
        <f t="shared" si="0"/>
        <v>21.657130748039837</v>
      </c>
      <c r="J19" s="63">
        <f t="shared" si="0"/>
        <v>26.197526563316497</v>
      </c>
      <c r="K19" s="64">
        <f t="shared" si="0"/>
        <v>10.759144237405106</v>
      </c>
    </row>
    <row r="20" spans="1:15" ht="12.75" customHeight="1">
      <c r="A20" s="58" t="s">
        <v>156</v>
      </c>
      <c r="B20" s="59">
        <v>9368</v>
      </c>
      <c r="C20" s="59">
        <v>7392</v>
      </c>
      <c r="D20" s="60">
        <v>9622</v>
      </c>
      <c r="E20" s="60">
        <v>12778</v>
      </c>
      <c r="F20" s="61">
        <v>15208</v>
      </c>
      <c r="G20" s="62">
        <v>-0.40399744843716773</v>
      </c>
      <c r="H20" s="62">
        <f t="shared" si="0"/>
        <v>-21.093082835183605</v>
      </c>
      <c r="I20" s="63">
        <f t="shared" si="0"/>
        <v>30.167748917748916</v>
      </c>
      <c r="J20" s="63">
        <f t="shared" si="0"/>
        <v>32.799833714404492</v>
      </c>
      <c r="K20" s="64">
        <f t="shared" si="0"/>
        <v>19.017060572859602</v>
      </c>
    </row>
    <row r="21" spans="1:15" ht="12.75" customHeight="1">
      <c r="A21" s="58" t="s">
        <v>145</v>
      </c>
      <c r="B21" s="59">
        <v>4956</v>
      </c>
      <c r="C21" s="59">
        <v>5214</v>
      </c>
      <c r="D21" s="60">
        <v>5332</v>
      </c>
      <c r="E21" s="60">
        <v>7990</v>
      </c>
      <c r="F21" s="61">
        <v>9625</v>
      </c>
      <c r="G21" s="62">
        <v>11.220825852782765</v>
      </c>
      <c r="H21" s="62">
        <f t="shared" si="0"/>
        <v>5.2058111380145284</v>
      </c>
      <c r="I21" s="63">
        <f t="shared" si="0"/>
        <v>2.263137706175681</v>
      </c>
      <c r="J21" s="63">
        <f t="shared" si="0"/>
        <v>49.849962490622659</v>
      </c>
      <c r="K21" s="64">
        <f t="shared" si="0"/>
        <v>20.463078848560702</v>
      </c>
    </row>
    <row r="22" spans="1:15" ht="12.75" customHeight="1">
      <c r="A22" s="58" t="s">
        <v>146</v>
      </c>
      <c r="B22" s="59">
        <v>9752</v>
      </c>
      <c r="C22" s="59">
        <v>7833</v>
      </c>
      <c r="D22" s="60">
        <v>7872</v>
      </c>
      <c r="E22" s="60">
        <v>9670</v>
      </c>
      <c r="F22" s="61">
        <v>8860</v>
      </c>
      <c r="G22" s="62">
        <v>1.015123264967889</v>
      </c>
      <c r="H22" s="62">
        <f t="shared" si="0"/>
        <v>-19.678014766201805</v>
      </c>
      <c r="I22" s="63">
        <f t="shared" si="0"/>
        <v>0.49789352738414405</v>
      </c>
      <c r="J22" s="63">
        <f t="shared" si="0"/>
        <v>22.840447154471544</v>
      </c>
      <c r="K22" s="64">
        <f t="shared" si="0"/>
        <v>-8.3764219234746644</v>
      </c>
    </row>
    <row r="23" spans="1:15" ht="12.75" customHeight="1">
      <c r="A23" s="58" t="s">
        <v>129</v>
      </c>
      <c r="B23" s="59">
        <v>8217</v>
      </c>
      <c r="C23" s="59">
        <v>7279</v>
      </c>
      <c r="D23" s="60">
        <v>8912</v>
      </c>
      <c r="E23" s="60">
        <v>9710</v>
      </c>
      <c r="F23" s="61">
        <v>8824</v>
      </c>
      <c r="G23" s="62">
        <v>-6.6037735849056602</v>
      </c>
      <c r="H23" s="62">
        <f t="shared" si="0"/>
        <v>-11.415358403310211</v>
      </c>
      <c r="I23" s="63">
        <f t="shared" si="0"/>
        <v>22.434400329715622</v>
      </c>
      <c r="J23" s="63">
        <f t="shared" si="0"/>
        <v>8.9542190305206457</v>
      </c>
      <c r="K23" s="64">
        <f t="shared" si="0"/>
        <v>-9.1246138002059727</v>
      </c>
      <c r="O23" s="47" t="s">
        <v>189</v>
      </c>
    </row>
    <row r="24" spans="1:15" ht="12.75" customHeight="1">
      <c r="A24" s="58" t="s">
        <v>133</v>
      </c>
      <c r="B24" s="59">
        <v>5399</v>
      </c>
      <c r="C24" s="59">
        <v>4643</v>
      </c>
      <c r="D24" s="60">
        <v>5445</v>
      </c>
      <c r="E24" s="60">
        <v>6729</v>
      </c>
      <c r="F24" s="61">
        <v>8044</v>
      </c>
      <c r="G24" s="62">
        <v>52.299012693935119</v>
      </c>
      <c r="H24" s="62">
        <f t="shared" si="0"/>
        <v>-14.002593072791258</v>
      </c>
      <c r="I24" s="63">
        <f t="shared" si="0"/>
        <v>17.273314667241007</v>
      </c>
      <c r="J24" s="63">
        <f t="shared" si="0"/>
        <v>23.581267217630856</v>
      </c>
      <c r="K24" s="64">
        <f t="shared" si="0"/>
        <v>19.542279684945758</v>
      </c>
    </row>
    <row r="25" spans="1:15" ht="12.75" customHeight="1">
      <c r="A25" s="58" t="s">
        <v>161</v>
      </c>
      <c r="B25" s="59">
        <v>2747</v>
      </c>
      <c r="C25" s="59">
        <v>3036</v>
      </c>
      <c r="D25" s="60">
        <v>4040</v>
      </c>
      <c r="E25" s="60">
        <v>5005</v>
      </c>
      <c r="F25" s="61">
        <v>7263</v>
      </c>
      <c r="G25" s="62">
        <v>41.597938144329902</v>
      </c>
      <c r="H25" s="62">
        <f t="shared" si="0"/>
        <v>10.520567892246087</v>
      </c>
      <c r="I25" s="63">
        <f t="shared" si="0"/>
        <v>33.06982872200264</v>
      </c>
      <c r="J25" s="63">
        <f t="shared" si="0"/>
        <v>23.886138613861384</v>
      </c>
      <c r="K25" s="64">
        <f t="shared" si="0"/>
        <v>45.114885114885119</v>
      </c>
    </row>
    <row r="26" spans="1:15" ht="12.75" customHeight="1">
      <c r="A26" s="58" t="s">
        <v>148</v>
      </c>
      <c r="B26" s="59">
        <v>3952</v>
      </c>
      <c r="C26" s="59">
        <v>3813</v>
      </c>
      <c r="D26" s="60">
        <v>5397</v>
      </c>
      <c r="E26" s="60">
        <v>6214</v>
      </c>
      <c r="F26" s="61">
        <v>6896</v>
      </c>
      <c r="G26" s="62">
        <v>7.8897078897078892</v>
      </c>
      <c r="H26" s="62">
        <f t="shared" si="0"/>
        <v>-3.5172064777327936</v>
      </c>
      <c r="I26" s="63">
        <f t="shared" si="0"/>
        <v>41.542092840283239</v>
      </c>
      <c r="J26" s="63">
        <f t="shared" si="0"/>
        <v>15.138039651658328</v>
      </c>
      <c r="K26" s="64">
        <f t="shared" si="0"/>
        <v>10.975217251367878</v>
      </c>
    </row>
    <row r="27" spans="1:15" ht="12.75" customHeight="1">
      <c r="A27" s="58" t="s">
        <v>142</v>
      </c>
      <c r="B27" s="59">
        <v>3137</v>
      </c>
      <c r="C27" s="59">
        <v>3139</v>
      </c>
      <c r="D27" s="60">
        <v>3894</v>
      </c>
      <c r="E27" s="60">
        <v>6055</v>
      </c>
      <c r="F27" s="61">
        <v>6766</v>
      </c>
      <c r="G27" s="62">
        <v>4.6015338446148721</v>
      </c>
      <c r="H27" s="62">
        <f t="shared" si="0"/>
        <v>6.3755180108383797E-2</v>
      </c>
      <c r="I27" s="63">
        <f t="shared" si="0"/>
        <v>24.052245938196879</v>
      </c>
      <c r="J27" s="63">
        <f t="shared" si="0"/>
        <v>55.495634309193633</v>
      </c>
      <c r="K27" s="64">
        <f t="shared" si="0"/>
        <v>11.742361684558217</v>
      </c>
    </row>
    <row r="28" spans="1:15" ht="12.75" customHeight="1">
      <c r="A28" s="58" t="s">
        <v>122</v>
      </c>
      <c r="B28" s="59">
        <v>5595</v>
      </c>
      <c r="C28" s="59">
        <v>5355</v>
      </c>
      <c r="D28" s="60">
        <v>5682</v>
      </c>
      <c r="E28" s="60">
        <v>5693</v>
      </c>
      <c r="F28" s="61">
        <v>6077</v>
      </c>
      <c r="G28" s="62">
        <v>-13.644080876678499</v>
      </c>
      <c r="H28" s="62">
        <f t="shared" si="0"/>
        <v>-4.2895442359249332</v>
      </c>
      <c r="I28" s="63">
        <f t="shared" si="0"/>
        <v>6.1064425770308119</v>
      </c>
      <c r="J28" s="63">
        <f t="shared" si="0"/>
        <v>0.19359380499824005</v>
      </c>
      <c r="K28" s="64">
        <f t="shared" si="0"/>
        <v>6.745125592833304</v>
      </c>
    </row>
    <row r="29" spans="1:15" ht="12.75" customHeight="1">
      <c r="A29" s="58" t="s">
        <v>163</v>
      </c>
      <c r="B29" s="59">
        <v>2585</v>
      </c>
      <c r="C29" s="59">
        <v>2744</v>
      </c>
      <c r="D29" s="60">
        <v>3336</v>
      </c>
      <c r="E29" s="60">
        <v>4130</v>
      </c>
      <c r="F29" s="61">
        <v>5880</v>
      </c>
      <c r="G29" s="62">
        <v>26.777832270720943</v>
      </c>
      <c r="H29" s="62">
        <f t="shared" si="0"/>
        <v>6.1508704061895552</v>
      </c>
      <c r="I29" s="63">
        <f t="shared" si="0"/>
        <v>21.574344023323615</v>
      </c>
      <c r="J29" s="63">
        <f t="shared" si="0"/>
        <v>23.800959232613909</v>
      </c>
      <c r="K29" s="64">
        <f t="shared" si="0"/>
        <v>42.372881355932201</v>
      </c>
    </row>
    <row r="30" spans="1:15" ht="12.75" customHeight="1">
      <c r="A30" s="58" t="s">
        <v>112</v>
      </c>
      <c r="B30" s="59">
        <v>3811</v>
      </c>
      <c r="C30" s="59">
        <v>3851</v>
      </c>
      <c r="D30" s="60">
        <v>5137</v>
      </c>
      <c r="E30" s="60">
        <v>6471</v>
      </c>
      <c r="F30" s="61">
        <v>5588</v>
      </c>
      <c r="G30" s="62">
        <v>37.780187997107738</v>
      </c>
      <c r="H30" s="62">
        <f t="shared" si="0"/>
        <v>1.0495932826029915</v>
      </c>
      <c r="I30" s="63">
        <f t="shared" si="0"/>
        <v>33.393923656193195</v>
      </c>
      <c r="J30" s="63">
        <f t="shared" si="0"/>
        <v>25.968464084095778</v>
      </c>
      <c r="K30" s="64">
        <f t="shared" si="0"/>
        <v>-13.645495286663575</v>
      </c>
    </row>
    <row r="31" spans="1:15" ht="12.75" customHeight="1">
      <c r="A31" s="58" t="s">
        <v>132</v>
      </c>
      <c r="B31" s="59">
        <v>3235</v>
      </c>
      <c r="C31" s="59">
        <v>2758</v>
      </c>
      <c r="D31" s="60">
        <v>4637</v>
      </c>
      <c r="E31" s="60">
        <v>4542</v>
      </c>
      <c r="F31" s="61">
        <v>5416</v>
      </c>
      <c r="G31" s="62">
        <v>32.473382473382472</v>
      </c>
      <c r="H31" s="62">
        <f t="shared" si="0"/>
        <v>-14.744976816074187</v>
      </c>
      <c r="I31" s="63">
        <f t="shared" si="0"/>
        <v>68.129079042784625</v>
      </c>
      <c r="J31" s="63">
        <f t="shared" si="0"/>
        <v>-2.0487384084537417</v>
      </c>
      <c r="K31" s="64">
        <f t="shared" si="0"/>
        <v>19.242624394539849</v>
      </c>
    </row>
    <row r="32" spans="1:15" ht="12.75" customHeight="1">
      <c r="A32" s="58" t="s">
        <v>130</v>
      </c>
      <c r="B32" s="59">
        <v>3542</v>
      </c>
      <c r="C32" s="59">
        <v>3165</v>
      </c>
      <c r="D32" s="60">
        <v>3638</v>
      </c>
      <c r="E32" s="60">
        <v>4896</v>
      </c>
      <c r="F32" s="61">
        <v>5230</v>
      </c>
      <c r="G32" s="62">
        <v>64.820846905537451</v>
      </c>
      <c r="H32" s="62">
        <f t="shared" si="0"/>
        <v>-10.643704121964992</v>
      </c>
      <c r="I32" s="63">
        <f t="shared" si="0"/>
        <v>14.944707740916272</v>
      </c>
      <c r="J32" s="63">
        <f t="shared" si="0"/>
        <v>34.579439252336449</v>
      </c>
      <c r="K32" s="64">
        <f t="shared" si="0"/>
        <v>6.8218954248366011</v>
      </c>
    </row>
    <row r="33" spans="1:14" ht="12.75" customHeight="1">
      <c r="A33" s="58" t="s">
        <v>153</v>
      </c>
      <c r="B33" s="59">
        <v>2966</v>
      </c>
      <c r="C33" s="59">
        <v>3043</v>
      </c>
      <c r="D33" s="60">
        <v>3815</v>
      </c>
      <c r="E33" s="60">
        <v>4690</v>
      </c>
      <c r="F33" s="61">
        <v>5070</v>
      </c>
      <c r="G33" s="62">
        <v>4.0336723956506493</v>
      </c>
      <c r="H33" s="62">
        <f t="shared" si="0"/>
        <v>2.5960890087660147</v>
      </c>
      <c r="I33" s="63">
        <f t="shared" si="0"/>
        <v>25.369700953006902</v>
      </c>
      <c r="J33" s="63">
        <f t="shared" si="0"/>
        <v>22.935779816513762</v>
      </c>
      <c r="K33" s="64">
        <f t="shared" si="0"/>
        <v>8.1023454157782524</v>
      </c>
    </row>
    <row r="34" spans="1:14" ht="12.75" customHeight="1">
      <c r="A34" s="58" t="s">
        <v>147</v>
      </c>
      <c r="B34" s="59">
        <v>2233</v>
      </c>
      <c r="C34" s="59">
        <v>1975</v>
      </c>
      <c r="D34" s="60">
        <v>3831</v>
      </c>
      <c r="E34" s="60">
        <v>5305</v>
      </c>
      <c r="F34" s="61">
        <v>4430</v>
      </c>
      <c r="G34" s="62">
        <v>10.654112983151636</v>
      </c>
      <c r="H34" s="62">
        <f t="shared" si="0"/>
        <v>-11.553963278101209</v>
      </c>
      <c r="I34" s="63">
        <f t="shared" si="0"/>
        <v>93.974683544303801</v>
      </c>
      <c r="J34" s="63">
        <f t="shared" si="0"/>
        <v>38.475593839728525</v>
      </c>
      <c r="K34" s="64">
        <f t="shared" si="0"/>
        <v>-16.493873704052781</v>
      </c>
    </row>
    <row r="35" spans="1:14" ht="12.75" customHeight="1">
      <c r="A35" s="58" t="s">
        <v>162</v>
      </c>
      <c r="B35" s="59">
        <v>1394</v>
      </c>
      <c r="C35" s="59">
        <v>1580</v>
      </c>
      <c r="D35" s="60">
        <v>1699</v>
      </c>
      <c r="E35" s="60">
        <v>2292</v>
      </c>
      <c r="F35" s="61">
        <v>4047</v>
      </c>
      <c r="G35" s="62">
        <v>72.738537794299873</v>
      </c>
      <c r="H35" s="62">
        <f t="shared" si="0"/>
        <v>13.342898134863701</v>
      </c>
      <c r="I35" s="63">
        <f t="shared" si="0"/>
        <v>7.5316455696202533</v>
      </c>
      <c r="J35" s="63">
        <f t="shared" si="0"/>
        <v>34.90288404944085</v>
      </c>
      <c r="K35" s="64">
        <f t="shared" si="0"/>
        <v>76.570680628272243</v>
      </c>
    </row>
    <row r="36" spans="1:14" ht="12.75" customHeight="1">
      <c r="A36" s="58" t="s">
        <v>150</v>
      </c>
      <c r="B36" s="59">
        <v>3732</v>
      </c>
      <c r="C36" s="59">
        <v>2975</v>
      </c>
      <c r="D36" s="60">
        <v>3157</v>
      </c>
      <c r="E36" s="60">
        <v>3684</v>
      </c>
      <c r="F36" s="61">
        <v>3967</v>
      </c>
      <c r="G36" s="62">
        <v>13.331308836926814</v>
      </c>
      <c r="H36" s="62">
        <f t="shared" si="0"/>
        <v>-20.284030010718112</v>
      </c>
      <c r="I36" s="63">
        <f t="shared" si="0"/>
        <v>6.1176470588235299</v>
      </c>
      <c r="J36" s="63">
        <f t="shared" si="0"/>
        <v>16.69306303452645</v>
      </c>
      <c r="K36" s="64">
        <f t="shared" si="0"/>
        <v>7.681867535287731</v>
      </c>
    </row>
    <row r="37" spans="1:14" ht="12.75" customHeight="1">
      <c r="A37" s="58" t="s">
        <v>124</v>
      </c>
      <c r="B37" s="59">
        <v>3325</v>
      </c>
      <c r="C37" s="59">
        <v>3357</v>
      </c>
      <c r="D37" s="60">
        <v>3795</v>
      </c>
      <c r="E37" s="60">
        <v>4158</v>
      </c>
      <c r="F37" s="61">
        <v>3918</v>
      </c>
      <c r="G37" s="62">
        <v>25.047010154193305</v>
      </c>
      <c r="H37" s="62">
        <f t="shared" si="0"/>
        <v>0.96240601503759393</v>
      </c>
      <c r="I37" s="63">
        <f t="shared" si="0"/>
        <v>13.047363717605004</v>
      </c>
      <c r="J37" s="63">
        <f t="shared" si="0"/>
        <v>9.5652173913043477</v>
      </c>
      <c r="K37" s="64">
        <f t="shared" si="0"/>
        <v>-5.7720057720057723</v>
      </c>
    </row>
    <row r="38" spans="1:14" ht="12.75" customHeight="1">
      <c r="A38" s="58" t="s">
        <v>125</v>
      </c>
      <c r="B38" s="59">
        <v>4150</v>
      </c>
      <c r="C38" s="59">
        <v>4822</v>
      </c>
      <c r="D38" s="60">
        <v>4555</v>
      </c>
      <c r="E38" s="60">
        <v>4434</v>
      </c>
      <c r="F38" s="61">
        <v>3660</v>
      </c>
      <c r="G38" s="62">
        <v>-0.90735434574976126</v>
      </c>
      <c r="H38" s="62">
        <f t="shared" si="0"/>
        <v>16.192771084337348</v>
      </c>
      <c r="I38" s="63">
        <f t="shared" si="0"/>
        <v>-5.5371215263376188</v>
      </c>
      <c r="J38" s="63">
        <f t="shared" si="0"/>
        <v>-2.6564215148188803</v>
      </c>
      <c r="K38" s="64">
        <f t="shared" si="0"/>
        <v>-17.456021650879567</v>
      </c>
    </row>
    <row r="39" spans="1:14" ht="12.75" customHeight="1">
      <c r="A39" s="58" t="s">
        <v>113</v>
      </c>
      <c r="B39" s="59">
        <v>1834</v>
      </c>
      <c r="C39" s="59">
        <v>1722</v>
      </c>
      <c r="D39" s="60">
        <v>2422</v>
      </c>
      <c r="E39" s="60">
        <v>3173</v>
      </c>
      <c r="F39" s="61">
        <v>3493</v>
      </c>
      <c r="G39" s="62">
        <v>0.82462891698735563</v>
      </c>
      <c r="H39" s="62">
        <f t="shared" ref="H39:K60" si="1">(C39-B39)/B39*100</f>
        <v>-6.1068702290076331</v>
      </c>
      <c r="I39" s="63">
        <f t="shared" si="1"/>
        <v>40.650406504065039</v>
      </c>
      <c r="J39" s="63">
        <f t="shared" si="1"/>
        <v>31.007431874483899</v>
      </c>
      <c r="K39" s="64">
        <f t="shared" si="1"/>
        <v>10.085092971950834</v>
      </c>
    </row>
    <row r="40" spans="1:14" ht="12.75" customHeight="1">
      <c r="A40" s="58" t="s">
        <v>151</v>
      </c>
      <c r="B40" s="59">
        <v>1962</v>
      </c>
      <c r="C40" s="59">
        <v>2059</v>
      </c>
      <c r="D40" s="60">
        <v>2471</v>
      </c>
      <c r="E40" s="60">
        <v>2781</v>
      </c>
      <c r="F40" s="61">
        <v>3128</v>
      </c>
      <c r="G40" s="62">
        <v>26.336123631680618</v>
      </c>
      <c r="H40" s="62">
        <f t="shared" si="1"/>
        <v>4.9439347604485224</v>
      </c>
      <c r="I40" s="63">
        <f t="shared" si="1"/>
        <v>20.009713453132587</v>
      </c>
      <c r="J40" s="63">
        <f t="shared" si="1"/>
        <v>12.545528126264671</v>
      </c>
      <c r="K40" s="64">
        <f t="shared" si="1"/>
        <v>12.47752606975908</v>
      </c>
    </row>
    <row r="41" spans="1:14" ht="12.75" customHeight="1">
      <c r="A41" s="58" t="s">
        <v>152</v>
      </c>
      <c r="B41" s="59">
        <v>1327</v>
      </c>
      <c r="C41" s="59">
        <v>1304</v>
      </c>
      <c r="D41" s="60">
        <v>1761</v>
      </c>
      <c r="E41" s="60">
        <v>2342</v>
      </c>
      <c r="F41" s="61">
        <v>3061</v>
      </c>
      <c r="G41" s="62">
        <v>87.429378531073439</v>
      </c>
      <c r="H41" s="62">
        <f t="shared" si="1"/>
        <v>-1.7332328560663148</v>
      </c>
      <c r="I41" s="63">
        <f t="shared" si="1"/>
        <v>35.04601226993865</v>
      </c>
      <c r="J41" s="63">
        <f t="shared" si="1"/>
        <v>32.992617830777967</v>
      </c>
      <c r="K41" s="64">
        <f t="shared" si="1"/>
        <v>30.700256191289498</v>
      </c>
    </row>
    <row r="42" spans="1:14" ht="12.75" customHeight="1">
      <c r="A42" s="58" t="s">
        <v>159</v>
      </c>
      <c r="B42" s="59">
        <v>1340</v>
      </c>
      <c r="C42" s="59">
        <v>1181</v>
      </c>
      <c r="D42" s="60">
        <v>1409</v>
      </c>
      <c r="E42" s="60">
        <v>1797</v>
      </c>
      <c r="F42" s="61">
        <v>2987</v>
      </c>
      <c r="G42" s="62">
        <v>33.466135458167329</v>
      </c>
      <c r="H42" s="62">
        <f t="shared" si="1"/>
        <v>-11.865671641791046</v>
      </c>
      <c r="I42" s="63">
        <f t="shared" si="1"/>
        <v>19.30567315834039</v>
      </c>
      <c r="J42" s="63">
        <f t="shared" si="1"/>
        <v>27.537260468417319</v>
      </c>
      <c r="K42" s="64">
        <f t="shared" si="1"/>
        <v>66.221480244852543</v>
      </c>
    </row>
    <row r="43" spans="1:14" ht="12.75" customHeight="1">
      <c r="A43" s="58" t="s">
        <v>123</v>
      </c>
      <c r="B43" s="59">
        <v>2596</v>
      </c>
      <c r="C43" s="59">
        <v>2120</v>
      </c>
      <c r="D43" s="60">
        <v>2153</v>
      </c>
      <c r="E43" s="60">
        <v>2775</v>
      </c>
      <c r="F43" s="61">
        <v>2902</v>
      </c>
      <c r="G43" s="62">
        <v>43.584070796460175</v>
      </c>
      <c r="H43" s="62">
        <f t="shared" si="1"/>
        <v>-18.335901386748844</v>
      </c>
      <c r="I43" s="63">
        <f t="shared" si="1"/>
        <v>1.5566037735849056</v>
      </c>
      <c r="J43" s="63">
        <f t="shared" si="1"/>
        <v>28.889921040408733</v>
      </c>
      <c r="K43" s="64">
        <f t="shared" si="1"/>
        <v>4.576576576576576</v>
      </c>
    </row>
    <row r="44" spans="1:14" ht="12.75" customHeight="1">
      <c r="A44" s="58" t="s">
        <v>127</v>
      </c>
      <c r="B44" s="59">
        <v>1916</v>
      </c>
      <c r="C44" s="59">
        <v>1970</v>
      </c>
      <c r="D44" s="60">
        <v>2348</v>
      </c>
      <c r="E44" s="60">
        <v>2822</v>
      </c>
      <c r="F44" s="61">
        <v>2636</v>
      </c>
      <c r="G44" s="62">
        <v>30.428863172226006</v>
      </c>
      <c r="H44" s="62">
        <f t="shared" si="1"/>
        <v>2.8183716075156577</v>
      </c>
      <c r="I44" s="63">
        <f t="shared" si="1"/>
        <v>19.18781725888325</v>
      </c>
      <c r="J44" s="63">
        <f t="shared" si="1"/>
        <v>20.187393526405451</v>
      </c>
      <c r="K44" s="64">
        <f t="shared" si="1"/>
        <v>-6.5910701630049608</v>
      </c>
    </row>
    <row r="45" spans="1:14" ht="12.75" customHeight="1">
      <c r="A45" s="58" t="s">
        <v>155</v>
      </c>
      <c r="B45" s="59">
        <v>1334</v>
      </c>
      <c r="C45" s="59">
        <v>1374</v>
      </c>
      <c r="D45" s="60">
        <v>1543</v>
      </c>
      <c r="E45" s="60">
        <v>2132</v>
      </c>
      <c r="F45" s="61">
        <v>2594</v>
      </c>
      <c r="G45" s="62">
        <v>3.3307513555383426</v>
      </c>
      <c r="H45" s="62">
        <f t="shared" si="1"/>
        <v>2.9985007496251872</v>
      </c>
      <c r="I45" s="63">
        <f t="shared" si="1"/>
        <v>12.299854439592432</v>
      </c>
      <c r="J45" s="63">
        <f t="shared" si="1"/>
        <v>38.172391445236556</v>
      </c>
      <c r="K45" s="64">
        <f t="shared" si="1"/>
        <v>21.669793621013135</v>
      </c>
      <c r="N45" s="47" t="s">
        <v>190</v>
      </c>
    </row>
    <row r="46" spans="1:14" ht="12" customHeight="1">
      <c r="A46" s="58" t="s">
        <v>120</v>
      </c>
      <c r="B46" s="59">
        <v>1588</v>
      </c>
      <c r="C46" s="59">
        <v>1380</v>
      </c>
      <c r="D46" s="60">
        <v>2113</v>
      </c>
      <c r="E46" s="60">
        <v>2433</v>
      </c>
      <c r="F46" s="61">
        <v>2569</v>
      </c>
      <c r="G46" s="62">
        <v>21.406727828746178</v>
      </c>
      <c r="H46" s="62">
        <f t="shared" si="1"/>
        <v>-13.09823677581864</v>
      </c>
      <c r="I46" s="63">
        <f t="shared" si="1"/>
        <v>53.115942028985508</v>
      </c>
      <c r="J46" s="63">
        <f t="shared" si="1"/>
        <v>15.144344533838144</v>
      </c>
      <c r="K46" s="64">
        <f t="shared" si="1"/>
        <v>5.589806822852446</v>
      </c>
    </row>
    <row r="47" spans="1:14" ht="12.75" customHeight="1">
      <c r="A47" s="58" t="s">
        <v>119</v>
      </c>
      <c r="B47" s="59">
        <v>2884</v>
      </c>
      <c r="C47" s="59">
        <v>2420</v>
      </c>
      <c r="D47" s="60">
        <v>2514</v>
      </c>
      <c r="E47" s="60">
        <v>2444</v>
      </c>
      <c r="F47" s="61">
        <v>2483</v>
      </c>
      <c r="G47" s="62">
        <v>-8.3862770012706473</v>
      </c>
      <c r="H47" s="62">
        <f t="shared" si="1"/>
        <v>-16.08876560332871</v>
      </c>
      <c r="I47" s="63">
        <f t="shared" si="1"/>
        <v>3.884297520661157</v>
      </c>
      <c r="J47" s="63">
        <f t="shared" si="1"/>
        <v>-2.7844073190135243</v>
      </c>
      <c r="K47" s="64">
        <f t="shared" si="1"/>
        <v>1.5957446808510638</v>
      </c>
    </row>
    <row r="48" spans="1:14" ht="12.75" customHeight="1">
      <c r="A48" s="58" t="s">
        <v>118</v>
      </c>
      <c r="B48" s="59">
        <v>2052</v>
      </c>
      <c r="C48" s="59">
        <v>1848</v>
      </c>
      <c r="D48" s="60">
        <v>2434</v>
      </c>
      <c r="E48" s="60">
        <v>2596</v>
      </c>
      <c r="F48" s="61">
        <v>2408</v>
      </c>
      <c r="G48" s="62">
        <v>-20.093457943925234</v>
      </c>
      <c r="H48" s="62">
        <f t="shared" si="1"/>
        <v>-9.9415204678362574</v>
      </c>
      <c r="I48" s="63">
        <f t="shared" si="1"/>
        <v>31.70995670995671</v>
      </c>
      <c r="J48" s="63">
        <f t="shared" si="1"/>
        <v>6.6557107641741986</v>
      </c>
      <c r="K48" s="64">
        <f t="shared" si="1"/>
        <v>-7.2419106317411401</v>
      </c>
    </row>
    <row r="49" spans="1:11" ht="12.75" customHeight="1">
      <c r="A49" s="58" t="s">
        <v>149</v>
      </c>
      <c r="B49" s="59">
        <v>1065</v>
      </c>
      <c r="C49" s="59">
        <v>1182</v>
      </c>
      <c r="D49" s="60">
        <v>1575</v>
      </c>
      <c r="E49" s="60">
        <v>2485</v>
      </c>
      <c r="F49" s="61">
        <v>2345</v>
      </c>
      <c r="G49" s="62">
        <v>-45.412608918503331</v>
      </c>
      <c r="H49" s="62">
        <f t="shared" si="1"/>
        <v>10.985915492957748</v>
      </c>
      <c r="I49" s="63">
        <f t="shared" si="1"/>
        <v>33.248730964467008</v>
      </c>
      <c r="J49" s="63">
        <f t="shared" si="1"/>
        <v>57.777777777777771</v>
      </c>
      <c r="K49" s="64">
        <f t="shared" si="1"/>
        <v>-5.6338028169014089</v>
      </c>
    </row>
    <row r="50" spans="1:11" ht="12.75" customHeight="1">
      <c r="A50" s="58" t="s">
        <v>144</v>
      </c>
      <c r="B50" s="59">
        <v>871</v>
      </c>
      <c r="C50" s="59">
        <v>979</v>
      </c>
      <c r="D50" s="60">
        <v>1066</v>
      </c>
      <c r="E50" s="60">
        <v>1652</v>
      </c>
      <c r="F50" s="61">
        <v>2265</v>
      </c>
      <c r="G50" s="62">
        <v>-11.303462321792262</v>
      </c>
      <c r="H50" s="62">
        <f t="shared" si="1"/>
        <v>12.399540757749714</v>
      </c>
      <c r="I50" s="63">
        <f t="shared" si="1"/>
        <v>8.88661899897855</v>
      </c>
      <c r="J50" s="63">
        <f t="shared" si="1"/>
        <v>54.971857410881796</v>
      </c>
      <c r="K50" s="64">
        <f t="shared" si="1"/>
        <v>37.106537530266344</v>
      </c>
    </row>
    <row r="51" spans="1:11" ht="12.75" customHeight="1">
      <c r="A51" s="58" t="s">
        <v>117</v>
      </c>
      <c r="B51" s="59">
        <v>4926</v>
      </c>
      <c r="C51" s="59">
        <v>5406</v>
      </c>
      <c r="D51" s="60">
        <v>4630</v>
      </c>
      <c r="E51" s="60">
        <v>3009</v>
      </c>
      <c r="F51" s="61">
        <v>2058</v>
      </c>
      <c r="G51" s="62">
        <v>1.5670103092783505</v>
      </c>
      <c r="H51" s="62">
        <f t="shared" si="1"/>
        <v>9.7442143727161987</v>
      </c>
      <c r="I51" s="63">
        <f t="shared" si="1"/>
        <v>-14.354421013688496</v>
      </c>
      <c r="J51" s="63">
        <f t="shared" si="1"/>
        <v>-35.010799136069117</v>
      </c>
      <c r="K51" s="64">
        <f t="shared" si="1"/>
        <v>-31.605184446660019</v>
      </c>
    </row>
    <row r="52" spans="1:11" ht="12.75" customHeight="1">
      <c r="A52" s="58" t="s">
        <v>143</v>
      </c>
      <c r="B52" s="59">
        <v>1191</v>
      </c>
      <c r="C52" s="59">
        <v>1046</v>
      </c>
      <c r="D52" s="60">
        <v>1256</v>
      </c>
      <c r="E52" s="60">
        <v>1842</v>
      </c>
      <c r="F52" s="61">
        <v>1857</v>
      </c>
      <c r="G52" s="62">
        <v>17.5715695952616</v>
      </c>
      <c r="H52" s="62">
        <f t="shared" si="1"/>
        <v>-12.174643157010916</v>
      </c>
      <c r="I52" s="63">
        <f t="shared" si="1"/>
        <v>20.076481835564053</v>
      </c>
      <c r="J52" s="63">
        <f t="shared" si="1"/>
        <v>46.656050955414017</v>
      </c>
      <c r="K52" s="64">
        <f t="shared" si="1"/>
        <v>0.81433224755700329</v>
      </c>
    </row>
    <row r="53" spans="1:11" ht="12.75" customHeight="1">
      <c r="A53" s="58" t="s">
        <v>139</v>
      </c>
      <c r="B53" s="59">
        <v>581</v>
      </c>
      <c r="C53" s="59">
        <v>677</v>
      </c>
      <c r="D53" s="60">
        <v>818</v>
      </c>
      <c r="E53" s="60">
        <v>1283</v>
      </c>
      <c r="F53" s="61">
        <v>1772</v>
      </c>
      <c r="G53" s="62">
        <v>-38.388123011664902</v>
      </c>
      <c r="H53" s="62">
        <f t="shared" si="1"/>
        <v>16.523235800344235</v>
      </c>
      <c r="I53" s="63">
        <f t="shared" si="1"/>
        <v>20.827178729689809</v>
      </c>
      <c r="J53" s="63">
        <f t="shared" si="1"/>
        <v>56.845965770171148</v>
      </c>
      <c r="K53" s="64">
        <f t="shared" si="1"/>
        <v>38.113795791114576</v>
      </c>
    </row>
    <row r="54" spans="1:11" ht="12.75" customHeight="1">
      <c r="A54" s="58" t="s">
        <v>160</v>
      </c>
      <c r="B54" s="59">
        <v>1139</v>
      </c>
      <c r="C54" s="59">
        <v>984</v>
      </c>
      <c r="D54" s="60">
        <v>1145</v>
      </c>
      <c r="E54" s="60">
        <v>1346</v>
      </c>
      <c r="F54" s="61">
        <v>1666</v>
      </c>
      <c r="G54" s="62">
        <v>72.575757575757578</v>
      </c>
      <c r="H54" s="62">
        <f t="shared" si="1"/>
        <v>-13.608428446005268</v>
      </c>
      <c r="I54" s="63">
        <f t="shared" si="1"/>
        <v>16.361788617886177</v>
      </c>
      <c r="J54" s="63">
        <f t="shared" si="1"/>
        <v>17.554585152838428</v>
      </c>
      <c r="K54" s="64">
        <f t="shared" si="1"/>
        <v>23.774145616641899</v>
      </c>
    </row>
    <row r="55" spans="1:11" ht="12.75" customHeight="1">
      <c r="A55" s="58" t="s">
        <v>157</v>
      </c>
      <c r="B55" s="59">
        <v>1184</v>
      </c>
      <c r="C55" s="59">
        <v>991</v>
      </c>
      <c r="D55" s="60">
        <v>1103</v>
      </c>
      <c r="E55" s="60">
        <v>1390</v>
      </c>
      <c r="F55" s="61">
        <v>1579</v>
      </c>
      <c r="G55" s="62">
        <v>3.6777583187390541</v>
      </c>
      <c r="H55" s="62">
        <f t="shared" si="1"/>
        <v>-16.300675675675674</v>
      </c>
      <c r="I55" s="63">
        <f t="shared" si="1"/>
        <v>11.301715438950556</v>
      </c>
      <c r="J55" s="63">
        <f t="shared" si="1"/>
        <v>26.019945602901178</v>
      </c>
      <c r="K55" s="64">
        <f t="shared" si="1"/>
        <v>13.597122302158274</v>
      </c>
    </row>
    <row r="56" spans="1:11" ht="12.75" customHeight="1">
      <c r="A56" s="58" t="s">
        <v>111</v>
      </c>
      <c r="B56" s="59">
        <v>3368</v>
      </c>
      <c r="C56" s="59">
        <v>3437</v>
      </c>
      <c r="D56" s="60">
        <v>4386</v>
      </c>
      <c r="E56" s="60">
        <v>5738</v>
      </c>
      <c r="F56" s="61">
        <v>1509</v>
      </c>
      <c r="G56" s="62">
        <v>-5.1801801801801801</v>
      </c>
      <c r="H56" s="62">
        <f t="shared" si="1"/>
        <v>2.0486935866983371</v>
      </c>
      <c r="I56" s="63">
        <f t="shared" si="1"/>
        <v>27.611288914751235</v>
      </c>
      <c r="J56" s="63">
        <f t="shared" si="1"/>
        <v>30.825353397172822</v>
      </c>
      <c r="K56" s="64">
        <f t="shared" si="1"/>
        <v>-73.701638201463922</v>
      </c>
    </row>
    <row r="57" spans="1:11" ht="12.75" customHeight="1">
      <c r="A57" s="58" t="s">
        <v>114</v>
      </c>
      <c r="B57" s="59">
        <v>865</v>
      </c>
      <c r="C57" s="59">
        <v>1088</v>
      </c>
      <c r="D57" s="60">
        <v>1281</v>
      </c>
      <c r="E57" s="60">
        <v>1535</v>
      </c>
      <c r="F57" s="61">
        <v>1402</v>
      </c>
      <c r="G57" s="62">
        <v>9.6324461343472745</v>
      </c>
      <c r="H57" s="62">
        <f t="shared" si="1"/>
        <v>25.780346820809246</v>
      </c>
      <c r="I57" s="63">
        <f t="shared" si="1"/>
        <v>17.738970588235293</v>
      </c>
      <c r="J57" s="63">
        <f t="shared" si="1"/>
        <v>19.828259172521467</v>
      </c>
      <c r="K57" s="64">
        <f t="shared" si="1"/>
        <v>-8.664495114006515</v>
      </c>
    </row>
    <row r="58" spans="1:11" ht="12.75" customHeight="1">
      <c r="A58" s="58" t="s">
        <v>128</v>
      </c>
      <c r="B58" s="59">
        <v>1372</v>
      </c>
      <c r="C58" s="59">
        <v>1324</v>
      </c>
      <c r="D58" s="60">
        <v>1647</v>
      </c>
      <c r="E58" s="60">
        <v>1609</v>
      </c>
      <c r="F58" s="61">
        <v>1295</v>
      </c>
      <c r="G58" s="62">
        <v>13.953488372093023</v>
      </c>
      <c r="H58" s="62">
        <f t="shared" si="1"/>
        <v>-3.4985422740524781</v>
      </c>
      <c r="I58" s="63">
        <f t="shared" si="1"/>
        <v>24.395770392749245</v>
      </c>
      <c r="J58" s="63">
        <f t="shared" si="1"/>
        <v>-2.3072252580449302</v>
      </c>
      <c r="K58" s="64">
        <f t="shared" si="1"/>
        <v>-19.515226848974518</v>
      </c>
    </row>
    <row r="59" spans="1:11" ht="12.75" customHeight="1">
      <c r="A59" s="58" t="s">
        <v>136</v>
      </c>
      <c r="B59" s="59">
        <v>455</v>
      </c>
      <c r="C59" s="59">
        <v>388</v>
      </c>
      <c r="D59" s="60">
        <v>525</v>
      </c>
      <c r="E59" s="60">
        <v>1496</v>
      </c>
      <c r="F59" s="61">
        <v>1221</v>
      </c>
      <c r="G59" s="62">
        <v>-64.563862928348911</v>
      </c>
      <c r="H59" s="62">
        <f t="shared" si="1"/>
        <v>-14.725274725274726</v>
      </c>
      <c r="I59" s="63">
        <f t="shared" si="1"/>
        <v>35.309278350515463</v>
      </c>
      <c r="J59" s="63">
        <f t="shared" si="1"/>
        <v>184.95238095238096</v>
      </c>
      <c r="K59" s="64">
        <f t="shared" si="1"/>
        <v>-18.382352941176471</v>
      </c>
    </row>
    <row r="60" spans="1:11" ht="12.75" customHeight="1">
      <c r="A60" s="65" t="s">
        <v>158</v>
      </c>
      <c r="B60" s="66">
        <v>22</v>
      </c>
      <c r="C60" s="66">
        <v>21</v>
      </c>
      <c r="D60" s="67">
        <v>31</v>
      </c>
      <c r="E60" s="67">
        <v>27</v>
      </c>
      <c r="F60" s="68">
        <v>39</v>
      </c>
      <c r="G60" s="69">
        <v>-80.530973451327441</v>
      </c>
      <c r="H60" s="69">
        <f t="shared" si="1"/>
        <v>-4.5454545454545459</v>
      </c>
      <c r="I60" s="70">
        <f t="shared" si="1"/>
        <v>47.619047619047613</v>
      </c>
      <c r="J60" s="70">
        <f t="shared" si="1"/>
        <v>-12.903225806451612</v>
      </c>
      <c r="K60" s="71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2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2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B286"/>
  <sheetViews>
    <sheetView showGridLines="0" tabSelected="1" zoomScaleNormal="100" zoomScaleSheetLayoutView="55" workbookViewId="0">
      <pane xSplit="5" ySplit="5" topLeftCell="F78" activePane="bottomRight" state="frozen"/>
      <selection pane="topRight" activeCell="F1" sqref="F1"/>
      <selection pane="bottomLeft" activeCell="A6" sqref="A6"/>
      <selection pane="bottomRight" activeCell="W118" sqref="W118"/>
    </sheetView>
  </sheetViews>
  <sheetFormatPr defaultColWidth="9.140625" defaultRowHeight="12.75"/>
  <cols>
    <col min="1" max="1" width="3.42578125" style="118" customWidth="1"/>
    <col min="2" max="2" width="39.42578125" style="104" customWidth="1"/>
    <col min="3" max="3" width="12.42578125" style="24" customWidth="1"/>
    <col min="4" max="4" width="9.28515625" style="24" customWidth="1"/>
    <col min="5" max="5" width="14" style="24" customWidth="1"/>
    <col min="6" max="11" width="8" style="24" hidden="1" customWidth="1"/>
    <col min="12" max="16" width="8" style="24" customWidth="1"/>
    <col min="17" max="17" width="11.7109375" style="79" customWidth="1"/>
    <col min="18" max="18" width="7.5703125" style="23" customWidth="1"/>
    <col min="19" max="19" width="11" style="23" bestFit="1" customWidth="1"/>
    <col min="20" max="16384" width="9.140625" style="23"/>
  </cols>
  <sheetData>
    <row r="1" spans="1:28" s="93" customFormat="1" ht="21" customHeight="1">
      <c r="A1" s="117"/>
      <c r="B1" s="151" t="s">
        <v>264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27"/>
      <c r="Q1" s="73"/>
      <c r="R1" s="73"/>
      <c r="S1" s="108"/>
    </row>
    <row r="2" spans="1:28" ht="15.75" customHeight="1">
      <c r="B2" s="154" t="s">
        <v>265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28"/>
      <c r="Q2" s="73"/>
      <c r="R2" s="73"/>
      <c r="S2" s="74"/>
    </row>
    <row r="3" spans="1:28" ht="4.5" customHeight="1"/>
    <row r="4" spans="1:28" ht="13.5" customHeight="1">
      <c r="A4" s="119"/>
      <c r="B4" s="152" t="s">
        <v>1</v>
      </c>
      <c r="C4" s="12" t="s">
        <v>3</v>
      </c>
      <c r="D4" s="12" t="s">
        <v>4</v>
      </c>
      <c r="E4" s="12" t="s">
        <v>5</v>
      </c>
      <c r="F4" s="134"/>
      <c r="G4" s="126"/>
      <c r="H4" s="126"/>
      <c r="I4" s="126"/>
      <c r="J4" s="155" t="s">
        <v>206</v>
      </c>
      <c r="K4" s="155"/>
      <c r="L4" s="155"/>
      <c r="M4" s="155"/>
      <c r="N4" s="155"/>
      <c r="O4" s="155"/>
      <c r="P4" s="155"/>
      <c r="Q4" s="80" t="s">
        <v>6</v>
      </c>
      <c r="R4" s="10"/>
      <c r="S4" s="74"/>
    </row>
    <row r="5" spans="1:28" ht="13.5" customHeight="1">
      <c r="A5" s="120"/>
      <c r="B5" s="153"/>
      <c r="C5" s="13" t="s">
        <v>7</v>
      </c>
      <c r="D5" s="13" t="s">
        <v>8</v>
      </c>
      <c r="E5" s="13" t="s">
        <v>9</v>
      </c>
      <c r="F5" s="41">
        <v>2007</v>
      </c>
      <c r="G5" s="41">
        <v>2008</v>
      </c>
      <c r="H5" s="41">
        <v>2009</v>
      </c>
      <c r="I5" s="41">
        <v>2010</v>
      </c>
      <c r="J5" s="41">
        <v>2011</v>
      </c>
      <c r="K5" s="41">
        <v>2012</v>
      </c>
      <c r="L5" s="41">
        <v>2013</v>
      </c>
      <c r="M5" s="41">
        <v>2014</v>
      </c>
      <c r="N5" s="41">
        <v>2015</v>
      </c>
      <c r="O5" s="41">
        <v>2016</v>
      </c>
      <c r="P5" s="41">
        <v>2017</v>
      </c>
      <c r="Q5" s="81" t="s">
        <v>251</v>
      </c>
      <c r="R5" s="10"/>
      <c r="S5" s="74"/>
    </row>
    <row r="6" spans="1:28" ht="15.95" customHeight="1">
      <c r="A6" s="117"/>
      <c r="B6" s="42" t="s">
        <v>10</v>
      </c>
      <c r="C6" s="20" t="s">
        <v>2</v>
      </c>
      <c r="D6" s="20" t="s">
        <v>2</v>
      </c>
      <c r="E6" s="20" t="s">
        <v>2</v>
      </c>
      <c r="F6" s="8">
        <f>F21+F28+F42+F51+F97+F111+F129+F132+F135+F137+F7+F157</f>
        <v>18724</v>
      </c>
      <c r="G6" s="8">
        <f>G21+G28+G42+G51+G97+G111+G129+G132+G135+G137+G7+G157+G14</f>
        <v>19556</v>
      </c>
      <c r="H6" s="8">
        <f>H21+H28+H42+H51+H97+H111+H129+H132+H135+H137+H7+H157+H14+H148</f>
        <v>20638</v>
      </c>
      <c r="I6" s="8">
        <f>I21+I28+I42+I51+I97+I111+I129+I132+I135+I137+I7+I157+I14+I148</f>
        <v>21046</v>
      </c>
      <c r="J6" s="8">
        <f>J21+J28+J42+J51+J97+J111+J129+J132+J135+J137+J7+J157+J14+J148+J146+J153</f>
        <v>21816</v>
      </c>
      <c r="K6" s="8">
        <f>K21+K28+K42+K51+K97+K111+K129+K132+K135+K137+K7+K157+K14+K148+K146+K153+K11</f>
        <v>22585</v>
      </c>
      <c r="L6" s="8">
        <f>L7+L11+L14+L21+L28+L42+L51+L97+L111+L129+L132+L135+L137+L146+L148+L153+L157+L144</f>
        <v>23487</v>
      </c>
      <c r="M6" s="8">
        <f>M7+M11+M14+M21+M28+M42+M51+M97+M111+M129+M132+M135+M137+M146+M148+M153+M157+M144</f>
        <v>24031</v>
      </c>
      <c r="N6" s="8">
        <f>N7+N11+N14+N21+N28+N42+N51+N97+N111+N129+N132+N135+N137+N146+N148+N153+N157+N144</f>
        <v>24877</v>
      </c>
      <c r="O6" s="8">
        <f>O7+O11+O14+O21+O28+O42+O51+O97+O111+O129+O132+O135+O137+O146+O148+O153+O157+O144</f>
        <v>26933</v>
      </c>
      <c r="P6" s="8">
        <f>P7+P11+P14+P21+P28+P42+P51+P97+P111+P129+P132+P135+P137+P146+P148+P153+P157+P144</f>
        <v>29977</v>
      </c>
      <c r="Q6" s="82">
        <f t="shared" ref="Q6:Q22" si="0">P6/P$6*100</f>
        <v>100</v>
      </c>
      <c r="R6" s="11"/>
      <c r="S6" s="109"/>
    </row>
    <row r="7" spans="1:28" ht="15.95" customHeight="1">
      <c r="A7" s="117"/>
      <c r="B7" s="43" t="s">
        <v>44</v>
      </c>
      <c r="C7" s="20" t="s">
        <v>2</v>
      </c>
      <c r="D7" s="20" t="s">
        <v>2</v>
      </c>
      <c r="E7" s="20" t="s">
        <v>2</v>
      </c>
      <c r="F7" s="8">
        <f t="shared" ref="F7:L7" si="1">SUM(F8:F10)</f>
        <v>390</v>
      </c>
      <c r="G7" s="8">
        <f t="shared" si="1"/>
        <v>432</v>
      </c>
      <c r="H7" s="8">
        <f t="shared" si="1"/>
        <v>432</v>
      </c>
      <c r="I7" s="8">
        <f t="shared" si="1"/>
        <v>456</v>
      </c>
      <c r="J7" s="8">
        <f t="shared" si="1"/>
        <v>456</v>
      </c>
      <c r="K7" s="8">
        <f t="shared" si="1"/>
        <v>456</v>
      </c>
      <c r="L7" s="8">
        <f t="shared" si="1"/>
        <v>456</v>
      </c>
      <c r="M7" s="8">
        <f>SUM(M8:M10)</f>
        <v>464</v>
      </c>
      <c r="N7" s="8">
        <f>SUM(N8:N10)</f>
        <v>464</v>
      </c>
      <c r="O7" s="8">
        <f>SUM(O8:O10)</f>
        <v>464</v>
      </c>
      <c r="P7" s="8">
        <f>SUM(P8:P10)</f>
        <v>594</v>
      </c>
      <c r="Q7" s="83">
        <f t="shared" si="0"/>
        <v>1.9815191646929311</v>
      </c>
      <c r="R7" s="11"/>
      <c r="S7" s="130"/>
      <c r="T7" s="130"/>
      <c r="U7" s="130"/>
      <c r="V7" s="130"/>
      <c r="W7" s="131"/>
      <c r="X7" s="130"/>
      <c r="Y7" s="130"/>
      <c r="Z7" s="130"/>
      <c r="AA7" s="130"/>
      <c r="AB7" s="93"/>
    </row>
    <row r="8" spans="1:28" s="76" customFormat="1" ht="25.5" customHeight="1">
      <c r="A8" s="121">
        <v>1</v>
      </c>
      <c r="B8" s="97" t="s">
        <v>242</v>
      </c>
      <c r="C8" s="14">
        <v>2005</v>
      </c>
      <c r="D8" s="15">
        <v>50</v>
      </c>
      <c r="E8" s="15">
        <v>250</v>
      </c>
      <c r="F8" s="15">
        <v>90</v>
      </c>
      <c r="G8" s="15">
        <v>90</v>
      </c>
      <c r="H8" s="15">
        <v>90</v>
      </c>
      <c r="I8" s="15">
        <v>90</v>
      </c>
      <c r="J8" s="15">
        <v>90</v>
      </c>
      <c r="K8" s="15">
        <v>90</v>
      </c>
      <c r="L8" s="15">
        <v>90</v>
      </c>
      <c r="M8" s="15">
        <v>90</v>
      </c>
      <c r="N8" s="15">
        <v>90</v>
      </c>
      <c r="O8" s="15">
        <v>90</v>
      </c>
      <c r="P8" s="15">
        <v>220</v>
      </c>
      <c r="Q8" s="87">
        <f t="shared" si="0"/>
        <v>0.73389598692330782</v>
      </c>
      <c r="R8" s="96"/>
      <c r="S8" s="132"/>
      <c r="T8" s="132"/>
      <c r="U8" s="132"/>
      <c r="V8" s="132"/>
      <c r="W8" s="132"/>
      <c r="X8" s="132"/>
      <c r="Y8" s="132"/>
      <c r="Z8" s="132"/>
      <c r="AA8" s="132"/>
      <c r="AB8" s="111"/>
    </row>
    <row r="9" spans="1:28" s="76" customFormat="1" ht="15.95" customHeight="1">
      <c r="A9" s="121">
        <v>2</v>
      </c>
      <c r="B9" s="97" t="s">
        <v>243</v>
      </c>
      <c r="C9" s="14">
        <v>2007</v>
      </c>
      <c r="D9" s="15">
        <v>66</v>
      </c>
      <c r="E9" s="15">
        <v>300</v>
      </c>
      <c r="F9" s="15">
        <v>200</v>
      </c>
      <c r="G9" s="15">
        <v>200</v>
      </c>
      <c r="H9" s="15">
        <v>200</v>
      </c>
      <c r="I9" s="15">
        <v>200</v>
      </c>
      <c r="J9" s="15">
        <v>200</v>
      </c>
      <c r="K9" s="15">
        <v>200</v>
      </c>
      <c r="L9" s="15">
        <v>200</v>
      </c>
      <c r="M9" s="15">
        <v>200</v>
      </c>
      <c r="N9" s="15">
        <v>200</v>
      </c>
      <c r="O9" s="15">
        <v>200</v>
      </c>
      <c r="P9" s="15">
        <v>200</v>
      </c>
      <c r="Q9" s="87">
        <f t="shared" si="0"/>
        <v>0.6671781699302799</v>
      </c>
      <c r="R9" s="16"/>
      <c r="S9" s="110"/>
      <c r="T9" s="111"/>
      <c r="U9" s="111"/>
      <c r="V9" s="111"/>
      <c r="W9" s="111"/>
      <c r="X9" s="111"/>
      <c r="Y9" s="111"/>
      <c r="Z9" s="111"/>
      <c r="AA9" s="111"/>
      <c r="AB9" s="111"/>
    </row>
    <row r="10" spans="1:28" s="76" customFormat="1" ht="12.75" customHeight="1">
      <c r="A10" s="122">
        <v>3</v>
      </c>
      <c r="B10" s="98" t="s">
        <v>244</v>
      </c>
      <c r="C10" s="33">
        <v>2007</v>
      </c>
      <c r="D10" s="35">
        <v>100</v>
      </c>
      <c r="E10" s="35">
        <v>337</v>
      </c>
      <c r="F10" s="35">
        <v>100</v>
      </c>
      <c r="G10" s="35">
        <v>142</v>
      </c>
      <c r="H10" s="35">
        <v>142</v>
      </c>
      <c r="I10" s="35">
        <v>166</v>
      </c>
      <c r="J10" s="35">
        <v>166</v>
      </c>
      <c r="K10" s="35">
        <v>166</v>
      </c>
      <c r="L10" s="77">
        <v>166</v>
      </c>
      <c r="M10" s="77">
        <v>174</v>
      </c>
      <c r="N10" s="77">
        <v>174</v>
      </c>
      <c r="O10" s="77">
        <v>174</v>
      </c>
      <c r="P10" s="77">
        <v>174</v>
      </c>
      <c r="Q10" s="90">
        <f t="shared" si="0"/>
        <v>0.5804450078393435</v>
      </c>
      <c r="R10" s="16"/>
      <c r="S10" s="133"/>
      <c r="T10" s="133"/>
      <c r="U10" s="133"/>
      <c r="V10" s="133"/>
      <c r="W10" s="133"/>
      <c r="X10" s="133"/>
      <c r="Y10" s="133"/>
      <c r="Z10" s="133"/>
      <c r="AA10" s="133"/>
      <c r="AB10" s="111"/>
    </row>
    <row r="11" spans="1:28" s="76" customFormat="1" ht="21.75" customHeight="1">
      <c r="A11" s="121"/>
      <c r="B11" s="43" t="s">
        <v>183</v>
      </c>
      <c r="C11" s="20" t="s">
        <v>2</v>
      </c>
      <c r="D11" s="20" t="s">
        <v>2</v>
      </c>
      <c r="E11" s="20" t="s">
        <v>2</v>
      </c>
      <c r="F11" s="8">
        <f t="shared" ref="F11:K11" si="2">SUM(F13)</f>
        <v>0</v>
      </c>
      <c r="G11" s="8">
        <f t="shared" si="2"/>
        <v>0</v>
      </c>
      <c r="H11" s="8">
        <f t="shared" si="2"/>
        <v>0</v>
      </c>
      <c r="I11" s="8">
        <f t="shared" si="2"/>
        <v>0</v>
      </c>
      <c r="J11" s="8">
        <f t="shared" si="2"/>
        <v>0</v>
      </c>
      <c r="K11" s="8">
        <f t="shared" si="2"/>
        <v>97</v>
      </c>
      <c r="L11" s="8">
        <f>SUM(L13)</f>
        <v>159</v>
      </c>
      <c r="M11" s="8">
        <f>SUM(M13)</f>
        <v>159</v>
      </c>
      <c r="N11" s="8">
        <f>SUM(N13)</f>
        <v>159</v>
      </c>
      <c r="O11" s="8">
        <f>SUM(O13)</f>
        <v>159</v>
      </c>
      <c r="P11" s="92">
        <f>SUM(P12:P13)</f>
        <v>227</v>
      </c>
      <c r="Q11" s="83">
        <f t="shared" si="0"/>
        <v>0.75724722287086765</v>
      </c>
      <c r="R11" s="96"/>
      <c r="S11" s="110"/>
      <c r="T11" s="111"/>
      <c r="U11" s="111"/>
      <c r="V11" s="111"/>
      <c r="W11" s="111"/>
      <c r="X11" s="111"/>
      <c r="Y11" s="111"/>
      <c r="Z11" s="111"/>
      <c r="AA11" s="111"/>
      <c r="AB11" s="111"/>
    </row>
    <row r="12" spans="1:28" s="76" customFormat="1" ht="15" customHeight="1">
      <c r="A12" s="121">
        <v>4</v>
      </c>
      <c r="B12" s="107" t="s">
        <v>252</v>
      </c>
      <c r="C12" s="17">
        <v>2017</v>
      </c>
      <c r="D12" s="15">
        <v>68</v>
      </c>
      <c r="E12" s="20" t="s">
        <v>2</v>
      </c>
      <c r="F12" s="8"/>
      <c r="G12" s="8"/>
      <c r="H12" s="8"/>
      <c r="I12" s="8"/>
      <c r="J12" s="8"/>
      <c r="K12" s="8"/>
      <c r="L12" s="15" t="s">
        <v>2</v>
      </c>
      <c r="M12" s="15" t="s">
        <v>2</v>
      </c>
      <c r="N12" s="15" t="s">
        <v>2</v>
      </c>
      <c r="O12" s="8" t="s">
        <v>2</v>
      </c>
      <c r="P12" s="9">
        <v>68</v>
      </c>
      <c r="Q12" s="87">
        <f t="shared" si="0"/>
        <v>0.22684057777629515</v>
      </c>
      <c r="R12" s="96"/>
      <c r="S12" s="110"/>
      <c r="T12" s="111"/>
      <c r="U12" s="111"/>
      <c r="V12" s="111"/>
      <c r="W12" s="111"/>
      <c r="X12" s="111"/>
      <c r="Y12" s="111"/>
      <c r="Z12" s="111"/>
      <c r="AA12" s="111"/>
      <c r="AB12" s="111"/>
    </row>
    <row r="13" spans="1:28" s="76" customFormat="1" ht="24.75" customHeight="1">
      <c r="A13" s="122">
        <v>5</v>
      </c>
      <c r="B13" s="98" t="s">
        <v>182</v>
      </c>
      <c r="C13" s="37">
        <v>2012</v>
      </c>
      <c r="D13" s="34">
        <v>97</v>
      </c>
      <c r="E13" s="35" t="s">
        <v>2</v>
      </c>
      <c r="F13" s="34" t="s">
        <v>2</v>
      </c>
      <c r="G13" s="34" t="s">
        <v>2</v>
      </c>
      <c r="H13" s="34" t="s">
        <v>2</v>
      </c>
      <c r="I13" s="34" t="s">
        <v>2</v>
      </c>
      <c r="J13" s="34" t="s">
        <v>2</v>
      </c>
      <c r="K13" s="36">
        <v>97</v>
      </c>
      <c r="L13" s="77">
        <v>159</v>
      </c>
      <c r="M13" s="77">
        <v>159</v>
      </c>
      <c r="N13" s="77">
        <v>159</v>
      </c>
      <c r="O13" s="77">
        <v>159</v>
      </c>
      <c r="P13" s="77">
        <v>159</v>
      </c>
      <c r="Q13" s="90">
        <f t="shared" si="0"/>
        <v>0.53040664509457247</v>
      </c>
      <c r="R13" s="96"/>
      <c r="S13" s="75"/>
    </row>
    <row r="14" spans="1:28" ht="15.95" customHeight="1">
      <c r="A14" s="121"/>
      <c r="B14" s="43" t="s">
        <v>45</v>
      </c>
      <c r="C14" s="20" t="s">
        <v>2</v>
      </c>
      <c r="D14" s="20" t="s">
        <v>2</v>
      </c>
      <c r="E14" s="20" t="s">
        <v>2</v>
      </c>
      <c r="F14" s="8">
        <f t="shared" ref="F14:K14" si="3">SUM(F16:F20)</f>
        <v>0</v>
      </c>
      <c r="G14" s="8">
        <f t="shared" si="3"/>
        <v>400</v>
      </c>
      <c r="H14" s="8">
        <f t="shared" si="3"/>
        <v>490</v>
      </c>
      <c r="I14" s="8">
        <f t="shared" si="3"/>
        <v>542</v>
      </c>
      <c r="J14" s="8">
        <f t="shared" si="3"/>
        <v>542</v>
      </c>
      <c r="K14" s="8">
        <f t="shared" si="3"/>
        <v>542</v>
      </c>
      <c r="L14" s="8">
        <f>SUM(L15:L20)</f>
        <v>796</v>
      </c>
      <c r="M14" s="8">
        <f>SUM(M15:M20)</f>
        <v>796</v>
      </c>
      <c r="N14" s="8">
        <f>SUM(N15:N20)</f>
        <v>796</v>
      </c>
      <c r="O14" s="8">
        <f>SUM(O15:O20)</f>
        <v>832</v>
      </c>
      <c r="P14" s="8">
        <f>SUM(P15:P20)</f>
        <v>1176</v>
      </c>
      <c r="Q14" s="83">
        <f t="shared" si="0"/>
        <v>3.9230076391900459</v>
      </c>
      <c r="R14" s="96"/>
      <c r="S14" s="74"/>
    </row>
    <row r="15" spans="1:28" ht="15.95" customHeight="1">
      <c r="A15" s="121">
        <v>6</v>
      </c>
      <c r="B15" s="97" t="s">
        <v>192</v>
      </c>
      <c r="C15" s="18">
        <v>2013</v>
      </c>
      <c r="D15" s="18">
        <v>120</v>
      </c>
      <c r="E15" s="18">
        <v>169</v>
      </c>
      <c r="F15" s="18" t="s">
        <v>2</v>
      </c>
      <c r="G15" s="18" t="s">
        <v>2</v>
      </c>
      <c r="H15" s="18" t="s">
        <v>2</v>
      </c>
      <c r="I15" s="18" t="s">
        <v>2</v>
      </c>
      <c r="J15" s="18" t="s">
        <v>2</v>
      </c>
      <c r="K15" s="18" t="s">
        <v>2</v>
      </c>
      <c r="L15" s="15">
        <v>120</v>
      </c>
      <c r="M15" s="15">
        <v>120</v>
      </c>
      <c r="N15" s="15">
        <v>120</v>
      </c>
      <c r="O15" s="15">
        <v>120</v>
      </c>
      <c r="P15" s="15">
        <v>120</v>
      </c>
      <c r="Q15" s="87">
        <f t="shared" si="0"/>
        <v>0.40030690195816787</v>
      </c>
      <c r="R15" s="96"/>
      <c r="S15" s="74"/>
    </row>
    <row r="16" spans="1:28" ht="22.5" customHeight="1">
      <c r="A16" s="121">
        <v>7</v>
      </c>
      <c r="B16" s="97" t="s">
        <v>106</v>
      </c>
      <c r="C16" s="17">
        <v>2008</v>
      </c>
      <c r="D16" s="15">
        <v>200</v>
      </c>
      <c r="E16" s="15">
        <v>238</v>
      </c>
      <c r="F16" s="15" t="s">
        <v>2</v>
      </c>
      <c r="G16" s="15">
        <v>300</v>
      </c>
      <c r="H16" s="15">
        <v>390</v>
      </c>
      <c r="I16" s="15">
        <v>442</v>
      </c>
      <c r="J16" s="15">
        <v>442</v>
      </c>
      <c r="K16" s="15">
        <v>442</v>
      </c>
      <c r="L16" s="15">
        <v>442</v>
      </c>
      <c r="M16" s="15">
        <v>442</v>
      </c>
      <c r="N16" s="15">
        <v>442</v>
      </c>
      <c r="O16" s="15">
        <v>442</v>
      </c>
      <c r="P16" s="15">
        <v>448</v>
      </c>
      <c r="Q16" s="87">
        <f t="shared" si="0"/>
        <v>1.4944791006438269</v>
      </c>
      <c r="R16" s="96"/>
      <c r="S16" s="74"/>
    </row>
    <row r="17" spans="1:19" ht="15.95" customHeight="1">
      <c r="A17" s="121">
        <v>8</v>
      </c>
      <c r="B17" s="97" t="s">
        <v>208</v>
      </c>
      <c r="C17" s="17">
        <v>2016</v>
      </c>
      <c r="D17" s="15">
        <v>36</v>
      </c>
      <c r="E17" s="15">
        <v>170</v>
      </c>
      <c r="F17" s="15" t="s">
        <v>2</v>
      </c>
      <c r="G17" s="15" t="s">
        <v>2</v>
      </c>
      <c r="H17" s="15" t="s">
        <v>2</v>
      </c>
      <c r="I17" s="15" t="s">
        <v>2</v>
      </c>
      <c r="J17" s="15" t="s">
        <v>2</v>
      </c>
      <c r="K17" s="15" t="s">
        <v>2</v>
      </c>
      <c r="L17" s="15" t="s">
        <v>2</v>
      </c>
      <c r="M17" s="15" t="s">
        <v>2</v>
      </c>
      <c r="N17" s="15" t="s">
        <v>2</v>
      </c>
      <c r="O17" s="15">
        <v>36</v>
      </c>
      <c r="P17" s="15">
        <v>74</v>
      </c>
      <c r="Q17" s="87">
        <f t="shared" si="0"/>
        <v>0.24685592287420358</v>
      </c>
      <c r="R17" s="96"/>
      <c r="S17" s="74"/>
    </row>
    <row r="18" spans="1:19" ht="15.95" customHeight="1">
      <c r="A18" s="121">
        <v>9</v>
      </c>
      <c r="B18" s="97" t="s">
        <v>193</v>
      </c>
      <c r="C18" s="18">
        <v>2013</v>
      </c>
      <c r="D18" s="18">
        <v>100</v>
      </c>
      <c r="E18" s="18">
        <v>186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5">
        <v>134</v>
      </c>
      <c r="M18" s="15">
        <v>134</v>
      </c>
      <c r="N18" s="15">
        <v>134</v>
      </c>
      <c r="O18" s="15">
        <v>134</v>
      </c>
      <c r="P18" s="15">
        <v>134</v>
      </c>
      <c r="Q18" s="87">
        <f t="shared" si="0"/>
        <v>0.44700937385328754</v>
      </c>
      <c r="R18" s="96"/>
      <c r="S18" s="74"/>
    </row>
    <row r="19" spans="1:19" ht="15.95" customHeight="1">
      <c r="A19" s="121">
        <v>10</v>
      </c>
      <c r="B19" s="97" t="s">
        <v>253</v>
      </c>
      <c r="C19" s="17">
        <v>2017</v>
      </c>
      <c r="D19" s="20" t="s">
        <v>2</v>
      </c>
      <c r="E19" s="20" t="s">
        <v>2</v>
      </c>
      <c r="F19" s="18"/>
      <c r="G19" s="18"/>
      <c r="H19" s="18"/>
      <c r="I19" s="18"/>
      <c r="J19" s="18"/>
      <c r="K19" s="18"/>
      <c r="L19" s="15" t="s">
        <v>2</v>
      </c>
      <c r="M19" s="15" t="s">
        <v>2</v>
      </c>
      <c r="N19" s="15" t="s">
        <v>2</v>
      </c>
      <c r="O19" s="8" t="s">
        <v>2</v>
      </c>
      <c r="P19" s="15">
        <v>300</v>
      </c>
      <c r="Q19" s="87">
        <f t="shared" si="0"/>
        <v>1.0007672548954198</v>
      </c>
      <c r="R19" s="96"/>
      <c r="S19" s="74"/>
    </row>
    <row r="20" spans="1:19" s="76" customFormat="1" ht="28.5" customHeight="1">
      <c r="A20" s="121">
        <v>11</v>
      </c>
      <c r="B20" s="97" t="s">
        <v>209</v>
      </c>
      <c r="C20" s="94">
        <v>2008</v>
      </c>
      <c r="D20" s="77">
        <v>100</v>
      </c>
      <c r="E20" s="77">
        <v>180</v>
      </c>
      <c r="F20" s="77" t="s">
        <v>2</v>
      </c>
      <c r="G20" s="15">
        <v>100</v>
      </c>
      <c r="H20" s="15">
        <v>100</v>
      </c>
      <c r="I20" s="15">
        <v>100</v>
      </c>
      <c r="J20" s="15">
        <v>100</v>
      </c>
      <c r="K20" s="15">
        <v>100</v>
      </c>
      <c r="L20" s="15">
        <v>100</v>
      </c>
      <c r="M20" s="15">
        <v>100</v>
      </c>
      <c r="N20" s="15">
        <v>100</v>
      </c>
      <c r="O20" s="15">
        <v>100</v>
      </c>
      <c r="P20" s="15">
        <v>100</v>
      </c>
      <c r="Q20" s="87">
        <f t="shared" si="0"/>
        <v>0.33358908496513995</v>
      </c>
      <c r="R20" s="96"/>
      <c r="S20" s="75"/>
    </row>
    <row r="21" spans="1:19" s="76" customFormat="1" ht="15.95" customHeight="1">
      <c r="A21" s="123"/>
      <c r="B21" s="91" t="s">
        <v>11</v>
      </c>
      <c r="C21" s="20" t="s">
        <v>2</v>
      </c>
      <c r="D21" s="20" t="s">
        <v>2</v>
      </c>
      <c r="E21" s="20" t="s">
        <v>2</v>
      </c>
      <c r="F21" s="92">
        <f t="shared" ref="F21:K21" si="4">SUM(F22)</f>
        <v>470</v>
      </c>
      <c r="G21" s="92">
        <f t="shared" si="4"/>
        <v>470</v>
      </c>
      <c r="H21" s="92">
        <f t="shared" si="4"/>
        <v>470</v>
      </c>
      <c r="I21" s="92">
        <f t="shared" si="4"/>
        <v>470</v>
      </c>
      <c r="J21" s="92">
        <f t="shared" si="4"/>
        <v>470</v>
      </c>
      <c r="K21" s="92">
        <f t="shared" si="4"/>
        <v>470</v>
      </c>
      <c r="L21" s="92">
        <f>SUM(L22)</f>
        <v>470</v>
      </c>
      <c r="M21" s="92">
        <f>SUM(M22:M27)</f>
        <v>656</v>
      </c>
      <c r="N21" s="92">
        <f>SUM(N22:N27)</f>
        <v>680</v>
      </c>
      <c r="O21" s="92">
        <f>SUM(O22:O27)</f>
        <v>810</v>
      </c>
      <c r="P21" s="92">
        <f>SUM(P22:P27)</f>
        <v>1616</v>
      </c>
      <c r="Q21" s="84">
        <f t="shared" si="0"/>
        <v>5.3907996130366609</v>
      </c>
      <c r="R21" s="96"/>
      <c r="S21" s="75"/>
    </row>
    <row r="22" spans="1:19" s="76" customFormat="1" ht="15.95" customHeight="1">
      <c r="A22" s="121">
        <v>12</v>
      </c>
      <c r="B22" s="97" t="s">
        <v>54</v>
      </c>
      <c r="C22" s="17">
        <v>2000</v>
      </c>
      <c r="D22" s="18">
        <v>430</v>
      </c>
      <c r="E22" s="15">
        <v>130.30000000000001</v>
      </c>
      <c r="F22" s="19">
        <v>470</v>
      </c>
      <c r="G22" s="19">
        <v>470</v>
      </c>
      <c r="H22" s="19">
        <v>470</v>
      </c>
      <c r="I22" s="19">
        <v>470</v>
      </c>
      <c r="J22" s="19">
        <v>470</v>
      </c>
      <c r="K22" s="19">
        <v>470</v>
      </c>
      <c r="L22" s="19">
        <v>470</v>
      </c>
      <c r="M22" s="19">
        <v>470</v>
      </c>
      <c r="N22" s="19">
        <v>470</v>
      </c>
      <c r="O22" s="19">
        <v>470</v>
      </c>
      <c r="P22" s="19">
        <v>470</v>
      </c>
      <c r="Q22" s="87">
        <f t="shared" si="0"/>
        <v>1.5678686993361577</v>
      </c>
      <c r="R22" s="96"/>
      <c r="S22" s="75"/>
    </row>
    <row r="23" spans="1:19" s="76" customFormat="1" ht="15.95" customHeight="1">
      <c r="A23" s="121">
        <v>13</v>
      </c>
      <c r="B23" s="97" t="s">
        <v>254</v>
      </c>
      <c r="C23" s="17">
        <v>2017</v>
      </c>
      <c r="D23" s="18"/>
      <c r="E23" s="20" t="s">
        <v>2</v>
      </c>
      <c r="F23" s="19"/>
      <c r="G23" s="19"/>
      <c r="H23" s="19"/>
      <c r="I23" s="19"/>
      <c r="J23" s="19"/>
      <c r="K23" s="19"/>
      <c r="L23" s="15" t="s">
        <v>2</v>
      </c>
      <c r="M23" s="15" t="s">
        <v>2</v>
      </c>
      <c r="N23" s="15" t="s">
        <v>2</v>
      </c>
      <c r="O23" s="8" t="s">
        <v>2</v>
      </c>
      <c r="P23" s="19">
        <v>358</v>
      </c>
      <c r="Q23" s="87">
        <f t="shared" ref="Q23:Q26" si="5">P23/P$6*100</f>
        <v>1.194248924175201</v>
      </c>
      <c r="R23" s="96"/>
      <c r="S23" s="75"/>
    </row>
    <row r="24" spans="1:19" s="76" customFormat="1" ht="15.95" customHeight="1">
      <c r="A24" s="121">
        <v>14</v>
      </c>
      <c r="B24" s="97" t="s">
        <v>210</v>
      </c>
      <c r="C24" s="17">
        <v>2016</v>
      </c>
      <c r="D24" s="18">
        <v>130</v>
      </c>
      <c r="E24" s="15">
        <v>155</v>
      </c>
      <c r="F24" s="19" t="s">
        <v>2</v>
      </c>
      <c r="G24" s="19" t="s">
        <v>2</v>
      </c>
      <c r="H24" s="19" t="s">
        <v>2</v>
      </c>
      <c r="I24" s="19" t="s">
        <v>2</v>
      </c>
      <c r="J24" s="19" t="s">
        <v>2</v>
      </c>
      <c r="K24" s="19" t="s">
        <v>2</v>
      </c>
      <c r="L24" s="19" t="s">
        <v>2</v>
      </c>
      <c r="M24" s="19" t="s">
        <v>2</v>
      </c>
      <c r="N24" s="19" t="s">
        <v>2</v>
      </c>
      <c r="O24" s="19">
        <v>130</v>
      </c>
      <c r="P24" s="19">
        <v>202</v>
      </c>
      <c r="Q24" s="87">
        <f t="shared" si="5"/>
        <v>0.67384995162958261</v>
      </c>
      <c r="R24" s="96"/>
      <c r="S24" s="75"/>
    </row>
    <row r="25" spans="1:19" s="76" customFormat="1" ht="15.95" customHeight="1">
      <c r="A25" s="121">
        <v>15</v>
      </c>
      <c r="B25" s="97" t="s">
        <v>255</v>
      </c>
      <c r="C25" s="17">
        <v>2017</v>
      </c>
      <c r="D25" s="20" t="s">
        <v>2</v>
      </c>
      <c r="E25" s="20" t="s">
        <v>2</v>
      </c>
      <c r="F25" s="19"/>
      <c r="G25" s="19"/>
      <c r="H25" s="19"/>
      <c r="I25" s="19"/>
      <c r="J25" s="19"/>
      <c r="K25" s="19"/>
      <c r="L25" s="15" t="s">
        <v>2</v>
      </c>
      <c r="M25" s="15" t="s">
        <v>2</v>
      </c>
      <c r="N25" s="15" t="s">
        <v>2</v>
      </c>
      <c r="O25" s="8" t="s">
        <v>2</v>
      </c>
      <c r="P25" s="19">
        <v>214</v>
      </c>
      <c r="Q25" s="87">
        <f t="shared" si="5"/>
        <v>0.71388064182539945</v>
      </c>
      <c r="R25" s="96"/>
      <c r="S25" s="75"/>
    </row>
    <row r="26" spans="1:19" s="76" customFormat="1" ht="15.95" customHeight="1">
      <c r="A26" s="121">
        <v>16</v>
      </c>
      <c r="B26" s="97" t="s">
        <v>256</v>
      </c>
      <c r="C26" s="17">
        <v>2017</v>
      </c>
      <c r="D26" s="20" t="s">
        <v>2</v>
      </c>
      <c r="E26" s="20" t="s">
        <v>2</v>
      </c>
      <c r="F26" s="19"/>
      <c r="G26" s="19"/>
      <c r="H26" s="19"/>
      <c r="I26" s="19"/>
      <c r="J26" s="19"/>
      <c r="K26" s="19"/>
      <c r="L26" s="15" t="s">
        <v>2</v>
      </c>
      <c r="M26" s="15" t="s">
        <v>2</v>
      </c>
      <c r="N26" s="15" t="s">
        <v>2</v>
      </c>
      <c r="O26" s="8" t="s">
        <v>2</v>
      </c>
      <c r="P26" s="19">
        <v>162</v>
      </c>
      <c r="Q26" s="87">
        <f t="shared" si="5"/>
        <v>0.54041431764352665</v>
      </c>
      <c r="R26" s="96"/>
      <c r="S26" s="75"/>
    </row>
    <row r="27" spans="1:19" s="76" customFormat="1" ht="26.25" customHeight="1">
      <c r="A27" s="121">
        <v>17</v>
      </c>
      <c r="B27" s="97" t="s">
        <v>245</v>
      </c>
      <c r="C27" s="94">
        <v>2014</v>
      </c>
      <c r="D27" s="77">
        <v>40</v>
      </c>
      <c r="E27" s="77">
        <v>177</v>
      </c>
      <c r="F27" s="77" t="s">
        <v>2</v>
      </c>
      <c r="G27" s="15" t="s">
        <v>2</v>
      </c>
      <c r="H27" s="15" t="s">
        <v>2</v>
      </c>
      <c r="I27" s="15" t="s">
        <v>2</v>
      </c>
      <c r="J27" s="15" t="s">
        <v>2</v>
      </c>
      <c r="K27" s="15" t="s">
        <v>2</v>
      </c>
      <c r="L27" s="15" t="s">
        <v>2</v>
      </c>
      <c r="M27" s="15">
        <v>186</v>
      </c>
      <c r="N27" s="15">
        <v>210</v>
      </c>
      <c r="O27" s="15">
        <v>210</v>
      </c>
      <c r="P27" s="15">
        <v>210</v>
      </c>
      <c r="Q27" s="87">
        <f t="shared" ref="Q27:Q51" si="6">P27/P$6*100</f>
        <v>0.70053707842679391</v>
      </c>
      <c r="R27" s="96"/>
      <c r="S27" s="75"/>
    </row>
    <row r="28" spans="1:19" s="76" customFormat="1" ht="15.95" customHeight="1">
      <c r="A28" s="123"/>
      <c r="B28" s="91" t="s">
        <v>12</v>
      </c>
      <c r="C28" s="20" t="s">
        <v>2</v>
      </c>
      <c r="D28" s="20" t="s">
        <v>2</v>
      </c>
      <c r="E28" s="20" t="s">
        <v>2</v>
      </c>
      <c r="F28" s="92">
        <f t="shared" ref="F28:O28" si="7">SUM(F29:F41)</f>
        <v>1240</v>
      </c>
      <c r="G28" s="92">
        <f t="shared" si="7"/>
        <v>1240</v>
      </c>
      <c r="H28" s="92">
        <f t="shared" si="7"/>
        <v>1240</v>
      </c>
      <c r="I28" s="92">
        <f t="shared" si="7"/>
        <v>1398</v>
      </c>
      <c r="J28" s="92">
        <f t="shared" si="7"/>
        <v>1398</v>
      </c>
      <c r="K28" s="92">
        <f t="shared" si="7"/>
        <v>1660</v>
      </c>
      <c r="L28" s="92">
        <f t="shared" si="7"/>
        <v>1704</v>
      </c>
      <c r="M28" s="92">
        <f t="shared" si="7"/>
        <v>1704</v>
      </c>
      <c r="N28" s="92">
        <f t="shared" si="7"/>
        <v>1700</v>
      </c>
      <c r="O28" s="92">
        <f t="shared" si="7"/>
        <v>2204</v>
      </c>
      <c r="P28" s="92">
        <f>SUM(P29:P41)</f>
        <v>2562</v>
      </c>
      <c r="Q28" s="84">
        <f t="shared" si="6"/>
        <v>8.5465523568068864</v>
      </c>
      <c r="R28" s="96"/>
      <c r="S28" s="75"/>
    </row>
    <row r="29" spans="1:19" s="76" customFormat="1" ht="20.25" customHeight="1">
      <c r="A29" s="121">
        <v>18</v>
      </c>
      <c r="B29" s="97" t="s">
        <v>172</v>
      </c>
      <c r="C29" s="17">
        <v>2010</v>
      </c>
      <c r="D29" s="18">
        <v>110</v>
      </c>
      <c r="E29" s="15">
        <v>125</v>
      </c>
      <c r="F29" s="15" t="s">
        <v>2</v>
      </c>
      <c r="G29" s="15" t="s">
        <v>2</v>
      </c>
      <c r="H29" s="15" t="s">
        <v>2</v>
      </c>
      <c r="I29" s="15">
        <v>110</v>
      </c>
      <c r="J29" s="15">
        <v>110</v>
      </c>
      <c r="K29" s="15">
        <v>164</v>
      </c>
      <c r="L29" s="15">
        <v>172</v>
      </c>
      <c r="M29" s="15">
        <v>172</v>
      </c>
      <c r="N29" s="15">
        <v>172</v>
      </c>
      <c r="O29" s="15">
        <v>172</v>
      </c>
      <c r="P29" s="15">
        <v>172</v>
      </c>
      <c r="Q29" s="87">
        <f t="shared" si="6"/>
        <v>0.57377322614004067</v>
      </c>
      <c r="R29" s="16"/>
      <c r="S29" s="75"/>
    </row>
    <row r="30" spans="1:19" s="76" customFormat="1" ht="20.25" customHeight="1">
      <c r="A30" s="121">
        <v>19</v>
      </c>
      <c r="B30" s="97" t="s">
        <v>168</v>
      </c>
      <c r="C30" s="7">
        <v>1998</v>
      </c>
      <c r="D30" s="18">
        <v>192</v>
      </c>
      <c r="E30" s="15">
        <v>124</v>
      </c>
      <c r="F30" s="9">
        <v>200</v>
      </c>
      <c r="G30" s="9">
        <v>200</v>
      </c>
      <c r="H30" s="9">
        <v>200</v>
      </c>
      <c r="I30" s="9">
        <v>200</v>
      </c>
      <c r="J30" s="9">
        <v>200</v>
      </c>
      <c r="K30" s="9">
        <v>200</v>
      </c>
      <c r="L30" s="9">
        <v>200</v>
      </c>
      <c r="M30" s="9">
        <v>200</v>
      </c>
      <c r="N30" s="9">
        <v>196</v>
      </c>
      <c r="O30" s="9">
        <v>196</v>
      </c>
      <c r="P30" s="9">
        <v>196</v>
      </c>
      <c r="Q30" s="87">
        <f t="shared" si="6"/>
        <v>0.65383460653167425</v>
      </c>
      <c r="R30" s="96"/>
      <c r="S30" s="75"/>
    </row>
    <row r="31" spans="1:19" s="76" customFormat="1" ht="20.25" customHeight="1">
      <c r="A31" s="121">
        <v>20</v>
      </c>
      <c r="B31" s="97" t="s">
        <v>211</v>
      </c>
      <c r="C31" s="7" t="s">
        <v>207</v>
      </c>
      <c r="D31" s="18">
        <v>80</v>
      </c>
      <c r="E31" s="15">
        <v>121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  <c r="K31" s="9" t="s">
        <v>2</v>
      </c>
      <c r="L31" s="9" t="s">
        <v>2</v>
      </c>
      <c r="M31" s="9" t="s">
        <v>2</v>
      </c>
      <c r="N31" s="9" t="s">
        <v>2</v>
      </c>
      <c r="O31" s="9">
        <v>80</v>
      </c>
      <c r="P31" s="9">
        <v>80</v>
      </c>
      <c r="Q31" s="87">
        <f t="shared" si="6"/>
        <v>0.26687126797211191</v>
      </c>
      <c r="R31" s="96"/>
      <c r="S31" s="75"/>
    </row>
    <row r="32" spans="1:19" s="76" customFormat="1" ht="20.25" customHeight="1">
      <c r="A32" s="121">
        <v>21</v>
      </c>
      <c r="B32" s="97" t="s">
        <v>184</v>
      </c>
      <c r="C32" s="7" t="s">
        <v>178</v>
      </c>
      <c r="D32" s="18">
        <v>20</v>
      </c>
      <c r="E32" s="15">
        <v>120</v>
      </c>
      <c r="F32" s="18" t="s">
        <v>2</v>
      </c>
      <c r="G32" s="18" t="s">
        <v>2</v>
      </c>
      <c r="H32" s="18" t="s">
        <v>2</v>
      </c>
      <c r="I32" s="18" t="s">
        <v>2</v>
      </c>
      <c r="J32" s="18" t="s">
        <v>2</v>
      </c>
      <c r="K32" s="9">
        <v>208</v>
      </c>
      <c r="L32" s="9">
        <v>208</v>
      </c>
      <c r="M32" s="9">
        <v>208</v>
      </c>
      <c r="N32" s="9">
        <v>208</v>
      </c>
      <c r="O32" s="9">
        <v>208</v>
      </c>
      <c r="P32" s="9">
        <v>208</v>
      </c>
      <c r="Q32" s="87">
        <f t="shared" si="6"/>
        <v>0.69386529672749109</v>
      </c>
      <c r="R32" s="96"/>
      <c r="S32" s="75"/>
    </row>
    <row r="33" spans="1:19" s="76" customFormat="1" ht="20.25" customHeight="1">
      <c r="A33" s="121">
        <v>22</v>
      </c>
      <c r="B33" s="97" t="s">
        <v>212</v>
      </c>
      <c r="C33" s="7" t="s">
        <v>207</v>
      </c>
      <c r="D33" s="18">
        <v>272</v>
      </c>
      <c r="E33" s="15">
        <v>132</v>
      </c>
      <c r="F33" s="18" t="s">
        <v>2</v>
      </c>
      <c r="G33" s="18" t="s">
        <v>2</v>
      </c>
      <c r="H33" s="18" t="s">
        <v>2</v>
      </c>
      <c r="I33" s="18" t="s">
        <v>2</v>
      </c>
      <c r="J33" s="18" t="s">
        <v>2</v>
      </c>
      <c r="K33" s="9" t="s">
        <v>2</v>
      </c>
      <c r="L33" s="9" t="s">
        <v>2</v>
      </c>
      <c r="M33" s="9" t="s">
        <v>2</v>
      </c>
      <c r="N33" s="9" t="s">
        <v>2</v>
      </c>
      <c r="O33" s="9">
        <v>272</v>
      </c>
      <c r="P33" s="9">
        <v>272</v>
      </c>
      <c r="Q33" s="87">
        <f t="shared" si="6"/>
        <v>0.90736231110518062</v>
      </c>
      <c r="R33" s="96"/>
      <c r="S33" s="75"/>
    </row>
    <row r="34" spans="1:19" s="76" customFormat="1" ht="32.25" customHeight="1">
      <c r="A34" s="121">
        <v>23</v>
      </c>
      <c r="B34" s="97" t="s">
        <v>213</v>
      </c>
      <c r="C34" s="7" t="s">
        <v>207</v>
      </c>
      <c r="D34" s="18">
        <v>26</v>
      </c>
      <c r="E34" s="15">
        <v>135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9" t="s">
        <v>2</v>
      </c>
      <c r="L34" s="9" t="s">
        <v>2</v>
      </c>
      <c r="M34" s="9" t="s">
        <v>2</v>
      </c>
      <c r="N34" s="9" t="s">
        <v>2</v>
      </c>
      <c r="O34" s="9">
        <v>26</v>
      </c>
      <c r="P34" s="9">
        <v>26</v>
      </c>
      <c r="Q34" s="87">
        <f t="shared" si="6"/>
        <v>8.6733162090936386E-2</v>
      </c>
      <c r="R34" s="96"/>
      <c r="S34" s="75"/>
    </row>
    <row r="35" spans="1:19" s="76" customFormat="1" ht="25.5" customHeight="1">
      <c r="A35" s="121">
        <v>24</v>
      </c>
      <c r="B35" s="97" t="s">
        <v>48</v>
      </c>
      <c r="C35" s="7" t="s">
        <v>0</v>
      </c>
      <c r="D35" s="18">
        <v>206</v>
      </c>
      <c r="E35" s="15">
        <v>120</v>
      </c>
      <c r="F35" s="9">
        <v>206</v>
      </c>
      <c r="G35" s="9">
        <v>206</v>
      </c>
      <c r="H35" s="9">
        <v>206</v>
      </c>
      <c r="I35" s="9">
        <v>206</v>
      </c>
      <c r="J35" s="9">
        <v>206</v>
      </c>
      <c r="K35" s="9">
        <v>206</v>
      </c>
      <c r="L35" s="9">
        <v>206</v>
      </c>
      <c r="M35" s="9">
        <v>206</v>
      </c>
      <c r="N35" s="9">
        <v>206</v>
      </c>
      <c r="O35" s="9">
        <v>244</v>
      </c>
      <c r="P35" s="9">
        <v>244</v>
      </c>
      <c r="Q35" s="87">
        <f t="shared" si="6"/>
        <v>0.8139573673149415</v>
      </c>
      <c r="R35" s="96"/>
      <c r="S35" s="75"/>
    </row>
    <row r="36" spans="1:19" s="76" customFormat="1" ht="20.25" customHeight="1">
      <c r="A36" s="121">
        <v>25</v>
      </c>
      <c r="B36" s="97" t="s">
        <v>49</v>
      </c>
      <c r="C36" s="14" t="s">
        <v>13</v>
      </c>
      <c r="D36" s="18">
        <v>200</v>
      </c>
      <c r="E36" s="15">
        <v>104.6</v>
      </c>
      <c r="F36" s="9">
        <v>200</v>
      </c>
      <c r="G36" s="9">
        <v>200</v>
      </c>
      <c r="H36" s="9">
        <v>200</v>
      </c>
      <c r="I36" s="9">
        <v>200</v>
      </c>
      <c r="J36" s="9">
        <v>200</v>
      </c>
      <c r="K36" s="9">
        <v>200</v>
      </c>
      <c r="L36" s="9">
        <v>236</v>
      </c>
      <c r="M36" s="9">
        <v>236</v>
      </c>
      <c r="N36" s="9">
        <v>236</v>
      </c>
      <c r="O36" s="9">
        <v>236</v>
      </c>
      <c r="P36" s="9">
        <v>236</v>
      </c>
      <c r="Q36" s="87">
        <f t="shared" si="6"/>
        <v>0.7872702405177302</v>
      </c>
      <c r="R36" s="96"/>
      <c r="S36" s="75"/>
    </row>
    <row r="37" spans="1:19" s="76" customFormat="1" ht="20.25" customHeight="1">
      <c r="A37" s="121">
        <v>26</v>
      </c>
      <c r="B37" s="97" t="s">
        <v>214</v>
      </c>
      <c r="C37" s="14" t="s">
        <v>207</v>
      </c>
      <c r="D37" s="18">
        <v>30</v>
      </c>
      <c r="E37" s="15">
        <v>128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9" t="s">
        <v>2</v>
      </c>
      <c r="L37" s="9" t="s">
        <v>2</v>
      </c>
      <c r="M37" s="9" t="s">
        <v>2</v>
      </c>
      <c r="N37" s="9" t="s">
        <v>2</v>
      </c>
      <c r="O37" s="9">
        <v>88</v>
      </c>
      <c r="P37" s="9">
        <v>100</v>
      </c>
      <c r="Q37" s="87">
        <f t="shared" si="6"/>
        <v>0.33358908496513995</v>
      </c>
      <c r="R37" s="96"/>
      <c r="S37" s="75"/>
    </row>
    <row r="38" spans="1:19" s="76" customFormat="1" ht="20.25" customHeight="1">
      <c r="A38" s="121">
        <v>27</v>
      </c>
      <c r="B38" s="97" t="s">
        <v>50</v>
      </c>
      <c r="C38" s="14">
        <v>1998</v>
      </c>
      <c r="D38" s="18">
        <v>200</v>
      </c>
      <c r="E38" s="15">
        <v>104.6</v>
      </c>
      <c r="F38" s="9">
        <v>200</v>
      </c>
      <c r="G38" s="9">
        <v>200</v>
      </c>
      <c r="H38" s="9">
        <v>200</v>
      </c>
      <c r="I38" s="9">
        <v>248</v>
      </c>
      <c r="J38" s="9">
        <v>248</v>
      </c>
      <c r="K38" s="9">
        <v>248</v>
      </c>
      <c r="L38" s="9">
        <v>248</v>
      </c>
      <c r="M38" s="9">
        <v>248</v>
      </c>
      <c r="N38" s="9">
        <v>248</v>
      </c>
      <c r="O38" s="9">
        <v>248</v>
      </c>
      <c r="P38" s="9">
        <v>248</v>
      </c>
      <c r="Q38" s="87">
        <f t="shared" si="6"/>
        <v>0.82730093071354716</v>
      </c>
      <c r="R38" s="96"/>
      <c r="S38" s="75"/>
    </row>
    <row r="39" spans="1:19" s="76" customFormat="1" ht="20.25" customHeight="1">
      <c r="A39" s="121">
        <v>28</v>
      </c>
      <c r="B39" s="97" t="s">
        <v>51</v>
      </c>
      <c r="C39" s="17">
        <v>2001</v>
      </c>
      <c r="D39" s="18">
        <v>304</v>
      </c>
      <c r="E39" s="15">
        <v>110</v>
      </c>
      <c r="F39" s="9">
        <v>304</v>
      </c>
      <c r="G39" s="9">
        <v>304</v>
      </c>
      <c r="H39" s="9">
        <v>304</v>
      </c>
      <c r="I39" s="9">
        <v>304</v>
      </c>
      <c r="J39" s="9">
        <v>304</v>
      </c>
      <c r="K39" s="9">
        <v>304</v>
      </c>
      <c r="L39" s="9">
        <v>304</v>
      </c>
      <c r="M39" s="9">
        <v>304</v>
      </c>
      <c r="N39" s="9">
        <v>304</v>
      </c>
      <c r="O39" s="9">
        <v>304</v>
      </c>
      <c r="P39" s="9">
        <v>304</v>
      </c>
      <c r="Q39" s="87">
        <f t="shared" si="6"/>
        <v>1.0141108182940255</v>
      </c>
      <c r="R39" s="16"/>
      <c r="S39" s="75"/>
    </row>
    <row r="40" spans="1:19" s="76" customFormat="1" ht="20.25" customHeight="1">
      <c r="A40" s="121">
        <v>29</v>
      </c>
      <c r="B40" s="129" t="s">
        <v>257</v>
      </c>
      <c r="C40" s="17">
        <v>2017</v>
      </c>
      <c r="D40" s="20" t="s">
        <v>2</v>
      </c>
      <c r="E40" s="20" t="s">
        <v>2</v>
      </c>
      <c r="F40" s="9"/>
      <c r="G40" s="9"/>
      <c r="H40" s="9"/>
      <c r="I40" s="9"/>
      <c r="J40" s="9"/>
      <c r="K40" s="9"/>
      <c r="L40" s="9" t="s">
        <v>2</v>
      </c>
      <c r="M40" s="9" t="s">
        <v>2</v>
      </c>
      <c r="N40" s="9" t="s">
        <v>2</v>
      </c>
      <c r="O40" s="9" t="s">
        <v>2</v>
      </c>
      <c r="P40" s="9">
        <v>248</v>
      </c>
      <c r="Q40" s="87">
        <f t="shared" si="6"/>
        <v>0.82730093071354716</v>
      </c>
      <c r="R40" s="16"/>
      <c r="S40" s="75"/>
    </row>
    <row r="41" spans="1:19" ht="20.25" customHeight="1">
      <c r="A41" s="122">
        <v>30</v>
      </c>
      <c r="B41" s="98" t="s">
        <v>52</v>
      </c>
      <c r="C41" s="36" t="s">
        <v>14</v>
      </c>
      <c r="D41" s="34">
        <v>50</v>
      </c>
      <c r="E41" s="35">
        <v>104.6</v>
      </c>
      <c r="F41" s="36">
        <v>130</v>
      </c>
      <c r="G41" s="36">
        <v>130</v>
      </c>
      <c r="H41" s="36">
        <v>130</v>
      </c>
      <c r="I41" s="36">
        <v>130</v>
      </c>
      <c r="J41" s="36">
        <v>130</v>
      </c>
      <c r="K41" s="36">
        <v>130</v>
      </c>
      <c r="L41" s="36">
        <v>130</v>
      </c>
      <c r="M41" s="36">
        <v>130</v>
      </c>
      <c r="N41" s="36">
        <v>130</v>
      </c>
      <c r="O41" s="36">
        <v>130</v>
      </c>
      <c r="P41" s="36">
        <v>228</v>
      </c>
      <c r="Q41" s="90">
        <f t="shared" si="6"/>
        <v>0.76058311372051901</v>
      </c>
      <c r="R41" s="96"/>
      <c r="S41" s="74"/>
    </row>
    <row r="42" spans="1:19" s="76" customFormat="1" ht="15.95" customHeight="1">
      <c r="A42" s="124"/>
      <c r="B42" s="42" t="s">
        <v>15</v>
      </c>
      <c r="C42" s="20" t="s">
        <v>2</v>
      </c>
      <c r="D42" s="20" t="s">
        <v>2</v>
      </c>
      <c r="E42" s="20" t="s">
        <v>2</v>
      </c>
      <c r="F42" s="20">
        <f t="shared" ref="F42:K42" si="8">SUM(F47:F50)</f>
        <v>1276</v>
      </c>
      <c r="G42" s="20">
        <f t="shared" si="8"/>
        <v>1294</v>
      </c>
      <c r="H42" s="20">
        <f t="shared" si="8"/>
        <v>1336</v>
      </c>
      <c r="I42" s="20">
        <f t="shared" si="8"/>
        <v>1336</v>
      </c>
      <c r="J42" s="20">
        <f t="shared" si="8"/>
        <v>1336</v>
      </c>
      <c r="K42" s="20">
        <f t="shared" si="8"/>
        <v>1336</v>
      </c>
      <c r="L42" s="20">
        <f>SUM(L43:L50)</f>
        <v>1476</v>
      </c>
      <c r="M42" s="20">
        <f>SUM(M43:M50)</f>
        <v>1636</v>
      </c>
      <c r="N42" s="20">
        <f>SUM(N43:N50)</f>
        <v>1636</v>
      </c>
      <c r="O42" s="20">
        <f>SUM(O43:O50)</f>
        <v>2138</v>
      </c>
      <c r="P42" s="20">
        <f>SUM(P43:P50)</f>
        <v>2250</v>
      </c>
      <c r="Q42" s="83">
        <f t="shared" si="6"/>
        <v>7.5057544117156478</v>
      </c>
      <c r="R42" s="96"/>
      <c r="S42" s="75"/>
    </row>
    <row r="43" spans="1:19" s="76" customFormat="1" ht="15.95" customHeight="1">
      <c r="A43" s="121">
        <v>31</v>
      </c>
      <c r="B43" s="97" t="s">
        <v>194</v>
      </c>
      <c r="C43" s="17">
        <v>2013</v>
      </c>
      <c r="D43" s="15">
        <v>140</v>
      </c>
      <c r="E43" s="15">
        <v>133</v>
      </c>
      <c r="F43" s="15" t="s">
        <v>2</v>
      </c>
      <c r="G43" s="15" t="s">
        <v>2</v>
      </c>
      <c r="H43" s="15" t="s">
        <v>2</v>
      </c>
      <c r="I43" s="15" t="s">
        <v>2</v>
      </c>
      <c r="J43" s="15" t="s">
        <v>2</v>
      </c>
      <c r="K43" s="15" t="s">
        <v>2</v>
      </c>
      <c r="L43" s="9">
        <v>140</v>
      </c>
      <c r="M43" s="9">
        <v>300</v>
      </c>
      <c r="N43" s="9">
        <v>300</v>
      </c>
      <c r="O43" s="9">
        <v>300</v>
      </c>
      <c r="P43" s="9">
        <v>300</v>
      </c>
      <c r="Q43" s="87">
        <f t="shared" si="6"/>
        <v>1.0007672548954198</v>
      </c>
      <c r="R43" s="96"/>
      <c r="S43" s="75"/>
    </row>
    <row r="44" spans="1:19" s="76" customFormat="1" ht="15.95" customHeight="1">
      <c r="A44" s="121">
        <v>32</v>
      </c>
      <c r="B44" s="97" t="s">
        <v>215</v>
      </c>
      <c r="C44" s="14" t="s">
        <v>207</v>
      </c>
      <c r="D44" s="15">
        <v>302</v>
      </c>
      <c r="E44" s="15">
        <v>122</v>
      </c>
      <c r="F44" s="15" t="s">
        <v>2</v>
      </c>
      <c r="G44" s="15" t="s">
        <v>2</v>
      </c>
      <c r="H44" s="15" t="s">
        <v>2</v>
      </c>
      <c r="I44" s="15" t="s">
        <v>2</v>
      </c>
      <c r="J44" s="15" t="s">
        <v>2</v>
      </c>
      <c r="K44" s="15" t="s">
        <v>2</v>
      </c>
      <c r="L44" s="9" t="s">
        <v>2</v>
      </c>
      <c r="M44" s="9" t="s">
        <v>2</v>
      </c>
      <c r="N44" s="9" t="s">
        <v>2</v>
      </c>
      <c r="O44" s="9">
        <v>302</v>
      </c>
      <c r="P44" s="9">
        <v>302</v>
      </c>
      <c r="Q44" s="87">
        <f t="shared" si="6"/>
        <v>1.0074390365947226</v>
      </c>
      <c r="R44" s="96"/>
      <c r="S44" s="75"/>
    </row>
    <row r="45" spans="1:19" s="76" customFormat="1" ht="15.95" customHeight="1">
      <c r="A45" s="121">
        <v>33</v>
      </c>
      <c r="B45" s="97" t="s">
        <v>258</v>
      </c>
      <c r="C45" s="14" t="s">
        <v>250</v>
      </c>
      <c r="D45" s="20" t="s">
        <v>2</v>
      </c>
      <c r="E45" s="20" t="s">
        <v>2</v>
      </c>
      <c r="F45" s="15"/>
      <c r="G45" s="15"/>
      <c r="H45" s="15"/>
      <c r="I45" s="15"/>
      <c r="J45" s="15"/>
      <c r="K45" s="15"/>
      <c r="L45" s="15" t="s">
        <v>2</v>
      </c>
      <c r="M45" s="15" t="s">
        <v>2</v>
      </c>
      <c r="N45" s="15" t="s">
        <v>2</v>
      </c>
      <c r="O45" s="8" t="s">
        <v>2</v>
      </c>
      <c r="P45" s="9">
        <v>98</v>
      </c>
      <c r="Q45" s="87">
        <f t="shared" si="6"/>
        <v>0.32691730326583712</v>
      </c>
      <c r="R45" s="96"/>
      <c r="S45" s="75"/>
    </row>
    <row r="46" spans="1:19" s="76" customFormat="1" ht="15.95" customHeight="1">
      <c r="A46" s="121">
        <v>34</v>
      </c>
      <c r="B46" s="97" t="s">
        <v>216</v>
      </c>
      <c r="C46" s="14" t="s">
        <v>207</v>
      </c>
      <c r="D46" s="15">
        <v>180</v>
      </c>
      <c r="E46" s="15">
        <v>148</v>
      </c>
      <c r="F46" s="15" t="s">
        <v>2</v>
      </c>
      <c r="G46" s="15" t="s">
        <v>2</v>
      </c>
      <c r="H46" s="15" t="s">
        <v>2</v>
      </c>
      <c r="I46" s="15" t="s">
        <v>2</v>
      </c>
      <c r="J46" s="15" t="s">
        <v>2</v>
      </c>
      <c r="K46" s="15" t="s">
        <v>2</v>
      </c>
      <c r="L46" s="9" t="s">
        <v>2</v>
      </c>
      <c r="M46" s="9" t="s">
        <v>2</v>
      </c>
      <c r="N46" s="9" t="s">
        <v>2</v>
      </c>
      <c r="O46" s="9">
        <v>180</v>
      </c>
      <c r="P46" s="9">
        <v>180</v>
      </c>
      <c r="Q46" s="87">
        <f t="shared" si="6"/>
        <v>0.60046035293725186</v>
      </c>
      <c r="R46" s="96"/>
      <c r="S46" s="75"/>
    </row>
    <row r="47" spans="1:19" s="93" customFormat="1" ht="15.95" customHeight="1">
      <c r="A47" s="121">
        <v>35</v>
      </c>
      <c r="B47" s="97" t="s">
        <v>55</v>
      </c>
      <c r="C47" s="14" t="s">
        <v>13</v>
      </c>
      <c r="D47" s="18">
        <v>200</v>
      </c>
      <c r="E47" s="15">
        <v>125.5</v>
      </c>
      <c r="F47" s="15">
        <v>200</v>
      </c>
      <c r="G47" s="15">
        <v>200</v>
      </c>
      <c r="H47" s="15">
        <v>200</v>
      </c>
      <c r="I47" s="15">
        <v>200</v>
      </c>
      <c r="J47" s="15">
        <v>200</v>
      </c>
      <c r="K47" s="15">
        <v>200</v>
      </c>
      <c r="L47" s="9">
        <v>200</v>
      </c>
      <c r="M47" s="9">
        <v>200</v>
      </c>
      <c r="N47" s="9">
        <v>200</v>
      </c>
      <c r="O47" s="9">
        <v>200</v>
      </c>
      <c r="P47" s="9">
        <v>192</v>
      </c>
      <c r="Q47" s="87">
        <f t="shared" si="6"/>
        <v>0.6404910431330687</v>
      </c>
      <c r="R47" s="96"/>
      <c r="S47" s="108"/>
    </row>
    <row r="48" spans="1:19" s="111" customFormat="1" ht="15.95" customHeight="1">
      <c r="A48" s="121">
        <v>36</v>
      </c>
      <c r="B48" s="97" t="s">
        <v>53</v>
      </c>
      <c r="C48" s="14">
        <v>1998</v>
      </c>
      <c r="D48" s="18">
        <v>90</v>
      </c>
      <c r="E48" s="15">
        <v>128.69999999999999</v>
      </c>
      <c r="F48" s="15">
        <v>120</v>
      </c>
      <c r="G48" s="15">
        <v>120</v>
      </c>
      <c r="H48" s="15">
        <v>120</v>
      </c>
      <c r="I48" s="15">
        <v>120</v>
      </c>
      <c r="J48" s="15">
        <v>120</v>
      </c>
      <c r="K48" s="15">
        <v>120</v>
      </c>
      <c r="L48" s="9">
        <v>120</v>
      </c>
      <c r="M48" s="9">
        <v>120</v>
      </c>
      <c r="N48" s="9">
        <v>120</v>
      </c>
      <c r="O48" s="9">
        <v>130</v>
      </c>
      <c r="P48" s="9">
        <v>130</v>
      </c>
      <c r="Q48" s="87">
        <f t="shared" si="6"/>
        <v>0.43366581045468194</v>
      </c>
      <c r="R48" s="96"/>
      <c r="S48" s="110"/>
    </row>
    <row r="49" spans="1:23" ht="15.95" customHeight="1">
      <c r="A49" s="121">
        <v>37</v>
      </c>
      <c r="B49" s="97" t="s">
        <v>56</v>
      </c>
      <c r="C49" s="19" t="s">
        <v>16</v>
      </c>
      <c r="D49" s="18">
        <v>18</v>
      </c>
      <c r="E49" s="15">
        <v>128.69999999999999</v>
      </c>
      <c r="F49" s="15">
        <v>740</v>
      </c>
      <c r="G49" s="15">
        <v>746</v>
      </c>
      <c r="H49" s="15">
        <v>768</v>
      </c>
      <c r="I49" s="15">
        <v>768</v>
      </c>
      <c r="J49" s="15">
        <v>768</v>
      </c>
      <c r="K49" s="15">
        <v>768</v>
      </c>
      <c r="L49" s="9">
        <v>768</v>
      </c>
      <c r="M49" s="9">
        <v>768</v>
      </c>
      <c r="N49" s="9">
        <v>768</v>
      </c>
      <c r="O49" s="9">
        <v>778</v>
      </c>
      <c r="P49" s="9">
        <v>778</v>
      </c>
      <c r="Q49" s="87">
        <f t="shared" si="6"/>
        <v>2.5953230810287886</v>
      </c>
      <c r="R49" s="96"/>
      <c r="S49" s="96"/>
    </row>
    <row r="50" spans="1:23" ht="15.95" customHeight="1">
      <c r="A50" s="122">
        <v>38</v>
      </c>
      <c r="B50" s="98" t="s">
        <v>57</v>
      </c>
      <c r="C50" s="37">
        <v>1999</v>
      </c>
      <c r="D50" s="34">
        <v>200</v>
      </c>
      <c r="E50" s="35">
        <v>128.69999999999999</v>
      </c>
      <c r="F50" s="35">
        <v>216</v>
      </c>
      <c r="G50" s="35">
        <v>228</v>
      </c>
      <c r="H50" s="35">
        <v>248</v>
      </c>
      <c r="I50" s="35">
        <v>248</v>
      </c>
      <c r="J50" s="35">
        <v>248</v>
      </c>
      <c r="K50" s="35">
        <v>248</v>
      </c>
      <c r="L50" s="78">
        <v>248</v>
      </c>
      <c r="M50" s="78">
        <v>248</v>
      </c>
      <c r="N50" s="78">
        <v>248</v>
      </c>
      <c r="O50" s="78">
        <v>248</v>
      </c>
      <c r="P50" s="78">
        <v>270</v>
      </c>
      <c r="Q50" s="90">
        <f t="shared" si="6"/>
        <v>0.90069052940587779</v>
      </c>
      <c r="R50" s="96"/>
      <c r="S50" s="96"/>
    </row>
    <row r="51" spans="1:23" s="76" customFormat="1" ht="15.95" customHeight="1">
      <c r="A51" s="121"/>
      <c r="B51" s="42" t="s">
        <v>17</v>
      </c>
      <c r="C51" s="20" t="s">
        <v>2</v>
      </c>
      <c r="D51" s="20" t="s">
        <v>2</v>
      </c>
      <c r="E51" s="20" t="s">
        <v>2</v>
      </c>
      <c r="F51" s="20">
        <f t="shared" ref="F51:O51" si="9">SUM(F52:F96)</f>
        <v>8420</v>
      </c>
      <c r="G51" s="20">
        <f t="shared" si="9"/>
        <v>8610</v>
      </c>
      <c r="H51" s="20">
        <f t="shared" si="9"/>
        <v>8678</v>
      </c>
      <c r="I51" s="20">
        <f t="shared" si="9"/>
        <v>8754</v>
      </c>
      <c r="J51" s="20">
        <f t="shared" si="9"/>
        <v>8824</v>
      </c>
      <c r="K51" s="20">
        <f t="shared" si="9"/>
        <v>8828</v>
      </c>
      <c r="L51" s="20">
        <f t="shared" si="9"/>
        <v>8964</v>
      </c>
      <c r="M51" s="20">
        <f t="shared" si="9"/>
        <v>8968</v>
      </c>
      <c r="N51" s="20">
        <f t="shared" si="9"/>
        <v>9088</v>
      </c>
      <c r="O51" s="20">
        <f t="shared" si="9"/>
        <v>9506</v>
      </c>
      <c r="P51" s="20">
        <f>SUM(P52:P96)</f>
        <v>10094</v>
      </c>
      <c r="Q51" s="83">
        <f t="shared" si="6"/>
        <v>33.672482236381221</v>
      </c>
      <c r="R51" s="96"/>
      <c r="S51" s="96"/>
    </row>
    <row r="52" spans="1:23">
      <c r="A52" s="121">
        <v>39</v>
      </c>
      <c r="B52" s="97" t="s">
        <v>58</v>
      </c>
      <c r="C52" s="7">
        <v>1978</v>
      </c>
      <c r="D52" s="18">
        <v>34</v>
      </c>
      <c r="E52" s="15">
        <v>34</v>
      </c>
      <c r="F52" s="15">
        <v>232</v>
      </c>
      <c r="G52" s="15">
        <v>256</v>
      </c>
      <c r="H52" s="15">
        <v>256</v>
      </c>
      <c r="I52" s="15">
        <v>256</v>
      </c>
      <c r="J52" s="15">
        <v>256</v>
      </c>
      <c r="K52" s="15">
        <v>256</v>
      </c>
      <c r="L52" s="15">
        <v>256</v>
      </c>
      <c r="M52" s="15">
        <v>256</v>
      </c>
      <c r="N52" s="15">
        <v>256</v>
      </c>
      <c r="O52" s="15">
        <v>256</v>
      </c>
      <c r="P52" s="15">
        <v>260</v>
      </c>
      <c r="Q52" s="87">
        <f t="shared" ref="Q52:Q75" si="10">P52/P$6*100</f>
        <v>0.86733162090936389</v>
      </c>
      <c r="R52" s="96"/>
      <c r="S52" s="96"/>
    </row>
    <row r="53" spans="1:23">
      <c r="A53" s="121">
        <v>40</v>
      </c>
      <c r="B53" s="97" t="s">
        <v>233</v>
      </c>
      <c r="C53" s="19" t="s">
        <v>16</v>
      </c>
      <c r="D53" s="18">
        <v>18</v>
      </c>
      <c r="E53" s="15">
        <v>8</v>
      </c>
      <c r="F53" s="15">
        <v>66</v>
      </c>
      <c r="G53" s="15">
        <v>66</v>
      </c>
      <c r="H53" s="15">
        <v>100</v>
      </c>
      <c r="I53" s="15">
        <v>100</v>
      </c>
      <c r="J53" s="15">
        <v>100</v>
      </c>
      <c r="K53" s="15">
        <v>100</v>
      </c>
      <c r="L53" s="15">
        <v>100</v>
      </c>
      <c r="M53" s="15">
        <v>100</v>
      </c>
      <c r="N53" s="15">
        <v>100</v>
      </c>
      <c r="O53" s="15">
        <v>100</v>
      </c>
      <c r="P53" s="15">
        <v>100</v>
      </c>
      <c r="Q53" s="87">
        <f t="shared" si="10"/>
        <v>0.33358908496513995</v>
      </c>
      <c r="R53" s="96"/>
      <c r="S53" s="96"/>
      <c r="T53" s="76"/>
      <c r="U53" s="76"/>
      <c r="V53" s="76"/>
      <c r="W53" s="76"/>
    </row>
    <row r="54" spans="1:23" ht="24" customHeight="1">
      <c r="A54" s="121">
        <v>41</v>
      </c>
      <c r="B54" s="97" t="s">
        <v>246</v>
      </c>
      <c r="C54" s="19" t="s">
        <v>23</v>
      </c>
      <c r="D54" s="18">
        <v>40</v>
      </c>
      <c r="E54" s="15">
        <v>22.5</v>
      </c>
      <c r="F54" s="15">
        <v>354</v>
      </c>
      <c r="G54" s="15">
        <v>354</v>
      </c>
      <c r="H54" s="15">
        <v>354</v>
      </c>
      <c r="I54" s="15">
        <v>354</v>
      </c>
      <c r="J54" s="15">
        <v>354</v>
      </c>
      <c r="K54" s="15">
        <v>354</v>
      </c>
      <c r="L54" s="15">
        <v>354</v>
      </c>
      <c r="M54" s="15">
        <v>354</v>
      </c>
      <c r="N54" s="15">
        <v>354</v>
      </c>
      <c r="O54" s="15">
        <v>354</v>
      </c>
      <c r="P54" s="15">
        <v>404</v>
      </c>
      <c r="Q54" s="87">
        <f t="shared" si="10"/>
        <v>1.3476999032591652</v>
      </c>
      <c r="R54" s="96"/>
      <c r="S54" s="96"/>
    </row>
    <row r="55" spans="1:23" ht="24.75" customHeight="1">
      <c r="A55" s="121">
        <v>42</v>
      </c>
      <c r="B55" s="97" t="s">
        <v>59</v>
      </c>
      <c r="C55" s="7" t="s">
        <v>24</v>
      </c>
      <c r="D55" s="18">
        <v>24</v>
      </c>
      <c r="E55" s="15">
        <v>40</v>
      </c>
      <c r="F55" s="15">
        <v>220</v>
      </c>
      <c r="G55" s="15">
        <v>220</v>
      </c>
      <c r="H55" s="15">
        <v>220</v>
      </c>
      <c r="I55" s="15">
        <v>220</v>
      </c>
      <c r="J55" s="15">
        <v>220</v>
      </c>
      <c r="K55" s="15">
        <v>220</v>
      </c>
      <c r="L55" s="15">
        <v>220</v>
      </c>
      <c r="M55" s="15">
        <v>220</v>
      </c>
      <c r="N55" s="15">
        <v>220</v>
      </c>
      <c r="O55" s="15">
        <v>220</v>
      </c>
      <c r="P55" s="15">
        <v>226</v>
      </c>
      <c r="Q55" s="87">
        <f t="shared" si="10"/>
        <v>0.7539113320212163</v>
      </c>
      <c r="R55" s="96"/>
      <c r="S55" s="96"/>
    </row>
    <row r="56" spans="1:23" s="76" customFormat="1" ht="15.95" customHeight="1">
      <c r="A56" s="121">
        <v>43</v>
      </c>
      <c r="B56" s="97" t="s">
        <v>60</v>
      </c>
      <c r="C56" s="14" t="s">
        <v>16</v>
      </c>
      <c r="D56" s="18">
        <v>20</v>
      </c>
      <c r="E56" s="15">
        <v>17</v>
      </c>
      <c r="F56" s="15">
        <v>90</v>
      </c>
      <c r="G56" s="15">
        <v>90</v>
      </c>
      <c r="H56" s="15">
        <v>90</v>
      </c>
      <c r="I56" s="15">
        <v>90</v>
      </c>
      <c r="J56" s="15">
        <v>90</v>
      </c>
      <c r="K56" s="15">
        <v>90</v>
      </c>
      <c r="L56" s="15">
        <v>90</v>
      </c>
      <c r="M56" s="15">
        <v>90</v>
      </c>
      <c r="N56" s="15">
        <v>90</v>
      </c>
      <c r="O56" s="15">
        <v>90</v>
      </c>
      <c r="P56" s="15">
        <v>90</v>
      </c>
      <c r="Q56" s="87">
        <f t="shared" si="10"/>
        <v>0.30023017646862593</v>
      </c>
      <c r="R56" s="96"/>
      <c r="S56" s="96"/>
      <c r="T56" s="23"/>
      <c r="U56" s="23"/>
      <c r="V56" s="23"/>
      <c r="W56" s="23"/>
    </row>
    <row r="57" spans="1:23" ht="15.95" customHeight="1">
      <c r="A57" s="121">
        <v>44</v>
      </c>
      <c r="B57" s="97" t="s">
        <v>165</v>
      </c>
      <c r="C57" s="7" t="s">
        <v>18</v>
      </c>
      <c r="D57" s="18">
        <v>36</v>
      </c>
      <c r="E57" s="15">
        <v>32</v>
      </c>
      <c r="F57" s="15">
        <v>60</v>
      </c>
      <c r="G57" s="15">
        <v>60</v>
      </c>
      <c r="H57" s="15">
        <v>60</v>
      </c>
      <c r="I57" s="15">
        <v>60</v>
      </c>
      <c r="J57" s="15">
        <v>60</v>
      </c>
      <c r="K57" s="15">
        <v>60</v>
      </c>
      <c r="L57" s="15">
        <v>60</v>
      </c>
      <c r="M57" s="15">
        <v>60</v>
      </c>
      <c r="N57" s="15">
        <v>60</v>
      </c>
      <c r="O57" s="15">
        <v>60</v>
      </c>
      <c r="P57" s="15">
        <v>60</v>
      </c>
      <c r="Q57" s="87">
        <f t="shared" si="10"/>
        <v>0.20015345097908394</v>
      </c>
      <c r="R57" s="96"/>
      <c r="S57" s="96"/>
      <c r="T57" s="76"/>
      <c r="U57" s="76"/>
      <c r="V57" s="76"/>
      <c r="W57" s="76"/>
    </row>
    <row r="58" spans="1:23" s="76" customFormat="1" ht="23.25" customHeight="1">
      <c r="A58" s="121">
        <v>45</v>
      </c>
      <c r="B58" s="97" t="s">
        <v>247</v>
      </c>
      <c r="C58" s="7" t="s">
        <v>19</v>
      </c>
      <c r="D58" s="18">
        <v>220</v>
      </c>
      <c r="E58" s="15">
        <v>8</v>
      </c>
      <c r="F58" s="15">
        <v>450</v>
      </c>
      <c r="G58" s="15">
        <v>450</v>
      </c>
      <c r="H58" s="15">
        <v>450</v>
      </c>
      <c r="I58" s="15">
        <v>450</v>
      </c>
      <c r="J58" s="15">
        <v>450</v>
      </c>
      <c r="K58" s="15">
        <v>450</v>
      </c>
      <c r="L58" s="15">
        <v>450</v>
      </c>
      <c r="M58" s="15">
        <v>430</v>
      </c>
      <c r="N58" s="15">
        <v>430</v>
      </c>
      <c r="O58" s="15">
        <v>430</v>
      </c>
      <c r="P58" s="15">
        <v>430</v>
      </c>
      <c r="Q58" s="87">
        <f t="shared" si="10"/>
        <v>1.4344330653501018</v>
      </c>
      <c r="R58" s="96"/>
      <c r="S58" s="96"/>
      <c r="T58" s="23"/>
      <c r="U58" s="23"/>
      <c r="V58" s="23"/>
      <c r="W58" s="23"/>
    </row>
    <row r="59" spans="1:23" s="76" customFormat="1" ht="15.95" customHeight="1">
      <c r="A59" s="121">
        <v>46</v>
      </c>
      <c r="B59" s="97" t="s">
        <v>61</v>
      </c>
      <c r="C59" s="19" t="s">
        <v>20</v>
      </c>
      <c r="D59" s="18">
        <v>24</v>
      </c>
      <c r="E59" s="15">
        <v>12</v>
      </c>
      <c r="F59" s="15">
        <v>96</v>
      </c>
      <c r="G59" s="15">
        <v>96</v>
      </c>
      <c r="H59" s="15">
        <v>96</v>
      </c>
      <c r="I59" s="15">
        <v>96</v>
      </c>
      <c r="J59" s="15">
        <v>96</v>
      </c>
      <c r="K59" s="15">
        <v>96</v>
      </c>
      <c r="L59" s="15">
        <v>96</v>
      </c>
      <c r="M59" s="15">
        <v>96</v>
      </c>
      <c r="N59" s="15">
        <v>96</v>
      </c>
      <c r="O59" s="15">
        <v>96</v>
      </c>
      <c r="P59" s="15">
        <v>96</v>
      </c>
      <c r="Q59" s="87">
        <f t="shared" si="10"/>
        <v>0.32024552156653435</v>
      </c>
      <c r="R59" s="96"/>
      <c r="S59" s="96"/>
      <c r="T59" s="26"/>
      <c r="U59" s="26"/>
      <c r="V59" s="96"/>
      <c r="W59" s="75"/>
    </row>
    <row r="60" spans="1:23" ht="15.95" customHeight="1">
      <c r="A60" s="121">
        <v>47</v>
      </c>
      <c r="B60" s="97" t="s">
        <v>62</v>
      </c>
      <c r="C60" s="7" t="s">
        <v>21</v>
      </c>
      <c r="D60" s="18">
        <v>56</v>
      </c>
      <c r="E60" s="15">
        <v>16</v>
      </c>
      <c r="F60" s="15">
        <v>150</v>
      </c>
      <c r="G60" s="15">
        <v>150</v>
      </c>
      <c r="H60" s="15">
        <v>150</v>
      </c>
      <c r="I60" s="15">
        <v>150</v>
      </c>
      <c r="J60" s="15">
        <v>150</v>
      </c>
      <c r="K60" s="15">
        <v>150</v>
      </c>
      <c r="L60" s="15">
        <v>150</v>
      </c>
      <c r="M60" s="15">
        <v>150</v>
      </c>
      <c r="N60" s="15">
        <v>150</v>
      </c>
      <c r="O60" s="15">
        <v>150</v>
      </c>
      <c r="P60" s="15">
        <v>150</v>
      </c>
      <c r="Q60" s="87">
        <f t="shared" si="10"/>
        <v>0.50038362744770992</v>
      </c>
      <c r="R60" s="96"/>
      <c r="S60" s="96"/>
      <c r="T60" s="76"/>
      <c r="U60" s="76"/>
      <c r="V60" s="76"/>
      <c r="W60" s="76"/>
    </row>
    <row r="61" spans="1:23" s="111" customFormat="1" ht="15.95" customHeight="1">
      <c r="A61" s="121">
        <v>48</v>
      </c>
      <c r="B61" s="97" t="s">
        <v>63</v>
      </c>
      <c r="C61" s="7" t="s">
        <v>22</v>
      </c>
      <c r="D61" s="18">
        <v>192</v>
      </c>
      <c r="E61" s="15">
        <v>18</v>
      </c>
      <c r="F61" s="15">
        <v>192</v>
      </c>
      <c r="G61" s="15">
        <v>192</v>
      </c>
      <c r="H61" s="15">
        <v>192</v>
      </c>
      <c r="I61" s="15">
        <v>192</v>
      </c>
      <c r="J61" s="15">
        <v>192</v>
      </c>
      <c r="K61" s="15">
        <v>192</v>
      </c>
      <c r="L61" s="15">
        <v>192</v>
      </c>
      <c r="M61" s="15">
        <v>192</v>
      </c>
      <c r="N61" s="15">
        <v>192</v>
      </c>
      <c r="O61" s="15">
        <v>192</v>
      </c>
      <c r="P61" s="15">
        <v>192</v>
      </c>
      <c r="Q61" s="87">
        <f t="shared" si="10"/>
        <v>0.6404910431330687</v>
      </c>
      <c r="R61" s="96"/>
      <c r="S61" s="96"/>
      <c r="T61" s="23"/>
      <c r="U61" s="23"/>
      <c r="V61" s="23"/>
      <c r="W61" s="23"/>
    </row>
    <row r="62" spans="1:23" s="111" customFormat="1" ht="15.95" customHeight="1">
      <c r="A62" s="121">
        <v>49</v>
      </c>
      <c r="B62" s="97" t="s">
        <v>205</v>
      </c>
      <c r="C62" s="14" t="s">
        <v>24</v>
      </c>
      <c r="D62" s="18">
        <v>40</v>
      </c>
      <c r="E62" s="15">
        <v>11.3</v>
      </c>
      <c r="F62" s="15">
        <v>132</v>
      </c>
      <c r="G62" s="15">
        <v>132</v>
      </c>
      <c r="H62" s="15">
        <v>132</v>
      </c>
      <c r="I62" s="15">
        <v>132</v>
      </c>
      <c r="J62" s="15">
        <v>132</v>
      </c>
      <c r="K62" s="15">
        <v>132</v>
      </c>
      <c r="L62" s="15">
        <v>220</v>
      </c>
      <c r="M62" s="15">
        <v>220</v>
      </c>
      <c r="N62" s="15">
        <v>220</v>
      </c>
      <c r="O62" s="15">
        <v>220</v>
      </c>
      <c r="P62" s="15">
        <v>280</v>
      </c>
      <c r="Q62" s="87">
        <f t="shared" si="10"/>
        <v>0.93404943790239181</v>
      </c>
      <c r="R62" s="96"/>
      <c r="S62" s="96"/>
      <c r="T62" s="76"/>
      <c r="U62" s="76"/>
      <c r="V62" s="76"/>
      <c r="W62" s="76"/>
    </row>
    <row r="63" spans="1:23" s="111" customFormat="1" ht="15.95" customHeight="1">
      <c r="A63" s="121">
        <v>50</v>
      </c>
      <c r="B63" s="97" t="s">
        <v>228</v>
      </c>
      <c r="C63" s="19" t="s">
        <v>18</v>
      </c>
      <c r="D63" s="18">
        <v>20</v>
      </c>
      <c r="E63" s="15">
        <v>13</v>
      </c>
      <c r="F63" s="15">
        <v>292</v>
      </c>
      <c r="G63" s="15">
        <v>292</v>
      </c>
      <c r="H63" s="15">
        <v>296</v>
      </c>
      <c r="I63" s="15">
        <v>296</v>
      </c>
      <c r="J63" s="15">
        <v>296</v>
      </c>
      <c r="K63" s="15">
        <v>296</v>
      </c>
      <c r="L63" s="15">
        <v>296</v>
      </c>
      <c r="M63" s="15">
        <v>296</v>
      </c>
      <c r="N63" s="15">
        <v>296</v>
      </c>
      <c r="O63" s="15">
        <v>296</v>
      </c>
      <c r="P63" s="15">
        <v>296</v>
      </c>
      <c r="Q63" s="87">
        <f t="shared" si="10"/>
        <v>0.9874236914968143</v>
      </c>
      <c r="R63" s="96"/>
      <c r="S63" s="96"/>
      <c r="T63" s="76"/>
      <c r="U63" s="76"/>
      <c r="V63" s="76"/>
      <c r="W63" s="76"/>
    </row>
    <row r="64" spans="1:23" s="76" customFormat="1" ht="15.95" customHeight="1">
      <c r="A64" s="121">
        <v>51</v>
      </c>
      <c r="B64" s="97" t="s">
        <v>230</v>
      </c>
      <c r="C64" s="14" t="s">
        <v>24</v>
      </c>
      <c r="D64" s="18">
        <v>18</v>
      </c>
      <c r="E64" s="15">
        <v>23</v>
      </c>
      <c r="F64" s="15">
        <v>80</v>
      </c>
      <c r="G64" s="15">
        <v>80</v>
      </c>
      <c r="H64" s="15">
        <v>80</v>
      </c>
      <c r="I64" s="15">
        <v>80</v>
      </c>
      <c r="J64" s="15">
        <v>80</v>
      </c>
      <c r="K64" s="15">
        <v>80</v>
      </c>
      <c r="L64" s="15">
        <v>80</v>
      </c>
      <c r="M64" s="15">
        <v>104</v>
      </c>
      <c r="N64" s="15">
        <v>104</v>
      </c>
      <c r="O64" s="15">
        <v>104</v>
      </c>
      <c r="P64" s="15">
        <v>104</v>
      </c>
      <c r="Q64" s="87">
        <f t="shared" si="10"/>
        <v>0.34693264836374554</v>
      </c>
      <c r="R64" s="96"/>
      <c r="S64" s="96"/>
    </row>
    <row r="65" spans="1:23" s="76" customFormat="1" ht="15.95" customHeight="1">
      <c r="A65" s="121">
        <v>52</v>
      </c>
      <c r="B65" s="97" t="s">
        <v>72</v>
      </c>
      <c r="C65" s="14" t="s">
        <v>16</v>
      </c>
      <c r="D65" s="18">
        <v>18</v>
      </c>
      <c r="E65" s="15">
        <v>19.3</v>
      </c>
      <c r="F65" s="15">
        <v>444</v>
      </c>
      <c r="G65" s="15">
        <v>444</v>
      </c>
      <c r="H65" s="15">
        <v>444</v>
      </c>
      <c r="I65" s="15">
        <v>456</v>
      </c>
      <c r="J65" s="15">
        <v>448</v>
      </c>
      <c r="K65" s="15">
        <v>448</v>
      </c>
      <c r="L65" s="15">
        <v>492</v>
      </c>
      <c r="M65" s="15">
        <v>492</v>
      </c>
      <c r="N65" s="15">
        <v>492</v>
      </c>
      <c r="O65" s="15">
        <v>492</v>
      </c>
      <c r="P65" s="15">
        <v>492</v>
      </c>
      <c r="Q65" s="87">
        <f t="shared" si="10"/>
        <v>1.6412582980284887</v>
      </c>
      <c r="R65" s="96"/>
      <c r="S65" s="96"/>
    </row>
    <row r="66" spans="1:23" s="76" customFormat="1" ht="15.95" customHeight="1">
      <c r="A66" s="121">
        <v>53</v>
      </c>
      <c r="B66" s="97" t="s">
        <v>64</v>
      </c>
      <c r="C66" s="7" t="s">
        <v>23</v>
      </c>
      <c r="D66" s="18">
        <v>50</v>
      </c>
      <c r="E66" s="15">
        <v>29</v>
      </c>
      <c r="F66" s="15">
        <v>206</v>
      </c>
      <c r="G66" s="15">
        <v>206</v>
      </c>
      <c r="H66" s="15">
        <v>206</v>
      </c>
      <c r="I66" s="15">
        <v>206</v>
      </c>
      <c r="J66" s="15">
        <v>206</v>
      </c>
      <c r="K66" s="15">
        <v>206</v>
      </c>
      <c r="L66" s="15">
        <v>206</v>
      </c>
      <c r="M66" s="15">
        <v>206</v>
      </c>
      <c r="N66" s="15">
        <v>206</v>
      </c>
      <c r="O66" s="15">
        <v>206</v>
      </c>
      <c r="P66" s="15">
        <v>200</v>
      </c>
      <c r="Q66" s="87">
        <f t="shared" si="10"/>
        <v>0.6671781699302799</v>
      </c>
      <c r="R66" s="96"/>
      <c r="S66" s="96"/>
      <c r="T66" s="111"/>
      <c r="U66" s="111"/>
      <c r="V66" s="111"/>
      <c r="W66" s="111"/>
    </row>
    <row r="67" spans="1:23" s="76" customFormat="1" ht="15.95" customHeight="1">
      <c r="A67" s="121">
        <v>54</v>
      </c>
      <c r="B67" s="97" t="s">
        <v>227</v>
      </c>
      <c r="C67" s="14" t="s">
        <v>166</v>
      </c>
      <c r="D67" s="18">
        <v>12</v>
      </c>
      <c r="E67" s="15">
        <v>27.4</v>
      </c>
      <c r="F67" s="15">
        <v>14</v>
      </c>
      <c r="G67" s="15">
        <v>14</v>
      </c>
      <c r="H67" s="15">
        <v>14</v>
      </c>
      <c r="I67" s="15">
        <v>14</v>
      </c>
      <c r="J67" s="15">
        <v>14</v>
      </c>
      <c r="K67" s="15">
        <v>14</v>
      </c>
      <c r="L67" s="15">
        <v>14</v>
      </c>
      <c r="M67" s="15">
        <v>14</v>
      </c>
      <c r="N67" s="15">
        <v>14</v>
      </c>
      <c r="O67" s="15">
        <v>14</v>
      </c>
      <c r="P67" s="15">
        <v>14</v>
      </c>
      <c r="Q67" s="87">
        <f t="shared" si="10"/>
        <v>4.6702471895119592E-2</v>
      </c>
      <c r="R67" s="96"/>
      <c r="S67" s="96"/>
      <c r="T67" s="111"/>
      <c r="U67" s="111"/>
      <c r="V67" s="111"/>
      <c r="W67" s="111"/>
    </row>
    <row r="68" spans="1:23" s="76" customFormat="1" ht="15.95" customHeight="1">
      <c r="A68" s="121">
        <v>55</v>
      </c>
      <c r="B68" s="97" t="s">
        <v>65</v>
      </c>
      <c r="C68" s="7">
        <v>1981</v>
      </c>
      <c r="D68" s="18">
        <v>12</v>
      </c>
      <c r="E68" s="15">
        <v>30</v>
      </c>
      <c r="F68" s="15">
        <v>70</v>
      </c>
      <c r="G68" s="15">
        <v>70</v>
      </c>
      <c r="H68" s="15">
        <v>70</v>
      </c>
      <c r="I68" s="15">
        <v>70</v>
      </c>
      <c r="J68" s="15">
        <v>70</v>
      </c>
      <c r="K68" s="15">
        <v>70</v>
      </c>
      <c r="L68" s="15">
        <v>70</v>
      </c>
      <c r="M68" s="15">
        <v>70</v>
      </c>
      <c r="N68" s="15">
        <v>70</v>
      </c>
      <c r="O68" s="15">
        <v>70</v>
      </c>
      <c r="P68" s="15">
        <v>70</v>
      </c>
      <c r="Q68" s="87">
        <f t="shared" si="10"/>
        <v>0.23351235947559795</v>
      </c>
      <c r="R68" s="96"/>
      <c r="S68" s="96"/>
      <c r="T68" s="111"/>
      <c r="U68" s="111"/>
      <c r="V68" s="111"/>
      <c r="W68" s="111"/>
    </row>
    <row r="69" spans="1:23" ht="22.5" customHeight="1">
      <c r="A69" s="121">
        <v>56</v>
      </c>
      <c r="B69" s="97" t="s">
        <v>248</v>
      </c>
      <c r="C69" s="19" t="s">
        <v>18</v>
      </c>
      <c r="D69" s="18">
        <v>120</v>
      </c>
      <c r="E69" s="15">
        <v>29</v>
      </c>
      <c r="F69" s="15">
        <v>120</v>
      </c>
      <c r="G69" s="15">
        <v>120</v>
      </c>
      <c r="H69" s="15">
        <v>120</v>
      </c>
      <c r="I69" s="15">
        <v>120</v>
      </c>
      <c r="J69" s="15">
        <v>120</v>
      </c>
      <c r="K69" s="15">
        <v>120</v>
      </c>
      <c r="L69" s="15">
        <v>120</v>
      </c>
      <c r="M69" s="15">
        <v>120</v>
      </c>
      <c r="N69" s="15">
        <v>120</v>
      </c>
      <c r="O69" s="15">
        <v>120</v>
      </c>
      <c r="P69" s="15">
        <v>120</v>
      </c>
      <c r="Q69" s="87">
        <f t="shared" si="10"/>
        <v>0.40030690195816787</v>
      </c>
      <c r="R69" s="96"/>
      <c r="S69" s="96"/>
      <c r="T69" s="76"/>
      <c r="U69" s="76"/>
      <c r="V69" s="76"/>
      <c r="W69" s="76"/>
    </row>
    <row r="70" spans="1:23" s="76" customFormat="1">
      <c r="A70" s="121">
        <v>57</v>
      </c>
      <c r="B70" s="97" t="s">
        <v>66</v>
      </c>
      <c r="C70" s="14" t="s">
        <v>23</v>
      </c>
      <c r="D70" s="18">
        <v>44</v>
      </c>
      <c r="E70" s="15">
        <v>8</v>
      </c>
      <c r="F70" s="15">
        <v>236</v>
      </c>
      <c r="G70" s="15">
        <v>236</v>
      </c>
      <c r="H70" s="15">
        <v>236</v>
      </c>
      <c r="I70" s="15">
        <v>236</v>
      </c>
      <c r="J70" s="15">
        <v>236</v>
      </c>
      <c r="K70" s="15">
        <v>236</v>
      </c>
      <c r="L70" s="15">
        <v>236</v>
      </c>
      <c r="M70" s="15">
        <v>236</v>
      </c>
      <c r="N70" s="15">
        <v>236</v>
      </c>
      <c r="O70" s="15">
        <v>236</v>
      </c>
      <c r="P70" s="15">
        <v>236</v>
      </c>
      <c r="Q70" s="87">
        <f t="shared" si="10"/>
        <v>0.7872702405177302</v>
      </c>
      <c r="R70" s="96"/>
      <c r="S70" s="96"/>
    </row>
    <row r="71" spans="1:23" s="76" customFormat="1" ht="15.95" customHeight="1">
      <c r="A71" s="121">
        <v>58</v>
      </c>
      <c r="B71" s="97" t="s">
        <v>67</v>
      </c>
      <c r="C71" s="14" t="s">
        <v>22</v>
      </c>
      <c r="D71" s="18">
        <v>40</v>
      </c>
      <c r="E71" s="15">
        <v>40</v>
      </c>
      <c r="F71" s="15">
        <v>114</v>
      </c>
      <c r="G71" s="15">
        <v>114</v>
      </c>
      <c r="H71" s="15">
        <v>114</v>
      </c>
      <c r="I71" s="15">
        <v>114</v>
      </c>
      <c r="J71" s="15">
        <v>114</v>
      </c>
      <c r="K71" s="15">
        <v>114</v>
      </c>
      <c r="L71" s="15">
        <v>114</v>
      </c>
      <c r="M71" s="15">
        <v>114</v>
      </c>
      <c r="N71" s="15">
        <v>114</v>
      </c>
      <c r="O71" s="15">
        <v>152</v>
      </c>
      <c r="P71" s="15">
        <v>152</v>
      </c>
      <c r="Q71" s="87">
        <f t="shared" si="10"/>
        <v>0.50705540914701275</v>
      </c>
      <c r="R71" s="96"/>
      <c r="S71" s="96"/>
    </row>
    <row r="72" spans="1:23" s="76" customFormat="1" ht="21.75" customHeight="1">
      <c r="A72" s="121">
        <v>59</v>
      </c>
      <c r="B72" s="97" t="s">
        <v>68</v>
      </c>
      <c r="C72" s="14" t="s">
        <v>18</v>
      </c>
      <c r="D72" s="18">
        <v>90</v>
      </c>
      <c r="E72" s="15">
        <v>28</v>
      </c>
      <c r="F72" s="15">
        <v>300</v>
      </c>
      <c r="G72" s="15">
        <v>300</v>
      </c>
      <c r="H72" s="15">
        <v>300</v>
      </c>
      <c r="I72" s="15">
        <v>300</v>
      </c>
      <c r="J72" s="15">
        <v>300</v>
      </c>
      <c r="K72" s="15">
        <v>300</v>
      </c>
      <c r="L72" s="15">
        <v>300</v>
      </c>
      <c r="M72" s="15">
        <v>300</v>
      </c>
      <c r="N72" s="15">
        <v>300</v>
      </c>
      <c r="O72" s="15">
        <v>300</v>
      </c>
      <c r="P72" s="15">
        <v>300</v>
      </c>
      <c r="Q72" s="87">
        <f t="shared" si="10"/>
        <v>1.0007672548954198</v>
      </c>
      <c r="R72" s="96"/>
      <c r="S72" s="96"/>
    </row>
    <row r="73" spans="1:23" s="76" customFormat="1" ht="24" customHeight="1">
      <c r="A73" s="121">
        <v>60</v>
      </c>
      <c r="B73" s="97" t="s">
        <v>69</v>
      </c>
      <c r="C73" s="14" t="s">
        <v>25</v>
      </c>
      <c r="D73" s="18">
        <v>32</v>
      </c>
      <c r="E73" s="15">
        <v>12.9</v>
      </c>
      <c r="F73" s="15">
        <v>212</v>
      </c>
      <c r="G73" s="15">
        <v>212</v>
      </c>
      <c r="H73" s="15">
        <v>212</v>
      </c>
      <c r="I73" s="15">
        <v>212</v>
      </c>
      <c r="J73" s="15">
        <v>212</v>
      </c>
      <c r="K73" s="15">
        <v>212</v>
      </c>
      <c r="L73" s="15">
        <v>212</v>
      </c>
      <c r="M73" s="15">
        <v>212</v>
      </c>
      <c r="N73" s="15">
        <v>212</v>
      </c>
      <c r="O73" s="15">
        <v>212</v>
      </c>
      <c r="P73" s="15">
        <v>220</v>
      </c>
      <c r="Q73" s="87">
        <f t="shared" si="10"/>
        <v>0.73389598692330782</v>
      </c>
      <c r="R73" s="96"/>
      <c r="S73" s="96"/>
      <c r="T73" s="23"/>
      <c r="U73" s="23"/>
      <c r="V73" s="23"/>
      <c r="W73" s="23"/>
    </row>
    <row r="74" spans="1:23" s="76" customFormat="1" ht="18" customHeight="1">
      <c r="A74" s="121">
        <v>61</v>
      </c>
      <c r="B74" s="97" t="s">
        <v>70</v>
      </c>
      <c r="C74" s="14" t="s">
        <v>24</v>
      </c>
      <c r="D74" s="18">
        <v>44</v>
      </c>
      <c r="E74" s="15">
        <v>38</v>
      </c>
      <c r="F74" s="15">
        <v>200</v>
      </c>
      <c r="G74" s="15">
        <v>200</v>
      </c>
      <c r="H74" s="15">
        <v>200</v>
      </c>
      <c r="I74" s="15">
        <v>200</v>
      </c>
      <c r="J74" s="15">
        <v>200</v>
      </c>
      <c r="K74" s="15">
        <v>200</v>
      </c>
      <c r="L74" s="15">
        <v>200</v>
      </c>
      <c r="M74" s="15">
        <v>200</v>
      </c>
      <c r="N74" s="15">
        <v>200</v>
      </c>
      <c r="O74" s="15">
        <v>200</v>
      </c>
      <c r="P74" s="15">
        <v>150</v>
      </c>
      <c r="Q74" s="87">
        <f t="shared" si="10"/>
        <v>0.50038362744770992</v>
      </c>
      <c r="R74" s="96"/>
      <c r="S74" s="96"/>
    </row>
    <row r="75" spans="1:23" s="76" customFormat="1" ht="18" customHeight="1">
      <c r="A75" s="121">
        <v>62</v>
      </c>
      <c r="B75" s="97" t="s">
        <v>259</v>
      </c>
      <c r="C75" s="14" t="s">
        <v>250</v>
      </c>
      <c r="D75" s="20" t="s">
        <v>2</v>
      </c>
      <c r="E75" s="20" t="s">
        <v>2</v>
      </c>
      <c r="F75" s="15"/>
      <c r="G75" s="15"/>
      <c r="H75" s="15"/>
      <c r="I75" s="15"/>
      <c r="J75" s="15"/>
      <c r="K75" s="15"/>
      <c r="L75" s="15" t="s">
        <v>2</v>
      </c>
      <c r="M75" s="15" t="s">
        <v>2</v>
      </c>
      <c r="N75" s="15" t="s">
        <v>2</v>
      </c>
      <c r="O75" s="8" t="s">
        <v>2</v>
      </c>
      <c r="P75" s="15">
        <v>250</v>
      </c>
      <c r="Q75" s="87">
        <f t="shared" si="10"/>
        <v>0.83397271241284987</v>
      </c>
      <c r="R75" s="96"/>
      <c r="S75" s="96"/>
    </row>
    <row r="76" spans="1:23" s="76" customFormat="1" ht="15.95" customHeight="1">
      <c r="A76" s="121">
        <v>63</v>
      </c>
      <c r="B76" s="97" t="s">
        <v>167</v>
      </c>
      <c r="C76" s="14" t="s">
        <v>26</v>
      </c>
      <c r="D76" s="18">
        <v>98</v>
      </c>
      <c r="E76" s="15">
        <v>27.4</v>
      </c>
      <c r="F76" s="15">
        <v>204</v>
      </c>
      <c r="G76" s="15">
        <v>322</v>
      </c>
      <c r="H76" s="15">
        <v>322</v>
      </c>
      <c r="I76" s="15">
        <v>322</v>
      </c>
      <c r="J76" s="15">
        <v>322</v>
      </c>
      <c r="K76" s="15">
        <v>322</v>
      </c>
      <c r="L76" s="15">
        <v>322</v>
      </c>
      <c r="M76" s="15">
        <v>322</v>
      </c>
      <c r="N76" s="15">
        <v>322</v>
      </c>
      <c r="O76" s="15">
        <v>322</v>
      </c>
      <c r="P76" s="15">
        <v>322</v>
      </c>
      <c r="Q76" s="87">
        <f t="shared" ref="Q76:Q96" si="11">P76/P$6*100</f>
        <v>1.0741568535877506</v>
      </c>
      <c r="R76" s="96"/>
      <c r="S76" s="96"/>
    </row>
    <row r="77" spans="1:23" s="111" customFormat="1">
      <c r="A77" s="121">
        <v>64</v>
      </c>
      <c r="B77" s="97" t="s">
        <v>71</v>
      </c>
      <c r="C77" s="19" t="s">
        <v>23</v>
      </c>
      <c r="D77" s="18">
        <v>80</v>
      </c>
      <c r="E77" s="15">
        <v>25.7</v>
      </c>
      <c r="F77" s="15">
        <v>102</v>
      </c>
      <c r="G77" s="15">
        <v>102</v>
      </c>
      <c r="H77" s="15">
        <v>102</v>
      </c>
      <c r="I77" s="15">
        <v>102</v>
      </c>
      <c r="J77" s="15">
        <v>102</v>
      </c>
      <c r="K77" s="15">
        <v>102</v>
      </c>
      <c r="L77" s="15">
        <v>102</v>
      </c>
      <c r="M77" s="15">
        <v>102</v>
      </c>
      <c r="N77" s="15">
        <v>102</v>
      </c>
      <c r="O77" s="15">
        <v>102</v>
      </c>
      <c r="P77" s="15">
        <v>98</v>
      </c>
      <c r="Q77" s="87">
        <f t="shared" si="11"/>
        <v>0.32691730326583712</v>
      </c>
      <c r="R77" s="96"/>
      <c r="S77" s="96"/>
      <c r="T77" s="76"/>
      <c r="U77" s="76"/>
      <c r="V77" s="76"/>
      <c r="W77" s="76"/>
    </row>
    <row r="78" spans="1:23" s="76" customFormat="1" ht="15.95" customHeight="1">
      <c r="A78" s="121">
        <v>65</v>
      </c>
      <c r="B78" s="97" t="s">
        <v>231</v>
      </c>
      <c r="C78" s="7" t="s">
        <v>22</v>
      </c>
      <c r="D78" s="18">
        <v>64</v>
      </c>
      <c r="E78" s="15">
        <v>12</v>
      </c>
      <c r="F78" s="15">
        <v>110</v>
      </c>
      <c r="G78" s="15">
        <v>110</v>
      </c>
      <c r="H78" s="15">
        <v>110</v>
      </c>
      <c r="I78" s="15">
        <v>110</v>
      </c>
      <c r="J78" s="15">
        <v>174</v>
      </c>
      <c r="K78" s="15">
        <v>178</v>
      </c>
      <c r="L78" s="15">
        <v>178</v>
      </c>
      <c r="M78" s="15">
        <v>178</v>
      </c>
      <c r="N78" s="15">
        <v>178</v>
      </c>
      <c r="O78" s="15">
        <v>178</v>
      </c>
      <c r="P78" s="15">
        <v>196</v>
      </c>
      <c r="Q78" s="87">
        <f t="shared" si="11"/>
        <v>0.65383460653167425</v>
      </c>
      <c r="R78" s="96"/>
      <c r="S78" s="96"/>
      <c r="T78" s="111"/>
      <c r="U78" s="111"/>
      <c r="V78" s="111"/>
      <c r="W78" s="111"/>
    </row>
    <row r="79" spans="1:23" s="76" customFormat="1" ht="15.95" customHeight="1">
      <c r="A79" s="121">
        <v>66</v>
      </c>
      <c r="B79" s="97" t="s">
        <v>73</v>
      </c>
      <c r="C79" s="19" t="s">
        <v>19</v>
      </c>
      <c r="D79" s="18">
        <v>60</v>
      </c>
      <c r="E79" s="15">
        <v>3.2</v>
      </c>
      <c r="F79" s="15">
        <v>362</v>
      </c>
      <c r="G79" s="15">
        <v>362</v>
      </c>
      <c r="H79" s="15">
        <v>362</v>
      </c>
      <c r="I79" s="15">
        <v>362</v>
      </c>
      <c r="J79" s="15">
        <v>362</v>
      </c>
      <c r="K79" s="15">
        <v>362</v>
      </c>
      <c r="L79" s="15">
        <v>362</v>
      </c>
      <c r="M79" s="15">
        <v>362</v>
      </c>
      <c r="N79" s="15">
        <v>362</v>
      </c>
      <c r="O79" s="15">
        <v>362</v>
      </c>
      <c r="P79" s="15">
        <v>362</v>
      </c>
      <c r="Q79" s="87">
        <f t="shared" si="11"/>
        <v>1.2075924875738064</v>
      </c>
      <c r="R79" s="96"/>
      <c r="S79" s="96"/>
    </row>
    <row r="80" spans="1:23" s="76" customFormat="1" ht="15.95" customHeight="1">
      <c r="A80" s="121">
        <v>67</v>
      </c>
      <c r="B80" s="97" t="s">
        <v>75</v>
      </c>
      <c r="C80" s="19" t="s">
        <v>14</v>
      </c>
      <c r="D80" s="18">
        <v>58</v>
      </c>
      <c r="E80" s="15">
        <v>38.6</v>
      </c>
      <c r="F80" s="15">
        <v>74</v>
      </c>
      <c r="G80" s="15">
        <v>74</v>
      </c>
      <c r="H80" s="15">
        <v>74</v>
      </c>
      <c r="I80" s="15">
        <v>74</v>
      </c>
      <c r="J80" s="15">
        <v>74</v>
      </c>
      <c r="K80" s="15">
        <v>74</v>
      </c>
      <c r="L80" s="15">
        <v>74</v>
      </c>
      <c r="M80" s="15">
        <v>74</v>
      </c>
      <c r="N80" s="15">
        <v>74</v>
      </c>
      <c r="O80" s="15">
        <v>74</v>
      </c>
      <c r="P80" s="15">
        <v>72</v>
      </c>
      <c r="Q80" s="87">
        <f t="shared" si="11"/>
        <v>0.24018414117490078</v>
      </c>
      <c r="R80" s="96"/>
      <c r="S80" s="96"/>
    </row>
    <row r="81" spans="1:23" s="76" customFormat="1" ht="15.95" customHeight="1">
      <c r="A81" s="121">
        <v>68</v>
      </c>
      <c r="B81" s="97" t="s">
        <v>217</v>
      </c>
      <c r="C81" s="17">
        <v>2016</v>
      </c>
      <c r="D81" s="18">
        <v>164</v>
      </c>
      <c r="E81" s="15">
        <v>8</v>
      </c>
      <c r="F81" s="15" t="s">
        <v>2</v>
      </c>
      <c r="G81" s="15" t="s">
        <v>2</v>
      </c>
      <c r="H81" s="15" t="s">
        <v>2</v>
      </c>
      <c r="I81" s="15" t="s">
        <v>2</v>
      </c>
      <c r="J81" s="15" t="s">
        <v>2</v>
      </c>
      <c r="K81" s="15" t="s">
        <v>2</v>
      </c>
      <c r="L81" s="15" t="s">
        <v>2</v>
      </c>
      <c r="M81" s="15" t="s">
        <v>2</v>
      </c>
      <c r="N81" s="15" t="s">
        <v>2</v>
      </c>
      <c r="O81" s="15">
        <v>164</v>
      </c>
      <c r="P81" s="15">
        <v>164</v>
      </c>
      <c r="Q81" s="87">
        <f t="shared" si="11"/>
        <v>0.54708609934282948</v>
      </c>
      <c r="R81" s="96"/>
      <c r="S81" s="96"/>
    </row>
    <row r="82" spans="1:23" s="76" customFormat="1" ht="15.95" customHeight="1">
      <c r="A82" s="121">
        <v>69</v>
      </c>
      <c r="B82" s="97" t="s">
        <v>76</v>
      </c>
      <c r="C82" s="19" t="s">
        <v>16</v>
      </c>
      <c r="D82" s="18">
        <v>128</v>
      </c>
      <c r="E82" s="15">
        <v>37</v>
      </c>
      <c r="F82" s="15">
        <v>570</v>
      </c>
      <c r="G82" s="15">
        <v>570</v>
      </c>
      <c r="H82" s="15">
        <v>570</v>
      </c>
      <c r="I82" s="15">
        <v>570</v>
      </c>
      <c r="J82" s="15">
        <v>570</v>
      </c>
      <c r="K82" s="15">
        <v>570</v>
      </c>
      <c r="L82" s="15">
        <v>570</v>
      </c>
      <c r="M82" s="15">
        <v>570</v>
      </c>
      <c r="N82" s="15">
        <v>570</v>
      </c>
      <c r="O82" s="15">
        <v>570</v>
      </c>
      <c r="P82" s="15">
        <v>572</v>
      </c>
      <c r="Q82" s="87">
        <f t="shared" si="11"/>
        <v>1.9081295660006006</v>
      </c>
      <c r="R82" s="96"/>
      <c r="S82" s="96"/>
      <c r="T82" s="111"/>
      <c r="U82" s="111"/>
      <c r="V82" s="111"/>
      <c r="W82" s="111"/>
    </row>
    <row r="83" spans="1:23" s="76" customFormat="1" ht="15.95" customHeight="1">
      <c r="A83" s="121">
        <v>70</v>
      </c>
      <c r="B83" s="97" t="s">
        <v>78</v>
      </c>
      <c r="C83" s="17">
        <v>1986</v>
      </c>
      <c r="D83" s="18">
        <v>32</v>
      </c>
      <c r="E83" s="15">
        <v>27</v>
      </c>
      <c r="F83" s="15">
        <v>138</v>
      </c>
      <c r="G83" s="15">
        <v>138</v>
      </c>
      <c r="H83" s="15">
        <v>138</v>
      </c>
      <c r="I83" s="15">
        <v>138</v>
      </c>
      <c r="J83" s="15">
        <v>138</v>
      </c>
      <c r="K83" s="15">
        <v>138</v>
      </c>
      <c r="L83" s="15">
        <v>138</v>
      </c>
      <c r="M83" s="15">
        <v>138</v>
      </c>
      <c r="N83" s="15">
        <v>138</v>
      </c>
      <c r="O83" s="15">
        <v>138</v>
      </c>
      <c r="P83" s="15">
        <v>176</v>
      </c>
      <c r="Q83" s="87">
        <f t="shared" si="11"/>
        <v>0.58711678953864632</v>
      </c>
      <c r="R83" s="96"/>
      <c r="S83" s="96"/>
    </row>
    <row r="84" spans="1:23" s="111" customFormat="1" ht="15.95" customHeight="1">
      <c r="A84" s="121">
        <v>71</v>
      </c>
      <c r="B84" s="97" t="s">
        <v>249</v>
      </c>
      <c r="C84" s="14" t="s">
        <v>23</v>
      </c>
      <c r="D84" s="18">
        <v>20</v>
      </c>
      <c r="E84" s="15">
        <v>46.7</v>
      </c>
      <c r="F84" s="15">
        <v>100</v>
      </c>
      <c r="G84" s="15">
        <v>100</v>
      </c>
      <c r="H84" s="15">
        <v>100</v>
      </c>
      <c r="I84" s="15">
        <v>100</v>
      </c>
      <c r="J84" s="15">
        <v>100</v>
      </c>
      <c r="K84" s="15">
        <v>100</v>
      </c>
      <c r="L84" s="15">
        <v>100</v>
      </c>
      <c r="M84" s="15">
        <v>100</v>
      </c>
      <c r="N84" s="15">
        <v>220</v>
      </c>
      <c r="O84" s="15">
        <v>236</v>
      </c>
      <c r="P84" s="15">
        <v>236</v>
      </c>
      <c r="Q84" s="87">
        <f t="shared" si="11"/>
        <v>0.7872702405177302</v>
      </c>
      <c r="R84" s="96"/>
      <c r="S84" s="96"/>
      <c r="T84" s="76"/>
      <c r="U84" s="76"/>
      <c r="V84" s="76"/>
      <c r="W84" s="76"/>
    </row>
    <row r="85" spans="1:23" s="111" customFormat="1" ht="15.95" customHeight="1">
      <c r="A85" s="121">
        <v>72</v>
      </c>
      <c r="B85" s="97" t="s">
        <v>77</v>
      </c>
      <c r="C85" s="19" t="s">
        <v>23</v>
      </c>
      <c r="D85" s="18">
        <v>36</v>
      </c>
      <c r="E85" s="15">
        <v>51.5</v>
      </c>
      <c r="F85" s="15">
        <v>268</v>
      </c>
      <c r="G85" s="15">
        <v>268</v>
      </c>
      <c r="H85" s="15">
        <v>268</v>
      </c>
      <c r="I85" s="15">
        <v>332</v>
      </c>
      <c r="J85" s="15">
        <v>332</v>
      </c>
      <c r="K85" s="15">
        <v>332</v>
      </c>
      <c r="L85" s="15">
        <v>332</v>
      </c>
      <c r="M85" s="15">
        <v>332</v>
      </c>
      <c r="N85" s="15">
        <v>332</v>
      </c>
      <c r="O85" s="15">
        <v>332</v>
      </c>
      <c r="P85" s="15">
        <v>416</v>
      </c>
      <c r="Q85" s="87">
        <f t="shared" si="11"/>
        <v>1.3877305934549822</v>
      </c>
      <c r="R85" s="96"/>
      <c r="S85" s="96"/>
    </row>
    <row r="86" spans="1:23" s="111" customFormat="1">
      <c r="A86" s="121">
        <v>73</v>
      </c>
      <c r="B86" s="97" t="s">
        <v>218</v>
      </c>
      <c r="C86" s="19" t="s">
        <v>23</v>
      </c>
      <c r="D86" s="18">
        <v>24</v>
      </c>
      <c r="E86" s="15">
        <v>64.400000000000006</v>
      </c>
      <c r="F86" s="15">
        <v>264</v>
      </c>
      <c r="G86" s="15">
        <v>264</v>
      </c>
      <c r="H86" s="15">
        <v>268</v>
      </c>
      <c r="I86" s="15">
        <v>268</v>
      </c>
      <c r="J86" s="15">
        <v>268</v>
      </c>
      <c r="K86" s="15">
        <v>268</v>
      </c>
      <c r="L86" s="15">
        <v>268</v>
      </c>
      <c r="M86" s="15">
        <v>268</v>
      </c>
      <c r="N86" s="15">
        <v>268</v>
      </c>
      <c r="O86" s="15">
        <v>268</v>
      </c>
      <c r="P86" s="15">
        <v>268</v>
      </c>
      <c r="Q86" s="87">
        <f t="shared" si="11"/>
        <v>0.89401874770657508</v>
      </c>
      <c r="R86" s="96"/>
      <c r="S86" s="96"/>
    </row>
    <row r="87" spans="1:23" s="111" customFormat="1" ht="25.5">
      <c r="A87" s="121">
        <v>74</v>
      </c>
      <c r="B87" s="97" t="s">
        <v>219</v>
      </c>
      <c r="C87" s="17">
        <v>2016</v>
      </c>
      <c r="D87" s="18">
        <v>198</v>
      </c>
      <c r="E87" s="15">
        <v>36.4</v>
      </c>
      <c r="F87" s="15" t="s">
        <v>2</v>
      </c>
      <c r="G87" s="15" t="s">
        <v>2</v>
      </c>
      <c r="H87" s="15" t="s">
        <v>2</v>
      </c>
      <c r="I87" s="15" t="s">
        <v>2</v>
      </c>
      <c r="J87" s="15" t="s">
        <v>2</v>
      </c>
      <c r="K87" s="15" t="s">
        <v>2</v>
      </c>
      <c r="L87" s="15" t="s">
        <v>2</v>
      </c>
      <c r="M87" s="15" t="s">
        <v>2</v>
      </c>
      <c r="N87" s="15" t="s">
        <v>2</v>
      </c>
      <c r="O87" s="15">
        <v>204</v>
      </c>
      <c r="P87" s="15">
        <v>204</v>
      </c>
      <c r="Q87" s="87">
        <f t="shared" si="11"/>
        <v>0.68052173332888544</v>
      </c>
      <c r="R87" s="96"/>
      <c r="S87" s="96"/>
    </row>
    <row r="88" spans="1:23" s="76" customFormat="1" ht="15.95" customHeight="1">
      <c r="A88" s="121">
        <v>75</v>
      </c>
      <c r="B88" s="97" t="s">
        <v>79</v>
      </c>
      <c r="C88" s="19" t="s">
        <v>23</v>
      </c>
      <c r="D88" s="18">
        <v>24</v>
      </c>
      <c r="E88" s="15">
        <v>9.6</v>
      </c>
      <c r="F88" s="15">
        <v>520</v>
      </c>
      <c r="G88" s="15">
        <v>568</v>
      </c>
      <c r="H88" s="15">
        <v>568</v>
      </c>
      <c r="I88" s="15">
        <v>568</v>
      </c>
      <c r="J88" s="15">
        <v>568</v>
      </c>
      <c r="K88" s="15">
        <v>568</v>
      </c>
      <c r="L88" s="15">
        <v>568</v>
      </c>
      <c r="M88" s="15">
        <v>568</v>
      </c>
      <c r="N88" s="15">
        <v>568</v>
      </c>
      <c r="O88" s="15">
        <v>568</v>
      </c>
      <c r="P88" s="15">
        <v>568</v>
      </c>
      <c r="Q88" s="87">
        <f t="shared" si="11"/>
        <v>1.8947860026019947</v>
      </c>
      <c r="R88" s="96"/>
      <c r="S88" s="97"/>
    </row>
    <row r="89" spans="1:23" s="76" customFormat="1" ht="15.95" customHeight="1">
      <c r="A89" s="121">
        <v>76</v>
      </c>
      <c r="B89" s="97" t="s">
        <v>80</v>
      </c>
      <c r="C89" s="19" t="s">
        <v>24</v>
      </c>
      <c r="D89" s="18">
        <v>40</v>
      </c>
      <c r="E89" s="15">
        <v>40.200000000000003</v>
      </c>
      <c r="F89" s="15">
        <v>100</v>
      </c>
      <c r="G89" s="15">
        <v>100</v>
      </c>
      <c r="H89" s="15">
        <v>100</v>
      </c>
      <c r="I89" s="15">
        <v>100</v>
      </c>
      <c r="J89" s="15">
        <v>100</v>
      </c>
      <c r="K89" s="15">
        <v>100</v>
      </c>
      <c r="L89" s="15">
        <v>100</v>
      </c>
      <c r="M89" s="15">
        <v>100</v>
      </c>
      <c r="N89" s="15">
        <v>100</v>
      </c>
      <c r="O89" s="15">
        <v>100</v>
      </c>
      <c r="P89" s="15">
        <v>100</v>
      </c>
      <c r="Q89" s="87">
        <f t="shared" si="11"/>
        <v>0.33358908496513995</v>
      </c>
      <c r="R89" s="96"/>
      <c r="S89" s="96"/>
    </row>
    <row r="90" spans="1:23" s="76" customFormat="1" ht="15.95" customHeight="1">
      <c r="A90" s="121">
        <v>77</v>
      </c>
      <c r="B90" s="97" t="s">
        <v>229</v>
      </c>
      <c r="C90" s="14">
        <v>1973</v>
      </c>
      <c r="D90" s="18">
        <v>112</v>
      </c>
      <c r="E90" s="15">
        <v>5.6</v>
      </c>
      <c r="F90" s="15">
        <v>312</v>
      </c>
      <c r="G90" s="15">
        <v>312</v>
      </c>
      <c r="H90" s="15">
        <v>312</v>
      </c>
      <c r="I90" s="15">
        <v>312</v>
      </c>
      <c r="J90" s="15">
        <v>312</v>
      </c>
      <c r="K90" s="15">
        <v>312</v>
      </c>
      <c r="L90" s="15">
        <v>312</v>
      </c>
      <c r="M90" s="15">
        <v>312</v>
      </c>
      <c r="N90" s="15">
        <v>312</v>
      </c>
      <c r="O90" s="15">
        <v>312</v>
      </c>
      <c r="P90" s="15">
        <v>352</v>
      </c>
      <c r="Q90" s="87">
        <f t="shared" si="11"/>
        <v>1.1742335790772926</v>
      </c>
      <c r="R90" s="96"/>
      <c r="S90" s="96"/>
    </row>
    <row r="91" spans="1:23" ht="15.95" customHeight="1">
      <c r="A91" s="121">
        <v>78</v>
      </c>
      <c r="B91" s="97" t="s">
        <v>260</v>
      </c>
      <c r="C91" s="14" t="s">
        <v>24</v>
      </c>
      <c r="D91" s="18">
        <v>12</v>
      </c>
      <c r="E91" s="15">
        <v>9.6999999999999993</v>
      </c>
      <c r="F91" s="15">
        <v>94</v>
      </c>
      <c r="G91" s="15">
        <v>94</v>
      </c>
      <c r="H91" s="15">
        <v>94</v>
      </c>
      <c r="I91" s="15">
        <v>94</v>
      </c>
      <c r="J91" s="15">
        <v>94</v>
      </c>
      <c r="K91" s="15">
        <v>94</v>
      </c>
      <c r="L91" s="15">
        <v>94</v>
      </c>
      <c r="M91" s="15">
        <v>94</v>
      </c>
      <c r="N91" s="15">
        <v>94</v>
      </c>
      <c r="O91" s="15">
        <v>94</v>
      </c>
      <c r="P91" s="15">
        <v>94</v>
      </c>
      <c r="Q91" s="87">
        <f t="shared" si="11"/>
        <v>0.31357373986723158</v>
      </c>
      <c r="R91" s="96"/>
      <c r="S91" s="96"/>
    </row>
    <row r="92" spans="1:23" ht="15.95" customHeight="1">
      <c r="A92" s="121">
        <v>79</v>
      </c>
      <c r="B92" s="97" t="s">
        <v>232</v>
      </c>
      <c r="C92" s="17">
        <v>1983</v>
      </c>
      <c r="D92" s="18">
        <v>58</v>
      </c>
      <c r="E92" s="15">
        <v>35</v>
      </c>
      <c r="F92" s="15">
        <v>216</v>
      </c>
      <c r="G92" s="15">
        <v>216</v>
      </c>
      <c r="H92" s="15">
        <v>216</v>
      </c>
      <c r="I92" s="15">
        <v>216</v>
      </c>
      <c r="J92" s="15">
        <v>230</v>
      </c>
      <c r="K92" s="15">
        <v>230</v>
      </c>
      <c r="L92" s="15">
        <v>230</v>
      </c>
      <c r="M92" s="15">
        <v>230</v>
      </c>
      <c r="N92" s="15">
        <v>230</v>
      </c>
      <c r="O92" s="15">
        <v>230</v>
      </c>
      <c r="P92" s="15">
        <v>314</v>
      </c>
      <c r="Q92" s="87">
        <f t="shared" si="11"/>
        <v>1.0474697267905393</v>
      </c>
      <c r="R92" s="96"/>
      <c r="S92" s="96"/>
    </row>
    <row r="93" spans="1:23" s="76" customFormat="1" ht="15.95" customHeight="1">
      <c r="A93" s="121">
        <v>80</v>
      </c>
      <c r="B93" s="97" t="s">
        <v>82</v>
      </c>
      <c r="C93" s="17">
        <v>1983</v>
      </c>
      <c r="D93" s="18">
        <v>20</v>
      </c>
      <c r="E93" s="15">
        <v>12.9</v>
      </c>
      <c r="F93" s="15">
        <v>128</v>
      </c>
      <c r="G93" s="15">
        <v>128</v>
      </c>
      <c r="H93" s="15">
        <v>128</v>
      </c>
      <c r="I93" s="15">
        <v>128</v>
      </c>
      <c r="J93" s="15">
        <v>128</v>
      </c>
      <c r="K93" s="15">
        <v>128</v>
      </c>
      <c r="L93" s="15">
        <v>128</v>
      </c>
      <c r="M93" s="15">
        <v>128</v>
      </c>
      <c r="N93" s="15">
        <v>128</v>
      </c>
      <c r="O93" s="15">
        <v>128</v>
      </c>
      <c r="P93" s="15">
        <v>134</v>
      </c>
      <c r="Q93" s="87">
        <f t="shared" si="11"/>
        <v>0.44700937385328754</v>
      </c>
      <c r="R93" s="96"/>
      <c r="S93" s="96"/>
    </row>
    <row r="94" spans="1:23" s="76" customFormat="1" ht="15.95" customHeight="1">
      <c r="A94" s="121">
        <v>81</v>
      </c>
      <c r="B94" s="97" t="s">
        <v>83</v>
      </c>
      <c r="C94" s="19" t="s">
        <v>24</v>
      </c>
      <c r="D94" s="18">
        <v>44</v>
      </c>
      <c r="E94" s="15">
        <v>11</v>
      </c>
      <c r="F94" s="15">
        <v>138</v>
      </c>
      <c r="G94" s="15">
        <v>138</v>
      </c>
      <c r="H94" s="15">
        <v>172</v>
      </c>
      <c r="I94" s="15">
        <v>172</v>
      </c>
      <c r="J94" s="15">
        <v>172</v>
      </c>
      <c r="K94" s="15">
        <v>172</v>
      </c>
      <c r="L94" s="15">
        <v>172</v>
      </c>
      <c r="M94" s="15">
        <v>172</v>
      </c>
      <c r="N94" s="15">
        <v>172</v>
      </c>
      <c r="O94" s="15">
        <v>168</v>
      </c>
      <c r="P94" s="15">
        <v>168</v>
      </c>
      <c r="Q94" s="87">
        <f t="shared" si="11"/>
        <v>0.56042966274143513</v>
      </c>
      <c r="R94" s="96"/>
      <c r="S94" s="96"/>
    </row>
    <row r="95" spans="1:23" s="76" customFormat="1" ht="15.95" customHeight="1">
      <c r="A95" s="121">
        <v>82</v>
      </c>
      <c r="B95" s="97" t="s">
        <v>74</v>
      </c>
      <c r="C95" s="19" t="s">
        <v>28</v>
      </c>
      <c r="D95" s="18">
        <v>90</v>
      </c>
      <c r="E95" s="15">
        <v>11.3</v>
      </c>
      <c r="F95" s="15">
        <v>258</v>
      </c>
      <c r="G95" s="15">
        <v>258</v>
      </c>
      <c r="H95" s="15">
        <v>258</v>
      </c>
      <c r="I95" s="15">
        <v>258</v>
      </c>
      <c r="J95" s="15">
        <v>258</v>
      </c>
      <c r="K95" s="15">
        <v>258</v>
      </c>
      <c r="L95" s="15">
        <v>258</v>
      </c>
      <c r="M95" s="15">
        <v>258</v>
      </c>
      <c r="N95" s="15">
        <v>258</v>
      </c>
      <c r="O95" s="15">
        <v>258</v>
      </c>
      <c r="P95" s="15">
        <v>258</v>
      </c>
      <c r="Q95" s="87">
        <f t="shared" si="11"/>
        <v>0.86065983921006106</v>
      </c>
      <c r="R95" s="96"/>
      <c r="S95" s="96"/>
    </row>
    <row r="96" spans="1:23" s="76" customFormat="1" ht="15.95" customHeight="1">
      <c r="A96" s="122">
        <v>83</v>
      </c>
      <c r="B96" s="98" t="s">
        <v>81</v>
      </c>
      <c r="C96" s="37">
        <v>1982</v>
      </c>
      <c r="D96" s="34">
        <v>68</v>
      </c>
      <c r="E96" s="35">
        <v>32.200000000000003</v>
      </c>
      <c r="F96" s="35">
        <v>132</v>
      </c>
      <c r="G96" s="35">
        <v>132</v>
      </c>
      <c r="H96" s="35">
        <v>124</v>
      </c>
      <c r="I96" s="35">
        <v>124</v>
      </c>
      <c r="J96" s="35">
        <v>124</v>
      </c>
      <c r="K96" s="35">
        <v>124</v>
      </c>
      <c r="L96" s="77">
        <v>128</v>
      </c>
      <c r="M96" s="77">
        <v>128</v>
      </c>
      <c r="N96" s="77">
        <v>128</v>
      </c>
      <c r="O96" s="77">
        <v>128</v>
      </c>
      <c r="P96" s="77">
        <v>128</v>
      </c>
      <c r="Q96" s="89">
        <f t="shared" si="11"/>
        <v>0.42699402875537912</v>
      </c>
      <c r="R96" s="96"/>
      <c r="S96" s="96"/>
    </row>
    <row r="97" spans="1:23" s="76" customFormat="1" ht="15.95" customHeight="1">
      <c r="A97" s="124"/>
      <c r="B97" s="42" t="s">
        <v>29</v>
      </c>
      <c r="C97" s="20" t="s">
        <v>2</v>
      </c>
      <c r="D97" s="20" t="s">
        <v>2</v>
      </c>
      <c r="E97" s="20" t="s">
        <v>2</v>
      </c>
      <c r="F97" s="20">
        <f t="shared" ref="F97:M97" si="12">SUM(F98:F110)</f>
        <v>1858</v>
      </c>
      <c r="G97" s="20">
        <f t="shared" si="12"/>
        <v>1928</v>
      </c>
      <c r="H97" s="20">
        <f t="shared" si="12"/>
        <v>1988</v>
      </c>
      <c r="I97" s="20">
        <f t="shared" si="12"/>
        <v>1988</v>
      </c>
      <c r="J97" s="20">
        <f t="shared" si="12"/>
        <v>1988</v>
      </c>
      <c r="K97" s="20">
        <f t="shared" si="12"/>
        <v>1988</v>
      </c>
      <c r="L97" s="20">
        <f t="shared" si="12"/>
        <v>2156</v>
      </c>
      <c r="M97" s="20">
        <f t="shared" si="12"/>
        <v>2216</v>
      </c>
      <c r="N97" s="20">
        <f t="shared" ref="N97:O97" si="13">SUM(N98:N110)</f>
        <v>2244</v>
      </c>
      <c r="O97" s="20">
        <f t="shared" si="13"/>
        <v>2454</v>
      </c>
      <c r="P97" s="20">
        <f>SUM(P98:P110)</f>
        <v>2488</v>
      </c>
      <c r="Q97" s="83">
        <f t="shared" ref="Q97:Q111" si="14">P97/P$6*100</f>
        <v>8.2996964339326826</v>
      </c>
      <c r="R97" s="96"/>
      <c r="S97" s="96"/>
    </row>
    <row r="98" spans="1:23" s="76" customFormat="1" ht="15.95" customHeight="1">
      <c r="A98" s="121">
        <v>84</v>
      </c>
      <c r="B98" s="97" t="s">
        <v>234</v>
      </c>
      <c r="C98" s="7" t="s">
        <v>14</v>
      </c>
      <c r="D98" s="18">
        <v>20</v>
      </c>
      <c r="E98" s="15">
        <v>48.3</v>
      </c>
      <c r="F98" s="15">
        <v>90</v>
      </c>
      <c r="G98" s="15">
        <v>90</v>
      </c>
      <c r="H98" s="15">
        <v>90</v>
      </c>
      <c r="I98" s="15">
        <v>90</v>
      </c>
      <c r="J98" s="15">
        <v>90</v>
      </c>
      <c r="K98" s="15">
        <v>90</v>
      </c>
      <c r="L98" s="15">
        <v>90</v>
      </c>
      <c r="M98" s="15">
        <v>90</v>
      </c>
      <c r="N98" s="15">
        <v>90</v>
      </c>
      <c r="O98" s="15">
        <v>90</v>
      </c>
      <c r="P98" s="15">
        <v>90</v>
      </c>
      <c r="Q98" s="87">
        <f t="shared" si="14"/>
        <v>0.30023017646862593</v>
      </c>
      <c r="R98" s="96"/>
      <c r="S98" s="96"/>
    </row>
    <row r="99" spans="1:23" s="76" customFormat="1" ht="20.25" customHeight="1">
      <c r="A99" s="121">
        <v>85</v>
      </c>
      <c r="B99" s="97" t="s">
        <v>236</v>
      </c>
      <c r="C99" s="14" t="s">
        <v>22</v>
      </c>
      <c r="D99" s="18">
        <v>30</v>
      </c>
      <c r="E99" s="15">
        <v>36</v>
      </c>
      <c r="F99" s="15">
        <v>112</v>
      </c>
      <c r="G99" s="15">
        <v>112</v>
      </c>
      <c r="H99" s="15">
        <v>172</v>
      </c>
      <c r="I99" s="15">
        <v>172</v>
      </c>
      <c r="J99" s="15">
        <v>172</v>
      </c>
      <c r="K99" s="15">
        <v>172</v>
      </c>
      <c r="L99" s="15">
        <v>172</v>
      </c>
      <c r="M99" s="15">
        <v>172</v>
      </c>
      <c r="N99" s="15">
        <v>172</v>
      </c>
      <c r="O99" s="15">
        <v>172</v>
      </c>
      <c r="P99" s="15">
        <v>172</v>
      </c>
      <c r="Q99" s="87">
        <f t="shared" si="14"/>
        <v>0.57377322614004067</v>
      </c>
      <c r="R99" s="96"/>
      <c r="S99" s="96"/>
    </row>
    <row r="100" spans="1:23" s="111" customFormat="1" ht="15.95" customHeight="1">
      <c r="A100" s="121">
        <v>86</v>
      </c>
      <c r="B100" s="97" t="s">
        <v>235</v>
      </c>
      <c r="C100" s="7" t="s">
        <v>26</v>
      </c>
      <c r="D100" s="18">
        <v>32</v>
      </c>
      <c r="E100" s="15">
        <v>54</v>
      </c>
      <c r="F100" s="15">
        <v>176</v>
      </c>
      <c r="G100" s="15">
        <v>224</v>
      </c>
      <c r="H100" s="15">
        <v>224</v>
      </c>
      <c r="I100" s="15">
        <v>224</v>
      </c>
      <c r="J100" s="15">
        <v>224</v>
      </c>
      <c r="K100" s="15">
        <v>224</v>
      </c>
      <c r="L100" s="15">
        <v>224</v>
      </c>
      <c r="M100" s="15">
        <v>224</v>
      </c>
      <c r="N100" s="15">
        <v>224</v>
      </c>
      <c r="O100" s="15">
        <v>224</v>
      </c>
      <c r="P100" s="15">
        <v>224</v>
      </c>
      <c r="Q100" s="87">
        <f t="shared" si="14"/>
        <v>0.74723955032191347</v>
      </c>
      <c r="R100" s="96"/>
      <c r="S100" s="96"/>
      <c r="T100" s="76"/>
      <c r="U100" s="76"/>
      <c r="V100" s="76"/>
      <c r="W100" s="76"/>
    </row>
    <row r="101" spans="1:23" s="76" customFormat="1" ht="15.95" customHeight="1">
      <c r="A101" s="121">
        <v>87</v>
      </c>
      <c r="B101" s="97" t="s">
        <v>84</v>
      </c>
      <c r="C101" s="14" t="s">
        <v>30</v>
      </c>
      <c r="D101" s="18">
        <v>50</v>
      </c>
      <c r="E101" s="15">
        <v>77.2</v>
      </c>
      <c r="F101" s="15">
        <v>50</v>
      </c>
      <c r="G101" s="15">
        <v>72</v>
      </c>
      <c r="H101" s="15">
        <v>72</v>
      </c>
      <c r="I101" s="15">
        <v>72</v>
      </c>
      <c r="J101" s="15">
        <v>72</v>
      </c>
      <c r="K101" s="15">
        <v>72</v>
      </c>
      <c r="L101" s="15">
        <v>72</v>
      </c>
      <c r="M101" s="15">
        <v>72</v>
      </c>
      <c r="N101" s="15">
        <v>72</v>
      </c>
      <c r="O101" s="15">
        <v>72</v>
      </c>
      <c r="P101" s="15">
        <v>72</v>
      </c>
      <c r="Q101" s="87">
        <f t="shared" si="14"/>
        <v>0.24018414117490078</v>
      </c>
      <c r="R101" s="96"/>
      <c r="S101" s="96"/>
      <c r="T101" s="111"/>
      <c r="U101" s="111"/>
      <c r="V101" s="111"/>
      <c r="W101" s="111"/>
    </row>
    <row r="102" spans="1:23" s="76" customFormat="1" ht="15.95" customHeight="1">
      <c r="A102" s="121">
        <v>88</v>
      </c>
      <c r="B102" s="97" t="s">
        <v>199</v>
      </c>
      <c r="C102" s="14" t="s">
        <v>198</v>
      </c>
      <c r="D102" s="18">
        <v>60</v>
      </c>
      <c r="E102" s="15">
        <v>74.599999999999994</v>
      </c>
      <c r="F102" s="15" t="s">
        <v>2</v>
      </c>
      <c r="G102" s="15" t="s">
        <v>2</v>
      </c>
      <c r="H102" s="15" t="s">
        <v>2</v>
      </c>
      <c r="I102" s="15" t="s">
        <v>2</v>
      </c>
      <c r="J102" s="15" t="s">
        <v>2</v>
      </c>
      <c r="K102" s="15" t="s">
        <v>2</v>
      </c>
      <c r="L102" s="15" t="s">
        <v>2</v>
      </c>
      <c r="M102" s="15">
        <v>60</v>
      </c>
      <c r="N102" s="15">
        <v>60</v>
      </c>
      <c r="O102" s="15">
        <v>60</v>
      </c>
      <c r="P102" s="15">
        <v>60</v>
      </c>
      <c r="Q102" s="87">
        <f t="shared" si="14"/>
        <v>0.20015345097908394</v>
      </c>
      <c r="R102" s="96"/>
      <c r="S102" s="96"/>
    </row>
    <row r="103" spans="1:23" s="76" customFormat="1" ht="15.95" customHeight="1">
      <c r="A103" s="121">
        <v>89</v>
      </c>
      <c r="B103" s="97" t="s">
        <v>224</v>
      </c>
      <c r="C103" s="19" t="s">
        <v>20</v>
      </c>
      <c r="D103" s="18">
        <v>48</v>
      </c>
      <c r="E103" s="15">
        <v>56.3</v>
      </c>
      <c r="F103" s="15">
        <v>580</v>
      </c>
      <c r="G103" s="15">
        <v>580</v>
      </c>
      <c r="H103" s="15">
        <v>580</v>
      </c>
      <c r="I103" s="15">
        <v>580</v>
      </c>
      <c r="J103" s="15">
        <v>580</v>
      </c>
      <c r="K103" s="15">
        <v>580</v>
      </c>
      <c r="L103" s="15">
        <v>580</v>
      </c>
      <c r="M103" s="15">
        <v>580</v>
      </c>
      <c r="N103" s="15">
        <v>580</v>
      </c>
      <c r="O103" s="15">
        <v>790</v>
      </c>
      <c r="P103" s="15">
        <v>790</v>
      </c>
      <c r="Q103" s="87">
        <f t="shared" si="14"/>
        <v>2.6353537712246053</v>
      </c>
      <c r="R103" s="96"/>
      <c r="S103" s="96"/>
    </row>
    <row r="104" spans="1:23" ht="15.95" customHeight="1">
      <c r="A104" s="121">
        <v>90</v>
      </c>
      <c r="B104" s="97" t="s">
        <v>85</v>
      </c>
      <c r="C104" s="19" t="s">
        <v>14</v>
      </c>
      <c r="D104" s="18">
        <v>48</v>
      </c>
      <c r="E104" s="15">
        <v>63</v>
      </c>
      <c r="F104" s="15">
        <v>150</v>
      </c>
      <c r="G104" s="15">
        <v>150</v>
      </c>
      <c r="H104" s="15">
        <v>150</v>
      </c>
      <c r="I104" s="15">
        <v>150</v>
      </c>
      <c r="J104" s="15">
        <v>150</v>
      </c>
      <c r="K104" s="15">
        <v>150</v>
      </c>
      <c r="L104" s="15">
        <v>150</v>
      </c>
      <c r="M104" s="15">
        <v>150</v>
      </c>
      <c r="N104" s="15">
        <v>150</v>
      </c>
      <c r="O104" s="15">
        <v>150</v>
      </c>
      <c r="P104" s="15">
        <v>150</v>
      </c>
      <c r="Q104" s="87">
        <f t="shared" si="14"/>
        <v>0.50038362744770992</v>
      </c>
      <c r="R104" s="96"/>
      <c r="S104" s="96"/>
    </row>
    <row r="105" spans="1:23" ht="15.95" customHeight="1">
      <c r="A105" s="121">
        <v>91</v>
      </c>
      <c r="B105" s="97" t="s">
        <v>86</v>
      </c>
      <c r="C105" s="19" t="s">
        <v>31</v>
      </c>
      <c r="D105" s="18">
        <v>70</v>
      </c>
      <c r="E105" s="15">
        <v>77.2</v>
      </c>
      <c r="F105" s="15">
        <v>112</v>
      </c>
      <c r="G105" s="15">
        <v>112</v>
      </c>
      <c r="H105" s="15">
        <v>112</v>
      </c>
      <c r="I105" s="15">
        <v>112</v>
      </c>
      <c r="J105" s="15">
        <v>112</v>
      </c>
      <c r="K105" s="15">
        <v>112</v>
      </c>
      <c r="L105" s="15">
        <v>112</v>
      </c>
      <c r="M105" s="15">
        <v>112</v>
      </c>
      <c r="N105" s="15">
        <v>112</v>
      </c>
      <c r="O105" s="15">
        <v>112</v>
      </c>
      <c r="P105" s="15">
        <v>112</v>
      </c>
      <c r="Q105" s="87">
        <f t="shared" si="14"/>
        <v>0.37361977516095674</v>
      </c>
      <c r="R105" s="96"/>
      <c r="S105" s="96"/>
    </row>
    <row r="106" spans="1:23" ht="15.95" customHeight="1">
      <c r="A106" s="121">
        <v>92</v>
      </c>
      <c r="B106" s="97" t="s">
        <v>87</v>
      </c>
      <c r="C106" s="19" t="s">
        <v>14</v>
      </c>
      <c r="D106" s="18">
        <v>30</v>
      </c>
      <c r="E106" s="15">
        <v>69.2</v>
      </c>
      <c r="F106" s="15">
        <v>76</v>
      </c>
      <c r="G106" s="15">
        <v>76</v>
      </c>
      <c r="H106" s="15">
        <v>76</v>
      </c>
      <c r="I106" s="15">
        <v>76</v>
      </c>
      <c r="J106" s="15">
        <v>76</v>
      </c>
      <c r="K106" s="15">
        <v>76</v>
      </c>
      <c r="L106" s="15">
        <v>76</v>
      </c>
      <c r="M106" s="15">
        <v>76</v>
      </c>
      <c r="N106" s="15">
        <v>104</v>
      </c>
      <c r="O106" s="15">
        <v>104</v>
      </c>
      <c r="P106" s="15">
        <v>104</v>
      </c>
      <c r="Q106" s="87">
        <f t="shared" si="14"/>
        <v>0.34693264836374554</v>
      </c>
      <c r="R106" s="96"/>
      <c r="S106" s="96"/>
    </row>
    <row r="107" spans="1:23" ht="15.95" customHeight="1">
      <c r="A107" s="121">
        <v>93</v>
      </c>
      <c r="B107" s="97" t="s">
        <v>200</v>
      </c>
      <c r="C107" s="14">
        <v>2014</v>
      </c>
      <c r="D107" s="18">
        <v>168</v>
      </c>
      <c r="E107" s="15">
        <v>60</v>
      </c>
      <c r="F107" s="15" t="s">
        <v>2</v>
      </c>
      <c r="G107" s="15" t="s">
        <v>2</v>
      </c>
      <c r="H107" s="15" t="s">
        <v>2</v>
      </c>
      <c r="I107" s="15" t="s">
        <v>2</v>
      </c>
      <c r="J107" s="15" t="s">
        <v>2</v>
      </c>
      <c r="K107" s="15" t="s">
        <v>2</v>
      </c>
      <c r="L107" s="15">
        <v>168</v>
      </c>
      <c r="M107" s="15">
        <v>168</v>
      </c>
      <c r="N107" s="15">
        <v>168</v>
      </c>
      <c r="O107" s="15">
        <v>168</v>
      </c>
      <c r="P107" s="15">
        <v>168</v>
      </c>
      <c r="Q107" s="87">
        <f t="shared" si="14"/>
        <v>0.56042966274143513</v>
      </c>
      <c r="R107" s="96"/>
      <c r="S107" s="96"/>
    </row>
    <row r="108" spans="1:23" s="76" customFormat="1" ht="15.95" customHeight="1">
      <c r="A108" s="121">
        <v>94</v>
      </c>
      <c r="B108" s="97" t="s">
        <v>88</v>
      </c>
      <c r="C108" s="17">
        <v>1989</v>
      </c>
      <c r="D108" s="18">
        <v>22</v>
      </c>
      <c r="E108" s="15">
        <v>80.5</v>
      </c>
      <c r="F108" s="15">
        <v>200</v>
      </c>
      <c r="G108" s="15">
        <v>200</v>
      </c>
      <c r="H108" s="15">
        <v>200</v>
      </c>
      <c r="I108" s="15">
        <v>200</v>
      </c>
      <c r="J108" s="15">
        <v>200</v>
      </c>
      <c r="K108" s="15">
        <v>200</v>
      </c>
      <c r="L108" s="15">
        <v>200</v>
      </c>
      <c r="M108" s="15">
        <v>200</v>
      </c>
      <c r="N108" s="15">
        <v>200</v>
      </c>
      <c r="O108" s="15">
        <v>200</v>
      </c>
      <c r="P108" s="15">
        <v>200</v>
      </c>
      <c r="Q108" s="87">
        <f t="shared" si="14"/>
        <v>0.6671781699302799</v>
      </c>
      <c r="R108" s="96"/>
      <c r="S108" s="96"/>
    </row>
    <row r="109" spans="1:23" s="111" customFormat="1" ht="15.95" customHeight="1">
      <c r="A109" s="121">
        <v>95</v>
      </c>
      <c r="B109" s="97" t="s">
        <v>89</v>
      </c>
      <c r="C109" s="19" t="s">
        <v>32</v>
      </c>
      <c r="D109" s="18">
        <v>34</v>
      </c>
      <c r="E109" s="15">
        <v>51</v>
      </c>
      <c r="F109" s="15">
        <v>148</v>
      </c>
      <c r="G109" s="15">
        <v>148</v>
      </c>
      <c r="H109" s="15">
        <v>148</v>
      </c>
      <c r="I109" s="15">
        <v>148</v>
      </c>
      <c r="J109" s="15">
        <v>148</v>
      </c>
      <c r="K109" s="15">
        <v>148</v>
      </c>
      <c r="L109" s="15">
        <v>148</v>
      </c>
      <c r="M109" s="15">
        <v>148</v>
      </c>
      <c r="N109" s="15">
        <v>148</v>
      </c>
      <c r="O109" s="15">
        <v>148</v>
      </c>
      <c r="P109" s="15">
        <v>182</v>
      </c>
      <c r="Q109" s="87">
        <f t="shared" si="14"/>
        <v>0.60713213463655469</v>
      </c>
      <c r="R109" s="96"/>
      <c r="S109" s="96"/>
    </row>
    <row r="110" spans="1:23" s="111" customFormat="1" ht="15.95" customHeight="1">
      <c r="A110" s="122">
        <v>96</v>
      </c>
      <c r="B110" s="98" t="s">
        <v>90</v>
      </c>
      <c r="C110" s="33" t="s">
        <v>22</v>
      </c>
      <c r="D110" s="34">
        <v>90</v>
      </c>
      <c r="E110" s="35">
        <v>72.400000000000006</v>
      </c>
      <c r="F110" s="35">
        <v>164</v>
      </c>
      <c r="G110" s="35">
        <v>164</v>
      </c>
      <c r="H110" s="35">
        <v>164</v>
      </c>
      <c r="I110" s="35">
        <v>164</v>
      </c>
      <c r="J110" s="35">
        <v>164</v>
      </c>
      <c r="K110" s="35">
        <v>164</v>
      </c>
      <c r="L110" s="35">
        <v>164</v>
      </c>
      <c r="M110" s="35">
        <v>164</v>
      </c>
      <c r="N110" s="35">
        <v>164</v>
      </c>
      <c r="O110" s="35">
        <v>164</v>
      </c>
      <c r="P110" s="35">
        <v>164</v>
      </c>
      <c r="Q110" s="87">
        <f t="shared" si="14"/>
        <v>0.54708609934282948</v>
      </c>
      <c r="R110" s="96"/>
      <c r="S110" s="96"/>
    </row>
    <row r="111" spans="1:23" s="111" customFormat="1" ht="15.95" customHeight="1">
      <c r="A111" s="121"/>
      <c r="B111" s="42" t="s">
        <v>33</v>
      </c>
      <c r="C111" s="20" t="s">
        <v>2</v>
      </c>
      <c r="D111" s="20" t="s">
        <v>2</v>
      </c>
      <c r="E111" s="20" t="s">
        <v>2</v>
      </c>
      <c r="F111" s="20">
        <f t="shared" ref="F111:L111" si="15">SUM(F112:F128)</f>
        <v>3200</v>
      </c>
      <c r="G111" s="20">
        <f t="shared" si="15"/>
        <v>3312</v>
      </c>
      <c r="H111" s="20">
        <f t="shared" si="15"/>
        <v>3538</v>
      </c>
      <c r="I111" s="20">
        <f t="shared" si="15"/>
        <v>3586</v>
      </c>
      <c r="J111" s="20">
        <f t="shared" si="15"/>
        <v>3818</v>
      </c>
      <c r="K111" s="20">
        <f t="shared" si="15"/>
        <v>3818</v>
      </c>
      <c r="L111" s="20">
        <f t="shared" si="15"/>
        <v>3818</v>
      </c>
      <c r="M111" s="20">
        <f t="shared" ref="M111:O111" si="16">SUM(M112:M128)</f>
        <v>3862</v>
      </c>
      <c r="N111" s="20">
        <f t="shared" si="16"/>
        <v>3982</v>
      </c>
      <c r="O111" s="20">
        <f t="shared" si="16"/>
        <v>3982</v>
      </c>
      <c r="P111" s="20">
        <f>SUM(P112:P128)</f>
        <v>4036</v>
      </c>
      <c r="Q111" s="84">
        <f t="shared" si="14"/>
        <v>13.463655469193048</v>
      </c>
      <c r="R111" s="96"/>
      <c r="S111" s="96"/>
    </row>
    <row r="112" spans="1:23" s="111" customFormat="1" ht="15.95" customHeight="1">
      <c r="A112" s="121">
        <v>97</v>
      </c>
      <c r="B112" s="97" t="s">
        <v>91</v>
      </c>
      <c r="C112" s="7" t="s">
        <v>31</v>
      </c>
      <c r="D112" s="18">
        <v>100</v>
      </c>
      <c r="E112" s="15">
        <v>85</v>
      </c>
      <c r="F112" s="15">
        <v>140</v>
      </c>
      <c r="G112" s="15">
        <v>140</v>
      </c>
      <c r="H112" s="15">
        <v>140</v>
      </c>
      <c r="I112" s="15">
        <v>140</v>
      </c>
      <c r="J112" s="15">
        <v>140</v>
      </c>
      <c r="K112" s="15">
        <v>140</v>
      </c>
      <c r="L112" s="15">
        <v>140</v>
      </c>
      <c r="M112" s="15">
        <v>180</v>
      </c>
      <c r="N112" s="15">
        <v>180</v>
      </c>
      <c r="O112" s="15">
        <v>180</v>
      </c>
      <c r="P112" s="15">
        <v>180</v>
      </c>
      <c r="Q112" s="87">
        <f t="shared" ref="Q112:Q128" si="17">P112/P$6*100</f>
        <v>0.60046035293725186</v>
      </c>
      <c r="R112" s="96"/>
      <c r="S112" s="96"/>
    </row>
    <row r="113" spans="1:23" s="76" customFormat="1" ht="15.95" customHeight="1">
      <c r="A113" s="121">
        <v>98</v>
      </c>
      <c r="B113" s="97" t="s">
        <v>262</v>
      </c>
      <c r="C113" s="7" t="s">
        <v>34</v>
      </c>
      <c r="D113" s="18">
        <v>79</v>
      </c>
      <c r="E113" s="15">
        <v>90</v>
      </c>
      <c r="F113" s="15">
        <v>98</v>
      </c>
      <c r="G113" s="15">
        <v>98</v>
      </c>
      <c r="H113" s="15">
        <v>98</v>
      </c>
      <c r="I113" s="15">
        <v>146</v>
      </c>
      <c r="J113" s="15">
        <v>146</v>
      </c>
      <c r="K113" s="15">
        <v>146</v>
      </c>
      <c r="L113" s="15">
        <v>146</v>
      </c>
      <c r="M113" s="15">
        <v>146</v>
      </c>
      <c r="N113" s="15">
        <v>146</v>
      </c>
      <c r="O113" s="15">
        <v>146</v>
      </c>
      <c r="P113" s="15">
        <v>146</v>
      </c>
      <c r="Q113" s="87">
        <f t="shared" si="17"/>
        <v>0.48704006404910433</v>
      </c>
      <c r="R113" s="96"/>
      <c r="S113" s="96"/>
    </row>
    <row r="114" spans="1:23" s="76" customFormat="1">
      <c r="A114" s="121">
        <v>99</v>
      </c>
      <c r="B114" s="97" t="s">
        <v>238</v>
      </c>
      <c r="C114" s="19" t="s">
        <v>35</v>
      </c>
      <c r="D114" s="18">
        <v>96</v>
      </c>
      <c r="E114" s="15">
        <v>95</v>
      </c>
      <c r="F114" s="15">
        <v>128</v>
      </c>
      <c r="G114" s="15">
        <v>128</v>
      </c>
      <c r="H114" s="15">
        <v>224</v>
      </c>
      <c r="I114" s="15">
        <v>224</v>
      </c>
      <c r="J114" s="15">
        <v>224</v>
      </c>
      <c r="K114" s="15">
        <v>224</v>
      </c>
      <c r="L114" s="15">
        <v>224</v>
      </c>
      <c r="M114" s="15">
        <v>224</v>
      </c>
      <c r="N114" s="15">
        <v>224</v>
      </c>
      <c r="O114" s="15">
        <v>224</v>
      </c>
      <c r="P114" s="15">
        <v>224</v>
      </c>
      <c r="Q114" s="87">
        <f t="shared" si="17"/>
        <v>0.74723955032191347</v>
      </c>
      <c r="R114" s="96"/>
      <c r="S114" s="96"/>
    </row>
    <row r="115" spans="1:23" s="76" customFormat="1">
      <c r="A115" s="121">
        <v>100</v>
      </c>
      <c r="B115" s="97" t="s">
        <v>237</v>
      </c>
      <c r="C115" s="17">
        <v>1992</v>
      </c>
      <c r="D115" s="18">
        <v>80</v>
      </c>
      <c r="E115" s="15">
        <v>96.6</v>
      </c>
      <c r="F115" s="15">
        <v>304</v>
      </c>
      <c r="G115" s="15">
        <v>304</v>
      </c>
      <c r="H115" s="15">
        <v>304</v>
      </c>
      <c r="I115" s="15">
        <v>304</v>
      </c>
      <c r="J115" s="15">
        <v>304</v>
      </c>
      <c r="K115" s="15">
        <v>304</v>
      </c>
      <c r="L115" s="15">
        <v>304</v>
      </c>
      <c r="M115" s="15">
        <v>304</v>
      </c>
      <c r="N115" s="15">
        <v>304</v>
      </c>
      <c r="O115" s="15">
        <v>304</v>
      </c>
      <c r="P115" s="15">
        <v>304</v>
      </c>
      <c r="Q115" s="87">
        <f t="shared" si="17"/>
        <v>1.0141108182940255</v>
      </c>
      <c r="R115" s="96"/>
      <c r="S115" s="96"/>
    </row>
    <row r="116" spans="1:23" s="76" customFormat="1" ht="15.95" customHeight="1">
      <c r="A116" s="121">
        <v>101</v>
      </c>
      <c r="B116" s="97" t="s">
        <v>239</v>
      </c>
      <c r="C116" s="19" t="s">
        <v>34</v>
      </c>
      <c r="D116" s="15">
        <v>84</v>
      </c>
      <c r="E116" s="15">
        <v>80</v>
      </c>
      <c r="F116" s="15">
        <v>124</v>
      </c>
      <c r="G116" s="15">
        <v>124</v>
      </c>
      <c r="H116" s="15">
        <v>124</v>
      </c>
      <c r="I116" s="15">
        <v>124</v>
      </c>
      <c r="J116" s="15">
        <v>220</v>
      </c>
      <c r="K116" s="15">
        <v>220</v>
      </c>
      <c r="L116" s="15">
        <v>220</v>
      </c>
      <c r="M116" s="15">
        <v>220</v>
      </c>
      <c r="N116" s="15">
        <v>220</v>
      </c>
      <c r="O116" s="15">
        <v>220</v>
      </c>
      <c r="P116" s="15">
        <v>220</v>
      </c>
      <c r="Q116" s="87">
        <f t="shared" si="17"/>
        <v>0.73389598692330782</v>
      </c>
      <c r="R116" s="96"/>
      <c r="S116" s="96"/>
      <c r="T116" s="23"/>
      <c r="U116" s="23"/>
      <c r="V116" s="23"/>
      <c r="W116" s="23"/>
    </row>
    <row r="117" spans="1:23" s="76" customFormat="1" ht="15.95" customHeight="1">
      <c r="A117" s="121">
        <v>102</v>
      </c>
      <c r="B117" s="97" t="s">
        <v>201</v>
      </c>
      <c r="C117" s="17">
        <v>2015</v>
      </c>
      <c r="D117" s="18">
        <v>60</v>
      </c>
      <c r="E117" s="15">
        <v>90</v>
      </c>
      <c r="F117" s="15" t="s">
        <v>2</v>
      </c>
      <c r="G117" s="15" t="s">
        <v>2</v>
      </c>
      <c r="H117" s="15" t="s">
        <v>2</v>
      </c>
      <c r="I117" s="15" t="s">
        <v>2</v>
      </c>
      <c r="J117" s="15" t="s">
        <v>2</v>
      </c>
      <c r="K117" s="15" t="s">
        <v>2</v>
      </c>
      <c r="L117" s="15" t="s">
        <v>2</v>
      </c>
      <c r="M117" s="15" t="s">
        <v>2</v>
      </c>
      <c r="N117" s="15">
        <v>60</v>
      </c>
      <c r="O117" s="15">
        <v>60</v>
      </c>
      <c r="P117" s="15">
        <v>60</v>
      </c>
      <c r="Q117" s="87">
        <f t="shared" si="17"/>
        <v>0.20015345097908394</v>
      </c>
      <c r="R117" s="96"/>
      <c r="S117" s="96"/>
    </row>
    <row r="118" spans="1:23" s="76" customFormat="1" ht="15.95" customHeight="1">
      <c r="A118" s="121">
        <v>103</v>
      </c>
      <c r="B118" s="97" t="s">
        <v>92</v>
      </c>
      <c r="C118" s="14">
        <v>1994</v>
      </c>
      <c r="D118" s="18">
        <v>284</v>
      </c>
      <c r="E118" s="15">
        <v>93</v>
      </c>
      <c r="F118" s="15">
        <v>284</v>
      </c>
      <c r="G118" s="15">
        <v>284</v>
      </c>
      <c r="H118" s="15">
        <v>284</v>
      </c>
      <c r="I118" s="15">
        <v>284</v>
      </c>
      <c r="J118" s="15">
        <v>284</v>
      </c>
      <c r="K118" s="15">
        <v>284</v>
      </c>
      <c r="L118" s="15">
        <v>284</v>
      </c>
      <c r="M118" s="15">
        <v>284</v>
      </c>
      <c r="N118" s="15">
        <v>284</v>
      </c>
      <c r="O118" s="15">
        <v>284</v>
      </c>
      <c r="P118" s="15">
        <v>284</v>
      </c>
      <c r="Q118" s="87">
        <f t="shared" si="17"/>
        <v>0.94739300130099735</v>
      </c>
      <c r="R118" s="96"/>
      <c r="S118" s="96"/>
    </row>
    <row r="119" spans="1:23" s="76" customFormat="1">
      <c r="A119" s="121">
        <v>104</v>
      </c>
      <c r="B119" s="97" t="s">
        <v>261</v>
      </c>
      <c r="C119" s="14">
        <v>1991</v>
      </c>
      <c r="D119" s="18">
        <v>50</v>
      </c>
      <c r="E119" s="15">
        <v>88.5</v>
      </c>
      <c r="F119" s="15">
        <v>60</v>
      </c>
      <c r="G119" s="15">
        <v>60</v>
      </c>
      <c r="H119" s="15">
        <v>60</v>
      </c>
      <c r="I119" s="15">
        <v>60</v>
      </c>
      <c r="J119" s="15">
        <v>60</v>
      </c>
      <c r="K119" s="15">
        <v>60</v>
      </c>
      <c r="L119" s="15">
        <v>60</v>
      </c>
      <c r="M119" s="15">
        <v>60</v>
      </c>
      <c r="N119" s="15">
        <v>120</v>
      </c>
      <c r="O119" s="15">
        <v>120</v>
      </c>
      <c r="P119" s="15">
        <v>102</v>
      </c>
      <c r="Q119" s="87">
        <f t="shared" si="17"/>
        <v>0.34026086666444272</v>
      </c>
      <c r="R119" s="96"/>
      <c r="S119" s="96"/>
    </row>
    <row r="120" spans="1:23" s="76" customFormat="1" ht="15.95" customHeight="1">
      <c r="A120" s="121">
        <v>105</v>
      </c>
      <c r="B120" s="97" t="s">
        <v>93</v>
      </c>
      <c r="C120" s="17">
        <v>1994</v>
      </c>
      <c r="D120" s="18">
        <v>168</v>
      </c>
      <c r="E120" s="15">
        <v>85</v>
      </c>
      <c r="F120" s="15">
        <v>170</v>
      </c>
      <c r="G120" s="15">
        <v>170</v>
      </c>
      <c r="H120" s="15">
        <v>250</v>
      </c>
      <c r="I120" s="15">
        <v>250</v>
      </c>
      <c r="J120" s="15">
        <v>250</v>
      </c>
      <c r="K120" s="15">
        <v>250</v>
      </c>
      <c r="L120" s="15">
        <v>250</v>
      </c>
      <c r="M120" s="15">
        <v>250</v>
      </c>
      <c r="N120" s="15">
        <v>250</v>
      </c>
      <c r="O120" s="15">
        <v>250</v>
      </c>
      <c r="P120" s="15">
        <v>250</v>
      </c>
      <c r="Q120" s="87">
        <f t="shared" si="17"/>
        <v>0.83397271241284987</v>
      </c>
      <c r="R120" s="96"/>
      <c r="S120" s="96"/>
      <c r="U120" s="129"/>
    </row>
    <row r="121" spans="1:23" ht="15.95" customHeight="1">
      <c r="A121" s="121">
        <v>106</v>
      </c>
      <c r="B121" s="97" t="s">
        <v>225</v>
      </c>
      <c r="C121" s="7">
        <v>1988</v>
      </c>
      <c r="D121" s="18">
        <v>180</v>
      </c>
      <c r="E121" s="15">
        <v>104</v>
      </c>
      <c r="F121" s="15">
        <v>282</v>
      </c>
      <c r="G121" s="15">
        <v>394</v>
      </c>
      <c r="H121" s="15">
        <v>394</v>
      </c>
      <c r="I121" s="15">
        <v>394</v>
      </c>
      <c r="J121" s="15">
        <v>394</v>
      </c>
      <c r="K121" s="15">
        <v>394</v>
      </c>
      <c r="L121" s="15">
        <v>394</v>
      </c>
      <c r="M121" s="15">
        <v>394</v>
      </c>
      <c r="N121" s="15">
        <v>394</v>
      </c>
      <c r="O121" s="15">
        <v>394</v>
      </c>
      <c r="P121" s="15">
        <v>394</v>
      </c>
      <c r="Q121" s="87">
        <f t="shared" si="17"/>
        <v>1.3143409947626514</v>
      </c>
      <c r="R121" s="96"/>
      <c r="S121" s="96"/>
    </row>
    <row r="122" spans="1:23" ht="15.95" customHeight="1">
      <c r="A122" s="121">
        <v>107</v>
      </c>
      <c r="B122" s="97" t="s">
        <v>94</v>
      </c>
      <c r="C122" s="19" t="s">
        <v>31</v>
      </c>
      <c r="D122" s="18">
        <v>36</v>
      </c>
      <c r="E122" s="15">
        <v>112.6</v>
      </c>
      <c r="F122" s="15">
        <v>72</v>
      </c>
      <c r="G122" s="15">
        <v>72</v>
      </c>
      <c r="H122" s="15">
        <v>72</v>
      </c>
      <c r="I122" s="15">
        <v>72</v>
      </c>
      <c r="J122" s="15">
        <v>72</v>
      </c>
      <c r="K122" s="15">
        <v>72</v>
      </c>
      <c r="L122" s="15">
        <v>72</v>
      </c>
      <c r="M122" s="15">
        <v>76</v>
      </c>
      <c r="N122" s="15">
        <v>76</v>
      </c>
      <c r="O122" s="15">
        <v>76</v>
      </c>
      <c r="P122" s="15">
        <v>76</v>
      </c>
      <c r="Q122" s="87">
        <f t="shared" si="17"/>
        <v>0.25352770457350637</v>
      </c>
      <c r="R122" s="96"/>
      <c r="S122" s="96"/>
      <c r="T122" s="76"/>
      <c r="U122" s="97"/>
      <c r="V122" s="76"/>
      <c r="W122" s="76"/>
    </row>
    <row r="123" spans="1:23" ht="15.95" customHeight="1">
      <c r="A123" s="121">
        <v>108</v>
      </c>
      <c r="B123" s="97" t="s">
        <v>95</v>
      </c>
      <c r="C123" s="17">
        <v>1991</v>
      </c>
      <c r="D123" s="18">
        <v>112</v>
      </c>
      <c r="E123" s="15">
        <v>77</v>
      </c>
      <c r="F123" s="15">
        <v>112</v>
      </c>
      <c r="G123" s="15">
        <v>112</v>
      </c>
      <c r="H123" s="15">
        <v>112</v>
      </c>
      <c r="I123" s="15">
        <v>112</v>
      </c>
      <c r="J123" s="15">
        <v>112</v>
      </c>
      <c r="K123" s="15">
        <v>112</v>
      </c>
      <c r="L123" s="15">
        <v>112</v>
      </c>
      <c r="M123" s="15">
        <v>112</v>
      </c>
      <c r="N123" s="15">
        <v>112</v>
      </c>
      <c r="O123" s="15">
        <v>112</v>
      </c>
      <c r="P123" s="15">
        <v>112</v>
      </c>
      <c r="Q123" s="87">
        <f t="shared" si="17"/>
        <v>0.37361977516095674</v>
      </c>
      <c r="R123" s="96"/>
      <c r="S123" s="96"/>
    </row>
    <row r="124" spans="1:23" ht="15.95" customHeight="1">
      <c r="A124" s="121">
        <v>109</v>
      </c>
      <c r="B124" s="97" t="s">
        <v>96</v>
      </c>
      <c r="C124" s="17">
        <v>1998</v>
      </c>
      <c r="D124" s="15">
        <v>700</v>
      </c>
      <c r="E124" s="15">
        <v>99.8</v>
      </c>
      <c r="F124" s="15">
        <v>852</v>
      </c>
      <c r="G124" s="15">
        <v>852</v>
      </c>
      <c r="H124" s="15">
        <v>852</v>
      </c>
      <c r="I124" s="15">
        <v>852</v>
      </c>
      <c r="J124" s="15">
        <v>852</v>
      </c>
      <c r="K124" s="15">
        <v>852</v>
      </c>
      <c r="L124" s="15">
        <v>852</v>
      </c>
      <c r="M124" s="15">
        <v>852</v>
      </c>
      <c r="N124" s="15">
        <v>852</v>
      </c>
      <c r="O124" s="15">
        <v>852</v>
      </c>
      <c r="P124" s="15">
        <v>924</v>
      </c>
      <c r="Q124" s="87">
        <f t="shared" si="17"/>
        <v>3.0823631450778932</v>
      </c>
      <c r="R124" s="96"/>
      <c r="S124" s="96"/>
    </row>
    <row r="125" spans="1:23" ht="15.95" customHeight="1">
      <c r="A125" s="121">
        <v>110</v>
      </c>
      <c r="B125" s="97" t="s">
        <v>97</v>
      </c>
      <c r="C125" s="19" t="s">
        <v>34</v>
      </c>
      <c r="D125" s="15">
        <v>74</v>
      </c>
      <c r="E125" s="15">
        <v>80.5</v>
      </c>
      <c r="F125" s="15">
        <v>94</v>
      </c>
      <c r="G125" s="15">
        <v>94</v>
      </c>
      <c r="H125" s="15">
        <v>94</v>
      </c>
      <c r="I125" s="15">
        <v>94</v>
      </c>
      <c r="J125" s="15">
        <v>144</v>
      </c>
      <c r="K125" s="15">
        <v>144</v>
      </c>
      <c r="L125" s="15">
        <v>144</v>
      </c>
      <c r="M125" s="15">
        <v>144</v>
      </c>
      <c r="N125" s="15">
        <v>144</v>
      </c>
      <c r="O125" s="15">
        <v>144</v>
      </c>
      <c r="P125" s="15">
        <v>144</v>
      </c>
      <c r="Q125" s="87">
        <f t="shared" si="17"/>
        <v>0.48036828234980156</v>
      </c>
      <c r="R125" s="96"/>
      <c r="S125" s="96"/>
    </row>
    <row r="126" spans="1:23" s="76" customFormat="1" ht="15.95" customHeight="1">
      <c r="A126" s="121">
        <v>111</v>
      </c>
      <c r="B126" s="97" t="s">
        <v>98</v>
      </c>
      <c r="C126" s="19" t="s">
        <v>27</v>
      </c>
      <c r="D126" s="15">
        <v>60</v>
      </c>
      <c r="E126" s="15">
        <v>54.7</v>
      </c>
      <c r="F126" s="15">
        <v>98</v>
      </c>
      <c r="G126" s="15">
        <v>98</v>
      </c>
      <c r="H126" s="15">
        <v>98</v>
      </c>
      <c r="I126" s="15">
        <v>98</v>
      </c>
      <c r="J126" s="15">
        <v>98</v>
      </c>
      <c r="K126" s="15">
        <v>98</v>
      </c>
      <c r="L126" s="15">
        <v>98</v>
      </c>
      <c r="M126" s="15">
        <v>98</v>
      </c>
      <c r="N126" s="15">
        <v>98</v>
      </c>
      <c r="O126" s="15">
        <v>98</v>
      </c>
      <c r="P126" s="15">
        <v>98</v>
      </c>
      <c r="Q126" s="87">
        <f t="shared" si="17"/>
        <v>0.32691730326583712</v>
      </c>
      <c r="R126" s="96"/>
      <c r="S126" s="96"/>
      <c r="T126" s="23"/>
      <c r="U126" s="23"/>
      <c r="V126" s="23"/>
      <c r="W126" s="23"/>
    </row>
    <row r="127" spans="1:23" s="76" customFormat="1" ht="15.95" customHeight="1">
      <c r="A127" s="121">
        <v>112</v>
      </c>
      <c r="B127" s="97" t="s">
        <v>99</v>
      </c>
      <c r="C127" s="17">
        <v>1994</v>
      </c>
      <c r="D127" s="15">
        <v>100</v>
      </c>
      <c r="E127" s="15">
        <v>90</v>
      </c>
      <c r="F127" s="15">
        <v>100</v>
      </c>
      <c r="G127" s="15">
        <v>100</v>
      </c>
      <c r="H127" s="15">
        <v>150</v>
      </c>
      <c r="I127" s="15">
        <v>150</v>
      </c>
      <c r="J127" s="15">
        <v>150</v>
      </c>
      <c r="K127" s="15">
        <v>150</v>
      </c>
      <c r="L127" s="15">
        <v>150</v>
      </c>
      <c r="M127" s="15">
        <v>150</v>
      </c>
      <c r="N127" s="15">
        <v>150</v>
      </c>
      <c r="O127" s="15">
        <v>150</v>
      </c>
      <c r="P127" s="15">
        <v>150</v>
      </c>
      <c r="Q127" s="87">
        <f t="shared" si="17"/>
        <v>0.50038362744770992</v>
      </c>
      <c r="R127" s="96"/>
      <c r="S127" s="96"/>
    </row>
    <row r="128" spans="1:23" ht="15.95" customHeight="1">
      <c r="A128" s="122">
        <v>113</v>
      </c>
      <c r="B128" s="98" t="s">
        <v>100</v>
      </c>
      <c r="C128" s="37">
        <v>1994</v>
      </c>
      <c r="D128" s="35">
        <v>200</v>
      </c>
      <c r="E128" s="35">
        <v>48.3</v>
      </c>
      <c r="F128" s="35">
        <v>282</v>
      </c>
      <c r="G128" s="35">
        <v>282</v>
      </c>
      <c r="H128" s="35">
        <v>282</v>
      </c>
      <c r="I128" s="35">
        <v>282</v>
      </c>
      <c r="J128" s="35">
        <v>368</v>
      </c>
      <c r="K128" s="35">
        <v>368</v>
      </c>
      <c r="L128" s="35">
        <v>368</v>
      </c>
      <c r="M128" s="35">
        <v>368</v>
      </c>
      <c r="N128" s="35">
        <v>368</v>
      </c>
      <c r="O128" s="35">
        <v>368</v>
      </c>
      <c r="P128" s="35">
        <v>368</v>
      </c>
      <c r="Q128" s="89">
        <f t="shared" si="17"/>
        <v>1.227607832671715</v>
      </c>
      <c r="R128" s="96"/>
      <c r="S128" s="96"/>
      <c r="T128" s="76"/>
      <c r="U128" s="76"/>
      <c r="V128" s="76"/>
      <c r="W128" s="76"/>
    </row>
    <row r="129" spans="1:19" s="76" customFormat="1" ht="15.95" customHeight="1">
      <c r="A129" s="121"/>
      <c r="B129" s="42" t="s">
        <v>36</v>
      </c>
      <c r="C129" s="20" t="s">
        <v>2</v>
      </c>
      <c r="D129" s="20" t="s">
        <v>2</v>
      </c>
      <c r="E129" s="20" t="s">
        <v>2</v>
      </c>
      <c r="F129" s="8">
        <f t="shared" ref="F129:N129" si="18">SUM(F130:F131)</f>
        <v>350</v>
      </c>
      <c r="G129" s="8">
        <f t="shared" si="18"/>
        <v>350</v>
      </c>
      <c r="H129" s="8">
        <f t="shared" si="18"/>
        <v>350</v>
      </c>
      <c r="I129" s="8">
        <f t="shared" si="18"/>
        <v>350</v>
      </c>
      <c r="J129" s="8">
        <f t="shared" si="18"/>
        <v>350</v>
      </c>
      <c r="K129" s="8">
        <f t="shared" si="18"/>
        <v>402</v>
      </c>
      <c r="L129" s="8">
        <f t="shared" si="18"/>
        <v>402</v>
      </c>
      <c r="M129" s="8">
        <f t="shared" si="18"/>
        <v>402</v>
      </c>
      <c r="N129" s="8">
        <f t="shared" si="18"/>
        <v>402</v>
      </c>
      <c r="O129" s="8">
        <f t="shared" ref="O129:P129" si="19">SUM(O130:O131)</f>
        <v>434</v>
      </c>
      <c r="P129" s="8">
        <f t="shared" si="19"/>
        <v>434</v>
      </c>
      <c r="Q129" s="84">
        <f t="shared" ref="Q129:Q159" si="20">P129/P$6*100</f>
        <v>1.4477766287487073</v>
      </c>
      <c r="R129" s="96"/>
      <c r="S129" s="96"/>
    </row>
    <row r="130" spans="1:19" ht="15.95" customHeight="1">
      <c r="A130" s="121">
        <v>114</v>
      </c>
      <c r="B130" s="97" t="s">
        <v>101</v>
      </c>
      <c r="C130" s="7" t="s">
        <v>37</v>
      </c>
      <c r="D130" s="15">
        <v>20</v>
      </c>
      <c r="E130" s="15">
        <v>48</v>
      </c>
      <c r="F130" s="15">
        <v>260</v>
      </c>
      <c r="G130" s="15">
        <v>260</v>
      </c>
      <c r="H130" s="15">
        <v>260</v>
      </c>
      <c r="I130" s="15">
        <v>260</v>
      </c>
      <c r="J130" s="15">
        <v>260</v>
      </c>
      <c r="K130" s="15">
        <v>312</v>
      </c>
      <c r="L130" s="15">
        <v>312</v>
      </c>
      <c r="M130" s="15">
        <v>312</v>
      </c>
      <c r="N130" s="15">
        <v>312</v>
      </c>
      <c r="O130" s="15">
        <v>312</v>
      </c>
      <c r="P130" s="15">
        <v>312</v>
      </c>
      <c r="Q130" s="87">
        <f t="shared" si="20"/>
        <v>1.0407979450912366</v>
      </c>
      <c r="R130" s="96"/>
      <c r="S130" s="96"/>
    </row>
    <row r="131" spans="1:19" s="76" customFormat="1" ht="15" customHeight="1">
      <c r="A131" s="122">
        <v>115</v>
      </c>
      <c r="B131" s="98" t="s">
        <v>102</v>
      </c>
      <c r="C131" s="38" t="s">
        <v>22</v>
      </c>
      <c r="D131" s="35">
        <v>50</v>
      </c>
      <c r="E131" s="35">
        <v>32</v>
      </c>
      <c r="F131" s="35">
        <v>90</v>
      </c>
      <c r="G131" s="35">
        <v>90</v>
      </c>
      <c r="H131" s="35">
        <v>90</v>
      </c>
      <c r="I131" s="35">
        <v>90</v>
      </c>
      <c r="J131" s="35">
        <v>90</v>
      </c>
      <c r="K131" s="35">
        <v>90</v>
      </c>
      <c r="L131" s="35">
        <v>90</v>
      </c>
      <c r="M131" s="35">
        <v>90</v>
      </c>
      <c r="N131" s="35">
        <v>90</v>
      </c>
      <c r="O131" s="35">
        <v>122</v>
      </c>
      <c r="P131" s="35">
        <v>122</v>
      </c>
      <c r="Q131" s="89">
        <f t="shared" si="20"/>
        <v>0.40697868365747075</v>
      </c>
      <c r="R131" s="96"/>
      <c r="S131" s="96"/>
    </row>
    <row r="132" spans="1:19" s="76" customFormat="1" ht="15.95" customHeight="1">
      <c r="A132" s="121"/>
      <c r="B132" s="43" t="s">
        <v>38</v>
      </c>
      <c r="C132" s="20" t="s">
        <v>2</v>
      </c>
      <c r="D132" s="20" t="s">
        <v>2</v>
      </c>
      <c r="E132" s="20" t="s">
        <v>2</v>
      </c>
      <c r="F132" s="8">
        <f t="shared" ref="F132:N132" si="21">SUM(F133:F134)</f>
        <v>400</v>
      </c>
      <c r="G132" s="8">
        <f t="shared" si="21"/>
        <v>400</v>
      </c>
      <c r="H132" s="8">
        <f t="shared" si="21"/>
        <v>400</v>
      </c>
      <c r="I132" s="8">
        <f t="shared" si="21"/>
        <v>400</v>
      </c>
      <c r="J132" s="8">
        <f t="shared" si="21"/>
        <v>400</v>
      </c>
      <c r="K132" s="8">
        <f t="shared" si="21"/>
        <v>400</v>
      </c>
      <c r="L132" s="8">
        <f t="shared" si="21"/>
        <v>400</v>
      </c>
      <c r="M132" s="8">
        <f t="shared" si="21"/>
        <v>400</v>
      </c>
      <c r="N132" s="8">
        <f t="shared" si="21"/>
        <v>400</v>
      </c>
      <c r="O132" s="8">
        <f t="shared" ref="O132" si="22">SUM(O133:O134)</f>
        <v>400</v>
      </c>
      <c r="P132" s="8">
        <f>SUM(P133:P134)</f>
        <v>400</v>
      </c>
      <c r="Q132" s="84">
        <f t="shared" si="20"/>
        <v>1.3343563398605598</v>
      </c>
      <c r="R132" s="96"/>
      <c r="S132" s="96"/>
    </row>
    <row r="133" spans="1:19" ht="21.75" customHeight="1">
      <c r="A133" s="121">
        <v>116</v>
      </c>
      <c r="B133" s="97" t="s">
        <v>240</v>
      </c>
      <c r="C133" s="14" t="s">
        <v>13</v>
      </c>
      <c r="D133" s="15">
        <v>72</v>
      </c>
      <c r="E133" s="15">
        <v>128.69999999999999</v>
      </c>
      <c r="F133" s="15">
        <v>160</v>
      </c>
      <c r="G133" s="15">
        <v>160</v>
      </c>
      <c r="H133" s="15">
        <v>160</v>
      </c>
      <c r="I133" s="15">
        <v>160</v>
      </c>
      <c r="J133" s="15">
        <v>160</v>
      </c>
      <c r="K133" s="15">
        <v>160</v>
      </c>
      <c r="L133" s="15">
        <v>160</v>
      </c>
      <c r="M133" s="15">
        <v>160</v>
      </c>
      <c r="N133" s="15">
        <v>160</v>
      </c>
      <c r="O133" s="15">
        <v>160</v>
      </c>
      <c r="P133" s="15">
        <v>160</v>
      </c>
      <c r="Q133" s="87">
        <f t="shared" si="20"/>
        <v>0.53374253594422383</v>
      </c>
      <c r="R133" s="96"/>
      <c r="S133" s="96"/>
    </row>
    <row r="134" spans="1:19" s="76" customFormat="1" ht="15.95" customHeight="1">
      <c r="A134" s="122">
        <v>117</v>
      </c>
      <c r="B134" s="99" t="s">
        <v>103</v>
      </c>
      <c r="C134" s="39">
        <v>2000</v>
      </c>
      <c r="D134" s="39">
        <v>240</v>
      </c>
      <c r="E134" s="44">
        <v>128.69999999999999</v>
      </c>
      <c r="F134" s="39">
        <v>240</v>
      </c>
      <c r="G134" s="39">
        <v>240</v>
      </c>
      <c r="H134" s="39">
        <v>240</v>
      </c>
      <c r="I134" s="39">
        <v>240</v>
      </c>
      <c r="J134" s="39">
        <v>240</v>
      </c>
      <c r="K134" s="39">
        <v>240</v>
      </c>
      <c r="L134" s="39">
        <v>240</v>
      </c>
      <c r="M134" s="39">
        <v>240</v>
      </c>
      <c r="N134" s="39">
        <v>240</v>
      </c>
      <c r="O134" s="39">
        <v>240</v>
      </c>
      <c r="P134" s="39">
        <v>240</v>
      </c>
      <c r="Q134" s="89">
        <f t="shared" si="20"/>
        <v>0.80061380391633574</v>
      </c>
      <c r="R134" s="96"/>
      <c r="S134" s="96"/>
    </row>
    <row r="135" spans="1:19" s="76" customFormat="1" ht="15.95" customHeight="1">
      <c r="A135" s="121"/>
      <c r="B135" s="43" t="s">
        <v>39</v>
      </c>
      <c r="C135" s="20" t="s">
        <v>2</v>
      </c>
      <c r="D135" s="20" t="s">
        <v>2</v>
      </c>
      <c r="E135" s="20" t="s">
        <v>2</v>
      </c>
      <c r="F135" s="8">
        <f t="shared" ref="F135:P135" si="23">SUM(F136)</f>
        <v>250</v>
      </c>
      <c r="G135" s="8">
        <f t="shared" si="23"/>
        <v>250</v>
      </c>
      <c r="H135" s="8">
        <f t="shared" si="23"/>
        <v>250</v>
      </c>
      <c r="I135" s="8">
        <f t="shared" si="23"/>
        <v>250</v>
      </c>
      <c r="J135" s="8">
        <f t="shared" si="23"/>
        <v>250</v>
      </c>
      <c r="K135" s="8">
        <f t="shared" si="23"/>
        <v>250</v>
      </c>
      <c r="L135" s="8">
        <f t="shared" si="23"/>
        <v>250</v>
      </c>
      <c r="M135" s="8">
        <f t="shared" si="23"/>
        <v>250</v>
      </c>
      <c r="N135" s="8">
        <f t="shared" si="23"/>
        <v>250</v>
      </c>
      <c r="O135" s="8">
        <f t="shared" si="23"/>
        <v>250</v>
      </c>
      <c r="P135" s="8">
        <f t="shared" si="23"/>
        <v>250</v>
      </c>
      <c r="Q135" s="84">
        <f t="shared" si="20"/>
        <v>0.83397271241284987</v>
      </c>
      <c r="R135" s="96"/>
      <c r="S135" s="96"/>
    </row>
    <row r="136" spans="1:19" s="76" customFormat="1" ht="15.95" customHeight="1">
      <c r="A136" s="122">
        <v>118</v>
      </c>
      <c r="B136" s="98" t="s">
        <v>104</v>
      </c>
      <c r="C136" s="33" t="s">
        <v>13</v>
      </c>
      <c r="D136" s="35">
        <v>250</v>
      </c>
      <c r="E136" s="35">
        <v>120.7</v>
      </c>
      <c r="F136" s="35">
        <v>250</v>
      </c>
      <c r="G136" s="35">
        <v>250</v>
      </c>
      <c r="H136" s="35">
        <v>250</v>
      </c>
      <c r="I136" s="35">
        <v>250</v>
      </c>
      <c r="J136" s="35">
        <v>250</v>
      </c>
      <c r="K136" s="35">
        <v>250</v>
      </c>
      <c r="L136" s="39">
        <v>250</v>
      </c>
      <c r="M136" s="39">
        <v>250</v>
      </c>
      <c r="N136" s="39">
        <v>250</v>
      </c>
      <c r="O136" s="39">
        <v>250</v>
      </c>
      <c r="P136" s="39">
        <v>250</v>
      </c>
      <c r="Q136" s="89">
        <f t="shared" si="20"/>
        <v>0.83397271241284987</v>
      </c>
      <c r="R136" s="96"/>
      <c r="S136" s="96"/>
    </row>
    <row r="137" spans="1:19" s="112" customFormat="1" ht="15.95" customHeight="1">
      <c r="A137" s="121"/>
      <c r="B137" s="43" t="s">
        <v>40</v>
      </c>
      <c r="C137" s="20" t="s">
        <v>2</v>
      </c>
      <c r="D137" s="20" t="s">
        <v>2</v>
      </c>
      <c r="E137" s="20" t="s">
        <v>2</v>
      </c>
      <c r="F137" s="8">
        <f>SUM(F138:F143)</f>
        <v>324</v>
      </c>
      <c r="G137" s="8">
        <f t="shared" ref="G137:N137" si="24">SUM(G138:G143)</f>
        <v>324</v>
      </c>
      <c r="H137" s="8">
        <f t="shared" si="24"/>
        <v>436</v>
      </c>
      <c r="I137" s="8">
        <f t="shared" si="24"/>
        <v>436</v>
      </c>
      <c r="J137" s="8">
        <f t="shared" si="24"/>
        <v>436</v>
      </c>
      <c r="K137" s="8">
        <f t="shared" si="24"/>
        <v>590</v>
      </c>
      <c r="L137" s="8">
        <f t="shared" si="24"/>
        <v>590</v>
      </c>
      <c r="M137" s="8">
        <f t="shared" si="24"/>
        <v>590</v>
      </c>
      <c r="N137" s="8">
        <f t="shared" si="24"/>
        <v>778</v>
      </c>
      <c r="O137" s="8">
        <f t="shared" ref="O137" si="25">SUM(O138:O143)</f>
        <v>962</v>
      </c>
      <c r="P137" s="8">
        <f>SUM(P138:P143)</f>
        <v>1512</v>
      </c>
      <c r="Q137" s="83">
        <f t="shared" si="20"/>
        <v>5.0438669646729162</v>
      </c>
      <c r="R137" s="96"/>
      <c r="S137" s="96"/>
    </row>
    <row r="138" spans="1:19" s="76" customFormat="1" ht="15.95" customHeight="1">
      <c r="A138" s="121">
        <v>119</v>
      </c>
      <c r="B138" s="97" t="s">
        <v>203</v>
      </c>
      <c r="C138" s="17">
        <v>2015</v>
      </c>
      <c r="D138" s="15">
        <v>66</v>
      </c>
      <c r="E138" s="15">
        <v>158</v>
      </c>
      <c r="F138" s="15" t="s">
        <v>2</v>
      </c>
      <c r="G138" s="15" t="s">
        <v>2</v>
      </c>
      <c r="H138" s="15" t="s">
        <v>2</v>
      </c>
      <c r="I138" s="15" t="s">
        <v>2</v>
      </c>
      <c r="J138" s="15" t="s">
        <v>2</v>
      </c>
      <c r="K138" s="15" t="s">
        <v>2</v>
      </c>
      <c r="L138" s="15" t="s">
        <v>2</v>
      </c>
      <c r="M138" s="15" t="s">
        <v>2</v>
      </c>
      <c r="N138" s="15">
        <v>66</v>
      </c>
      <c r="O138" s="15">
        <v>66</v>
      </c>
      <c r="P138" s="15">
        <v>66</v>
      </c>
      <c r="Q138" s="87">
        <f t="shared" si="20"/>
        <v>0.22016879607699236</v>
      </c>
      <c r="R138" s="96"/>
      <c r="S138" s="96"/>
    </row>
    <row r="139" spans="1:19" s="76" customFormat="1" ht="15.95" customHeight="1">
      <c r="A139" s="121">
        <v>120</v>
      </c>
      <c r="B139" s="97" t="s">
        <v>105</v>
      </c>
      <c r="C139" s="17">
        <v>1998</v>
      </c>
      <c r="D139" s="15">
        <v>50</v>
      </c>
      <c r="E139" s="15">
        <v>146</v>
      </c>
      <c r="F139" s="15">
        <v>168</v>
      </c>
      <c r="G139" s="15">
        <v>168</v>
      </c>
      <c r="H139" s="15">
        <v>236</v>
      </c>
      <c r="I139" s="15">
        <v>236</v>
      </c>
      <c r="J139" s="15">
        <v>236</v>
      </c>
      <c r="K139" s="15">
        <v>236</v>
      </c>
      <c r="L139" s="15">
        <v>236</v>
      </c>
      <c r="M139" s="15">
        <v>236</v>
      </c>
      <c r="N139" s="15">
        <v>238</v>
      </c>
      <c r="O139" s="15">
        <v>238</v>
      </c>
      <c r="P139" s="15">
        <v>238</v>
      </c>
      <c r="Q139" s="87">
        <f t="shared" si="20"/>
        <v>0.79394202221703303</v>
      </c>
      <c r="R139" s="96"/>
      <c r="S139" s="96"/>
    </row>
    <row r="140" spans="1:19" s="76" customFormat="1" ht="15.95" customHeight="1">
      <c r="A140" s="121">
        <v>121</v>
      </c>
      <c r="B140" s="97" t="s">
        <v>263</v>
      </c>
      <c r="C140" s="17">
        <v>2017</v>
      </c>
      <c r="D140" s="20" t="s">
        <v>2</v>
      </c>
      <c r="E140" s="20" t="s">
        <v>2</v>
      </c>
      <c r="F140" s="15"/>
      <c r="G140" s="15"/>
      <c r="H140" s="15"/>
      <c r="I140" s="15"/>
      <c r="J140" s="15"/>
      <c r="K140" s="15"/>
      <c r="L140" s="15" t="s">
        <v>2</v>
      </c>
      <c r="M140" s="15" t="s">
        <v>2</v>
      </c>
      <c r="N140" s="15" t="s">
        <v>2</v>
      </c>
      <c r="O140" s="8" t="s">
        <v>2</v>
      </c>
      <c r="P140" s="15">
        <v>544</v>
      </c>
      <c r="Q140" s="87">
        <f t="shared" si="20"/>
        <v>1.8147246222103612</v>
      </c>
      <c r="R140" s="96"/>
      <c r="S140" s="96"/>
    </row>
    <row r="141" spans="1:19" s="76" customFormat="1" ht="20.25" customHeight="1">
      <c r="A141" s="121">
        <v>122</v>
      </c>
      <c r="B141" s="97" t="s">
        <v>181</v>
      </c>
      <c r="C141" s="17">
        <v>2012</v>
      </c>
      <c r="D141" s="15">
        <v>56</v>
      </c>
      <c r="E141" s="15">
        <v>180</v>
      </c>
      <c r="F141" s="15" t="s">
        <v>2</v>
      </c>
      <c r="G141" s="15" t="s">
        <v>2</v>
      </c>
      <c r="H141" s="15" t="s">
        <v>2</v>
      </c>
      <c r="I141" s="15" t="s">
        <v>2</v>
      </c>
      <c r="J141" s="15" t="s">
        <v>2</v>
      </c>
      <c r="K141" s="15">
        <v>154</v>
      </c>
      <c r="L141" s="15">
        <v>154</v>
      </c>
      <c r="M141" s="15">
        <v>154</v>
      </c>
      <c r="N141" s="15">
        <v>274</v>
      </c>
      <c r="O141" s="15">
        <v>274</v>
      </c>
      <c r="P141" s="15">
        <v>274</v>
      </c>
      <c r="Q141" s="87">
        <f t="shared" si="20"/>
        <v>0.91403409280448344</v>
      </c>
      <c r="R141" s="96"/>
      <c r="S141" s="96"/>
    </row>
    <row r="142" spans="1:19" s="76" customFormat="1" ht="21" customHeight="1">
      <c r="A142" s="121">
        <v>123</v>
      </c>
      <c r="B142" s="97" t="s">
        <v>220</v>
      </c>
      <c r="C142" s="17">
        <v>2016</v>
      </c>
      <c r="D142" s="15">
        <v>28</v>
      </c>
      <c r="E142" s="15">
        <v>160</v>
      </c>
      <c r="F142" s="15" t="s">
        <v>2</v>
      </c>
      <c r="G142" s="15" t="s">
        <v>2</v>
      </c>
      <c r="H142" s="15" t="s">
        <v>2</v>
      </c>
      <c r="I142" s="15" t="s">
        <v>2</v>
      </c>
      <c r="J142" s="15" t="s">
        <v>2</v>
      </c>
      <c r="K142" s="15" t="s">
        <v>2</v>
      </c>
      <c r="L142" s="15" t="s">
        <v>2</v>
      </c>
      <c r="M142" s="15" t="s">
        <v>2</v>
      </c>
      <c r="N142" s="15" t="s">
        <v>2</v>
      </c>
      <c r="O142" s="15">
        <v>184</v>
      </c>
      <c r="P142" s="15">
        <v>190</v>
      </c>
      <c r="Q142" s="87">
        <f t="shared" si="20"/>
        <v>0.63381926143376588</v>
      </c>
      <c r="R142" s="96"/>
      <c r="S142" s="96"/>
    </row>
    <row r="143" spans="1:19" ht="15.95" customHeight="1">
      <c r="A143" s="122">
        <v>124</v>
      </c>
      <c r="B143" s="98" t="s">
        <v>226</v>
      </c>
      <c r="C143" s="33">
        <v>1998</v>
      </c>
      <c r="D143" s="35">
        <v>136</v>
      </c>
      <c r="E143" s="35">
        <v>144</v>
      </c>
      <c r="F143" s="35">
        <v>156</v>
      </c>
      <c r="G143" s="35">
        <v>156</v>
      </c>
      <c r="H143" s="35">
        <v>200</v>
      </c>
      <c r="I143" s="35">
        <v>200</v>
      </c>
      <c r="J143" s="35">
        <v>200</v>
      </c>
      <c r="K143" s="35">
        <v>200</v>
      </c>
      <c r="L143" s="35">
        <v>200</v>
      </c>
      <c r="M143" s="35">
        <v>200</v>
      </c>
      <c r="N143" s="35">
        <v>200</v>
      </c>
      <c r="O143" s="35">
        <v>200</v>
      </c>
      <c r="P143" s="35">
        <v>200</v>
      </c>
      <c r="Q143" s="87">
        <f t="shared" si="20"/>
        <v>0.6671781699302799</v>
      </c>
      <c r="R143" s="96"/>
      <c r="S143" s="96"/>
    </row>
    <row r="144" spans="1:19" s="76" customFormat="1" ht="15.95" customHeight="1">
      <c r="A144" s="121"/>
      <c r="B144" s="42" t="s">
        <v>196</v>
      </c>
      <c r="C144" s="20" t="s">
        <v>2</v>
      </c>
      <c r="D144" s="20" t="s">
        <v>2</v>
      </c>
      <c r="E144" s="20" t="s">
        <v>2</v>
      </c>
      <c r="F144" s="20" t="s">
        <v>2</v>
      </c>
      <c r="G144" s="20" t="s">
        <v>2</v>
      </c>
      <c r="H144" s="20" t="s">
        <v>2</v>
      </c>
      <c r="I144" s="20" t="s">
        <v>2</v>
      </c>
      <c r="J144" s="20" t="s">
        <v>2</v>
      </c>
      <c r="K144" s="20" t="s">
        <v>2</v>
      </c>
      <c r="L144" s="20">
        <f>SUM(L145)</f>
        <v>46</v>
      </c>
      <c r="M144" s="20">
        <f>SUM(M145)</f>
        <v>132</v>
      </c>
      <c r="N144" s="20">
        <f>SUM(N145)</f>
        <v>152</v>
      </c>
      <c r="O144" s="20">
        <f>SUM(O145)</f>
        <v>152</v>
      </c>
      <c r="P144" s="20">
        <f>SUM(P145)</f>
        <v>152</v>
      </c>
      <c r="Q144" s="84">
        <f t="shared" si="20"/>
        <v>0.50705540914701275</v>
      </c>
      <c r="R144" s="96"/>
      <c r="S144" s="96"/>
    </row>
    <row r="145" spans="1:19" s="76" customFormat="1" ht="15.95" customHeight="1">
      <c r="A145" s="122">
        <v>125</v>
      </c>
      <c r="B145" s="98" t="s">
        <v>197</v>
      </c>
      <c r="C145" s="33" t="s">
        <v>191</v>
      </c>
      <c r="D145" s="35">
        <v>66</v>
      </c>
      <c r="E145" s="35">
        <v>260</v>
      </c>
      <c r="F145" s="35" t="s">
        <v>2</v>
      </c>
      <c r="G145" s="35" t="s">
        <v>2</v>
      </c>
      <c r="H145" s="35" t="s">
        <v>2</v>
      </c>
      <c r="I145" s="35" t="s">
        <v>2</v>
      </c>
      <c r="J145" s="35" t="s">
        <v>2</v>
      </c>
      <c r="K145" s="35" t="s">
        <v>2</v>
      </c>
      <c r="L145" s="35">
        <v>46</v>
      </c>
      <c r="M145" s="35">
        <v>132</v>
      </c>
      <c r="N145" s="35">
        <v>152</v>
      </c>
      <c r="O145" s="35">
        <v>152</v>
      </c>
      <c r="P145" s="35">
        <v>152</v>
      </c>
      <c r="Q145" s="89">
        <f t="shared" si="20"/>
        <v>0.50705540914701275</v>
      </c>
      <c r="R145" s="96"/>
      <c r="S145" s="96"/>
    </row>
    <row r="146" spans="1:19" s="76" customFormat="1" ht="15.95" customHeight="1">
      <c r="A146" s="121"/>
      <c r="B146" s="42" t="s">
        <v>176</v>
      </c>
      <c r="C146" s="20" t="s">
        <v>2</v>
      </c>
      <c r="D146" s="20" t="s">
        <v>2</v>
      </c>
      <c r="E146" s="20" t="s">
        <v>2</v>
      </c>
      <c r="F146" s="20" t="s">
        <v>2</v>
      </c>
      <c r="G146" s="20" t="s">
        <v>2</v>
      </c>
      <c r="H146" s="20" t="s">
        <v>2</v>
      </c>
      <c r="I146" s="20" t="s">
        <v>2</v>
      </c>
      <c r="J146" s="20">
        <f t="shared" ref="J146:O146" si="26">SUM(J147)</f>
        <v>194</v>
      </c>
      <c r="K146" s="20">
        <f t="shared" si="26"/>
        <v>194</v>
      </c>
      <c r="L146" s="20">
        <f t="shared" si="26"/>
        <v>194</v>
      </c>
      <c r="M146" s="20">
        <f t="shared" si="26"/>
        <v>194</v>
      </c>
      <c r="N146" s="20">
        <f t="shared" si="26"/>
        <v>194</v>
      </c>
      <c r="O146" s="20">
        <f t="shared" si="26"/>
        <v>194</v>
      </c>
      <c r="P146" s="20">
        <f>SUM(P147)</f>
        <v>194</v>
      </c>
      <c r="Q146" s="84">
        <f t="shared" si="20"/>
        <v>0.64716282483237153</v>
      </c>
      <c r="R146" s="96"/>
      <c r="S146" s="96"/>
    </row>
    <row r="147" spans="1:19" s="76" customFormat="1" ht="15.95" customHeight="1">
      <c r="A147" s="122">
        <v>126</v>
      </c>
      <c r="B147" s="98" t="s">
        <v>221</v>
      </c>
      <c r="C147" s="33">
        <v>2011</v>
      </c>
      <c r="D147" s="35">
        <v>66</v>
      </c>
      <c r="E147" s="35">
        <v>260</v>
      </c>
      <c r="F147" s="35" t="s">
        <v>2</v>
      </c>
      <c r="G147" s="35" t="s">
        <v>2</v>
      </c>
      <c r="H147" s="35" t="s">
        <v>2</v>
      </c>
      <c r="I147" s="35" t="s">
        <v>2</v>
      </c>
      <c r="J147" s="35">
        <v>194</v>
      </c>
      <c r="K147" s="35">
        <v>194</v>
      </c>
      <c r="L147" s="35">
        <v>194</v>
      </c>
      <c r="M147" s="35">
        <v>194</v>
      </c>
      <c r="N147" s="35">
        <v>194</v>
      </c>
      <c r="O147" s="35">
        <v>194</v>
      </c>
      <c r="P147" s="35">
        <v>194</v>
      </c>
      <c r="Q147" s="89">
        <f t="shared" si="20"/>
        <v>0.64716282483237153</v>
      </c>
      <c r="R147" s="96"/>
      <c r="S147" s="96"/>
    </row>
    <row r="148" spans="1:19" s="93" customFormat="1">
      <c r="A148" s="121"/>
      <c r="B148" s="43" t="s">
        <v>107</v>
      </c>
      <c r="C148" s="20" t="s">
        <v>2</v>
      </c>
      <c r="D148" s="20" t="s">
        <v>2</v>
      </c>
      <c r="E148" s="20" t="s">
        <v>2</v>
      </c>
      <c r="F148" s="20" t="s">
        <v>2</v>
      </c>
      <c r="G148" s="20" t="s">
        <v>2</v>
      </c>
      <c r="H148" s="8">
        <f t="shared" ref="H148:L148" si="27">SUM(H149:H152)</f>
        <v>200</v>
      </c>
      <c r="I148" s="8">
        <f t="shared" si="27"/>
        <v>250</v>
      </c>
      <c r="J148" s="8">
        <f t="shared" si="27"/>
        <v>324</v>
      </c>
      <c r="K148" s="8">
        <f t="shared" si="27"/>
        <v>524</v>
      </c>
      <c r="L148" s="8">
        <f t="shared" si="27"/>
        <v>576</v>
      </c>
      <c r="M148" s="8">
        <f t="shared" ref="M148:N148" si="28">SUM(M149:M152)</f>
        <v>576</v>
      </c>
      <c r="N148" s="8">
        <f t="shared" si="28"/>
        <v>576</v>
      </c>
      <c r="O148" s="8">
        <f t="shared" ref="O148" si="29">SUM(O149:O152)</f>
        <v>616</v>
      </c>
      <c r="P148" s="8">
        <f>SUM(P149:P152)</f>
        <v>616</v>
      </c>
      <c r="Q148" s="83">
        <f t="shared" si="20"/>
        <v>2.0549087633852618</v>
      </c>
      <c r="R148" s="96"/>
      <c r="S148" s="96"/>
    </row>
    <row r="149" spans="1:19">
      <c r="A149" s="121">
        <v>127</v>
      </c>
      <c r="B149" s="97" t="s">
        <v>108</v>
      </c>
      <c r="C149" s="17">
        <v>2009</v>
      </c>
      <c r="D149" s="15">
        <v>100</v>
      </c>
      <c r="E149" s="15">
        <v>405</v>
      </c>
      <c r="F149" s="15" t="s">
        <v>2</v>
      </c>
      <c r="G149" s="15" t="s">
        <v>2</v>
      </c>
      <c r="H149" s="15">
        <v>100</v>
      </c>
      <c r="I149" s="15">
        <v>100</v>
      </c>
      <c r="J149" s="15">
        <v>100</v>
      </c>
      <c r="K149" s="15">
        <v>100</v>
      </c>
      <c r="L149" s="15">
        <v>100</v>
      </c>
      <c r="M149" s="15">
        <v>100</v>
      </c>
      <c r="N149" s="15">
        <v>100</v>
      </c>
      <c r="O149" s="15">
        <v>100</v>
      </c>
      <c r="P149" s="15">
        <v>100</v>
      </c>
      <c r="Q149" s="87">
        <f t="shared" si="20"/>
        <v>0.33358908496513995</v>
      </c>
      <c r="R149" s="96"/>
      <c r="S149" s="96"/>
    </row>
    <row r="150" spans="1:19">
      <c r="A150" s="121">
        <v>128</v>
      </c>
      <c r="B150" s="97" t="s">
        <v>204</v>
      </c>
      <c r="C150" s="17">
        <v>2009</v>
      </c>
      <c r="D150" s="15">
        <v>100</v>
      </c>
      <c r="E150" s="15">
        <v>400</v>
      </c>
      <c r="F150" s="15" t="s">
        <v>2</v>
      </c>
      <c r="G150" s="15" t="s">
        <v>2</v>
      </c>
      <c r="H150" s="15">
        <v>100</v>
      </c>
      <c r="I150" s="15">
        <v>150</v>
      </c>
      <c r="J150" s="15">
        <v>150</v>
      </c>
      <c r="K150" s="15">
        <v>150</v>
      </c>
      <c r="L150" s="15">
        <v>202</v>
      </c>
      <c r="M150" s="15">
        <v>202</v>
      </c>
      <c r="N150" s="15">
        <v>202</v>
      </c>
      <c r="O150" s="15">
        <v>242</v>
      </c>
      <c r="P150" s="15">
        <v>242</v>
      </c>
      <c r="Q150" s="87">
        <f t="shared" si="20"/>
        <v>0.80728558561563879</v>
      </c>
      <c r="R150" s="96"/>
      <c r="S150" s="96"/>
    </row>
    <row r="151" spans="1:19" s="111" customFormat="1">
      <c r="A151" s="121">
        <v>129</v>
      </c>
      <c r="B151" s="97" t="s">
        <v>173</v>
      </c>
      <c r="C151" s="21">
        <v>2011</v>
      </c>
      <c r="D151" s="21">
        <v>74</v>
      </c>
      <c r="E151" s="15">
        <v>400</v>
      </c>
      <c r="F151" s="15" t="s">
        <v>2</v>
      </c>
      <c r="G151" s="15" t="s">
        <v>2</v>
      </c>
      <c r="H151" s="15" t="s">
        <v>2</v>
      </c>
      <c r="I151" s="15" t="s">
        <v>2</v>
      </c>
      <c r="J151" s="15">
        <v>74</v>
      </c>
      <c r="K151" s="15">
        <v>74</v>
      </c>
      <c r="L151" s="15">
        <v>74</v>
      </c>
      <c r="M151" s="15">
        <v>74</v>
      </c>
      <c r="N151" s="15">
        <v>74</v>
      </c>
      <c r="O151" s="15">
        <v>74</v>
      </c>
      <c r="P151" s="15">
        <v>74</v>
      </c>
      <c r="Q151" s="87">
        <f t="shared" si="20"/>
        <v>0.24685592287420358</v>
      </c>
      <c r="R151" s="96"/>
      <c r="S151" s="96"/>
    </row>
    <row r="152" spans="1:19" s="111" customFormat="1">
      <c r="A152" s="122">
        <v>130</v>
      </c>
      <c r="B152" s="98" t="s">
        <v>185</v>
      </c>
      <c r="C152" s="40">
        <v>2012</v>
      </c>
      <c r="D152" s="40">
        <v>108</v>
      </c>
      <c r="E152" s="35">
        <v>405</v>
      </c>
      <c r="F152" s="35" t="s">
        <v>2</v>
      </c>
      <c r="G152" s="35" t="s">
        <v>2</v>
      </c>
      <c r="H152" s="35" t="s">
        <v>2</v>
      </c>
      <c r="I152" s="35" t="s">
        <v>2</v>
      </c>
      <c r="J152" s="35" t="s">
        <v>2</v>
      </c>
      <c r="K152" s="35">
        <v>200</v>
      </c>
      <c r="L152" s="35">
        <v>200</v>
      </c>
      <c r="M152" s="35">
        <v>200</v>
      </c>
      <c r="N152" s="35">
        <v>200</v>
      </c>
      <c r="O152" s="35">
        <v>200</v>
      </c>
      <c r="P152" s="35">
        <v>200</v>
      </c>
      <c r="Q152" s="87">
        <f t="shared" si="20"/>
        <v>0.6671781699302799</v>
      </c>
      <c r="R152" s="96"/>
      <c r="S152" s="96"/>
    </row>
    <row r="153" spans="1:19" s="113" customFormat="1">
      <c r="A153" s="121"/>
      <c r="B153" s="43" t="s">
        <v>174</v>
      </c>
      <c r="C153" s="20" t="s">
        <v>2</v>
      </c>
      <c r="D153" s="20" t="s">
        <v>2</v>
      </c>
      <c r="E153" s="20" t="s">
        <v>2</v>
      </c>
      <c r="F153" s="20" t="s">
        <v>2</v>
      </c>
      <c r="G153" s="20" t="s">
        <v>2</v>
      </c>
      <c r="H153" s="20" t="s">
        <v>2</v>
      </c>
      <c r="I153" s="20" t="s">
        <v>2</v>
      </c>
      <c r="J153" s="8">
        <f>SUM(J154:J156)</f>
        <v>200</v>
      </c>
      <c r="K153" s="8">
        <f t="shared" ref="K153:N153" si="30">SUM(K154:K156)</f>
        <v>200</v>
      </c>
      <c r="L153" s="8">
        <f t="shared" si="30"/>
        <v>200</v>
      </c>
      <c r="M153" s="8">
        <f t="shared" si="30"/>
        <v>200</v>
      </c>
      <c r="N153" s="8">
        <f t="shared" si="30"/>
        <v>550</v>
      </c>
      <c r="O153" s="8">
        <f t="shared" ref="O153" si="31">SUM(O154:O156)</f>
        <v>550</v>
      </c>
      <c r="P153" s="8">
        <f>SUM(P154:P156)</f>
        <v>550</v>
      </c>
      <c r="Q153" s="84">
        <f t="shared" si="20"/>
        <v>1.8347399673082698</v>
      </c>
      <c r="R153" s="96"/>
      <c r="S153" s="96"/>
    </row>
    <row r="154" spans="1:19" s="113" customFormat="1">
      <c r="A154" s="121">
        <v>131</v>
      </c>
      <c r="B154" s="114" t="s">
        <v>241</v>
      </c>
      <c r="C154" s="106">
        <v>2015</v>
      </c>
      <c r="D154" s="106">
        <v>240</v>
      </c>
      <c r="E154" s="15">
        <v>240</v>
      </c>
      <c r="F154" s="15" t="s">
        <v>2</v>
      </c>
      <c r="G154" s="15" t="s">
        <v>2</v>
      </c>
      <c r="H154" s="15" t="s">
        <v>2</v>
      </c>
      <c r="I154" s="15" t="s">
        <v>2</v>
      </c>
      <c r="J154" s="15" t="s">
        <v>2</v>
      </c>
      <c r="K154" s="15" t="s">
        <v>2</v>
      </c>
      <c r="L154" s="15" t="s">
        <v>2</v>
      </c>
      <c r="M154" s="15" t="s">
        <v>2</v>
      </c>
      <c r="N154" s="15">
        <v>240</v>
      </c>
      <c r="O154" s="15">
        <v>240</v>
      </c>
      <c r="P154" s="15">
        <v>240</v>
      </c>
      <c r="Q154" s="87">
        <f t="shared" si="20"/>
        <v>0.80061380391633574</v>
      </c>
      <c r="R154" s="96"/>
      <c r="S154" s="96"/>
    </row>
    <row r="155" spans="1:19" s="113" customFormat="1">
      <c r="A155" s="121">
        <v>132</v>
      </c>
      <c r="B155" s="107" t="s">
        <v>175</v>
      </c>
      <c r="C155" s="106">
        <v>2011</v>
      </c>
      <c r="D155" s="106">
        <v>200</v>
      </c>
      <c r="E155" s="15">
        <v>420</v>
      </c>
      <c r="F155" s="15" t="s">
        <v>2</v>
      </c>
      <c r="G155" s="15" t="s">
        <v>2</v>
      </c>
      <c r="H155" s="15" t="s">
        <v>2</v>
      </c>
      <c r="I155" s="15" t="s">
        <v>2</v>
      </c>
      <c r="J155" s="15">
        <v>200</v>
      </c>
      <c r="K155" s="15">
        <v>200</v>
      </c>
      <c r="L155" s="15">
        <v>200</v>
      </c>
      <c r="M155" s="15">
        <v>200</v>
      </c>
      <c r="N155" s="15">
        <v>200</v>
      </c>
      <c r="O155" s="15">
        <v>200</v>
      </c>
      <c r="P155" s="15">
        <v>200</v>
      </c>
      <c r="Q155" s="87">
        <f t="shared" si="20"/>
        <v>0.6671781699302799</v>
      </c>
      <c r="R155" s="96"/>
      <c r="S155" s="96"/>
    </row>
    <row r="156" spans="1:19" s="113" customFormat="1">
      <c r="A156" s="122">
        <v>133</v>
      </c>
      <c r="B156" s="116" t="s">
        <v>202</v>
      </c>
      <c r="C156" s="95">
        <v>2015</v>
      </c>
      <c r="D156" s="95">
        <v>110</v>
      </c>
      <c r="E156" s="77">
        <v>110</v>
      </c>
      <c r="F156" s="77" t="s">
        <v>2</v>
      </c>
      <c r="G156" s="77" t="s">
        <v>2</v>
      </c>
      <c r="H156" s="77" t="s">
        <v>2</v>
      </c>
      <c r="I156" s="77" t="s">
        <v>2</v>
      </c>
      <c r="J156" s="77" t="s">
        <v>2</v>
      </c>
      <c r="K156" s="77" t="s">
        <v>2</v>
      </c>
      <c r="L156" s="77" t="s">
        <v>2</v>
      </c>
      <c r="M156" s="77" t="s">
        <v>2</v>
      </c>
      <c r="N156" s="77">
        <v>110</v>
      </c>
      <c r="O156" s="77">
        <v>110</v>
      </c>
      <c r="P156" s="77">
        <v>110</v>
      </c>
      <c r="Q156" s="89">
        <f t="shared" si="20"/>
        <v>0.36694799346165391</v>
      </c>
      <c r="R156" s="96"/>
      <c r="S156" s="96"/>
    </row>
    <row r="157" spans="1:19" s="113" customFormat="1" ht="18.75" customHeight="1">
      <c r="A157" s="121"/>
      <c r="B157" s="43" t="s">
        <v>43</v>
      </c>
      <c r="C157" s="20" t="s">
        <v>2</v>
      </c>
      <c r="D157" s="20" t="s">
        <v>2</v>
      </c>
      <c r="E157" s="20" t="s">
        <v>2</v>
      </c>
      <c r="F157" s="8">
        <f>SUM(F158)</f>
        <v>546</v>
      </c>
      <c r="G157" s="8">
        <f>SUM(G158)</f>
        <v>546</v>
      </c>
      <c r="H157" s="8">
        <f t="shared" ref="H157:M157" si="32">SUM(H158:H159)</f>
        <v>830</v>
      </c>
      <c r="I157" s="8">
        <f t="shared" si="32"/>
        <v>830</v>
      </c>
      <c r="J157" s="8">
        <f t="shared" si="32"/>
        <v>830</v>
      </c>
      <c r="K157" s="8">
        <f t="shared" si="32"/>
        <v>830</v>
      </c>
      <c r="L157" s="8">
        <f t="shared" si="32"/>
        <v>830</v>
      </c>
      <c r="M157" s="8">
        <f t="shared" si="32"/>
        <v>826</v>
      </c>
      <c r="N157" s="8">
        <f t="shared" ref="N157:O157" si="33">SUM(N158:N159)</f>
        <v>826</v>
      </c>
      <c r="O157" s="8">
        <f t="shared" si="33"/>
        <v>826</v>
      </c>
      <c r="P157" s="8">
        <f>SUM(P158:P159)</f>
        <v>826</v>
      </c>
      <c r="Q157" s="83">
        <f t="shared" si="20"/>
        <v>2.755445841812056</v>
      </c>
      <c r="R157" s="96"/>
      <c r="S157" s="96"/>
    </row>
    <row r="158" spans="1:19" s="76" customFormat="1" ht="21.75" customHeight="1">
      <c r="A158" s="121">
        <v>134</v>
      </c>
      <c r="B158" s="97" t="s">
        <v>222</v>
      </c>
      <c r="C158" s="14">
        <v>2007</v>
      </c>
      <c r="D158" s="15">
        <v>106</v>
      </c>
      <c r="E158" s="15">
        <v>480</v>
      </c>
      <c r="F158" s="15">
        <v>546</v>
      </c>
      <c r="G158" s="15">
        <v>546</v>
      </c>
      <c r="H158" s="15">
        <v>546</v>
      </c>
      <c r="I158" s="15">
        <v>546</v>
      </c>
      <c r="J158" s="15">
        <v>546</v>
      </c>
      <c r="K158" s="15">
        <v>546</v>
      </c>
      <c r="L158" s="15">
        <v>546</v>
      </c>
      <c r="M158" s="15">
        <v>542</v>
      </c>
      <c r="N158" s="15">
        <v>542</v>
      </c>
      <c r="O158" s="15">
        <v>542</v>
      </c>
      <c r="P158" s="15">
        <v>542</v>
      </c>
      <c r="Q158" s="87">
        <f t="shared" si="20"/>
        <v>1.8080528405110585</v>
      </c>
      <c r="R158" s="96"/>
      <c r="S158" s="96"/>
    </row>
    <row r="159" spans="1:19" s="76" customFormat="1">
      <c r="A159" s="125">
        <v>135</v>
      </c>
      <c r="B159" s="100" t="s">
        <v>223</v>
      </c>
      <c r="C159" s="32" t="s">
        <v>47</v>
      </c>
      <c r="D159" s="22">
        <v>284</v>
      </c>
      <c r="E159" s="22">
        <v>478</v>
      </c>
      <c r="F159" s="22" t="s">
        <v>2</v>
      </c>
      <c r="G159" s="22" t="s">
        <v>2</v>
      </c>
      <c r="H159" s="22">
        <v>284</v>
      </c>
      <c r="I159" s="22">
        <v>284</v>
      </c>
      <c r="J159" s="22">
        <v>284</v>
      </c>
      <c r="K159" s="22">
        <v>284</v>
      </c>
      <c r="L159" s="22">
        <v>284</v>
      </c>
      <c r="M159" s="22">
        <v>284</v>
      </c>
      <c r="N159" s="22">
        <v>284</v>
      </c>
      <c r="O159" s="22">
        <v>284</v>
      </c>
      <c r="P159" s="22">
        <v>284</v>
      </c>
      <c r="Q159" s="88">
        <f t="shared" si="20"/>
        <v>0.94739300130099735</v>
      </c>
      <c r="R159" s="96"/>
      <c r="S159" s="96"/>
    </row>
    <row r="160" spans="1:19" s="76" customFormat="1" ht="15.95" customHeight="1">
      <c r="A160" s="117"/>
      <c r="B160" s="101" t="s">
        <v>41</v>
      </c>
      <c r="C160" s="25"/>
      <c r="D160" s="26"/>
      <c r="E160" s="27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85"/>
      <c r="R160" s="96"/>
      <c r="S160" s="96"/>
    </row>
    <row r="161" spans="1:19" s="76" customFormat="1" ht="11.25" customHeight="1">
      <c r="A161" s="124"/>
      <c r="B161" s="101" t="s">
        <v>195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86"/>
      <c r="R161" s="28"/>
      <c r="S161" s="115"/>
    </row>
    <row r="162" spans="1:19">
      <c r="B162" s="102"/>
    </row>
    <row r="163" spans="1:19">
      <c r="B163" s="102"/>
    </row>
    <row r="165" spans="1:19">
      <c r="B165" s="103"/>
    </row>
    <row r="167" spans="1:19">
      <c r="B167" s="103"/>
    </row>
    <row r="170" spans="1:19">
      <c r="N170" s="24">
        <f>2</f>
        <v>2</v>
      </c>
    </row>
    <row r="279" spans="2:17">
      <c r="Q279" s="82"/>
    </row>
    <row r="280" spans="2:17">
      <c r="B280" s="105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82"/>
    </row>
    <row r="281" spans="2:17">
      <c r="Q281" s="82"/>
    </row>
    <row r="282" spans="2:17">
      <c r="Q282" s="82"/>
    </row>
    <row r="283" spans="2:17">
      <c r="H283" s="24" t="s">
        <v>109</v>
      </c>
      <c r="Q283" s="82"/>
    </row>
    <row r="284" spans="2:17">
      <c r="Q284" s="82"/>
    </row>
    <row r="285" spans="2:17">
      <c r="Q285" s="82"/>
    </row>
    <row r="286" spans="2:17">
      <c r="Q286" s="82"/>
    </row>
  </sheetData>
  <sortState ref="A113:X130">
    <sortCondition ref="B113:B130"/>
  </sortState>
  <mergeCells count="4">
    <mergeCell ref="B4:B5"/>
    <mergeCell ref="B1:O1"/>
    <mergeCell ref="B2:O2"/>
    <mergeCell ref="J4:P4"/>
  </mergeCells>
  <printOptions horizontalCentered="1"/>
  <pageMargins left="0.17" right="0.16" top="0.23622047244094499" bottom="0.23622047244094499" header="0.196850393700787" footer="0.196850393700787"/>
  <pageSetup paperSize="9" scale="70" orientation="portrait" horizontalDpi="4294967295" verticalDpi="4294967295" r:id="rId1"/>
  <headerFooter alignWithMargins="0"/>
  <rowBreaks count="2" manualBreakCount="2">
    <brk id="66" max="16" man="1"/>
    <brk id="136" max="16" man="1"/>
  </rowBreaks>
  <ignoredErrors>
    <ignoredError sqref="L97:O97 Q97 L144:Q144 L146:O146" unlockedFormula="1"/>
    <ignoredError sqref="C159 C145:Q145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10.14</vt:lpstr>
      <vt:lpstr>'10.14'!Print_Area</vt:lpstr>
      <vt:lpstr>'10.14'!Print_Titles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2018-10-07T09:03:35Z</cp:lastPrinted>
  <dcterms:created xsi:type="dcterms:W3CDTF">2007-02-07T06:41:32Z</dcterms:created>
  <dcterms:modified xsi:type="dcterms:W3CDTF">2018-10-07T09:03:42Z</dcterms:modified>
</cp:coreProperties>
</file>