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New folder\"/>
    </mc:Choice>
  </mc:AlternateContent>
  <bookViews>
    <workbookView xWindow="0" yWindow="0" windowWidth="28800" windowHeight="11535" tabRatio="662"/>
  </bookViews>
  <sheets>
    <sheet name="10.11" sheetId="11" r:id="rId1"/>
  </sheets>
  <definedNames>
    <definedName name="_xlnm.Print_Area" localSheetId="0">'10.11'!$A$1:$O$42</definedName>
  </definedNames>
  <calcPr calcId="152511" iterate="1" iterateCount="100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1" i="11" l="1"/>
  <c r="B14" i="11" l="1"/>
  <c r="Y39" i="11"/>
  <c r="Y38" i="11"/>
  <c r="M11" i="11"/>
  <c r="Z37" i="11"/>
  <c r="Y37" i="11"/>
  <c r="X37" i="11"/>
  <c r="Y32" i="11"/>
  <c r="Y31" i="11"/>
  <c r="Y29" i="11"/>
  <c r="X28" i="11"/>
  <c r="AI39" i="11"/>
  <c r="AH39" i="11"/>
  <c r="AG39" i="11"/>
  <c r="AF39" i="11"/>
  <c r="AE39" i="11"/>
  <c r="AD39" i="11"/>
  <c r="AC39" i="11"/>
  <c r="AB39" i="11"/>
  <c r="AA39" i="11"/>
  <c r="X39" i="11"/>
  <c r="AI38" i="11"/>
  <c r="AH38" i="11"/>
  <c r="AG38" i="11"/>
  <c r="AF38" i="11"/>
  <c r="AE38" i="11"/>
  <c r="AD38" i="11"/>
  <c r="AC38" i="11"/>
  <c r="AB38" i="11"/>
  <c r="AA38" i="11"/>
  <c r="X38" i="11"/>
  <c r="AI37" i="11"/>
  <c r="AG37" i="11"/>
  <c r="AF37" i="11"/>
  <c r="AE37" i="11"/>
  <c r="AD37" i="11"/>
  <c r="AC37" i="11"/>
  <c r="AB37" i="11"/>
  <c r="AA37" i="11"/>
  <c r="AI32" i="11"/>
  <c r="AH32" i="11"/>
  <c r="AG32" i="11"/>
  <c r="AF32" i="11"/>
  <c r="AE32" i="11"/>
  <c r="AD32" i="11"/>
  <c r="AC32" i="11"/>
  <c r="AB32" i="11"/>
  <c r="AA32" i="11"/>
  <c r="Z32" i="11"/>
  <c r="X32" i="11"/>
  <c r="AI31" i="11"/>
  <c r="AH31" i="11"/>
  <c r="AG31" i="11"/>
  <c r="AF31" i="11"/>
  <c r="AE31" i="11"/>
  <c r="AD31" i="11"/>
  <c r="AC31" i="11"/>
  <c r="AB31" i="11"/>
  <c r="AA31" i="11"/>
  <c r="Z31" i="11"/>
  <c r="X31" i="11"/>
  <c r="AI30" i="11"/>
  <c r="AH30" i="11"/>
  <c r="AG30" i="11"/>
  <c r="AF30" i="11"/>
  <c r="AE30" i="11"/>
  <c r="AD30" i="11"/>
  <c r="AC30" i="11"/>
  <c r="AB30" i="11"/>
  <c r="AA30" i="11"/>
  <c r="Z30" i="11"/>
  <c r="X30" i="11"/>
  <c r="AI29" i="11"/>
  <c r="AH29" i="11"/>
  <c r="AG29" i="11"/>
  <c r="AF29" i="11"/>
  <c r="AE29" i="11"/>
  <c r="AD29" i="11"/>
  <c r="AC29" i="11"/>
  <c r="AB29" i="11"/>
  <c r="AA29" i="11"/>
  <c r="Z29" i="11"/>
  <c r="X29" i="11"/>
  <c r="AI28" i="11"/>
  <c r="AH28" i="11"/>
  <c r="AG28" i="11"/>
  <c r="AF28" i="11"/>
  <c r="AE28" i="11"/>
  <c r="AD28" i="11"/>
  <c r="AC28" i="11"/>
  <c r="AB28" i="11"/>
  <c r="AA28" i="11"/>
  <c r="Z28" i="11"/>
  <c r="Y28" i="11"/>
  <c r="B20" i="11"/>
  <c r="B19" i="11"/>
  <c r="N11" i="11"/>
  <c r="L11" i="11"/>
  <c r="K11" i="11"/>
  <c r="J11" i="11"/>
  <c r="I11" i="11"/>
  <c r="H11" i="11"/>
  <c r="G11" i="11"/>
  <c r="F11" i="11"/>
  <c r="B7" i="11"/>
  <c r="B6" i="11"/>
  <c r="N5" i="11"/>
  <c r="M5" i="11"/>
  <c r="L5" i="11"/>
  <c r="K5" i="11"/>
  <c r="J5" i="11"/>
  <c r="I5" i="11"/>
  <c r="H5" i="11"/>
  <c r="G5" i="11"/>
  <c r="F5" i="11"/>
  <c r="E5" i="11"/>
  <c r="C5" i="11"/>
  <c r="B13" i="11" l="1"/>
  <c r="B10" i="11"/>
  <c r="Z38" i="11"/>
  <c r="B8" i="11"/>
  <c r="Z39" i="11"/>
  <c r="AH37" i="11"/>
  <c r="B17" i="11"/>
  <c r="B15" i="11"/>
  <c r="B16" i="11"/>
  <c r="B18" i="11"/>
  <c r="E11" i="11"/>
  <c r="E4" i="11" s="1"/>
  <c r="D11" i="11"/>
  <c r="B12" i="11"/>
  <c r="B9" i="11"/>
  <c r="Y30" i="11"/>
  <c r="D5" i="11"/>
  <c r="I4" i="11"/>
  <c r="L4" i="11"/>
  <c r="F4" i="11"/>
  <c r="N4" i="11"/>
  <c r="G4" i="11"/>
  <c r="J4" i="11"/>
  <c r="H4" i="11"/>
  <c r="M4" i="11"/>
  <c r="C4" i="11"/>
  <c r="K4" i="11"/>
  <c r="B5" i="11" l="1"/>
  <c r="B11" i="11"/>
  <c r="B4" i="11" s="1"/>
  <c r="D4" i="11"/>
</calcChain>
</file>

<file path=xl/sharedStrings.xml><?xml version="1.0" encoding="utf-8"?>
<sst xmlns="http://schemas.openxmlformats.org/spreadsheetml/2006/main" count="88" uniqueCount="68">
  <si>
    <t>Total</t>
  </si>
  <si>
    <t>ޖުމްލަ</t>
  </si>
  <si>
    <t>Europe</t>
  </si>
  <si>
    <t>ޔޫރަޕް</t>
  </si>
  <si>
    <t>Asia</t>
  </si>
  <si>
    <t>އޭޝިއާ</t>
  </si>
  <si>
    <t>Africa</t>
  </si>
  <si>
    <t>އެފްރިކާ</t>
  </si>
  <si>
    <t>Oceania</t>
  </si>
  <si>
    <t>Middle East</t>
  </si>
  <si>
    <t>ޔޫ.އެން ޕާސްޕޯޓް ހޯލްޑަރ</t>
  </si>
  <si>
    <t>Source: Ministry of Tourism</t>
  </si>
  <si>
    <t>May</t>
  </si>
  <si>
    <t>cmwzirUT cfoa  IrcTcsinim :ctWrwf ivcaed utWmUluAwm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</si>
  <si>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</si>
  <si>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</si>
  <si>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</si>
  <si>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</si>
  <si>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</si>
  <si>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</si>
  <si>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</si>
  <si>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</si>
  <si>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</si>
  <si>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</si>
  <si>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</si>
  <si>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r>
      <rPr>
        <b/>
        <sz val="9"/>
        <rFont val="Faruma"/>
      </rPr>
      <t>ޖުމްލަ</t>
    </r>
    <r>
      <rPr>
        <b/>
        <sz val="9"/>
        <rFont val="Calibri"/>
        <family val="2"/>
      </rPr>
      <t xml:space="preserve">
Total</t>
    </r>
  </si>
  <si>
    <r>
      <rPr>
        <b/>
        <sz val="9"/>
        <rFont val="Faruma"/>
      </rPr>
      <t>ޖެނުއަރީ</t>
    </r>
    <r>
      <rPr>
        <b/>
        <sz val="9"/>
        <rFont val="Calibri"/>
        <family val="2"/>
      </rPr>
      <t xml:space="preserve">
Jan</t>
    </r>
  </si>
  <si>
    <r>
      <rPr>
        <b/>
        <sz val="9"/>
        <rFont val="Faruma"/>
      </rPr>
      <t>ފެބްރުއަރީ</t>
    </r>
    <r>
      <rPr>
        <b/>
        <sz val="9"/>
        <rFont val="Calibri"/>
        <family val="2"/>
      </rPr>
      <t xml:space="preserve">
Feb</t>
    </r>
  </si>
  <si>
    <r>
      <rPr>
        <b/>
        <sz val="9"/>
        <rFont val="Faruma"/>
      </rPr>
      <t>މާރޗް</t>
    </r>
    <r>
      <rPr>
        <b/>
        <sz val="9"/>
        <rFont val="Calibri"/>
        <family val="2"/>
      </rPr>
      <t xml:space="preserve">
Mar</t>
    </r>
  </si>
  <si>
    <r>
      <rPr>
        <b/>
        <sz val="9"/>
        <rFont val="Faruma"/>
      </rPr>
      <t>އޭޕްރިލް</t>
    </r>
    <r>
      <rPr>
        <b/>
        <sz val="9"/>
        <rFont val="Calibri"/>
        <family val="2"/>
      </rPr>
      <t xml:space="preserve">
Apr</t>
    </r>
  </si>
  <si>
    <r>
      <rPr>
        <b/>
        <sz val="9"/>
        <rFont val="Faruma"/>
      </rPr>
      <t>މެއި</t>
    </r>
    <r>
      <rPr>
        <b/>
        <sz val="9"/>
        <rFont val="Calibri"/>
        <family val="2"/>
      </rPr>
      <t xml:space="preserve">
May</t>
    </r>
  </si>
  <si>
    <r>
      <rPr>
        <b/>
        <sz val="9"/>
        <rFont val="Faruma"/>
      </rPr>
      <t>ޖޫން</t>
    </r>
    <r>
      <rPr>
        <b/>
        <sz val="9"/>
        <rFont val="Calibri"/>
        <family val="2"/>
      </rPr>
      <t xml:space="preserve">
Jun</t>
    </r>
  </si>
  <si>
    <r>
      <rPr>
        <b/>
        <sz val="9"/>
        <rFont val="Faruma"/>
      </rPr>
      <t>ޖުލައި</t>
    </r>
    <r>
      <rPr>
        <b/>
        <sz val="9"/>
        <rFont val="Calibri"/>
        <family val="2"/>
      </rPr>
      <t xml:space="preserve">
Jul</t>
    </r>
  </si>
  <si>
    <r>
      <rPr>
        <b/>
        <sz val="9"/>
        <rFont val="Faruma"/>
      </rPr>
      <t>އޮގަސްޓު</t>
    </r>
    <r>
      <rPr>
        <b/>
        <sz val="9"/>
        <rFont val="Calibri"/>
        <family val="2"/>
      </rPr>
      <t xml:space="preserve">
Aug</t>
    </r>
  </si>
  <si>
    <r>
      <rPr>
        <b/>
        <sz val="9"/>
        <rFont val="Faruma"/>
      </rPr>
      <t>ސެޕްޓެމްބަރ</t>
    </r>
    <r>
      <rPr>
        <b/>
        <sz val="9"/>
        <rFont val="Calibri"/>
        <family val="2"/>
      </rPr>
      <t xml:space="preserve">
Sep</t>
    </r>
  </si>
  <si>
    <r>
      <rPr>
        <b/>
        <sz val="9"/>
        <rFont val="Faruma"/>
      </rPr>
      <t>އޮކްޓޯބަރ</t>
    </r>
    <r>
      <rPr>
        <b/>
        <sz val="9"/>
        <rFont val="Calibri"/>
        <family val="2"/>
      </rPr>
      <t xml:space="preserve">
Oct</t>
    </r>
  </si>
  <si>
    <r>
      <rPr>
        <b/>
        <sz val="9"/>
        <rFont val="Faruma"/>
      </rPr>
      <t>ނޮވެމްބަރ</t>
    </r>
    <r>
      <rPr>
        <b/>
        <sz val="9"/>
        <rFont val="Calibri"/>
        <family val="2"/>
      </rPr>
      <t xml:space="preserve">
Nov</t>
    </r>
  </si>
  <si>
    <r>
      <rPr>
        <b/>
        <sz val="9"/>
        <rFont val="Faruma"/>
      </rPr>
      <t>ޑިސެމްބަރ</t>
    </r>
    <r>
      <rPr>
        <b/>
        <sz val="9"/>
        <rFont val="Calibri"/>
        <family val="2"/>
      </rPr>
      <t xml:space="preserve">
Dec</t>
    </r>
  </si>
  <si>
    <t>Country of Nationality</t>
  </si>
  <si>
    <t>ޤައުމިއްޔަތު/ 
މަސް</t>
  </si>
  <si>
    <t>Central/Eastern Europe</t>
  </si>
  <si>
    <t xml:space="preserve">   މެދު/އިރުމަތި ޔޫރަޕް</t>
  </si>
  <si>
    <t>Northern Europe</t>
  </si>
  <si>
    <t xml:space="preserve">   އުތުރު ޔޫރަޕް</t>
  </si>
  <si>
    <t>Southern Europe</t>
  </si>
  <si>
    <t xml:space="preserve">   ދެކުނު ޔޫރަޕް</t>
  </si>
  <si>
    <t>Western Europe</t>
  </si>
  <si>
    <t xml:space="preserve">   ހުޅަނގު ޔޫރަޕް</t>
  </si>
  <si>
    <t>East/Mediterranean Europe</t>
  </si>
  <si>
    <t xml:space="preserve">   އިރުމަތި/މެޑިޓަރޭނިއަން ޔޫރަޕް</t>
  </si>
  <si>
    <t>North East Asia</t>
  </si>
  <si>
    <t xml:space="preserve">   ހުޅަނގު އުތުރު އޭޝިއާ</t>
  </si>
  <si>
    <t>South East Asia</t>
  </si>
  <si>
    <t xml:space="preserve">   ހުޅަނގު ދެކުނު އޭޝިއާ</t>
  </si>
  <si>
    <t>South Asia</t>
  </si>
  <si>
    <t xml:space="preserve">   ދެކުނު އޭޝިއާ</t>
  </si>
  <si>
    <t>އެމެރިކާ</t>
  </si>
  <si>
    <t>America</t>
  </si>
  <si>
    <t>އޯޝަނިޔާ</t>
  </si>
  <si>
    <t>މެދު އިރުމަތި</t>
  </si>
  <si>
    <t xml:space="preserve">UN Passport Holders </t>
  </si>
  <si>
    <t>Others/Not Stated</t>
  </si>
  <si>
    <t>ބަޔާން ނުކުރާ</t>
  </si>
  <si>
    <t xml:space="preserve"> </t>
  </si>
  <si>
    <t xml:space="preserve">             Maldives Immigration </t>
  </si>
  <si>
    <t xml:space="preserve">       މޯލްޑީވްސް އިމިގްރޭޝަން</t>
  </si>
  <si>
    <t>2019 udwdwA egcnirevurutwf iawaejcaWr cnutogegukwtumuawq uhwmcswmikea : 10.11 ulwvWt</t>
  </si>
  <si>
    <t>Table 10.11 :   MONTHLY DISTRIBUTION OF TOURIST ARRIVALS BY NATIONALITY,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</si>
</sst>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5" formatCode="_(* #,##0_);_(* \(#,##0\);_(* &quot;-&quot;??_);_(@_)"/>
    <numFmt numFmtId="166" formatCode="#,##0.0"/>
    <numFmt numFmtId="167" formatCode="General_)"/>
    <numFmt numFmtId="169" formatCode="0.00_)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b/>
      <sz val="10"/>
      <name val="Faruma"/>
    </font>
    <font>
      <b/>
      <sz val="10"/>
      <name val="Calibri"/>
      <family val="2"/>
      <scheme val="minor"/>
    </font>
    <font>
      <sz val="10.5"/>
      <name val="Faruma"/>
    </font>
    <font>
      <sz val="10"/>
      <name val="Helv"/>
    </font>
    <font>
      <i/>
      <sz val="9"/>
      <color theme="1"/>
      <name val="Calibri"/>
      <family val="2"/>
      <scheme val="minor"/>
    </font>
    <font>
      <sz val="9"/>
      <name val="Arial"/>
      <family val="2"/>
    </font>
    <font>
      <i/>
      <sz val="9"/>
      <name val="Calibri"/>
      <family val="2"/>
      <scheme val="minor"/>
    </font>
    <font>
      <sz val="10"/>
      <name val="Calibri"/>
      <family val="2"/>
      <scheme val="minor"/>
    </font>
    <font>
      <i/>
      <sz val="9"/>
      <name val="Arial"/>
      <family val="2"/>
    </font>
    <font>
      <b/>
      <sz val="9"/>
      <name val="Faruma"/>
    </font>
    <font>
      <b/>
      <sz val="9"/>
      <name val="Calibri"/>
      <family val="2"/>
    </font>
    <font>
      <sz val="10"/>
      <name val="Faruma"/>
    </font>
    <font>
      <sz val="10"/>
      <name val="Courier"/>
      <family val="3"/>
    </font>
    <font>
      <b/>
      <sz val="9"/>
      <name val="Arial"/>
      <family val="2"/>
    </font>
    <font>
      <sz val="9"/>
      <name val="Faruma"/>
    </font>
    <font>
      <sz val="10"/>
      <name val="Arial"/>
      <family val="2"/>
    </font>
    <font>
      <b/>
      <i/>
      <sz val="16"/>
      <name val="Helv"/>
    </font>
    <font>
      <b/>
      <sz val="10"/>
      <name val="TimesNewRomanPS"/>
    </font>
    <font>
      <sz val="9"/>
      <name val="A_Faseyha"/>
    </font>
    <font>
      <b/>
      <sz val="11"/>
      <name val="A_Faseyha"/>
    </font>
    <font>
      <i/>
      <sz val="9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/>
      <bottom/>
      <diagonal/>
    </border>
  </borders>
  <cellStyleXfs count="25">
    <xf numFmtId="0" fontId="0" fillId="0" borderId="0"/>
    <xf numFmtId="43" fontId="1" fillId="0" borderId="0" applyFont="0" applyFill="0" applyBorder="0" applyAlignment="0" applyProtection="0"/>
    <xf numFmtId="0" fontId="8" fillId="0" borderId="0"/>
    <xf numFmtId="0" fontId="3" fillId="0" borderId="0"/>
    <xf numFmtId="9" fontId="3" fillId="0" borderId="0" applyFont="0" applyFill="0" applyBorder="0" applyAlignment="0" applyProtection="0"/>
    <xf numFmtId="0" fontId="17" fillId="0" borderId="0"/>
    <xf numFmtId="0" fontId="17" fillId="0" borderId="0"/>
    <xf numFmtId="0" fontId="3" fillId="0" borderId="0"/>
    <xf numFmtId="0" fontId="20" fillId="0" borderId="0"/>
    <xf numFmtId="0" fontId="3" fillId="0" borderId="0"/>
    <xf numFmtId="43" fontId="3" fillId="0" borderId="0" applyFont="0" applyFill="0" applyBorder="0" applyAlignment="0" applyProtection="0"/>
    <xf numFmtId="169" fontId="21" fillId="0" borderId="0"/>
    <xf numFmtId="1" fontId="22" fillId="0" borderId="12" applyNumberFormat="0"/>
    <xf numFmtId="0" fontId="3" fillId="0" borderId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0" fontId="20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8" fillId="0" borderId="0"/>
    <xf numFmtId="40" fontId="8" fillId="0" borderId="0" applyFont="0" applyFill="0" applyBorder="0" applyAlignment="0" applyProtection="0"/>
    <xf numFmtId="0" fontId="8" fillId="0" borderId="0"/>
  </cellStyleXfs>
  <cellXfs count="48">
    <xf numFmtId="0" fontId="0" fillId="0" borderId="0" xfId="0"/>
    <xf numFmtId="0" fontId="7" fillId="2" borderId="0" xfId="2" applyFont="1" applyFill="1" applyBorder="1" applyAlignment="1">
      <alignment vertical="center"/>
    </xf>
    <xf numFmtId="0" fontId="9" fillId="2" borderId="0" xfId="0" applyFont="1" applyFill="1" applyAlignment="1" applyProtection="1">
      <alignment horizontal="left" vertical="center"/>
    </xf>
    <xf numFmtId="0" fontId="4" fillId="2" borderId="2" xfId="3" applyFont="1" applyFill="1" applyBorder="1" applyAlignment="1" applyProtection="1">
      <alignment horizontal="right" vertical="center" wrapText="1"/>
    </xf>
    <xf numFmtId="167" fontId="3" fillId="2" borderId="4" xfId="6" applyNumberFormat="1" applyFont="1" applyFill="1" applyBorder="1" applyAlignment="1">
      <alignment vertical="center"/>
    </xf>
    <xf numFmtId="0" fontId="3" fillId="2" borderId="4" xfId="3" applyFont="1" applyFill="1" applyBorder="1"/>
    <xf numFmtId="0" fontId="4" fillId="2" borderId="2" xfId="3" applyFont="1" applyFill="1" applyBorder="1" applyAlignment="1" applyProtection="1">
      <alignment horizontal="left" vertical="center"/>
    </xf>
    <xf numFmtId="0" fontId="10" fillId="2" borderId="4" xfId="3" applyFont="1" applyFill="1" applyBorder="1" applyAlignment="1">
      <alignment vertical="center"/>
    </xf>
    <xf numFmtId="0" fontId="6" fillId="2" borderId="6" xfId="3" applyFont="1" applyFill="1" applyBorder="1" applyAlignment="1" applyProtection="1">
      <alignment vertical="center"/>
    </xf>
    <xf numFmtId="165" fontId="6" fillId="2" borderId="6" xfId="1" applyNumberFormat="1" applyFont="1" applyFill="1" applyBorder="1" applyAlignment="1" applyProtection="1">
      <alignment horizontal="right" vertical="center"/>
    </xf>
    <xf numFmtId="0" fontId="18" fillId="2" borderId="5" xfId="3" applyFont="1" applyFill="1" applyBorder="1"/>
    <xf numFmtId="0" fontId="6" fillId="2" borderId="0" xfId="3" applyFont="1" applyFill="1" applyBorder="1" applyAlignment="1" applyProtection="1">
      <alignment vertical="center"/>
    </xf>
    <xf numFmtId="165" fontId="6" fillId="2" borderId="0" xfId="1" applyNumberFormat="1" applyFont="1" applyFill="1" applyBorder="1" applyAlignment="1" applyProtection="1">
      <alignment horizontal="right" vertical="center"/>
    </xf>
    <xf numFmtId="166" fontId="5" fillId="2" borderId="0" xfId="3" applyNumberFormat="1" applyFont="1" applyFill="1" applyBorder="1" applyAlignment="1">
      <alignment horizontal="right"/>
    </xf>
    <xf numFmtId="165" fontId="18" fillId="2" borderId="0" xfId="3" applyNumberFormat="1" applyFont="1" applyFill="1" applyBorder="1" applyAlignment="1">
      <alignment vertical="center"/>
    </xf>
    <xf numFmtId="0" fontId="18" fillId="2" borderId="0" xfId="3" applyFont="1" applyFill="1" applyBorder="1"/>
    <xf numFmtId="17" fontId="12" fillId="2" borderId="0" xfId="7" applyNumberFormat="1" applyFont="1" applyFill="1" applyBorder="1" applyAlignment="1">
      <alignment horizontal="left" vertical="center" indent="1"/>
    </xf>
    <xf numFmtId="165" fontId="12" fillId="2" borderId="0" xfId="1" applyNumberFormat="1" applyFont="1" applyFill="1" applyBorder="1" applyAlignment="1" applyProtection="1">
      <alignment horizontal="right" vertical="center"/>
    </xf>
    <xf numFmtId="166" fontId="16" fillId="2" borderId="0" xfId="3" applyNumberFormat="1" applyFont="1" applyFill="1" applyBorder="1" applyAlignment="1">
      <alignment horizontal="right"/>
    </xf>
    <xf numFmtId="0" fontId="10" fillId="2" borderId="0" xfId="3" applyFont="1" applyFill="1" applyBorder="1"/>
    <xf numFmtId="0" fontId="10" fillId="2" borderId="0" xfId="3" applyFont="1" applyFill="1" applyBorder="1" applyAlignment="1">
      <alignment vertical="center"/>
    </xf>
    <xf numFmtId="17" fontId="12" fillId="2" borderId="0" xfId="7" applyNumberFormat="1" applyFont="1" applyFill="1" applyBorder="1" applyAlignment="1">
      <alignment horizontal="left" vertical="center" wrapText="1" indent="1"/>
    </xf>
    <xf numFmtId="0" fontId="18" fillId="2" borderId="0" xfId="3" applyFont="1" applyFill="1" applyBorder="1" applyAlignment="1">
      <alignment vertical="center"/>
    </xf>
    <xf numFmtId="0" fontId="6" fillId="2" borderId="1" xfId="3" applyFont="1" applyFill="1" applyBorder="1" applyAlignment="1" applyProtection="1">
      <alignment vertical="center"/>
    </xf>
    <xf numFmtId="165" fontId="6" fillId="2" borderId="1" xfId="1" applyNumberFormat="1" applyFont="1" applyFill="1" applyBorder="1" applyAlignment="1" applyProtection="1">
      <alignment horizontal="right" vertical="center"/>
    </xf>
    <xf numFmtId="0" fontId="14" fillId="2" borderId="1" xfId="3" applyFont="1" applyFill="1" applyBorder="1"/>
    <xf numFmtId="0" fontId="13" fillId="2" borderId="3" xfId="3" applyFont="1" applyFill="1" applyBorder="1" applyAlignment="1" applyProtection="1">
      <alignment horizontal="left" vertical="center"/>
    </xf>
    <xf numFmtId="165" fontId="13" fillId="2" borderId="3" xfId="3" applyNumberFormat="1" applyFont="1" applyFill="1" applyBorder="1" applyAlignment="1" applyProtection="1">
      <alignment horizontal="left" vertical="center"/>
    </xf>
    <xf numFmtId="0" fontId="10" fillId="2" borderId="3" xfId="3" applyFont="1" applyFill="1" applyBorder="1"/>
    <xf numFmtId="0" fontId="11" fillId="2" borderId="4" xfId="3" applyFont="1" applyFill="1" applyBorder="1" applyAlignment="1" applyProtection="1">
      <alignment horizontal="left" vertical="center"/>
    </xf>
    <xf numFmtId="0" fontId="13" fillId="2" borderId="4" xfId="3" applyFont="1" applyFill="1" applyBorder="1" applyAlignment="1" applyProtection="1">
      <alignment horizontal="left" vertical="center"/>
    </xf>
    <xf numFmtId="165" fontId="13" fillId="2" borderId="4" xfId="3" applyNumberFormat="1" applyFont="1" applyFill="1" applyBorder="1" applyAlignment="1" applyProtection="1">
      <alignment horizontal="left" vertical="center"/>
    </xf>
    <xf numFmtId="0" fontId="10" fillId="2" borderId="4" xfId="3" applyFont="1" applyFill="1" applyBorder="1"/>
    <xf numFmtId="3" fontId="3" fillId="2" borderId="4" xfId="3" applyNumberFormat="1" applyFont="1" applyFill="1" applyBorder="1"/>
    <xf numFmtId="0" fontId="23" fillId="2" borderId="0" xfId="0" applyFont="1" applyFill="1" applyBorder="1" applyAlignment="1">
      <alignment horizontal="right" vertical="center"/>
    </xf>
    <xf numFmtId="0" fontId="25" fillId="2" borderId="3" xfId="3" applyFont="1" applyFill="1" applyBorder="1" applyAlignment="1" applyProtection="1">
      <alignment horizontal="left" vertical="center"/>
    </xf>
    <xf numFmtId="167" fontId="24" fillId="2" borderId="4" xfId="5" applyNumberFormat="1" applyFont="1" applyFill="1" applyBorder="1" applyAlignment="1">
      <alignment horizontal="center" vertical="center"/>
    </xf>
    <xf numFmtId="0" fontId="2" fillId="2" borderId="5" xfId="3" applyFont="1" applyFill="1" applyBorder="1" applyAlignment="1" applyProtection="1">
      <alignment horizontal="center" vertical="center"/>
    </xf>
    <xf numFmtId="0" fontId="19" fillId="2" borderId="7" xfId="3" applyFont="1" applyFill="1" applyBorder="1" applyAlignment="1">
      <alignment horizontal="right" vertical="center"/>
    </xf>
    <xf numFmtId="0" fontId="19" fillId="2" borderId="8" xfId="3" applyFont="1" applyFill="1" applyBorder="1" applyAlignment="1">
      <alignment horizontal="right" vertical="center"/>
    </xf>
    <xf numFmtId="0" fontId="19" fillId="2" borderId="9" xfId="3" applyFont="1" applyFill="1" applyBorder="1" applyAlignment="1">
      <alignment horizontal="right" vertical="center"/>
    </xf>
    <xf numFmtId="0" fontId="14" fillId="2" borderId="13" xfId="3" applyFont="1" applyFill="1" applyBorder="1" applyAlignment="1" applyProtection="1">
      <alignment horizontal="right" vertical="center" wrapText="1" indent="1"/>
    </xf>
    <xf numFmtId="166" fontId="5" fillId="2" borderId="14" xfId="3" applyNumberFormat="1" applyFont="1" applyFill="1" applyBorder="1" applyAlignment="1">
      <alignment horizontal="right"/>
    </xf>
    <xf numFmtId="0" fontId="3" fillId="2" borderId="10" xfId="3" applyFont="1" applyFill="1" applyBorder="1"/>
    <xf numFmtId="167" fontId="3" fillId="2" borderId="0" xfId="6" applyNumberFormat="1" applyFont="1" applyFill="1" applyBorder="1" applyAlignment="1">
      <alignment vertical="center"/>
    </xf>
    <xf numFmtId="0" fontId="3" fillId="2" borderId="0" xfId="3" applyFont="1" applyFill="1" applyBorder="1"/>
    <xf numFmtId="0" fontId="3" fillId="2" borderId="5" xfId="3" applyFont="1" applyFill="1" applyBorder="1"/>
    <xf numFmtId="0" fontId="3" fillId="2" borderId="11" xfId="3" applyFont="1" applyFill="1" applyBorder="1"/>
  </cellXfs>
  <cellStyles count="25">
    <cellStyle name="1" xfId="9"/>
    <cellStyle name="Comma" xfId="1" builtinId="3"/>
    <cellStyle name="Comma 2" xfId="23"/>
    <cellStyle name="Comma 3" xfId="10"/>
    <cellStyle name="Normal" xfId="0" builtinId="0"/>
    <cellStyle name="Normal - Style1" xfId="11"/>
    <cellStyle name="Normal 10" xfId="17"/>
    <cellStyle name="Normal 2" xfId="3"/>
    <cellStyle name="Normal 2 2" xfId="12"/>
    <cellStyle name="Normal 2 2 2" xfId="24"/>
    <cellStyle name="Normal 3" xfId="13"/>
    <cellStyle name="Normal 4" xfId="18"/>
    <cellStyle name="Normal 4 2" xfId="14"/>
    <cellStyle name="Normal 4 2 2" xfId="19"/>
    <cellStyle name="Normal 5" xfId="15"/>
    <cellStyle name="Normal 5 2" xfId="7"/>
    <cellStyle name="Normal 6" xfId="20"/>
    <cellStyle name="Normal 7" xfId="21"/>
    <cellStyle name="Normal 8" xfId="22"/>
    <cellStyle name="Normal 9" xfId="8"/>
    <cellStyle name="Normal_TABLE456" xfId="2"/>
    <cellStyle name="Normal_VIII-8 (Tourism) 2" xfId="5"/>
    <cellStyle name="Normal_VIII-8 (Tourism) 2 3" xfId="6"/>
    <cellStyle name="Percent 2" xfId="16"/>
    <cellStyle name="Percent 2 2" xfId="4"/>
  </cellStyles>
  <dxfs count="0"/>
  <tableStyles count="0" defaultTableStyle="TableStyleMedium2" defaultPivotStyle="PivotStyleLight16"/>
  <colors>
    <mruColors>
      <color rgb="FFCA945E"/>
      <color rgb="FF996633"/>
      <color rgb="FF663300"/>
      <color rgb="FFF6ECE2"/>
      <color rgb="FFD6AD84"/>
      <color rgb="FFEEDCCA"/>
      <color rgb="FFB05800"/>
      <color rgb="FFD66B00"/>
      <color rgb="FFFFCCB3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Figure 10.17: Monthly tourist arrivals by European Market, 2019 </a:t>
            </a:r>
          </a:p>
        </c:rich>
      </c:tx>
      <c:layout>
        <c:manualLayout>
          <c:xMode val="edge"/>
          <c:yMode val="edge"/>
          <c:x val="0.1540704428364974"/>
          <c:y val="1.97666258445364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7801112793830584E-2"/>
          <c:y val="0.12541884654686802"/>
          <c:w val="0.92917204324923974"/>
          <c:h val="0.78856609237787967"/>
        </c:manualLayout>
      </c:layout>
      <c:lineChart>
        <c:grouping val="standard"/>
        <c:varyColors val="0"/>
        <c:ser>
          <c:idx val="0"/>
          <c:order val="0"/>
          <c:tx>
            <c:strRef>
              <c:f>'10.11'!$W$28</c:f>
              <c:strCache>
                <c:ptCount val="1"/>
                <c:pt idx="0">
                  <c:v>Central/Eastern Europe</c:v>
                </c:pt>
              </c:strCache>
            </c:strRef>
          </c:tx>
          <c:spPr>
            <a:ln w="31750" cap="rnd">
              <a:solidFill>
                <a:srgbClr val="CA945E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996633"/>
              </a:solidFill>
              <a:ln>
                <a:noFill/>
              </a:ln>
              <a:effectLst/>
            </c:spPr>
          </c:marker>
          <c:dLbls>
            <c:delete val="1"/>
          </c:dLbls>
          <c:cat>
            <c:strRef>
              <c:f>'10.11'!$X$27:$AI$27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'10.11'!$X$28:$AI$28</c:f>
              <c:numCache>
                <c:formatCode>_(* #,##0_);_(* \(#,##0\);_(* "-"??_);_(@_)</c:formatCode>
                <c:ptCount val="12"/>
                <c:pt idx="0">
                  <c:v>22079</c:v>
                </c:pt>
                <c:pt idx="1">
                  <c:v>19730</c:v>
                </c:pt>
                <c:pt idx="2">
                  <c:v>19553</c:v>
                </c:pt>
                <c:pt idx="3">
                  <c:v>13586</c:v>
                </c:pt>
                <c:pt idx="4">
                  <c:v>8933</c:v>
                </c:pt>
                <c:pt idx="5">
                  <c:v>8882</c:v>
                </c:pt>
                <c:pt idx="6">
                  <c:v>11409</c:v>
                </c:pt>
                <c:pt idx="7">
                  <c:v>10713</c:v>
                </c:pt>
                <c:pt idx="8">
                  <c:v>9953</c:v>
                </c:pt>
                <c:pt idx="9">
                  <c:v>15812</c:v>
                </c:pt>
                <c:pt idx="10">
                  <c:v>17655</c:v>
                </c:pt>
                <c:pt idx="11">
                  <c:v>21560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E0AF-489F-AC73-381DC72CD132}"/>
            </c:ext>
          </c:extLst>
        </c:ser>
        <c:ser>
          <c:idx val="1"/>
          <c:order val="1"/>
          <c:tx>
            <c:strRef>
              <c:f>'10.11'!$W$29</c:f>
              <c:strCache>
                <c:ptCount val="1"/>
                <c:pt idx="0">
                  <c:v>Northern Europe</c:v>
                </c:pt>
              </c:strCache>
            </c:strRef>
          </c:tx>
          <c:spPr>
            <a:ln w="31750" cap="rnd">
              <a:solidFill>
                <a:srgbClr val="663300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663300"/>
              </a:solidFill>
              <a:ln>
                <a:noFill/>
                <a:round/>
              </a:ln>
              <a:effectLst/>
            </c:spPr>
          </c:marker>
          <c:dLbls>
            <c:delete val="1"/>
          </c:dLbls>
          <c:cat>
            <c:strRef>
              <c:f>'10.11'!$X$27:$AI$27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'10.11'!$X$29:$AI$29</c:f>
              <c:numCache>
                <c:formatCode>_(* #,##0_);_(* \(#,##0\);_(* "-"??_);_(@_)</c:formatCode>
                <c:ptCount val="12"/>
                <c:pt idx="0">
                  <c:v>14867</c:v>
                </c:pt>
                <c:pt idx="1">
                  <c:v>19804</c:v>
                </c:pt>
                <c:pt idx="2">
                  <c:v>15837</c:v>
                </c:pt>
                <c:pt idx="3">
                  <c:v>16391</c:v>
                </c:pt>
                <c:pt idx="4">
                  <c:v>9948</c:v>
                </c:pt>
                <c:pt idx="5">
                  <c:v>8871</c:v>
                </c:pt>
                <c:pt idx="6">
                  <c:v>12079</c:v>
                </c:pt>
                <c:pt idx="7">
                  <c:v>11203</c:v>
                </c:pt>
                <c:pt idx="8">
                  <c:v>9506</c:v>
                </c:pt>
                <c:pt idx="9">
                  <c:v>14982</c:v>
                </c:pt>
                <c:pt idx="10">
                  <c:v>14868</c:v>
                </c:pt>
                <c:pt idx="11">
                  <c:v>17190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E0AF-489F-AC73-381DC72CD132}"/>
            </c:ext>
          </c:extLst>
        </c:ser>
        <c:ser>
          <c:idx val="3"/>
          <c:order val="2"/>
          <c:tx>
            <c:strRef>
              <c:f>'10.11'!$W$30</c:f>
              <c:strCache>
                <c:ptCount val="1"/>
                <c:pt idx="0">
                  <c:v>Southern Europe</c:v>
                </c:pt>
              </c:strCache>
            </c:strRef>
          </c:tx>
          <c:spPr>
            <a:ln w="31750" cap="rnd">
              <a:solidFill>
                <a:srgbClr val="996633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996633"/>
              </a:solidFill>
              <a:ln>
                <a:noFill/>
              </a:ln>
              <a:effectLst/>
            </c:spPr>
          </c:marker>
          <c:dLbls>
            <c:delete val="1"/>
          </c:dLbls>
          <c:cat>
            <c:strRef>
              <c:f>'10.11'!$X$27:$AI$27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'10.11'!$X$30:$AI$30</c:f>
              <c:numCache>
                <c:formatCode>_(* #,##0_);_(* \(#,##0\);_(* "-"??_);_(@_)</c:formatCode>
                <c:ptCount val="12"/>
                <c:pt idx="0">
                  <c:v>20372</c:v>
                </c:pt>
                <c:pt idx="1">
                  <c:v>21644</c:v>
                </c:pt>
                <c:pt idx="2">
                  <c:v>22136</c:v>
                </c:pt>
                <c:pt idx="3">
                  <c:v>20877</c:v>
                </c:pt>
                <c:pt idx="4">
                  <c:v>6396</c:v>
                </c:pt>
                <c:pt idx="5">
                  <c:v>8071</c:v>
                </c:pt>
                <c:pt idx="6">
                  <c:v>11816</c:v>
                </c:pt>
                <c:pt idx="7">
                  <c:v>20516</c:v>
                </c:pt>
                <c:pt idx="8">
                  <c:v>11435</c:v>
                </c:pt>
                <c:pt idx="9">
                  <c:v>12712</c:v>
                </c:pt>
                <c:pt idx="10">
                  <c:v>16310</c:v>
                </c:pt>
                <c:pt idx="11">
                  <c:v>27268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4-E0AF-489F-AC73-381DC72CD132}"/>
            </c:ext>
          </c:extLst>
        </c:ser>
        <c:ser>
          <c:idx val="4"/>
          <c:order val="3"/>
          <c:tx>
            <c:strRef>
              <c:f>'10.11'!$W$31</c:f>
              <c:strCache>
                <c:ptCount val="1"/>
                <c:pt idx="0">
                  <c:v>Western Europe</c:v>
                </c:pt>
              </c:strCache>
            </c:strRef>
          </c:tx>
          <c:spPr>
            <a:ln w="31750" cap="rnd">
              <a:solidFill>
                <a:srgbClr val="B05800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B05800"/>
              </a:solidFill>
              <a:ln>
                <a:solidFill>
                  <a:srgbClr val="B05800"/>
                </a:solidFill>
              </a:ln>
              <a:effectLst/>
            </c:spPr>
          </c:marker>
          <c:dLbls>
            <c:delete val="1"/>
          </c:dLbls>
          <c:cat>
            <c:strRef>
              <c:f>'10.11'!$X$27:$AI$27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'10.11'!$X$31:$AI$31</c:f>
              <c:numCache>
                <c:formatCode>_(* #,##0_);_(* \(#,##0\);_(* "-"??_);_(@_)</c:formatCode>
                <c:ptCount val="12"/>
                <c:pt idx="0">
                  <c:v>24323</c:v>
                </c:pt>
                <c:pt idx="1">
                  <c:v>30889</c:v>
                </c:pt>
                <c:pt idx="2">
                  <c:v>33506</c:v>
                </c:pt>
                <c:pt idx="3">
                  <c:v>35207</c:v>
                </c:pt>
                <c:pt idx="4">
                  <c:v>12423</c:v>
                </c:pt>
                <c:pt idx="5">
                  <c:v>10540</c:v>
                </c:pt>
                <c:pt idx="6">
                  <c:v>16273</c:v>
                </c:pt>
                <c:pt idx="7">
                  <c:v>14641</c:v>
                </c:pt>
                <c:pt idx="8">
                  <c:v>15168</c:v>
                </c:pt>
                <c:pt idx="9">
                  <c:v>24577</c:v>
                </c:pt>
                <c:pt idx="10">
                  <c:v>24044</c:v>
                </c:pt>
                <c:pt idx="11">
                  <c:v>26111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5-E0AF-489F-AC73-381DC72CD132}"/>
            </c:ext>
          </c:extLst>
        </c:ser>
        <c:ser>
          <c:idx val="2"/>
          <c:order val="4"/>
          <c:tx>
            <c:strRef>
              <c:f>'10.11'!$W$32</c:f>
              <c:strCache>
                <c:ptCount val="1"/>
                <c:pt idx="0">
                  <c:v>East/Mediterranean Europe</c:v>
                </c:pt>
              </c:strCache>
            </c:strRef>
          </c:tx>
          <c:spPr>
            <a:ln w="31750" cap="rnd">
              <a:solidFill>
                <a:srgbClr val="D6AD84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D6AD84"/>
              </a:solidFill>
              <a:ln>
                <a:solidFill>
                  <a:srgbClr val="D6AD84"/>
                </a:solidFill>
              </a:ln>
              <a:effectLst/>
            </c:spPr>
          </c:marker>
          <c:dLbls>
            <c:delete val="1"/>
          </c:dLbls>
          <c:cat>
            <c:strRef>
              <c:f>'10.11'!$X$27:$AI$27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'10.11'!$X$32:$AI$32</c:f>
              <c:numCache>
                <c:formatCode>_(* #,##0_);_(* \(#,##0\);_(* "-"??_);_(@_)</c:formatCode>
                <c:ptCount val="12"/>
                <c:pt idx="0">
                  <c:v>1887</c:v>
                </c:pt>
                <c:pt idx="1">
                  <c:v>1550</c:v>
                </c:pt>
                <c:pt idx="2">
                  <c:v>1442</c:v>
                </c:pt>
                <c:pt idx="3">
                  <c:v>1970</c:v>
                </c:pt>
                <c:pt idx="4">
                  <c:v>819</c:v>
                </c:pt>
                <c:pt idx="5">
                  <c:v>1314</c:v>
                </c:pt>
                <c:pt idx="6">
                  <c:v>1741</c:v>
                </c:pt>
                <c:pt idx="7">
                  <c:v>2135</c:v>
                </c:pt>
                <c:pt idx="8">
                  <c:v>2222</c:v>
                </c:pt>
                <c:pt idx="9">
                  <c:v>2805</c:v>
                </c:pt>
                <c:pt idx="10">
                  <c:v>1671</c:v>
                </c:pt>
                <c:pt idx="11">
                  <c:v>1717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E0AF-489F-AC73-381DC72CD13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9118880"/>
        <c:axId val="159117312"/>
      </c:lineChart>
      <c:catAx>
        <c:axId val="159118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17312"/>
        <c:crosses val="autoZero"/>
        <c:auto val="1"/>
        <c:lblAlgn val="ctr"/>
        <c:lblOffset val="100"/>
        <c:noMultiLvlLbl val="0"/>
      </c:catAx>
      <c:valAx>
        <c:axId val="15911731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rgbClr val="EEDCCA"/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Numbers</a:t>
                </a:r>
              </a:p>
            </c:rich>
          </c:tx>
          <c:layout>
            <c:manualLayout>
              <c:xMode val="edge"/>
              <c:yMode val="edge"/>
              <c:x val="8.5644359569036523E-3"/>
              <c:y val="0.401117857601605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crossAx val="159118880"/>
        <c:crosses val="autoZero"/>
        <c:crossBetween val="between"/>
      </c:valAx>
      <c:spPr>
        <a:solidFill>
          <a:srgbClr val="F6ECE2"/>
        </a:solidFill>
        <a:ln>
          <a:solidFill>
            <a:schemeClr val="accent3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43254970272271392"/>
          <c:y val="0.14724131622278561"/>
          <c:w val="0.52644523058383097"/>
          <c:h val="0.124670457402009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Figure 10.18: Monthly tourist arrivals by Asian Market, 2019 </a:t>
            </a:r>
          </a:p>
        </c:rich>
      </c:tx>
      <c:layout>
        <c:manualLayout>
          <c:xMode val="edge"/>
          <c:yMode val="edge"/>
          <c:x val="0.17351425367412587"/>
          <c:y val="4.37471646600123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87512561872241E-2"/>
          <c:y val="0.15014656490773748"/>
          <c:w val="0.92329541395813985"/>
          <c:h val="0.74491601350388115"/>
        </c:manualLayout>
      </c:layout>
      <c:lineChart>
        <c:grouping val="standard"/>
        <c:varyColors val="0"/>
        <c:ser>
          <c:idx val="0"/>
          <c:order val="0"/>
          <c:tx>
            <c:strRef>
              <c:f>'10.11'!$W$37</c:f>
              <c:strCache>
                <c:ptCount val="1"/>
                <c:pt idx="0">
                  <c:v>North East Asia</c:v>
                </c:pt>
              </c:strCache>
            </c:strRef>
          </c:tx>
          <c:spPr>
            <a:ln w="31750" cap="rnd">
              <a:solidFill>
                <a:srgbClr val="663300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663300"/>
              </a:solidFill>
              <a:ln>
                <a:solidFill>
                  <a:srgbClr val="663300"/>
                </a:solidFill>
              </a:ln>
              <a:effectLst/>
            </c:spPr>
          </c:marker>
          <c:dLbls>
            <c:delete val="1"/>
          </c:dLbls>
          <c:cat>
            <c:strRef>
              <c:f>'10.11'!$X$36:$AI$36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'10.11'!$X$37:$AI$37</c:f>
              <c:numCache>
                <c:formatCode>_(* #,##0_);_(* \(#,##0\);_(* "-"??_);_(@_)</c:formatCode>
                <c:ptCount val="12"/>
                <c:pt idx="0">
                  <c:v>33201</c:v>
                </c:pt>
                <c:pt idx="1">
                  <c:v>39347</c:v>
                </c:pt>
                <c:pt idx="2">
                  <c:v>27554</c:v>
                </c:pt>
                <c:pt idx="3">
                  <c:v>29402</c:v>
                </c:pt>
                <c:pt idx="4">
                  <c:v>27118</c:v>
                </c:pt>
                <c:pt idx="5">
                  <c:v>31442</c:v>
                </c:pt>
                <c:pt idx="6">
                  <c:v>39328</c:v>
                </c:pt>
                <c:pt idx="7">
                  <c:v>40718</c:v>
                </c:pt>
                <c:pt idx="8">
                  <c:v>32449</c:v>
                </c:pt>
                <c:pt idx="9">
                  <c:v>31557</c:v>
                </c:pt>
                <c:pt idx="10">
                  <c:v>23457</c:v>
                </c:pt>
                <c:pt idx="11">
                  <c:v>25050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972-40F7-B71E-05A7C82D9A47}"/>
            </c:ext>
          </c:extLst>
        </c:ser>
        <c:ser>
          <c:idx val="1"/>
          <c:order val="1"/>
          <c:tx>
            <c:strRef>
              <c:f>'10.11'!$W$38</c:f>
              <c:strCache>
                <c:ptCount val="1"/>
                <c:pt idx="0">
                  <c:v>South East Asia</c:v>
                </c:pt>
              </c:strCache>
            </c:strRef>
          </c:tx>
          <c:spPr>
            <a:ln w="31750" cap="rnd">
              <a:solidFill>
                <a:srgbClr val="D6AD84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D6AD84"/>
              </a:solidFill>
              <a:ln>
                <a:solidFill>
                  <a:srgbClr val="D6AD84"/>
                </a:solidFill>
              </a:ln>
              <a:effectLst/>
            </c:spPr>
          </c:marker>
          <c:dLbls>
            <c:delete val="1"/>
          </c:dLbls>
          <c:cat>
            <c:strRef>
              <c:f>'10.11'!$X$36:$AI$36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'10.11'!$X$38:$AI$38</c:f>
              <c:numCache>
                <c:formatCode>_(* #,##0_);_(* \(#,##0\);_(* "-"??_);_(@_)</c:formatCode>
                <c:ptCount val="12"/>
                <c:pt idx="0">
                  <c:v>4771</c:v>
                </c:pt>
                <c:pt idx="1">
                  <c:v>5305</c:v>
                </c:pt>
                <c:pt idx="2">
                  <c:v>7852</c:v>
                </c:pt>
                <c:pt idx="3">
                  <c:v>9745</c:v>
                </c:pt>
                <c:pt idx="4">
                  <c:v>8457</c:v>
                </c:pt>
                <c:pt idx="5">
                  <c:v>8708</c:v>
                </c:pt>
                <c:pt idx="6">
                  <c:v>7433</c:v>
                </c:pt>
                <c:pt idx="7">
                  <c:v>6736</c:v>
                </c:pt>
                <c:pt idx="8">
                  <c:v>6913</c:v>
                </c:pt>
                <c:pt idx="9">
                  <c:v>7171</c:v>
                </c:pt>
                <c:pt idx="10">
                  <c:v>6411</c:v>
                </c:pt>
                <c:pt idx="11">
                  <c:v>8134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972-40F7-B71E-05A7C82D9A47}"/>
            </c:ext>
          </c:extLst>
        </c:ser>
        <c:ser>
          <c:idx val="2"/>
          <c:order val="2"/>
          <c:tx>
            <c:strRef>
              <c:f>'10.11'!$W$39</c:f>
              <c:strCache>
                <c:ptCount val="1"/>
                <c:pt idx="0">
                  <c:v>South Asia</c:v>
                </c:pt>
              </c:strCache>
            </c:strRef>
          </c:tx>
          <c:spPr>
            <a:ln w="31750" cap="rnd">
              <a:solidFill>
                <a:srgbClr val="B05800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B05800"/>
              </a:solidFill>
              <a:ln>
                <a:noFill/>
              </a:ln>
              <a:effectLst/>
            </c:spPr>
          </c:marker>
          <c:dLbls>
            <c:delete val="1"/>
          </c:dLbls>
          <c:cat>
            <c:strRef>
              <c:f>'10.11'!$X$36:$AI$36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'10.11'!$X$39:$AI$39</c:f>
              <c:numCache>
                <c:formatCode>_(* #,##0_);_(* \(#,##0\);_(* "-"??_);_(@_)</c:formatCode>
                <c:ptCount val="12"/>
                <c:pt idx="0">
                  <c:v>13641</c:v>
                </c:pt>
                <c:pt idx="1">
                  <c:v>14395</c:v>
                </c:pt>
                <c:pt idx="2">
                  <c:v>14085</c:v>
                </c:pt>
                <c:pt idx="3">
                  <c:v>15253</c:v>
                </c:pt>
                <c:pt idx="4">
                  <c:v>18498</c:v>
                </c:pt>
                <c:pt idx="5">
                  <c:v>17960</c:v>
                </c:pt>
                <c:pt idx="6">
                  <c:v>13451</c:v>
                </c:pt>
                <c:pt idx="7">
                  <c:v>14337</c:v>
                </c:pt>
                <c:pt idx="8">
                  <c:v>13664</c:v>
                </c:pt>
                <c:pt idx="9">
                  <c:v>17111</c:v>
                </c:pt>
                <c:pt idx="10">
                  <c:v>16375</c:v>
                </c:pt>
                <c:pt idx="11">
                  <c:v>23971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B972-40F7-B71E-05A7C82D9A4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35227736"/>
        <c:axId val="335222640"/>
      </c:lineChart>
      <c:catAx>
        <c:axId val="335227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222640"/>
        <c:crosses val="autoZero"/>
        <c:auto val="1"/>
        <c:lblAlgn val="ctr"/>
        <c:lblOffset val="100"/>
        <c:noMultiLvlLbl val="0"/>
      </c:catAx>
      <c:valAx>
        <c:axId val="335222640"/>
        <c:scaling>
          <c:orientation val="minMax"/>
          <c:min val="0"/>
        </c:scaling>
        <c:delete val="1"/>
        <c:axPos val="l"/>
        <c:majorGridlines>
          <c:spPr>
            <a:ln w="9525" cap="flat" cmpd="sng" algn="ctr">
              <a:solidFill>
                <a:srgbClr val="EEDCCA"/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Numbers</a:t>
                </a:r>
              </a:p>
            </c:rich>
          </c:tx>
          <c:layout>
            <c:manualLayout>
              <c:xMode val="edge"/>
              <c:yMode val="edge"/>
              <c:x val="1.5393676529805306E-2"/>
              <c:y val="0.346818006239787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crossAx val="335227736"/>
        <c:crosses val="autoZero"/>
        <c:crossBetween val="between"/>
      </c:valAx>
      <c:spPr>
        <a:solidFill>
          <a:srgbClr val="F6ECE2"/>
        </a:solidFill>
        <a:ln>
          <a:solidFill>
            <a:srgbClr val="EEDCCA"/>
          </a:solidFill>
        </a:ln>
        <a:effectLst/>
      </c:spPr>
    </c:plotArea>
    <c:legend>
      <c:legendPos val="b"/>
      <c:layout>
        <c:manualLayout>
          <c:xMode val="edge"/>
          <c:yMode val="edge"/>
          <c:x val="0.277225481813622"/>
          <c:y val="0.8184860127720105"/>
          <c:w val="0.5773681025727071"/>
          <c:h val="7.38226945004479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10242</xdr:rowOff>
    </xdr:from>
    <xdr:to>
      <xdr:col>6</xdr:col>
      <xdr:colOff>129580</xdr:colOff>
      <xdr:row>40</xdr:row>
      <xdr:rowOff>151394</xdr:rowOff>
    </xdr:to>
    <xdr:graphicFrame macro="">
      <xdr:nvGraphicFramePr>
        <xdr:cNvPr id="4" name="Chart 4">
          <a:extLst>
            <a:ext uri="{FF2B5EF4-FFF2-40B4-BE49-F238E27FC236}">
              <a16:creationId xmlns="" xmlns:a16="http://schemas.microsoft.com/office/drawing/2014/main" id="{00000000-0008-0000-09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122903</xdr:colOff>
      <xdr:row>23</xdr:row>
      <xdr:rowOff>112661</xdr:rowOff>
    </xdr:from>
    <xdr:to>
      <xdr:col>15</xdr:col>
      <xdr:colOff>27182</xdr:colOff>
      <xdr:row>40</xdr:row>
      <xdr:rowOff>87157</xdr:rowOff>
    </xdr:to>
    <xdr:graphicFrame macro="">
      <xdr:nvGraphicFramePr>
        <xdr:cNvPr id="5" name="Chart 5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M1003"/>
  <sheetViews>
    <sheetView tabSelected="1" zoomScale="112" zoomScaleNormal="112" workbookViewId="0">
      <selection activeCell="U44" sqref="U44"/>
    </sheetView>
  </sheetViews>
  <sheetFormatPr defaultColWidth="9.140625" defaultRowHeight="12.75"/>
  <cols>
    <col min="1" max="1" width="24.42578125" style="5" customWidth="1"/>
    <col min="2" max="3" width="10.7109375" style="5" customWidth="1"/>
    <col min="4" max="4" width="10.28515625" style="5" customWidth="1"/>
    <col min="5" max="5" width="10.5703125" style="5" customWidth="1"/>
    <col min="6" max="6" width="10.28515625" style="5" customWidth="1"/>
    <col min="7" max="7" width="9.5703125" style="5" customWidth="1"/>
    <col min="8" max="8" width="9.140625" style="5" customWidth="1"/>
    <col min="9" max="9" width="9.28515625" style="5" customWidth="1"/>
    <col min="10" max="10" width="8.7109375" style="5" customWidth="1"/>
    <col min="11" max="11" width="9.42578125" style="5" customWidth="1"/>
    <col min="12" max="12" width="8.7109375" style="5" customWidth="1"/>
    <col min="13" max="13" width="9" style="5" customWidth="1"/>
    <col min="14" max="14" width="9.5703125" style="5" customWidth="1"/>
    <col min="15" max="15" width="21.5703125" style="43" customWidth="1"/>
    <col min="16" max="22" width="9.140625" style="45"/>
    <col min="23" max="23" width="13.7109375" style="45" customWidth="1"/>
    <col min="24" max="91" width="9.140625" style="45"/>
    <col min="92" max="16384" width="9.140625" style="5"/>
  </cols>
  <sheetData>
    <row r="1" spans="1:91" s="4" customFormat="1" ht="19.5" customHeight="1">
      <c r="A1" s="36" t="s">
        <v>66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4"/>
      <c r="AP1" s="44"/>
      <c r="AQ1" s="44"/>
      <c r="AR1" s="44"/>
      <c r="AS1" s="44"/>
      <c r="AT1" s="44"/>
      <c r="AU1" s="44"/>
      <c r="AV1" s="44"/>
      <c r="AW1" s="44"/>
      <c r="AX1" s="44"/>
      <c r="AY1" s="44"/>
      <c r="AZ1" s="44"/>
      <c r="BA1" s="44"/>
      <c r="BB1" s="44"/>
      <c r="BC1" s="44"/>
      <c r="BD1" s="44"/>
      <c r="BE1" s="44"/>
      <c r="BF1" s="44"/>
      <c r="BG1" s="44"/>
      <c r="BH1" s="44"/>
      <c r="BI1" s="44"/>
      <c r="BJ1" s="44"/>
      <c r="BK1" s="44"/>
      <c r="BL1" s="44"/>
      <c r="BM1" s="44"/>
      <c r="BN1" s="44"/>
      <c r="BO1" s="44"/>
      <c r="BP1" s="44"/>
      <c r="BQ1" s="44"/>
      <c r="BR1" s="44"/>
      <c r="BS1" s="44"/>
      <c r="BT1" s="44"/>
      <c r="BU1" s="44"/>
      <c r="BV1" s="44"/>
      <c r="BW1" s="44"/>
      <c r="BX1" s="44"/>
      <c r="BY1" s="44"/>
      <c r="BZ1" s="44"/>
      <c r="CA1" s="44"/>
      <c r="CB1" s="44"/>
      <c r="CC1" s="44"/>
      <c r="CD1" s="44"/>
      <c r="CE1" s="44"/>
      <c r="CF1" s="44"/>
      <c r="CG1" s="44"/>
      <c r="CH1" s="44"/>
      <c r="CI1" s="44"/>
      <c r="CJ1" s="44"/>
      <c r="CK1" s="44"/>
      <c r="CL1" s="44"/>
      <c r="CM1" s="44"/>
    </row>
    <row r="2" spans="1:91" ht="16.5" customHeight="1">
      <c r="A2" s="37" t="s">
        <v>67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</row>
    <row r="3" spans="1:91" s="7" customFormat="1" ht="29.25" customHeight="1">
      <c r="A3" s="6" t="s">
        <v>38</v>
      </c>
      <c r="B3" s="3" t="s">
        <v>25</v>
      </c>
      <c r="C3" s="3" t="s">
        <v>26</v>
      </c>
      <c r="D3" s="3" t="s">
        <v>27</v>
      </c>
      <c r="E3" s="3" t="s">
        <v>28</v>
      </c>
      <c r="F3" s="3" t="s">
        <v>29</v>
      </c>
      <c r="G3" s="3" t="s">
        <v>30</v>
      </c>
      <c r="H3" s="3" t="s">
        <v>31</v>
      </c>
      <c r="I3" s="3" t="s">
        <v>32</v>
      </c>
      <c r="J3" s="3" t="s">
        <v>33</v>
      </c>
      <c r="K3" s="3" t="s">
        <v>34</v>
      </c>
      <c r="L3" s="3" t="s">
        <v>35</v>
      </c>
      <c r="M3" s="3" t="s">
        <v>36</v>
      </c>
      <c r="N3" s="3" t="s">
        <v>37</v>
      </c>
      <c r="O3" s="41" t="s">
        <v>39</v>
      </c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</row>
    <row r="4" spans="1:91" s="10" customFormat="1" ht="17.25" customHeight="1">
      <c r="A4" s="8" t="s">
        <v>0</v>
      </c>
      <c r="B4" s="9">
        <f>B5+B11+B15+B16+B17+B18+B19+B20</f>
        <v>1702887</v>
      </c>
      <c r="C4" s="9">
        <f t="shared" ref="C4:N4" si="0">C5+C11+C15+C16+C17+C18+C19+C20</f>
        <v>151552</v>
      </c>
      <c r="D4" s="9">
        <f t="shared" si="0"/>
        <v>168583</v>
      </c>
      <c r="E4" s="9">
        <f t="shared" si="0"/>
        <v>162843</v>
      </c>
      <c r="F4" s="9">
        <f t="shared" si="0"/>
        <v>163114</v>
      </c>
      <c r="G4" s="9">
        <f t="shared" si="0"/>
        <v>103022</v>
      </c>
      <c r="H4" s="9">
        <f t="shared" si="0"/>
        <v>113475</v>
      </c>
      <c r="I4" s="9">
        <f t="shared" si="0"/>
        <v>132144</v>
      </c>
      <c r="J4" s="9">
        <f t="shared" si="0"/>
        <v>139338</v>
      </c>
      <c r="K4" s="9">
        <f t="shared" si="0"/>
        <v>117619</v>
      </c>
      <c r="L4" s="9">
        <f t="shared" si="0"/>
        <v>141928</v>
      </c>
      <c r="M4" s="9">
        <f t="shared" si="0"/>
        <v>137921</v>
      </c>
      <c r="N4" s="9">
        <f t="shared" si="0"/>
        <v>171348</v>
      </c>
      <c r="O4" s="42" t="s">
        <v>1</v>
      </c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</row>
    <row r="5" spans="1:91" s="15" customFormat="1" ht="19.5" customHeight="1">
      <c r="A5" s="11" t="s">
        <v>2</v>
      </c>
      <c r="B5" s="12">
        <f t="shared" ref="B5:N5" si="1">SUM(B6:B10)</f>
        <v>833939</v>
      </c>
      <c r="C5" s="12">
        <f>SUM(C6:C10)</f>
        <v>83528</v>
      </c>
      <c r="D5" s="12">
        <f>SUM(D6:D10)</f>
        <v>93617</v>
      </c>
      <c r="E5" s="12">
        <f t="shared" si="1"/>
        <v>92474</v>
      </c>
      <c r="F5" s="12">
        <f t="shared" si="1"/>
        <v>88031</v>
      </c>
      <c r="G5" s="12">
        <f t="shared" si="1"/>
        <v>38519</v>
      </c>
      <c r="H5" s="12">
        <f t="shared" si="1"/>
        <v>37678</v>
      </c>
      <c r="I5" s="12">
        <f t="shared" si="1"/>
        <v>53318</v>
      </c>
      <c r="J5" s="12">
        <f t="shared" si="1"/>
        <v>59208</v>
      </c>
      <c r="K5" s="12">
        <f t="shared" si="1"/>
        <v>48284</v>
      </c>
      <c r="L5" s="12">
        <f t="shared" si="1"/>
        <v>70888</v>
      </c>
      <c r="M5" s="12">
        <f t="shared" si="1"/>
        <v>74548</v>
      </c>
      <c r="N5" s="12">
        <f t="shared" si="1"/>
        <v>93846</v>
      </c>
      <c r="O5" s="13" t="s">
        <v>3</v>
      </c>
      <c r="P5" s="14"/>
      <c r="Q5" s="14"/>
      <c r="R5" s="14"/>
      <c r="S5" s="14"/>
      <c r="T5" s="14"/>
      <c r="U5" s="14"/>
    </row>
    <row r="6" spans="1:91" s="19" customFormat="1" ht="19.5" customHeight="1">
      <c r="A6" s="16" t="s">
        <v>40</v>
      </c>
      <c r="B6" s="17">
        <f t="shared" ref="B6:B18" si="2">SUM(C6:N6)</f>
        <v>179865</v>
      </c>
      <c r="C6" s="17">
        <v>22079</v>
      </c>
      <c r="D6" s="17">
        <v>19730</v>
      </c>
      <c r="E6" s="17">
        <v>19553</v>
      </c>
      <c r="F6" s="17">
        <v>13586</v>
      </c>
      <c r="G6" s="17">
        <v>8933</v>
      </c>
      <c r="H6" s="17">
        <v>8882</v>
      </c>
      <c r="I6" s="17">
        <v>11409</v>
      </c>
      <c r="J6" s="17">
        <v>10713</v>
      </c>
      <c r="K6" s="17">
        <v>9953</v>
      </c>
      <c r="L6" s="17">
        <v>15812</v>
      </c>
      <c r="M6" s="17">
        <v>17655</v>
      </c>
      <c r="N6" s="17">
        <v>21560</v>
      </c>
      <c r="O6" s="18" t="s">
        <v>41</v>
      </c>
    </row>
    <row r="7" spans="1:91" s="19" customFormat="1" ht="19.5" customHeight="1">
      <c r="A7" s="16" t="s">
        <v>42</v>
      </c>
      <c r="B7" s="17">
        <f t="shared" si="2"/>
        <v>165546</v>
      </c>
      <c r="C7" s="17">
        <v>14867</v>
      </c>
      <c r="D7" s="17">
        <v>19804</v>
      </c>
      <c r="E7" s="17">
        <v>15837</v>
      </c>
      <c r="F7" s="17">
        <v>16391</v>
      </c>
      <c r="G7" s="17">
        <v>9948</v>
      </c>
      <c r="H7" s="17">
        <v>8871</v>
      </c>
      <c r="I7" s="17">
        <v>12079</v>
      </c>
      <c r="J7" s="17">
        <v>11203</v>
      </c>
      <c r="K7" s="17">
        <v>9506</v>
      </c>
      <c r="L7" s="17">
        <v>14982</v>
      </c>
      <c r="M7" s="17">
        <v>14868</v>
      </c>
      <c r="N7" s="17">
        <v>17190</v>
      </c>
      <c r="O7" s="18" t="s">
        <v>43</v>
      </c>
    </row>
    <row r="8" spans="1:91" s="19" customFormat="1" ht="19.5" customHeight="1">
      <c r="A8" s="16" t="s">
        <v>44</v>
      </c>
      <c r="B8" s="17">
        <f t="shared" si="2"/>
        <v>199553</v>
      </c>
      <c r="C8" s="17">
        <v>20372</v>
      </c>
      <c r="D8" s="17">
        <v>21644</v>
      </c>
      <c r="E8" s="17">
        <v>22136</v>
      </c>
      <c r="F8" s="17">
        <v>20877</v>
      </c>
      <c r="G8" s="17">
        <v>6396</v>
      </c>
      <c r="H8" s="17">
        <v>8071</v>
      </c>
      <c r="I8" s="17">
        <v>11816</v>
      </c>
      <c r="J8" s="17">
        <v>20516</v>
      </c>
      <c r="K8" s="17">
        <v>11435</v>
      </c>
      <c r="L8" s="17">
        <v>12712</v>
      </c>
      <c r="M8" s="17">
        <v>16310</v>
      </c>
      <c r="N8" s="17">
        <v>27268</v>
      </c>
      <c r="O8" s="18" t="s">
        <v>45</v>
      </c>
    </row>
    <row r="9" spans="1:91" s="19" customFormat="1" ht="19.5" customHeight="1">
      <c r="A9" s="16" t="s">
        <v>46</v>
      </c>
      <c r="B9" s="17">
        <f t="shared" si="2"/>
        <v>267702</v>
      </c>
      <c r="C9" s="17">
        <v>24323</v>
      </c>
      <c r="D9" s="17">
        <v>30889</v>
      </c>
      <c r="E9" s="17">
        <v>33506</v>
      </c>
      <c r="F9" s="17">
        <v>35207</v>
      </c>
      <c r="G9" s="17">
        <v>12423</v>
      </c>
      <c r="H9" s="17">
        <v>10540</v>
      </c>
      <c r="I9" s="17">
        <v>16273</v>
      </c>
      <c r="J9" s="17">
        <v>14641</v>
      </c>
      <c r="K9" s="17">
        <v>15168</v>
      </c>
      <c r="L9" s="17">
        <v>24577</v>
      </c>
      <c r="M9" s="17">
        <v>24044</v>
      </c>
      <c r="N9" s="17">
        <v>26111</v>
      </c>
      <c r="O9" s="18" t="s">
        <v>47</v>
      </c>
      <c r="P9" s="20"/>
    </row>
    <row r="10" spans="1:91" s="19" customFormat="1" ht="19.5" customHeight="1">
      <c r="A10" s="21" t="s">
        <v>48</v>
      </c>
      <c r="B10" s="17">
        <f t="shared" si="2"/>
        <v>21273</v>
      </c>
      <c r="C10" s="17">
        <v>1887</v>
      </c>
      <c r="D10" s="17">
        <v>1550</v>
      </c>
      <c r="E10" s="17">
        <v>1442</v>
      </c>
      <c r="F10" s="17">
        <v>1970</v>
      </c>
      <c r="G10" s="17">
        <v>819</v>
      </c>
      <c r="H10" s="17">
        <v>1314</v>
      </c>
      <c r="I10" s="17">
        <v>1741</v>
      </c>
      <c r="J10" s="17">
        <v>2135</v>
      </c>
      <c r="K10" s="17">
        <v>2222</v>
      </c>
      <c r="L10" s="17">
        <v>2805</v>
      </c>
      <c r="M10" s="17">
        <v>1671</v>
      </c>
      <c r="N10" s="17">
        <v>1717</v>
      </c>
      <c r="O10" s="18" t="s">
        <v>49</v>
      </c>
      <c r="P10" s="20"/>
    </row>
    <row r="11" spans="1:91" s="15" customFormat="1" ht="19.5" customHeight="1">
      <c r="A11" s="11" t="s">
        <v>4</v>
      </c>
      <c r="B11" s="12">
        <f t="shared" si="2"/>
        <v>661000</v>
      </c>
      <c r="C11" s="12">
        <f>SUM(C12:C14)</f>
        <v>51613</v>
      </c>
      <c r="D11" s="12">
        <f>SUM(D12:D14)</f>
        <v>59047</v>
      </c>
      <c r="E11" s="12">
        <f t="shared" ref="E11:N11" si="3">SUM(E12:E14)</f>
        <v>49491</v>
      </c>
      <c r="F11" s="12">
        <f t="shared" si="3"/>
        <v>54400</v>
      </c>
      <c r="G11" s="12">
        <f t="shared" si="3"/>
        <v>54073</v>
      </c>
      <c r="H11" s="12">
        <f t="shared" si="3"/>
        <v>58110</v>
      </c>
      <c r="I11" s="12">
        <f t="shared" si="3"/>
        <v>60212</v>
      </c>
      <c r="J11" s="12">
        <f t="shared" si="3"/>
        <v>61791</v>
      </c>
      <c r="K11" s="12">
        <f t="shared" si="3"/>
        <v>53026</v>
      </c>
      <c r="L11" s="12">
        <f t="shared" si="3"/>
        <v>55839</v>
      </c>
      <c r="M11" s="12">
        <f t="shared" si="3"/>
        <v>46243</v>
      </c>
      <c r="N11" s="12">
        <f t="shared" si="3"/>
        <v>57155</v>
      </c>
      <c r="O11" s="13" t="s">
        <v>5</v>
      </c>
      <c r="P11" s="22"/>
    </row>
    <row r="12" spans="1:91" s="19" customFormat="1" ht="19.5" customHeight="1">
      <c r="A12" s="16" t="s">
        <v>50</v>
      </c>
      <c r="B12" s="17">
        <f t="shared" si="2"/>
        <v>380623</v>
      </c>
      <c r="C12" s="17">
        <v>33201</v>
      </c>
      <c r="D12" s="17">
        <v>39347</v>
      </c>
      <c r="E12" s="17">
        <v>27554</v>
      </c>
      <c r="F12" s="17">
        <v>29402</v>
      </c>
      <c r="G12" s="17">
        <v>27118</v>
      </c>
      <c r="H12" s="17">
        <v>31442</v>
      </c>
      <c r="I12" s="17">
        <v>39328</v>
      </c>
      <c r="J12" s="17">
        <v>40718</v>
      </c>
      <c r="K12" s="17">
        <v>32449</v>
      </c>
      <c r="L12" s="17">
        <v>31557</v>
      </c>
      <c r="M12" s="17">
        <v>23457</v>
      </c>
      <c r="N12" s="17">
        <v>25050</v>
      </c>
      <c r="O12" s="18" t="s">
        <v>51</v>
      </c>
    </row>
    <row r="13" spans="1:91" s="19" customFormat="1" ht="19.5" customHeight="1">
      <c r="A13" s="16" t="s">
        <v>52</v>
      </c>
      <c r="B13" s="17">
        <f t="shared" si="2"/>
        <v>87636</v>
      </c>
      <c r="C13" s="17">
        <v>4771</v>
      </c>
      <c r="D13" s="17">
        <v>5305</v>
      </c>
      <c r="E13" s="17">
        <v>7852</v>
      </c>
      <c r="F13" s="17">
        <v>9745</v>
      </c>
      <c r="G13" s="17">
        <v>8457</v>
      </c>
      <c r="H13" s="17">
        <v>8708</v>
      </c>
      <c r="I13" s="17">
        <v>7433</v>
      </c>
      <c r="J13" s="17">
        <v>6736</v>
      </c>
      <c r="K13" s="17">
        <v>6913</v>
      </c>
      <c r="L13" s="17">
        <v>7171</v>
      </c>
      <c r="M13" s="17">
        <v>6411</v>
      </c>
      <c r="N13" s="17">
        <v>8134</v>
      </c>
      <c r="O13" s="18" t="s">
        <v>53</v>
      </c>
    </row>
    <row r="14" spans="1:91" s="19" customFormat="1" ht="19.5" customHeight="1">
      <c r="A14" s="16" t="s">
        <v>54</v>
      </c>
      <c r="B14" s="17">
        <f t="shared" si="2"/>
        <v>192741</v>
      </c>
      <c r="C14" s="17">
        <v>13641</v>
      </c>
      <c r="D14" s="17">
        <v>14395</v>
      </c>
      <c r="E14" s="17">
        <v>14085</v>
      </c>
      <c r="F14" s="17">
        <v>15253</v>
      </c>
      <c r="G14" s="17">
        <v>18498</v>
      </c>
      <c r="H14" s="17">
        <v>17960</v>
      </c>
      <c r="I14" s="17">
        <v>13451</v>
      </c>
      <c r="J14" s="17">
        <v>14337</v>
      </c>
      <c r="K14" s="17">
        <v>13664</v>
      </c>
      <c r="L14" s="17">
        <v>17111</v>
      </c>
      <c r="M14" s="17">
        <v>16375</v>
      </c>
      <c r="N14" s="17">
        <v>23971</v>
      </c>
      <c r="O14" s="18" t="s">
        <v>55</v>
      </c>
      <c r="P14" s="20"/>
    </row>
    <row r="15" spans="1:91" s="15" customFormat="1" ht="19.5" customHeight="1">
      <c r="A15" s="11" t="s">
        <v>8</v>
      </c>
      <c r="B15" s="12">
        <f t="shared" si="2"/>
        <v>44140</v>
      </c>
      <c r="C15" s="12">
        <v>3503</v>
      </c>
      <c r="D15" s="12">
        <v>2843</v>
      </c>
      <c r="E15" s="12">
        <v>4105</v>
      </c>
      <c r="F15" s="12">
        <v>4990</v>
      </c>
      <c r="G15" s="12">
        <v>3542</v>
      </c>
      <c r="H15" s="12">
        <v>3062</v>
      </c>
      <c r="I15" s="12">
        <v>4075</v>
      </c>
      <c r="J15" s="12">
        <v>3191</v>
      </c>
      <c r="K15" s="12">
        <v>3952</v>
      </c>
      <c r="L15" s="12">
        <v>4146</v>
      </c>
      <c r="M15" s="12">
        <v>3621</v>
      </c>
      <c r="N15" s="12">
        <v>3110</v>
      </c>
      <c r="O15" s="13" t="s">
        <v>7</v>
      </c>
      <c r="P15" s="22"/>
      <c r="W15" s="11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</row>
    <row r="16" spans="1:91" s="15" customFormat="1" ht="19.5" customHeight="1">
      <c r="A16" s="11" t="s">
        <v>6</v>
      </c>
      <c r="B16" s="12">
        <f t="shared" si="2"/>
        <v>18695</v>
      </c>
      <c r="C16" s="12">
        <v>1453</v>
      </c>
      <c r="D16" s="12">
        <v>1050</v>
      </c>
      <c r="E16" s="12">
        <v>1585</v>
      </c>
      <c r="F16" s="12">
        <v>1833</v>
      </c>
      <c r="G16" s="12">
        <v>734</v>
      </c>
      <c r="H16" s="12">
        <v>1549</v>
      </c>
      <c r="I16" s="12">
        <v>1526</v>
      </c>
      <c r="J16" s="12">
        <v>1825</v>
      </c>
      <c r="K16" s="12">
        <v>1730</v>
      </c>
      <c r="L16" s="12">
        <v>1059</v>
      </c>
      <c r="M16" s="12">
        <v>1192</v>
      </c>
      <c r="N16" s="12">
        <v>3159</v>
      </c>
      <c r="O16" s="13" t="s">
        <v>56</v>
      </c>
      <c r="W16" s="16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</row>
    <row r="17" spans="1:91" s="15" customFormat="1" ht="19.5" customHeight="1">
      <c r="A17" s="11" t="s">
        <v>57</v>
      </c>
      <c r="B17" s="12">
        <f t="shared" si="2"/>
        <v>84794</v>
      </c>
      <c r="C17" s="12">
        <v>7239</v>
      </c>
      <c r="D17" s="12">
        <v>8358</v>
      </c>
      <c r="E17" s="12">
        <v>10207</v>
      </c>
      <c r="F17" s="12">
        <v>7393</v>
      </c>
      <c r="G17" s="12">
        <v>5395</v>
      </c>
      <c r="H17" s="12">
        <v>5356</v>
      </c>
      <c r="I17" s="12">
        <v>5873</v>
      </c>
      <c r="J17" s="12">
        <v>5310</v>
      </c>
      <c r="K17" s="12">
        <v>5982</v>
      </c>
      <c r="L17" s="12">
        <v>6496</v>
      </c>
      <c r="M17" s="12">
        <v>8020</v>
      </c>
      <c r="N17" s="12">
        <v>9165</v>
      </c>
      <c r="O17" s="13" t="s">
        <v>58</v>
      </c>
      <c r="P17" s="22"/>
      <c r="W17" s="16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</row>
    <row r="18" spans="1:91" s="15" customFormat="1" ht="19.5" customHeight="1">
      <c r="A18" s="11" t="s">
        <v>9</v>
      </c>
      <c r="B18" s="12">
        <f t="shared" si="2"/>
        <v>60003</v>
      </c>
      <c r="C18" s="12">
        <v>4200</v>
      </c>
      <c r="D18" s="12">
        <v>3651</v>
      </c>
      <c r="E18" s="12">
        <v>4959</v>
      </c>
      <c r="F18" s="12">
        <v>6443</v>
      </c>
      <c r="G18" s="12">
        <v>741</v>
      </c>
      <c r="H18" s="12">
        <v>7685</v>
      </c>
      <c r="I18" s="12">
        <v>7105</v>
      </c>
      <c r="J18" s="12">
        <v>7990</v>
      </c>
      <c r="K18" s="12">
        <v>4613</v>
      </c>
      <c r="L18" s="12">
        <v>3477</v>
      </c>
      <c r="M18" s="12">
        <v>4255</v>
      </c>
      <c r="N18" s="12">
        <v>4884</v>
      </c>
      <c r="O18" s="13" t="s">
        <v>59</v>
      </c>
      <c r="P18" s="22"/>
      <c r="W18" s="16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</row>
    <row r="19" spans="1:91" s="15" customFormat="1" ht="19.5" customHeight="1">
      <c r="A19" s="11" t="s">
        <v>60</v>
      </c>
      <c r="B19" s="12">
        <f>SUM(C19:N19)</f>
        <v>138</v>
      </c>
      <c r="C19" s="12">
        <v>5</v>
      </c>
      <c r="D19" s="12">
        <v>6</v>
      </c>
      <c r="E19" s="12">
        <v>11</v>
      </c>
      <c r="F19" s="12">
        <v>5</v>
      </c>
      <c r="G19" s="12">
        <v>5</v>
      </c>
      <c r="H19" s="12">
        <v>21</v>
      </c>
      <c r="I19" s="12">
        <v>21</v>
      </c>
      <c r="J19" s="12">
        <v>11</v>
      </c>
      <c r="K19" s="12">
        <v>15</v>
      </c>
      <c r="L19" s="12">
        <v>8</v>
      </c>
      <c r="M19" s="12">
        <v>23</v>
      </c>
      <c r="N19" s="12">
        <v>7</v>
      </c>
      <c r="O19" s="1" t="s">
        <v>10</v>
      </c>
      <c r="P19" s="22"/>
      <c r="W19" s="16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</row>
    <row r="20" spans="1:91" s="15" customFormat="1" ht="19.5" customHeight="1">
      <c r="A20" s="23" t="s">
        <v>61</v>
      </c>
      <c r="B20" s="24">
        <f>SUM(C20:N20)</f>
        <v>178</v>
      </c>
      <c r="C20" s="24">
        <v>11</v>
      </c>
      <c r="D20" s="24">
        <v>11</v>
      </c>
      <c r="E20" s="24">
        <v>11</v>
      </c>
      <c r="F20" s="24">
        <v>19</v>
      </c>
      <c r="G20" s="24">
        <v>13</v>
      </c>
      <c r="H20" s="24">
        <v>14</v>
      </c>
      <c r="I20" s="24">
        <v>14</v>
      </c>
      <c r="J20" s="24">
        <v>12</v>
      </c>
      <c r="K20" s="24">
        <v>17</v>
      </c>
      <c r="L20" s="24">
        <v>15</v>
      </c>
      <c r="M20" s="24">
        <v>19</v>
      </c>
      <c r="N20" s="24">
        <v>22</v>
      </c>
      <c r="O20" s="25" t="s">
        <v>62</v>
      </c>
      <c r="P20" s="22"/>
      <c r="W20" s="16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</row>
    <row r="21" spans="1:91" s="28" customFormat="1" ht="15.75" customHeight="1">
      <c r="A21" s="2" t="s">
        <v>11</v>
      </c>
      <c r="B21" s="26"/>
      <c r="C21" s="27"/>
      <c r="D21" s="26" t="s">
        <v>63</v>
      </c>
      <c r="E21" s="26"/>
      <c r="F21" s="26"/>
      <c r="G21" s="26"/>
      <c r="H21" s="26"/>
      <c r="I21" s="26"/>
      <c r="J21" s="26"/>
      <c r="K21" s="26"/>
      <c r="L21" s="26"/>
      <c r="M21" s="35"/>
      <c r="N21" s="35"/>
      <c r="O21" s="34" t="s">
        <v>13</v>
      </c>
      <c r="P21" s="20"/>
      <c r="Q21" s="19"/>
      <c r="R21" s="19"/>
      <c r="S21" s="19"/>
      <c r="T21" s="19"/>
      <c r="U21" s="19"/>
      <c r="V21" s="19"/>
      <c r="W21" s="16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</row>
    <row r="22" spans="1:91" s="32" customFormat="1" ht="13.5" customHeight="1">
      <c r="A22" s="29" t="s">
        <v>64</v>
      </c>
      <c r="B22" s="30"/>
      <c r="C22" s="31"/>
      <c r="D22" s="30"/>
      <c r="E22" s="30"/>
      <c r="F22" s="30"/>
      <c r="G22" s="30"/>
      <c r="H22" s="30"/>
      <c r="I22" s="30"/>
      <c r="J22" s="30"/>
      <c r="K22" s="30"/>
      <c r="L22" s="30"/>
      <c r="M22" s="38" t="s">
        <v>65</v>
      </c>
      <c r="N22" s="39"/>
      <c r="O22" s="40"/>
      <c r="P22" s="19"/>
      <c r="Q22" s="19"/>
      <c r="R22" s="19"/>
      <c r="S22" s="19"/>
      <c r="T22" s="19"/>
      <c r="U22" s="19"/>
      <c r="V22" s="19"/>
      <c r="W22" s="21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</row>
    <row r="23" spans="1:91"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</row>
    <row r="24" spans="1:91"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</row>
    <row r="27" spans="1:91">
      <c r="W27" s="11"/>
      <c r="X27" s="45" t="s">
        <v>14</v>
      </c>
      <c r="Y27" s="45" t="s">
        <v>15</v>
      </c>
      <c r="Z27" s="45" t="s">
        <v>16</v>
      </c>
      <c r="AA27" s="45" t="s">
        <v>17</v>
      </c>
      <c r="AB27" s="45" t="s">
        <v>12</v>
      </c>
      <c r="AC27" s="45" t="s">
        <v>18</v>
      </c>
      <c r="AD27" s="45" t="s">
        <v>19</v>
      </c>
      <c r="AE27" s="45" t="s">
        <v>20</v>
      </c>
      <c r="AF27" s="45" t="s">
        <v>21</v>
      </c>
      <c r="AG27" s="45" t="s">
        <v>22</v>
      </c>
      <c r="AH27" s="45" t="s">
        <v>23</v>
      </c>
      <c r="AI27" s="45" t="s">
        <v>24</v>
      </c>
    </row>
    <row r="28" spans="1:91">
      <c r="A28" s="11"/>
      <c r="B28" s="12"/>
      <c r="W28" s="16" t="s">
        <v>40</v>
      </c>
      <c r="X28" s="17">
        <f>C6</f>
        <v>22079</v>
      </c>
      <c r="Y28" s="17">
        <f t="shared" ref="Y28:AI32" si="4">D6</f>
        <v>19730</v>
      </c>
      <c r="Z28" s="17">
        <f t="shared" si="4"/>
        <v>19553</v>
      </c>
      <c r="AA28" s="17">
        <f t="shared" si="4"/>
        <v>13586</v>
      </c>
      <c r="AB28" s="17">
        <f t="shared" si="4"/>
        <v>8933</v>
      </c>
      <c r="AC28" s="17">
        <f t="shared" si="4"/>
        <v>8882</v>
      </c>
      <c r="AD28" s="17">
        <f t="shared" si="4"/>
        <v>11409</v>
      </c>
      <c r="AE28" s="17">
        <f t="shared" si="4"/>
        <v>10713</v>
      </c>
      <c r="AF28" s="17">
        <f t="shared" si="4"/>
        <v>9953</v>
      </c>
      <c r="AG28" s="17">
        <f t="shared" si="4"/>
        <v>15812</v>
      </c>
      <c r="AH28" s="17">
        <f t="shared" si="4"/>
        <v>17655</v>
      </c>
      <c r="AI28" s="17">
        <f t="shared" si="4"/>
        <v>21560</v>
      </c>
    </row>
    <row r="29" spans="1:91">
      <c r="A29" s="11"/>
      <c r="B29" s="12"/>
      <c r="W29" s="16" t="s">
        <v>42</v>
      </c>
      <c r="X29" s="17">
        <f t="shared" ref="X29:X31" si="5">C7</f>
        <v>14867</v>
      </c>
      <c r="Y29" s="17">
        <f t="shared" si="4"/>
        <v>19804</v>
      </c>
      <c r="Z29" s="17">
        <f t="shared" si="4"/>
        <v>15837</v>
      </c>
      <c r="AA29" s="17">
        <f t="shared" si="4"/>
        <v>16391</v>
      </c>
      <c r="AB29" s="17">
        <f t="shared" si="4"/>
        <v>9948</v>
      </c>
      <c r="AC29" s="17">
        <f t="shared" si="4"/>
        <v>8871</v>
      </c>
      <c r="AD29" s="17">
        <f t="shared" si="4"/>
        <v>12079</v>
      </c>
      <c r="AE29" s="17">
        <f t="shared" si="4"/>
        <v>11203</v>
      </c>
      <c r="AF29" s="17">
        <f t="shared" si="4"/>
        <v>9506</v>
      </c>
      <c r="AG29" s="17">
        <f t="shared" si="4"/>
        <v>14982</v>
      </c>
      <c r="AH29" s="17">
        <f t="shared" si="4"/>
        <v>14868</v>
      </c>
      <c r="AI29" s="17">
        <f t="shared" si="4"/>
        <v>17190</v>
      </c>
    </row>
    <row r="30" spans="1:91">
      <c r="A30" s="11"/>
      <c r="B30" s="12"/>
      <c r="W30" s="16" t="s">
        <v>44</v>
      </c>
      <c r="X30" s="17">
        <f t="shared" si="5"/>
        <v>20372</v>
      </c>
      <c r="Y30" s="17">
        <f t="shared" si="4"/>
        <v>21644</v>
      </c>
      <c r="Z30" s="17">
        <f t="shared" si="4"/>
        <v>22136</v>
      </c>
      <c r="AA30" s="17">
        <f t="shared" si="4"/>
        <v>20877</v>
      </c>
      <c r="AB30" s="17">
        <f t="shared" si="4"/>
        <v>6396</v>
      </c>
      <c r="AC30" s="17">
        <f t="shared" si="4"/>
        <v>8071</v>
      </c>
      <c r="AD30" s="17">
        <f t="shared" si="4"/>
        <v>11816</v>
      </c>
      <c r="AE30" s="17">
        <f t="shared" si="4"/>
        <v>20516</v>
      </c>
      <c r="AF30" s="17">
        <f t="shared" si="4"/>
        <v>11435</v>
      </c>
      <c r="AG30" s="17">
        <f t="shared" si="4"/>
        <v>12712</v>
      </c>
      <c r="AH30" s="17">
        <f t="shared" si="4"/>
        <v>16310</v>
      </c>
      <c r="AI30" s="17">
        <f t="shared" si="4"/>
        <v>27268</v>
      </c>
    </row>
    <row r="31" spans="1:91">
      <c r="A31" s="11"/>
      <c r="B31" s="11"/>
      <c r="C31" s="11"/>
      <c r="W31" s="16" t="s">
        <v>46</v>
      </c>
      <c r="X31" s="17">
        <f t="shared" si="5"/>
        <v>24323</v>
      </c>
      <c r="Y31" s="17">
        <f t="shared" si="4"/>
        <v>30889</v>
      </c>
      <c r="Z31" s="17">
        <f t="shared" si="4"/>
        <v>33506</v>
      </c>
      <c r="AA31" s="17">
        <f t="shared" si="4"/>
        <v>35207</v>
      </c>
      <c r="AB31" s="17">
        <f t="shared" si="4"/>
        <v>12423</v>
      </c>
      <c r="AC31" s="17">
        <f t="shared" si="4"/>
        <v>10540</v>
      </c>
      <c r="AD31" s="17">
        <f t="shared" si="4"/>
        <v>16273</v>
      </c>
      <c r="AE31" s="17">
        <f t="shared" si="4"/>
        <v>14641</v>
      </c>
      <c r="AF31" s="17">
        <f t="shared" si="4"/>
        <v>15168</v>
      </c>
      <c r="AG31" s="17">
        <f t="shared" si="4"/>
        <v>24577</v>
      </c>
      <c r="AH31" s="17">
        <f t="shared" si="4"/>
        <v>24044</v>
      </c>
      <c r="AI31" s="17">
        <f t="shared" si="4"/>
        <v>26111</v>
      </c>
    </row>
    <row r="32" spans="1:91" ht="25.5">
      <c r="A32" s="11"/>
      <c r="B32" s="11"/>
      <c r="C32" s="11"/>
      <c r="W32" s="21" t="s">
        <v>48</v>
      </c>
      <c r="X32" s="17">
        <f>C10</f>
        <v>1887</v>
      </c>
      <c r="Y32" s="17">
        <f t="shared" si="4"/>
        <v>1550</v>
      </c>
      <c r="Z32" s="17">
        <f t="shared" si="4"/>
        <v>1442</v>
      </c>
      <c r="AA32" s="17">
        <f t="shared" si="4"/>
        <v>1970</v>
      </c>
      <c r="AB32" s="17">
        <f t="shared" si="4"/>
        <v>819</v>
      </c>
      <c r="AC32" s="17">
        <f t="shared" si="4"/>
        <v>1314</v>
      </c>
      <c r="AD32" s="17">
        <f t="shared" si="4"/>
        <v>1741</v>
      </c>
      <c r="AE32" s="17">
        <f t="shared" si="4"/>
        <v>2135</v>
      </c>
      <c r="AF32" s="17">
        <f t="shared" si="4"/>
        <v>2222</v>
      </c>
      <c r="AG32" s="17">
        <f t="shared" si="4"/>
        <v>2805</v>
      </c>
      <c r="AH32" s="17">
        <f t="shared" si="4"/>
        <v>1671</v>
      </c>
      <c r="AI32" s="17">
        <f t="shared" si="4"/>
        <v>1717</v>
      </c>
    </row>
    <row r="33" spans="1:91">
      <c r="A33" s="11"/>
      <c r="B33" s="11"/>
      <c r="C33" s="11"/>
    </row>
    <row r="34" spans="1:91">
      <c r="A34" s="11"/>
      <c r="B34" s="11"/>
      <c r="C34" s="11"/>
    </row>
    <row r="35" spans="1:91">
      <c r="A35" s="11"/>
      <c r="B35" s="11"/>
      <c r="C35" s="11"/>
    </row>
    <row r="36" spans="1:91">
      <c r="W36" s="11"/>
      <c r="X36" s="45" t="s">
        <v>14</v>
      </c>
      <c r="Y36" s="45" t="s">
        <v>15</v>
      </c>
      <c r="Z36" s="45" t="s">
        <v>16</v>
      </c>
      <c r="AA36" s="45" t="s">
        <v>17</v>
      </c>
      <c r="AB36" s="45" t="s">
        <v>12</v>
      </c>
      <c r="AC36" s="45" t="s">
        <v>18</v>
      </c>
      <c r="AD36" s="45" t="s">
        <v>19</v>
      </c>
      <c r="AE36" s="45" t="s">
        <v>20</v>
      </c>
      <c r="AF36" s="45" t="s">
        <v>21</v>
      </c>
      <c r="AG36" s="45" t="s">
        <v>22</v>
      </c>
      <c r="AH36" s="45" t="s">
        <v>23</v>
      </c>
      <c r="AI36" s="45" t="s">
        <v>24</v>
      </c>
    </row>
    <row r="37" spans="1:91">
      <c r="W37" s="16" t="s">
        <v>50</v>
      </c>
      <c r="X37" s="17">
        <f>C12</f>
        <v>33201</v>
      </c>
      <c r="Y37" s="17">
        <f t="shared" ref="Y37:AI39" si="6">D12</f>
        <v>39347</v>
      </c>
      <c r="Z37" s="17">
        <f t="shared" si="6"/>
        <v>27554</v>
      </c>
      <c r="AA37" s="17">
        <f t="shared" si="6"/>
        <v>29402</v>
      </c>
      <c r="AB37" s="17">
        <f t="shared" si="6"/>
        <v>27118</v>
      </c>
      <c r="AC37" s="17">
        <f t="shared" si="6"/>
        <v>31442</v>
      </c>
      <c r="AD37" s="17">
        <f t="shared" si="6"/>
        <v>39328</v>
      </c>
      <c r="AE37" s="17">
        <f t="shared" si="6"/>
        <v>40718</v>
      </c>
      <c r="AF37" s="17">
        <f t="shared" si="6"/>
        <v>32449</v>
      </c>
      <c r="AG37" s="17">
        <f t="shared" si="6"/>
        <v>31557</v>
      </c>
      <c r="AH37" s="17">
        <f t="shared" si="6"/>
        <v>23457</v>
      </c>
      <c r="AI37" s="17">
        <f t="shared" si="6"/>
        <v>25050</v>
      </c>
    </row>
    <row r="38" spans="1:91">
      <c r="W38" s="16" t="s">
        <v>52</v>
      </c>
      <c r="X38" s="17">
        <f t="shared" ref="X38:X39" si="7">C13</f>
        <v>4771</v>
      </c>
      <c r="Y38" s="17">
        <f t="shared" si="6"/>
        <v>5305</v>
      </c>
      <c r="Z38" s="17">
        <f t="shared" si="6"/>
        <v>7852</v>
      </c>
      <c r="AA38" s="17">
        <f t="shared" si="6"/>
        <v>9745</v>
      </c>
      <c r="AB38" s="17">
        <f t="shared" si="6"/>
        <v>8457</v>
      </c>
      <c r="AC38" s="17">
        <f t="shared" si="6"/>
        <v>8708</v>
      </c>
      <c r="AD38" s="17">
        <f t="shared" si="6"/>
        <v>7433</v>
      </c>
      <c r="AE38" s="17">
        <f t="shared" si="6"/>
        <v>6736</v>
      </c>
      <c r="AF38" s="17">
        <f t="shared" si="6"/>
        <v>6913</v>
      </c>
      <c r="AG38" s="17">
        <f t="shared" si="6"/>
        <v>7171</v>
      </c>
      <c r="AH38" s="17">
        <f t="shared" si="6"/>
        <v>6411</v>
      </c>
      <c r="AI38" s="17">
        <f t="shared" si="6"/>
        <v>8134</v>
      </c>
    </row>
    <row r="39" spans="1:91">
      <c r="W39" s="16" t="s">
        <v>54</v>
      </c>
      <c r="X39" s="17">
        <f t="shared" si="7"/>
        <v>13641</v>
      </c>
      <c r="Y39" s="17">
        <f t="shared" si="6"/>
        <v>14395</v>
      </c>
      <c r="Z39" s="17">
        <f t="shared" si="6"/>
        <v>14085</v>
      </c>
      <c r="AA39" s="17">
        <f t="shared" si="6"/>
        <v>15253</v>
      </c>
      <c r="AB39" s="17">
        <f t="shared" si="6"/>
        <v>18498</v>
      </c>
      <c r="AC39" s="17">
        <f t="shared" si="6"/>
        <v>17960</v>
      </c>
      <c r="AD39" s="17">
        <f t="shared" si="6"/>
        <v>13451</v>
      </c>
      <c r="AE39" s="17">
        <f t="shared" si="6"/>
        <v>14337</v>
      </c>
      <c r="AF39" s="17">
        <f t="shared" si="6"/>
        <v>13664</v>
      </c>
      <c r="AG39" s="17">
        <f t="shared" si="6"/>
        <v>17111</v>
      </c>
      <c r="AH39" s="17">
        <f t="shared" si="6"/>
        <v>16375</v>
      </c>
      <c r="AI39" s="17">
        <f t="shared" si="6"/>
        <v>23971</v>
      </c>
    </row>
    <row r="41" spans="1:91" s="46" customFormat="1">
      <c r="O41" s="47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45"/>
      <c r="BI41" s="45"/>
      <c r="BJ41" s="45"/>
      <c r="BK41" s="45"/>
      <c r="BL41" s="45"/>
      <c r="BM41" s="45"/>
      <c r="BN41" s="45"/>
      <c r="BO41" s="45"/>
      <c r="BP41" s="45"/>
      <c r="BQ41" s="45"/>
      <c r="BR41" s="45"/>
      <c r="BS41" s="45"/>
      <c r="BT41" s="45"/>
      <c r="BU41" s="45"/>
      <c r="BV41" s="45"/>
      <c r="BW41" s="45"/>
      <c r="BX41" s="45"/>
      <c r="BY41" s="45"/>
      <c r="BZ41" s="45"/>
      <c r="CA41" s="45"/>
      <c r="CB41" s="45"/>
      <c r="CC41" s="45"/>
      <c r="CD41" s="45"/>
      <c r="CE41" s="45"/>
      <c r="CF41" s="45"/>
      <c r="CG41" s="45"/>
      <c r="CH41" s="45"/>
      <c r="CI41" s="45"/>
      <c r="CJ41" s="45"/>
      <c r="CK41" s="45"/>
      <c r="CL41" s="45"/>
      <c r="CM41" s="45"/>
    </row>
    <row r="42" spans="1:91" s="45" customFormat="1"/>
    <row r="43" spans="1:91" s="45" customFormat="1"/>
    <row r="44" spans="1:91" s="45" customFormat="1"/>
    <row r="45" spans="1:91" s="45" customFormat="1"/>
    <row r="46" spans="1:91" s="45" customFormat="1"/>
    <row r="47" spans="1:91" s="45" customFormat="1"/>
    <row r="48" spans="1:91" s="45" customFormat="1"/>
    <row r="49" s="45" customFormat="1"/>
    <row r="50" s="45" customFormat="1"/>
    <row r="51" s="45" customFormat="1"/>
    <row r="52" s="45" customFormat="1"/>
    <row r="53" s="45" customFormat="1"/>
    <row r="54" s="45" customFormat="1"/>
    <row r="55" s="45" customFormat="1"/>
    <row r="56" s="45" customFormat="1"/>
    <row r="57" s="45" customFormat="1"/>
    <row r="58" s="45" customFormat="1"/>
    <row r="59" s="45" customFormat="1"/>
    <row r="60" s="45" customFormat="1"/>
    <row r="61" s="45" customFormat="1"/>
    <row r="62" s="45" customFormat="1"/>
    <row r="63" s="45" customFormat="1"/>
    <row r="64" s="45" customFormat="1"/>
    <row r="65" s="45" customFormat="1"/>
    <row r="66" s="45" customFormat="1"/>
    <row r="67" s="45" customFormat="1"/>
    <row r="68" s="45" customFormat="1"/>
    <row r="69" s="45" customFormat="1"/>
    <row r="70" s="45" customFormat="1"/>
    <row r="71" s="45" customFormat="1"/>
    <row r="72" s="45" customFormat="1"/>
    <row r="73" s="45" customFormat="1"/>
    <row r="74" s="45" customFormat="1"/>
    <row r="75" s="45" customFormat="1"/>
    <row r="76" s="45" customFormat="1"/>
    <row r="77" s="45" customFormat="1"/>
    <row r="78" s="45" customFormat="1"/>
    <row r="79" s="45" customFormat="1"/>
    <row r="80" s="45" customFormat="1"/>
    <row r="81" s="45" customFormat="1"/>
    <row r="82" s="45" customFormat="1"/>
    <row r="83" s="45" customFormat="1"/>
    <row r="84" s="45" customFormat="1"/>
    <row r="85" s="45" customFormat="1"/>
    <row r="86" s="45" customFormat="1"/>
    <row r="87" s="45" customFormat="1"/>
    <row r="88" s="45" customFormat="1"/>
    <row r="89" s="45" customFormat="1"/>
    <row r="90" s="45" customFormat="1"/>
    <row r="91" s="45" customFormat="1"/>
    <row r="92" s="45" customFormat="1"/>
    <row r="93" s="45" customFormat="1"/>
    <row r="94" s="45" customFormat="1"/>
    <row r="95" s="45" customFormat="1"/>
    <row r="96" s="45" customFormat="1"/>
    <row r="97" s="45" customFormat="1"/>
    <row r="98" s="45" customFormat="1"/>
    <row r="99" s="45" customFormat="1"/>
    <row r="100" s="45" customFormat="1"/>
    <row r="101" s="45" customFormat="1"/>
    <row r="102" s="45" customFormat="1"/>
    <row r="103" s="45" customFormat="1"/>
    <row r="104" s="45" customFormat="1"/>
    <row r="105" s="45" customFormat="1"/>
    <row r="106" s="45" customFormat="1"/>
    <row r="107" s="45" customFormat="1"/>
    <row r="108" s="45" customFormat="1"/>
    <row r="109" s="45" customFormat="1"/>
    <row r="110" s="45" customFormat="1"/>
    <row r="111" s="45" customFormat="1"/>
    <row r="112" s="45" customFormat="1"/>
    <row r="113" s="45" customFormat="1"/>
    <row r="114" s="45" customFormat="1"/>
    <row r="115" s="45" customFormat="1"/>
    <row r="116" s="45" customFormat="1"/>
    <row r="117" s="45" customFormat="1"/>
    <row r="118" s="45" customFormat="1"/>
    <row r="119" s="45" customFormat="1"/>
    <row r="120" s="45" customFormat="1"/>
    <row r="121" s="45" customFormat="1"/>
    <row r="122" s="45" customFormat="1"/>
    <row r="123" s="45" customFormat="1"/>
    <row r="124" s="45" customFormat="1"/>
    <row r="125" s="45" customFormat="1"/>
    <row r="126" s="45" customFormat="1"/>
    <row r="127" s="45" customFormat="1"/>
    <row r="128" s="45" customFormat="1"/>
    <row r="129" s="45" customFormat="1"/>
    <row r="130" s="45" customFormat="1"/>
    <row r="131" s="45" customFormat="1"/>
    <row r="132" s="45" customFormat="1"/>
    <row r="133" s="45" customFormat="1"/>
    <row r="134" s="45" customFormat="1"/>
    <row r="135" s="45" customFormat="1"/>
    <row r="136" s="45" customFormat="1"/>
    <row r="137" s="45" customFormat="1"/>
    <row r="138" s="45" customFormat="1"/>
    <row r="139" s="45" customFormat="1"/>
    <row r="140" s="45" customFormat="1"/>
    <row r="141" s="45" customFormat="1"/>
    <row r="142" s="45" customFormat="1"/>
    <row r="143" s="45" customFormat="1"/>
    <row r="144" s="45" customFormat="1"/>
    <row r="145" s="45" customFormat="1"/>
    <row r="146" s="45" customFormat="1"/>
    <row r="147" s="45" customFormat="1"/>
    <row r="148" s="45" customFormat="1"/>
    <row r="149" s="45" customFormat="1"/>
    <row r="150" s="45" customFormat="1"/>
    <row r="151" s="45" customFormat="1"/>
    <row r="152" s="45" customFormat="1"/>
    <row r="153" s="45" customFormat="1"/>
    <row r="154" s="45" customFormat="1"/>
    <row r="155" s="45" customFormat="1"/>
    <row r="156" s="45" customFormat="1"/>
    <row r="157" s="45" customFormat="1"/>
    <row r="158" s="45" customFormat="1"/>
    <row r="159" s="45" customFormat="1"/>
    <row r="160" s="45" customFormat="1"/>
    <row r="161" s="45" customFormat="1"/>
    <row r="162" s="45" customFormat="1"/>
    <row r="163" s="45" customFormat="1"/>
    <row r="164" s="45" customFormat="1"/>
    <row r="165" s="45" customFormat="1"/>
    <row r="166" s="45" customFormat="1"/>
    <row r="167" s="45" customFormat="1"/>
    <row r="168" s="45" customFormat="1"/>
    <row r="169" s="45" customFormat="1"/>
    <row r="170" s="45" customFormat="1"/>
    <row r="171" s="45" customFormat="1"/>
    <row r="172" s="45" customFormat="1"/>
    <row r="173" s="45" customFormat="1"/>
    <row r="174" s="45" customFormat="1"/>
    <row r="175" s="45" customFormat="1"/>
    <row r="176" s="45" customFormat="1"/>
    <row r="177" s="45" customFormat="1"/>
    <row r="178" s="45" customFormat="1"/>
    <row r="179" s="45" customFormat="1"/>
    <row r="180" s="45" customFormat="1"/>
    <row r="181" s="45" customFormat="1"/>
    <row r="182" s="45" customFormat="1"/>
    <row r="183" s="45" customFormat="1"/>
    <row r="184" s="45" customFormat="1"/>
    <row r="185" s="45" customFormat="1"/>
    <row r="186" s="45" customFormat="1"/>
    <row r="187" s="45" customFormat="1"/>
    <row r="188" s="45" customFormat="1"/>
    <row r="189" s="45" customFormat="1"/>
    <row r="190" s="45" customFormat="1"/>
    <row r="191" s="45" customFormat="1"/>
    <row r="192" s="45" customFormat="1"/>
    <row r="193" s="45" customFormat="1"/>
    <row r="194" s="45" customFormat="1"/>
    <row r="195" s="45" customFormat="1"/>
    <row r="196" s="45" customFormat="1"/>
    <row r="197" s="45" customFormat="1"/>
    <row r="198" s="45" customFormat="1"/>
    <row r="199" s="45" customFormat="1"/>
    <row r="200" s="45" customFormat="1"/>
    <row r="201" s="45" customFormat="1"/>
    <row r="202" s="45" customFormat="1"/>
    <row r="203" s="45" customFormat="1"/>
    <row r="204" s="45" customFormat="1"/>
    <row r="205" s="45" customFormat="1"/>
    <row r="206" s="45" customFormat="1"/>
    <row r="207" s="45" customFormat="1"/>
    <row r="208" s="45" customFormat="1"/>
    <row r="209" s="45" customFormat="1"/>
    <row r="210" s="45" customFormat="1"/>
    <row r="211" s="45" customFormat="1"/>
    <row r="212" s="45" customFormat="1"/>
    <row r="213" s="45" customFormat="1"/>
    <row r="214" s="45" customFormat="1"/>
    <row r="215" s="45" customFormat="1"/>
    <row r="216" s="45" customFormat="1"/>
    <row r="217" s="45" customFormat="1"/>
    <row r="218" s="45" customFormat="1"/>
    <row r="219" s="45" customFormat="1"/>
    <row r="220" s="45" customFormat="1"/>
    <row r="221" s="45" customFormat="1"/>
    <row r="222" s="45" customFormat="1"/>
    <row r="223" s="45" customFormat="1"/>
    <row r="224" s="45" customFormat="1"/>
    <row r="225" s="45" customFormat="1"/>
    <row r="226" s="45" customFormat="1"/>
    <row r="227" s="45" customFormat="1"/>
    <row r="228" s="45" customFormat="1"/>
    <row r="229" s="45" customFormat="1"/>
    <row r="230" s="45" customFormat="1"/>
    <row r="231" s="45" customFormat="1"/>
    <row r="232" s="45" customFormat="1"/>
    <row r="233" s="45" customFormat="1"/>
    <row r="234" s="45" customFormat="1"/>
    <row r="235" s="45" customFormat="1"/>
    <row r="236" s="45" customFormat="1"/>
    <row r="237" s="45" customFormat="1"/>
    <row r="238" s="45" customFormat="1"/>
    <row r="239" s="45" customFormat="1"/>
    <row r="240" s="45" customFormat="1"/>
    <row r="241" s="45" customFormat="1"/>
    <row r="242" s="45" customFormat="1"/>
    <row r="243" s="45" customFormat="1"/>
    <row r="244" s="45" customFormat="1"/>
    <row r="245" s="45" customFormat="1"/>
    <row r="246" s="45" customFormat="1"/>
    <row r="247" s="45" customFormat="1"/>
    <row r="248" s="45" customFormat="1"/>
    <row r="249" s="45" customFormat="1"/>
    <row r="250" s="45" customFormat="1"/>
    <row r="251" s="45" customFormat="1"/>
    <row r="252" s="45" customFormat="1"/>
    <row r="253" s="45" customFormat="1"/>
    <row r="254" s="45" customFormat="1"/>
    <row r="255" s="45" customFormat="1"/>
    <row r="256" s="45" customFormat="1"/>
    <row r="257" s="45" customFormat="1"/>
    <row r="258" s="45" customFormat="1"/>
    <row r="259" s="45" customFormat="1"/>
    <row r="260" s="45" customFormat="1"/>
    <row r="261" s="45" customFormat="1"/>
    <row r="262" s="45" customFormat="1"/>
    <row r="263" s="45" customFormat="1"/>
    <row r="264" s="45" customFormat="1"/>
    <row r="265" s="45" customFormat="1"/>
    <row r="266" s="45" customFormat="1"/>
    <row r="267" s="45" customFormat="1"/>
    <row r="268" s="45" customFormat="1"/>
    <row r="269" s="45" customFormat="1"/>
    <row r="270" s="45" customFormat="1"/>
    <row r="271" s="45" customFormat="1"/>
    <row r="272" s="45" customFormat="1"/>
    <row r="273" s="45" customFormat="1"/>
    <row r="274" s="45" customFormat="1"/>
    <row r="275" s="45" customFormat="1"/>
    <row r="276" s="45" customFormat="1"/>
    <row r="277" s="45" customFormat="1"/>
    <row r="278" s="45" customFormat="1"/>
    <row r="279" s="45" customFormat="1"/>
    <row r="280" s="45" customFormat="1"/>
    <row r="281" s="45" customFormat="1"/>
    <row r="282" s="45" customFormat="1"/>
    <row r="283" s="45" customFormat="1"/>
    <row r="284" s="45" customFormat="1"/>
    <row r="285" s="45" customFormat="1"/>
    <row r="286" s="45" customFormat="1"/>
    <row r="287" s="45" customFormat="1"/>
    <row r="288" s="45" customFormat="1"/>
    <row r="289" s="45" customFormat="1"/>
    <row r="290" s="45" customFormat="1"/>
    <row r="291" s="45" customFormat="1"/>
    <row r="292" s="45" customFormat="1"/>
    <row r="293" s="45" customFormat="1"/>
    <row r="294" s="45" customFormat="1"/>
    <row r="295" s="45" customFormat="1"/>
    <row r="296" s="45" customFormat="1"/>
    <row r="297" s="45" customFormat="1"/>
    <row r="298" s="45" customFormat="1"/>
    <row r="299" s="45" customFormat="1"/>
    <row r="300" s="45" customFormat="1"/>
    <row r="301" s="45" customFormat="1"/>
    <row r="302" s="45" customFormat="1"/>
    <row r="303" s="45" customFormat="1"/>
    <row r="304" s="45" customFormat="1"/>
    <row r="305" s="45" customFormat="1"/>
    <row r="306" s="45" customFormat="1"/>
    <row r="307" s="45" customFormat="1"/>
    <row r="308" s="45" customFormat="1"/>
    <row r="309" s="45" customFormat="1"/>
    <row r="310" s="45" customFormat="1"/>
    <row r="311" s="45" customFormat="1"/>
    <row r="312" s="45" customFormat="1"/>
    <row r="313" s="45" customFormat="1"/>
    <row r="314" s="45" customFormat="1"/>
    <row r="315" s="45" customFormat="1"/>
    <row r="316" s="45" customFormat="1"/>
    <row r="317" s="45" customFormat="1"/>
    <row r="318" s="45" customFormat="1"/>
    <row r="319" s="45" customFormat="1"/>
    <row r="320" s="45" customFormat="1"/>
    <row r="321" s="45" customFormat="1"/>
    <row r="322" s="45" customFormat="1"/>
    <row r="323" s="45" customFormat="1"/>
    <row r="324" s="45" customFormat="1"/>
    <row r="325" s="45" customFormat="1"/>
    <row r="326" s="45" customFormat="1"/>
    <row r="327" s="45" customFormat="1"/>
    <row r="328" s="45" customFormat="1"/>
    <row r="329" s="45" customFormat="1"/>
    <row r="330" s="45" customFormat="1"/>
    <row r="331" s="45" customFormat="1"/>
    <row r="332" s="45" customFormat="1"/>
    <row r="333" s="45" customFormat="1"/>
    <row r="334" s="45" customFormat="1"/>
    <row r="335" s="45" customFormat="1"/>
    <row r="336" s="45" customFormat="1"/>
    <row r="337" s="45" customFormat="1"/>
    <row r="338" s="45" customFormat="1"/>
    <row r="339" s="45" customFormat="1"/>
    <row r="340" s="45" customFormat="1"/>
    <row r="341" s="45" customFormat="1"/>
    <row r="342" s="45" customFormat="1"/>
    <row r="343" s="45" customFormat="1"/>
    <row r="344" s="45" customFormat="1"/>
    <row r="345" s="45" customFormat="1"/>
    <row r="346" s="45" customFormat="1"/>
    <row r="347" s="45" customFormat="1"/>
    <row r="348" s="45" customFormat="1"/>
    <row r="349" s="45" customFormat="1"/>
    <row r="350" s="45" customFormat="1"/>
    <row r="351" s="45" customFormat="1"/>
    <row r="352" s="45" customFormat="1"/>
    <row r="353" s="45" customFormat="1"/>
    <row r="354" s="45" customFormat="1"/>
    <row r="355" s="45" customFormat="1"/>
    <row r="356" s="45" customFormat="1"/>
    <row r="357" s="45" customFormat="1"/>
    <row r="358" s="45" customFormat="1"/>
    <row r="359" s="45" customFormat="1"/>
    <row r="360" s="45" customFormat="1"/>
    <row r="361" s="45" customFormat="1"/>
    <row r="362" s="45" customFormat="1"/>
    <row r="363" s="45" customFormat="1"/>
    <row r="364" s="45" customFormat="1"/>
    <row r="365" s="45" customFormat="1"/>
    <row r="366" s="45" customFormat="1"/>
    <row r="367" s="45" customFormat="1"/>
    <row r="368" s="45" customFormat="1"/>
    <row r="369" s="45" customFormat="1"/>
    <row r="370" s="45" customFormat="1"/>
    <row r="371" s="45" customFormat="1"/>
    <row r="372" s="45" customFormat="1"/>
    <row r="373" s="45" customFormat="1"/>
    <row r="374" s="45" customFormat="1"/>
    <row r="375" s="45" customFormat="1"/>
    <row r="376" s="45" customFormat="1"/>
    <row r="377" s="45" customFormat="1"/>
    <row r="378" s="45" customFormat="1"/>
    <row r="379" s="45" customFormat="1"/>
    <row r="380" s="45" customFormat="1"/>
    <row r="381" s="45" customFormat="1"/>
    <row r="382" s="45" customFormat="1"/>
    <row r="383" s="45" customFormat="1"/>
    <row r="384" s="45" customFormat="1"/>
    <row r="385" s="45" customFormat="1"/>
    <row r="386" s="45" customFormat="1"/>
    <row r="387" s="45" customFormat="1"/>
    <row r="388" s="45" customFormat="1"/>
    <row r="389" s="45" customFormat="1"/>
    <row r="390" s="45" customFormat="1"/>
    <row r="391" s="45" customFormat="1"/>
    <row r="392" s="45" customFormat="1"/>
    <row r="393" s="45" customFormat="1"/>
    <row r="394" s="45" customFormat="1"/>
    <row r="395" s="45" customFormat="1"/>
    <row r="396" s="45" customFormat="1"/>
    <row r="397" s="45" customFormat="1"/>
    <row r="398" s="45" customFormat="1"/>
    <row r="399" s="45" customFormat="1"/>
    <row r="400" s="45" customFormat="1"/>
    <row r="401" s="45" customFormat="1"/>
    <row r="402" s="45" customFormat="1"/>
    <row r="403" s="45" customFormat="1"/>
    <row r="404" s="45" customFormat="1"/>
    <row r="405" s="45" customFormat="1"/>
    <row r="406" s="45" customFormat="1"/>
    <row r="407" s="45" customFormat="1"/>
    <row r="408" s="45" customFormat="1"/>
    <row r="409" s="45" customFormat="1"/>
    <row r="410" s="45" customFormat="1"/>
    <row r="411" s="45" customFormat="1"/>
    <row r="412" s="45" customFormat="1"/>
    <row r="413" s="45" customFormat="1"/>
    <row r="414" s="45" customFormat="1"/>
    <row r="415" s="45" customFormat="1"/>
    <row r="416" s="45" customFormat="1"/>
    <row r="417" s="45" customFormat="1"/>
    <row r="418" s="45" customFormat="1"/>
    <row r="419" s="45" customFormat="1"/>
    <row r="420" s="45" customFormat="1"/>
    <row r="421" s="45" customFormat="1"/>
    <row r="422" s="45" customFormat="1"/>
    <row r="423" s="45" customFormat="1"/>
    <row r="424" s="45" customFormat="1"/>
    <row r="425" s="45" customFormat="1"/>
    <row r="426" s="45" customFormat="1"/>
    <row r="427" s="45" customFormat="1"/>
    <row r="428" s="45" customFormat="1"/>
    <row r="429" s="45" customFormat="1"/>
    <row r="430" s="45" customFormat="1"/>
    <row r="431" s="45" customFormat="1"/>
    <row r="432" s="45" customFormat="1"/>
    <row r="433" s="45" customFormat="1"/>
    <row r="434" s="45" customFormat="1"/>
    <row r="435" s="45" customFormat="1"/>
    <row r="436" s="45" customFormat="1"/>
    <row r="437" s="45" customFormat="1"/>
    <row r="438" s="45" customFormat="1"/>
    <row r="439" s="45" customFormat="1"/>
    <row r="440" s="45" customFormat="1"/>
    <row r="441" s="45" customFormat="1"/>
    <row r="442" s="45" customFormat="1"/>
    <row r="443" s="45" customFormat="1"/>
    <row r="444" s="45" customFormat="1"/>
    <row r="445" s="45" customFormat="1"/>
    <row r="446" s="45" customFormat="1"/>
    <row r="447" s="45" customFormat="1"/>
    <row r="448" s="45" customFormat="1"/>
    <row r="449" s="45" customFormat="1"/>
    <row r="450" s="45" customFormat="1"/>
    <row r="451" s="45" customFormat="1"/>
    <row r="452" s="45" customFormat="1"/>
    <row r="453" s="45" customFormat="1"/>
    <row r="454" s="45" customFormat="1"/>
    <row r="455" s="45" customFormat="1"/>
    <row r="456" s="45" customFormat="1"/>
    <row r="457" s="45" customFormat="1"/>
    <row r="458" s="45" customFormat="1"/>
    <row r="459" s="45" customFormat="1"/>
    <row r="460" s="45" customFormat="1"/>
    <row r="461" s="45" customFormat="1"/>
    <row r="462" s="45" customFormat="1"/>
    <row r="463" s="45" customFormat="1"/>
    <row r="464" s="45" customFormat="1"/>
    <row r="465" s="45" customFormat="1"/>
    <row r="466" s="45" customFormat="1"/>
    <row r="467" s="45" customFormat="1"/>
    <row r="468" s="45" customFormat="1"/>
    <row r="469" s="45" customFormat="1"/>
    <row r="470" s="45" customFormat="1"/>
    <row r="471" s="45" customFormat="1"/>
    <row r="472" s="45" customFormat="1"/>
    <row r="473" s="45" customFormat="1"/>
    <row r="474" s="45" customFormat="1"/>
    <row r="475" s="45" customFormat="1"/>
    <row r="476" s="45" customFormat="1"/>
    <row r="477" s="45" customFormat="1"/>
    <row r="478" s="45" customFormat="1"/>
    <row r="479" s="45" customFormat="1"/>
    <row r="480" s="45" customFormat="1"/>
    <row r="481" s="45" customFormat="1"/>
    <row r="482" s="45" customFormat="1"/>
    <row r="483" s="45" customFormat="1"/>
    <row r="484" s="45" customFormat="1"/>
    <row r="485" s="45" customFormat="1"/>
    <row r="486" s="45" customFormat="1"/>
    <row r="487" s="45" customFormat="1"/>
    <row r="488" s="45" customFormat="1"/>
    <row r="489" s="45" customFormat="1"/>
    <row r="490" s="45" customFormat="1"/>
    <row r="491" s="45" customFormat="1"/>
    <row r="492" s="45" customFormat="1"/>
    <row r="493" s="45" customFormat="1"/>
    <row r="494" s="45" customFormat="1"/>
    <row r="495" s="45" customFormat="1"/>
    <row r="496" s="45" customFormat="1"/>
    <row r="497" s="45" customFormat="1"/>
    <row r="498" s="45" customFormat="1"/>
    <row r="499" s="45" customFormat="1"/>
    <row r="500" s="45" customFormat="1"/>
    <row r="501" s="45" customFormat="1"/>
    <row r="502" s="45" customFormat="1"/>
    <row r="503" s="45" customFormat="1"/>
    <row r="504" s="45" customFormat="1"/>
    <row r="505" s="45" customFormat="1"/>
    <row r="506" s="45" customFormat="1"/>
    <row r="507" s="45" customFormat="1"/>
    <row r="508" s="45" customFormat="1"/>
    <row r="509" s="45" customFormat="1"/>
    <row r="510" s="45" customFormat="1"/>
    <row r="511" s="45" customFormat="1"/>
    <row r="512" s="45" customFormat="1"/>
    <row r="513" s="45" customFormat="1"/>
    <row r="514" s="45" customFormat="1"/>
    <row r="515" s="45" customFormat="1"/>
    <row r="516" s="45" customFormat="1"/>
    <row r="517" s="45" customFormat="1"/>
    <row r="518" s="45" customFormat="1"/>
    <row r="519" s="45" customFormat="1"/>
    <row r="520" s="45" customFormat="1"/>
    <row r="521" s="45" customFormat="1"/>
    <row r="522" s="45" customFormat="1"/>
    <row r="523" s="45" customFormat="1"/>
    <row r="524" s="45" customFormat="1"/>
    <row r="525" s="45" customFormat="1"/>
    <row r="526" s="45" customFormat="1"/>
    <row r="527" s="45" customFormat="1"/>
    <row r="528" s="45" customFormat="1"/>
    <row r="529" s="45" customFormat="1"/>
    <row r="530" s="45" customFormat="1"/>
    <row r="531" s="45" customFormat="1"/>
    <row r="532" s="45" customFormat="1"/>
    <row r="533" s="45" customFormat="1"/>
    <row r="534" s="45" customFormat="1"/>
    <row r="535" s="45" customFormat="1"/>
    <row r="536" s="45" customFormat="1"/>
    <row r="537" s="45" customFormat="1"/>
    <row r="538" s="45" customFormat="1"/>
    <row r="539" s="45" customFormat="1"/>
    <row r="540" s="45" customFormat="1"/>
    <row r="541" s="45" customFormat="1"/>
    <row r="542" s="45" customFormat="1"/>
    <row r="543" s="45" customFormat="1"/>
    <row r="544" s="45" customFormat="1"/>
    <row r="545" s="45" customFormat="1"/>
    <row r="546" s="45" customFormat="1"/>
    <row r="547" s="45" customFormat="1"/>
    <row r="548" s="45" customFormat="1"/>
    <row r="549" s="45" customFormat="1"/>
    <row r="550" s="45" customFormat="1"/>
    <row r="551" s="45" customFormat="1"/>
    <row r="552" s="45" customFormat="1"/>
    <row r="553" s="45" customFormat="1"/>
    <row r="554" s="45" customFormat="1"/>
    <row r="555" s="45" customFormat="1"/>
    <row r="556" s="45" customFormat="1"/>
    <row r="557" s="45" customFormat="1"/>
    <row r="558" s="45" customFormat="1"/>
    <row r="559" s="45" customFormat="1"/>
    <row r="560" s="45" customFormat="1"/>
    <row r="561" s="45" customFormat="1"/>
    <row r="562" s="45" customFormat="1"/>
    <row r="563" s="45" customFormat="1"/>
    <row r="564" s="45" customFormat="1"/>
    <row r="565" s="45" customFormat="1"/>
    <row r="566" s="45" customFormat="1"/>
    <row r="567" s="45" customFormat="1"/>
    <row r="568" s="45" customFormat="1"/>
    <row r="569" s="45" customFormat="1"/>
    <row r="570" s="45" customFormat="1"/>
    <row r="571" s="45" customFormat="1"/>
    <row r="572" s="45" customFormat="1"/>
    <row r="573" s="45" customFormat="1"/>
    <row r="574" s="45" customFormat="1"/>
    <row r="575" s="45" customFormat="1"/>
    <row r="576" s="45" customFormat="1"/>
    <row r="577" s="45" customFormat="1"/>
    <row r="578" s="45" customFormat="1"/>
    <row r="579" s="45" customFormat="1"/>
    <row r="580" s="45" customFormat="1"/>
    <row r="581" s="45" customFormat="1"/>
    <row r="582" s="45" customFormat="1"/>
    <row r="583" s="45" customFormat="1"/>
    <row r="584" s="45" customFormat="1"/>
    <row r="585" s="45" customFormat="1"/>
    <row r="586" s="45" customFormat="1"/>
    <row r="587" s="45" customFormat="1"/>
    <row r="588" s="45" customFormat="1"/>
    <row r="589" s="45" customFormat="1"/>
    <row r="590" s="45" customFormat="1"/>
    <row r="591" s="45" customFormat="1"/>
    <row r="592" s="45" customFormat="1"/>
    <row r="593" s="45" customFormat="1"/>
    <row r="594" s="45" customFormat="1"/>
    <row r="595" s="45" customFormat="1"/>
    <row r="596" s="45" customFormat="1"/>
    <row r="597" s="45" customFormat="1"/>
    <row r="598" s="45" customFormat="1"/>
    <row r="599" s="45" customFormat="1"/>
    <row r="600" s="45" customFormat="1"/>
    <row r="601" s="45" customFormat="1"/>
    <row r="602" s="45" customFormat="1"/>
    <row r="603" s="45" customFormat="1"/>
    <row r="604" s="45" customFormat="1"/>
    <row r="605" s="45" customFormat="1"/>
    <row r="606" s="45" customFormat="1"/>
    <row r="607" s="45" customFormat="1"/>
    <row r="608" s="45" customFormat="1"/>
    <row r="609" s="45" customFormat="1"/>
    <row r="610" s="45" customFormat="1"/>
    <row r="611" s="45" customFormat="1"/>
    <row r="612" s="45" customFormat="1"/>
    <row r="613" s="45" customFormat="1"/>
    <row r="614" s="45" customFormat="1"/>
    <row r="615" s="45" customFormat="1"/>
    <row r="616" s="45" customFormat="1"/>
    <row r="617" s="45" customFormat="1"/>
    <row r="618" s="45" customFormat="1"/>
    <row r="619" s="45" customFormat="1"/>
    <row r="620" s="45" customFormat="1"/>
    <row r="621" s="45" customFormat="1"/>
    <row r="622" s="45" customFormat="1"/>
    <row r="623" s="45" customFormat="1"/>
    <row r="624" s="45" customFormat="1"/>
    <row r="625" s="45" customFormat="1"/>
    <row r="626" s="45" customFormat="1"/>
    <row r="627" s="45" customFormat="1"/>
    <row r="628" s="45" customFormat="1"/>
    <row r="629" s="45" customFormat="1"/>
    <row r="630" s="45" customFormat="1"/>
    <row r="631" s="45" customFormat="1"/>
    <row r="632" s="45" customFormat="1"/>
    <row r="633" s="45" customFormat="1"/>
    <row r="634" s="45" customFormat="1"/>
    <row r="635" s="45" customFormat="1"/>
    <row r="636" s="45" customFormat="1"/>
    <row r="637" s="45" customFormat="1"/>
    <row r="638" s="45" customFormat="1"/>
    <row r="639" s="45" customFormat="1"/>
    <row r="640" s="45" customFormat="1"/>
    <row r="641" s="45" customFormat="1"/>
    <row r="642" s="45" customFormat="1"/>
    <row r="643" s="45" customFormat="1"/>
    <row r="644" s="45" customFormat="1"/>
    <row r="645" s="45" customFormat="1"/>
    <row r="646" s="45" customFormat="1"/>
    <row r="647" s="45" customFormat="1"/>
    <row r="648" s="45" customFormat="1"/>
    <row r="649" s="45" customFormat="1"/>
    <row r="650" s="45" customFormat="1"/>
    <row r="651" s="45" customFormat="1"/>
    <row r="652" s="45" customFormat="1"/>
    <row r="653" s="45" customFormat="1"/>
    <row r="654" s="45" customFormat="1"/>
    <row r="655" s="45" customFormat="1"/>
    <row r="656" s="45" customFormat="1"/>
    <row r="657" s="45" customFormat="1"/>
    <row r="658" s="45" customFormat="1"/>
    <row r="659" s="45" customFormat="1"/>
    <row r="660" s="45" customFormat="1"/>
    <row r="661" s="45" customFormat="1"/>
    <row r="662" s="45" customFormat="1"/>
    <row r="663" s="45" customFormat="1"/>
    <row r="664" s="45" customFormat="1"/>
    <row r="665" s="45" customFormat="1"/>
    <row r="666" s="45" customFormat="1"/>
    <row r="667" s="45" customFormat="1"/>
    <row r="668" s="45" customFormat="1"/>
    <row r="669" s="45" customFormat="1"/>
    <row r="670" s="45" customFormat="1"/>
    <row r="671" s="45" customFormat="1"/>
    <row r="672" s="45" customFormat="1"/>
    <row r="673" s="45" customFormat="1"/>
    <row r="674" s="45" customFormat="1"/>
    <row r="675" s="45" customFormat="1"/>
    <row r="676" s="45" customFormat="1"/>
    <row r="677" s="45" customFormat="1"/>
    <row r="678" s="45" customFormat="1"/>
    <row r="679" s="45" customFormat="1"/>
    <row r="680" s="45" customFormat="1"/>
    <row r="681" s="45" customFormat="1"/>
    <row r="682" s="45" customFormat="1"/>
    <row r="683" s="45" customFormat="1"/>
    <row r="684" s="45" customFormat="1"/>
    <row r="685" s="45" customFormat="1"/>
    <row r="686" s="45" customFormat="1"/>
    <row r="687" s="45" customFormat="1"/>
    <row r="688" s="45" customFormat="1"/>
    <row r="689" s="45" customFormat="1"/>
    <row r="690" s="45" customFormat="1"/>
    <row r="691" s="45" customFormat="1"/>
    <row r="692" s="45" customFormat="1"/>
    <row r="693" s="45" customFormat="1"/>
    <row r="694" s="45" customFormat="1"/>
    <row r="695" s="45" customFormat="1"/>
    <row r="696" s="45" customFormat="1"/>
    <row r="697" s="45" customFormat="1"/>
    <row r="698" s="45" customFormat="1"/>
    <row r="699" s="45" customFormat="1"/>
    <row r="700" s="45" customFormat="1"/>
    <row r="701" s="45" customFormat="1"/>
    <row r="702" s="45" customFormat="1"/>
    <row r="703" s="45" customFormat="1"/>
    <row r="704" s="45" customFormat="1"/>
    <row r="705" s="45" customFormat="1"/>
    <row r="706" s="45" customFormat="1"/>
    <row r="707" s="45" customFormat="1"/>
    <row r="708" s="45" customFormat="1"/>
    <row r="709" s="45" customFormat="1"/>
    <row r="710" s="45" customFormat="1"/>
    <row r="711" s="45" customFormat="1"/>
    <row r="712" s="45" customFormat="1"/>
    <row r="713" s="45" customFormat="1"/>
    <row r="714" s="45" customFormat="1"/>
    <row r="715" s="45" customFormat="1"/>
    <row r="716" s="45" customFormat="1"/>
    <row r="717" s="45" customFormat="1"/>
    <row r="718" s="45" customFormat="1"/>
    <row r="719" s="45" customFormat="1"/>
    <row r="720" s="45" customFormat="1"/>
    <row r="721" s="45" customFormat="1"/>
    <row r="722" s="45" customFormat="1"/>
    <row r="723" s="45" customFormat="1"/>
    <row r="724" s="45" customFormat="1"/>
    <row r="725" s="45" customFormat="1"/>
    <row r="726" s="45" customFormat="1"/>
    <row r="727" s="45" customFormat="1"/>
    <row r="728" s="45" customFormat="1"/>
    <row r="729" s="45" customFormat="1"/>
    <row r="730" s="45" customFormat="1"/>
    <row r="731" s="45" customFormat="1"/>
    <row r="732" s="45" customFormat="1"/>
    <row r="733" s="45" customFormat="1"/>
    <row r="734" s="45" customFormat="1"/>
    <row r="735" s="45" customFormat="1"/>
    <row r="736" s="45" customFormat="1"/>
    <row r="737" s="45" customFormat="1"/>
    <row r="738" s="45" customFormat="1"/>
    <row r="739" s="45" customFormat="1"/>
    <row r="740" s="45" customFormat="1"/>
    <row r="741" s="45" customFormat="1"/>
    <row r="742" s="45" customFormat="1"/>
    <row r="743" s="45" customFormat="1"/>
    <row r="744" s="45" customFormat="1"/>
    <row r="745" s="45" customFormat="1"/>
    <row r="746" s="45" customFormat="1"/>
    <row r="747" s="45" customFormat="1"/>
    <row r="748" s="45" customFormat="1"/>
    <row r="749" s="45" customFormat="1"/>
    <row r="750" s="45" customFormat="1"/>
    <row r="751" s="45" customFormat="1"/>
    <row r="752" s="45" customFormat="1"/>
    <row r="753" s="45" customFormat="1"/>
    <row r="754" s="45" customFormat="1"/>
    <row r="755" s="45" customFormat="1"/>
    <row r="756" s="45" customFormat="1"/>
    <row r="757" s="45" customFormat="1"/>
    <row r="758" s="45" customFormat="1"/>
    <row r="759" s="45" customFormat="1"/>
    <row r="760" s="45" customFormat="1"/>
    <row r="761" s="45" customFormat="1"/>
    <row r="762" s="45" customFormat="1"/>
    <row r="763" s="45" customFormat="1"/>
    <row r="764" s="45" customFormat="1"/>
    <row r="765" s="45" customFormat="1"/>
    <row r="766" s="45" customFormat="1"/>
    <row r="767" s="45" customFormat="1"/>
    <row r="768" s="45" customFormat="1"/>
    <row r="769" s="45" customFormat="1"/>
    <row r="770" s="45" customFormat="1"/>
    <row r="771" s="45" customFormat="1"/>
    <row r="772" s="45" customFormat="1"/>
    <row r="773" s="45" customFormat="1"/>
    <row r="774" s="45" customFormat="1"/>
    <row r="775" s="45" customFormat="1"/>
    <row r="776" s="45" customFormat="1"/>
    <row r="777" s="45" customFormat="1"/>
    <row r="778" s="45" customFormat="1"/>
    <row r="779" s="45" customFormat="1"/>
    <row r="780" s="45" customFormat="1"/>
    <row r="781" s="45" customFormat="1"/>
    <row r="782" s="45" customFormat="1"/>
    <row r="783" s="45" customFormat="1"/>
    <row r="784" s="45" customFormat="1"/>
    <row r="785" s="45" customFormat="1"/>
    <row r="786" s="45" customFormat="1"/>
    <row r="787" s="45" customFormat="1"/>
    <row r="788" s="45" customFormat="1"/>
    <row r="789" s="45" customFormat="1"/>
    <row r="790" s="45" customFormat="1"/>
    <row r="791" s="45" customFormat="1"/>
    <row r="792" s="45" customFormat="1"/>
    <row r="793" s="45" customFormat="1"/>
    <row r="794" s="45" customFormat="1"/>
    <row r="795" s="45" customFormat="1"/>
    <row r="796" s="45" customFormat="1"/>
    <row r="797" s="45" customFormat="1"/>
    <row r="798" s="45" customFormat="1"/>
    <row r="799" s="45" customFormat="1"/>
    <row r="800" s="45" customFormat="1"/>
    <row r="801" s="45" customFormat="1"/>
    <row r="802" s="45" customFormat="1"/>
    <row r="803" s="45" customFormat="1"/>
    <row r="804" s="45" customFormat="1"/>
    <row r="805" s="45" customFormat="1"/>
    <row r="806" s="45" customFormat="1"/>
    <row r="807" s="45" customFormat="1"/>
    <row r="808" s="45" customFormat="1"/>
    <row r="809" s="45" customFormat="1"/>
    <row r="810" s="45" customFormat="1"/>
    <row r="811" s="45" customFormat="1"/>
    <row r="812" s="45" customFormat="1"/>
    <row r="813" s="45" customFormat="1"/>
    <row r="814" s="45" customFormat="1"/>
    <row r="815" s="45" customFormat="1"/>
    <row r="816" s="45" customFormat="1"/>
    <row r="817" s="45" customFormat="1"/>
    <row r="818" s="45" customFormat="1"/>
    <row r="819" s="45" customFormat="1"/>
    <row r="820" s="45" customFormat="1"/>
    <row r="821" s="45" customFormat="1"/>
    <row r="822" s="45" customFormat="1"/>
    <row r="823" s="45" customFormat="1"/>
    <row r="824" s="45" customFormat="1"/>
    <row r="825" s="45" customFormat="1"/>
    <row r="826" s="45" customFormat="1"/>
    <row r="827" s="45" customFormat="1"/>
    <row r="828" s="45" customFormat="1"/>
    <row r="829" s="45" customFormat="1"/>
    <row r="830" s="45" customFormat="1"/>
    <row r="831" s="45" customFormat="1"/>
    <row r="832" s="45" customFormat="1"/>
    <row r="833" s="45" customFormat="1"/>
    <row r="834" s="45" customFormat="1"/>
    <row r="835" s="45" customFormat="1"/>
    <row r="836" s="45" customFormat="1"/>
    <row r="837" s="45" customFormat="1"/>
    <row r="838" s="45" customFormat="1"/>
    <row r="839" s="45" customFormat="1"/>
    <row r="840" s="45" customFormat="1"/>
    <row r="841" s="45" customFormat="1"/>
    <row r="842" s="45" customFormat="1"/>
    <row r="843" s="45" customFormat="1"/>
    <row r="844" s="45" customFormat="1"/>
    <row r="845" s="45" customFormat="1"/>
    <row r="846" s="45" customFormat="1"/>
    <row r="847" s="45" customFormat="1"/>
    <row r="848" s="45" customFormat="1"/>
    <row r="849" s="45" customFormat="1"/>
    <row r="850" s="45" customFormat="1"/>
    <row r="851" s="45" customFormat="1"/>
    <row r="852" s="45" customFormat="1"/>
    <row r="853" s="45" customFormat="1"/>
    <row r="854" s="45" customFormat="1"/>
    <row r="855" s="45" customFormat="1"/>
    <row r="856" s="45" customFormat="1"/>
    <row r="857" s="45" customFormat="1"/>
    <row r="858" s="45" customFormat="1"/>
    <row r="859" s="45" customFormat="1"/>
    <row r="860" s="45" customFormat="1"/>
    <row r="861" s="45" customFormat="1"/>
    <row r="862" s="45" customFormat="1"/>
    <row r="863" s="45" customFormat="1"/>
    <row r="864" s="45" customFormat="1"/>
    <row r="865" s="45" customFormat="1"/>
    <row r="866" s="45" customFormat="1"/>
    <row r="867" s="45" customFormat="1"/>
    <row r="868" s="45" customFormat="1"/>
    <row r="869" s="45" customFormat="1"/>
    <row r="870" s="45" customFormat="1"/>
    <row r="871" s="45" customFormat="1"/>
    <row r="872" s="45" customFormat="1"/>
    <row r="873" s="45" customFormat="1"/>
    <row r="874" s="45" customFormat="1"/>
    <row r="875" s="45" customFormat="1"/>
    <row r="876" s="45" customFormat="1"/>
    <row r="877" s="45" customFormat="1"/>
    <row r="878" s="45" customFormat="1"/>
    <row r="879" s="45" customFormat="1"/>
    <row r="880" s="45" customFormat="1"/>
    <row r="881" s="45" customFormat="1"/>
    <row r="882" s="45" customFormat="1"/>
    <row r="883" s="45" customFormat="1"/>
    <row r="884" s="45" customFormat="1"/>
    <row r="885" s="45" customFormat="1"/>
    <row r="886" s="45" customFormat="1"/>
    <row r="887" s="45" customFormat="1"/>
    <row r="888" s="45" customFormat="1"/>
    <row r="889" s="45" customFormat="1"/>
    <row r="890" s="45" customFormat="1"/>
    <row r="891" s="45" customFormat="1"/>
    <row r="892" s="45" customFormat="1"/>
    <row r="893" s="45" customFormat="1"/>
    <row r="894" s="45" customFormat="1"/>
    <row r="895" s="45" customFormat="1"/>
    <row r="896" s="45" customFormat="1"/>
    <row r="897" s="45" customFormat="1"/>
    <row r="898" s="45" customFormat="1"/>
    <row r="899" s="45" customFormat="1"/>
    <row r="900" s="45" customFormat="1"/>
    <row r="901" s="45" customFormat="1"/>
    <row r="902" s="45" customFormat="1"/>
    <row r="903" s="45" customFormat="1"/>
    <row r="904" s="45" customFormat="1"/>
    <row r="905" s="45" customFormat="1"/>
    <row r="906" s="45" customFormat="1"/>
    <row r="907" s="45" customFormat="1"/>
    <row r="908" s="45" customFormat="1"/>
    <row r="909" s="45" customFormat="1"/>
    <row r="910" s="45" customFormat="1"/>
    <row r="911" s="45" customFormat="1"/>
    <row r="912" s="45" customFormat="1"/>
    <row r="913" s="45" customFormat="1"/>
    <row r="914" s="45" customFormat="1"/>
    <row r="915" s="45" customFormat="1"/>
    <row r="916" s="45" customFormat="1"/>
    <row r="917" s="45" customFormat="1"/>
    <row r="918" s="45" customFormat="1"/>
    <row r="919" s="45" customFormat="1"/>
    <row r="920" s="45" customFormat="1"/>
    <row r="921" s="45" customFormat="1"/>
    <row r="922" s="45" customFormat="1"/>
    <row r="923" s="45" customFormat="1"/>
    <row r="924" s="45" customFormat="1"/>
    <row r="925" s="45" customFormat="1"/>
    <row r="926" s="45" customFormat="1"/>
    <row r="927" s="45" customFormat="1"/>
    <row r="928" s="45" customFormat="1"/>
    <row r="929" s="45" customFormat="1"/>
    <row r="930" s="45" customFormat="1"/>
    <row r="931" s="45" customFormat="1"/>
    <row r="932" s="45" customFormat="1"/>
    <row r="933" s="45" customFormat="1"/>
    <row r="934" s="45" customFormat="1"/>
    <row r="935" s="45" customFormat="1"/>
    <row r="936" s="45" customFormat="1"/>
    <row r="937" s="45" customFormat="1"/>
    <row r="938" s="45" customFormat="1"/>
    <row r="939" s="45" customFormat="1"/>
    <row r="940" s="45" customFormat="1"/>
    <row r="941" s="45" customFormat="1"/>
    <row r="942" s="45" customFormat="1"/>
    <row r="943" s="45" customFormat="1"/>
    <row r="944" s="45" customFormat="1"/>
    <row r="945" s="45" customFormat="1"/>
    <row r="946" s="45" customFormat="1"/>
    <row r="947" s="45" customFormat="1"/>
    <row r="948" s="45" customFormat="1"/>
    <row r="949" s="45" customFormat="1"/>
    <row r="950" s="45" customFormat="1"/>
    <row r="951" s="45" customFormat="1"/>
    <row r="952" s="45" customFormat="1"/>
    <row r="953" s="45" customFormat="1"/>
    <row r="954" s="45" customFormat="1"/>
    <row r="955" s="45" customFormat="1"/>
    <row r="956" s="45" customFormat="1"/>
    <row r="957" s="45" customFormat="1"/>
    <row r="958" s="45" customFormat="1"/>
    <row r="959" s="45" customFormat="1"/>
    <row r="960" s="45" customFormat="1"/>
    <row r="961" s="45" customFormat="1"/>
    <row r="962" s="45" customFormat="1"/>
    <row r="963" s="45" customFormat="1"/>
    <row r="964" s="45" customFormat="1"/>
    <row r="965" s="45" customFormat="1"/>
    <row r="966" s="45" customFormat="1"/>
    <row r="967" s="45" customFormat="1"/>
    <row r="968" s="45" customFormat="1"/>
    <row r="969" s="45" customFormat="1"/>
    <row r="970" s="45" customFormat="1"/>
    <row r="971" s="45" customFormat="1"/>
    <row r="972" s="45" customFormat="1"/>
    <row r="973" s="45" customFormat="1"/>
    <row r="974" s="45" customFormat="1"/>
    <row r="975" s="45" customFormat="1"/>
    <row r="976" s="45" customFormat="1"/>
    <row r="977" s="45" customFormat="1"/>
    <row r="978" s="45" customFormat="1"/>
    <row r="979" s="45" customFormat="1"/>
    <row r="980" s="45" customFormat="1"/>
    <row r="981" s="45" customFormat="1"/>
    <row r="982" s="45" customFormat="1"/>
    <row r="983" s="45" customFormat="1"/>
    <row r="984" s="45" customFormat="1"/>
    <row r="985" s="45" customFormat="1"/>
    <row r="986" s="45" customFormat="1"/>
    <row r="987" s="45" customFormat="1"/>
    <row r="988" s="45" customFormat="1"/>
    <row r="989" s="45" customFormat="1"/>
    <row r="990" s="45" customFormat="1"/>
    <row r="991" s="45" customFormat="1"/>
    <row r="992" s="45" customFormat="1"/>
    <row r="993" s="45" customFormat="1"/>
    <row r="994" s="45" customFormat="1"/>
    <row r="995" s="45" customFormat="1"/>
    <row r="996" s="45" customFormat="1"/>
    <row r="997" s="45" customFormat="1"/>
    <row r="998" s="45" customFormat="1"/>
    <row r="999" s="45" customFormat="1"/>
    <row r="1000" s="45" customFormat="1"/>
    <row r="1001" s="45" customFormat="1"/>
    <row r="1002" s="45" customFormat="1"/>
    <row r="1003" s="45" customFormat="1"/>
  </sheetData>
  <mergeCells count="3">
    <mergeCell ref="A1:O1"/>
    <mergeCell ref="A2:O2"/>
    <mergeCell ref="M22:O22"/>
  </mergeCells>
  <pageMargins left="0.7" right="0.7" top="0.75" bottom="0.75" header="0.3" footer="0.3"/>
  <pageSetup paperSize="9" scale="70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10.11</vt:lpstr>
      <vt:lpstr>'10.11'!Print_Area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2020-09-07T03:06:11Z</cp:lastPrinted>
  <dcterms:created xsi:type="dcterms:W3CDTF">2019-02-27T06:18:18Z</dcterms:created>
  <dcterms:modified xsi:type="dcterms:W3CDTF">2020-09-07T03:07:08Z</dcterms:modified>
</cp:coreProperties>
</file>