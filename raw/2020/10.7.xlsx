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New folder\"/>
    </mc:Choice>
  </mc:AlternateContent>
  <bookViews>
    <workbookView xWindow="0" yWindow="0" windowWidth="28800" windowHeight="11535" tabRatio="662"/>
  </bookViews>
  <sheets>
    <sheet name="10.7" sheetId="7" r:id="rId1"/>
  </sheets>
  <externalReferences>
    <externalReference r:id="rId2"/>
  </externalReferences>
  <definedNames>
    <definedName name="_xlnm.Print_Area" localSheetId="0">'10.7'!$A$1:$K$38</definedName>
  </definedNames>
  <calcPr calcId="152511" iterate="1" iterateCount="100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21" i="7" l="1"/>
  <c r="U22" i="7"/>
  <c r="V22" i="7"/>
  <c r="U23" i="7"/>
  <c r="V23" i="7"/>
  <c r="U24" i="7"/>
  <c r="V24" i="7"/>
  <c r="U25" i="7"/>
  <c r="V25" i="7"/>
  <c r="U26" i="7"/>
  <c r="V26" i="7"/>
  <c r="U27" i="7"/>
  <c r="V27" i="7"/>
  <c r="U28" i="7"/>
  <c r="V28" i="7"/>
  <c r="U29" i="7"/>
  <c r="V29" i="7"/>
  <c r="U30" i="7"/>
  <c r="V30" i="7"/>
  <c r="U31" i="7"/>
  <c r="V31" i="7"/>
  <c r="U32" i="7"/>
  <c r="V32" i="7"/>
  <c r="V21" i="7"/>
  <c r="I6" i="7"/>
  <c r="K6" i="7"/>
  <c r="J6" i="7"/>
  <c r="H6" i="7"/>
  <c r="G6" i="7"/>
  <c r="D18" i="7" l="1"/>
  <c r="D17" i="7"/>
  <c r="D16" i="7"/>
  <c r="D15" i="7"/>
  <c r="D14" i="7"/>
  <c r="D13" i="7"/>
  <c r="D12" i="7"/>
  <c r="D11" i="7"/>
  <c r="D10" i="7"/>
  <c r="D9" i="7"/>
  <c r="D8" i="7"/>
  <c r="D7" i="7"/>
  <c r="F6" i="7"/>
  <c r="E6" i="7"/>
  <c r="C6" i="7"/>
  <c r="B6" i="7"/>
  <c r="D6" i="7" l="1"/>
</calcChain>
</file>

<file path=xl/sharedStrings.xml><?xml version="1.0" encoding="utf-8"?>
<sst xmlns="http://schemas.openxmlformats.org/spreadsheetml/2006/main" count="52" uniqueCount="40">
  <si>
    <t>Source: Ministry of Tourism</t>
  </si>
  <si>
    <t>އެނދުގެ ޖާގައިން  ބޭނުންކުރެވުނު މިންވަރު %</t>
  </si>
  <si>
    <t>Month</t>
  </si>
  <si>
    <t xml:space="preserve">އެނދުގެ ޖާގަ  </t>
  </si>
  <si>
    <t xml:space="preserve">ބޭނުންކުރެވުނު އެނދުގެ އަދަދު </t>
  </si>
  <si>
    <t>އެނދުގެ ޖާގަ ބޭނުންކުރި މިންވަރު %</t>
  </si>
  <si>
    <t>ފަތުރުވެރިން ހޭދަކޮށްފައިވާ ރޭގެ އަދަދު</t>
  </si>
  <si>
    <t>Beds in
 operation</t>
  </si>
  <si>
    <t xml:space="preserve">% share of registered beds in operation </t>
  </si>
  <si>
    <t>Bed Capacity
 Utilization Rate %</t>
  </si>
  <si>
    <t>Tourist Bednights</t>
  </si>
  <si>
    <t xml:space="preserve">Registered Bed Capacity </t>
  </si>
  <si>
    <t>Annual Average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</si>
  <si>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</si>
  <si>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</si>
  <si>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</si>
  <si>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</si>
  <si>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</si>
  <si>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</si>
  <si>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</si>
  <si>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</si>
  <si>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</si>
  <si>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</si>
  <si>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</si>
  <si>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</si>
  <si>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cmwzirUT cfoa  IrcTcsinim :ctWrwf ivcaed utWmUluAwm</t>
  </si>
  <si>
    <t xml:space="preserve">Beds in operation 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</si>
  <si>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</si>
  <si>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</si>
  <si>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</si>
  <si>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</si>
  <si>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</si>
  <si>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</si>
  <si>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</si>
  <si>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</si>
  <si>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</si>
  <si>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</si>
  <si>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</si>
  <si>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Table  10.7: BED CAPACITY AND UTILIZATION OF SAFARI VESSELS BY MONTH,  2018 - 2019</t>
  </si>
  <si>
    <t>2019 - 2018  ,urwvcnim unuverukcnunEb wgWj egudnea iaWa wgWj eg udnea egukwtudnwLua IrWfws uhwmcswmikea : 10.7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</si>
</sst>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"/>
    <numFmt numFmtId="167" formatCode="#,##0.0"/>
    <numFmt numFmtId="168" formatCode="[$-409]mmm\-yy;@"/>
    <numFmt numFmtId="171" formatCode="0.00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i/>
      <sz val="9"/>
      <color theme="1"/>
      <name val="Calibri"/>
      <family val="2"/>
      <scheme val="minor"/>
    </font>
    <font>
      <sz val="9"/>
      <name val="A_Randhoo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b/>
      <sz val="12"/>
      <color theme="1"/>
      <name val="A_Faseyha"/>
    </font>
    <font>
      <sz val="8"/>
      <color theme="1"/>
      <name val="A_Faseyha"/>
    </font>
    <font>
      <sz val="8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5" fillId="0" borderId="0"/>
    <xf numFmtId="0" fontId="2" fillId="0" borderId="0"/>
    <xf numFmtId="43" fontId="2" fillId="0" borderId="0" applyFont="0" applyFill="0" applyBorder="0" applyAlignment="0" applyProtection="0"/>
    <xf numFmtId="171" fontId="16" fillId="0" borderId="0"/>
    <xf numFmtId="1" fontId="17" fillId="0" borderId="12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5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3" fillId="0" borderId="0"/>
    <xf numFmtId="40" fontId="3" fillId="0" borderId="0" applyFont="0" applyFill="0" applyBorder="0" applyAlignment="0" applyProtection="0"/>
    <xf numFmtId="0" fontId="3" fillId="0" borderId="0"/>
  </cellStyleXfs>
  <cellXfs count="43">
    <xf numFmtId="0" fontId="0" fillId="0" borderId="0" xfId="0"/>
    <xf numFmtId="0" fontId="4" fillId="2" borderId="0" xfId="0" applyFont="1" applyFill="1" applyAlignment="1" applyProtection="1">
      <alignment horizontal="left" vertical="center"/>
    </xf>
    <xf numFmtId="0" fontId="5" fillId="2" borderId="0" xfId="0" applyFont="1" applyFill="1" applyBorder="1" applyAlignment="1">
      <alignment horizontal="right" vertical="center"/>
    </xf>
    <xf numFmtId="3" fontId="7" fillId="2" borderId="0" xfId="0" applyNumberFormat="1" applyFont="1" applyFill="1" applyBorder="1" applyAlignment="1">
      <alignment horizontal="center"/>
    </xf>
    <xf numFmtId="0" fontId="9" fillId="2" borderId="0" xfId="0" applyFont="1" applyFill="1"/>
    <xf numFmtId="0" fontId="11" fillId="2" borderId="0" xfId="0" applyFont="1" applyFill="1"/>
    <xf numFmtId="37" fontId="8" fillId="2" borderId="6" xfId="0" applyNumberFormat="1" applyFont="1" applyFill="1" applyBorder="1" applyAlignment="1" applyProtection="1">
      <alignment horizontal="center" vertical="center" wrapText="1"/>
    </xf>
    <xf numFmtId="37" fontId="8" fillId="2" borderId="7" xfId="0" applyNumberFormat="1" applyFont="1" applyFill="1" applyBorder="1" applyAlignment="1" applyProtection="1">
      <alignment horizontal="center" vertical="center" wrapText="1"/>
    </xf>
    <xf numFmtId="0" fontId="6" fillId="2" borderId="0" xfId="0" applyFont="1" applyFill="1" applyAlignment="1" applyProtection="1">
      <alignment horizontal="left" vertical="center" wrapText="1"/>
    </xf>
    <xf numFmtId="3" fontId="6" fillId="2" borderId="10" xfId="0" applyNumberFormat="1" applyFont="1" applyFill="1" applyBorder="1" applyAlignment="1">
      <alignment horizontal="center"/>
    </xf>
    <xf numFmtId="3" fontId="6" fillId="2" borderId="0" xfId="0" applyNumberFormat="1" applyFont="1" applyFill="1" applyAlignment="1">
      <alignment horizontal="center"/>
    </xf>
    <xf numFmtId="167" fontId="6" fillId="2" borderId="0" xfId="0" applyNumberFormat="1" applyFont="1" applyFill="1" applyAlignment="1">
      <alignment horizontal="center"/>
    </xf>
    <xf numFmtId="0" fontId="7" fillId="2" borderId="0" xfId="0" applyFont="1" applyFill="1" applyAlignment="1" applyProtection="1">
      <alignment horizontal="left" vertical="center"/>
    </xf>
    <xf numFmtId="3" fontId="7" fillId="2" borderId="11" xfId="0" applyNumberFormat="1" applyFont="1" applyFill="1" applyBorder="1" applyAlignment="1">
      <alignment horizontal="center"/>
    </xf>
    <xf numFmtId="164" fontId="7" fillId="2" borderId="0" xfId="0" applyNumberFormat="1" applyFont="1" applyFill="1" applyAlignment="1">
      <alignment horizontal="center"/>
    </xf>
    <xf numFmtId="0" fontId="7" fillId="2" borderId="0" xfId="0" applyFont="1" applyFill="1" applyBorder="1" applyAlignment="1" applyProtection="1">
      <alignment horizontal="left" vertical="center"/>
    </xf>
    <xf numFmtId="0" fontId="7" fillId="2" borderId="1" xfId="0" applyFont="1" applyFill="1" applyBorder="1" applyAlignment="1" applyProtection="1">
      <alignment horizontal="left" vertical="center"/>
    </xf>
    <xf numFmtId="3" fontId="7" fillId="2" borderId="9" xfId="0" applyNumberFormat="1" applyFont="1" applyFill="1" applyBorder="1" applyAlignment="1">
      <alignment horizontal="center"/>
    </xf>
    <xf numFmtId="3" fontId="7" fillId="2" borderId="1" xfId="0" applyNumberFormat="1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0" fontId="12" fillId="2" borderId="1" xfId="0" applyFont="1" applyFill="1" applyBorder="1" applyAlignment="1" applyProtection="1">
      <alignment horizontal="center" vertical="center" wrapText="1"/>
    </xf>
    <xf numFmtId="0" fontId="9" fillId="2" borderId="0" xfId="0" applyFont="1" applyFill="1" applyAlignment="1" applyProtection="1">
      <alignment horizontal="left" vertical="center"/>
    </xf>
    <xf numFmtId="0" fontId="9" fillId="2" borderId="0" xfId="0" applyFont="1" applyFill="1" applyBorder="1" applyAlignment="1" applyProtection="1">
      <alignment horizontal="left" vertical="center"/>
    </xf>
    <xf numFmtId="0" fontId="14" fillId="2" borderId="0" xfId="0" applyFont="1" applyFill="1" applyBorder="1" applyAlignment="1" applyProtection="1">
      <alignment horizontal="center" vertical="center" wrapText="1"/>
    </xf>
    <xf numFmtId="0" fontId="13" fillId="2" borderId="0" xfId="0" applyFont="1" applyFill="1" applyBorder="1" applyAlignment="1" applyProtection="1">
      <alignment horizontal="left" vertical="center"/>
    </xf>
    <xf numFmtId="164" fontId="7" fillId="2" borderId="0" xfId="0" applyNumberFormat="1" applyFont="1" applyFill="1" applyBorder="1" applyAlignment="1">
      <alignment horizontal="center"/>
    </xf>
    <xf numFmtId="168" fontId="13" fillId="2" borderId="0" xfId="0" applyNumberFormat="1" applyFont="1" applyFill="1" applyBorder="1" applyAlignment="1" applyProtection="1">
      <alignment horizontal="left" vertical="center"/>
    </xf>
    <xf numFmtId="164" fontId="9" fillId="2" borderId="0" xfId="0" applyNumberFormat="1" applyFont="1" applyFill="1" applyBorder="1" applyAlignment="1">
      <alignment horizontal="center"/>
    </xf>
    <xf numFmtId="167" fontId="9" fillId="2" borderId="0" xfId="0" applyNumberFormat="1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right" vertical="center" indent="3"/>
    </xf>
    <xf numFmtId="3" fontId="7" fillId="2" borderId="0" xfId="0" applyNumberFormat="1" applyFont="1" applyFill="1" applyBorder="1" applyAlignment="1">
      <alignment horizontal="right" vertical="center" indent="3"/>
    </xf>
    <xf numFmtId="3" fontId="7" fillId="2" borderId="1" xfId="0" applyNumberFormat="1" applyFont="1" applyFill="1" applyBorder="1" applyAlignment="1">
      <alignment horizontal="right" vertical="center" indent="3"/>
    </xf>
    <xf numFmtId="0" fontId="6" fillId="2" borderId="1" xfId="0" applyFont="1" applyFill="1" applyBorder="1" applyAlignment="1" applyProtection="1">
      <alignment horizontal="center" vertical="center" wrapText="1"/>
    </xf>
    <xf numFmtId="0" fontId="6" fillId="2" borderId="9" xfId="0" applyFont="1" applyFill="1" applyBorder="1" applyAlignment="1" applyProtection="1">
      <alignment horizontal="center" vertical="center" wrapText="1"/>
    </xf>
    <xf numFmtId="164" fontId="19" fillId="2" borderId="0" xfId="0" applyNumberFormat="1" applyFont="1" applyFill="1" applyBorder="1" applyAlignment="1">
      <alignment horizontal="center"/>
    </xf>
    <xf numFmtId="0" fontId="20" fillId="2" borderId="0" xfId="0" applyFont="1" applyFill="1" applyBorder="1" applyAlignment="1">
      <alignment horizontal="right" vertical="center"/>
    </xf>
    <xf numFmtId="0" fontId="6" fillId="2" borderId="2" xfId="0" applyFont="1" applyFill="1" applyBorder="1" applyAlignment="1" applyProtection="1">
      <alignment horizontal="center" vertical="center" wrapText="1"/>
    </xf>
    <xf numFmtId="0" fontId="6" fillId="2" borderId="5" xfId="0" applyFont="1" applyFill="1" applyBorder="1" applyAlignment="1" applyProtection="1">
      <alignment horizontal="center" vertical="center" wrapText="1"/>
    </xf>
    <xf numFmtId="0" fontId="6" fillId="2" borderId="8" xfId="0" applyFont="1" applyFill="1" applyBorder="1" applyAlignment="1" applyProtection="1">
      <alignment horizontal="center" vertical="center" wrapText="1"/>
    </xf>
    <xf numFmtId="0" fontId="10" fillId="2" borderId="3" xfId="0" applyFont="1" applyFill="1" applyBorder="1" applyAlignment="1" applyProtection="1">
      <alignment horizontal="center" vertical="center"/>
    </xf>
    <xf numFmtId="0" fontId="10" fillId="2" borderId="4" xfId="0" applyFont="1" applyFill="1" applyBorder="1" applyAlignment="1" applyProtection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0" fillId="2" borderId="1" xfId="0" applyFont="1" applyFill="1" applyBorder="1" applyAlignment="1" applyProtection="1">
      <alignment horizontal="center" vertical="center"/>
    </xf>
  </cellXfs>
  <cellStyles count="21">
    <cellStyle name="1" xfId="5"/>
    <cellStyle name="Comma 2" xfId="19"/>
    <cellStyle name="Comma 3" xfId="6"/>
    <cellStyle name="Normal" xfId="0" builtinId="0"/>
    <cellStyle name="Normal - Style1" xfId="7"/>
    <cellStyle name="Normal 10" xfId="13"/>
    <cellStyle name="Normal 2" xfId="1"/>
    <cellStyle name="Normal 2 2" xfId="8"/>
    <cellStyle name="Normal 2 2 2" xfId="20"/>
    <cellStyle name="Normal 3" xfId="9"/>
    <cellStyle name="Normal 4" xfId="14"/>
    <cellStyle name="Normal 4 2" xfId="10"/>
    <cellStyle name="Normal 4 2 2" xfId="15"/>
    <cellStyle name="Normal 5" xfId="11"/>
    <cellStyle name="Normal 5 2" xfId="3"/>
    <cellStyle name="Normal 6" xfId="16"/>
    <cellStyle name="Normal 7" xfId="17"/>
    <cellStyle name="Normal 8" xfId="18"/>
    <cellStyle name="Normal 9" xfId="4"/>
    <cellStyle name="Percent 2" xfId="12"/>
    <cellStyle name="Percent 2 2" xfId="2"/>
  </cellStyles>
  <dxfs count="0"/>
  <tableStyles count="0" defaultTableStyle="TableStyleMedium2" defaultPivotStyle="PivotStyleLight16"/>
  <colors>
    <mruColors>
      <color rgb="FFCA945E"/>
      <color rgb="FF996633"/>
      <color rgb="FF663300"/>
      <color rgb="FFF6ECE2"/>
      <color rgb="FFD6AD84"/>
      <color rgb="FFEEDCCA"/>
      <color rgb="FFB05800"/>
      <color rgb="FFD66B00"/>
      <color rgb="FFFFCCB3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Figure 10.11:  Bed capacity and beds in operation in safari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+mn-ea"/>
                <a:cs typeface="+mn-cs"/>
              </a:rPr>
              <a:t>vessels</a:t>
            </a:r>
            <a:r>
              <a:rPr lang="en-US" sz="1400" b="1" i="0" baseline="0">
                <a:effectLst/>
              </a:rPr>
              <a:t> , 2019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17906040588959882"/>
          <c:y val="2.802141100570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097017137030228E-2"/>
          <c:y val="0.1484734477430629"/>
          <c:w val="0.90029650250643645"/>
          <c:h val="0.699120071574211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'10.7'!$U$20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rgbClr val="B05800"/>
            </a:solidFill>
            <a:ln>
              <a:noFill/>
            </a:ln>
            <a:effectLst/>
          </c:spPr>
          <c:invertIfNegative val="0"/>
          <c:cat>
            <c:strRef>
              <c:f>'10.7'!$T$21:$T$32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'10.7'!$U$21:$U$32</c:f>
              <c:numCache>
                <c:formatCode>#,##0</c:formatCode>
                <c:ptCount val="12"/>
                <c:pt idx="0">
                  <c:v>2879</c:v>
                </c:pt>
                <c:pt idx="1">
                  <c:v>2879</c:v>
                </c:pt>
                <c:pt idx="2">
                  <c:v>2901</c:v>
                </c:pt>
                <c:pt idx="3">
                  <c:v>2925</c:v>
                </c:pt>
                <c:pt idx="4">
                  <c:v>2925</c:v>
                </c:pt>
                <c:pt idx="5">
                  <c:v>2925</c:v>
                </c:pt>
                <c:pt idx="6">
                  <c:v>2903</c:v>
                </c:pt>
                <c:pt idx="7">
                  <c:v>2926</c:v>
                </c:pt>
                <c:pt idx="8">
                  <c:v>2930</c:v>
                </c:pt>
                <c:pt idx="9">
                  <c:v>2957</c:v>
                </c:pt>
                <c:pt idx="10">
                  <c:v>2957</c:v>
                </c:pt>
                <c:pt idx="11">
                  <c:v>2963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A49-46A5-969C-EA5E831585B5}"/>
            </c:ext>
          </c:extLst>
        </c:ser>
        <c:ser>
          <c:idx val="1"/>
          <c:order val="1"/>
          <c:tx>
            <c:strRef>
              <c:f>'10.7'!$V$20</c:f>
              <c:strCache>
                <c:ptCount val="1"/>
                <c:pt idx="0">
                  <c:v>Beds in operation </c:v>
                </c:pt>
              </c:strCache>
            </c:strRef>
          </c:tx>
          <c:spPr>
            <a:solidFill>
              <a:srgbClr val="CA945E"/>
            </a:solidFill>
            <a:ln>
              <a:noFill/>
            </a:ln>
            <a:effectLst/>
          </c:spPr>
          <c:invertIfNegative val="0"/>
          <c:cat>
            <c:strRef>
              <c:f>'10.7'!$T$21:$T$32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'10.7'!$V$21:$V$32</c:f>
              <c:numCache>
                <c:formatCode>#,##0</c:formatCode>
                <c:ptCount val="12"/>
                <c:pt idx="0">
                  <c:v>2865</c:v>
                </c:pt>
                <c:pt idx="1">
                  <c:v>2865</c:v>
                </c:pt>
                <c:pt idx="2">
                  <c:v>2887</c:v>
                </c:pt>
                <c:pt idx="3">
                  <c:v>2911</c:v>
                </c:pt>
                <c:pt idx="4">
                  <c:v>2911</c:v>
                </c:pt>
                <c:pt idx="5">
                  <c:v>2911</c:v>
                </c:pt>
                <c:pt idx="6">
                  <c:v>2889</c:v>
                </c:pt>
                <c:pt idx="7">
                  <c:v>2905</c:v>
                </c:pt>
                <c:pt idx="8">
                  <c:v>2909</c:v>
                </c:pt>
                <c:pt idx="9">
                  <c:v>2936</c:v>
                </c:pt>
                <c:pt idx="10">
                  <c:v>2936</c:v>
                </c:pt>
                <c:pt idx="11">
                  <c:v>2942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A49-46A5-969C-EA5E83158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412303272"/>
        <c:axId val="412308368"/>
      </c:barChart>
      <c:catAx>
        <c:axId val="412303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308368"/>
        <c:crosses val="autoZero"/>
        <c:auto val="1"/>
        <c:lblAlgn val="ctr"/>
        <c:lblOffset val="100"/>
        <c:noMultiLvlLbl val="0"/>
      </c:catAx>
      <c:valAx>
        <c:axId val="412308368"/>
        <c:scaling>
          <c:orientation val="minMax"/>
          <c:max val="3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303272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27679206058864364"/>
          <c:y val="0.91470577747811121"/>
          <c:w val="0.37889986285826799"/>
          <c:h val="6.84045400092962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918481</xdr:colOff>
      <xdr:row>19</xdr:row>
      <xdr:rowOff>190500</xdr:rowOff>
    </xdr:from>
    <xdr:to>
      <xdr:col>9</xdr:col>
      <xdr:colOff>260803</xdr:colOff>
      <xdr:row>37</xdr:row>
      <xdr:rowOff>48374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H71"/>
  <sheetViews>
    <sheetView tabSelected="1" zoomScaleNormal="100" zoomScaleSheetLayoutView="84" workbookViewId="0">
      <selection activeCell="L5" sqref="L5"/>
    </sheetView>
  </sheetViews>
  <sheetFormatPr defaultColWidth="9.140625" defaultRowHeight="12"/>
  <cols>
    <col min="1" max="1" width="13.7109375" style="4" customWidth="1"/>
    <col min="2" max="11" width="14.7109375" style="4" customWidth="1"/>
    <col min="12" max="16" width="18.28515625" style="4" customWidth="1"/>
    <col min="17" max="16384" width="9.140625" style="4"/>
  </cols>
  <sheetData>
    <row r="1" spans="1:16" ht="17.25" customHeight="1">
      <c r="A1" s="41" t="s">
        <v>39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16" ht="24" customHeight="1">
      <c r="A2" s="42" t="s">
        <v>38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23"/>
      <c r="M2" s="23"/>
      <c r="N2" s="23"/>
      <c r="O2" s="23"/>
      <c r="P2" s="23"/>
    </row>
    <row r="3" spans="1:16" s="5" customFormat="1" ht="18.75" customHeight="1">
      <c r="A3" s="36" t="s">
        <v>2</v>
      </c>
      <c r="B3" s="39">
        <v>2018</v>
      </c>
      <c r="C3" s="40"/>
      <c r="D3" s="40"/>
      <c r="E3" s="40"/>
      <c r="F3" s="40"/>
      <c r="G3" s="39">
        <v>2019</v>
      </c>
      <c r="H3" s="40"/>
      <c r="I3" s="40"/>
      <c r="J3" s="40"/>
      <c r="K3" s="40"/>
      <c r="L3" s="27"/>
      <c r="M3" s="27"/>
      <c r="N3" s="27"/>
      <c r="O3" s="27"/>
      <c r="P3" s="27"/>
    </row>
    <row r="4" spans="1:16" s="5" customFormat="1" ht="52.5" customHeight="1">
      <c r="A4" s="37"/>
      <c r="B4" s="6" t="s">
        <v>3</v>
      </c>
      <c r="C4" s="7" t="s">
        <v>4</v>
      </c>
      <c r="D4" s="7" t="s">
        <v>1</v>
      </c>
      <c r="E4" s="7" t="s">
        <v>5</v>
      </c>
      <c r="F4" s="7" t="s">
        <v>6</v>
      </c>
      <c r="G4" s="6" t="s">
        <v>3</v>
      </c>
      <c r="H4" s="7" t="s">
        <v>4</v>
      </c>
      <c r="I4" s="7" t="s">
        <v>1</v>
      </c>
      <c r="J4" s="7" t="s">
        <v>5</v>
      </c>
      <c r="K4" s="7" t="s">
        <v>6</v>
      </c>
      <c r="L4" s="27"/>
      <c r="M4" s="27"/>
      <c r="N4" s="27"/>
      <c r="O4" s="27"/>
      <c r="P4" s="27"/>
    </row>
    <row r="5" spans="1:16" s="5" customFormat="1" ht="46.5" customHeight="1">
      <c r="A5" s="38"/>
      <c r="B5" s="33" t="s">
        <v>11</v>
      </c>
      <c r="C5" s="32" t="s">
        <v>7</v>
      </c>
      <c r="D5" s="32" t="s">
        <v>8</v>
      </c>
      <c r="E5" s="32" t="s">
        <v>9</v>
      </c>
      <c r="F5" s="32" t="s">
        <v>10</v>
      </c>
      <c r="G5" s="33" t="s">
        <v>11</v>
      </c>
      <c r="H5" s="32" t="s">
        <v>7</v>
      </c>
      <c r="I5" s="32" t="s">
        <v>8</v>
      </c>
      <c r="J5" s="32" t="s">
        <v>9</v>
      </c>
      <c r="K5" s="32" t="s">
        <v>10</v>
      </c>
      <c r="L5" s="27"/>
      <c r="M5" s="27"/>
      <c r="N5" s="27"/>
      <c r="O5" s="27"/>
      <c r="P5" s="27"/>
    </row>
    <row r="6" spans="1:16" s="5" customFormat="1" ht="16.5" customHeight="1">
      <c r="A6" s="8" t="s">
        <v>12</v>
      </c>
      <c r="B6" s="9">
        <f>AVERAGE(B7:B18)</f>
        <v>2729.1666666666665</v>
      </c>
      <c r="C6" s="10">
        <f>AVERAGE(C7:C18)</f>
        <v>2728</v>
      </c>
      <c r="D6" s="11">
        <f>AVERAGE(D7:D18)</f>
        <v>99.95756032496665</v>
      </c>
      <c r="E6" s="11">
        <f>AVERAGE(E7:E18)</f>
        <v>28.109894030598621</v>
      </c>
      <c r="F6" s="29">
        <f>SUM(F7:F18)</f>
        <v>277720.49223391007</v>
      </c>
      <c r="G6" s="9">
        <f>AVERAGE(G7:G18)</f>
        <v>2922.5</v>
      </c>
      <c r="H6" s="10">
        <f>AVERAGE(H7:H18)</f>
        <v>2905.5833333333335</v>
      </c>
      <c r="I6" s="11">
        <f>AVERAGE(I7:I18)</f>
        <v>99.421930349636639</v>
      </c>
      <c r="J6" s="11">
        <f>AVERAGE(J7:J18)</f>
        <v>26.153650176008821</v>
      </c>
      <c r="K6" s="29">
        <f>SUM(K7:K18)</f>
        <v>276239.50265690178</v>
      </c>
      <c r="L6" s="27"/>
      <c r="M6" s="27"/>
      <c r="N6" s="27"/>
      <c r="O6" s="27"/>
      <c r="P6" s="27"/>
    </row>
    <row r="7" spans="1:16" s="5" customFormat="1" ht="16.5" customHeight="1">
      <c r="A7" s="12" t="s">
        <v>13</v>
      </c>
      <c r="B7" s="13">
        <v>2619</v>
      </c>
      <c r="C7" s="3">
        <v>2619</v>
      </c>
      <c r="D7" s="14">
        <f>C7/B7*100</f>
        <v>100</v>
      </c>
      <c r="E7" s="14">
        <v>34.710267956005019</v>
      </c>
      <c r="F7" s="30">
        <v>28180.919450800917</v>
      </c>
      <c r="G7" s="13">
        <v>2879</v>
      </c>
      <c r="H7" s="3">
        <v>2865</v>
      </c>
      <c r="I7" s="14">
        <v>99.51372004168114</v>
      </c>
      <c r="J7" s="14">
        <v>32.349115504682615</v>
      </c>
      <c r="K7" s="30">
        <v>28730.866935483871</v>
      </c>
      <c r="L7" s="27"/>
      <c r="M7" s="27"/>
      <c r="N7" s="27"/>
      <c r="O7" s="27"/>
      <c r="P7" s="27"/>
    </row>
    <row r="8" spans="1:16" s="5" customFormat="1" ht="16.5" customHeight="1">
      <c r="A8" s="12" t="s">
        <v>14</v>
      </c>
      <c r="B8" s="13">
        <v>2663</v>
      </c>
      <c r="C8" s="3">
        <v>2663</v>
      </c>
      <c r="D8" s="14">
        <f t="shared" ref="D8:D18" si="0">C8/B8*100</f>
        <v>100</v>
      </c>
      <c r="E8" s="14">
        <v>43.641398063403628</v>
      </c>
      <c r="F8" s="30">
        <v>32540.772051996286</v>
      </c>
      <c r="G8" s="13">
        <v>2879</v>
      </c>
      <c r="H8" s="3">
        <v>2865</v>
      </c>
      <c r="I8" s="14">
        <v>99.51372004168114</v>
      </c>
      <c r="J8" s="14">
        <v>40.094851929621314</v>
      </c>
      <c r="K8" s="30">
        <v>32164.090217942219</v>
      </c>
      <c r="L8" s="27"/>
      <c r="M8" s="27"/>
      <c r="N8" s="27"/>
      <c r="O8" s="27"/>
      <c r="P8" s="27"/>
    </row>
    <row r="9" spans="1:16" s="5" customFormat="1" ht="16.5" customHeight="1">
      <c r="A9" s="12" t="s">
        <v>15</v>
      </c>
      <c r="B9" s="13">
        <v>2663</v>
      </c>
      <c r="C9" s="3">
        <v>2663</v>
      </c>
      <c r="D9" s="14">
        <f t="shared" si="0"/>
        <v>100</v>
      </c>
      <c r="E9" s="14">
        <v>43.597124493587991</v>
      </c>
      <c r="F9" s="30">
        <v>35990.734183191693</v>
      </c>
      <c r="G9" s="13">
        <v>2901</v>
      </c>
      <c r="H9" s="3">
        <v>2887</v>
      </c>
      <c r="I9" s="14">
        <v>99.517407790417096</v>
      </c>
      <c r="J9" s="14">
        <v>40.852166634472987</v>
      </c>
      <c r="K9" s="30">
        <v>36561.463572854293</v>
      </c>
      <c r="L9" s="27"/>
      <c r="M9" s="27"/>
      <c r="N9" s="27"/>
      <c r="O9" s="27"/>
      <c r="P9" s="27"/>
    </row>
    <row r="10" spans="1:16" s="5" customFormat="1" ht="16.5" customHeight="1">
      <c r="A10" s="12" t="s">
        <v>16</v>
      </c>
      <c r="B10" s="13">
        <v>2719</v>
      </c>
      <c r="C10" s="3">
        <v>2719</v>
      </c>
      <c r="D10" s="14">
        <f t="shared" si="0"/>
        <v>100</v>
      </c>
      <c r="E10" s="14">
        <v>38.759368836291912</v>
      </c>
      <c r="F10" s="30">
        <v>31616.017159763313</v>
      </c>
      <c r="G10" s="13">
        <v>2925</v>
      </c>
      <c r="H10" s="3">
        <v>2911</v>
      </c>
      <c r="I10" s="14">
        <v>99.521367521367523</v>
      </c>
      <c r="J10" s="14">
        <v>36.6345690900337</v>
      </c>
      <c r="K10" s="30">
        <v>31992.969186326431</v>
      </c>
      <c r="L10" s="27"/>
      <c r="M10" s="27"/>
      <c r="N10" s="27"/>
      <c r="O10" s="27"/>
      <c r="P10" s="27"/>
    </row>
    <row r="11" spans="1:16" s="5" customFormat="1" ht="16.5" customHeight="1">
      <c r="A11" s="12" t="s">
        <v>17</v>
      </c>
      <c r="B11" s="13">
        <v>2741</v>
      </c>
      <c r="C11" s="3">
        <v>2741</v>
      </c>
      <c r="D11" s="14">
        <f t="shared" si="0"/>
        <v>100</v>
      </c>
      <c r="E11" s="14">
        <v>19.317640757052732</v>
      </c>
      <c r="F11" s="30">
        <v>16414.392527675278</v>
      </c>
      <c r="G11" s="13">
        <v>2925</v>
      </c>
      <c r="H11" s="3">
        <v>2911</v>
      </c>
      <c r="I11" s="14">
        <v>99.521367521367523</v>
      </c>
      <c r="J11" s="14">
        <v>20.019073751840452</v>
      </c>
      <c r="K11" s="30">
        <v>18065.412344398341</v>
      </c>
      <c r="L11" s="27"/>
      <c r="M11" s="27"/>
      <c r="N11" s="27"/>
      <c r="O11" s="27"/>
      <c r="P11" s="27"/>
    </row>
    <row r="12" spans="1:16" s="5" customFormat="1" ht="16.5" customHeight="1">
      <c r="A12" s="12" t="s">
        <v>18</v>
      </c>
      <c r="B12" s="13">
        <v>2749</v>
      </c>
      <c r="C12" s="3">
        <v>2735</v>
      </c>
      <c r="D12" s="14">
        <f t="shared" si="0"/>
        <v>99.490723899599857</v>
      </c>
      <c r="E12" s="14">
        <v>11.380728554641598</v>
      </c>
      <c r="F12" s="30">
        <v>9337.8877790834304</v>
      </c>
      <c r="G12" s="13">
        <v>2925</v>
      </c>
      <c r="H12" s="3">
        <v>2911</v>
      </c>
      <c r="I12" s="14">
        <v>99.521367521367523</v>
      </c>
      <c r="J12" s="14">
        <v>8.6579432981043443</v>
      </c>
      <c r="K12" s="30">
        <v>7560.9818822345242</v>
      </c>
      <c r="L12" s="27"/>
      <c r="M12" s="27"/>
      <c r="N12" s="27"/>
      <c r="O12" s="27"/>
      <c r="P12" s="27"/>
    </row>
    <row r="13" spans="1:16" s="5" customFormat="1" ht="16.5" customHeight="1">
      <c r="A13" s="12" t="s">
        <v>19</v>
      </c>
      <c r="B13" s="13">
        <v>2764</v>
      </c>
      <c r="C13" s="3">
        <v>2764</v>
      </c>
      <c r="D13" s="14">
        <f t="shared" si="0"/>
        <v>100</v>
      </c>
      <c r="E13" s="14">
        <v>13.563614094903919</v>
      </c>
      <c r="F13" s="30">
        <v>11621.847101077476</v>
      </c>
      <c r="G13" s="13">
        <v>2903</v>
      </c>
      <c r="H13" s="3">
        <v>2889</v>
      </c>
      <c r="I13" s="14">
        <v>99.517740268687561</v>
      </c>
      <c r="J13" s="14">
        <v>11.267037163525725</v>
      </c>
      <c r="K13" s="30">
        <v>10090.645813282003</v>
      </c>
      <c r="L13" s="27"/>
      <c r="M13" s="27"/>
      <c r="N13" s="27"/>
      <c r="O13" s="27"/>
      <c r="P13" s="27"/>
    </row>
    <row r="14" spans="1:16" s="5" customFormat="1" ht="16.5" customHeight="1">
      <c r="A14" s="12" t="s">
        <v>20</v>
      </c>
      <c r="B14" s="13">
        <v>2764</v>
      </c>
      <c r="C14" s="3">
        <v>2764</v>
      </c>
      <c r="D14" s="14">
        <f t="shared" si="0"/>
        <v>100</v>
      </c>
      <c r="E14" s="14">
        <v>22.089794916632151</v>
      </c>
      <c r="F14" s="30">
        <v>18927.419876367094</v>
      </c>
      <c r="G14" s="13">
        <v>2926</v>
      </c>
      <c r="H14" s="3">
        <v>2905</v>
      </c>
      <c r="I14" s="14">
        <v>99.282296650717711</v>
      </c>
      <c r="J14" s="14">
        <v>20.965340590730811</v>
      </c>
      <c r="K14" s="30">
        <v>18880.337468982631</v>
      </c>
      <c r="L14" s="27"/>
      <c r="M14" s="27"/>
      <c r="N14" s="27"/>
      <c r="O14" s="27"/>
      <c r="P14" s="27"/>
    </row>
    <row r="15" spans="1:16" s="5" customFormat="1" ht="16.5" customHeight="1">
      <c r="A15" s="12" t="s">
        <v>21</v>
      </c>
      <c r="B15" s="13">
        <v>2769</v>
      </c>
      <c r="C15" s="3">
        <v>2769</v>
      </c>
      <c r="D15" s="14">
        <f t="shared" si="0"/>
        <v>100</v>
      </c>
      <c r="E15" s="14">
        <v>23.866140437428054</v>
      </c>
      <c r="F15" s="30">
        <v>19825.602861371484</v>
      </c>
      <c r="G15" s="13">
        <v>2930</v>
      </c>
      <c r="H15" s="3">
        <v>2909</v>
      </c>
      <c r="I15" s="14">
        <v>99.283276450511948</v>
      </c>
      <c r="J15" s="14">
        <v>23.062305295950157</v>
      </c>
      <c r="K15" s="30">
        <v>20126.4738317757</v>
      </c>
      <c r="L15" s="27"/>
      <c r="M15" s="27"/>
      <c r="N15" s="27"/>
      <c r="O15" s="27"/>
      <c r="P15" s="27"/>
    </row>
    <row r="16" spans="1:16" s="5" customFormat="1" ht="16.5" customHeight="1">
      <c r="A16" s="12" t="s">
        <v>22</v>
      </c>
      <c r="B16" s="13">
        <v>2769</v>
      </c>
      <c r="C16" s="3">
        <v>2769</v>
      </c>
      <c r="D16" s="14">
        <f t="shared" si="0"/>
        <v>100</v>
      </c>
      <c r="E16" s="14">
        <v>29.749770156293721</v>
      </c>
      <c r="F16" s="30">
        <v>25536.905204460967</v>
      </c>
      <c r="G16" s="13">
        <v>2957</v>
      </c>
      <c r="H16" s="3">
        <v>2936</v>
      </c>
      <c r="I16" s="14">
        <v>99.289820764288123</v>
      </c>
      <c r="J16" s="14">
        <v>25.478426568667484</v>
      </c>
      <c r="K16" s="30">
        <v>23189.444725738398</v>
      </c>
      <c r="L16" s="27"/>
      <c r="M16" s="27"/>
      <c r="N16" s="27"/>
      <c r="O16" s="27"/>
      <c r="P16" s="27"/>
    </row>
    <row r="17" spans="1:34" s="5" customFormat="1" ht="16.5" customHeight="1">
      <c r="A17" s="15" t="s">
        <v>23</v>
      </c>
      <c r="B17" s="13">
        <v>2772</v>
      </c>
      <c r="C17" s="3">
        <v>2772</v>
      </c>
      <c r="D17" s="14">
        <f t="shared" si="0"/>
        <v>100</v>
      </c>
      <c r="E17" s="14">
        <v>29.963027826425375</v>
      </c>
      <c r="F17" s="30">
        <v>24917.253940455343</v>
      </c>
      <c r="G17" s="13">
        <v>2957</v>
      </c>
      <c r="H17" s="3">
        <v>2936</v>
      </c>
      <c r="I17" s="14">
        <v>99.289820764288123</v>
      </c>
      <c r="J17" s="14">
        <v>25.448536355051939</v>
      </c>
      <c r="K17" s="30">
        <v>22415.070821529745</v>
      </c>
      <c r="L17" s="27"/>
      <c r="M17" s="27"/>
      <c r="N17" s="27"/>
      <c r="O17" s="27"/>
      <c r="P17" s="27"/>
    </row>
    <row r="18" spans="1:34" s="5" customFormat="1" ht="16.5" customHeight="1">
      <c r="A18" s="16" t="s">
        <v>24</v>
      </c>
      <c r="B18" s="17">
        <v>2758</v>
      </c>
      <c r="C18" s="18">
        <v>2758</v>
      </c>
      <c r="D18" s="19">
        <f t="shared" si="0"/>
        <v>100</v>
      </c>
      <c r="E18" s="19">
        <v>26.679852274517351</v>
      </c>
      <c r="F18" s="31">
        <v>22810.740097666847</v>
      </c>
      <c r="G18" s="17">
        <v>2963</v>
      </c>
      <c r="H18" s="18">
        <v>2942</v>
      </c>
      <c r="I18" s="19">
        <v>99.291258859264261</v>
      </c>
      <c r="J18" s="19">
        <v>29.014435929424348</v>
      </c>
      <c r="K18" s="31">
        <v>26461.745856353591</v>
      </c>
      <c r="L18" s="27"/>
      <c r="M18" s="27"/>
      <c r="N18" s="27"/>
      <c r="O18" s="27"/>
      <c r="P18" s="27"/>
    </row>
    <row r="19" spans="1:34" ht="19.5" customHeight="1">
      <c r="A19" s="1" t="s">
        <v>0</v>
      </c>
      <c r="B19" s="24"/>
      <c r="C19" s="27"/>
      <c r="D19" s="27"/>
      <c r="E19" s="27"/>
      <c r="F19" s="2"/>
      <c r="G19" s="24"/>
      <c r="H19" s="34"/>
      <c r="I19" s="34"/>
      <c r="J19" s="34"/>
      <c r="K19" s="35" t="s">
        <v>25</v>
      </c>
      <c r="L19" s="27"/>
      <c r="M19" s="27"/>
      <c r="N19" s="27"/>
      <c r="O19" s="27"/>
      <c r="P19" s="27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</row>
    <row r="20" spans="1:34" ht="18.75" customHeight="1">
      <c r="A20" s="22"/>
      <c r="B20" s="24"/>
      <c r="C20" s="27"/>
      <c r="D20" s="27"/>
      <c r="E20" s="27"/>
      <c r="F20" s="27"/>
      <c r="G20" s="24"/>
      <c r="H20" s="27"/>
      <c r="I20" s="27"/>
      <c r="J20" s="27"/>
      <c r="K20" s="27"/>
      <c r="L20" s="27"/>
      <c r="M20" s="27"/>
      <c r="N20" s="27"/>
      <c r="O20" s="27"/>
      <c r="P20" s="27"/>
      <c r="U20" s="20" t="s">
        <v>11</v>
      </c>
      <c r="V20" s="20" t="s">
        <v>26</v>
      </c>
    </row>
    <row r="21" spans="1:34" ht="18.75" customHeight="1">
      <c r="A21" s="22"/>
      <c r="B21" s="24"/>
      <c r="C21" s="27"/>
      <c r="D21" s="27"/>
      <c r="E21" s="27"/>
      <c r="F21" s="27"/>
      <c r="G21" s="24"/>
      <c r="H21" s="27"/>
      <c r="I21" s="27"/>
      <c r="J21" s="27"/>
      <c r="K21" s="27"/>
      <c r="L21" s="27"/>
      <c r="M21" s="27"/>
      <c r="N21" s="27"/>
      <c r="O21" s="27"/>
      <c r="P21" s="27"/>
      <c r="T21" s="21" t="s">
        <v>27</v>
      </c>
      <c r="U21" s="13">
        <f>G7</f>
        <v>2879</v>
      </c>
      <c r="V21" s="13">
        <f>H7</f>
        <v>2865</v>
      </c>
    </row>
    <row r="22" spans="1:34" ht="18.75" customHeight="1">
      <c r="A22" s="22"/>
      <c r="B22" s="24"/>
      <c r="C22" s="27"/>
      <c r="D22" s="27"/>
      <c r="E22" s="27"/>
      <c r="F22" s="27"/>
      <c r="G22" s="24"/>
      <c r="H22" s="27"/>
      <c r="I22" s="27"/>
      <c r="J22" s="27"/>
      <c r="K22" s="27"/>
      <c r="L22" s="27"/>
      <c r="M22" s="27"/>
      <c r="N22" s="27"/>
      <c r="O22" s="27"/>
      <c r="P22" s="27"/>
      <c r="T22" s="21" t="s">
        <v>28</v>
      </c>
      <c r="U22" s="13">
        <f t="shared" ref="U22:V22" si="1">G8</f>
        <v>2879</v>
      </c>
      <c r="V22" s="13">
        <f t="shared" si="1"/>
        <v>2865</v>
      </c>
    </row>
    <row r="23" spans="1:34" ht="18.75" customHeight="1">
      <c r="A23" s="22"/>
      <c r="B23" s="24"/>
      <c r="C23" s="27"/>
      <c r="D23" s="27"/>
      <c r="E23" s="27"/>
      <c r="F23" s="27"/>
      <c r="G23" s="24"/>
      <c r="H23" s="27"/>
      <c r="I23" s="27"/>
      <c r="J23" s="27"/>
      <c r="K23" s="27"/>
      <c r="L23" s="27"/>
      <c r="M23" s="27"/>
      <c r="N23" s="27"/>
      <c r="O23" s="27"/>
      <c r="P23" s="27"/>
      <c r="T23" s="21" t="s">
        <v>29</v>
      </c>
      <c r="U23" s="13">
        <f t="shared" ref="U23:V23" si="2">G9</f>
        <v>2901</v>
      </c>
      <c r="V23" s="13">
        <f t="shared" si="2"/>
        <v>2887</v>
      </c>
    </row>
    <row r="24" spans="1:34" ht="18.75" customHeight="1">
      <c r="A24" s="22"/>
      <c r="B24" s="24"/>
      <c r="C24" s="27"/>
      <c r="D24" s="27"/>
      <c r="E24" s="27"/>
      <c r="F24" s="27"/>
      <c r="G24" s="24"/>
      <c r="H24" s="27"/>
      <c r="I24" s="27"/>
      <c r="J24" s="27"/>
      <c r="K24" s="27"/>
      <c r="L24" s="27"/>
      <c r="M24" s="27"/>
      <c r="N24" s="27"/>
      <c r="O24" s="27"/>
      <c r="P24" s="27"/>
      <c r="T24" s="21" t="s">
        <v>30</v>
      </c>
      <c r="U24" s="13">
        <f t="shared" ref="U24:V24" si="3">G10</f>
        <v>2925</v>
      </c>
      <c r="V24" s="13">
        <f t="shared" si="3"/>
        <v>2911</v>
      </c>
    </row>
    <row r="25" spans="1:34" ht="18.75" customHeight="1">
      <c r="A25" s="22"/>
      <c r="B25" s="26"/>
      <c r="C25" s="25"/>
      <c r="D25" s="25"/>
      <c r="E25" s="25"/>
      <c r="F25" s="25"/>
      <c r="G25" s="26"/>
      <c r="H25" s="25"/>
      <c r="I25" s="25"/>
      <c r="J25" s="25"/>
      <c r="K25" s="25"/>
      <c r="L25" s="25"/>
      <c r="M25" s="25"/>
      <c r="N25" s="25"/>
      <c r="O25" s="25"/>
      <c r="P25" s="25"/>
      <c r="T25" s="21" t="s">
        <v>17</v>
      </c>
      <c r="U25" s="13">
        <f t="shared" ref="U25:V25" si="4">G11</f>
        <v>2925</v>
      </c>
      <c r="V25" s="13">
        <f t="shared" si="4"/>
        <v>2911</v>
      </c>
    </row>
    <row r="26" spans="1:34" ht="18.75" customHeight="1">
      <c r="A26" s="22"/>
      <c r="B26" s="24"/>
      <c r="C26" s="25"/>
      <c r="D26" s="25"/>
      <c r="E26" s="25"/>
      <c r="F26" s="25"/>
      <c r="G26" s="24"/>
      <c r="H26" s="25"/>
      <c r="I26" s="25"/>
      <c r="J26" s="25"/>
      <c r="K26" s="25"/>
      <c r="L26" s="25"/>
      <c r="M26" s="25"/>
      <c r="N26" s="25"/>
      <c r="O26" s="25"/>
      <c r="P26" s="25"/>
      <c r="T26" s="21" t="s">
        <v>31</v>
      </c>
      <c r="U26" s="13">
        <f t="shared" ref="U26:V26" si="5">G12</f>
        <v>2925</v>
      </c>
      <c r="V26" s="13">
        <f t="shared" si="5"/>
        <v>2911</v>
      </c>
    </row>
    <row r="27" spans="1:34" ht="18.75" customHeight="1">
      <c r="A27" s="22"/>
      <c r="B27" s="24"/>
      <c r="C27" s="25"/>
      <c r="D27" s="25"/>
      <c r="E27" s="25"/>
      <c r="F27" s="25"/>
      <c r="G27" s="24"/>
      <c r="H27" s="25"/>
      <c r="I27" s="25"/>
      <c r="J27" s="25"/>
      <c r="K27" s="25"/>
      <c r="L27" s="25"/>
      <c r="M27" s="25"/>
      <c r="N27" s="25"/>
      <c r="O27" s="25"/>
      <c r="P27" s="25"/>
      <c r="T27" s="21" t="s">
        <v>32</v>
      </c>
      <c r="U27" s="13">
        <f t="shared" ref="U27:V27" si="6">G13</f>
        <v>2903</v>
      </c>
      <c r="V27" s="13">
        <f t="shared" si="6"/>
        <v>2889</v>
      </c>
    </row>
    <row r="28" spans="1:34" ht="18.75" customHeight="1">
      <c r="A28" s="22"/>
      <c r="B28" s="24"/>
      <c r="C28" s="25"/>
      <c r="D28" s="25"/>
      <c r="E28" s="25"/>
      <c r="F28" s="25"/>
      <c r="G28" s="24"/>
      <c r="H28" s="25"/>
      <c r="I28" s="25"/>
      <c r="J28" s="25"/>
      <c r="K28" s="25"/>
      <c r="L28" s="25"/>
      <c r="M28" s="25"/>
      <c r="N28" s="25"/>
      <c r="O28" s="25"/>
      <c r="P28" s="25"/>
      <c r="T28" s="21" t="s">
        <v>33</v>
      </c>
      <c r="U28" s="13">
        <f t="shared" ref="U28:V28" si="7">G14</f>
        <v>2926</v>
      </c>
      <c r="V28" s="13">
        <f t="shared" si="7"/>
        <v>2905</v>
      </c>
    </row>
    <row r="29" spans="1:34" ht="18.75" customHeight="1">
      <c r="A29" s="22"/>
      <c r="B29" s="24"/>
      <c r="C29" s="25"/>
      <c r="D29" s="25"/>
      <c r="E29" s="25"/>
      <c r="F29" s="25"/>
      <c r="G29" s="24"/>
      <c r="H29" s="25"/>
      <c r="I29" s="25"/>
      <c r="J29" s="25"/>
      <c r="K29" s="25"/>
      <c r="L29" s="25"/>
      <c r="M29" s="25"/>
      <c r="N29" s="25"/>
      <c r="O29" s="25"/>
      <c r="P29" s="25"/>
      <c r="T29" s="21" t="s">
        <v>34</v>
      </c>
      <c r="U29" s="13">
        <f t="shared" ref="U29:V29" si="8">G15</f>
        <v>2930</v>
      </c>
      <c r="V29" s="13">
        <f t="shared" si="8"/>
        <v>2909</v>
      </c>
    </row>
    <row r="30" spans="1:34" ht="18.75" customHeight="1">
      <c r="A30" s="22"/>
      <c r="B30" s="24"/>
      <c r="C30" s="25"/>
      <c r="D30" s="25"/>
      <c r="E30" s="25"/>
      <c r="F30" s="25"/>
      <c r="G30" s="24"/>
      <c r="H30" s="25"/>
      <c r="I30" s="25"/>
      <c r="J30" s="25"/>
      <c r="K30" s="25"/>
      <c r="L30" s="25"/>
      <c r="M30" s="25"/>
      <c r="N30" s="25"/>
      <c r="O30" s="25"/>
      <c r="P30" s="25"/>
      <c r="T30" s="21" t="s">
        <v>35</v>
      </c>
      <c r="U30" s="13">
        <f t="shared" ref="U30:V30" si="9">G16</f>
        <v>2957</v>
      </c>
      <c r="V30" s="13">
        <f t="shared" si="9"/>
        <v>2936</v>
      </c>
    </row>
    <row r="31" spans="1:34" ht="9.75" customHeight="1">
      <c r="A31" s="22"/>
      <c r="B31" s="24"/>
      <c r="C31" s="25"/>
      <c r="D31" s="25"/>
      <c r="E31" s="25"/>
      <c r="F31" s="25"/>
      <c r="G31" s="24"/>
      <c r="H31" s="25"/>
      <c r="I31" s="25"/>
      <c r="J31" s="25"/>
      <c r="K31" s="25"/>
      <c r="L31" s="25"/>
      <c r="M31" s="25"/>
      <c r="N31" s="25"/>
      <c r="O31" s="25"/>
      <c r="P31" s="25"/>
      <c r="T31" s="21" t="s">
        <v>36</v>
      </c>
      <c r="U31" s="13">
        <f t="shared" ref="U31:V31" si="10">G17</f>
        <v>2957</v>
      </c>
      <c r="V31" s="13">
        <f t="shared" si="10"/>
        <v>2936</v>
      </c>
    </row>
    <row r="32" spans="1:34" ht="18.75" customHeight="1">
      <c r="A32" s="22"/>
      <c r="B32" s="24"/>
      <c r="C32" s="25"/>
      <c r="D32" s="25"/>
      <c r="E32" s="25"/>
      <c r="F32" s="25"/>
      <c r="G32" s="24"/>
      <c r="H32" s="25"/>
      <c r="I32" s="25"/>
      <c r="J32" s="25"/>
      <c r="K32" s="25"/>
      <c r="L32" s="25"/>
      <c r="M32" s="25"/>
      <c r="N32" s="25"/>
      <c r="O32" s="25"/>
      <c r="P32" s="25"/>
      <c r="T32" s="21" t="s">
        <v>37</v>
      </c>
      <c r="U32" s="13">
        <f t="shared" ref="U32:V32" si="11">G18</f>
        <v>2963</v>
      </c>
      <c r="V32" s="13">
        <f t="shared" si="11"/>
        <v>2942</v>
      </c>
    </row>
    <row r="33" spans="1:22" ht="18.75" customHeight="1">
      <c r="A33" s="22"/>
      <c r="B33" s="24"/>
      <c r="C33" s="25"/>
      <c r="D33" s="25"/>
      <c r="E33" s="25"/>
      <c r="F33" s="25"/>
      <c r="G33" s="24"/>
      <c r="H33" s="25"/>
      <c r="I33" s="25"/>
      <c r="J33" s="25"/>
      <c r="K33" s="25"/>
      <c r="L33" s="25"/>
      <c r="M33" s="25"/>
      <c r="N33" s="25"/>
      <c r="O33" s="25"/>
      <c r="P33" s="25"/>
      <c r="T33" s="5"/>
      <c r="U33" s="5"/>
      <c r="V33" s="5"/>
    </row>
    <row r="34" spans="1:22" ht="12.75">
      <c r="B34" s="24"/>
      <c r="C34" s="25"/>
      <c r="D34" s="25"/>
      <c r="E34" s="25"/>
      <c r="F34" s="25"/>
      <c r="G34" s="24"/>
      <c r="H34" s="25"/>
      <c r="I34" s="25"/>
      <c r="J34" s="25"/>
      <c r="K34" s="25"/>
      <c r="L34" s="25"/>
      <c r="M34" s="25"/>
      <c r="N34" s="25"/>
      <c r="O34" s="25"/>
      <c r="P34" s="25"/>
    </row>
    <row r="35" spans="1:22" ht="12.75">
      <c r="B35" s="24"/>
      <c r="C35" s="25"/>
      <c r="D35" s="25"/>
      <c r="E35" s="25"/>
      <c r="F35" s="25"/>
      <c r="G35" s="24"/>
      <c r="H35" s="25"/>
      <c r="I35" s="25"/>
      <c r="J35" s="25"/>
      <c r="K35" s="25"/>
      <c r="L35" s="25"/>
      <c r="M35" s="25"/>
      <c r="N35" s="25"/>
      <c r="O35" s="25"/>
      <c r="P35" s="25"/>
    </row>
    <row r="36" spans="1:22" ht="12.75">
      <c r="B36" s="24"/>
      <c r="C36" s="25"/>
      <c r="D36" s="25"/>
      <c r="E36" s="25"/>
      <c r="F36" s="25"/>
      <c r="G36" s="24"/>
      <c r="H36" s="25"/>
      <c r="I36" s="25"/>
      <c r="J36" s="25"/>
      <c r="K36" s="25"/>
      <c r="L36" s="25"/>
      <c r="M36" s="25"/>
      <c r="N36" s="25"/>
      <c r="O36" s="25"/>
      <c r="P36" s="25"/>
    </row>
    <row r="70" spans="24:24">
      <c r="X70" s="28"/>
    </row>
    <row r="71" spans="24:24">
      <c r="X71" s="28"/>
    </row>
  </sheetData>
  <mergeCells count="5">
    <mergeCell ref="G3:K3"/>
    <mergeCell ref="A1:K1"/>
    <mergeCell ref="A2:K2"/>
    <mergeCell ref="A3:A5"/>
    <mergeCell ref="B3:F3"/>
  </mergeCells>
  <pageMargins left="0.7" right="0.7" top="0.75" bottom="0.75" header="0.3" footer="0.3"/>
  <pageSetup paperSize="9" scale="55" orientation="landscape" horizontalDpi="4294967295" verticalDpi="4294967295" r:id="rId1"/>
  <rowBreaks count="1" manualBreakCount="1">
    <brk id="38" max="2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10.7</vt:lpstr>
      <vt:lpstr>'10.7'!Print_Area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2020-09-07T02:49:53Z</cp:lastPrinted>
  <dcterms:created xsi:type="dcterms:W3CDTF">2019-02-27T06:18:18Z</dcterms:created>
  <dcterms:modified xsi:type="dcterms:W3CDTF">2020-09-07T02:50:00Z</dcterms:modified>
</cp:coreProperties>
</file>