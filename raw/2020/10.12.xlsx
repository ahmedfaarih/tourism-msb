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12" sheetId="12" r:id="rId1"/>
  </sheets>
  <definedNames>
    <definedName name="_xlnm.Print_Area" localSheetId="0">'10.12'!$A$1:$K$62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6" i="12" l="1"/>
  <c r="AB27" i="12" l="1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E45" i="12"/>
  <c r="H5" i="12"/>
  <c r="I9" i="12" s="1"/>
  <c r="I21" i="12" l="1"/>
  <c r="I24" i="12"/>
  <c r="I16" i="12"/>
  <c r="I8" i="12"/>
  <c r="I23" i="12"/>
  <c r="I15" i="12"/>
  <c r="I7" i="12"/>
  <c r="I22" i="12"/>
  <c r="I14" i="12"/>
  <c r="I6" i="12"/>
  <c r="I13" i="12"/>
  <c r="I20" i="12"/>
  <c r="I12" i="12"/>
  <c r="I19" i="12"/>
  <c r="I11" i="12"/>
  <c r="I18" i="12"/>
  <c r="I10" i="12"/>
  <c r="I5" i="12"/>
  <c r="I17" i="12"/>
  <c r="AB45" i="12" l="1"/>
  <c r="AD45" i="12"/>
  <c r="AC45" i="12" l="1"/>
  <c r="G5" i="12"/>
  <c r="F5" i="12"/>
  <c r="E5" i="12"/>
  <c r="D5" i="12"/>
  <c r="C5" i="12"/>
  <c r="B5" i="12"/>
</calcChain>
</file>

<file path=xl/sharedStrings.xml><?xml version="1.0" encoding="utf-8"?>
<sst xmlns="http://schemas.openxmlformats.org/spreadsheetml/2006/main" count="73" uniqueCount="69">
  <si>
    <t>ޖުމްލަ</t>
  </si>
  <si>
    <t>-</t>
  </si>
  <si>
    <t>Source: Ministry of Tourism</t>
  </si>
  <si>
    <t>cmwzirUT cfoa  IrcTcsinim :ctWrwf ivcaed utWmUluAwm</t>
  </si>
  <si>
    <t>Resorts</t>
  </si>
  <si>
    <t xml:space="preserve">% Share </t>
  </si>
  <si>
    <t>އަތޮޅުތައް</t>
  </si>
  <si>
    <t>All Resorts ( include marinas)</t>
  </si>
  <si>
    <t>North Thiladhunmathi Atoll (HA)</t>
  </si>
  <si>
    <t>ތިލަދުންމަތި އުތުރުބުރި (ހއ)</t>
  </si>
  <si>
    <t>South Thiladhunmathi Atoll (H.Dh)</t>
  </si>
  <si>
    <t>North Miladhunmadulu Atoll (Sh)</t>
  </si>
  <si>
    <t>މިލަދުންމަޑޫލު އުތުރުބުރި (ށ)</t>
  </si>
  <si>
    <t>South Miladhunmadulu Atoll (N)</t>
  </si>
  <si>
    <t>މިލަދުންމަޑޫލު ދެކުނުބުރި (ނ)</t>
  </si>
  <si>
    <t>North Maalhosmadulu (R)</t>
  </si>
  <si>
    <t>މާޅޮސްމަޑުލު އުތުރުބުރި (ރ)</t>
  </si>
  <si>
    <t>South Maalhosmadulu (B)</t>
  </si>
  <si>
    <t>މާޅޮސްމަޑުލު ދެކުނުބުރި (ބ)</t>
  </si>
  <si>
    <t>Faadhippolhu (Lh)</t>
  </si>
  <si>
    <t>ފާދިއްޕޮޅު (ޅ)</t>
  </si>
  <si>
    <t>Male' Atoll (K)</t>
  </si>
  <si>
    <t>މާލެ އަތޮޅު (ކ)</t>
  </si>
  <si>
    <t>North Ari Atoll (AA)</t>
  </si>
  <si>
    <t>އަރިއަތޮޅު އުތުރުބުރި (އއ)</t>
  </si>
  <si>
    <t>South Ari Atoll (ADh)</t>
  </si>
  <si>
    <t>އަރިއަތޮޅު ދެކުނުބުރި (އދ)</t>
  </si>
  <si>
    <t>Felidhu Atoll (V)</t>
  </si>
  <si>
    <t>ފެލިދެ އަތޮޅު (ވ)</t>
  </si>
  <si>
    <t>Mulakatholhu (M)</t>
  </si>
  <si>
    <t>މުލަކަތޮޅު (މ)</t>
  </si>
  <si>
    <t>North Nilandhe Atoll (F)</t>
  </si>
  <si>
    <t>ނިލަންދެ އަތޮޅު އުތުރުބުރި (ފ)</t>
  </si>
  <si>
    <t>South Nilandhe Atoll (D)</t>
  </si>
  <si>
    <t>ނިލަންދެ އަތޮޅު ދެކުނުބުރި (ދ)</t>
  </si>
  <si>
    <t>Thaa Atoll (Th)</t>
  </si>
  <si>
    <t>ކޮޅުމަޑުލު (ތ)</t>
  </si>
  <si>
    <t>Laamu Atoll (L)</t>
  </si>
  <si>
    <t>ހައްދުންމަތި (ލ)</t>
  </si>
  <si>
    <t>North Huvadhu Atoll (GA)</t>
  </si>
  <si>
    <t>ހުވަދު އަތޮޅު އުތުރުބުރި (ގއ)</t>
  </si>
  <si>
    <t>South Huvadhu Atoll (GDh)</t>
  </si>
  <si>
    <t>ހުވަދު އަތޮޅު ދެކުނުބުރި (ގދ)</t>
  </si>
  <si>
    <t>Addu Atoll (S)</t>
  </si>
  <si>
    <t>އައްޑު އަތޮޅު (ސ)</t>
  </si>
  <si>
    <t>HA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</si>
  <si>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</si>
  <si>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</si>
  <si>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</si>
  <si>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</si>
  <si>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</si>
  <si>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</si>
  <si>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</si>
  <si>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</si>
  <si>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</si>
  <si>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</si>
  <si>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</si>
  <si>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</t>
  </si>
  <si>
    <t>Th</t>
  </si>
  <si>
    <t>L</t>
  </si>
  <si>
    <t>GA</t>
  </si>
  <si>
    <t>GDh</t>
  </si>
  <si>
    <t>S</t>
  </si>
  <si>
    <t>HDh</t>
  </si>
  <si>
    <t>ތާވަލު 10.12: ރިސޯޓުތަކުގެ އެނދުގެ ޖާގަ އަތޮޅުތަކަށް ބެހިފައިވާ ގޮތް، 2013 - 2019</t>
  </si>
  <si>
    <t>Table 10.12 :   BED CAPACITY OF TOURIST RESORTS BY ATOLL, 2013 - 2019</t>
  </si>
  <si>
    <t>in 2019</t>
  </si>
  <si>
    <t>ތިލަދުންމަތި ދެކުނުބުރި (ހދ)</t>
  </si>
  <si>
    <t>number of resorts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</si>
</sst>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0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Faruma"/>
    </font>
    <font>
      <b/>
      <sz val="12"/>
      <color theme="1"/>
      <name val="Calibri"/>
      <family val="2"/>
      <scheme val="minor"/>
    </font>
    <font>
      <i/>
      <sz val="9"/>
      <color theme="1"/>
      <name val="Arial"/>
      <family val="2"/>
    </font>
    <font>
      <sz val="10"/>
      <color theme="1"/>
      <name val="Faruma"/>
    </font>
    <font>
      <sz val="10"/>
      <color theme="1"/>
      <name val="Times New Roman"/>
      <family val="1"/>
    </font>
    <font>
      <i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165" fontId="18" fillId="0" borderId="0"/>
    <xf numFmtId="1" fontId="19" fillId="0" borderId="13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74">
    <xf numFmtId="0" fontId="0" fillId="0" borderId="0" xfId="0"/>
    <xf numFmtId="3" fontId="6" fillId="2" borderId="0" xfId="2" applyNumberFormat="1" applyFont="1" applyFill="1" applyBorder="1" applyAlignment="1" applyProtection="1">
      <alignment horizontal="right" vertical="center"/>
      <protection locked="0"/>
    </xf>
    <xf numFmtId="0" fontId="9" fillId="2" borderId="2" xfId="2" applyFont="1" applyFill="1" applyBorder="1"/>
    <xf numFmtId="0" fontId="9" fillId="2" borderId="3" xfId="2" applyFont="1" applyFill="1" applyBorder="1"/>
    <xf numFmtId="0" fontId="5" fillId="2" borderId="9" xfId="2" applyFont="1" applyFill="1" applyBorder="1" applyAlignment="1">
      <alignment horizontal="center" vertical="center"/>
    </xf>
    <xf numFmtId="0" fontId="6" fillId="2" borderId="9" xfId="2" applyFont="1" applyFill="1" applyBorder="1" applyAlignment="1">
      <alignment horizontal="right"/>
    </xf>
    <xf numFmtId="0" fontId="9" fillId="2" borderId="5" xfId="2" applyFont="1" applyFill="1" applyBorder="1"/>
    <xf numFmtId="0" fontId="9" fillId="2" borderId="0" xfId="2" applyFont="1" applyFill="1" applyBorder="1"/>
    <xf numFmtId="1" fontId="5" fillId="2" borderId="10" xfId="2" applyNumberFormat="1" applyFont="1" applyFill="1" applyBorder="1" applyAlignment="1">
      <alignment vertical="center"/>
    </xf>
    <xf numFmtId="1" fontId="5" fillId="2" borderId="10" xfId="2" applyNumberFormat="1" applyFont="1" applyFill="1" applyBorder="1" applyAlignment="1">
      <alignment horizontal="right" vertical="center"/>
    </xf>
    <xf numFmtId="0" fontId="5" fillId="2" borderId="11" xfId="2" applyFont="1" applyFill="1" applyBorder="1" applyAlignment="1">
      <alignment horizontal="center" vertical="center"/>
    </xf>
    <xf numFmtId="0" fontId="7" fillId="2" borderId="11" xfId="2" applyFont="1" applyFill="1" applyBorder="1" applyAlignment="1" applyProtection="1">
      <alignment horizontal="right" vertical="center"/>
    </xf>
    <xf numFmtId="0" fontId="5" fillId="2" borderId="1" xfId="2" applyFont="1" applyFill="1" applyBorder="1" applyAlignment="1" applyProtection="1">
      <alignment horizontal="left" vertical="center"/>
    </xf>
    <xf numFmtId="3" fontId="5" fillId="2" borderId="1" xfId="2" applyNumberFormat="1" applyFont="1" applyFill="1" applyBorder="1" applyAlignment="1">
      <alignment horizontal="right" vertical="center"/>
    </xf>
    <xf numFmtId="3" fontId="5" fillId="2" borderId="1" xfId="2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 applyProtection="1">
      <alignment horizontal="right" vertical="center"/>
    </xf>
    <xf numFmtId="0" fontId="9" fillId="2" borderId="2" xfId="2" applyFont="1" applyFill="1" applyBorder="1" applyAlignment="1">
      <alignment vertical="center"/>
    </xf>
    <xf numFmtId="0" fontId="9" fillId="2" borderId="5" xfId="2" applyFont="1" applyFill="1" applyBorder="1" applyAlignment="1">
      <alignment vertical="center"/>
    </xf>
    <xf numFmtId="0" fontId="9" fillId="2" borderId="0" xfId="2" applyFont="1" applyFill="1" applyBorder="1" applyAlignment="1">
      <alignment vertical="center"/>
    </xf>
    <xf numFmtId="0" fontId="6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right" vertical="center"/>
    </xf>
    <xf numFmtId="0" fontId="13" fillId="2" borderId="2" xfId="2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>
      <alignment vertical="center"/>
    </xf>
    <xf numFmtId="3" fontId="14" fillId="2" borderId="0" xfId="0" applyNumberFormat="1" applyFont="1" applyFill="1" applyBorder="1"/>
    <xf numFmtId="0" fontId="6" fillId="2" borderId="0" xfId="2" applyFont="1" applyFill="1" applyBorder="1" applyAlignment="1">
      <alignment vertical="center"/>
    </xf>
    <xf numFmtId="3" fontId="6" fillId="2" borderId="0" xfId="2" applyNumberFormat="1" applyFont="1" applyFill="1" applyBorder="1" applyAlignment="1">
      <alignment horizontal="right" vertical="center"/>
    </xf>
    <xf numFmtId="0" fontId="13" fillId="2" borderId="2" xfId="2" applyFont="1" applyFill="1" applyBorder="1" applyAlignment="1" applyProtection="1">
      <alignment horizontal="right" vertical="center"/>
    </xf>
    <xf numFmtId="0" fontId="6" fillId="2" borderId="2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>
      <alignment vertical="center"/>
    </xf>
    <xf numFmtId="0" fontId="8" fillId="2" borderId="5" xfId="2" applyFont="1" applyFill="1" applyBorder="1" applyAlignment="1">
      <alignment vertical="center"/>
    </xf>
    <xf numFmtId="0" fontId="8" fillId="2" borderId="0" xfId="2" applyFont="1" applyFill="1" applyBorder="1" applyAlignment="1">
      <alignment vertical="center"/>
    </xf>
    <xf numFmtId="0" fontId="6" fillId="2" borderId="0" xfId="2" applyFont="1" applyFill="1" applyBorder="1" applyAlignment="1" applyProtection="1">
      <alignment horizontal="left" vertical="center"/>
    </xf>
    <xf numFmtId="3" fontId="6" fillId="2" borderId="2" xfId="2" applyNumberFormat="1" applyFont="1" applyFill="1" applyBorder="1" applyAlignment="1" applyProtection="1">
      <alignment horizontal="right" vertical="center"/>
      <protection locked="0"/>
    </xf>
    <xf numFmtId="0" fontId="6" fillId="2" borderId="3" xfId="2" applyFont="1" applyFill="1" applyBorder="1" applyAlignment="1">
      <alignment horizontal="left" vertical="center"/>
    </xf>
    <xf numFmtId="3" fontId="6" fillId="2" borderId="3" xfId="2" applyNumberFormat="1" applyFont="1" applyFill="1" applyBorder="1" applyAlignment="1">
      <alignment horizontal="right" vertical="center"/>
    </xf>
    <xf numFmtId="0" fontId="13" fillId="2" borderId="3" xfId="2" applyFont="1" applyFill="1" applyBorder="1" applyAlignment="1" applyProtection="1">
      <alignment horizontal="right" vertical="center"/>
    </xf>
    <xf numFmtId="0" fontId="9" fillId="2" borderId="3" xfId="2" applyFont="1" applyFill="1" applyBorder="1" applyAlignment="1">
      <alignment vertical="center"/>
    </xf>
    <xf numFmtId="0" fontId="9" fillId="2" borderId="12" xfId="2" applyFont="1" applyFill="1" applyBorder="1" applyAlignment="1">
      <alignment vertical="center"/>
    </xf>
    <xf numFmtId="0" fontId="6" fillId="2" borderId="0" xfId="2" applyFont="1" applyFill="1" applyBorder="1" applyAlignment="1">
      <alignment horizontal="left" vertical="center"/>
    </xf>
    <xf numFmtId="0" fontId="13" fillId="2" borderId="1" xfId="2" applyFont="1" applyFill="1" applyBorder="1" applyAlignment="1" applyProtection="1">
      <alignment horizontal="right" vertical="center"/>
    </xf>
    <xf numFmtId="0" fontId="13" fillId="2" borderId="0" xfId="2" applyFont="1" applyFill="1" applyBorder="1" applyAlignment="1" applyProtection="1">
      <alignment horizontal="right" vertical="center"/>
    </xf>
    <xf numFmtId="0" fontId="6" fillId="2" borderId="1" xfId="2" applyFont="1" applyFill="1" applyBorder="1" applyAlignment="1">
      <alignment horizontal="left" vertical="center"/>
    </xf>
    <xf numFmtId="3" fontId="6" fillId="2" borderId="1" xfId="2" applyNumberFormat="1" applyFont="1" applyFill="1" applyBorder="1" applyAlignment="1">
      <alignment horizontal="right" vertical="center"/>
    </xf>
    <xf numFmtId="0" fontId="9" fillId="2" borderId="1" xfId="2" applyFont="1" applyFill="1" applyBorder="1" applyAlignment="1">
      <alignment vertical="center"/>
    </xf>
    <xf numFmtId="0" fontId="9" fillId="2" borderId="4" xfId="2" applyFont="1" applyFill="1" applyBorder="1" applyAlignment="1">
      <alignment vertical="center"/>
    </xf>
    <xf numFmtId="0" fontId="6" fillId="2" borderId="11" xfId="2" applyFont="1" applyFill="1" applyBorder="1" applyAlignment="1">
      <alignment horizontal="left" vertical="center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11" xfId="2" applyNumberFormat="1" applyFont="1" applyFill="1" applyBorder="1" applyAlignment="1">
      <alignment horizontal="center" vertical="center"/>
    </xf>
    <xf numFmtId="0" fontId="13" fillId="2" borderId="11" xfId="2" applyFont="1" applyFill="1" applyBorder="1" applyAlignment="1">
      <alignment horizontal="right" vertical="center"/>
    </xf>
    <xf numFmtId="0" fontId="4" fillId="2" borderId="2" xfId="2" applyFont="1" applyFill="1" applyBorder="1" applyAlignment="1" applyProtection="1">
      <alignment horizontal="left" vertical="center"/>
    </xf>
    <xf numFmtId="0" fontId="12" fillId="2" borderId="2" xfId="2" applyFont="1" applyFill="1" applyBorder="1" applyAlignment="1" applyProtection="1">
      <alignment horizontal="left" vertical="center"/>
    </xf>
    <xf numFmtId="0" fontId="12" fillId="2" borderId="1" xfId="2" applyFont="1" applyFill="1" applyBorder="1" applyAlignment="1" applyProtection="1">
      <alignment horizontal="left" vertical="center"/>
    </xf>
    <xf numFmtId="0" fontId="15" fillId="2" borderId="2" xfId="2" applyFont="1" applyFill="1" applyBorder="1"/>
    <xf numFmtId="3" fontId="9" fillId="2" borderId="2" xfId="2" applyNumberFormat="1" applyFont="1" applyFill="1" applyBorder="1"/>
    <xf numFmtId="3" fontId="5" fillId="2" borderId="0" xfId="2" applyNumberFormat="1" applyFont="1" applyFill="1" applyBorder="1" applyAlignment="1" applyProtection="1">
      <alignment horizontal="right" vertical="center"/>
      <protection locked="0"/>
    </xf>
    <xf numFmtId="3" fontId="6" fillId="2" borderId="1" xfId="2" applyNumberFormat="1" applyFont="1" applyFill="1" applyBorder="1" applyAlignment="1">
      <alignment horizontal="center" vertical="center"/>
    </xf>
    <xf numFmtId="1" fontId="9" fillId="2" borderId="0" xfId="2" applyNumberFormat="1" applyFont="1" applyFill="1" applyBorder="1"/>
    <xf numFmtId="0" fontId="14" fillId="2" borderId="0" xfId="0" applyFont="1" applyFill="1" applyBorder="1"/>
    <xf numFmtId="164" fontId="9" fillId="2" borderId="0" xfId="1" applyNumberFormat="1" applyFont="1" applyFill="1" applyBorder="1"/>
    <xf numFmtId="0" fontId="9" fillId="2" borderId="0" xfId="0" applyFont="1" applyFill="1" applyBorder="1"/>
    <xf numFmtId="0" fontId="9" fillId="2" borderId="12" xfId="2" applyFont="1" applyFill="1" applyBorder="1"/>
    <xf numFmtId="0" fontId="9" fillId="2" borderId="1" xfId="2" applyFont="1" applyFill="1" applyBorder="1"/>
    <xf numFmtId="0" fontId="9" fillId="2" borderId="4" xfId="2" applyFont="1" applyFill="1" applyBorder="1"/>
    <xf numFmtId="1" fontId="9" fillId="2" borderId="0" xfId="2" applyNumberFormat="1" applyFont="1" applyFill="1" applyBorder="1" applyAlignment="1">
      <alignment horizontal="center"/>
    </xf>
    <xf numFmtId="0" fontId="10" fillId="2" borderId="5" xfId="2" applyFont="1" applyFill="1" applyBorder="1" applyAlignment="1">
      <alignment horizontal="center"/>
    </xf>
    <xf numFmtId="0" fontId="10" fillId="2" borderId="6" xfId="2" applyFont="1" applyFill="1" applyBorder="1" applyAlignment="1">
      <alignment horizontal="center"/>
    </xf>
    <xf numFmtId="0" fontId="10" fillId="2" borderId="7" xfId="2" applyFont="1" applyFill="1" applyBorder="1" applyAlignment="1">
      <alignment horizontal="center"/>
    </xf>
    <xf numFmtId="0" fontId="11" fillId="2" borderId="3" xfId="2" applyFont="1" applyFill="1" applyBorder="1" applyAlignment="1" applyProtection="1">
      <alignment horizontal="center" vertical="center" wrapText="1"/>
    </xf>
    <xf numFmtId="0" fontId="5" fillId="2" borderId="8" xfId="2" applyFont="1" applyFill="1" applyBorder="1" applyAlignment="1" applyProtection="1">
      <alignment horizontal="center" vertical="center"/>
    </xf>
    <xf numFmtId="0" fontId="5" fillId="2" borderId="10" xfId="2" applyFont="1" applyFill="1" applyBorder="1" applyAlignment="1" applyProtection="1">
      <alignment horizontal="center" vertical="center"/>
    </xf>
    <xf numFmtId="0" fontId="16" fillId="2" borderId="0" xfId="2" applyFont="1" applyFill="1" applyBorder="1" applyAlignment="1">
      <alignment horizont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right" vertical="center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onsolas" panose="020B0609020204030204" pitchFamily="49" charset="0"/>
                <a:cs typeface="Consolas" pitchFamily="49" charset="0"/>
              </a:rPr>
              <a:t>Figure 10.19: Number of resorts by Atoll, 2017-201</a:t>
            </a:r>
            <a:r>
              <a:rPr lang="dv-MV" sz="1100">
                <a:latin typeface="Consolas" panose="020B0609020204030204" pitchFamily="49" charset="0"/>
                <a:cs typeface="Consolas" pitchFamily="49" charset="0"/>
              </a:rPr>
              <a:t>9</a:t>
            </a:r>
            <a:endParaRPr lang="en-US" sz="1100">
              <a:latin typeface="Consolas" panose="020B0609020204030204" pitchFamily="49" charset="0"/>
              <a:cs typeface="Consolas" pitchFamily="49" charset="0"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87517185351831E-2"/>
          <c:y val="0.15104465600336545"/>
          <c:w val="0.88651527934008245"/>
          <c:h val="0.6908977841184487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'10.12'!$AC$25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663300"/>
            </a:solidFill>
          </c:spPr>
          <c:invertIfNegative val="0"/>
          <c:cat>
            <c:strRef>
              <c:f>'10.12'!$AA$26:$AA$44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'10.12'!$AC$26:$AC$44</c:f>
              <c:numCache>
                <c:formatCode>General</c:formatCode>
                <c:ptCount val="19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6</c:v>
                </c:pt>
                <c:pt idx="5">
                  <c:v>13</c:v>
                </c:pt>
                <c:pt idx="6">
                  <c:v>8</c:v>
                </c:pt>
                <c:pt idx="7">
                  <c:v>45</c:v>
                </c:pt>
                <c:pt idx="8">
                  <c:v>13</c:v>
                </c:pt>
                <c:pt idx="9">
                  <c:v>17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0E1-43F7-9F72-1F51BD755BD6}"/>
            </c:ext>
          </c:extLst>
        </c:ser>
        <c:ser>
          <c:idx val="0"/>
          <c:order val="1"/>
          <c:tx>
            <c:strRef>
              <c:f>'10.12'!$AD$25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D6AD84"/>
            </a:solidFill>
          </c:spPr>
          <c:invertIfNegative val="0"/>
          <c:cat>
            <c:strRef>
              <c:f>'10.12'!$AA$26:$AA$44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'10.12'!$AD$26:$AD$44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8</c:v>
                </c:pt>
                <c:pt idx="5">
                  <c:v>15</c:v>
                </c:pt>
                <c:pt idx="6">
                  <c:v>9</c:v>
                </c:pt>
                <c:pt idx="7">
                  <c:v>47</c:v>
                </c:pt>
                <c:pt idx="8">
                  <c:v>13</c:v>
                </c:pt>
                <c:pt idx="9">
                  <c:v>17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7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D60-4D1B-A849-57DBE4C578D3}"/>
            </c:ext>
          </c:extLst>
        </c:ser>
        <c:ser>
          <c:idx val="2"/>
          <c:order val="2"/>
          <c:tx>
            <c:strRef>
              <c:f>'10.12'!$AE$25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996633"/>
            </a:solidFill>
          </c:spPr>
          <c:invertIfNegative val="0"/>
          <c:cat>
            <c:strRef>
              <c:f>'10.12'!$AA$26:$AA$44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'10.12'!$AE$26:$AE$44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52</c:v>
                </c:pt>
                <c:pt idx="8">
                  <c:v>13</c:v>
                </c:pt>
                <c:pt idx="9">
                  <c:v>17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9</c:v>
                </c:pt>
                <c:pt idx="14">
                  <c:v>1</c:v>
                </c:pt>
                <c:pt idx="15">
                  <c:v>2</c:v>
                </c:pt>
                <c:pt idx="16">
                  <c:v>6</c:v>
                </c:pt>
                <c:pt idx="17">
                  <c:v>3</c:v>
                </c:pt>
                <c:pt idx="18">
                  <c:v>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340060640"/>
        <c:axId val="340061032"/>
      </c:barChart>
      <c:catAx>
        <c:axId val="3400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340061032"/>
        <c:crosses val="autoZero"/>
        <c:auto val="1"/>
        <c:lblAlgn val="ctr"/>
        <c:lblOffset val="100"/>
        <c:noMultiLvlLbl val="0"/>
      </c:catAx>
      <c:valAx>
        <c:axId val="3400610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5.7213056972832878E-3"/>
              <c:y val="0.3425656167979003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40060640"/>
        <c:crosses val="autoZero"/>
        <c:crossBetween val="between"/>
      </c:valAx>
      <c:spPr>
        <a:solidFill>
          <a:srgbClr val="F6ECE2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>
                <a:latin typeface="Candara" pitchFamily="34" charset="0"/>
                <a:cs typeface="Consolas" pitchFamily="49" charset="0"/>
              </a:defRPr>
            </a:pP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Figure 10.20: Number of registered beds of tourist resorts by Atolls, 201</a:t>
            </a:r>
            <a:r>
              <a:rPr lang="dv-MV" sz="1100" b="1" i="0" baseline="0">
                <a:latin typeface="Consolas" panose="020B0609020204030204" pitchFamily="49" charset="0"/>
                <a:cs typeface="Consolas" pitchFamily="49" charset="0"/>
              </a:rPr>
              <a:t>9</a:t>
            </a:r>
            <a:r>
              <a:rPr lang="en-US" sz="1100" b="1" i="0" baseline="0">
                <a:latin typeface="Consolas" panose="020B0609020204030204" pitchFamily="49" charset="0"/>
                <a:cs typeface="Consolas" pitchFamily="49" charset="0"/>
              </a:rPr>
              <a:t>  </a:t>
            </a:r>
            <a:endParaRPr lang="en-US" sz="1100" b="1">
              <a:latin typeface="Consolas" panose="020B0609020204030204" pitchFamily="49" charset="0"/>
              <a:cs typeface="Consolas" pitchFamily="49" charset="0"/>
            </a:endParaRPr>
          </a:p>
        </c:rich>
      </c:tx>
      <c:layout>
        <c:manualLayout>
          <c:xMode val="edge"/>
          <c:yMode val="edge"/>
          <c:x val="0.13557541252854208"/>
          <c:y val="2.89057317658962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388201474815648"/>
          <c:y val="0.1600313294171562"/>
          <c:w val="0.85448928258967627"/>
          <c:h val="0.674019947506563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6633"/>
            </a:solidFill>
          </c:spPr>
          <c:invertIfNegative val="0"/>
          <c:cat>
            <c:strRef>
              <c:f>'10.12'!$AA$26:$AA$44</c:f>
              <c:strCache>
                <c:ptCount val="19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S</c:v>
                </c:pt>
              </c:strCache>
            </c:strRef>
          </c:cat>
          <c:val>
            <c:numRef>
              <c:f>'10.12'!$AB$26:$AB$44</c:f>
              <c:numCache>
                <c:formatCode>_(* #,##0_);_(* \(#,##0\);_(* "-"??_);_(@_)</c:formatCode>
                <c:ptCount val="19"/>
                <c:pt idx="0">
                  <c:v>594</c:v>
                </c:pt>
                <c:pt idx="1">
                  <c:v>118</c:v>
                </c:pt>
                <c:pt idx="2">
                  <c:v>457</c:v>
                </c:pt>
                <c:pt idx="3">
                  <c:v>1398</c:v>
                </c:pt>
                <c:pt idx="4">
                  <c:v>3324</c:v>
                </c:pt>
                <c:pt idx="5">
                  <c:v>2918</c:v>
                </c:pt>
                <c:pt idx="6">
                  <c:v>2440</c:v>
                </c:pt>
                <c:pt idx="7">
                  <c:v>12100</c:v>
                </c:pt>
                <c:pt idx="8">
                  <c:v>2538</c:v>
                </c:pt>
                <c:pt idx="9">
                  <c:v>4056</c:v>
                </c:pt>
                <c:pt idx="10">
                  <c:v>614</c:v>
                </c:pt>
                <c:pt idx="11">
                  <c:v>400</c:v>
                </c:pt>
                <c:pt idx="12">
                  <c:v>250</c:v>
                </c:pt>
                <c:pt idx="13">
                  <c:v>2786</c:v>
                </c:pt>
                <c:pt idx="14">
                  <c:v>152</c:v>
                </c:pt>
                <c:pt idx="15">
                  <c:v>242</c:v>
                </c:pt>
                <c:pt idx="16">
                  <c:v>1141</c:v>
                </c:pt>
                <c:pt idx="17">
                  <c:v>550</c:v>
                </c:pt>
                <c:pt idx="18">
                  <c:v>926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FF7-4497-9288-AE950A107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3"/>
        <c:axId val="404160176"/>
        <c:axId val="404161352"/>
      </c:barChart>
      <c:catAx>
        <c:axId val="4041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04161352"/>
        <c:crosses val="autoZero"/>
        <c:auto val="1"/>
        <c:lblAlgn val="ctr"/>
        <c:lblOffset val="100"/>
        <c:noMultiLvlLbl val="0"/>
      </c:catAx>
      <c:valAx>
        <c:axId val="4041613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>
            <c:manualLayout>
              <c:xMode val="edge"/>
              <c:yMode val="edge"/>
              <c:x val="7.9582797248383547E-3"/>
              <c:y val="0.37854523699243481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404160176"/>
        <c:crosses val="autoZero"/>
        <c:crossBetween val="between"/>
      </c:valAx>
      <c:spPr>
        <a:solidFill>
          <a:srgbClr val="F6ECE2"/>
        </a:solidFill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885825</xdr:colOff>
      <xdr:row>25</xdr:row>
      <xdr:rowOff>76200</xdr:rowOff>
    </xdr:from>
    <xdr:to>
      <xdr:col>9</xdr:col>
      <xdr:colOff>790575</xdr:colOff>
      <xdr:row>41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866775</xdr:colOff>
      <xdr:row>42</xdr:row>
      <xdr:rowOff>95249</xdr:rowOff>
    </xdr:from>
    <xdr:to>
      <xdr:col>9</xdr:col>
      <xdr:colOff>771525</xdr:colOff>
      <xdr:row>61</xdr:row>
      <xdr:rowOff>19049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43</xdr:row>
      <xdr:rowOff>99060</xdr:rowOff>
    </xdr:from>
    <xdr:to>
      <xdr:col>1</xdr:col>
      <xdr:colOff>144780</xdr:colOff>
      <xdr:row>44</xdr:row>
      <xdr:rowOff>15240</xdr:rowOff>
    </xdr:to>
    <xdr:sp macro="" textlink="">
      <xdr:nvSpPr>
        <xdr:cNvPr id="4" name="Left Arrow 3"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3411855" y="9243060"/>
          <a:ext cx="933450" cy="78105"/>
        </a:xfrm>
        <a:prstGeom prst="leftArrow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0.31532</cdr:x>
      <cdr:y>0.33428</cdr:y>
    </cdr:from>
    <cdr:to>
      <cdr:x>0.34384</cdr:x>
      <cdr:y>0.43343</cdr:y>
    </cdr:to>
    <cdr:sp macro="" textlink="">
      <cdr:nvSpPr>
        <cdr:cNvPr id="2" name="Left Arrow 1"/>
        <cdr:cNvSpPr/>
      </cdr:nvSpPr>
      <cdr:spPr bwMode="auto">
        <a:xfrm xmlns:a="http://schemas.openxmlformats.org/drawingml/2006/main">
          <a:off x="1600200" y="899160"/>
          <a:ext cx="144780" cy="266700"/>
        </a:xfrm>
        <a:prstGeom xmlns:a="http://schemas.openxmlformats.org/drawingml/2006/main" prst="leftArrow">
          <a:avLst/>
        </a:prstGeom>
        <a:noFill xmlns:a="http://schemas.openxmlformats.org/drawingml/2006/main"/>
        <a:ln xmlns:a="http://schemas.openxmlformats.org/drawingml/2006/main" w="9525" cap="flat" cmpd="sng" algn="ctr">
          <a:noFill/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vertOverflow="clip" wrap="square" lIns="18288" tIns="0" rIns="0" bIns="0" upright="1"/>
        <a:lstStyle xmlns:a="http://schemas.openxmlformats.org/drawingml/2006/main"/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1605"/>
  <sheetViews>
    <sheetView tabSelected="1" zoomScale="106" zoomScaleNormal="106" workbookViewId="0">
      <selection activeCell="T37" sqref="T37"/>
    </sheetView>
  </sheetViews>
  <sheetFormatPr defaultColWidth="9.140625" defaultRowHeight="12.75"/>
  <cols>
    <col min="1" max="1" width="28.140625" style="2" customWidth="1"/>
    <col min="2" max="8" width="8.7109375" style="2" customWidth="1"/>
    <col min="9" max="9" width="17" style="2" customWidth="1"/>
    <col min="10" max="10" width="23.28515625" style="2" customWidth="1"/>
    <col min="11" max="11" width="2" style="6" customWidth="1"/>
    <col min="12" max="27" width="9.140625" style="7"/>
    <col min="28" max="28" width="9.42578125" style="7" bestFit="1" customWidth="1"/>
    <col min="29" max="100" width="9.140625" style="7"/>
    <col min="101" max="16384" width="9.140625" style="2"/>
  </cols>
  <sheetData>
    <row r="1" spans="1:103" ht="18.75" customHeight="1">
      <c r="A1" s="64" t="s">
        <v>64</v>
      </c>
      <c r="B1" s="65"/>
      <c r="C1" s="65"/>
      <c r="D1" s="65"/>
      <c r="E1" s="65"/>
      <c r="F1" s="65"/>
      <c r="G1" s="65"/>
      <c r="H1" s="65"/>
      <c r="I1" s="65"/>
      <c r="J1" s="66"/>
    </row>
    <row r="2" spans="1:103" ht="18.75" customHeight="1">
      <c r="A2" s="67" t="s">
        <v>65</v>
      </c>
      <c r="B2" s="67"/>
      <c r="C2" s="67"/>
      <c r="D2" s="67"/>
      <c r="E2" s="67"/>
      <c r="F2" s="67"/>
      <c r="G2" s="67"/>
      <c r="H2" s="67"/>
      <c r="I2" s="67"/>
      <c r="J2" s="67"/>
    </row>
    <row r="3" spans="1:103" ht="13.5" customHeight="1">
      <c r="A3" s="68" t="s">
        <v>4</v>
      </c>
      <c r="B3" s="71"/>
      <c r="C3" s="71"/>
      <c r="D3" s="71"/>
      <c r="E3" s="71"/>
      <c r="F3" s="71"/>
      <c r="G3" s="71"/>
      <c r="H3" s="72"/>
      <c r="I3" s="4" t="s">
        <v>5</v>
      </c>
      <c r="J3" s="5"/>
    </row>
    <row r="4" spans="1:103" ht="15.95" customHeight="1">
      <c r="A4" s="69"/>
      <c r="B4" s="9">
        <v>2013</v>
      </c>
      <c r="C4" s="8">
        <v>2014</v>
      </c>
      <c r="D4" s="8">
        <v>2015</v>
      </c>
      <c r="E4" s="8">
        <v>2016</v>
      </c>
      <c r="F4" s="8">
        <v>2017</v>
      </c>
      <c r="G4" s="8">
        <v>2018</v>
      </c>
      <c r="H4" s="8">
        <v>2019</v>
      </c>
      <c r="I4" s="10" t="s">
        <v>66</v>
      </c>
      <c r="J4" s="11" t="s">
        <v>6</v>
      </c>
    </row>
    <row r="5" spans="1:103" s="16" customFormat="1" ht="17.25" customHeight="1">
      <c r="A5" s="12" t="s">
        <v>7</v>
      </c>
      <c r="B5" s="13">
        <f t="shared" ref="B5:G5" si="0">SUM(B6:B24)</f>
        <v>23487</v>
      </c>
      <c r="C5" s="13">
        <f t="shared" si="0"/>
        <v>24031</v>
      </c>
      <c r="D5" s="13">
        <f t="shared" si="0"/>
        <v>24877</v>
      </c>
      <c r="E5" s="13">
        <f t="shared" si="0"/>
        <v>27031</v>
      </c>
      <c r="F5" s="13">
        <f t="shared" si="0"/>
        <v>29977</v>
      </c>
      <c r="G5" s="13">
        <f t="shared" si="0"/>
        <v>31741</v>
      </c>
      <c r="H5" s="13">
        <f t="shared" ref="H5" si="1">SUM(H6:H24)</f>
        <v>37004</v>
      </c>
      <c r="I5" s="14">
        <f>H5/$H$5*100</f>
        <v>100</v>
      </c>
      <c r="J5" s="15" t="s">
        <v>0</v>
      </c>
      <c r="K5" s="17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7"/>
      <c r="AB5" s="7"/>
      <c r="AC5" s="7"/>
      <c r="AD5" s="7"/>
      <c r="AE5" s="7"/>
      <c r="AF5" s="7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</row>
    <row r="6" spans="1:103" s="16" customFormat="1" ht="18.75" customHeight="1">
      <c r="A6" s="19" t="s">
        <v>8</v>
      </c>
      <c r="B6" s="20">
        <v>456</v>
      </c>
      <c r="C6" s="20">
        <v>464</v>
      </c>
      <c r="D6" s="20">
        <v>464</v>
      </c>
      <c r="E6" s="20">
        <v>464</v>
      </c>
      <c r="F6" s="20">
        <v>594</v>
      </c>
      <c r="G6" s="20">
        <v>594</v>
      </c>
      <c r="H6" s="20">
        <v>594</v>
      </c>
      <c r="I6" s="55">
        <f t="shared" ref="I6:I24" si="2">H6/$H$5*100</f>
        <v>1.6052318668252081</v>
      </c>
      <c r="J6" s="21" t="s">
        <v>9</v>
      </c>
      <c r="K6" s="17"/>
      <c r="L6" s="18"/>
      <c r="M6" s="7"/>
      <c r="N6" s="22"/>
      <c r="O6" s="23"/>
      <c r="P6" s="23"/>
      <c r="Q6" s="23"/>
      <c r="R6" s="23"/>
      <c r="S6" s="23"/>
      <c r="T6" s="23"/>
      <c r="U6" s="23"/>
      <c r="V6" s="23"/>
      <c r="W6" s="18"/>
      <c r="X6" s="22"/>
      <c r="Y6" s="18"/>
      <c r="Z6" s="18"/>
      <c r="AA6" s="24"/>
      <c r="AB6" s="25"/>
      <c r="AC6" s="56"/>
      <c r="AD6" s="7"/>
      <c r="AE6" s="7"/>
      <c r="AF6" s="7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</row>
    <row r="7" spans="1:103" s="16" customFormat="1" ht="18.75" customHeight="1">
      <c r="A7" s="19" t="s">
        <v>10</v>
      </c>
      <c r="B7" s="54" t="s">
        <v>1</v>
      </c>
      <c r="C7" s="54" t="s">
        <v>1</v>
      </c>
      <c r="D7" s="54" t="s">
        <v>1</v>
      </c>
      <c r="E7" s="54" t="s">
        <v>1</v>
      </c>
      <c r="F7" s="54" t="s">
        <v>1</v>
      </c>
      <c r="G7" s="20">
        <v>118</v>
      </c>
      <c r="H7" s="20">
        <v>118</v>
      </c>
      <c r="I7" s="55">
        <f t="shared" si="2"/>
        <v>0.318884444924873</v>
      </c>
      <c r="J7" s="21" t="s">
        <v>67</v>
      </c>
      <c r="K7" s="17"/>
      <c r="L7" s="18"/>
      <c r="M7" s="7"/>
      <c r="N7" s="22"/>
      <c r="O7" s="23"/>
      <c r="P7" s="23"/>
      <c r="Q7" s="23"/>
      <c r="R7" s="23"/>
      <c r="S7" s="23"/>
      <c r="T7" s="23"/>
      <c r="U7" s="23"/>
      <c r="V7" s="23"/>
      <c r="W7" s="18"/>
      <c r="X7" s="22"/>
      <c r="Y7" s="18"/>
      <c r="Z7" s="18"/>
      <c r="AA7" s="24"/>
      <c r="AB7" s="25"/>
      <c r="AC7" s="56"/>
      <c r="AD7" s="7"/>
      <c r="AE7" s="7"/>
      <c r="AF7" s="7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</row>
    <row r="8" spans="1:103" s="16" customFormat="1" ht="18.75" customHeight="1">
      <c r="A8" s="19" t="s">
        <v>11</v>
      </c>
      <c r="B8" s="20">
        <v>159</v>
      </c>
      <c r="C8" s="20">
        <v>159</v>
      </c>
      <c r="D8" s="20">
        <v>159</v>
      </c>
      <c r="E8" s="20">
        <v>159</v>
      </c>
      <c r="F8" s="20">
        <v>227</v>
      </c>
      <c r="G8" s="20">
        <v>227</v>
      </c>
      <c r="H8" s="20">
        <v>457</v>
      </c>
      <c r="I8" s="55">
        <f t="shared" si="2"/>
        <v>1.2350016214463302</v>
      </c>
      <c r="J8" s="26" t="s">
        <v>12</v>
      </c>
      <c r="K8" s="17"/>
      <c r="L8" s="18"/>
      <c r="M8" s="18"/>
      <c r="N8" s="22"/>
      <c r="O8" s="23"/>
      <c r="P8" s="23"/>
      <c r="Q8" s="23"/>
      <c r="R8" s="23"/>
      <c r="S8" s="23"/>
      <c r="T8" s="23"/>
      <c r="U8" s="23"/>
      <c r="V8" s="23"/>
      <c r="W8" s="18"/>
      <c r="X8" s="22"/>
      <c r="Y8" s="18"/>
      <c r="Z8" s="18"/>
      <c r="AA8" s="24"/>
      <c r="AB8" s="25"/>
      <c r="AC8" s="56"/>
      <c r="AD8" s="7"/>
      <c r="AE8" s="7"/>
      <c r="AF8" s="7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</row>
    <row r="9" spans="1:103" s="16" customFormat="1" ht="18.75" customHeight="1">
      <c r="A9" s="19" t="s">
        <v>13</v>
      </c>
      <c r="B9" s="20">
        <v>796</v>
      </c>
      <c r="C9" s="20">
        <v>796</v>
      </c>
      <c r="D9" s="20">
        <v>796</v>
      </c>
      <c r="E9" s="20">
        <v>832</v>
      </c>
      <c r="F9" s="20">
        <v>1176</v>
      </c>
      <c r="G9" s="20">
        <v>1388</v>
      </c>
      <c r="H9" s="20">
        <v>1398</v>
      </c>
      <c r="I9" s="55">
        <f t="shared" si="2"/>
        <v>3.7779699491946817</v>
      </c>
      <c r="J9" s="26" t="s">
        <v>14</v>
      </c>
      <c r="K9" s="17"/>
      <c r="L9" s="18"/>
      <c r="M9" s="18"/>
      <c r="N9" s="22"/>
      <c r="O9" s="23"/>
      <c r="P9" s="23"/>
      <c r="Q9" s="23"/>
      <c r="R9" s="23"/>
      <c r="S9" s="23"/>
      <c r="T9" s="23"/>
      <c r="U9" s="23"/>
      <c r="V9" s="23"/>
      <c r="W9" s="18"/>
      <c r="X9" s="22"/>
      <c r="Y9" s="18"/>
      <c r="Z9" s="18"/>
      <c r="AA9" s="24"/>
      <c r="AB9" s="25"/>
      <c r="AC9" s="56"/>
      <c r="AD9" s="7"/>
      <c r="AE9" s="7"/>
      <c r="AF9" s="7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</row>
    <row r="10" spans="1:103" s="28" customFormat="1" ht="18.75" customHeight="1">
      <c r="A10" s="27" t="s">
        <v>15</v>
      </c>
      <c r="B10" s="20">
        <v>470</v>
      </c>
      <c r="C10" s="20">
        <v>656</v>
      </c>
      <c r="D10" s="20">
        <v>680</v>
      </c>
      <c r="E10" s="20">
        <v>810</v>
      </c>
      <c r="F10" s="20">
        <v>1616</v>
      </c>
      <c r="G10" s="20">
        <v>1960</v>
      </c>
      <c r="H10" s="20">
        <v>3324</v>
      </c>
      <c r="I10" s="55">
        <f t="shared" si="2"/>
        <v>8.9828126689006602</v>
      </c>
      <c r="J10" s="26" t="s">
        <v>16</v>
      </c>
      <c r="K10" s="29"/>
      <c r="L10" s="30"/>
      <c r="M10" s="18"/>
      <c r="N10" s="22"/>
      <c r="O10" s="23"/>
      <c r="P10" s="23"/>
      <c r="Q10" s="23"/>
      <c r="R10" s="23"/>
      <c r="S10" s="23"/>
      <c r="T10" s="23"/>
      <c r="U10" s="23"/>
      <c r="V10" s="23"/>
      <c r="W10" s="30"/>
      <c r="X10" s="22"/>
      <c r="Y10" s="30"/>
      <c r="Z10" s="30"/>
      <c r="AA10" s="31"/>
      <c r="AB10" s="25"/>
      <c r="AC10" s="56"/>
      <c r="AD10" s="7"/>
      <c r="AE10" s="7"/>
      <c r="AF10" s="7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</row>
    <row r="11" spans="1:103" s="28" customFormat="1" ht="18.75" customHeight="1">
      <c r="A11" s="27" t="s">
        <v>17</v>
      </c>
      <c r="B11" s="32">
        <v>1704</v>
      </c>
      <c r="C11" s="32">
        <v>1704</v>
      </c>
      <c r="D11" s="32">
        <v>1700</v>
      </c>
      <c r="E11" s="32">
        <v>2302</v>
      </c>
      <c r="F11" s="32">
        <v>2562</v>
      </c>
      <c r="G11" s="32">
        <v>2882</v>
      </c>
      <c r="H11" s="32">
        <v>2918</v>
      </c>
      <c r="I11" s="55">
        <f t="shared" si="2"/>
        <v>7.8856339855150797</v>
      </c>
      <c r="J11" s="26" t="s">
        <v>18</v>
      </c>
      <c r="K11" s="29"/>
      <c r="L11" s="30"/>
      <c r="M11" s="18"/>
      <c r="N11" s="22"/>
      <c r="O11" s="23"/>
      <c r="P11" s="23"/>
      <c r="Q11" s="23"/>
      <c r="R11" s="23"/>
      <c r="S11" s="23"/>
      <c r="T11" s="23"/>
      <c r="U11" s="23"/>
      <c r="V11" s="23"/>
      <c r="W11" s="30"/>
      <c r="X11" s="22"/>
      <c r="Y11" s="30"/>
      <c r="Z11" s="30"/>
      <c r="AA11" s="31"/>
      <c r="AB11" s="1"/>
      <c r="AC11" s="56"/>
      <c r="AD11" s="7"/>
      <c r="AE11" s="7"/>
      <c r="AF11" s="7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</row>
    <row r="12" spans="1:103" s="28" customFormat="1" ht="18.75" customHeight="1">
      <c r="A12" s="27" t="s">
        <v>19</v>
      </c>
      <c r="B12" s="32">
        <v>1476</v>
      </c>
      <c r="C12" s="32">
        <v>1636</v>
      </c>
      <c r="D12" s="32">
        <v>1636</v>
      </c>
      <c r="E12" s="32">
        <v>2138</v>
      </c>
      <c r="F12" s="32">
        <v>2250</v>
      </c>
      <c r="G12" s="32">
        <v>2284</v>
      </c>
      <c r="H12" s="32">
        <v>2440</v>
      </c>
      <c r="I12" s="55">
        <f t="shared" si="2"/>
        <v>6.5938817425143226</v>
      </c>
      <c r="J12" s="26" t="s">
        <v>20</v>
      </c>
      <c r="K12" s="29"/>
      <c r="L12" s="30"/>
      <c r="M12" s="30"/>
      <c r="N12" s="22"/>
      <c r="O12" s="23"/>
      <c r="P12" s="23"/>
      <c r="Q12" s="23"/>
      <c r="R12" s="23"/>
      <c r="S12" s="23"/>
      <c r="T12" s="23"/>
      <c r="U12" s="23"/>
      <c r="V12" s="23"/>
      <c r="W12" s="30"/>
      <c r="X12" s="22"/>
      <c r="Y12" s="30"/>
      <c r="Z12" s="30"/>
      <c r="AA12" s="31"/>
      <c r="AB12" s="1"/>
      <c r="AC12" s="56"/>
      <c r="AD12" s="7"/>
      <c r="AE12" s="7"/>
      <c r="AF12" s="7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</row>
    <row r="13" spans="1:103" s="28" customFormat="1" ht="18.75" customHeight="1">
      <c r="A13" s="27" t="s">
        <v>21</v>
      </c>
      <c r="B13" s="32">
        <v>8964</v>
      </c>
      <c r="C13" s="32">
        <v>8968</v>
      </c>
      <c r="D13" s="32">
        <v>9088</v>
      </c>
      <c r="E13" s="32">
        <v>9506</v>
      </c>
      <c r="F13" s="32">
        <v>10094</v>
      </c>
      <c r="G13" s="32">
        <v>10568</v>
      </c>
      <c r="H13" s="32">
        <v>12100</v>
      </c>
      <c r="I13" s="55">
        <f t="shared" si="2"/>
        <v>32.699167657550539</v>
      </c>
      <c r="J13" s="26" t="s">
        <v>22</v>
      </c>
      <c r="K13" s="29"/>
      <c r="L13" s="30"/>
      <c r="M13" s="30"/>
      <c r="N13" s="22"/>
      <c r="O13" s="23"/>
      <c r="P13" s="23"/>
      <c r="Q13" s="23"/>
      <c r="R13" s="23"/>
      <c r="S13" s="23"/>
      <c r="T13" s="23"/>
      <c r="U13" s="23"/>
      <c r="V13" s="23"/>
      <c r="W13" s="30"/>
      <c r="X13" s="22"/>
      <c r="Y13" s="30"/>
      <c r="Z13" s="30"/>
      <c r="AA13" s="31"/>
      <c r="AB13" s="1"/>
      <c r="AC13" s="56"/>
      <c r="AD13" s="7"/>
      <c r="AE13" s="7"/>
      <c r="AF13" s="7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</row>
    <row r="14" spans="1:103" s="28" customFormat="1" ht="18.75" customHeight="1">
      <c r="A14" s="27" t="s">
        <v>23</v>
      </c>
      <c r="B14" s="32">
        <v>2156</v>
      </c>
      <c r="C14" s="32">
        <v>2216</v>
      </c>
      <c r="D14" s="32">
        <v>2244</v>
      </c>
      <c r="E14" s="32">
        <v>2454</v>
      </c>
      <c r="F14" s="32">
        <v>2488</v>
      </c>
      <c r="G14" s="32">
        <v>2488</v>
      </c>
      <c r="H14" s="32">
        <v>2538</v>
      </c>
      <c r="I14" s="55">
        <f t="shared" si="2"/>
        <v>6.8587179764349804</v>
      </c>
      <c r="J14" s="26" t="s">
        <v>24</v>
      </c>
      <c r="K14" s="29"/>
      <c r="L14" s="30"/>
      <c r="M14" s="30"/>
      <c r="N14" s="22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30"/>
      <c r="AA14" s="22"/>
      <c r="AB14" s="30"/>
      <c r="AC14" s="30"/>
      <c r="AD14" s="31"/>
      <c r="AE14" s="1"/>
      <c r="AF14" s="56"/>
      <c r="AG14" s="7"/>
      <c r="AH14" s="7"/>
      <c r="AI14" s="7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</row>
    <row r="15" spans="1:103" s="16" customFormat="1" ht="18.75" customHeight="1">
      <c r="A15" s="27" t="s">
        <v>25</v>
      </c>
      <c r="B15" s="32">
        <v>3818</v>
      </c>
      <c r="C15" s="32">
        <v>3862</v>
      </c>
      <c r="D15" s="32">
        <v>3982</v>
      </c>
      <c r="E15" s="32">
        <v>3982</v>
      </c>
      <c r="F15" s="32">
        <v>4036</v>
      </c>
      <c r="G15" s="32">
        <v>4056</v>
      </c>
      <c r="H15" s="32">
        <v>4056</v>
      </c>
      <c r="I15" s="55">
        <f t="shared" si="2"/>
        <v>10.960977191654957</v>
      </c>
      <c r="J15" s="26" t="s">
        <v>26</v>
      </c>
      <c r="K15" s="17"/>
      <c r="L15" s="18"/>
      <c r="M15" s="30"/>
      <c r="N15" s="22"/>
      <c r="O15" s="23"/>
      <c r="P15" s="23"/>
      <c r="Q15" s="23"/>
      <c r="R15" s="23"/>
      <c r="S15" s="23"/>
      <c r="T15" s="23"/>
      <c r="U15" s="23"/>
      <c r="V15" s="23"/>
      <c r="W15" s="18"/>
      <c r="X15" s="22"/>
      <c r="Y15" s="18"/>
      <c r="Z15" s="18"/>
      <c r="AA15" s="31"/>
      <c r="AB15" s="1"/>
      <c r="AC15" s="56"/>
      <c r="AD15" s="7"/>
      <c r="AE15" s="7"/>
      <c r="AF15" s="7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</row>
    <row r="16" spans="1:103" s="16" customFormat="1" ht="18.75" customHeight="1">
      <c r="A16" s="27" t="s">
        <v>27</v>
      </c>
      <c r="B16" s="20">
        <v>402</v>
      </c>
      <c r="C16" s="20">
        <v>402</v>
      </c>
      <c r="D16" s="20">
        <v>402</v>
      </c>
      <c r="E16" s="20">
        <v>434</v>
      </c>
      <c r="F16" s="20">
        <v>434</v>
      </c>
      <c r="G16" s="20">
        <v>434</v>
      </c>
      <c r="H16" s="20">
        <v>614</v>
      </c>
      <c r="I16" s="55">
        <f t="shared" si="2"/>
        <v>1.6592800778294239</v>
      </c>
      <c r="J16" s="26" t="s">
        <v>28</v>
      </c>
      <c r="K16" s="17"/>
      <c r="L16" s="18"/>
      <c r="M16" s="30"/>
      <c r="N16" s="22"/>
      <c r="O16" s="23"/>
      <c r="P16" s="23"/>
      <c r="Q16" s="23"/>
      <c r="R16" s="23"/>
      <c r="S16" s="23"/>
      <c r="T16" s="23"/>
      <c r="U16" s="23"/>
      <c r="V16" s="23"/>
      <c r="W16" s="18"/>
      <c r="X16" s="22"/>
      <c r="Y16" s="18"/>
      <c r="Z16" s="18"/>
      <c r="AA16" s="31"/>
      <c r="AB16" s="25"/>
      <c r="AC16" s="56"/>
      <c r="AD16" s="7"/>
      <c r="AE16" s="7"/>
      <c r="AF16" s="7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</row>
    <row r="17" spans="1:100" s="16" customFormat="1" ht="18.75" customHeight="1">
      <c r="A17" s="19" t="s">
        <v>29</v>
      </c>
      <c r="B17" s="20">
        <v>400</v>
      </c>
      <c r="C17" s="20">
        <v>400</v>
      </c>
      <c r="D17" s="20">
        <v>400</v>
      </c>
      <c r="E17" s="20">
        <v>400</v>
      </c>
      <c r="F17" s="20">
        <v>400</v>
      </c>
      <c r="G17" s="20">
        <v>400</v>
      </c>
      <c r="H17" s="20">
        <v>400</v>
      </c>
      <c r="I17" s="55">
        <f t="shared" si="2"/>
        <v>1.0809642200843153</v>
      </c>
      <c r="J17" s="21" t="s">
        <v>30</v>
      </c>
      <c r="K17" s="17"/>
      <c r="L17" s="18"/>
      <c r="M17" s="18"/>
      <c r="N17" s="22"/>
      <c r="O17" s="23"/>
      <c r="P17" s="23"/>
      <c r="Q17" s="23"/>
      <c r="R17" s="23"/>
      <c r="S17" s="23"/>
      <c r="T17" s="23"/>
      <c r="U17" s="23"/>
      <c r="V17" s="23"/>
      <c r="W17" s="18"/>
      <c r="X17" s="22"/>
      <c r="Y17" s="18"/>
      <c r="Z17" s="18"/>
      <c r="AA17" s="24"/>
      <c r="AB17" s="25"/>
      <c r="AC17" s="56"/>
      <c r="AD17" s="7"/>
      <c r="AE17" s="7"/>
      <c r="AF17" s="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</row>
    <row r="18" spans="1:100" s="16" customFormat="1" ht="18.75" customHeight="1">
      <c r="A18" s="19" t="s">
        <v>31</v>
      </c>
      <c r="B18" s="20">
        <v>250</v>
      </c>
      <c r="C18" s="20">
        <v>250</v>
      </c>
      <c r="D18" s="20">
        <v>250</v>
      </c>
      <c r="E18" s="20">
        <v>250</v>
      </c>
      <c r="F18" s="20">
        <v>250</v>
      </c>
      <c r="G18" s="20">
        <v>250</v>
      </c>
      <c r="H18" s="20">
        <v>250</v>
      </c>
      <c r="I18" s="55">
        <f t="shared" si="2"/>
        <v>0.67560263755269701</v>
      </c>
      <c r="J18" s="26" t="s">
        <v>32</v>
      </c>
      <c r="K18" s="17"/>
      <c r="L18" s="18"/>
      <c r="M18" s="18"/>
      <c r="N18" s="22"/>
      <c r="O18" s="23"/>
      <c r="P18" s="23"/>
      <c r="Q18" s="23"/>
      <c r="R18" s="23"/>
      <c r="S18" s="23"/>
      <c r="T18" s="23"/>
      <c r="U18" s="23"/>
      <c r="V18" s="23"/>
      <c r="W18" s="18"/>
      <c r="X18" s="22"/>
      <c r="Y18" s="18"/>
      <c r="Z18" s="18"/>
      <c r="AA18" s="24"/>
      <c r="AB18" s="25"/>
      <c r="AC18" s="56"/>
      <c r="AD18" s="7"/>
      <c r="AE18" s="7"/>
      <c r="AF18" s="7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</row>
    <row r="19" spans="1:100" s="36" customFormat="1" ht="18.75" customHeight="1">
      <c r="A19" s="33" t="s">
        <v>33</v>
      </c>
      <c r="B19" s="34">
        <v>590</v>
      </c>
      <c r="C19" s="34">
        <v>590</v>
      </c>
      <c r="D19" s="34">
        <v>778</v>
      </c>
      <c r="E19" s="34">
        <v>962</v>
      </c>
      <c r="F19" s="34">
        <v>1512</v>
      </c>
      <c r="G19" s="34">
        <v>1754</v>
      </c>
      <c r="H19" s="34">
        <v>2786</v>
      </c>
      <c r="I19" s="55">
        <f t="shared" si="2"/>
        <v>7.5289157928872559</v>
      </c>
      <c r="J19" s="35" t="s">
        <v>34</v>
      </c>
      <c r="K19" s="37"/>
      <c r="L19" s="18"/>
      <c r="M19" s="18"/>
      <c r="N19" s="22"/>
      <c r="O19" s="23"/>
      <c r="P19" s="23"/>
      <c r="Q19" s="23"/>
      <c r="R19" s="23"/>
      <c r="S19" s="23"/>
      <c r="T19" s="23"/>
      <c r="U19" s="23"/>
      <c r="V19" s="23"/>
      <c r="W19" s="18"/>
      <c r="X19" s="22"/>
      <c r="Y19" s="18"/>
      <c r="Z19" s="18"/>
      <c r="AA19" s="24"/>
      <c r="AB19" s="25"/>
      <c r="AC19" s="56"/>
      <c r="AD19" s="7"/>
      <c r="AE19" s="7"/>
      <c r="AF19" s="7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</row>
    <row r="20" spans="1:100" s="18" customFormat="1" ht="18.75" customHeight="1">
      <c r="A20" s="38" t="s">
        <v>35</v>
      </c>
      <c r="B20" s="25">
        <v>46</v>
      </c>
      <c r="C20" s="25">
        <v>132</v>
      </c>
      <c r="D20" s="25">
        <v>152</v>
      </c>
      <c r="E20" s="25">
        <v>152</v>
      </c>
      <c r="F20" s="25">
        <v>152</v>
      </c>
      <c r="G20" s="25">
        <v>152</v>
      </c>
      <c r="H20" s="25">
        <v>152</v>
      </c>
      <c r="I20" s="55">
        <f t="shared" si="2"/>
        <v>0.41076640363203976</v>
      </c>
      <c r="J20" s="39" t="s">
        <v>36</v>
      </c>
      <c r="N20" s="22"/>
      <c r="O20" s="23"/>
      <c r="P20" s="23"/>
      <c r="Q20" s="23"/>
      <c r="R20" s="23"/>
      <c r="S20" s="23"/>
      <c r="T20" s="23"/>
      <c r="U20" s="23"/>
      <c r="V20" s="23"/>
      <c r="X20" s="22"/>
      <c r="AA20" s="24"/>
      <c r="AB20" s="25"/>
      <c r="AC20" s="56"/>
      <c r="AD20" s="7"/>
      <c r="AE20" s="7"/>
      <c r="AF20" s="7"/>
    </row>
    <row r="21" spans="1:100" s="30" customFormat="1" ht="18.75" customHeight="1">
      <c r="A21" s="38" t="s">
        <v>37</v>
      </c>
      <c r="B21" s="25">
        <v>194</v>
      </c>
      <c r="C21" s="25">
        <v>194</v>
      </c>
      <c r="D21" s="25">
        <v>194</v>
      </c>
      <c r="E21" s="25">
        <v>194</v>
      </c>
      <c r="F21" s="25">
        <v>194</v>
      </c>
      <c r="G21" s="25">
        <v>194</v>
      </c>
      <c r="H21" s="25">
        <v>242</v>
      </c>
      <c r="I21" s="55">
        <f t="shared" si="2"/>
        <v>0.65398335315101064</v>
      </c>
      <c r="J21" s="40" t="s">
        <v>38</v>
      </c>
      <c r="M21" s="18"/>
      <c r="N21" s="22"/>
      <c r="O21" s="23"/>
      <c r="P21" s="23"/>
      <c r="Q21" s="23"/>
      <c r="R21" s="23"/>
      <c r="S21" s="23"/>
      <c r="T21" s="23"/>
      <c r="U21" s="23"/>
      <c r="V21" s="23"/>
      <c r="X21" s="22"/>
      <c r="AA21" s="24"/>
      <c r="AB21" s="25"/>
      <c r="AC21" s="56"/>
      <c r="AD21" s="7"/>
      <c r="AE21" s="7"/>
      <c r="AF21" s="7"/>
    </row>
    <row r="22" spans="1:100" s="43" customFormat="1" ht="18.75" customHeight="1">
      <c r="A22" s="41" t="s">
        <v>39</v>
      </c>
      <c r="B22" s="42">
        <v>576</v>
      </c>
      <c r="C22" s="42">
        <v>576</v>
      </c>
      <c r="D22" s="42">
        <v>576</v>
      </c>
      <c r="E22" s="42">
        <v>616</v>
      </c>
      <c r="F22" s="42">
        <v>616</v>
      </c>
      <c r="G22" s="42">
        <v>616</v>
      </c>
      <c r="H22" s="42">
        <v>1141</v>
      </c>
      <c r="I22" s="55">
        <f t="shared" si="2"/>
        <v>3.0834504377905092</v>
      </c>
      <c r="J22" s="39" t="s">
        <v>40</v>
      </c>
      <c r="K22" s="44"/>
      <c r="L22" s="18"/>
      <c r="M22" s="18"/>
      <c r="N22" s="22"/>
      <c r="O22" s="23"/>
      <c r="P22" s="23"/>
      <c r="Q22" s="23"/>
      <c r="R22" s="23"/>
      <c r="S22" s="23"/>
      <c r="T22" s="23"/>
      <c r="U22" s="23"/>
      <c r="V22" s="23"/>
      <c r="W22" s="18"/>
      <c r="X22" s="22"/>
      <c r="Y22" s="18"/>
      <c r="Z22" s="18"/>
      <c r="AA22" s="24"/>
      <c r="AB22" s="25"/>
      <c r="AC22" s="56"/>
      <c r="AD22" s="7"/>
      <c r="AE22" s="7"/>
      <c r="AF22" s="7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</row>
    <row r="23" spans="1:100" s="16" customFormat="1" ht="18.75" customHeight="1">
      <c r="A23" s="19" t="s">
        <v>41</v>
      </c>
      <c r="B23" s="20">
        <v>200</v>
      </c>
      <c r="C23" s="20">
        <v>200</v>
      </c>
      <c r="D23" s="20">
        <v>550</v>
      </c>
      <c r="E23" s="20">
        <v>550</v>
      </c>
      <c r="F23" s="20">
        <v>550</v>
      </c>
      <c r="G23" s="20">
        <v>550</v>
      </c>
      <c r="H23" s="20">
        <v>550</v>
      </c>
      <c r="I23" s="55">
        <f t="shared" si="2"/>
        <v>1.4863258026159334</v>
      </c>
      <c r="J23" s="39" t="s">
        <v>42</v>
      </c>
      <c r="K23" s="17"/>
      <c r="L23" s="18"/>
      <c r="M23" s="18"/>
      <c r="N23" s="22"/>
      <c r="O23" s="23"/>
      <c r="P23" s="23"/>
      <c r="Q23" s="23"/>
      <c r="R23" s="23"/>
      <c r="S23" s="23"/>
      <c r="T23" s="23"/>
      <c r="U23" s="23"/>
      <c r="V23" s="23"/>
      <c r="W23" s="18"/>
      <c r="X23" s="22"/>
      <c r="Y23" s="18"/>
      <c r="Z23" s="18"/>
      <c r="AA23" s="24"/>
      <c r="AB23" s="25"/>
      <c r="AC23" s="56"/>
      <c r="AD23" s="7"/>
      <c r="AE23" s="7"/>
      <c r="AF23" s="7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</row>
    <row r="24" spans="1:100" s="16" customFormat="1" ht="18.75" customHeight="1">
      <c r="A24" s="45" t="s">
        <v>43</v>
      </c>
      <c r="B24" s="46">
        <v>830</v>
      </c>
      <c r="C24" s="46">
        <v>826</v>
      </c>
      <c r="D24" s="46">
        <v>826</v>
      </c>
      <c r="E24" s="46">
        <v>826</v>
      </c>
      <c r="F24" s="46">
        <v>826</v>
      </c>
      <c r="G24" s="46">
        <v>826</v>
      </c>
      <c r="H24" s="46">
        <v>926</v>
      </c>
      <c r="I24" s="47">
        <f t="shared" si="2"/>
        <v>2.5024321694951897</v>
      </c>
      <c r="J24" s="48" t="s">
        <v>44</v>
      </c>
      <c r="K24" s="17"/>
      <c r="L24" s="18"/>
      <c r="M24" s="18"/>
      <c r="N24" s="22"/>
      <c r="O24" s="23"/>
      <c r="P24" s="23"/>
      <c r="Q24" s="23"/>
      <c r="R24" s="23"/>
      <c r="S24" s="23"/>
      <c r="T24" s="23"/>
      <c r="U24" s="23"/>
      <c r="V24" s="23"/>
      <c r="W24" s="18"/>
      <c r="X24" s="22"/>
      <c r="Y24" s="18"/>
      <c r="Z24" s="18"/>
      <c r="AA24" s="24"/>
      <c r="AB24" s="25"/>
      <c r="AC24" s="63" t="s">
        <v>68</v>
      </c>
      <c r="AD24" s="63"/>
      <c r="AE24" s="63"/>
      <c r="AF24" s="7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</row>
    <row r="25" spans="1:100" ht="20.25" customHeight="1">
      <c r="A25" s="49" t="s">
        <v>2</v>
      </c>
      <c r="B25" s="50"/>
      <c r="C25" s="50"/>
      <c r="D25" s="50"/>
      <c r="E25" s="50"/>
      <c r="F25" s="50"/>
      <c r="G25" s="50"/>
      <c r="H25" s="50"/>
      <c r="I25" s="51"/>
      <c r="J25" s="73" t="s">
        <v>3</v>
      </c>
      <c r="O25" s="57"/>
      <c r="P25" s="57"/>
      <c r="Q25" s="57"/>
      <c r="R25" s="57"/>
      <c r="S25" s="57"/>
      <c r="T25" s="57"/>
      <c r="U25" s="57"/>
      <c r="V25" s="57"/>
      <c r="AC25" s="7">
        <v>2017</v>
      </c>
      <c r="AD25" s="7">
        <v>2018</v>
      </c>
      <c r="AE25" s="7">
        <v>2019</v>
      </c>
    </row>
    <row r="26" spans="1:100" ht="24" customHeight="1">
      <c r="O26" s="57"/>
      <c r="P26" s="57"/>
      <c r="Q26" s="57"/>
      <c r="R26" s="57"/>
      <c r="S26" s="57"/>
      <c r="T26" s="57"/>
      <c r="U26" s="57"/>
      <c r="V26" s="57"/>
      <c r="X26" s="38"/>
      <c r="AA26" s="24" t="s">
        <v>45</v>
      </c>
      <c r="AB26" s="58">
        <f>H6</f>
        <v>594</v>
      </c>
      <c r="AC26" s="7">
        <v>3</v>
      </c>
      <c r="AD26" s="59">
        <v>3</v>
      </c>
      <c r="AE26" s="59">
        <v>3</v>
      </c>
    </row>
    <row r="27" spans="1:100">
      <c r="A27" s="52"/>
      <c r="O27" s="57"/>
      <c r="P27" s="57"/>
      <c r="Q27" s="57"/>
      <c r="R27" s="57"/>
      <c r="S27" s="57"/>
      <c r="T27" s="57"/>
      <c r="U27" s="57"/>
      <c r="V27" s="57"/>
      <c r="X27" s="38"/>
      <c r="AA27" s="24" t="s">
        <v>63</v>
      </c>
      <c r="AB27" s="58">
        <f t="shared" ref="AB27:AB44" si="3">H7</f>
        <v>118</v>
      </c>
      <c r="AC27" s="7">
        <v>0</v>
      </c>
      <c r="AD27" s="59">
        <v>1</v>
      </c>
      <c r="AE27" s="59">
        <v>1</v>
      </c>
    </row>
    <row r="28" spans="1:100">
      <c r="A28" s="52"/>
      <c r="B28" s="53"/>
      <c r="C28" s="53"/>
      <c r="D28" s="53"/>
      <c r="E28" s="53"/>
      <c r="F28" s="53"/>
      <c r="G28" s="53"/>
      <c r="H28" s="53"/>
      <c r="O28" s="57"/>
      <c r="P28" s="57"/>
      <c r="Q28" s="57"/>
      <c r="R28" s="57"/>
      <c r="S28" s="57"/>
      <c r="T28" s="57"/>
      <c r="U28" s="57"/>
      <c r="V28" s="57"/>
      <c r="X28" s="38"/>
      <c r="AA28" s="24" t="s">
        <v>46</v>
      </c>
      <c r="AB28" s="58">
        <f t="shared" si="3"/>
        <v>457</v>
      </c>
      <c r="AC28" s="7">
        <v>2</v>
      </c>
      <c r="AD28" s="59">
        <v>2</v>
      </c>
      <c r="AE28" s="59">
        <v>2</v>
      </c>
    </row>
    <row r="29" spans="1:100">
      <c r="O29" s="57"/>
      <c r="P29" s="57"/>
      <c r="Q29" s="57"/>
      <c r="R29" s="57"/>
      <c r="S29" s="57"/>
      <c r="T29" s="57"/>
      <c r="U29" s="57"/>
      <c r="V29" s="57"/>
      <c r="X29" s="31"/>
      <c r="AA29" s="24" t="s">
        <v>47</v>
      </c>
      <c r="AB29" s="58">
        <f t="shared" si="3"/>
        <v>1398</v>
      </c>
      <c r="AC29" s="7">
        <v>6</v>
      </c>
      <c r="AD29" s="59">
        <v>7</v>
      </c>
      <c r="AE29" s="59">
        <v>7</v>
      </c>
    </row>
    <row r="30" spans="1:100">
      <c r="X30" s="31"/>
      <c r="AA30" s="31" t="s">
        <v>48</v>
      </c>
      <c r="AB30" s="58">
        <f t="shared" si="3"/>
        <v>3324</v>
      </c>
      <c r="AC30" s="7">
        <v>6</v>
      </c>
      <c r="AD30" s="59">
        <v>8</v>
      </c>
      <c r="AE30" s="59">
        <v>13</v>
      </c>
    </row>
    <row r="31" spans="1:100">
      <c r="J31" s="3"/>
      <c r="K31" s="60"/>
      <c r="X31" s="31"/>
      <c r="AA31" s="31" t="s">
        <v>49</v>
      </c>
      <c r="AB31" s="58">
        <f t="shared" si="3"/>
        <v>2918</v>
      </c>
      <c r="AC31" s="7">
        <v>13</v>
      </c>
      <c r="AD31" s="59">
        <v>15</v>
      </c>
      <c r="AE31" s="59">
        <v>16</v>
      </c>
    </row>
    <row r="32" spans="1:100">
      <c r="I32" s="6"/>
      <c r="J32" s="7"/>
      <c r="K32" s="7"/>
      <c r="X32" s="31"/>
      <c r="AA32" s="31" t="s">
        <v>50</v>
      </c>
      <c r="AB32" s="58">
        <f t="shared" si="3"/>
        <v>2440</v>
      </c>
      <c r="AC32" s="7">
        <v>8</v>
      </c>
      <c r="AD32" s="59">
        <v>9</v>
      </c>
      <c r="AE32" s="59">
        <v>10</v>
      </c>
    </row>
    <row r="33" spans="9:31">
      <c r="I33" s="6"/>
      <c r="J33" s="7"/>
      <c r="K33" s="7"/>
      <c r="X33" s="31"/>
      <c r="AA33" s="31" t="s">
        <v>51</v>
      </c>
      <c r="AB33" s="58">
        <f t="shared" si="3"/>
        <v>12100</v>
      </c>
      <c r="AC33" s="7">
        <v>45</v>
      </c>
      <c r="AD33" s="59">
        <v>47</v>
      </c>
      <c r="AE33" s="59">
        <v>52</v>
      </c>
    </row>
    <row r="34" spans="9:31">
      <c r="I34" s="6"/>
      <c r="J34" s="70"/>
      <c r="K34" s="70"/>
      <c r="L34" s="70"/>
      <c r="M34" s="70"/>
      <c r="X34" s="31"/>
      <c r="AA34" s="31" t="s">
        <v>52</v>
      </c>
      <c r="AB34" s="58">
        <f t="shared" si="3"/>
        <v>2538</v>
      </c>
      <c r="AC34" s="7">
        <v>13</v>
      </c>
      <c r="AD34" s="59">
        <v>13</v>
      </c>
      <c r="AE34" s="59">
        <v>13</v>
      </c>
    </row>
    <row r="35" spans="9:31">
      <c r="I35" s="6"/>
      <c r="J35" s="7"/>
      <c r="K35" s="7"/>
      <c r="X35" s="31"/>
      <c r="AA35" s="31" t="s">
        <v>53</v>
      </c>
      <c r="AB35" s="58">
        <f t="shared" si="3"/>
        <v>4056</v>
      </c>
      <c r="AC35" s="7">
        <v>17</v>
      </c>
      <c r="AD35" s="59">
        <v>17</v>
      </c>
      <c r="AE35" s="59">
        <v>17</v>
      </c>
    </row>
    <row r="36" spans="9:31">
      <c r="I36" s="6"/>
      <c r="J36" s="7"/>
      <c r="K36" s="7"/>
      <c r="X36" s="38"/>
      <c r="AA36" s="31" t="s">
        <v>54</v>
      </c>
      <c r="AB36" s="58">
        <f t="shared" si="3"/>
        <v>614</v>
      </c>
      <c r="AC36" s="7">
        <v>2</v>
      </c>
      <c r="AD36" s="59">
        <v>2</v>
      </c>
      <c r="AE36" s="59">
        <v>3</v>
      </c>
    </row>
    <row r="37" spans="9:31">
      <c r="J37" s="61"/>
      <c r="K37" s="62"/>
      <c r="X37" s="38"/>
      <c r="AA37" s="24" t="s">
        <v>55</v>
      </c>
      <c r="AB37" s="58">
        <f t="shared" si="3"/>
        <v>400</v>
      </c>
      <c r="AC37" s="7">
        <v>2</v>
      </c>
      <c r="AD37" s="59">
        <v>2</v>
      </c>
      <c r="AE37" s="59">
        <v>2</v>
      </c>
    </row>
    <row r="38" spans="9:31">
      <c r="X38" s="38"/>
      <c r="AA38" s="24" t="s">
        <v>56</v>
      </c>
      <c r="AB38" s="58">
        <f t="shared" si="3"/>
        <v>250</v>
      </c>
      <c r="AC38" s="7">
        <v>1</v>
      </c>
      <c r="AD38" s="59">
        <v>1</v>
      </c>
      <c r="AE38" s="59">
        <v>1</v>
      </c>
    </row>
    <row r="39" spans="9:31">
      <c r="X39" s="38"/>
      <c r="AA39" s="24" t="s">
        <v>57</v>
      </c>
      <c r="AB39" s="58">
        <f t="shared" si="3"/>
        <v>2786</v>
      </c>
      <c r="AC39" s="7">
        <v>6</v>
      </c>
      <c r="AD39" s="59">
        <v>7</v>
      </c>
      <c r="AE39" s="59">
        <v>9</v>
      </c>
    </row>
    <row r="40" spans="9:31">
      <c r="X40" s="38"/>
      <c r="AA40" s="24" t="s">
        <v>58</v>
      </c>
      <c r="AB40" s="58">
        <f t="shared" si="3"/>
        <v>152</v>
      </c>
      <c r="AC40" s="7">
        <v>1</v>
      </c>
      <c r="AD40" s="59">
        <v>1</v>
      </c>
      <c r="AE40" s="59">
        <v>1</v>
      </c>
    </row>
    <row r="41" spans="9:31">
      <c r="X41" s="38"/>
      <c r="AA41" s="24" t="s">
        <v>59</v>
      </c>
      <c r="AB41" s="58">
        <f t="shared" si="3"/>
        <v>242</v>
      </c>
      <c r="AC41" s="7">
        <v>1</v>
      </c>
      <c r="AD41" s="59">
        <v>1</v>
      </c>
      <c r="AE41" s="59">
        <v>2</v>
      </c>
    </row>
    <row r="42" spans="9:31">
      <c r="X42" s="38"/>
      <c r="AA42" s="24" t="s">
        <v>60</v>
      </c>
      <c r="AB42" s="58">
        <f t="shared" si="3"/>
        <v>1141</v>
      </c>
      <c r="AC42" s="7">
        <v>4</v>
      </c>
      <c r="AD42" s="59">
        <v>4</v>
      </c>
      <c r="AE42" s="59">
        <v>6</v>
      </c>
    </row>
    <row r="43" spans="9:31">
      <c r="X43" s="38"/>
      <c r="AA43" s="24" t="s">
        <v>61</v>
      </c>
      <c r="AB43" s="58">
        <f t="shared" si="3"/>
        <v>550</v>
      </c>
      <c r="AC43" s="7">
        <v>3</v>
      </c>
      <c r="AD43" s="59">
        <v>3</v>
      </c>
      <c r="AE43" s="59">
        <v>3</v>
      </c>
    </row>
    <row r="44" spans="9:31">
      <c r="AA44" s="24" t="s">
        <v>62</v>
      </c>
      <c r="AB44" s="58">
        <f t="shared" si="3"/>
        <v>926</v>
      </c>
      <c r="AC44" s="7">
        <v>2</v>
      </c>
      <c r="AD44" s="7">
        <v>2</v>
      </c>
      <c r="AE44" s="7">
        <v>3</v>
      </c>
    </row>
    <row r="45" spans="9:31">
      <c r="AB45" s="7">
        <f>SUM(AB26:AB44)</f>
        <v>37004</v>
      </c>
      <c r="AC45" s="7">
        <f>SUM(AC26:AC44)</f>
        <v>135</v>
      </c>
      <c r="AD45" s="7">
        <f>SUM(AD26:AD44)</f>
        <v>145</v>
      </c>
      <c r="AE45" s="7">
        <f>SUM(AE26:AE44)</f>
        <v>164</v>
      </c>
    </row>
    <row r="60" spans="11:100" s="3" customFormat="1">
      <c r="K60" s="60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</row>
    <row r="61" spans="11:100" s="7" customFormat="1"/>
    <row r="62" spans="11:100" s="7" customFormat="1"/>
    <row r="63" spans="11:100" s="7" customFormat="1"/>
    <row r="64" spans="11:100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  <row r="277" s="7" customFormat="1"/>
    <row r="278" s="7" customFormat="1"/>
    <row r="279" s="7" customFormat="1"/>
    <row r="280" s="7" customFormat="1"/>
    <row r="281" s="7" customFormat="1"/>
    <row r="282" s="7" customFormat="1"/>
    <row r="283" s="7" customFormat="1"/>
    <row r="284" s="7" customFormat="1"/>
    <row r="285" s="7" customFormat="1"/>
    <row r="286" s="7" customFormat="1"/>
    <row r="287" s="7" customFormat="1"/>
    <row r="288" s="7" customFormat="1"/>
    <row r="289" s="7" customFormat="1"/>
    <row r="290" s="7" customFormat="1"/>
    <row r="291" s="7" customFormat="1"/>
    <row r="292" s="7" customFormat="1"/>
    <row r="293" s="7" customFormat="1"/>
    <row r="294" s="7" customFormat="1"/>
    <row r="295" s="7" customFormat="1"/>
    <row r="296" s="7" customFormat="1"/>
    <row r="297" s="7" customFormat="1"/>
    <row r="298" s="7" customFormat="1"/>
    <row r="299" s="7" customFormat="1"/>
    <row r="300" s="7" customFormat="1"/>
    <row r="301" s="7" customFormat="1"/>
    <row r="302" s="7" customFormat="1"/>
    <row r="303" s="7" customFormat="1"/>
    <row r="304" s="7" customFormat="1"/>
    <row r="305" s="7" customFormat="1"/>
    <row r="306" s="7" customFormat="1"/>
    <row r="307" s="7" customFormat="1"/>
    <row r="308" s="7" customFormat="1"/>
    <row r="309" s="7" customFormat="1"/>
    <row r="310" s="7" customFormat="1"/>
    <row r="311" s="7" customFormat="1"/>
    <row r="312" s="7" customFormat="1"/>
    <row r="313" s="7" customFormat="1"/>
    <row r="314" s="7" customFormat="1"/>
    <row r="315" s="7" customFormat="1"/>
    <row r="316" s="7" customFormat="1"/>
    <row r="317" s="7" customFormat="1"/>
    <row r="318" s="7" customFormat="1"/>
    <row r="319" s="7" customFormat="1"/>
    <row r="320" s="7" customFormat="1"/>
    <row r="321" s="7" customFormat="1"/>
    <row r="322" s="7" customFormat="1"/>
    <row r="323" s="7" customFormat="1"/>
    <row r="324" s="7" customFormat="1"/>
    <row r="325" s="7" customFormat="1"/>
    <row r="326" s="7" customFormat="1"/>
    <row r="327" s="7" customFormat="1"/>
    <row r="328" s="7" customFormat="1"/>
    <row r="329" s="7" customFormat="1"/>
    <row r="330" s="7" customFormat="1"/>
    <row r="331" s="7" customFormat="1"/>
    <row r="332" s="7" customFormat="1"/>
    <row r="333" s="7" customFormat="1"/>
    <row r="334" s="7" customFormat="1"/>
    <row r="335" s="7" customFormat="1"/>
    <row r="336" s="7" customFormat="1"/>
    <row r="337" s="7" customFormat="1"/>
    <row r="338" s="7" customFormat="1"/>
    <row r="339" s="7" customFormat="1"/>
    <row r="340" s="7" customFormat="1"/>
    <row r="341" s="7" customFormat="1"/>
    <row r="342" s="7" customFormat="1"/>
    <row r="343" s="7" customFormat="1"/>
    <row r="344" s="7" customFormat="1"/>
    <row r="345" s="7" customFormat="1"/>
    <row r="346" s="7" customFormat="1"/>
    <row r="347" s="7" customFormat="1"/>
    <row r="348" s="7" customFormat="1"/>
    <row r="349" s="7" customFormat="1"/>
    <row r="350" s="7" customFormat="1"/>
    <row r="351" s="7" customFormat="1"/>
    <row r="352" s="7" customFormat="1"/>
    <row r="353" s="7" customFormat="1"/>
    <row r="354" s="7" customFormat="1"/>
    <row r="355" s="7" customFormat="1"/>
    <row r="356" s="7" customFormat="1"/>
    <row r="357" s="7" customFormat="1"/>
    <row r="358" s="7" customFormat="1"/>
    <row r="359" s="7" customFormat="1"/>
    <row r="360" s="7" customFormat="1"/>
    <row r="361" s="7" customFormat="1"/>
    <row r="362" s="7" customFormat="1"/>
    <row r="363" s="7" customFormat="1"/>
    <row r="364" s="7" customFormat="1"/>
    <row r="365" s="7" customFormat="1"/>
    <row r="366" s="7" customFormat="1"/>
    <row r="367" s="7" customFormat="1"/>
    <row r="368" s="7" customFormat="1"/>
    <row r="369" s="7" customFormat="1"/>
    <row r="370" s="7" customFormat="1"/>
    <row r="371" s="7" customFormat="1"/>
    <row r="372" s="7" customFormat="1"/>
    <row r="373" s="7" customFormat="1"/>
    <row r="374" s="7" customFormat="1"/>
    <row r="375" s="7" customFormat="1"/>
    <row r="376" s="7" customFormat="1"/>
    <row r="377" s="7" customFormat="1"/>
    <row r="378" s="7" customFormat="1"/>
    <row r="379" s="7" customFormat="1"/>
    <row r="380" s="7" customFormat="1"/>
    <row r="381" s="7" customFormat="1"/>
    <row r="382" s="7" customFormat="1"/>
    <row r="383" s="7" customFormat="1"/>
    <row r="384" s="7" customFormat="1"/>
    <row r="385" s="7" customFormat="1"/>
    <row r="386" s="7" customFormat="1"/>
    <row r="387" s="7" customFormat="1"/>
    <row r="388" s="7" customFormat="1"/>
    <row r="389" s="7" customFormat="1"/>
    <row r="390" s="7" customFormat="1"/>
    <row r="391" s="7" customFormat="1"/>
    <row r="392" s="7" customFormat="1"/>
    <row r="393" s="7" customFormat="1"/>
    <row r="394" s="7" customFormat="1"/>
    <row r="395" s="7" customFormat="1"/>
    <row r="396" s="7" customFormat="1"/>
    <row r="397" s="7" customFormat="1"/>
    <row r="398" s="7" customFormat="1"/>
    <row r="399" s="7" customFormat="1"/>
    <row r="400" s="7" customFormat="1"/>
    <row r="401" s="7" customFormat="1"/>
    <row r="402" s="7" customFormat="1"/>
    <row r="403" s="7" customFormat="1"/>
    <row r="404" s="7" customFormat="1"/>
    <row r="405" s="7" customFormat="1"/>
    <row r="406" s="7" customFormat="1"/>
    <row r="407" s="7" customFormat="1"/>
    <row r="408" s="7" customFormat="1"/>
    <row r="409" s="7" customFormat="1"/>
    <row r="410" s="7" customFormat="1"/>
    <row r="411" s="7" customFormat="1"/>
    <row r="412" s="7" customFormat="1"/>
    <row r="413" s="7" customFormat="1"/>
    <row r="414" s="7" customFormat="1"/>
    <row r="415" s="7" customFormat="1"/>
    <row r="416" s="7" customFormat="1"/>
    <row r="417" s="7" customFormat="1"/>
    <row r="418" s="7" customFormat="1"/>
    <row r="419" s="7" customFormat="1"/>
    <row r="420" s="7" customFormat="1"/>
    <row r="421" s="7" customFormat="1"/>
    <row r="422" s="7" customFormat="1"/>
    <row r="423" s="7" customFormat="1"/>
    <row r="424" s="7" customFormat="1"/>
    <row r="425" s="7" customFormat="1"/>
    <row r="426" s="7" customFormat="1"/>
    <row r="427" s="7" customFormat="1"/>
    <row r="428" s="7" customFormat="1"/>
    <row r="429" s="7" customFormat="1"/>
    <row r="430" s="7" customFormat="1"/>
    <row r="431" s="7" customFormat="1"/>
    <row r="432" s="7" customFormat="1"/>
    <row r="433" s="7" customFormat="1"/>
    <row r="434" s="7" customFormat="1"/>
    <row r="435" s="7" customFormat="1"/>
    <row r="436" s="7" customFormat="1"/>
    <row r="437" s="7" customFormat="1"/>
    <row r="438" s="7" customFormat="1"/>
    <row r="439" s="7" customFormat="1"/>
    <row r="440" s="7" customFormat="1"/>
    <row r="441" s="7" customFormat="1"/>
    <row r="442" s="7" customFormat="1"/>
    <row r="443" s="7" customFormat="1"/>
    <row r="444" s="7" customFormat="1"/>
    <row r="445" s="7" customFormat="1"/>
    <row r="446" s="7" customFormat="1"/>
    <row r="447" s="7" customFormat="1"/>
    <row r="448" s="7" customFormat="1"/>
    <row r="449" s="7" customFormat="1"/>
    <row r="450" s="7" customFormat="1"/>
    <row r="451" s="7" customFormat="1"/>
    <row r="452" s="7" customFormat="1"/>
    <row r="453" s="7" customFormat="1"/>
    <row r="454" s="7" customFormat="1"/>
    <row r="455" s="7" customFormat="1"/>
    <row r="456" s="7" customFormat="1"/>
    <row r="457" s="7" customFormat="1"/>
    <row r="458" s="7" customFormat="1"/>
    <row r="459" s="7" customFormat="1"/>
    <row r="460" s="7" customFormat="1"/>
    <row r="461" s="7" customFormat="1"/>
    <row r="462" s="7" customFormat="1"/>
    <row r="463" s="7" customFormat="1"/>
    <row r="464" s="7" customFormat="1"/>
    <row r="465" s="7" customFormat="1"/>
    <row r="466" s="7" customFormat="1"/>
    <row r="467" s="7" customFormat="1"/>
    <row r="468" s="7" customFormat="1"/>
    <row r="469" s="7" customFormat="1"/>
    <row r="470" s="7" customFormat="1"/>
    <row r="471" s="7" customFormat="1"/>
    <row r="472" s="7" customFormat="1"/>
    <row r="473" s="7" customFormat="1"/>
    <row r="474" s="7" customFormat="1"/>
    <row r="475" s="7" customFormat="1"/>
    <row r="476" s="7" customFormat="1"/>
    <row r="477" s="7" customFormat="1"/>
    <row r="478" s="7" customFormat="1"/>
    <row r="479" s="7" customFormat="1"/>
    <row r="480" s="7" customFormat="1"/>
    <row r="481" s="7" customFormat="1"/>
    <row r="482" s="7" customFormat="1"/>
    <row r="483" s="7" customFormat="1"/>
    <row r="484" s="7" customFormat="1"/>
    <row r="485" s="7" customFormat="1"/>
    <row r="486" s="7" customFormat="1"/>
    <row r="487" s="7" customFormat="1"/>
    <row r="488" s="7" customFormat="1"/>
    <row r="489" s="7" customFormat="1"/>
    <row r="490" s="7" customFormat="1"/>
    <row r="491" s="7" customFormat="1"/>
    <row r="492" s="7" customFormat="1"/>
    <row r="493" s="7" customFormat="1"/>
    <row r="494" s="7" customFormat="1"/>
    <row r="495" s="7" customFormat="1"/>
    <row r="496" s="7" customFormat="1"/>
    <row r="497" s="7" customFormat="1"/>
    <row r="498" s="7" customFormat="1"/>
    <row r="499" s="7" customFormat="1"/>
    <row r="500" s="7" customFormat="1"/>
    <row r="501" s="7" customFormat="1"/>
    <row r="502" s="7" customFormat="1"/>
    <row r="503" s="7" customFormat="1"/>
    <row r="504" s="7" customFormat="1"/>
    <row r="505" s="7" customFormat="1"/>
    <row r="506" s="7" customFormat="1"/>
    <row r="507" s="7" customFormat="1"/>
    <row r="508" s="7" customFormat="1"/>
    <row r="509" s="7" customFormat="1"/>
    <row r="510" s="7" customFormat="1"/>
    <row r="511" s="7" customFormat="1"/>
    <row r="512" s="7" customFormat="1"/>
    <row r="513" s="7" customFormat="1"/>
    <row r="514" s="7" customFormat="1"/>
    <row r="515" s="7" customFormat="1"/>
    <row r="516" s="7" customFormat="1"/>
    <row r="517" s="7" customFormat="1"/>
    <row r="518" s="7" customFormat="1"/>
    <row r="519" s="7" customFormat="1"/>
    <row r="520" s="7" customFormat="1"/>
    <row r="521" s="7" customFormat="1"/>
    <row r="522" s="7" customFormat="1"/>
    <row r="523" s="7" customFormat="1"/>
    <row r="524" s="7" customFormat="1"/>
    <row r="525" s="7" customFormat="1"/>
    <row r="526" s="7" customFormat="1"/>
    <row r="527" s="7" customFormat="1"/>
    <row r="528" s="7" customFormat="1"/>
    <row r="529" s="7" customFormat="1"/>
    <row r="530" s="7" customFormat="1"/>
    <row r="531" s="7" customFormat="1"/>
    <row r="532" s="7" customFormat="1"/>
    <row r="533" s="7" customFormat="1"/>
    <row r="534" s="7" customFormat="1"/>
    <row r="535" s="7" customFormat="1"/>
    <row r="536" s="7" customFormat="1"/>
    <row r="537" s="7" customFormat="1"/>
    <row r="538" s="7" customFormat="1"/>
    <row r="539" s="7" customFormat="1"/>
    <row r="540" s="7" customFormat="1"/>
    <row r="541" s="7" customFormat="1"/>
    <row r="542" s="7" customFormat="1"/>
    <row r="543" s="7" customFormat="1"/>
    <row r="544" s="7" customFormat="1"/>
    <row r="545" s="7" customFormat="1"/>
    <row r="546" s="7" customFormat="1"/>
    <row r="547" s="7" customFormat="1"/>
    <row r="548" s="7" customFormat="1"/>
    <row r="549" s="7" customFormat="1"/>
    <row r="550" s="7" customFormat="1"/>
    <row r="551" s="7" customFormat="1"/>
    <row r="552" s="7" customFormat="1"/>
    <row r="553" s="7" customFormat="1"/>
    <row r="554" s="7" customFormat="1"/>
    <row r="555" s="7" customFormat="1"/>
    <row r="556" s="7" customFormat="1"/>
    <row r="557" s="7" customFormat="1"/>
    <row r="558" s="7" customFormat="1"/>
    <row r="559" s="7" customFormat="1"/>
    <row r="560" s="7" customFormat="1"/>
    <row r="561" s="7" customFormat="1"/>
    <row r="562" s="7" customFormat="1"/>
    <row r="563" s="7" customFormat="1"/>
    <row r="564" s="7" customFormat="1"/>
    <row r="565" s="7" customFormat="1"/>
    <row r="566" s="7" customFormat="1"/>
    <row r="567" s="7" customFormat="1"/>
    <row r="568" s="7" customFormat="1"/>
    <row r="569" s="7" customFormat="1"/>
    <row r="570" s="7" customFormat="1"/>
    <row r="571" s="7" customFormat="1"/>
    <row r="572" s="7" customFormat="1"/>
    <row r="573" s="7" customFormat="1"/>
    <row r="574" s="7" customFormat="1"/>
    <row r="575" s="7" customFormat="1"/>
    <row r="576" s="7" customFormat="1"/>
    <row r="577" s="7" customFormat="1"/>
    <row r="578" s="7" customFormat="1"/>
    <row r="579" s="7" customFormat="1"/>
    <row r="580" s="7" customFormat="1"/>
    <row r="581" s="7" customFormat="1"/>
    <row r="582" s="7" customFormat="1"/>
    <row r="583" s="7" customFormat="1"/>
    <row r="584" s="7" customFormat="1"/>
    <row r="585" s="7" customFormat="1"/>
    <row r="586" s="7" customFormat="1"/>
    <row r="587" s="7" customFormat="1"/>
    <row r="588" s="7" customFormat="1"/>
    <row r="589" s="7" customFormat="1"/>
    <row r="590" s="7" customFormat="1"/>
    <row r="591" s="7" customFormat="1"/>
    <row r="592" s="7" customFormat="1"/>
    <row r="593" s="7" customFormat="1"/>
    <row r="594" s="7" customFormat="1"/>
    <row r="595" s="7" customFormat="1"/>
    <row r="596" s="7" customFormat="1"/>
    <row r="597" s="7" customFormat="1"/>
    <row r="598" s="7" customFormat="1"/>
    <row r="599" s="7" customFormat="1"/>
    <row r="600" s="7" customFormat="1"/>
    <row r="601" s="7" customFormat="1"/>
    <row r="602" s="7" customFormat="1"/>
    <row r="603" s="7" customFormat="1"/>
    <row r="604" s="7" customFormat="1"/>
    <row r="605" s="7" customFormat="1"/>
    <row r="606" s="7" customFormat="1"/>
    <row r="607" s="7" customFormat="1"/>
    <row r="608" s="7" customFormat="1"/>
    <row r="609" s="7" customFormat="1"/>
    <row r="610" s="7" customFormat="1"/>
    <row r="611" s="7" customFormat="1"/>
    <row r="612" s="7" customFormat="1"/>
    <row r="613" s="7" customFormat="1"/>
    <row r="614" s="7" customFormat="1"/>
    <row r="615" s="7" customFormat="1"/>
    <row r="616" s="7" customFormat="1"/>
    <row r="617" s="7" customFormat="1"/>
    <row r="618" s="7" customFormat="1"/>
    <row r="619" s="7" customFormat="1"/>
    <row r="620" s="7" customFormat="1"/>
    <row r="621" s="7" customFormat="1"/>
    <row r="622" s="7" customFormat="1"/>
    <row r="623" s="7" customFormat="1"/>
    <row r="624" s="7" customFormat="1"/>
    <row r="625" s="7" customFormat="1"/>
    <row r="626" s="7" customFormat="1"/>
    <row r="627" s="7" customFormat="1"/>
    <row r="628" s="7" customFormat="1"/>
    <row r="629" s="7" customFormat="1"/>
    <row r="630" s="7" customFormat="1"/>
    <row r="631" s="7" customFormat="1"/>
    <row r="632" s="7" customFormat="1"/>
    <row r="633" s="7" customFormat="1"/>
    <row r="634" s="7" customFormat="1"/>
    <row r="635" s="7" customFormat="1"/>
    <row r="636" s="7" customFormat="1"/>
    <row r="637" s="7" customFormat="1"/>
    <row r="638" s="7" customFormat="1"/>
    <row r="639" s="7" customFormat="1"/>
    <row r="640" s="7" customFormat="1"/>
    <row r="641" s="7" customFormat="1"/>
    <row r="642" s="7" customFormat="1"/>
    <row r="643" s="7" customFormat="1"/>
    <row r="644" s="7" customFormat="1"/>
    <row r="645" s="7" customFormat="1"/>
    <row r="646" s="7" customFormat="1"/>
    <row r="647" s="7" customFormat="1"/>
    <row r="648" s="7" customFormat="1"/>
    <row r="649" s="7" customFormat="1"/>
    <row r="650" s="7" customFormat="1"/>
    <row r="651" s="7" customFormat="1"/>
    <row r="652" s="7" customFormat="1"/>
    <row r="653" s="7" customFormat="1"/>
    <row r="654" s="7" customFormat="1"/>
    <row r="655" s="7" customFormat="1"/>
    <row r="656" s="7" customFormat="1"/>
    <row r="657" s="7" customFormat="1"/>
    <row r="658" s="7" customFormat="1"/>
    <row r="659" s="7" customFormat="1"/>
    <row r="660" s="7" customFormat="1"/>
    <row r="661" s="7" customFormat="1"/>
    <row r="662" s="7" customFormat="1"/>
    <row r="663" s="7" customFormat="1"/>
    <row r="664" s="7" customFormat="1"/>
    <row r="665" s="7" customFormat="1"/>
    <row r="666" s="7" customFormat="1"/>
    <row r="667" s="7" customFormat="1"/>
    <row r="668" s="7" customFormat="1"/>
    <row r="669" s="7" customFormat="1"/>
    <row r="670" s="7" customFormat="1"/>
    <row r="671" s="7" customFormat="1"/>
    <row r="672" s="7" customFormat="1"/>
    <row r="673" s="7" customFormat="1"/>
    <row r="674" s="7" customFormat="1"/>
    <row r="675" s="7" customFormat="1"/>
    <row r="676" s="7" customFormat="1"/>
    <row r="677" s="7" customFormat="1"/>
    <row r="678" s="7" customFormat="1"/>
    <row r="679" s="7" customFormat="1"/>
    <row r="680" s="7" customFormat="1"/>
    <row r="681" s="7" customFormat="1"/>
    <row r="682" s="7" customFormat="1"/>
    <row r="683" s="7" customFormat="1"/>
    <row r="684" s="7" customFormat="1"/>
    <row r="685" s="7" customFormat="1"/>
    <row r="686" s="7" customFormat="1"/>
    <row r="687" s="7" customFormat="1"/>
    <row r="688" s="7" customFormat="1"/>
    <row r="689" s="7" customFormat="1"/>
    <row r="690" s="7" customFormat="1"/>
    <row r="691" s="7" customFormat="1"/>
    <row r="692" s="7" customFormat="1"/>
    <row r="693" s="7" customFormat="1"/>
    <row r="694" s="7" customFormat="1"/>
    <row r="695" s="7" customFormat="1"/>
    <row r="696" s="7" customFormat="1"/>
    <row r="697" s="7" customFormat="1"/>
    <row r="698" s="7" customFormat="1"/>
    <row r="699" s="7" customFormat="1"/>
    <row r="700" s="7" customFormat="1"/>
    <row r="701" s="7" customFormat="1"/>
    <row r="702" s="7" customFormat="1"/>
    <row r="703" s="7" customFormat="1"/>
    <row r="704" s="7" customFormat="1"/>
    <row r="705" s="7" customFormat="1"/>
    <row r="706" s="7" customFormat="1"/>
    <row r="707" s="7" customFormat="1"/>
    <row r="708" s="7" customFormat="1"/>
    <row r="709" s="7" customFormat="1"/>
    <row r="710" s="7" customFormat="1"/>
    <row r="711" s="7" customFormat="1"/>
    <row r="712" s="7" customFormat="1"/>
    <row r="713" s="7" customFormat="1"/>
    <row r="714" s="7" customFormat="1"/>
    <row r="715" s="7" customFormat="1"/>
    <row r="716" s="7" customFormat="1"/>
    <row r="717" s="7" customFormat="1"/>
    <row r="718" s="7" customFormat="1"/>
    <row r="719" s="7" customFormat="1"/>
    <row r="720" s="7" customFormat="1"/>
    <row r="721" s="7" customFormat="1"/>
    <row r="722" s="7" customFormat="1"/>
    <row r="723" s="7" customFormat="1"/>
    <row r="724" s="7" customFormat="1"/>
    <row r="725" s="7" customFormat="1"/>
    <row r="726" s="7" customFormat="1"/>
    <row r="727" s="7" customFormat="1"/>
    <row r="728" s="7" customFormat="1"/>
    <row r="729" s="7" customFormat="1"/>
    <row r="730" s="7" customFormat="1"/>
    <row r="731" s="7" customFormat="1"/>
    <row r="732" s="7" customFormat="1"/>
    <row r="733" s="7" customFormat="1"/>
    <row r="734" s="7" customFormat="1"/>
    <row r="735" s="7" customFormat="1"/>
    <row r="736" s="7" customFormat="1"/>
    <row r="737" s="7" customFormat="1"/>
    <row r="738" s="7" customFormat="1"/>
    <row r="739" s="7" customFormat="1"/>
    <row r="740" s="7" customFormat="1"/>
    <row r="741" s="7" customFormat="1"/>
    <row r="742" s="7" customFormat="1"/>
    <row r="743" s="7" customFormat="1"/>
    <row r="744" s="7" customFormat="1"/>
    <row r="745" s="7" customFormat="1"/>
    <row r="746" s="7" customFormat="1"/>
    <row r="747" s="7" customFormat="1"/>
    <row r="748" s="7" customFormat="1"/>
    <row r="749" s="7" customFormat="1"/>
    <row r="750" s="7" customFormat="1"/>
    <row r="751" s="7" customFormat="1"/>
    <row r="752" s="7" customFormat="1"/>
    <row r="753" s="7" customFormat="1"/>
    <row r="754" s="7" customFormat="1"/>
    <row r="755" s="7" customFormat="1"/>
    <row r="756" s="7" customFormat="1"/>
    <row r="757" s="7" customFormat="1"/>
    <row r="758" s="7" customFormat="1"/>
    <row r="759" s="7" customFormat="1"/>
    <row r="760" s="7" customFormat="1"/>
    <row r="761" s="7" customFormat="1"/>
    <row r="762" s="7" customFormat="1"/>
    <row r="763" s="7" customFormat="1"/>
    <row r="764" s="7" customFormat="1"/>
    <row r="765" s="7" customFormat="1"/>
    <row r="766" s="7" customFormat="1"/>
    <row r="767" s="7" customFormat="1"/>
    <row r="768" s="7" customFormat="1"/>
    <row r="769" s="7" customFormat="1"/>
    <row r="770" s="7" customFormat="1"/>
    <row r="771" s="7" customFormat="1"/>
    <row r="772" s="7" customFormat="1"/>
    <row r="773" s="7" customFormat="1"/>
    <row r="774" s="7" customFormat="1"/>
    <row r="775" s="7" customFormat="1"/>
    <row r="776" s="7" customFormat="1"/>
    <row r="777" s="7" customFormat="1"/>
    <row r="778" s="7" customFormat="1"/>
    <row r="779" s="7" customFormat="1"/>
    <row r="780" s="7" customFormat="1"/>
    <row r="781" s="7" customFormat="1"/>
    <row r="782" s="7" customFormat="1"/>
    <row r="783" s="7" customFormat="1"/>
    <row r="784" s="7" customFormat="1"/>
    <row r="785" s="7" customFormat="1"/>
    <row r="786" s="7" customFormat="1"/>
    <row r="787" s="7" customFormat="1"/>
    <row r="788" s="7" customFormat="1"/>
    <row r="789" s="7" customFormat="1"/>
    <row r="790" s="7" customFormat="1"/>
    <row r="791" s="7" customFormat="1"/>
    <row r="792" s="7" customFormat="1"/>
    <row r="793" s="7" customFormat="1"/>
    <row r="794" s="7" customFormat="1"/>
    <row r="795" s="7" customFormat="1"/>
    <row r="796" s="7" customFormat="1"/>
    <row r="797" s="7" customFormat="1"/>
    <row r="798" s="7" customFormat="1"/>
    <row r="799" s="7" customFormat="1"/>
    <row r="800" s="7" customFormat="1"/>
    <row r="801" s="7" customFormat="1"/>
    <row r="802" s="7" customFormat="1"/>
    <row r="803" s="7" customFormat="1"/>
    <row r="804" s="7" customFormat="1"/>
    <row r="805" s="7" customFormat="1"/>
    <row r="806" s="7" customFormat="1"/>
    <row r="807" s="7" customFormat="1"/>
    <row r="808" s="7" customFormat="1"/>
    <row r="809" s="7" customFormat="1"/>
    <row r="810" s="7" customFormat="1"/>
    <row r="811" s="7" customFormat="1"/>
    <row r="812" s="7" customFormat="1"/>
    <row r="813" s="7" customFormat="1"/>
    <row r="814" s="7" customFormat="1"/>
    <row r="815" s="7" customFormat="1"/>
    <row r="816" s="7" customFormat="1"/>
    <row r="817" s="7" customFormat="1"/>
    <row r="818" s="7" customFormat="1"/>
    <row r="819" s="7" customFormat="1"/>
    <row r="820" s="7" customFormat="1"/>
    <row r="821" s="7" customFormat="1"/>
    <row r="822" s="7" customFormat="1"/>
    <row r="823" s="7" customFormat="1"/>
    <row r="824" s="7" customFormat="1"/>
    <row r="825" s="7" customFormat="1"/>
    <row r="826" s="7" customFormat="1"/>
    <row r="827" s="7" customFormat="1"/>
    <row r="828" s="7" customFormat="1"/>
    <row r="829" s="7" customFormat="1"/>
    <row r="830" s="7" customFormat="1"/>
    <row r="831" s="7" customFormat="1"/>
    <row r="832" s="7" customFormat="1"/>
    <row r="833" s="7" customFormat="1"/>
    <row r="834" s="7" customFormat="1"/>
    <row r="835" s="7" customFormat="1"/>
    <row r="836" s="7" customFormat="1"/>
    <row r="837" s="7" customFormat="1"/>
    <row r="838" s="7" customFormat="1"/>
    <row r="839" s="7" customFormat="1"/>
    <row r="840" s="7" customFormat="1"/>
    <row r="841" s="7" customFormat="1"/>
    <row r="842" s="7" customFormat="1"/>
    <row r="843" s="7" customFormat="1"/>
    <row r="844" s="7" customFormat="1"/>
    <row r="845" s="7" customFormat="1"/>
    <row r="846" s="7" customFormat="1"/>
    <row r="847" s="7" customFormat="1"/>
    <row r="848" s="7" customFormat="1"/>
    <row r="849" s="7" customFormat="1"/>
    <row r="850" s="7" customFormat="1"/>
    <row r="851" s="7" customFormat="1"/>
    <row r="852" s="7" customFormat="1"/>
    <row r="853" s="7" customFormat="1"/>
    <row r="854" s="7" customFormat="1"/>
    <row r="855" s="7" customFormat="1"/>
    <row r="856" s="7" customFormat="1"/>
    <row r="857" s="7" customFormat="1"/>
    <row r="858" s="7" customFormat="1"/>
    <row r="859" s="7" customFormat="1"/>
    <row r="860" s="7" customFormat="1"/>
    <row r="861" s="7" customFormat="1"/>
    <row r="862" s="7" customFormat="1"/>
    <row r="863" s="7" customFormat="1"/>
    <row r="864" s="7" customFormat="1"/>
    <row r="865" s="7" customFormat="1"/>
    <row r="866" s="7" customFormat="1"/>
    <row r="867" s="7" customFormat="1"/>
    <row r="868" s="7" customFormat="1"/>
    <row r="869" s="7" customFormat="1"/>
    <row r="870" s="7" customFormat="1"/>
    <row r="871" s="7" customFormat="1"/>
    <row r="872" s="7" customFormat="1"/>
    <row r="873" s="7" customFormat="1"/>
    <row r="874" s="7" customFormat="1"/>
    <row r="875" s="7" customFormat="1"/>
    <row r="876" s="7" customFormat="1"/>
    <row r="877" s="7" customFormat="1"/>
    <row r="878" s="7" customFormat="1"/>
    <row r="879" s="7" customFormat="1"/>
    <row r="880" s="7" customFormat="1"/>
    <row r="881" s="7" customFormat="1"/>
    <row r="882" s="7" customFormat="1"/>
    <row r="883" s="7" customFormat="1"/>
    <row r="884" s="7" customFormat="1"/>
    <row r="885" s="7" customFormat="1"/>
    <row r="886" s="7" customFormat="1"/>
    <row r="887" s="7" customFormat="1"/>
    <row r="888" s="7" customFormat="1"/>
    <row r="889" s="7" customFormat="1"/>
    <row r="890" s="7" customFormat="1"/>
    <row r="891" s="7" customFormat="1"/>
    <row r="892" s="7" customFormat="1"/>
    <row r="893" s="7" customFormat="1"/>
    <row r="894" s="7" customFormat="1"/>
    <row r="895" s="7" customFormat="1"/>
    <row r="896" s="7" customFormat="1"/>
    <row r="897" s="7" customFormat="1"/>
    <row r="898" s="7" customFormat="1"/>
    <row r="899" s="7" customFormat="1"/>
    <row r="900" s="7" customFormat="1"/>
    <row r="901" s="7" customFormat="1"/>
    <row r="902" s="7" customFormat="1"/>
    <row r="903" s="7" customFormat="1"/>
    <row r="904" s="7" customFormat="1"/>
    <row r="905" s="7" customFormat="1"/>
    <row r="906" s="7" customFormat="1"/>
    <row r="907" s="7" customFormat="1"/>
    <row r="908" s="7" customFormat="1"/>
    <row r="909" s="7" customFormat="1"/>
    <row r="910" s="7" customFormat="1"/>
    <row r="911" s="7" customFormat="1"/>
    <row r="912" s="7" customFormat="1"/>
    <row r="913" s="7" customFormat="1"/>
    <row r="914" s="7" customFormat="1"/>
    <row r="915" s="7" customFormat="1"/>
    <row r="916" s="7" customFormat="1"/>
    <row r="917" s="7" customFormat="1"/>
    <row r="918" s="7" customFormat="1"/>
    <row r="919" s="7" customFormat="1"/>
    <row r="920" s="7" customFormat="1"/>
    <row r="921" s="7" customFormat="1"/>
    <row r="922" s="7" customFormat="1"/>
    <row r="923" s="7" customFormat="1"/>
    <row r="924" s="7" customFormat="1"/>
    <row r="925" s="7" customFormat="1"/>
    <row r="926" s="7" customFormat="1"/>
    <row r="927" s="7" customFormat="1"/>
    <row r="928" s="7" customFormat="1"/>
    <row r="929" s="7" customFormat="1"/>
    <row r="930" s="7" customFormat="1"/>
    <row r="931" s="7" customFormat="1"/>
    <row r="932" s="7" customFormat="1"/>
    <row r="933" s="7" customFormat="1"/>
    <row r="934" s="7" customFormat="1"/>
    <row r="935" s="7" customFormat="1"/>
    <row r="936" s="7" customFormat="1"/>
    <row r="937" s="7" customFormat="1"/>
    <row r="938" s="7" customFormat="1"/>
    <row r="939" s="7" customFormat="1"/>
    <row r="940" s="7" customFormat="1"/>
    <row r="941" s="7" customFormat="1"/>
    <row r="942" s="7" customFormat="1"/>
    <row r="943" s="7" customFormat="1"/>
    <row r="944" s="7" customFormat="1"/>
    <row r="945" s="7" customFormat="1"/>
    <row r="946" s="7" customFormat="1"/>
    <row r="947" s="7" customFormat="1"/>
    <row r="948" s="7" customFormat="1"/>
    <row r="949" s="7" customFormat="1"/>
    <row r="950" s="7" customFormat="1"/>
    <row r="951" s="7" customFormat="1"/>
    <row r="952" s="7" customFormat="1"/>
    <row r="953" s="7" customFormat="1"/>
    <row r="954" s="7" customFormat="1"/>
    <row r="955" s="7" customFormat="1"/>
    <row r="956" s="7" customFormat="1"/>
    <row r="957" s="7" customFormat="1"/>
    <row r="958" s="7" customFormat="1"/>
    <row r="959" s="7" customFormat="1"/>
    <row r="960" s="7" customFormat="1"/>
    <row r="961" s="7" customFormat="1"/>
    <row r="962" s="7" customFormat="1"/>
    <row r="963" s="7" customFormat="1"/>
    <row r="964" s="7" customFormat="1"/>
    <row r="965" s="7" customFormat="1"/>
    <row r="966" s="7" customFormat="1"/>
    <row r="967" s="7" customFormat="1"/>
    <row r="968" s="7" customFormat="1"/>
    <row r="969" s="7" customFormat="1"/>
    <row r="970" s="7" customFormat="1"/>
    <row r="971" s="7" customFormat="1"/>
    <row r="972" s="7" customFormat="1"/>
    <row r="973" s="7" customFormat="1"/>
    <row r="974" s="7" customFormat="1"/>
    <row r="975" s="7" customFormat="1"/>
    <row r="976" s="7" customFormat="1"/>
    <row r="977" s="7" customFormat="1"/>
    <row r="978" s="7" customFormat="1"/>
    <row r="979" s="7" customFormat="1"/>
    <row r="980" s="7" customFormat="1"/>
    <row r="981" s="7" customFormat="1"/>
    <row r="982" s="7" customFormat="1"/>
    <row r="983" s="7" customFormat="1"/>
    <row r="984" s="7" customFormat="1"/>
    <row r="985" s="7" customFormat="1"/>
    <row r="986" s="7" customFormat="1"/>
    <row r="987" s="7" customFormat="1"/>
    <row r="988" s="7" customFormat="1"/>
    <row r="989" s="7" customFormat="1"/>
    <row r="990" s="7" customFormat="1"/>
    <row r="991" s="7" customFormat="1"/>
    <row r="992" s="7" customFormat="1"/>
    <row r="993" s="7" customFormat="1"/>
    <row r="994" s="7" customFormat="1"/>
    <row r="995" s="7" customFormat="1"/>
    <row r="996" s="7" customFormat="1"/>
    <row r="997" s="7" customFormat="1"/>
    <row r="998" s="7" customFormat="1"/>
    <row r="999" s="7" customFormat="1"/>
    <row r="1000" s="7" customFormat="1"/>
    <row r="1001" s="7" customFormat="1"/>
    <row r="1002" s="7" customFormat="1"/>
    <row r="1003" s="7" customFormat="1"/>
    <row r="1004" s="7" customFormat="1"/>
    <row r="1005" s="7" customFormat="1"/>
    <row r="1006" s="7" customFormat="1"/>
    <row r="1007" s="7" customFormat="1"/>
    <row r="1008" s="7" customFormat="1"/>
    <row r="1009" s="7" customFormat="1"/>
    <row r="1010" s="7" customFormat="1"/>
    <row r="1011" s="7" customFormat="1"/>
    <row r="1012" s="7" customFormat="1"/>
    <row r="1013" s="7" customFormat="1"/>
    <row r="1014" s="7" customFormat="1"/>
    <row r="1015" s="7" customFormat="1"/>
    <row r="1016" s="7" customFormat="1"/>
    <row r="1017" s="7" customFormat="1"/>
    <row r="1018" s="7" customFormat="1"/>
    <row r="1019" s="7" customFormat="1"/>
    <row r="1020" s="7" customFormat="1"/>
    <row r="1021" s="7" customFormat="1"/>
    <row r="1022" s="7" customFormat="1"/>
    <row r="1023" s="7" customFormat="1"/>
    <row r="1024" s="7" customFormat="1"/>
    <row r="1025" s="7" customFormat="1"/>
    <row r="1026" s="7" customFormat="1"/>
    <row r="1027" s="7" customFormat="1"/>
    <row r="1028" s="7" customFormat="1"/>
    <row r="1029" s="7" customFormat="1"/>
    <row r="1030" s="7" customFormat="1"/>
    <row r="1031" s="7" customFormat="1"/>
    <row r="1032" s="7" customFormat="1"/>
    <row r="1033" s="7" customFormat="1"/>
    <row r="1034" s="7" customFormat="1"/>
    <row r="1035" s="7" customFormat="1"/>
    <row r="1036" s="7" customFormat="1"/>
    <row r="1037" s="7" customFormat="1"/>
    <row r="1038" s="7" customFormat="1"/>
    <row r="1039" s="7" customFormat="1"/>
    <row r="1040" s="7" customFormat="1"/>
    <row r="1041" s="7" customFormat="1"/>
    <row r="1042" s="7" customFormat="1"/>
    <row r="1043" s="7" customFormat="1"/>
    <row r="1044" s="7" customFormat="1"/>
    <row r="1045" s="7" customFormat="1"/>
    <row r="1046" s="7" customFormat="1"/>
    <row r="1047" s="7" customFormat="1"/>
    <row r="1048" s="7" customFormat="1"/>
    <row r="1049" s="7" customFormat="1"/>
    <row r="1050" s="7" customFormat="1"/>
    <row r="1051" s="7" customFormat="1"/>
    <row r="1052" s="7" customFormat="1"/>
    <row r="1053" s="7" customFormat="1"/>
    <row r="1054" s="7" customFormat="1"/>
    <row r="1055" s="7" customFormat="1"/>
    <row r="1056" s="7" customFormat="1"/>
    <row r="1057" s="7" customFormat="1"/>
    <row r="1058" s="7" customFormat="1"/>
    <row r="1059" s="7" customFormat="1"/>
    <row r="1060" s="7" customFormat="1"/>
    <row r="1061" s="7" customFormat="1"/>
    <row r="1062" s="7" customFormat="1"/>
    <row r="1063" s="7" customFormat="1"/>
    <row r="1064" s="7" customFormat="1"/>
    <row r="1065" s="7" customFormat="1"/>
    <row r="1066" s="7" customFormat="1"/>
    <row r="1067" s="7" customFormat="1"/>
    <row r="1068" s="7" customFormat="1"/>
    <row r="1069" s="7" customFormat="1"/>
    <row r="1070" s="7" customFormat="1"/>
    <row r="1071" s="7" customFormat="1"/>
    <row r="1072" s="7" customFormat="1"/>
    <row r="1073" s="7" customFormat="1"/>
    <row r="1074" s="7" customFormat="1"/>
    <row r="1075" s="7" customFormat="1"/>
    <row r="1076" s="7" customFormat="1"/>
    <row r="1077" s="7" customFormat="1"/>
    <row r="1078" s="7" customFormat="1"/>
    <row r="1079" s="7" customFormat="1"/>
    <row r="1080" s="7" customFormat="1"/>
    <row r="1081" s="7" customFormat="1"/>
    <row r="1082" s="7" customFormat="1"/>
    <row r="1083" s="7" customFormat="1"/>
    <row r="1084" s="7" customFormat="1"/>
    <row r="1085" s="7" customFormat="1"/>
    <row r="1086" s="7" customFormat="1"/>
    <row r="1087" s="7" customFormat="1"/>
    <row r="1088" s="7" customFormat="1"/>
    <row r="1089" s="7" customFormat="1"/>
    <row r="1090" s="7" customFormat="1"/>
    <row r="1091" s="7" customFormat="1"/>
    <row r="1092" s="7" customFormat="1"/>
    <row r="1093" s="7" customFormat="1"/>
    <row r="1094" s="7" customFormat="1"/>
    <row r="1095" s="7" customFormat="1"/>
    <row r="1096" s="7" customFormat="1"/>
    <row r="1097" s="7" customFormat="1"/>
    <row r="1098" s="7" customFormat="1"/>
    <row r="1099" s="7" customFormat="1"/>
    <row r="1100" s="7" customFormat="1"/>
    <row r="1101" s="7" customFormat="1"/>
    <row r="1102" s="7" customFormat="1"/>
    <row r="1103" s="7" customFormat="1"/>
    <row r="1104" s="7" customFormat="1"/>
    <row r="1105" s="7" customFormat="1"/>
    <row r="1106" s="7" customFormat="1"/>
    <row r="1107" s="7" customFormat="1"/>
    <row r="1108" s="7" customFormat="1"/>
    <row r="1109" s="7" customFormat="1"/>
    <row r="1110" s="7" customFormat="1"/>
    <row r="1111" s="7" customFormat="1"/>
    <row r="1112" s="7" customFormat="1"/>
    <row r="1113" s="7" customFormat="1"/>
    <row r="1114" s="7" customFormat="1"/>
    <row r="1115" s="7" customFormat="1"/>
    <row r="1116" s="7" customFormat="1"/>
    <row r="1117" s="7" customFormat="1"/>
    <row r="1118" s="7" customFormat="1"/>
    <row r="1119" s="7" customFormat="1"/>
    <row r="1120" s="7" customFormat="1"/>
    <row r="1121" s="7" customFormat="1"/>
    <row r="1122" s="7" customFormat="1"/>
    <row r="1123" s="7" customFormat="1"/>
    <row r="1124" s="7" customFormat="1"/>
    <row r="1125" s="7" customFormat="1"/>
    <row r="1126" s="7" customFormat="1"/>
    <row r="1127" s="7" customFormat="1"/>
    <row r="1128" s="7" customFormat="1"/>
    <row r="1129" s="7" customFormat="1"/>
    <row r="1130" s="7" customFormat="1"/>
    <row r="1131" s="7" customFormat="1"/>
    <row r="1132" s="7" customFormat="1"/>
    <row r="1133" s="7" customFormat="1"/>
    <row r="1134" s="7" customFormat="1"/>
    <row r="1135" s="7" customFormat="1"/>
    <row r="1136" s="7" customFormat="1"/>
    <row r="1137" s="7" customFormat="1"/>
    <row r="1138" s="7" customFormat="1"/>
    <row r="1139" s="7" customFormat="1"/>
    <row r="1140" s="7" customFormat="1"/>
    <row r="1141" s="7" customFormat="1"/>
    <row r="1142" s="7" customFormat="1"/>
    <row r="1143" s="7" customFormat="1"/>
    <row r="1144" s="7" customFormat="1"/>
    <row r="1145" s="7" customFormat="1"/>
    <row r="1146" s="7" customFormat="1"/>
    <row r="1147" s="7" customFormat="1"/>
    <row r="1148" s="7" customFormat="1"/>
    <row r="1149" s="7" customFormat="1"/>
    <row r="1150" s="7" customFormat="1"/>
    <row r="1151" s="7" customFormat="1"/>
    <row r="1152" s="7" customFormat="1"/>
    <row r="1153" s="7" customFormat="1"/>
    <row r="1154" s="7" customFormat="1"/>
    <row r="1155" s="7" customFormat="1"/>
    <row r="1156" s="7" customFormat="1"/>
    <row r="1157" s="7" customFormat="1"/>
    <row r="1158" s="7" customFormat="1"/>
    <row r="1159" s="7" customFormat="1"/>
    <row r="1160" s="7" customFormat="1"/>
    <row r="1161" s="7" customFormat="1"/>
    <row r="1162" s="7" customFormat="1"/>
    <row r="1163" s="7" customFormat="1"/>
    <row r="1164" s="7" customFormat="1"/>
    <row r="1165" s="7" customFormat="1"/>
    <row r="1166" s="7" customFormat="1"/>
    <row r="1167" s="7" customFormat="1"/>
    <row r="1168" s="7" customFormat="1"/>
    <row r="1169" s="7" customFormat="1"/>
    <row r="1170" s="7" customFormat="1"/>
    <row r="1171" s="7" customFormat="1"/>
    <row r="1172" s="7" customFormat="1"/>
    <row r="1173" s="7" customFormat="1"/>
    <row r="1174" s="7" customFormat="1"/>
    <row r="1175" s="7" customFormat="1"/>
    <row r="1176" s="7" customFormat="1"/>
    <row r="1177" s="7" customFormat="1"/>
    <row r="1178" s="7" customFormat="1"/>
    <row r="1179" s="7" customFormat="1"/>
    <row r="1180" s="7" customFormat="1"/>
    <row r="1181" s="7" customFormat="1"/>
    <row r="1182" s="7" customFormat="1"/>
    <row r="1183" s="7" customFormat="1"/>
    <row r="1184" s="7" customFormat="1"/>
    <row r="1185" s="7" customFormat="1"/>
    <row r="1186" s="7" customFormat="1"/>
    <row r="1187" s="7" customFormat="1"/>
    <row r="1188" s="7" customFormat="1"/>
    <row r="1189" s="7" customFormat="1"/>
    <row r="1190" s="7" customFormat="1"/>
    <row r="1191" s="7" customFormat="1"/>
    <row r="1192" s="7" customFormat="1"/>
    <row r="1193" s="7" customFormat="1"/>
    <row r="1194" s="7" customFormat="1"/>
    <row r="1195" s="7" customFormat="1"/>
    <row r="1196" s="7" customFormat="1"/>
    <row r="1197" s="7" customFormat="1"/>
    <row r="1198" s="7" customFormat="1"/>
    <row r="1199" s="7" customFormat="1"/>
    <row r="1200" s="7" customFormat="1"/>
    <row r="1201" s="7" customFormat="1"/>
    <row r="1202" s="7" customFormat="1"/>
    <row r="1203" s="7" customFormat="1"/>
    <row r="1204" s="7" customFormat="1"/>
    <row r="1205" s="7" customFormat="1"/>
    <row r="1206" s="7" customFormat="1"/>
    <row r="1207" s="7" customFormat="1"/>
    <row r="1208" s="7" customFormat="1"/>
    <row r="1209" s="7" customFormat="1"/>
    <row r="1210" s="7" customFormat="1"/>
    <row r="1211" s="7" customFormat="1"/>
    <row r="1212" s="7" customFormat="1"/>
    <row r="1213" s="7" customFormat="1"/>
    <row r="1214" s="7" customFormat="1"/>
    <row r="1215" s="7" customFormat="1"/>
    <row r="1216" s="7" customFormat="1"/>
    <row r="1217" s="7" customFormat="1"/>
    <row r="1218" s="7" customFormat="1"/>
    <row r="1219" s="7" customFormat="1"/>
    <row r="1220" s="7" customFormat="1"/>
    <row r="1221" s="7" customFormat="1"/>
    <row r="1222" s="7" customFormat="1"/>
    <row r="1223" s="7" customFormat="1"/>
    <row r="1224" s="7" customFormat="1"/>
    <row r="1225" s="7" customFormat="1"/>
    <row r="1226" s="7" customFormat="1"/>
    <row r="1227" s="7" customFormat="1"/>
    <row r="1228" s="7" customFormat="1"/>
    <row r="1229" s="7" customFormat="1"/>
    <row r="1230" s="7" customFormat="1"/>
    <row r="1231" s="7" customFormat="1"/>
    <row r="1232" s="7" customFormat="1"/>
    <row r="1233" s="7" customFormat="1"/>
    <row r="1234" s="7" customFormat="1"/>
    <row r="1235" s="7" customFormat="1"/>
    <row r="1236" s="7" customFormat="1"/>
    <row r="1237" s="7" customFormat="1"/>
    <row r="1238" s="7" customFormat="1"/>
    <row r="1239" s="7" customFormat="1"/>
    <row r="1240" s="7" customFormat="1"/>
    <row r="1241" s="7" customFormat="1"/>
    <row r="1242" s="7" customFormat="1"/>
    <row r="1243" s="7" customFormat="1"/>
    <row r="1244" s="7" customFormat="1"/>
    <row r="1245" s="7" customFormat="1"/>
    <row r="1246" s="7" customFormat="1"/>
    <row r="1247" s="7" customFormat="1"/>
    <row r="1248" s="7" customFormat="1"/>
    <row r="1249" s="7" customFormat="1"/>
    <row r="1250" s="7" customFormat="1"/>
    <row r="1251" s="7" customFormat="1"/>
    <row r="1252" s="7" customFormat="1"/>
    <row r="1253" s="7" customFormat="1"/>
    <row r="1254" s="7" customFormat="1"/>
    <row r="1255" s="7" customFormat="1"/>
    <row r="1256" s="7" customFormat="1"/>
    <row r="1257" s="7" customFormat="1"/>
    <row r="1258" s="7" customFormat="1"/>
    <row r="1259" s="7" customFormat="1"/>
    <row r="1260" s="7" customFormat="1"/>
    <row r="1261" s="7" customFormat="1"/>
    <row r="1262" s="7" customFormat="1"/>
    <row r="1263" s="7" customFormat="1"/>
    <row r="1264" s="7" customFormat="1"/>
    <row r="1265" s="7" customFormat="1"/>
    <row r="1266" s="7" customFormat="1"/>
    <row r="1267" s="7" customFormat="1"/>
    <row r="1268" s="7" customFormat="1"/>
    <row r="1269" s="7" customFormat="1"/>
    <row r="1270" s="7" customFormat="1"/>
    <row r="1271" s="7" customFormat="1"/>
    <row r="1272" s="7" customFormat="1"/>
    <row r="1273" s="7" customFormat="1"/>
    <row r="1274" s="7" customFormat="1"/>
    <row r="1275" s="7" customFormat="1"/>
    <row r="1276" s="7" customFormat="1"/>
    <row r="1277" s="7" customFormat="1"/>
    <row r="1278" s="7" customFormat="1"/>
    <row r="1279" s="7" customFormat="1"/>
    <row r="1280" s="7" customFormat="1"/>
    <row r="1281" s="7" customFormat="1"/>
    <row r="1282" s="7" customFormat="1"/>
    <row r="1283" s="7" customFormat="1"/>
    <row r="1284" s="7" customFormat="1"/>
    <row r="1285" s="7" customFormat="1"/>
    <row r="1286" s="7" customFormat="1"/>
    <row r="1287" s="7" customFormat="1"/>
    <row r="1288" s="7" customFormat="1"/>
    <row r="1289" s="7" customFormat="1"/>
    <row r="1290" s="7" customFormat="1"/>
    <row r="1291" s="7" customFormat="1"/>
    <row r="1292" s="7" customFormat="1"/>
    <row r="1293" s="7" customFormat="1"/>
    <row r="1294" s="7" customFormat="1"/>
    <row r="1295" s="7" customFormat="1"/>
    <row r="1296" s="7" customFormat="1"/>
    <row r="1297" s="7" customFormat="1"/>
    <row r="1298" s="7" customFormat="1"/>
    <row r="1299" s="7" customFormat="1"/>
    <row r="1300" s="7" customFormat="1"/>
    <row r="1301" s="7" customFormat="1"/>
    <row r="1302" s="7" customFormat="1"/>
    <row r="1303" s="7" customFormat="1"/>
    <row r="1304" s="7" customFormat="1"/>
    <row r="1305" s="7" customFormat="1"/>
    <row r="1306" s="7" customFormat="1"/>
    <row r="1307" s="7" customFormat="1"/>
    <row r="1308" s="7" customFormat="1"/>
    <row r="1309" s="7" customFormat="1"/>
    <row r="1310" s="7" customFormat="1"/>
    <row r="1311" s="7" customFormat="1"/>
    <row r="1312" s="7" customFormat="1"/>
    <row r="1313" s="7" customFormat="1"/>
    <row r="1314" s="7" customFormat="1"/>
    <row r="1315" s="7" customFormat="1"/>
    <row r="1316" s="7" customFormat="1"/>
    <row r="1317" s="7" customFormat="1"/>
    <row r="1318" s="7" customFormat="1"/>
    <row r="1319" s="7" customFormat="1"/>
    <row r="1320" s="7" customFormat="1"/>
    <row r="1321" s="7" customFormat="1"/>
    <row r="1322" s="7" customFormat="1"/>
    <row r="1323" s="7" customFormat="1"/>
    <row r="1324" s="7" customFormat="1"/>
    <row r="1325" s="7" customFormat="1"/>
    <row r="1326" s="7" customFormat="1"/>
    <row r="1327" s="7" customFormat="1"/>
    <row r="1328" s="7" customFormat="1"/>
    <row r="1329" s="7" customFormat="1"/>
    <row r="1330" s="7" customFormat="1"/>
    <row r="1331" s="7" customFormat="1"/>
    <row r="1332" s="7" customFormat="1"/>
    <row r="1333" s="7" customFormat="1"/>
    <row r="1334" s="7" customFormat="1"/>
    <row r="1335" s="7" customFormat="1"/>
    <row r="1336" s="7" customFormat="1"/>
    <row r="1337" s="7" customFormat="1"/>
    <row r="1338" s="7" customFormat="1"/>
    <row r="1339" s="7" customFormat="1"/>
    <row r="1340" s="7" customFormat="1"/>
    <row r="1341" s="7" customFormat="1"/>
    <row r="1342" s="7" customFormat="1"/>
    <row r="1343" s="7" customFormat="1"/>
    <row r="1344" s="7" customFormat="1"/>
    <row r="1345" s="7" customFormat="1"/>
    <row r="1346" s="7" customFormat="1"/>
    <row r="1347" s="7" customFormat="1"/>
    <row r="1348" s="7" customFormat="1"/>
    <row r="1349" s="7" customFormat="1"/>
    <row r="1350" s="7" customFormat="1"/>
    <row r="1351" s="7" customFormat="1"/>
    <row r="1352" s="7" customFormat="1"/>
    <row r="1353" s="7" customFormat="1"/>
    <row r="1354" s="7" customFormat="1"/>
    <row r="1355" s="7" customFormat="1"/>
    <row r="1356" s="7" customFormat="1"/>
    <row r="1357" s="7" customFormat="1"/>
    <row r="1358" s="7" customFormat="1"/>
    <row r="1359" s="7" customFormat="1"/>
    <row r="1360" s="7" customFormat="1"/>
    <row r="1361" s="7" customFormat="1"/>
    <row r="1362" s="7" customFormat="1"/>
    <row r="1363" s="7" customFormat="1"/>
    <row r="1364" s="7" customFormat="1"/>
    <row r="1365" s="7" customFormat="1"/>
    <row r="1366" s="7" customFormat="1"/>
    <row r="1367" s="7" customFormat="1"/>
    <row r="1368" s="7" customFormat="1"/>
    <row r="1369" s="7" customFormat="1"/>
    <row r="1370" s="7" customFormat="1"/>
    <row r="1371" s="7" customFormat="1"/>
    <row r="1372" s="7" customFormat="1"/>
    <row r="1373" s="7" customFormat="1"/>
    <row r="1374" s="7" customFormat="1"/>
    <row r="1375" s="7" customFormat="1"/>
    <row r="1376" s="7" customFormat="1"/>
    <row r="1377" s="7" customFormat="1"/>
    <row r="1378" s="7" customFormat="1"/>
    <row r="1379" s="7" customFormat="1"/>
    <row r="1380" s="7" customFormat="1"/>
    <row r="1381" s="7" customFormat="1"/>
    <row r="1382" s="7" customFormat="1"/>
    <row r="1383" s="7" customFormat="1"/>
    <row r="1384" s="7" customFormat="1"/>
    <row r="1385" s="7" customFormat="1"/>
    <row r="1386" s="7" customFormat="1"/>
    <row r="1387" s="7" customFormat="1"/>
    <row r="1388" s="7" customFormat="1"/>
    <row r="1389" s="7" customFormat="1"/>
    <row r="1390" s="7" customFormat="1"/>
    <row r="1391" s="7" customFormat="1"/>
    <row r="1392" s="7" customFormat="1"/>
    <row r="1393" s="7" customFormat="1"/>
    <row r="1394" s="7" customFormat="1"/>
    <row r="1395" s="7" customFormat="1"/>
    <row r="1396" s="7" customFormat="1"/>
    <row r="1397" s="7" customFormat="1"/>
    <row r="1398" s="7" customFormat="1"/>
    <row r="1399" s="7" customFormat="1"/>
    <row r="1400" s="7" customFormat="1"/>
    <row r="1401" s="7" customFormat="1"/>
    <row r="1402" s="7" customFormat="1"/>
    <row r="1403" s="7" customFormat="1"/>
    <row r="1404" s="7" customFormat="1"/>
    <row r="1405" s="7" customFormat="1"/>
    <row r="1406" s="7" customFormat="1"/>
    <row r="1407" s="7" customFormat="1"/>
    <row r="1408" s="7" customFormat="1"/>
    <row r="1409" s="7" customFormat="1"/>
    <row r="1410" s="7" customFormat="1"/>
    <row r="1411" s="7" customFormat="1"/>
    <row r="1412" s="7" customFormat="1"/>
    <row r="1413" s="7" customFormat="1"/>
    <row r="1414" s="7" customFormat="1"/>
    <row r="1415" s="7" customFormat="1"/>
    <row r="1416" s="7" customFormat="1"/>
    <row r="1417" s="7" customFormat="1"/>
    <row r="1418" s="7" customFormat="1"/>
    <row r="1419" s="7" customFormat="1"/>
    <row r="1420" s="7" customFormat="1"/>
    <row r="1421" s="7" customFormat="1"/>
    <row r="1422" s="7" customFormat="1"/>
    <row r="1423" s="7" customFormat="1"/>
    <row r="1424" s="7" customFormat="1"/>
    <row r="1425" s="7" customFormat="1"/>
    <row r="1426" s="7" customFormat="1"/>
    <row r="1427" s="7" customFormat="1"/>
    <row r="1428" s="7" customFormat="1"/>
    <row r="1429" s="7" customFormat="1"/>
    <row r="1430" s="7" customFormat="1"/>
    <row r="1431" s="7" customFormat="1"/>
    <row r="1432" s="7" customFormat="1"/>
    <row r="1433" s="7" customFormat="1"/>
    <row r="1434" s="7" customFormat="1"/>
    <row r="1435" s="7" customFormat="1"/>
    <row r="1436" s="7" customFormat="1"/>
    <row r="1437" s="7" customFormat="1"/>
    <row r="1438" s="7" customFormat="1"/>
    <row r="1439" s="7" customFormat="1"/>
    <row r="1440" s="7" customFormat="1"/>
    <row r="1441" s="7" customFormat="1"/>
    <row r="1442" s="7" customFormat="1"/>
    <row r="1443" s="7" customFormat="1"/>
    <row r="1444" s="7" customFormat="1"/>
    <row r="1445" s="7" customFormat="1"/>
    <row r="1446" s="7" customFormat="1"/>
    <row r="1447" s="7" customFormat="1"/>
    <row r="1448" s="7" customFormat="1"/>
    <row r="1449" s="7" customFormat="1"/>
    <row r="1450" s="7" customFormat="1"/>
    <row r="1451" s="7" customFormat="1"/>
    <row r="1452" s="7" customFormat="1"/>
    <row r="1453" s="7" customFormat="1"/>
    <row r="1454" s="7" customFormat="1"/>
    <row r="1455" s="7" customFormat="1"/>
    <row r="1456" s="7" customFormat="1"/>
    <row r="1457" s="7" customFormat="1"/>
    <row r="1458" s="7" customFormat="1"/>
    <row r="1459" s="7" customFormat="1"/>
    <row r="1460" s="7" customFormat="1"/>
    <row r="1461" s="7" customFormat="1"/>
    <row r="1462" s="7" customFormat="1"/>
    <row r="1463" s="7" customFormat="1"/>
    <row r="1464" s="7" customFormat="1"/>
    <row r="1465" s="7" customFormat="1"/>
    <row r="1466" s="7" customFormat="1"/>
    <row r="1467" s="7" customFormat="1"/>
    <row r="1468" s="7" customFormat="1"/>
    <row r="1469" s="7" customFormat="1"/>
    <row r="1470" s="7" customFormat="1"/>
    <row r="1471" s="7" customFormat="1"/>
    <row r="1472" s="7" customFormat="1"/>
    <row r="1473" s="7" customFormat="1"/>
    <row r="1474" s="7" customFormat="1"/>
    <row r="1475" s="7" customFormat="1"/>
    <row r="1476" s="7" customFormat="1"/>
    <row r="1477" s="7" customFormat="1"/>
    <row r="1478" s="7" customFormat="1"/>
    <row r="1479" s="7" customFormat="1"/>
    <row r="1480" s="7" customFormat="1"/>
    <row r="1481" s="7" customFormat="1"/>
    <row r="1482" s="7" customFormat="1"/>
    <row r="1483" s="7" customFormat="1"/>
    <row r="1484" s="7" customFormat="1"/>
    <row r="1485" s="7" customFormat="1"/>
    <row r="1486" s="7" customFormat="1"/>
    <row r="1487" s="7" customFormat="1"/>
    <row r="1488" s="7" customFormat="1"/>
    <row r="1489" s="7" customFormat="1"/>
    <row r="1490" s="7" customFormat="1"/>
    <row r="1491" s="7" customFormat="1"/>
    <row r="1492" s="7" customFormat="1"/>
    <row r="1493" s="7" customFormat="1"/>
    <row r="1494" s="7" customFormat="1"/>
    <row r="1495" s="7" customFormat="1"/>
    <row r="1496" s="7" customFormat="1"/>
    <row r="1497" s="7" customFormat="1"/>
    <row r="1498" s="7" customFormat="1"/>
    <row r="1499" s="7" customFormat="1"/>
    <row r="1500" s="7" customFormat="1"/>
    <row r="1501" s="7" customFormat="1"/>
    <row r="1502" s="7" customFormat="1"/>
    <row r="1503" s="7" customFormat="1"/>
    <row r="1504" s="7" customFormat="1"/>
    <row r="1505" s="7" customFormat="1"/>
    <row r="1506" s="7" customFormat="1"/>
    <row r="1507" s="7" customFormat="1"/>
    <row r="1508" s="7" customFormat="1"/>
    <row r="1509" s="7" customFormat="1"/>
    <row r="1510" s="7" customFormat="1"/>
    <row r="1511" s="7" customFormat="1"/>
    <row r="1512" s="7" customFormat="1"/>
    <row r="1513" s="7" customFormat="1"/>
    <row r="1514" s="7" customFormat="1"/>
    <row r="1515" s="7" customFormat="1"/>
    <row r="1516" s="7" customFormat="1"/>
    <row r="1517" s="7" customFormat="1"/>
    <row r="1518" s="7" customFormat="1"/>
    <row r="1519" s="7" customFormat="1"/>
    <row r="1520" s="7" customFormat="1"/>
    <row r="1521" s="7" customFormat="1"/>
    <row r="1522" s="7" customFormat="1"/>
    <row r="1523" s="7" customFormat="1"/>
    <row r="1524" s="7" customFormat="1"/>
    <row r="1525" s="7" customFormat="1"/>
    <row r="1526" s="7" customFormat="1"/>
    <row r="1527" s="7" customFormat="1"/>
    <row r="1528" s="7" customFormat="1"/>
    <row r="1529" s="7" customFormat="1"/>
    <row r="1530" s="7" customFormat="1"/>
    <row r="1531" s="7" customFormat="1"/>
    <row r="1532" s="7" customFormat="1"/>
    <row r="1533" s="7" customFormat="1"/>
    <row r="1534" s="7" customFormat="1"/>
    <row r="1535" s="7" customFormat="1"/>
    <row r="1536" s="7" customFormat="1"/>
    <row r="1537" s="7" customFormat="1"/>
    <row r="1538" s="7" customFormat="1"/>
    <row r="1539" s="7" customFormat="1"/>
    <row r="1540" s="7" customFormat="1"/>
    <row r="1541" s="7" customFormat="1"/>
    <row r="1542" s="7" customFormat="1"/>
    <row r="1543" s="7" customFormat="1"/>
    <row r="1544" s="7" customFormat="1"/>
    <row r="1545" s="7" customFormat="1"/>
    <row r="1546" s="7" customFormat="1"/>
    <row r="1547" s="7" customFormat="1"/>
    <row r="1548" s="7" customFormat="1"/>
    <row r="1549" s="7" customFormat="1"/>
    <row r="1550" s="7" customFormat="1"/>
    <row r="1551" s="7" customFormat="1"/>
    <row r="1552" s="7" customFormat="1"/>
    <row r="1553" s="7" customFormat="1"/>
    <row r="1554" s="7" customFormat="1"/>
    <row r="1555" s="7" customFormat="1"/>
    <row r="1556" s="7" customFormat="1"/>
    <row r="1557" s="7" customFormat="1"/>
    <row r="1558" s="7" customFormat="1"/>
    <row r="1559" s="7" customFormat="1"/>
    <row r="1560" s="7" customFormat="1"/>
    <row r="1561" s="7" customFormat="1"/>
    <row r="1562" s="7" customFormat="1"/>
    <row r="1563" s="7" customFormat="1"/>
    <row r="1564" s="7" customFormat="1"/>
    <row r="1565" s="7" customFormat="1"/>
    <row r="1566" s="7" customFormat="1"/>
    <row r="1567" s="7" customFormat="1"/>
    <row r="1568" s="7" customFormat="1"/>
    <row r="1569" s="7" customFormat="1"/>
    <row r="1570" s="7" customFormat="1"/>
    <row r="1571" s="7" customFormat="1"/>
    <row r="1572" s="7" customFormat="1"/>
    <row r="1573" s="7" customFormat="1"/>
    <row r="1574" s="7" customFormat="1"/>
    <row r="1575" s="7" customFormat="1"/>
    <row r="1576" s="7" customFormat="1"/>
    <row r="1577" s="7" customFormat="1"/>
    <row r="1578" s="7" customFormat="1"/>
    <row r="1579" s="7" customFormat="1"/>
    <row r="1580" s="7" customFormat="1"/>
    <row r="1581" s="7" customFormat="1"/>
    <row r="1582" s="7" customFormat="1"/>
    <row r="1583" s="7" customFormat="1"/>
    <row r="1584" s="7" customFormat="1"/>
    <row r="1585" s="7" customFormat="1"/>
    <row r="1586" s="7" customFormat="1"/>
    <row r="1587" s="7" customFormat="1"/>
    <row r="1588" s="7" customFormat="1"/>
    <row r="1589" s="7" customFormat="1"/>
    <row r="1590" s="7" customFormat="1"/>
    <row r="1591" s="7" customFormat="1"/>
    <row r="1592" s="7" customFormat="1"/>
    <row r="1593" s="7" customFormat="1"/>
    <row r="1594" s="7" customFormat="1"/>
    <row r="1595" s="7" customFormat="1"/>
    <row r="1596" s="7" customFormat="1"/>
    <row r="1597" s="7" customFormat="1"/>
    <row r="1598" s="7" customFormat="1"/>
    <row r="1599" s="7" customFormat="1"/>
    <row r="1600" s="7" customFormat="1"/>
    <row r="1601" spans="11:100" s="7" customFormat="1"/>
    <row r="1602" spans="11:100" s="7" customFormat="1"/>
    <row r="1603" spans="11:100" s="7" customFormat="1"/>
    <row r="1604" spans="11:100" s="7" customFormat="1"/>
    <row r="1605" spans="11:100" s="61" customFormat="1">
      <c r="K1605" s="62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  <c r="AY1605" s="7"/>
      <c r="AZ1605" s="7"/>
      <c r="BA1605" s="7"/>
      <c r="BB1605" s="7"/>
      <c r="BC1605" s="7"/>
      <c r="BD1605" s="7"/>
      <c r="BE1605" s="7"/>
      <c r="BF1605" s="7"/>
      <c r="BG1605" s="7"/>
      <c r="BH1605" s="7"/>
      <c r="BI1605" s="7"/>
      <c r="BJ1605" s="7"/>
      <c r="BK1605" s="7"/>
      <c r="BL1605" s="7"/>
      <c r="BM1605" s="7"/>
      <c r="BN1605" s="7"/>
      <c r="BO1605" s="7"/>
      <c r="BP1605" s="7"/>
      <c r="BQ1605" s="7"/>
      <c r="BR1605" s="7"/>
      <c r="BS1605" s="7"/>
      <c r="BT1605" s="7"/>
      <c r="BU1605" s="7"/>
      <c r="BV1605" s="7"/>
      <c r="BW1605" s="7"/>
      <c r="BX1605" s="7"/>
      <c r="BY1605" s="7"/>
      <c r="BZ1605" s="7"/>
      <c r="CA1605" s="7"/>
      <c r="CB1605" s="7"/>
      <c r="CC1605" s="7"/>
      <c r="CD1605" s="7"/>
      <c r="CE1605" s="7"/>
      <c r="CF1605" s="7"/>
      <c r="CG1605" s="7"/>
      <c r="CH1605" s="7"/>
      <c r="CI1605" s="7"/>
      <c r="CJ1605" s="7"/>
      <c r="CK1605" s="7"/>
      <c r="CL1605" s="7"/>
      <c r="CM1605" s="7"/>
      <c r="CN1605" s="7"/>
      <c r="CO1605" s="7"/>
      <c r="CP1605" s="7"/>
      <c r="CQ1605" s="7"/>
      <c r="CR1605" s="7"/>
      <c r="CS1605" s="7"/>
      <c r="CT1605" s="7"/>
      <c r="CU1605" s="7"/>
      <c r="CV1605" s="7"/>
    </row>
  </sheetData>
  <mergeCells count="6">
    <mergeCell ref="AC24:AE24"/>
    <mergeCell ref="A1:J1"/>
    <mergeCell ref="A2:J2"/>
    <mergeCell ref="A3:A4"/>
    <mergeCell ref="J34:M34"/>
    <mergeCell ref="B3:H3"/>
  </mergeCells>
  <pageMargins left="0.7" right="0.7" top="0.75" bottom="0.75" header="0.3" footer="0.3"/>
  <pageSetup paperSize="9" scale="66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10.12</vt:lpstr>
      <vt:lpstr>'10.12'!Print_Area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2020-09-07T03:14:47Z</cp:lastPrinted>
  <dcterms:created xsi:type="dcterms:W3CDTF">2019-02-27T06:18:18Z</dcterms:created>
  <dcterms:modified xsi:type="dcterms:W3CDTF">2020-09-07T03:15:03Z</dcterms:modified>
</cp:coreProperties>
</file>