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8" sheetId="8" r:id="rId1"/>
  </sheets>
  <externalReferences>
    <externalReference r:id="rId2"/>
  </externalReferences>
  <definedNames>
    <definedName name="_xlnm.Print_Area" localSheetId="0">'10.8'!$A$1:$P$83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4" i="8" l="1"/>
  <c r="AG40" i="8" s="1"/>
  <c r="B23" i="8"/>
  <c r="AF40" i="8" s="1"/>
  <c r="N22" i="8"/>
  <c r="M22" i="8"/>
  <c r="L22" i="8"/>
  <c r="K22" i="8"/>
  <c r="J22" i="8"/>
  <c r="I22" i="8"/>
  <c r="H22" i="8"/>
  <c r="G22" i="8"/>
  <c r="F22" i="8"/>
  <c r="E22" i="8"/>
  <c r="D22" i="8"/>
  <c r="C22" i="8"/>
  <c r="B22" i="8" l="1"/>
  <c r="B20" i="8" l="1"/>
  <c r="AG39" i="8" s="1"/>
  <c r="B19" i="8"/>
  <c r="AF39" i="8" s="1"/>
  <c r="N18" i="8"/>
  <c r="M18" i="8"/>
  <c r="L18" i="8"/>
  <c r="K18" i="8"/>
  <c r="J18" i="8"/>
  <c r="I18" i="8"/>
  <c r="H18" i="8"/>
  <c r="G18" i="8"/>
  <c r="F18" i="8"/>
  <c r="E18" i="8"/>
  <c r="D18" i="8"/>
  <c r="C18" i="8"/>
  <c r="B16" i="8"/>
  <c r="B15" i="8"/>
  <c r="N14" i="8"/>
  <c r="M14" i="8"/>
  <c r="L14" i="8"/>
  <c r="K14" i="8"/>
  <c r="J14" i="8"/>
  <c r="I14" i="8"/>
  <c r="H14" i="8"/>
  <c r="G14" i="8"/>
  <c r="F14" i="8"/>
  <c r="E14" i="8"/>
  <c r="D14" i="8"/>
  <c r="C14" i="8"/>
  <c r="B12" i="8"/>
  <c r="B11" i="8"/>
  <c r="N10" i="8"/>
  <c r="M10" i="8"/>
  <c r="L10" i="8"/>
  <c r="K10" i="8"/>
  <c r="J10" i="8"/>
  <c r="I10" i="8"/>
  <c r="H10" i="8"/>
  <c r="G10" i="8"/>
  <c r="F10" i="8"/>
  <c r="E10" i="8"/>
  <c r="D10" i="8"/>
  <c r="C10" i="8"/>
  <c r="B8" i="8"/>
  <c r="B7" i="8"/>
  <c r="B6" i="8" s="1"/>
  <c r="N6" i="8"/>
  <c r="M6" i="8"/>
  <c r="L6" i="8"/>
  <c r="K6" i="8"/>
  <c r="J6" i="8"/>
  <c r="I6" i="8"/>
  <c r="H6" i="8"/>
  <c r="G6" i="8"/>
  <c r="F6" i="8"/>
  <c r="E6" i="8"/>
  <c r="D6" i="8"/>
  <c r="C6" i="8"/>
  <c r="B18" i="8" l="1"/>
  <c r="B10" i="8"/>
  <c r="B14" i="8"/>
</calcChain>
</file>

<file path=xl/sharedStrings.xml><?xml version="1.0" encoding="utf-8"?>
<sst xmlns="http://schemas.openxmlformats.org/spreadsheetml/2006/main" count="49" uniqueCount="23">
  <si>
    <t>Total</t>
  </si>
  <si>
    <t>ޖުމްލަ</t>
  </si>
  <si>
    <t>Source: Ministry of Tourism</t>
  </si>
  <si>
    <t>cmwzirUT cfoa  IrcTcsinim :ctWrwf ivcaed utWmUluAwm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</si>
  <si>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</si>
  <si>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</si>
  <si>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</si>
  <si>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</si>
  <si>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</si>
  <si>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</si>
  <si>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</si>
  <si>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</si>
  <si>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</si>
  <si>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</si>
  <si>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</si>
  <si>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</si>
  <si>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</si>
  <si>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Male</t>
  </si>
  <si>
    <t>ފިރިހެން</t>
  </si>
  <si>
    <t>Female</t>
  </si>
  <si>
    <t>އަންހެން</t>
  </si>
  <si>
    <t>TABLE 10.8: MONTHLY ARRIVAL OF TOURISTS  BY SEX, 2015 - 2019</t>
  </si>
  <si>
    <t>ތާވަލު 10.8: ޖިންސުގެ ގޮތުން އެކިމަސްމަހު ރާއްޖެއައި ފަތުރުވެރިންގެ އަދަދު، 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</si>
</sst>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6" formatCode="_(* #,##0_);_(* \(#,##0\);_(* &quot;-&quot;??_);_(@_)"/>
    <numFmt numFmtId="169" formatCode="General_)"/>
    <numFmt numFmtId="171" formatCode="0.00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b/>
      <sz val="9"/>
      <name val="Faruma"/>
    </font>
    <font>
      <b/>
      <sz val="9"/>
      <name val="Calibri"/>
      <family val="2"/>
    </font>
    <font>
      <sz val="11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6" fillId="0" borderId="0"/>
    <xf numFmtId="0" fontId="3" fillId="0" borderId="0"/>
    <xf numFmtId="0" fontId="18" fillId="0" borderId="0"/>
    <xf numFmtId="0" fontId="3" fillId="0" borderId="0"/>
    <xf numFmtId="43" fontId="3" fillId="0" borderId="0" applyFont="0" applyFill="0" applyBorder="0" applyAlignment="0" applyProtection="0"/>
    <xf numFmtId="171" fontId="19" fillId="0" borderId="0"/>
    <xf numFmtId="1" fontId="20" fillId="0" borderId="8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Border="1"/>
    <xf numFmtId="0" fontId="9" fillId="2" borderId="0" xfId="0" applyFont="1" applyFill="1" applyAlignment="1" applyProtection="1">
      <alignment horizontal="left" vertical="center"/>
    </xf>
    <xf numFmtId="0" fontId="7" fillId="2" borderId="0" xfId="0" applyFont="1" applyFill="1"/>
    <xf numFmtId="0" fontId="2" fillId="2" borderId="2" xfId="0" applyFont="1" applyFill="1" applyBorder="1"/>
    <xf numFmtId="0" fontId="4" fillId="2" borderId="4" xfId="2" applyFont="1" applyFill="1" applyBorder="1" applyAlignment="1" applyProtection="1">
      <alignment horizontal="right" vertical="center" wrapText="1"/>
    </xf>
    <xf numFmtId="0" fontId="2" fillId="2" borderId="5" xfId="0" applyFont="1" applyFill="1" applyBorder="1"/>
    <xf numFmtId="0" fontId="2" fillId="2" borderId="0" xfId="0" applyFont="1" applyFill="1"/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3" fontId="14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14" fillId="2" borderId="3" xfId="0" applyNumberFormat="1" applyFont="1" applyFill="1" applyBorder="1" applyAlignment="1">
      <alignment horizontal="right" vertical="center"/>
    </xf>
    <xf numFmtId="3" fontId="1" fillId="2" borderId="3" xfId="0" applyNumberFormat="1" applyFont="1" applyFill="1" applyBorder="1" applyAlignment="1">
      <alignment horizontal="right" vertical="center"/>
    </xf>
    <xf numFmtId="0" fontId="15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3" fontId="14" fillId="2" borderId="1" xfId="0" applyNumberFormat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vertical="center"/>
    </xf>
    <xf numFmtId="0" fontId="6" fillId="2" borderId="6" xfId="2" applyFont="1" applyFill="1" applyBorder="1" applyAlignment="1" applyProtection="1">
      <alignment horizontal="left" vertical="center"/>
    </xf>
    <xf numFmtId="0" fontId="11" fillId="2" borderId="0" xfId="0" applyFont="1" applyFill="1" applyAlignment="1"/>
    <xf numFmtId="166" fontId="0" fillId="2" borderId="0" xfId="1" applyNumberFormat="1" applyFont="1" applyFill="1"/>
    <xf numFmtId="3" fontId="0" fillId="2" borderId="0" xfId="0" applyNumberFormat="1" applyFill="1"/>
    <xf numFmtId="166" fontId="0" fillId="2" borderId="0" xfId="0" applyNumberFormat="1" applyFill="1"/>
    <xf numFmtId="0" fontId="21" fillId="2" borderId="0" xfId="0" applyFont="1" applyFill="1" applyBorder="1" applyAlignment="1">
      <alignment horizontal="right" vertical="center"/>
    </xf>
    <xf numFmtId="0" fontId="10" fillId="2" borderId="0" xfId="2" applyFont="1" applyFill="1" applyBorder="1" applyAlignment="1" applyProtection="1">
      <alignment horizontal="center" vertical="center" wrapText="1"/>
    </xf>
    <xf numFmtId="0" fontId="2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169" fontId="17" fillId="2" borderId="7" xfId="4" applyNumberFormat="1" applyFont="1" applyFill="1" applyBorder="1" applyAlignment="1">
      <alignment horizontal="center" vertical="center"/>
    </xf>
  </cellXfs>
  <cellStyles count="23">
    <cellStyle name="1" xfId="7"/>
    <cellStyle name="Comma" xfId="1" builtinId="3"/>
    <cellStyle name="Comma 2" xfId="21"/>
    <cellStyle name="Comma 3" xfId="8"/>
    <cellStyle name="Normal" xfId="0" builtinId="0"/>
    <cellStyle name="Normal - Style1" xfId="9"/>
    <cellStyle name="Normal 10" xfId="15"/>
    <cellStyle name="Normal 2" xfId="2"/>
    <cellStyle name="Normal 2 2" xfId="10"/>
    <cellStyle name="Normal 2 2 2" xfId="22"/>
    <cellStyle name="Normal 3" xfId="11"/>
    <cellStyle name="Normal 4" xfId="16"/>
    <cellStyle name="Normal 4 2" xfId="12"/>
    <cellStyle name="Normal 4 2 2" xfId="17"/>
    <cellStyle name="Normal 5" xfId="13"/>
    <cellStyle name="Normal 5 2" xfId="5"/>
    <cellStyle name="Normal 6" xfId="18"/>
    <cellStyle name="Normal 7" xfId="19"/>
    <cellStyle name="Normal 8" xfId="20"/>
    <cellStyle name="Normal 9" xfId="6"/>
    <cellStyle name="Normal_VIII-8 (Tourism) 2" xfId="4"/>
    <cellStyle name="Percent 2" xfId="14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Figure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10.12: </a:t>
            </a:r>
            <a:r>
              <a:rPr lang="en-US" sz="1200">
                <a:solidFill>
                  <a:schemeClr val="tx1"/>
                </a:solidFill>
                <a:effectLst/>
                <a:latin typeface="+mn-lt"/>
              </a:rPr>
              <a:t>Monthly</a:t>
            </a:r>
            <a:r>
              <a:rPr lang="en-US" sz="1200" baseline="0">
                <a:solidFill>
                  <a:schemeClr val="tx1"/>
                </a:solidFill>
                <a:effectLst/>
                <a:latin typeface="+mn-lt"/>
              </a:rPr>
              <a:t> arrival of tourists by sex, 2019</a:t>
            </a:r>
            <a:endParaRPr lang="en-US" sz="1200">
              <a:solidFill>
                <a:schemeClr val="tx1"/>
              </a:solidFill>
              <a:effectLst/>
              <a:latin typeface="+mn-lt"/>
            </a:endParaRPr>
          </a:p>
        </c:rich>
      </c:tx>
      <c:layout>
        <c:manualLayout>
          <c:xMode val="edge"/>
          <c:yMode val="edge"/>
          <c:x val="0.19757646365632867"/>
          <c:y val="3.252032520325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60717410323705E-2"/>
          <c:y val="0.16069105691056912"/>
          <c:w val="0.9116420603674541"/>
          <c:h val="0.7251894885090582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'10.8'!$A$23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'10.8'!$Z$25:$AK$25</c:f>
              <c:numCache>
                <c:formatCode>General</c:formatCode>
                <c:ptCount val="12"/>
              </c:numCache>
            </c:numRef>
          </c:cat>
          <c:val>
            <c:numRef>
              <c:f>'10.8'!$C$23:$N$23</c:f>
              <c:numCache>
                <c:formatCode>#,##0</c:formatCode>
                <c:ptCount val="12"/>
                <c:pt idx="0">
                  <c:v>72654</c:v>
                </c:pt>
                <c:pt idx="1">
                  <c:v>80612</c:v>
                </c:pt>
                <c:pt idx="2">
                  <c:v>77386</c:v>
                </c:pt>
                <c:pt idx="3">
                  <c:v>77481</c:v>
                </c:pt>
                <c:pt idx="4">
                  <c:v>49160</c:v>
                </c:pt>
                <c:pt idx="5">
                  <c:v>54044</c:v>
                </c:pt>
                <c:pt idx="6">
                  <c:v>63259</c:v>
                </c:pt>
                <c:pt idx="7">
                  <c:v>66671</c:v>
                </c:pt>
                <c:pt idx="8">
                  <c:v>57144</c:v>
                </c:pt>
                <c:pt idx="9">
                  <c:v>68634</c:v>
                </c:pt>
                <c:pt idx="10">
                  <c:v>66248</c:v>
                </c:pt>
                <c:pt idx="11">
                  <c:v>82790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C0-44DB-8EE1-A9E6C4BF8A09}"/>
            </c:ext>
          </c:extLst>
        </c:ser>
        <c:ser>
          <c:idx val="0"/>
          <c:order val="1"/>
          <c:tx>
            <c:strRef>
              <c:f>'10.8'!$A$24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'10.8'!$Z$25:$AK$25</c:f>
              <c:numCache>
                <c:formatCode>General</c:formatCode>
                <c:ptCount val="12"/>
              </c:numCache>
            </c:numRef>
          </c:cat>
          <c:val>
            <c:numRef>
              <c:f>'10.8'!$C$24:$N$24</c:f>
              <c:numCache>
                <c:formatCode>#,##0</c:formatCode>
                <c:ptCount val="12"/>
                <c:pt idx="0">
                  <c:v>78898</c:v>
                </c:pt>
                <c:pt idx="1">
                  <c:v>87971</c:v>
                </c:pt>
                <c:pt idx="2">
                  <c:v>85457</c:v>
                </c:pt>
                <c:pt idx="3">
                  <c:v>85633</c:v>
                </c:pt>
                <c:pt idx="4">
                  <c:v>53862</c:v>
                </c:pt>
                <c:pt idx="5">
                  <c:v>59431</c:v>
                </c:pt>
                <c:pt idx="6">
                  <c:v>68885</c:v>
                </c:pt>
                <c:pt idx="7">
                  <c:v>72667</c:v>
                </c:pt>
                <c:pt idx="8">
                  <c:v>60475</c:v>
                </c:pt>
                <c:pt idx="9">
                  <c:v>73294</c:v>
                </c:pt>
                <c:pt idx="10">
                  <c:v>71673</c:v>
                </c:pt>
                <c:pt idx="11">
                  <c:v>88558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BC0-44DB-8EE1-A9E6C4BF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"/>
        <c:axId val="412730696"/>
        <c:axId val="412731872"/>
      </c:barChart>
      <c:catAx>
        <c:axId val="41273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31872"/>
        <c:crosses val="autoZero"/>
        <c:auto val="1"/>
        <c:lblAlgn val="ctr"/>
        <c:lblOffset val="100"/>
        <c:noMultiLvlLbl val="0"/>
      </c:catAx>
      <c:valAx>
        <c:axId val="4127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30696"/>
        <c:crosses val="autoZero"/>
        <c:crossBetween val="between"/>
      </c:valAx>
      <c:spPr>
        <a:solidFill>
          <a:srgbClr val="F6ECE2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6626052602799652"/>
          <c:y val="0.210597398151318"/>
          <c:w val="0.20981516612469656"/>
          <c:h val="6.1141732283464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bg1">
          <a:lumMod val="6500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nsolas" panose="020B0609020204030204" pitchFamily="49" charset="0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10.13: Percentage of tourist arrival by sex, 2019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nsolas" panose="020B0609020204030204" pitchFamily="49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089501312335965"/>
          <c:y val="0.15985928842228053"/>
          <c:w val="0.29216086008228193"/>
          <c:h val="0.8286399655557720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B05800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5B9-434D-8708-6E02DCFD0988}"/>
              </c:ext>
            </c:extLst>
          </c:dPt>
          <c:dPt>
            <c:idx val="1"/>
            <c:bubble3D val="0"/>
            <c:spPr>
              <a:solidFill>
                <a:srgbClr val="CA945E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5B9-434D-8708-6E02DCFD0988}"/>
              </c:ext>
            </c:extLst>
          </c:dPt>
          <c:dLbls>
            <c:dLbl>
              <c:idx val="0"/>
              <c:layout>
                <c:manualLayout>
                  <c:x val="-0.10187425553765769"/>
                  <c:y val="-3.785254115962777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1938782136967657"/>
                  <c:y val="-4.267366579177602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'10.8'!$A$23:$A$24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'10.8'!$B$23:$B$24</c:f>
              <c:numCache>
                <c:formatCode>#,##0</c:formatCode>
                <c:ptCount val="2"/>
                <c:pt idx="0">
                  <c:v>816083</c:v>
                </c:pt>
                <c:pt idx="1">
                  <c:v>886804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45B9-434D-8708-6E02DCFD0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chemeClr val="tx1"/>
                </a:solidFill>
                <a:latin typeface="Consolas" panose="020B0609020204030204" pitchFamily="49" charset="0"/>
              </a:rPr>
              <a:t>Figure 10.14: Tourist arrival</a:t>
            </a:r>
            <a:r>
              <a:rPr lang="en-US" sz="1200" b="1" baseline="0">
                <a:solidFill>
                  <a:schemeClr val="tx1"/>
                </a:solidFill>
                <a:latin typeface="Consolas" panose="020B0609020204030204" pitchFamily="49" charset="0"/>
              </a:rPr>
              <a:t> by sex, 2015 - 2019</a:t>
            </a:r>
            <a:endParaRPr lang="en-US" sz="1200" b="1">
              <a:solidFill>
                <a:schemeClr val="tx1"/>
              </a:solidFill>
              <a:latin typeface="Consolas" panose="020B0609020204030204" pitchFamily="49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252906618325774E-2"/>
          <c:y val="0.13906613363832585"/>
          <c:w val="0.90612607509055587"/>
          <c:h val="0.76771669234677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'10.8'!$AF$35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3547197716817181E-2"/>
                  <c:y val="1.2647893839355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18E-40D2-AD96-9DF93495FEE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6.7735988584085825E-3"/>
                  <c:y val="9.48592037951642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18E-40D2-AD96-9DF93495FEE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3.3867994292044157E-3"/>
                  <c:y val="1.2647893839355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18E-40D2-AD96-9DF93495FEE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1.0160398287612874E-2"/>
                  <c:y val="3.16197345983882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18E-40D2-AD96-9DF93495FEE4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'10.8'!$AE$36:$AE$40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'10.8'!$AF$36:$AF$40</c:f>
              <c:numCache>
                <c:formatCode>_(* #,##0_);_(* \(#,##0\);_(* "-"??_);_(@_)</c:formatCode>
                <c:ptCount val="5"/>
                <c:pt idx="0">
                  <c:v>598458</c:v>
                </c:pt>
                <c:pt idx="1">
                  <c:v>623657</c:v>
                </c:pt>
                <c:pt idx="2">
                  <c:v>667286</c:v>
                </c:pt>
                <c:pt idx="3" formatCode="#,##0">
                  <c:v>710256</c:v>
                </c:pt>
                <c:pt idx="4" formatCode="#,##0">
                  <c:v>816083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03-4931-A496-BB556552B691}"/>
            </c:ext>
          </c:extLst>
        </c:ser>
        <c:ser>
          <c:idx val="1"/>
          <c:order val="1"/>
          <c:tx>
            <c:strRef>
              <c:f>'10.8'!$AG$35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'10.8'!$AE$36:$AE$40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'10.8'!$AG$36:$AG$40</c:f>
              <c:numCache>
                <c:formatCode>_(* #,##0_);_(* \(#,##0\);_(* "-"??_);_(@_)</c:formatCode>
                <c:ptCount val="5"/>
                <c:pt idx="0">
                  <c:v>635790</c:v>
                </c:pt>
                <c:pt idx="1">
                  <c:v>662478</c:v>
                </c:pt>
                <c:pt idx="2">
                  <c:v>722256</c:v>
                </c:pt>
                <c:pt idx="3" formatCode="#,##0">
                  <c:v>774018</c:v>
                </c:pt>
                <c:pt idx="4" formatCode="#,##0">
                  <c:v>886804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03-4931-A496-BB556552B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9"/>
        <c:axId val="412728344"/>
        <c:axId val="412725992"/>
      </c:barChart>
      <c:catAx>
        <c:axId val="41272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5992"/>
        <c:crosses val="autoZero"/>
        <c:auto val="1"/>
        <c:lblAlgn val="ctr"/>
        <c:lblOffset val="100"/>
        <c:noMultiLvlLbl val="0"/>
      </c:catAx>
      <c:valAx>
        <c:axId val="412725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D6AD84"/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2728344"/>
        <c:crosses val="autoZero"/>
        <c:crossBetween val="between"/>
      </c:valAx>
      <c:spPr>
        <a:solidFill>
          <a:srgbClr val="F6ECE2"/>
        </a:solidFill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9.8799606277899438E-2"/>
          <c:y val="0.23735291532708122"/>
          <c:w val="0.15163407738916698"/>
          <c:h val="5.35066001528555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26</xdr:row>
      <xdr:rowOff>123825</xdr:rowOff>
    </xdr:from>
    <xdr:to>
      <xdr:col>13</xdr:col>
      <xdr:colOff>266700</xdr:colOff>
      <xdr:row>45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264452</xdr:colOff>
      <xdr:row>46</xdr:row>
      <xdr:rowOff>120293</xdr:rowOff>
    </xdr:from>
    <xdr:to>
      <xdr:col>13</xdr:col>
      <xdr:colOff>264452</xdr:colOff>
      <xdr:row>63</xdr:row>
      <xdr:rowOff>25043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246152</xdr:colOff>
      <xdr:row>64</xdr:row>
      <xdr:rowOff>26830</xdr:rowOff>
    </xdr:from>
    <xdr:to>
      <xdr:col>13</xdr:col>
      <xdr:colOff>278258</xdr:colOff>
      <xdr:row>82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258305</xdr:colOff>
      <xdr:row>65</xdr:row>
      <xdr:rowOff>48432</xdr:rowOff>
    </xdr:from>
    <xdr:to>
      <xdr:col>3</xdr:col>
      <xdr:colOff>32288</xdr:colOff>
      <xdr:row>66</xdr:row>
      <xdr:rowOff>80720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00000000-0008-0000-0700-000008000000}"/>
            </a:ext>
          </a:extLst>
        </xdr:cNvPr>
        <xdr:cNvSpPr txBox="1"/>
      </xdr:nvSpPr>
      <xdr:spPr>
        <a:xfrm>
          <a:off x="867905" y="11792757"/>
          <a:ext cx="1145583" cy="1942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="1" i="0"/>
            <a:t>Arrivals</a:t>
          </a:r>
          <a:r>
            <a:rPr lang="en-US" sz="900" b="1" i="0" baseline="0"/>
            <a:t> in Numbers</a:t>
          </a:r>
          <a:endParaRPr lang="en-US" sz="900" b="1" i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41"/>
  <sheetViews>
    <sheetView tabSelected="1" zoomScaleNormal="100" zoomScaleSheetLayoutView="95" workbookViewId="0">
      <selection activeCell="S14" sqref="S14"/>
    </sheetView>
  </sheetViews>
  <sheetFormatPr defaultColWidth="9.140625" defaultRowHeight="15"/>
  <cols>
    <col min="1" max="1" width="9.140625" style="4"/>
    <col min="2" max="2" width="11.42578125" style="4" customWidth="1"/>
    <col min="3" max="10" width="9.140625" style="4"/>
    <col min="11" max="11" width="9.7109375" style="4" customWidth="1"/>
    <col min="12" max="14" width="9.140625" style="4"/>
    <col min="15" max="15" width="9.85546875" style="4" customWidth="1"/>
    <col min="16" max="16" width="3.85546875" style="1" customWidth="1"/>
    <col min="17" max="18" width="9.140625" style="1"/>
    <col min="19" max="20" width="12.28515625" style="1" bestFit="1" customWidth="1"/>
    <col min="21" max="31" width="9.140625" style="1"/>
    <col min="32" max="33" width="10.5703125" style="1" customWidth="1"/>
    <col min="34" max="34" width="10.5703125" style="1" bestFit="1" customWidth="1"/>
    <col min="35" max="16384" width="9.140625" style="1"/>
  </cols>
  <sheetData>
    <row r="1" spans="1:15" ht="21">
      <c r="A1" s="33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>
      <c r="A2" s="34" t="s">
        <v>21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</row>
    <row r="3" spans="1:15" ht="15.7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spans="1:15" s="8" customFormat="1" ht="29.25">
      <c r="A4" s="5"/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7"/>
    </row>
    <row r="5" spans="1:15">
      <c r="A5" s="9">
        <v>2015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>
        <v>2015</v>
      </c>
    </row>
    <row r="6" spans="1:15" ht="18.75">
      <c r="A6" s="9" t="s">
        <v>0</v>
      </c>
      <c r="B6" s="11">
        <f t="shared" ref="B6" si="0">SUM(B7:B8)</f>
        <v>1234248</v>
      </c>
      <c r="C6" s="11">
        <f>SUM(C7:C8)</f>
        <v>97073</v>
      </c>
      <c r="D6" s="11">
        <f t="shared" ref="D6:N6" si="1">SUM(D7:D8)</f>
        <v>120468</v>
      </c>
      <c r="E6" s="11">
        <f t="shared" si="1"/>
        <v>112427</v>
      </c>
      <c r="F6" s="11">
        <f t="shared" si="1"/>
        <v>102242</v>
      </c>
      <c r="G6" s="11">
        <f>SUM(G7:G8)</f>
        <v>95389</v>
      </c>
      <c r="H6" s="11">
        <f t="shared" si="1"/>
        <v>81506</v>
      </c>
      <c r="I6" s="11">
        <f t="shared" si="1"/>
        <v>104517</v>
      </c>
      <c r="J6" s="11">
        <f t="shared" si="1"/>
        <v>110144</v>
      </c>
      <c r="K6" s="11">
        <f t="shared" si="1"/>
        <v>95511</v>
      </c>
      <c r="L6" s="11">
        <f t="shared" si="1"/>
        <v>105498</v>
      </c>
      <c r="M6" s="11">
        <f t="shared" si="1"/>
        <v>90218</v>
      </c>
      <c r="N6" s="11">
        <f t="shared" si="1"/>
        <v>119255</v>
      </c>
      <c r="O6" s="12" t="s">
        <v>1</v>
      </c>
    </row>
    <row r="7" spans="1:15" ht="18.75">
      <c r="A7" s="13" t="s">
        <v>17</v>
      </c>
      <c r="B7" s="11">
        <f>SUM(C7:N7)</f>
        <v>598458</v>
      </c>
      <c r="C7" s="14">
        <v>47173</v>
      </c>
      <c r="D7" s="14">
        <v>57866</v>
      </c>
      <c r="E7" s="14">
        <v>54087</v>
      </c>
      <c r="F7" s="14">
        <v>49321</v>
      </c>
      <c r="G7" s="15">
        <v>46353</v>
      </c>
      <c r="H7" s="14">
        <v>39330</v>
      </c>
      <c r="I7" s="14">
        <v>49602</v>
      </c>
      <c r="J7" s="14">
        <v>53154</v>
      </c>
      <c r="K7" s="14">
        <v>46533</v>
      </c>
      <c r="L7" s="14">
        <v>52055</v>
      </c>
      <c r="M7" s="14">
        <v>44453</v>
      </c>
      <c r="N7" s="14">
        <v>58531</v>
      </c>
      <c r="O7" s="16" t="s">
        <v>18</v>
      </c>
    </row>
    <row r="8" spans="1:15" ht="18.75">
      <c r="A8" s="17" t="s">
        <v>19</v>
      </c>
      <c r="B8" s="18">
        <f>SUM(C8:N8)</f>
        <v>635790</v>
      </c>
      <c r="C8" s="19">
        <v>49900</v>
      </c>
      <c r="D8" s="19">
        <v>62602</v>
      </c>
      <c r="E8" s="19">
        <v>58340</v>
      </c>
      <c r="F8" s="19">
        <v>52921</v>
      </c>
      <c r="G8" s="20">
        <v>49036</v>
      </c>
      <c r="H8" s="19">
        <v>42176</v>
      </c>
      <c r="I8" s="19">
        <v>54915</v>
      </c>
      <c r="J8" s="19">
        <v>56990</v>
      </c>
      <c r="K8" s="19">
        <v>48978</v>
      </c>
      <c r="L8" s="19">
        <v>53443</v>
      </c>
      <c r="M8" s="19">
        <v>45765</v>
      </c>
      <c r="N8" s="19">
        <v>60724</v>
      </c>
      <c r="O8" s="21" t="s">
        <v>20</v>
      </c>
    </row>
    <row r="9" spans="1:15">
      <c r="A9" s="9">
        <v>2016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>
        <v>2016</v>
      </c>
    </row>
    <row r="10" spans="1:15" ht="18.75">
      <c r="A10" s="9" t="s">
        <v>0</v>
      </c>
      <c r="B10" s="11">
        <f t="shared" ref="B10" si="2">SUM(B11:B12)</f>
        <v>1286135</v>
      </c>
      <c r="C10" s="11">
        <f>SUM(C11:C12)</f>
        <v>108396</v>
      </c>
      <c r="D10" s="11">
        <f t="shared" ref="D10:N10" si="3">SUM(D11:D12)</f>
        <v>120639</v>
      </c>
      <c r="E10" s="11">
        <f t="shared" si="3"/>
        <v>115131</v>
      </c>
      <c r="F10" s="11">
        <f t="shared" si="3"/>
        <v>103493</v>
      </c>
      <c r="G10" s="11">
        <f t="shared" si="3"/>
        <v>93228</v>
      </c>
      <c r="H10" s="11">
        <f t="shared" si="3"/>
        <v>79034</v>
      </c>
      <c r="I10" s="11">
        <f t="shared" si="3"/>
        <v>110432</v>
      </c>
      <c r="J10" s="11">
        <f t="shared" si="3"/>
        <v>112282</v>
      </c>
      <c r="K10" s="11">
        <f t="shared" si="3"/>
        <v>101909</v>
      </c>
      <c r="L10" s="11">
        <f t="shared" si="3"/>
        <v>117489</v>
      </c>
      <c r="M10" s="11">
        <f t="shared" si="3"/>
        <v>104572</v>
      </c>
      <c r="N10" s="11">
        <f t="shared" si="3"/>
        <v>119530</v>
      </c>
      <c r="O10" s="12" t="s">
        <v>1</v>
      </c>
    </row>
    <row r="11" spans="1:15" ht="18.75">
      <c r="A11" s="13" t="s">
        <v>17</v>
      </c>
      <c r="B11" s="11">
        <f>SUM(C11:N11)</f>
        <v>623657</v>
      </c>
      <c r="C11" s="14">
        <v>52580</v>
      </c>
      <c r="D11" s="14">
        <v>58245</v>
      </c>
      <c r="E11" s="14">
        <v>55809</v>
      </c>
      <c r="F11" s="14">
        <v>49741</v>
      </c>
      <c r="G11" s="14">
        <v>45523</v>
      </c>
      <c r="H11" s="14">
        <v>37767</v>
      </c>
      <c r="I11" s="14">
        <v>52833</v>
      </c>
      <c r="J11" s="14">
        <v>53869</v>
      </c>
      <c r="K11" s="14">
        <v>49635</v>
      </c>
      <c r="L11" s="14">
        <v>58020</v>
      </c>
      <c r="M11" s="14">
        <v>51192</v>
      </c>
      <c r="N11" s="14">
        <v>58443</v>
      </c>
      <c r="O11" s="16" t="s">
        <v>18</v>
      </c>
    </row>
    <row r="12" spans="1:15" ht="18.75">
      <c r="A12" s="17" t="s">
        <v>19</v>
      </c>
      <c r="B12" s="18">
        <f>SUM(C12:N12)</f>
        <v>662478</v>
      </c>
      <c r="C12" s="19">
        <v>55816</v>
      </c>
      <c r="D12" s="19">
        <v>62394</v>
      </c>
      <c r="E12" s="19">
        <v>59322</v>
      </c>
      <c r="F12" s="19">
        <v>53752</v>
      </c>
      <c r="G12" s="19">
        <v>47705</v>
      </c>
      <c r="H12" s="19">
        <v>41267</v>
      </c>
      <c r="I12" s="19">
        <v>57599</v>
      </c>
      <c r="J12" s="19">
        <v>58413</v>
      </c>
      <c r="K12" s="19">
        <v>52274</v>
      </c>
      <c r="L12" s="19">
        <v>59469</v>
      </c>
      <c r="M12" s="19">
        <v>53380</v>
      </c>
      <c r="N12" s="19">
        <v>61087</v>
      </c>
      <c r="O12" s="21" t="s">
        <v>20</v>
      </c>
    </row>
    <row r="13" spans="1:15" s="8" customFormat="1" ht="18.75" customHeight="1">
      <c r="A13" s="9">
        <v>2017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10">
        <v>2017</v>
      </c>
    </row>
    <row r="14" spans="1:15" s="8" customFormat="1" ht="18.75">
      <c r="A14" s="9" t="s">
        <v>0</v>
      </c>
      <c r="B14" s="11">
        <f>SUM(C14:N14)</f>
        <v>1389542</v>
      </c>
      <c r="C14" s="11">
        <f>SUM(C15:C16)</f>
        <v>125336</v>
      </c>
      <c r="D14" s="11">
        <f t="shared" ref="D14:N14" si="4">SUM(D15:D16)</f>
        <v>121052</v>
      </c>
      <c r="E14" s="11">
        <f t="shared" si="4"/>
        <v>112665</v>
      </c>
      <c r="F14" s="11">
        <f t="shared" si="4"/>
        <v>119774</v>
      </c>
      <c r="G14" s="11">
        <f t="shared" si="4"/>
        <v>93491</v>
      </c>
      <c r="H14" s="11">
        <f t="shared" si="4"/>
        <v>85222</v>
      </c>
      <c r="I14" s="11">
        <f t="shared" si="4"/>
        <v>113175</v>
      </c>
      <c r="J14" s="11">
        <f t="shared" si="4"/>
        <v>121310</v>
      </c>
      <c r="K14" s="11">
        <f t="shared" si="4"/>
        <v>105984</v>
      </c>
      <c r="L14" s="11">
        <f t="shared" si="4"/>
        <v>127986</v>
      </c>
      <c r="M14" s="11">
        <f t="shared" si="4"/>
        <v>120506</v>
      </c>
      <c r="N14" s="11">
        <f t="shared" si="4"/>
        <v>143041</v>
      </c>
      <c r="O14" s="12" t="s">
        <v>1</v>
      </c>
    </row>
    <row r="15" spans="1:15" ht="18.75">
      <c r="A15" s="13" t="s">
        <v>17</v>
      </c>
      <c r="B15" s="11">
        <f>SUM(C15:N15)</f>
        <v>667286</v>
      </c>
      <c r="C15" s="14">
        <v>60242</v>
      </c>
      <c r="D15" s="14">
        <v>58195</v>
      </c>
      <c r="E15" s="14">
        <v>54157</v>
      </c>
      <c r="F15" s="14">
        <v>57109</v>
      </c>
      <c r="G15" s="14">
        <v>45177</v>
      </c>
      <c r="H15" s="14">
        <v>40579</v>
      </c>
      <c r="I15" s="14">
        <v>54239</v>
      </c>
      <c r="J15" s="14">
        <v>57649</v>
      </c>
      <c r="K15" s="14">
        <v>51284</v>
      </c>
      <c r="L15" s="14">
        <v>61740</v>
      </c>
      <c r="M15" s="14">
        <v>57934</v>
      </c>
      <c r="N15" s="14">
        <v>68981</v>
      </c>
      <c r="O15" s="16" t="s">
        <v>18</v>
      </c>
    </row>
    <row r="16" spans="1:15" s="2" customFormat="1" ht="18.75">
      <c r="A16" s="23" t="s">
        <v>19</v>
      </c>
      <c r="B16" s="24">
        <f>SUM(C16:N16)</f>
        <v>722256</v>
      </c>
      <c r="C16" s="25">
        <v>65094</v>
      </c>
      <c r="D16" s="25">
        <v>62857</v>
      </c>
      <c r="E16" s="25">
        <v>58508</v>
      </c>
      <c r="F16" s="25">
        <v>62665</v>
      </c>
      <c r="G16" s="25">
        <v>48314</v>
      </c>
      <c r="H16" s="25">
        <v>44643</v>
      </c>
      <c r="I16" s="25">
        <v>58936</v>
      </c>
      <c r="J16" s="25">
        <v>63661</v>
      </c>
      <c r="K16" s="25">
        <v>54700</v>
      </c>
      <c r="L16" s="25">
        <v>66246</v>
      </c>
      <c r="M16" s="25">
        <v>62572</v>
      </c>
      <c r="N16" s="25">
        <v>74060</v>
      </c>
      <c r="O16" s="26" t="s">
        <v>20</v>
      </c>
    </row>
    <row r="17" spans="1:37" s="8" customFormat="1" ht="18.75" customHeight="1">
      <c r="A17" s="9">
        <v>2018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10">
        <v>2018</v>
      </c>
    </row>
    <row r="18" spans="1:37" s="8" customFormat="1" ht="18.75">
      <c r="A18" s="9" t="s">
        <v>0</v>
      </c>
      <c r="B18" s="11">
        <f>SUM(C18:N18)</f>
        <v>1484274</v>
      </c>
      <c r="C18" s="11">
        <f>SUM(C19:C20)</f>
        <v>142351</v>
      </c>
      <c r="D18" s="11">
        <f t="shared" ref="D18:N18" si="5">SUM(D19:D20)</f>
        <v>144286</v>
      </c>
      <c r="E18" s="11">
        <f t="shared" si="5"/>
        <v>133466</v>
      </c>
      <c r="F18" s="11">
        <f t="shared" si="5"/>
        <v>119713</v>
      </c>
      <c r="G18" s="11">
        <f t="shared" si="5"/>
        <v>92913</v>
      </c>
      <c r="H18" s="11">
        <f t="shared" si="5"/>
        <v>93786</v>
      </c>
      <c r="I18" s="11">
        <f t="shared" si="5"/>
        <v>122332</v>
      </c>
      <c r="J18" s="11">
        <f t="shared" si="5"/>
        <v>123992</v>
      </c>
      <c r="K18" s="11">
        <f t="shared" si="5"/>
        <v>107620</v>
      </c>
      <c r="L18" s="11">
        <f t="shared" si="5"/>
        <v>127393</v>
      </c>
      <c r="M18" s="11">
        <f t="shared" si="5"/>
        <v>125604</v>
      </c>
      <c r="N18" s="11">
        <f t="shared" si="5"/>
        <v>150818</v>
      </c>
      <c r="O18" s="12" t="s">
        <v>1</v>
      </c>
    </row>
    <row r="19" spans="1:37" ht="18.75">
      <c r="A19" s="13" t="s">
        <v>17</v>
      </c>
      <c r="B19" s="11">
        <f>SUM(C19:N19)</f>
        <v>710256</v>
      </c>
      <c r="C19" s="14">
        <v>67601</v>
      </c>
      <c r="D19" s="14">
        <v>68779</v>
      </c>
      <c r="E19" s="14">
        <v>64018</v>
      </c>
      <c r="F19" s="14">
        <v>57300</v>
      </c>
      <c r="G19" s="14">
        <v>44543</v>
      </c>
      <c r="H19" s="14">
        <v>44461</v>
      </c>
      <c r="I19" s="14">
        <v>58223</v>
      </c>
      <c r="J19" s="14">
        <v>58839</v>
      </c>
      <c r="K19" s="14">
        <v>51698</v>
      </c>
      <c r="L19" s="14">
        <v>61444</v>
      </c>
      <c r="M19" s="14">
        <v>60624</v>
      </c>
      <c r="N19" s="14">
        <v>72726</v>
      </c>
      <c r="O19" s="16" t="s">
        <v>18</v>
      </c>
    </row>
    <row r="20" spans="1:37" s="2" customFormat="1" ht="18.75">
      <c r="A20" s="23" t="s">
        <v>19</v>
      </c>
      <c r="B20" s="24">
        <f>SUM(C20:N20)</f>
        <v>774018</v>
      </c>
      <c r="C20" s="25">
        <v>74750</v>
      </c>
      <c r="D20" s="25">
        <v>75507</v>
      </c>
      <c r="E20" s="25">
        <v>69448</v>
      </c>
      <c r="F20" s="25">
        <v>62413</v>
      </c>
      <c r="G20" s="25">
        <v>48370</v>
      </c>
      <c r="H20" s="25">
        <v>49325</v>
      </c>
      <c r="I20" s="25">
        <v>64109</v>
      </c>
      <c r="J20" s="25">
        <v>65153</v>
      </c>
      <c r="K20" s="25">
        <v>55922</v>
      </c>
      <c r="L20" s="25">
        <v>65949</v>
      </c>
      <c r="M20" s="25">
        <v>64980</v>
      </c>
      <c r="N20" s="25">
        <v>78092</v>
      </c>
      <c r="O20" s="26" t="s">
        <v>20</v>
      </c>
    </row>
    <row r="21" spans="1:37" s="8" customFormat="1" ht="18.75" customHeight="1">
      <c r="A21" s="9">
        <v>2019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10">
        <v>2018</v>
      </c>
    </row>
    <row r="22" spans="1:37" s="8" customFormat="1" ht="18.75">
      <c r="A22" s="9" t="s">
        <v>0</v>
      </c>
      <c r="B22" s="11">
        <f>SUM(C22:N22)</f>
        <v>1702887</v>
      </c>
      <c r="C22" s="11">
        <f>SUM(C23:C24)</f>
        <v>151552</v>
      </c>
      <c r="D22" s="11">
        <f t="shared" ref="D22:N22" si="6">SUM(D23:D24)</f>
        <v>168583</v>
      </c>
      <c r="E22" s="11">
        <f t="shared" si="6"/>
        <v>162843</v>
      </c>
      <c r="F22" s="11">
        <f t="shared" si="6"/>
        <v>163114</v>
      </c>
      <c r="G22" s="11">
        <f t="shared" si="6"/>
        <v>103022</v>
      </c>
      <c r="H22" s="11">
        <f t="shared" si="6"/>
        <v>113475</v>
      </c>
      <c r="I22" s="11">
        <f t="shared" si="6"/>
        <v>132144</v>
      </c>
      <c r="J22" s="11">
        <f t="shared" si="6"/>
        <v>139338</v>
      </c>
      <c r="K22" s="11">
        <f t="shared" si="6"/>
        <v>117619</v>
      </c>
      <c r="L22" s="11">
        <f t="shared" si="6"/>
        <v>141928</v>
      </c>
      <c r="M22" s="11">
        <f t="shared" si="6"/>
        <v>137921</v>
      </c>
      <c r="N22" s="11">
        <f t="shared" si="6"/>
        <v>171348</v>
      </c>
      <c r="O22" s="12" t="s">
        <v>1</v>
      </c>
    </row>
    <row r="23" spans="1:37" ht="18.75">
      <c r="A23" s="13" t="s">
        <v>17</v>
      </c>
      <c r="B23" s="11">
        <f>SUM(C23:N23)</f>
        <v>816083</v>
      </c>
      <c r="C23" s="14">
        <v>72654</v>
      </c>
      <c r="D23" s="14">
        <v>80612</v>
      </c>
      <c r="E23" s="14">
        <v>77386</v>
      </c>
      <c r="F23" s="14">
        <v>77481</v>
      </c>
      <c r="G23" s="14">
        <v>49160</v>
      </c>
      <c r="H23" s="14">
        <v>54044</v>
      </c>
      <c r="I23" s="14">
        <v>63259</v>
      </c>
      <c r="J23" s="14">
        <v>66671</v>
      </c>
      <c r="K23" s="14">
        <v>57144</v>
      </c>
      <c r="L23" s="14">
        <v>68634</v>
      </c>
      <c r="M23" s="14">
        <v>66248</v>
      </c>
      <c r="N23" s="14">
        <v>82790</v>
      </c>
      <c r="O23" s="16" t="s">
        <v>18</v>
      </c>
    </row>
    <row r="24" spans="1:37" s="2" customFormat="1" ht="18.75">
      <c r="A24" s="23" t="s">
        <v>19</v>
      </c>
      <c r="B24" s="24">
        <f>SUM(C24:N24)</f>
        <v>886804</v>
      </c>
      <c r="C24" s="25">
        <v>78898</v>
      </c>
      <c r="D24" s="25">
        <v>87971</v>
      </c>
      <c r="E24" s="25">
        <v>85457</v>
      </c>
      <c r="F24" s="25">
        <v>85633</v>
      </c>
      <c r="G24" s="25">
        <v>53862</v>
      </c>
      <c r="H24" s="25">
        <v>59431</v>
      </c>
      <c r="I24" s="25">
        <v>68885</v>
      </c>
      <c r="J24" s="25">
        <v>72667</v>
      </c>
      <c r="K24" s="25">
        <v>60475</v>
      </c>
      <c r="L24" s="25">
        <v>73294</v>
      </c>
      <c r="M24" s="25">
        <v>71673</v>
      </c>
      <c r="N24" s="25">
        <v>88558</v>
      </c>
      <c r="O24" s="26" t="s">
        <v>20</v>
      </c>
    </row>
    <row r="25" spans="1:37" ht="15.75">
      <c r="A25" s="27" t="s">
        <v>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1"/>
      <c r="O25" s="32" t="s">
        <v>3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30" spans="1:37"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</row>
    <row r="35" spans="31:36">
      <c r="AF35" s="13" t="s">
        <v>17</v>
      </c>
      <c r="AG35" s="17" t="s">
        <v>19</v>
      </c>
    </row>
    <row r="36" spans="31:36">
      <c r="AE36" s="1">
        <v>2015</v>
      </c>
      <c r="AF36" s="29">
        <v>598458</v>
      </c>
      <c r="AG36" s="29">
        <v>635790</v>
      </c>
      <c r="AI36" s="30"/>
      <c r="AJ36" s="30"/>
    </row>
    <row r="37" spans="31:36">
      <c r="AE37" s="1">
        <v>2016</v>
      </c>
      <c r="AF37" s="29">
        <v>623657</v>
      </c>
      <c r="AG37" s="29">
        <v>662478</v>
      </c>
      <c r="AI37" s="30"/>
      <c r="AJ37" s="30"/>
    </row>
    <row r="38" spans="31:36">
      <c r="AE38" s="1">
        <v>2017</v>
      </c>
      <c r="AF38" s="29">
        <v>667286</v>
      </c>
      <c r="AG38" s="29">
        <v>722256</v>
      </c>
      <c r="AH38" s="31"/>
      <c r="AI38" s="30"/>
      <c r="AJ38" s="30"/>
    </row>
    <row r="39" spans="31:36">
      <c r="AE39" s="1">
        <v>2018</v>
      </c>
      <c r="AF39" s="30">
        <f>B19</f>
        <v>710256</v>
      </c>
      <c r="AG39" s="30">
        <f>B20</f>
        <v>774018</v>
      </c>
      <c r="AH39" s="31"/>
      <c r="AI39" s="30"/>
    </row>
    <row r="40" spans="31:36">
      <c r="AE40" s="1">
        <v>2019</v>
      </c>
      <c r="AF40" s="30">
        <f>B23</f>
        <v>816083</v>
      </c>
      <c r="AG40" s="30">
        <f>B24</f>
        <v>886804</v>
      </c>
    </row>
    <row r="41" spans="31:36">
      <c r="AF41" s="30"/>
      <c r="AG41" s="30"/>
    </row>
  </sheetData>
  <mergeCells count="4">
    <mergeCell ref="A1:O1"/>
    <mergeCell ref="A2:O2"/>
    <mergeCell ref="A3:N3"/>
    <mergeCell ref="C30:Q30"/>
  </mergeCells>
  <pageMargins left="0.7" right="0.7" top="0.75" bottom="0.75" header="0.3" footer="0.3"/>
  <pageSetup paperSize="9" scale="64" orientation="landscape" horizontalDpi="4294967295" verticalDpi="4294967295" r:id="rId1"/>
  <rowBreaks count="1" manualBreakCount="1">
    <brk id="46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10.8</vt:lpstr>
      <vt:lpstr>'10.8'!Print_Area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2020-09-07T02:52:55Z</cp:lastPrinted>
  <dcterms:created xsi:type="dcterms:W3CDTF">2019-02-27T06:18:18Z</dcterms:created>
  <dcterms:modified xsi:type="dcterms:W3CDTF">2020-09-07T02:54:21Z</dcterms:modified>
</cp:coreProperties>
</file>