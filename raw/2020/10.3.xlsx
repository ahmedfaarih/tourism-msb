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0. TOURISM\"/>
    </mc:Choice>
  </mc:AlternateContent>
  <bookViews>
    <workbookView xWindow="0" yWindow="0" windowWidth="28800" windowHeight="12435" tabRatio="662"/>
  </bookViews>
  <sheets>
    <sheet name="10.3" sheetId="3" r:id="rId1"/>
  </sheets>
  <definedNames>
    <definedName name="_xlnm.Print_Area" localSheetId="0">'10.3'!$A$1:$N$51</definedName>
  </definedNames>
  <calcPr calcId="152511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3" l="1"/>
  <c r="AY16" i="3" l="1"/>
  <c r="AX16" i="3"/>
  <c r="AK86" i="3" l="1"/>
  <c r="AK87" i="3"/>
  <c r="AK88" i="3"/>
  <c r="AK89" i="3"/>
  <c r="AK90" i="3"/>
  <c r="AK91" i="3"/>
  <c r="AK92" i="3"/>
  <c r="AK93" i="3"/>
  <c r="AK94" i="3"/>
  <c r="AK95" i="3"/>
  <c r="AK96" i="3"/>
  <c r="AK85" i="3"/>
  <c r="AX17" i="3"/>
  <c r="AY17" i="3"/>
  <c r="AX18" i="3"/>
  <c r="AY18" i="3"/>
  <c r="AX19" i="3"/>
  <c r="AY19" i="3"/>
  <c r="AX20" i="3"/>
  <c r="AY20" i="3"/>
  <c r="AX21" i="3"/>
  <c r="AY21" i="3"/>
  <c r="AX22" i="3"/>
  <c r="AY22" i="3"/>
  <c r="AX23" i="3"/>
  <c r="AY23" i="3"/>
  <c r="AX24" i="3"/>
  <c r="AY24" i="3"/>
  <c r="AX25" i="3"/>
  <c r="AY25" i="3"/>
  <c r="AX26" i="3"/>
  <c r="AY26" i="3"/>
  <c r="AX27" i="3"/>
  <c r="AY27" i="3"/>
  <c r="N6" i="3"/>
  <c r="M6" i="3"/>
  <c r="L6" i="3"/>
  <c r="K6" i="3"/>
  <c r="J6" i="3"/>
  <c r="I6" i="3"/>
  <c r="AK84" i="3" l="1"/>
  <c r="AK83" i="3"/>
  <c r="AK82" i="3"/>
  <c r="AK81" i="3"/>
  <c r="AK80" i="3"/>
  <c r="AK79" i="3"/>
  <c r="AK78" i="3"/>
  <c r="AK77" i="3"/>
  <c r="AK76" i="3"/>
  <c r="AK75" i="3"/>
  <c r="AK74" i="3"/>
  <c r="AK73" i="3"/>
  <c r="AK72" i="3"/>
  <c r="AK71" i="3"/>
  <c r="AK70" i="3"/>
  <c r="AK69" i="3"/>
  <c r="AK68" i="3"/>
  <c r="AK67" i="3"/>
  <c r="AK66" i="3"/>
  <c r="AK65" i="3"/>
  <c r="AK64" i="3"/>
  <c r="AK63" i="3"/>
  <c r="AK62" i="3"/>
  <c r="AK61" i="3"/>
  <c r="AK60" i="3"/>
  <c r="AK59" i="3"/>
  <c r="AK58" i="3"/>
  <c r="AK57" i="3"/>
  <c r="AK56" i="3"/>
  <c r="AK55" i="3"/>
  <c r="AK54" i="3"/>
  <c r="AK53" i="3"/>
  <c r="AK52" i="3"/>
  <c r="AK51" i="3"/>
  <c r="AK50" i="3"/>
  <c r="AK49" i="3"/>
  <c r="AK36" i="3"/>
  <c r="AK35" i="3"/>
  <c r="AK34" i="3"/>
  <c r="AK33" i="3"/>
  <c r="AK32" i="3"/>
  <c r="AK31" i="3"/>
  <c r="AK30" i="3"/>
  <c r="AK29" i="3"/>
  <c r="AK28" i="3"/>
  <c r="AK27" i="3"/>
  <c r="AK26" i="3"/>
  <c r="AK25" i="3"/>
  <c r="G6" i="3"/>
  <c r="F6" i="3"/>
  <c r="E6" i="3"/>
  <c r="D6" i="3"/>
  <c r="B6" i="3"/>
</calcChain>
</file>

<file path=xl/sharedStrings.xml><?xml version="1.0" encoding="utf-8"?>
<sst xmlns="http://schemas.openxmlformats.org/spreadsheetml/2006/main" count="124" uniqueCount="46">
  <si>
    <t>Source: Ministry of Tourism</t>
  </si>
  <si>
    <t>އެނދުގެ ޖާގައިން  ބޭނުންކުރެވުނު މިންވަރު %</t>
  </si>
  <si>
    <t>Month</t>
  </si>
  <si>
    <t xml:space="preserve">އެނދުގެ ޖާގަ  </t>
  </si>
  <si>
    <t xml:space="preserve">ބޭނުންކުރެވުނު އެނދުގެ އަދަދު </t>
  </si>
  <si>
    <t>އެނދުގެ ޖާގަ ބޭނުންކުރި މިންވަރު %</t>
  </si>
  <si>
    <t>ފަތުރުވެރިން ހޭދަކޮށްފައިވާ ރޭގެ އަދަދު</t>
  </si>
  <si>
    <t>ފަތުރުވެރިން އެވަރެޖްކޮށް ހޭދަކޮށްފައިވާ މުއްދަތު</t>
  </si>
  <si>
    <t>Beds in
 operation</t>
  </si>
  <si>
    <t xml:space="preserve">% share of registered beds in operation </t>
  </si>
  <si>
    <t>Bed Capacity
 Utilization Rate %</t>
  </si>
  <si>
    <t>Tourist Bednights</t>
  </si>
  <si>
    <t>Average Duration of stay (days)</t>
  </si>
  <si>
    <t xml:space="preserve">Registered Bed Capacity </t>
  </si>
  <si>
    <t>Annual Average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</si>
  <si>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</si>
  <si>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</si>
  <si>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</si>
  <si>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</si>
  <si>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</si>
  <si>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</si>
  <si>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</si>
  <si>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</si>
  <si>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</si>
  <si>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</si>
  <si>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</si>
  <si>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</si>
  <si>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Beds in operation 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</si>
  <si>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</si>
  <si>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</si>
  <si>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</si>
  <si>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</si>
  <si>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</si>
  <si>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</si>
  <si>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</si>
  <si>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</si>
  <si>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</si>
  <si>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</si>
  <si>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</si>
  <si>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2019 - 2018  ,urwvcnim unuverukcnunEb wgWjegudnea iaWa wgWj egudnea uhwmcswmikea : 10.3 ulwvWt</t>
  </si>
  <si>
    <t>Table  10.3: BED CAPACITY AND UTILIZATION BY MONTH,  2018 - 2019</t>
  </si>
  <si>
    <r>
      <t xml:space="preserve">Registered Bed Capacity </t>
    </r>
    <r>
      <rPr>
        <b/>
        <vertAlign val="superscript"/>
        <sz val="10"/>
        <color theme="1"/>
        <rFont val="Calibri"/>
        <family val="2"/>
        <scheme val="minor"/>
      </rPr>
      <t>1_/</t>
    </r>
  </si>
  <si>
    <r>
      <t>Beds in
 operation</t>
    </r>
    <r>
      <rPr>
        <b/>
        <vertAlign val="superscript"/>
        <sz val="10"/>
        <color theme="1"/>
        <rFont val="Calibri"/>
        <family val="2"/>
        <scheme val="minor"/>
      </rPr>
      <t>1_/</t>
    </r>
  </si>
  <si>
    <t>Note:1_/: 2018 data revised</t>
  </si>
  <si>
    <t>ނޯޓް: /_1: 2018 ގެ މަޢުލޫމާތު އިސްލާޙުކުރެވިފައި</t>
  </si>
  <si>
    <t>cmwzirUT cfoa IrcTcsinim :ctWrwf ivcaed utWmUluAwm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</si>
</sst>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0.0"/>
    <numFmt numFmtId="165" formatCode="#,##0.0"/>
    <numFmt numFmtId="166" formatCode="[$-409]mmm\-yy;@"/>
    <numFmt numFmtId="167" formatCode="0.00_)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Helv"/>
    </font>
    <font>
      <sz val="9"/>
      <name val="A_Randhoo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Faruma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b/>
      <sz val="9"/>
      <name val="A_Faseyha"/>
    </font>
    <font>
      <sz val="8"/>
      <name val="A_Faseyha"/>
    </font>
    <font>
      <b/>
      <vertAlign val="superscript"/>
      <sz val="10"/>
      <color theme="1"/>
      <name val="Calibri"/>
      <family val="2"/>
      <scheme val="minor"/>
    </font>
    <font>
      <i/>
      <sz val="8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8"/>
      <name val="Faruma"/>
    </font>
    <font>
      <i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14" fillId="0" borderId="0"/>
    <xf numFmtId="0" fontId="2" fillId="0" borderId="0"/>
    <xf numFmtId="43" fontId="2" fillId="0" borderId="0" applyFont="0" applyFill="0" applyBorder="0" applyAlignment="0" applyProtection="0"/>
    <xf numFmtId="167" fontId="15" fillId="0" borderId="0"/>
    <xf numFmtId="1" fontId="16" fillId="0" borderId="12" applyNumberFormat="0"/>
    <xf numFmtId="0" fontId="2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14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3" fillId="0" borderId="0"/>
    <xf numFmtId="40" fontId="3" fillId="0" borderId="0" applyFont="0" applyFill="0" applyBorder="0" applyAlignment="0" applyProtection="0"/>
    <xf numFmtId="0" fontId="3" fillId="0" borderId="0"/>
    <xf numFmtId="0" fontId="2" fillId="0" borderId="0"/>
    <xf numFmtId="0" fontId="2" fillId="0" borderId="0"/>
  </cellStyleXfs>
  <cellXfs count="80">
    <xf numFmtId="0" fontId="0" fillId="0" borderId="0" xfId="0"/>
    <xf numFmtId="3" fontId="6" fillId="2" borderId="0" xfId="0" applyNumberFormat="1" applyFont="1" applyFill="1" applyBorder="1" applyAlignment="1">
      <alignment horizontal="center"/>
    </xf>
    <xf numFmtId="3" fontId="6" fillId="2" borderId="1" xfId="0" applyNumberFormat="1" applyFont="1" applyFill="1" applyBorder="1" applyAlignment="1">
      <alignment horizontal="right" vertical="center"/>
    </xf>
    <xf numFmtId="3" fontId="6" fillId="2" borderId="0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10" fillId="2" borderId="0" xfId="0" applyFont="1" applyFill="1"/>
    <xf numFmtId="37" fontId="7" fillId="2" borderId="6" xfId="0" applyNumberFormat="1" applyFont="1" applyFill="1" applyBorder="1" applyAlignment="1" applyProtection="1">
      <alignment horizontal="center" vertical="center" wrapText="1"/>
    </xf>
    <xf numFmtId="37" fontId="7" fillId="2" borderId="7" xfId="0" applyNumberFormat="1" applyFont="1" applyFill="1" applyBorder="1" applyAlignment="1" applyProtection="1">
      <alignment horizontal="center" vertical="center" wrapText="1"/>
    </xf>
    <xf numFmtId="0" fontId="5" fillId="2" borderId="0" xfId="0" applyFont="1" applyFill="1" applyAlignment="1" applyProtection="1">
      <alignment horizontal="left" vertical="center" wrapText="1"/>
    </xf>
    <xf numFmtId="3" fontId="5" fillId="2" borderId="10" xfId="0" applyNumberFormat="1" applyFont="1" applyFill="1" applyBorder="1" applyAlignment="1">
      <alignment horizontal="center"/>
    </xf>
    <xf numFmtId="3" fontId="5" fillId="2" borderId="0" xfId="0" applyNumberFormat="1" applyFont="1" applyFill="1" applyAlignment="1">
      <alignment horizontal="center"/>
    </xf>
    <xf numFmtId="165" fontId="5" fillId="2" borderId="0" xfId="0" applyNumberFormat="1" applyFont="1" applyFill="1" applyAlignment="1">
      <alignment horizontal="center"/>
    </xf>
    <xf numFmtId="3" fontId="5" fillId="2" borderId="0" xfId="0" applyNumberFormat="1" applyFont="1" applyFill="1" applyAlignment="1">
      <alignment horizontal="right" vertical="center"/>
    </xf>
    <xf numFmtId="0" fontId="6" fillId="2" borderId="0" xfId="0" applyFont="1" applyFill="1" applyAlignment="1" applyProtection="1">
      <alignment horizontal="left" vertical="center"/>
    </xf>
    <xf numFmtId="3" fontId="6" fillId="2" borderId="11" xfId="0" applyNumberFormat="1" applyFont="1" applyFill="1" applyBorder="1" applyAlignment="1">
      <alignment horizontal="center"/>
    </xf>
    <xf numFmtId="164" fontId="6" fillId="2" borderId="0" xfId="0" applyNumberFormat="1" applyFont="1" applyFill="1" applyAlignment="1">
      <alignment horizontal="center"/>
    </xf>
    <xf numFmtId="0" fontId="6" fillId="2" borderId="0" xfId="0" applyFont="1" applyFill="1" applyBorder="1" applyAlignment="1" applyProtection="1">
      <alignment horizontal="left" vertical="center"/>
    </xf>
    <xf numFmtId="0" fontId="6" fillId="2" borderId="1" xfId="0" applyFont="1" applyFill="1" applyBorder="1" applyAlignment="1" applyProtection="1">
      <alignment horizontal="left" vertical="center"/>
    </xf>
    <xf numFmtId="3" fontId="6" fillId="2" borderId="9" xfId="0" applyNumberFormat="1" applyFont="1" applyFill="1" applyBorder="1" applyAlignment="1">
      <alignment horizontal="center"/>
    </xf>
    <xf numFmtId="3" fontId="6" fillId="2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center"/>
    </xf>
    <xf numFmtId="165" fontId="8" fillId="2" borderId="0" xfId="0" applyNumberFormat="1" applyFont="1" applyFill="1"/>
    <xf numFmtId="0" fontId="11" fillId="2" borderId="1" xfId="0" applyFont="1" applyFill="1" applyBorder="1" applyAlignment="1" applyProtection="1">
      <alignment horizontal="center" vertical="center" wrapText="1"/>
    </xf>
    <xf numFmtId="3" fontId="8" fillId="2" borderId="0" xfId="0" applyNumberFormat="1" applyFont="1" applyFill="1"/>
    <xf numFmtId="0" fontId="8" fillId="2" borderId="0" xfId="0" applyFont="1" applyFill="1" applyAlignment="1" applyProtection="1">
      <alignment horizontal="left" vertical="center"/>
    </xf>
    <xf numFmtId="3" fontId="12" fillId="2" borderId="0" xfId="0" applyNumberFormat="1" applyFont="1" applyFill="1" applyAlignment="1">
      <alignment horizontal="center"/>
    </xf>
    <xf numFmtId="0" fontId="8" fillId="2" borderId="0" xfId="0" applyFont="1" applyFill="1" applyBorder="1" applyAlignment="1" applyProtection="1">
      <alignment horizontal="left" vertical="center"/>
    </xf>
    <xf numFmtId="166" fontId="12" fillId="2" borderId="0" xfId="0" applyNumberFormat="1" applyFont="1" applyFill="1" applyAlignment="1" applyProtection="1">
      <alignment horizontal="left" vertical="center"/>
    </xf>
    <xf numFmtId="164" fontId="8" fillId="2" borderId="0" xfId="0" applyNumberFormat="1" applyFont="1" applyFill="1" applyAlignment="1">
      <alignment horizontal="center" vertical="center"/>
    </xf>
    <xf numFmtId="0" fontId="12" fillId="2" borderId="0" xfId="0" applyFont="1" applyFill="1" applyAlignment="1" applyProtection="1">
      <alignment horizontal="left" vertical="center"/>
    </xf>
    <xf numFmtId="165" fontId="8" fillId="2" borderId="0" xfId="0" applyNumberFormat="1" applyFont="1" applyFill="1" applyBorder="1"/>
    <xf numFmtId="3" fontId="8" fillId="2" borderId="0" xfId="0" applyNumberFormat="1" applyFont="1" applyFill="1" applyBorder="1"/>
    <xf numFmtId="0" fontId="11" fillId="2" borderId="0" xfId="0" applyFont="1" applyFill="1" applyBorder="1" applyAlignment="1" applyProtection="1">
      <alignment horizontal="center" vertical="center" wrapText="1"/>
    </xf>
    <xf numFmtId="0" fontId="8" fillId="2" borderId="0" xfId="0" applyFont="1" applyFill="1" applyBorder="1"/>
    <xf numFmtId="3" fontId="8" fillId="2" borderId="0" xfId="0" applyNumberFormat="1" applyFont="1" applyFill="1" applyBorder="1" applyAlignment="1">
      <alignment horizontal="center"/>
    </xf>
    <xf numFmtId="0" fontId="13" fillId="2" borderId="0" xfId="0" applyFont="1" applyFill="1" applyBorder="1" applyAlignment="1" applyProtection="1">
      <alignment horizontal="center" vertical="center" wrapText="1"/>
    </xf>
    <xf numFmtId="0" fontId="12" fillId="2" borderId="0" xfId="0" applyFont="1" applyFill="1" applyBorder="1" applyAlignment="1" applyProtection="1">
      <alignment horizontal="left" vertical="center"/>
    </xf>
    <xf numFmtId="0" fontId="12" fillId="2" borderId="1" xfId="0" applyFont="1" applyFill="1" applyBorder="1" applyAlignment="1" applyProtection="1">
      <alignment horizontal="left" vertical="center"/>
    </xf>
    <xf numFmtId="164" fontId="8" fillId="2" borderId="0" xfId="0" applyNumberFormat="1" applyFont="1" applyFill="1" applyBorder="1" applyAlignment="1">
      <alignment horizontal="center" vertical="center"/>
    </xf>
    <xf numFmtId="164" fontId="6" fillId="2" borderId="0" xfId="0" applyNumberFormat="1" applyFont="1" applyFill="1" applyBorder="1" applyAlignment="1">
      <alignment horizontal="center"/>
    </xf>
    <xf numFmtId="165" fontId="8" fillId="2" borderId="0" xfId="0" applyNumberFormat="1" applyFont="1" applyFill="1" applyBorder="1" applyAlignment="1">
      <alignment horizontal="center" vertical="center"/>
    </xf>
    <xf numFmtId="165" fontId="8" fillId="2" borderId="1" xfId="0" applyNumberFormat="1" applyFont="1" applyFill="1" applyBorder="1" applyAlignment="1">
      <alignment horizontal="center" vertical="center"/>
    </xf>
    <xf numFmtId="166" fontId="12" fillId="2" borderId="0" xfId="0" applyNumberFormat="1" applyFont="1" applyFill="1" applyBorder="1" applyAlignment="1" applyProtection="1">
      <alignment horizontal="left" vertical="center"/>
    </xf>
    <xf numFmtId="0" fontId="9" fillId="2" borderId="0" xfId="0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 applyProtection="1">
      <alignment horizontal="center" vertical="center" wrapText="1"/>
    </xf>
    <xf numFmtId="0" fontId="5" fillId="2" borderId="9" xfId="0" applyFont="1" applyFill="1" applyBorder="1" applyAlignment="1" applyProtection="1">
      <alignment horizontal="center" vertical="center" wrapText="1"/>
    </xf>
    <xf numFmtId="0" fontId="17" fillId="2" borderId="0" xfId="0" applyFont="1" applyFill="1" applyAlignment="1">
      <alignment horizontal="center" vertical="center"/>
    </xf>
    <xf numFmtId="37" fontId="7" fillId="2" borderId="0" xfId="0" applyNumberFormat="1" applyFont="1" applyFill="1" applyBorder="1" applyAlignment="1" applyProtection="1">
      <alignment horizontal="center" vertical="center" wrapText="1"/>
    </xf>
    <xf numFmtId="0" fontId="5" fillId="2" borderId="0" xfId="0" applyFont="1" applyFill="1" applyBorder="1" applyAlignment="1" applyProtection="1">
      <alignment horizontal="center" vertical="center" wrapText="1"/>
    </xf>
    <xf numFmtId="0" fontId="9" fillId="2" borderId="0" xfId="0" applyFont="1" applyFill="1" applyBorder="1" applyAlignment="1" applyProtection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0" fillId="2" borderId="0" xfId="0" applyFont="1" applyFill="1" applyAlignment="1">
      <alignment horizontal="center" wrapText="1"/>
    </xf>
    <xf numFmtId="0" fontId="5" fillId="2" borderId="2" xfId="0" applyFont="1" applyFill="1" applyBorder="1" applyAlignment="1" applyProtection="1">
      <alignment horizontal="center" vertical="center" wrapText="1"/>
    </xf>
    <xf numFmtId="0" fontId="5" fillId="2" borderId="5" xfId="0" applyFont="1" applyFill="1" applyBorder="1" applyAlignment="1" applyProtection="1">
      <alignment horizontal="center" vertical="center" wrapText="1"/>
    </xf>
    <xf numFmtId="0" fontId="5" fillId="2" borderId="8" xfId="0" applyFont="1" applyFill="1" applyBorder="1" applyAlignment="1" applyProtection="1">
      <alignment horizontal="center" vertical="center" wrapText="1"/>
    </xf>
    <xf numFmtId="0" fontId="9" fillId="2" borderId="3" xfId="0" applyFont="1" applyFill="1" applyBorder="1" applyAlignment="1" applyProtection="1">
      <alignment horizontal="center" vertical="center"/>
    </xf>
    <xf numFmtId="0" fontId="9" fillId="2" borderId="4" xfId="0" applyFont="1" applyFill="1" applyBorder="1" applyAlignment="1" applyProtection="1">
      <alignment horizontal="center" vertical="center"/>
    </xf>
    <xf numFmtId="165" fontId="21" fillId="2" borderId="0" xfId="0" applyNumberFormat="1" applyFont="1" applyFill="1"/>
    <xf numFmtId="164" fontId="21" fillId="2" borderId="0" xfId="0" applyNumberFormat="1" applyFont="1" applyFill="1"/>
    <xf numFmtId="0" fontId="20" fillId="2" borderId="0" xfId="0" applyFont="1" applyFill="1" applyAlignment="1">
      <alignment vertical="center"/>
    </xf>
    <xf numFmtId="0" fontId="22" fillId="2" borderId="0" xfId="0" applyFont="1" applyFill="1"/>
    <xf numFmtId="0" fontId="24" fillId="2" borderId="0" xfId="0" applyFont="1" applyFill="1" applyAlignment="1" applyProtection="1">
      <alignment horizontal="left" vertical="center"/>
    </xf>
    <xf numFmtId="0" fontId="5" fillId="2" borderId="9" xfId="0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 wrapText="1"/>
    </xf>
    <xf numFmtId="0" fontId="21" fillId="2" borderId="0" xfId="0" applyFont="1" applyFill="1"/>
    <xf numFmtId="0" fontId="23" fillId="2" borderId="0" xfId="0" applyFont="1" applyFill="1"/>
    <xf numFmtId="0" fontId="21" fillId="2" borderId="0" xfId="0" applyFont="1" applyFill="1" applyBorder="1" applyAlignment="1" applyProtection="1">
      <alignment horizontal="left" vertical="center"/>
    </xf>
    <xf numFmtId="3" fontId="6" fillId="2" borderId="0" xfId="0" applyNumberFormat="1" applyFont="1" applyFill="1" applyBorder="1" applyAlignment="1">
      <alignment horizontal="center"/>
    </xf>
    <xf numFmtId="3" fontId="6" fillId="2" borderId="11" xfId="0" applyNumberFormat="1" applyFont="1" applyFill="1" applyBorder="1" applyAlignment="1">
      <alignment horizontal="center"/>
    </xf>
    <xf numFmtId="3" fontId="6" fillId="2" borderId="9" xfId="0" applyNumberFormat="1" applyFont="1" applyFill="1" applyBorder="1" applyAlignment="1">
      <alignment horizontal="center"/>
    </xf>
    <xf numFmtId="3" fontId="6" fillId="2" borderId="1" xfId="0" applyNumberFormat="1" applyFont="1" applyFill="1" applyBorder="1" applyAlignment="1">
      <alignment horizontal="center"/>
    </xf>
    <xf numFmtId="0" fontId="0" fillId="2" borderId="0" xfId="0" applyFill="1"/>
    <xf numFmtId="0" fontId="4" fillId="2" borderId="0" xfId="0" applyFont="1" applyFill="1" applyBorder="1" applyAlignment="1">
      <alignment horizontal="right" vertical="center"/>
    </xf>
    <xf numFmtId="0" fontId="8" fillId="2" borderId="0" xfId="0" applyFont="1" applyFill="1"/>
    <xf numFmtId="3" fontId="6" fillId="2" borderId="11" xfId="0" applyNumberFormat="1" applyFont="1" applyFill="1" applyBorder="1" applyAlignment="1">
      <alignment horizontal="center"/>
    </xf>
    <xf numFmtId="165" fontId="8" fillId="2" borderId="0" xfId="0" applyNumberFormat="1" applyFont="1" applyFill="1"/>
    <xf numFmtId="164" fontId="8" fillId="2" borderId="0" xfId="0" applyNumberFormat="1" applyFont="1" applyFill="1"/>
    <xf numFmtId="0" fontId="8" fillId="2" borderId="0" xfId="0" applyFont="1" applyFill="1" applyAlignment="1" applyProtection="1">
      <alignment horizontal="left" vertical="center"/>
    </xf>
    <xf numFmtId="3" fontId="12" fillId="2" borderId="0" xfId="0" applyNumberFormat="1" applyFont="1" applyFill="1" applyAlignment="1">
      <alignment horizontal="center"/>
    </xf>
    <xf numFmtId="0" fontId="18" fillId="2" borderId="0" xfId="0" applyFont="1" applyFill="1" applyBorder="1" applyAlignment="1">
      <alignment horizontal="right" vertical="center"/>
    </xf>
  </cellXfs>
  <cellStyles count="23">
    <cellStyle name="1" xfId="5"/>
    <cellStyle name="Comma 2" xfId="19"/>
    <cellStyle name="Comma 3" xfId="6"/>
    <cellStyle name="Normal" xfId="0" builtinId="0"/>
    <cellStyle name="Normal - Style1" xfId="7"/>
    <cellStyle name="Normal 10" xfId="13"/>
    <cellStyle name="Normal 10 2" xfId="22"/>
    <cellStyle name="Normal 2" xfId="1"/>
    <cellStyle name="Normal 2 2" xfId="8"/>
    <cellStyle name="Normal 2 2 2" xfId="20"/>
    <cellStyle name="Normal 3" xfId="9"/>
    <cellStyle name="Normal 4" xfId="14"/>
    <cellStyle name="Normal 4 2" xfId="10"/>
    <cellStyle name="Normal 4 2 2" xfId="15"/>
    <cellStyle name="Normal 5" xfId="11"/>
    <cellStyle name="Normal 5 2" xfId="3"/>
    <cellStyle name="Normal 6" xfId="16"/>
    <cellStyle name="Normal 7" xfId="17"/>
    <cellStyle name="Normal 8" xfId="18"/>
    <cellStyle name="Normal 9" xfId="4"/>
    <cellStyle name="Normal 9 2" xfId="21"/>
    <cellStyle name="Percent 2" xfId="12"/>
    <cellStyle name="Percent 2 2" xfId="2"/>
  </cellStyles>
  <dxfs count="0"/>
  <tableStyles count="0" defaultTableStyle="TableStyleMedium2" defaultPivotStyle="PivotStyleLight16"/>
  <colors>
    <mruColors>
      <color rgb="FFCA945E"/>
      <color rgb="FF996633"/>
      <color rgb="FF663300"/>
      <color rgb="FFF6ECE2"/>
      <color rgb="FFD6AD84"/>
      <color rgb="FFEEDCCA"/>
      <color rgb="FFB05800"/>
      <color rgb="FFD66B00"/>
      <color rgb="FFFFCCB3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10.7: Average duration of stay of tourists, 2018 - 2019</a:t>
            </a:r>
          </a:p>
        </c:rich>
      </c:tx>
      <c:layout>
        <c:manualLayout>
          <c:xMode val="edge"/>
          <c:yMode val="edge"/>
          <c:x val="0.16681476199403972"/>
          <c:y val="5.354954128294216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1795045173224705E-2"/>
          <c:y val="0.16089124850407638"/>
          <c:w val="0.91400258136049828"/>
          <c:h val="0.75414467122674478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accent4">
                  <a:lumMod val="50000"/>
                </a:schemeClr>
              </a:solidFill>
            </a:ln>
          </c:spPr>
          <c:marker>
            <c:symbol val="square"/>
            <c:size val="6"/>
            <c:spPr>
              <a:solidFill>
                <a:srgbClr val="D6AD84"/>
              </a:solidFill>
              <a:ln>
                <a:solidFill>
                  <a:srgbClr val="CA945E"/>
                </a:solidFill>
              </a:ln>
            </c:spPr>
          </c:marker>
          <c:cat>
            <c:strRef>
              <c:f>'10.3'!$AJ$73:$AJ$96</c:f>
              <c:strCache>
                <c:ptCount val="24"/>
                <c:pt idx="0">
                  <c:v>Jan-18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Jan-19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</c:strCache>
            </c:strRef>
          </c:cat>
          <c:val>
            <c:numRef>
              <c:f>'10.3'!$AK$73:$AK$96</c:f>
              <c:numCache>
                <c:formatCode>#,##0.0</c:formatCode>
                <c:ptCount val="24"/>
                <c:pt idx="0">
                  <c:v>6.6</c:v>
                </c:pt>
                <c:pt idx="1">
                  <c:v>6.4</c:v>
                </c:pt>
                <c:pt idx="2">
                  <c:v>6.5</c:v>
                </c:pt>
                <c:pt idx="3">
                  <c:v>6.7</c:v>
                </c:pt>
                <c:pt idx="4">
                  <c:v>6.9</c:v>
                </c:pt>
                <c:pt idx="5">
                  <c:v>5.8</c:v>
                </c:pt>
                <c:pt idx="6">
                  <c:v>6.1</c:v>
                </c:pt>
                <c:pt idx="7">
                  <c:v>6.6</c:v>
                </c:pt>
                <c:pt idx="8">
                  <c:v>6</c:v>
                </c:pt>
                <c:pt idx="9">
                  <c:v>6.4</c:v>
                </c:pt>
                <c:pt idx="10">
                  <c:v>6.4</c:v>
                </c:pt>
                <c:pt idx="11">
                  <c:v>6</c:v>
                </c:pt>
                <c:pt idx="12">
                  <c:v>6.5882149816969973</c:v>
                </c:pt>
                <c:pt idx="13">
                  <c:v>6.0482804911572279</c:v>
                </c:pt>
                <c:pt idx="14">
                  <c:v>6.1824598176503818</c:v>
                </c:pt>
                <c:pt idx="15">
                  <c:v>6.0189152035866762</c:v>
                </c:pt>
                <c:pt idx="16">
                  <c:v>6.9693063559966193</c:v>
                </c:pt>
                <c:pt idx="17">
                  <c:v>6.2974838531525128</c:v>
                </c:pt>
                <c:pt idx="18">
                  <c:v>5.8777392231348422</c:v>
                </c:pt>
                <c:pt idx="19">
                  <c:v>6.5354937125120207</c:v>
                </c:pt>
                <c:pt idx="20">
                  <c:v>6.0265945053859173</c:v>
                </c:pt>
                <c:pt idx="21">
                  <c:v>6.4568748581424016</c:v>
                </c:pt>
                <c:pt idx="22">
                  <c:v>6.431551764903114</c:v>
                </c:pt>
                <c:pt idx="23">
                  <c:v>6.1300122010911764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3186-4E8E-8481-5D609907F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1006816"/>
        <c:axId val="331004464"/>
      </c:lineChart>
      <c:catAx>
        <c:axId val="331006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 anchor="ctr" anchorCtr="0"/>
          <a:lstStyle/>
          <a:p>
            <a:pPr>
              <a:defRPr sz="700">
                <a:latin typeface="+mn-lt"/>
              </a:defRPr>
            </a:pPr>
            <a:endParaRPr lang="en-US"/>
          </a:p>
        </c:txPr>
        <c:crossAx val="331004464"/>
        <c:crosses val="autoZero"/>
        <c:auto val="1"/>
        <c:lblAlgn val="ctr"/>
        <c:lblOffset val="100"/>
        <c:noMultiLvlLbl val="0"/>
      </c:catAx>
      <c:valAx>
        <c:axId val="331004464"/>
        <c:scaling>
          <c:orientation val="minMax"/>
          <c:max val="8"/>
          <c:min val="0"/>
        </c:scaling>
        <c:delete val="0"/>
        <c:axPos val="l"/>
        <c:majorGridlines>
          <c:spPr>
            <a:ln w="12700">
              <a:solidFill>
                <a:srgbClr val="EEDCCA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b="0">
                    <a:latin typeface="+mn-lt"/>
                  </a:defRPr>
                </a:pPr>
                <a:r>
                  <a:rPr lang="en-US" b="0">
                    <a:latin typeface="+mn-lt"/>
                  </a:rPr>
                  <a:t>Number of days</a:t>
                </a:r>
              </a:p>
            </c:rich>
          </c:tx>
          <c:layout>
            <c:manualLayout>
              <c:xMode val="edge"/>
              <c:yMode val="edge"/>
              <c:x val="1.1001162168161821E-2"/>
              <c:y val="7.5038500982079231E-2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331006816"/>
        <c:crosses val="autoZero"/>
        <c:crossBetween val="between"/>
        <c:majorUnit val="2"/>
      </c:valAx>
      <c:spPr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spPr>
    <a:solidFill>
      <a:sysClr val="window" lastClr="FFFFFF"/>
    </a:solidFill>
  </c:spPr>
  <c:printSettings>
    <c:headerFooter/>
    <c:pageMargins b="0.75000000000000167" l="0.70000000000000062" r="0.70000000000000062" t="0.75000000000000167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9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900" b="1" i="0" baseline="0">
                <a:effectLst/>
              </a:rPr>
              <a:t>Figure 10.6:  Bed capacity and beds in operation in resorts,hotels, guest houses and safari vessels, 2019</a:t>
            </a:r>
            <a:endParaRPr lang="en-US" sz="900">
              <a:effectLst/>
            </a:endParaRPr>
          </a:p>
        </c:rich>
      </c:tx>
      <c:layout>
        <c:manualLayout>
          <c:xMode val="edge"/>
          <c:yMode val="edge"/>
          <c:x val="0.15036451437118789"/>
          <c:y val="6.872001098392877E-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9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95249996887629E-2"/>
          <c:y val="0.20870813886414391"/>
          <c:w val="0.90305061855186097"/>
          <c:h val="0.676633235129543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'10.3'!$AX$15</c:f>
              <c:strCache>
                <c:ptCount val="1"/>
                <c:pt idx="0">
                  <c:v>Registered Bed Capacity </c:v>
                </c:pt>
              </c:strCache>
            </c:strRef>
          </c:tx>
          <c:spPr>
            <a:solidFill>
              <a:srgbClr val="B05800"/>
            </a:solidFill>
            <a:ln>
              <a:noFill/>
            </a:ln>
            <a:effectLst/>
          </c:spPr>
          <c:invertIfNegative val="0"/>
          <c:cat>
            <c:strRef>
              <c:f>'10.3'!$AW$16:$AW$27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'10.3'!$AX$16:$AX$27</c:f>
              <c:numCache>
                <c:formatCode>#,##0</c:formatCode>
                <c:ptCount val="12"/>
                <c:pt idx="0">
                  <c:v>45565</c:v>
                </c:pt>
                <c:pt idx="1">
                  <c:v>46073</c:v>
                </c:pt>
                <c:pt idx="2">
                  <c:v>47107</c:v>
                </c:pt>
                <c:pt idx="3">
                  <c:v>47351</c:v>
                </c:pt>
                <c:pt idx="4">
                  <c:v>48603</c:v>
                </c:pt>
                <c:pt idx="5">
                  <c:v>48873</c:v>
                </c:pt>
                <c:pt idx="6">
                  <c:v>49189</c:v>
                </c:pt>
                <c:pt idx="7">
                  <c:v>49740</c:v>
                </c:pt>
                <c:pt idx="8">
                  <c:v>50802</c:v>
                </c:pt>
                <c:pt idx="9">
                  <c:v>51039</c:v>
                </c:pt>
                <c:pt idx="10">
                  <c:v>51149</c:v>
                </c:pt>
                <c:pt idx="11">
                  <c:v>51362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814-40B3-8877-A0AD1EDEF530}"/>
            </c:ext>
          </c:extLst>
        </c:ser>
        <c:ser>
          <c:idx val="1"/>
          <c:order val="1"/>
          <c:tx>
            <c:strRef>
              <c:f>'10.3'!$AY$15</c:f>
              <c:strCache>
                <c:ptCount val="1"/>
                <c:pt idx="0">
                  <c:v>Beds in operation </c:v>
                </c:pt>
              </c:strCache>
            </c:strRef>
          </c:tx>
          <c:spPr>
            <a:solidFill>
              <a:srgbClr val="D6AD84"/>
            </a:solidFill>
            <a:ln>
              <a:noFill/>
            </a:ln>
            <a:effectLst/>
          </c:spPr>
          <c:invertIfNegative val="0"/>
          <c:cat>
            <c:strRef>
              <c:f>'10.3'!$AW$16:$AW$27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'10.3'!$AY$16:$AY$27</c:f>
              <c:numCache>
                <c:formatCode>#,##0</c:formatCode>
                <c:ptCount val="12"/>
                <c:pt idx="0">
                  <c:v>44266</c:v>
                </c:pt>
                <c:pt idx="1">
                  <c:v>44680</c:v>
                </c:pt>
                <c:pt idx="2">
                  <c:v>45216</c:v>
                </c:pt>
                <c:pt idx="3">
                  <c:v>45936</c:v>
                </c:pt>
                <c:pt idx="4">
                  <c:v>47196</c:v>
                </c:pt>
                <c:pt idx="5">
                  <c:v>47477</c:v>
                </c:pt>
                <c:pt idx="6">
                  <c:v>47174</c:v>
                </c:pt>
                <c:pt idx="7">
                  <c:v>47102</c:v>
                </c:pt>
                <c:pt idx="8">
                  <c:v>49213</c:v>
                </c:pt>
                <c:pt idx="9">
                  <c:v>49450</c:v>
                </c:pt>
                <c:pt idx="10">
                  <c:v>49658</c:v>
                </c:pt>
                <c:pt idx="11">
                  <c:v>49854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814-40B3-8877-A0AD1EDEF5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331004072"/>
        <c:axId val="331010344"/>
      </c:barChart>
      <c:catAx>
        <c:axId val="331004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010344"/>
        <c:crosses val="autoZero"/>
        <c:auto val="1"/>
        <c:lblAlgn val="ctr"/>
        <c:lblOffset val="100"/>
        <c:noMultiLvlLbl val="0"/>
      </c:catAx>
      <c:valAx>
        <c:axId val="331010344"/>
        <c:scaling>
          <c:orientation val="minMax"/>
          <c:max val="520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004072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6.3895584534217689E-2"/>
          <c:y val="0.1988835414498786"/>
          <c:w val="0.36621896210650873"/>
          <c:h val="7.71685910144612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395531</xdr:colOff>
      <xdr:row>31</xdr:row>
      <xdr:rowOff>37102</xdr:rowOff>
    </xdr:from>
    <xdr:to>
      <xdr:col>11</xdr:col>
      <xdr:colOff>8073</xdr:colOff>
      <xdr:row>50</xdr:row>
      <xdr:rowOff>141308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379386</xdr:colOff>
      <xdr:row>19</xdr:row>
      <xdr:rowOff>64172</xdr:rowOff>
    </xdr:from>
    <xdr:to>
      <xdr:col>10</xdr:col>
      <xdr:colOff>969936</xdr:colOff>
      <xdr:row>30</xdr:row>
      <xdr:rowOff>187997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Y96"/>
  <sheetViews>
    <sheetView tabSelected="1" topLeftCell="A13" zoomScale="118" zoomScaleNormal="118" workbookViewId="0">
      <selection activeCell="O24" sqref="O24"/>
    </sheetView>
  </sheetViews>
  <sheetFormatPr defaultColWidth="9.140625" defaultRowHeight="12"/>
  <cols>
    <col min="1" max="1" width="16.85546875" style="4" customWidth="1"/>
    <col min="2" max="3" width="11.28515625" style="4" customWidth="1"/>
    <col min="4" max="4" width="14.85546875" style="4" customWidth="1"/>
    <col min="5" max="7" width="11.28515625" style="4" customWidth="1"/>
    <col min="8" max="8" width="2.42578125" style="4" hidden="1" customWidth="1"/>
    <col min="9" max="10" width="11.28515625" style="4" customWidth="1"/>
    <col min="11" max="11" width="14.85546875" style="4" customWidth="1"/>
    <col min="12" max="30" width="11.28515625" style="4" customWidth="1"/>
    <col min="31" max="16384" width="9.140625" style="4"/>
  </cols>
  <sheetData>
    <row r="1" spans="1:51" ht="17.25" customHeight="1">
      <c r="A1" s="50" t="s">
        <v>39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</row>
    <row r="2" spans="1:51" ht="24" customHeight="1">
      <c r="A2" s="49" t="s">
        <v>40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</row>
    <row r="3" spans="1:51" s="5" customFormat="1" ht="18.75" customHeight="1">
      <c r="A3" s="52" t="s">
        <v>2</v>
      </c>
      <c r="B3" s="55">
        <v>2018</v>
      </c>
      <c r="C3" s="56"/>
      <c r="D3" s="56"/>
      <c r="E3" s="56"/>
      <c r="F3" s="56"/>
      <c r="G3" s="56"/>
      <c r="I3" s="55">
        <v>2019</v>
      </c>
      <c r="J3" s="56"/>
      <c r="K3" s="56"/>
      <c r="L3" s="56"/>
      <c r="M3" s="56"/>
      <c r="N3" s="56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</row>
    <row r="4" spans="1:51" s="5" customFormat="1" ht="72" customHeight="1">
      <c r="A4" s="53"/>
      <c r="B4" s="6" t="s">
        <v>3</v>
      </c>
      <c r="C4" s="7" t="s">
        <v>4</v>
      </c>
      <c r="D4" s="7" t="s">
        <v>1</v>
      </c>
      <c r="E4" s="7" t="s">
        <v>5</v>
      </c>
      <c r="F4" s="7" t="s">
        <v>6</v>
      </c>
      <c r="G4" s="7" t="s">
        <v>7</v>
      </c>
      <c r="I4" s="6" t="s">
        <v>3</v>
      </c>
      <c r="J4" s="7" t="s">
        <v>4</v>
      </c>
      <c r="K4" s="7" t="s">
        <v>1</v>
      </c>
      <c r="L4" s="7" t="s">
        <v>5</v>
      </c>
      <c r="M4" s="7" t="s">
        <v>6</v>
      </c>
      <c r="N4" s="7" t="s">
        <v>7</v>
      </c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F4" s="51"/>
      <c r="AG4" s="51"/>
      <c r="AH4" s="51"/>
      <c r="AI4" s="51"/>
      <c r="AJ4" s="51"/>
      <c r="AK4" s="51"/>
    </row>
    <row r="5" spans="1:51" s="5" customFormat="1" ht="46.5" customHeight="1">
      <c r="A5" s="54"/>
      <c r="B5" s="62" t="s">
        <v>41</v>
      </c>
      <c r="C5" s="63" t="s">
        <v>42</v>
      </c>
      <c r="D5" s="44" t="s">
        <v>9</v>
      </c>
      <c r="E5" s="44" t="s">
        <v>10</v>
      </c>
      <c r="F5" s="44" t="s">
        <v>11</v>
      </c>
      <c r="G5" s="44" t="s">
        <v>12</v>
      </c>
      <c r="I5" s="45" t="s">
        <v>13</v>
      </c>
      <c r="J5" s="44" t="s">
        <v>8</v>
      </c>
      <c r="K5" s="44" t="s">
        <v>9</v>
      </c>
      <c r="L5" s="44" t="s">
        <v>10</v>
      </c>
      <c r="M5" s="44" t="s">
        <v>11</v>
      </c>
      <c r="N5" s="44" t="s">
        <v>12</v>
      </c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</row>
    <row r="6" spans="1:51" s="5" customFormat="1" ht="16.5" customHeight="1">
      <c r="A6" s="8" t="s">
        <v>14</v>
      </c>
      <c r="B6" s="9">
        <f>AVERAGE(B7:B18)</f>
        <v>43050.083333333336</v>
      </c>
      <c r="C6" s="10">
        <f>AVERAGE(C7:C18)</f>
        <v>41886.5</v>
      </c>
      <c r="D6" s="11">
        <f>AVERAGE(D7:D18)</f>
        <v>97.299232882512911</v>
      </c>
      <c r="E6" s="11">
        <f>AVERAGE(E7:E18)</f>
        <v>62.132135362377618</v>
      </c>
      <c r="F6" s="12">
        <f>SUM(F7:F18)</f>
        <v>9478093.9017162751</v>
      </c>
      <c r="G6" s="11">
        <f>AVERAGE(G7:G18)</f>
        <v>6.3666666666666671</v>
      </c>
      <c r="I6" s="9">
        <f>AVERAGE(I7:I18)</f>
        <v>48904.416666666664</v>
      </c>
      <c r="J6" s="10">
        <f>AVERAGE(J7:J18)</f>
        <v>47268.5</v>
      </c>
      <c r="K6" s="11">
        <f>AVERAGE(K7:K18)</f>
        <v>96.656967873422175</v>
      </c>
      <c r="L6" s="11">
        <f>AVERAGE(L7:L18)</f>
        <v>62.271689527528423</v>
      </c>
      <c r="M6" s="12">
        <f>SUM(M7:M18)</f>
        <v>10688387.114665871</v>
      </c>
      <c r="N6" s="11">
        <f>AVERAGE(N7:N18)</f>
        <v>6.2969105807008239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 spans="1:51" s="5" customFormat="1" ht="16.5" customHeight="1">
      <c r="A7" s="13" t="s">
        <v>15</v>
      </c>
      <c r="B7" s="68">
        <v>41602</v>
      </c>
      <c r="C7" s="67">
        <v>40943</v>
      </c>
      <c r="D7" s="15">
        <v>98.415941541272062</v>
      </c>
      <c r="E7" s="15">
        <v>74.178416195992256</v>
      </c>
      <c r="F7" s="3">
        <v>941496.93723687832</v>
      </c>
      <c r="G7" s="15">
        <v>6.6</v>
      </c>
      <c r="I7" s="14">
        <v>45565</v>
      </c>
      <c r="J7" s="1">
        <v>44266</v>
      </c>
      <c r="K7" s="15">
        <v>97.149127619883686</v>
      </c>
      <c r="L7" s="15">
        <v>72.760799223036059</v>
      </c>
      <c r="M7" s="3">
        <v>998457.1569061433</v>
      </c>
      <c r="N7" s="15">
        <v>6.5882149816969973</v>
      </c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</row>
    <row r="8" spans="1:51" s="5" customFormat="1" ht="16.5" customHeight="1">
      <c r="A8" s="13" t="s">
        <v>16</v>
      </c>
      <c r="B8" s="68">
        <v>41710</v>
      </c>
      <c r="C8" s="67">
        <v>40807</v>
      </c>
      <c r="D8" s="15">
        <v>97.835051546391753</v>
      </c>
      <c r="E8" s="15">
        <v>81.007215183003439</v>
      </c>
      <c r="F8" s="3">
        <v>925585.20039239002</v>
      </c>
      <c r="G8" s="15">
        <v>6.4</v>
      </c>
      <c r="I8" s="14">
        <v>46073</v>
      </c>
      <c r="J8" s="1">
        <v>44680</v>
      </c>
      <c r="K8" s="15">
        <v>96.9765372343889</v>
      </c>
      <c r="L8" s="15">
        <v>81.50317096501783</v>
      </c>
      <c r="M8" s="3">
        <v>1019637.270040759</v>
      </c>
      <c r="N8" s="15">
        <v>6.0482804911572279</v>
      </c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</row>
    <row r="9" spans="1:51" s="5" customFormat="1" ht="16.5" customHeight="1">
      <c r="A9" s="13" t="s">
        <v>17</v>
      </c>
      <c r="B9" s="68">
        <v>42050</v>
      </c>
      <c r="C9" s="67">
        <v>41137</v>
      </c>
      <c r="D9" s="15">
        <v>97.828775267538646</v>
      </c>
      <c r="E9" s="15">
        <v>68.514512946898378</v>
      </c>
      <c r="F9" s="3">
        <v>873729.2709199331</v>
      </c>
      <c r="G9" s="15">
        <v>6.5</v>
      </c>
      <c r="I9" s="14">
        <v>47107</v>
      </c>
      <c r="J9" s="1">
        <v>45216</v>
      </c>
      <c r="K9" s="15">
        <v>95.985734604198953</v>
      </c>
      <c r="L9" s="15">
        <v>71.825153534406965</v>
      </c>
      <c r="M9" s="3">
        <v>1006770.3040856412</v>
      </c>
      <c r="N9" s="15">
        <v>6.1824598176503818</v>
      </c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</row>
    <row r="10" spans="1:51" s="5" customFormat="1" ht="16.5" customHeight="1">
      <c r="A10" s="13" t="s">
        <v>18</v>
      </c>
      <c r="B10" s="68">
        <v>42688</v>
      </c>
      <c r="C10" s="67">
        <v>41835</v>
      </c>
      <c r="D10" s="15">
        <v>98.001780359820089</v>
      </c>
      <c r="E10" s="15">
        <v>63.490693198364376</v>
      </c>
      <c r="F10" s="3">
        <v>796839.94498607225</v>
      </c>
      <c r="G10" s="15">
        <v>6.7</v>
      </c>
      <c r="I10" s="14">
        <v>47351</v>
      </c>
      <c r="J10" s="1">
        <v>45936</v>
      </c>
      <c r="K10" s="15">
        <v>97.011678739625353</v>
      </c>
      <c r="L10" s="15">
        <v>71.241824459961464</v>
      </c>
      <c r="M10" s="3">
        <v>981769.33451783704</v>
      </c>
      <c r="N10" s="15">
        <v>6.0189152035866762</v>
      </c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</row>
    <row r="11" spans="1:51" s="5" customFormat="1" ht="16.5" customHeight="1">
      <c r="A11" s="13" t="s">
        <v>19</v>
      </c>
      <c r="B11" s="68">
        <v>42736</v>
      </c>
      <c r="C11" s="67">
        <v>41513</v>
      </c>
      <c r="D11" s="15">
        <v>97.138244103332084</v>
      </c>
      <c r="E11" s="15">
        <v>49.851767064579128</v>
      </c>
      <c r="F11" s="3">
        <v>641543.88590708072</v>
      </c>
      <c r="G11" s="15">
        <v>6.9</v>
      </c>
      <c r="I11" s="14">
        <v>48603</v>
      </c>
      <c r="J11" s="1">
        <v>47196</v>
      </c>
      <c r="K11" s="15">
        <v>97.105116968088396</v>
      </c>
      <c r="L11" s="15">
        <v>49.0741341808275</v>
      </c>
      <c r="M11" s="3">
        <v>717991.87940748374</v>
      </c>
      <c r="N11" s="15">
        <v>6.9693063559966193</v>
      </c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</row>
    <row r="12" spans="1:51" s="5" customFormat="1" ht="16.5" customHeight="1">
      <c r="A12" s="13" t="s">
        <v>20</v>
      </c>
      <c r="B12" s="68">
        <v>42822</v>
      </c>
      <c r="C12" s="67">
        <v>41503</v>
      </c>
      <c r="D12" s="15">
        <v>96.919807575545278</v>
      </c>
      <c r="E12" s="15">
        <v>43.735770771124997</v>
      </c>
      <c r="F12" s="3">
        <v>544549.70829420025</v>
      </c>
      <c r="G12" s="15">
        <v>5.8</v>
      </c>
      <c r="I12" s="14">
        <v>48873</v>
      </c>
      <c r="J12" s="1">
        <v>47477</v>
      </c>
      <c r="K12" s="15">
        <v>97.14361713011273</v>
      </c>
      <c r="L12" s="15">
        <v>50.172152146406425</v>
      </c>
      <c r="M12" s="3">
        <v>714606.98023648141</v>
      </c>
      <c r="N12" s="15">
        <v>6.2974838531525128</v>
      </c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</row>
    <row r="13" spans="1:51" s="5" customFormat="1" ht="16.5" customHeight="1">
      <c r="A13" s="13" t="s">
        <v>21</v>
      </c>
      <c r="B13" s="68">
        <v>42929</v>
      </c>
      <c r="C13" s="67">
        <v>41534</v>
      </c>
      <c r="D13" s="15">
        <v>96.750448414824476</v>
      </c>
      <c r="E13" s="15">
        <v>57.746224180766227</v>
      </c>
      <c r="F13" s="3">
        <v>743513.8192884227</v>
      </c>
      <c r="G13" s="15">
        <v>6.1</v>
      </c>
      <c r="I13" s="14">
        <v>49189</v>
      </c>
      <c r="J13" s="1">
        <v>47174</v>
      </c>
      <c r="K13" s="15">
        <v>95.903555673016328</v>
      </c>
      <c r="L13" s="15">
        <v>53.112086886429424</v>
      </c>
      <c r="M13" s="3">
        <v>776707.97190193064</v>
      </c>
      <c r="N13" s="15">
        <v>5.8777392231348422</v>
      </c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</row>
    <row r="14" spans="1:51" s="5" customFormat="1" ht="16.5" customHeight="1">
      <c r="A14" s="13" t="s">
        <v>22</v>
      </c>
      <c r="B14" s="68">
        <v>43099</v>
      </c>
      <c r="C14" s="67">
        <v>41780</v>
      </c>
      <c r="D14" s="15">
        <v>96.939604167150051</v>
      </c>
      <c r="E14" s="15">
        <v>63.537354919995039</v>
      </c>
      <c r="F14" s="3">
        <v>822923.1134527917</v>
      </c>
      <c r="G14" s="15">
        <v>6.6</v>
      </c>
      <c r="I14" s="14">
        <v>49740</v>
      </c>
      <c r="J14" s="1">
        <v>47102</v>
      </c>
      <c r="K14" s="15">
        <v>94.696421391234423</v>
      </c>
      <c r="L14" s="15">
        <v>62.365862343630354</v>
      </c>
      <c r="M14" s="3">
        <v>910642.62291399995</v>
      </c>
      <c r="N14" s="15">
        <v>6.5354937125120207</v>
      </c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</row>
    <row r="15" spans="1:51" s="5" customFormat="1" ht="16.5" customHeight="1">
      <c r="A15" s="13" t="s">
        <v>23</v>
      </c>
      <c r="B15" s="68">
        <v>43660</v>
      </c>
      <c r="C15" s="67">
        <v>42355</v>
      </c>
      <c r="D15" s="15">
        <v>97.010994044892357</v>
      </c>
      <c r="E15" s="15">
        <v>51.029852615590855</v>
      </c>
      <c r="F15" s="3">
        <v>648410.82226000517</v>
      </c>
      <c r="G15" s="15">
        <v>6</v>
      </c>
      <c r="I15" s="14">
        <v>50802</v>
      </c>
      <c r="J15" s="1">
        <v>49213</v>
      </c>
      <c r="K15" s="15">
        <v>96.872170386992636</v>
      </c>
      <c r="L15" s="15">
        <v>48.011840985714223</v>
      </c>
      <c r="M15" s="3">
        <v>708842.01912898617</v>
      </c>
      <c r="N15" s="15">
        <v>6.0265945053859173</v>
      </c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W15" s="4"/>
      <c r="AX15" s="22" t="s">
        <v>13</v>
      </c>
      <c r="AY15" s="22" t="s">
        <v>27</v>
      </c>
    </row>
    <row r="16" spans="1:51" s="5" customFormat="1" ht="16.5" customHeight="1">
      <c r="A16" s="13" t="s">
        <v>24</v>
      </c>
      <c r="B16" s="68">
        <v>43806</v>
      </c>
      <c r="C16" s="67">
        <v>42501</v>
      </c>
      <c r="D16" s="15">
        <v>97.020956033420077</v>
      </c>
      <c r="E16" s="15">
        <v>62.289752087542908</v>
      </c>
      <c r="F16" s="3">
        <v>820686.79357652483</v>
      </c>
      <c r="G16" s="15">
        <v>6.4</v>
      </c>
      <c r="I16" s="14">
        <v>51039</v>
      </c>
      <c r="J16" s="1">
        <v>49450</v>
      </c>
      <c r="K16" s="15">
        <v>96.886694488528377</v>
      </c>
      <c r="L16" s="15">
        <v>59.780901847185795</v>
      </c>
      <c r="M16" s="3">
        <v>916411.3348664348</v>
      </c>
      <c r="N16" s="15">
        <v>6.4568748581424016</v>
      </c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W16" s="24" t="s">
        <v>28</v>
      </c>
      <c r="AX16" s="14">
        <f t="shared" ref="AX16:AX27" si="0">I7</f>
        <v>45565</v>
      </c>
      <c r="AY16" s="25">
        <f t="shared" ref="AY16:AY27" si="1">J7</f>
        <v>44266</v>
      </c>
    </row>
    <row r="17" spans="1:51" s="5" customFormat="1" ht="16.5" customHeight="1">
      <c r="A17" s="16" t="s">
        <v>25</v>
      </c>
      <c r="B17" s="68">
        <v>44345</v>
      </c>
      <c r="C17" s="67">
        <v>42960</v>
      </c>
      <c r="D17" s="15">
        <v>96.876761754425516</v>
      </c>
      <c r="E17" s="15">
        <v>62.784266551875412</v>
      </c>
      <c r="F17" s="3">
        <v>809163.62732057029</v>
      </c>
      <c r="G17" s="15">
        <v>6.4</v>
      </c>
      <c r="I17" s="14">
        <v>51149</v>
      </c>
      <c r="J17" s="1">
        <v>49658</v>
      </c>
      <c r="K17" s="15">
        <v>97.084986998768301</v>
      </c>
      <c r="L17" s="15">
        <v>59.543682183951717</v>
      </c>
      <c r="M17" s="3">
        <v>887046.05096720241</v>
      </c>
      <c r="N17" s="15">
        <v>6.431551764903114</v>
      </c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W17" s="24" t="s">
        <v>29</v>
      </c>
      <c r="AX17" s="14">
        <f t="shared" si="0"/>
        <v>46073</v>
      </c>
      <c r="AY17" s="25">
        <f t="shared" si="1"/>
        <v>44680</v>
      </c>
    </row>
    <row r="18" spans="1:51" s="5" customFormat="1" ht="16.5" customHeight="1">
      <c r="A18" s="17" t="s">
        <v>26</v>
      </c>
      <c r="B18" s="69">
        <v>45154</v>
      </c>
      <c r="C18" s="70">
        <v>43770</v>
      </c>
      <c r="D18" s="20">
        <v>96.852429781542583</v>
      </c>
      <c r="E18" s="20">
        <v>67.419798632798503</v>
      </c>
      <c r="F18" s="2">
        <v>909650.77808140765</v>
      </c>
      <c r="G18" s="20">
        <v>6</v>
      </c>
      <c r="I18" s="18">
        <v>51362</v>
      </c>
      <c r="J18" s="19">
        <v>49854</v>
      </c>
      <c r="K18" s="20">
        <v>97.067973246228036</v>
      </c>
      <c r="L18" s="20">
        <v>67.868665573773484</v>
      </c>
      <c r="M18" s="2">
        <v>1049504.1896929736</v>
      </c>
      <c r="N18" s="20">
        <v>6.1300122010911764</v>
      </c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W18" s="24" t="s">
        <v>30</v>
      </c>
      <c r="AX18" s="14">
        <f t="shared" si="0"/>
        <v>47107</v>
      </c>
      <c r="AY18" s="25">
        <f t="shared" si="1"/>
        <v>45216</v>
      </c>
    </row>
    <row r="19" spans="1:51" s="73" customFormat="1" ht="19.5" customHeight="1">
      <c r="A19" s="59" t="s">
        <v>43</v>
      </c>
      <c r="B19" s="57"/>
      <c r="C19" s="57"/>
      <c r="D19" s="58"/>
      <c r="E19" s="60"/>
      <c r="F19" s="60"/>
      <c r="G19" s="60"/>
      <c r="H19" s="57"/>
      <c r="I19" s="57"/>
      <c r="J19" s="58"/>
      <c r="K19" s="60"/>
      <c r="L19" s="60"/>
      <c r="M19" s="60"/>
      <c r="N19" s="65" t="s">
        <v>44</v>
      </c>
      <c r="O19" s="75"/>
      <c r="P19" s="76"/>
      <c r="Q19" s="71"/>
      <c r="R19" s="71"/>
      <c r="S19" s="71"/>
      <c r="T19" s="75"/>
      <c r="U19" s="75"/>
      <c r="V19" s="76"/>
      <c r="W19" s="71"/>
      <c r="X19" s="71"/>
      <c r="Y19" s="72"/>
      <c r="Z19" s="75"/>
      <c r="AA19" s="75"/>
      <c r="AB19" s="76"/>
      <c r="AC19" s="71"/>
      <c r="AD19" s="71"/>
      <c r="AE19" s="72"/>
      <c r="AF19" s="71"/>
      <c r="AG19" s="75"/>
      <c r="AH19" s="75"/>
      <c r="AI19" s="76"/>
      <c r="AJ19" s="71"/>
      <c r="AK19" s="71"/>
      <c r="AW19" s="77" t="s">
        <v>31</v>
      </c>
      <c r="AX19" s="74">
        <f t="shared" si="0"/>
        <v>47351</v>
      </c>
      <c r="AY19" s="78">
        <f t="shared" si="1"/>
        <v>45936</v>
      </c>
    </row>
    <row r="20" spans="1:51" s="73" customFormat="1" ht="18.75" customHeight="1">
      <c r="A20" s="61" t="s">
        <v>0</v>
      </c>
      <c r="B20" s="57"/>
      <c r="C20" s="57"/>
      <c r="D20" s="58"/>
      <c r="E20" s="60"/>
      <c r="F20" s="60"/>
      <c r="G20" s="60"/>
      <c r="H20" s="57"/>
      <c r="I20" s="57"/>
      <c r="J20" s="58"/>
      <c r="K20" s="60"/>
      <c r="L20" s="60"/>
      <c r="M20" s="60"/>
      <c r="N20" s="79" t="s">
        <v>45</v>
      </c>
      <c r="O20" s="75"/>
      <c r="P20" s="76"/>
      <c r="Q20" s="71"/>
      <c r="R20" s="71"/>
      <c r="S20" s="71"/>
      <c r="T20" s="75"/>
      <c r="U20" s="75"/>
      <c r="V20" s="76"/>
      <c r="W20" s="71"/>
      <c r="X20" s="71"/>
      <c r="Y20" s="71"/>
      <c r="Z20" s="75"/>
      <c r="AA20" s="75"/>
      <c r="AB20" s="76"/>
      <c r="AC20" s="71"/>
      <c r="AD20" s="71"/>
      <c r="AE20" s="71"/>
      <c r="AF20" s="71"/>
      <c r="AG20" s="75"/>
      <c r="AH20" s="75"/>
      <c r="AI20" s="76"/>
      <c r="AJ20" s="71"/>
      <c r="AK20" s="71"/>
      <c r="AW20" s="77" t="s">
        <v>19</v>
      </c>
      <c r="AX20" s="74">
        <f t="shared" si="0"/>
        <v>48603</v>
      </c>
      <c r="AY20" s="78">
        <f t="shared" si="1"/>
        <v>47196</v>
      </c>
    </row>
    <row r="21" spans="1:51" ht="18.75" customHeight="1">
      <c r="A21" s="66"/>
      <c r="B21" s="57"/>
      <c r="C21" s="57"/>
      <c r="D21" s="64"/>
      <c r="E21" s="64"/>
      <c r="F21" s="64"/>
      <c r="G21" s="64"/>
      <c r="H21" s="64"/>
      <c r="I21" s="57"/>
      <c r="J21" s="57"/>
      <c r="K21" s="64"/>
      <c r="L21" s="64"/>
      <c r="M21" s="64"/>
      <c r="N21" s="64"/>
      <c r="AW21" s="24" t="s">
        <v>32</v>
      </c>
      <c r="AX21" s="14">
        <f t="shared" si="0"/>
        <v>48873</v>
      </c>
      <c r="AY21" s="25">
        <f t="shared" si="1"/>
        <v>47477</v>
      </c>
    </row>
    <row r="22" spans="1:51" ht="18.75" customHeight="1">
      <c r="A22" s="26"/>
      <c r="B22" s="21"/>
      <c r="C22" s="21"/>
      <c r="I22" s="21"/>
      <c r="J22" s="21"/>
      <c r="AW22" s="24" t="s">
        <v>33</v>
      </c>
      <c r="AX22" s="14">
        <f t="shared" si="0"/>
        <v>49189</v>
      </c>
      <c r="AY22" s="25">
        <f t="shared" si="1"/>
        <v>47174</v>
      </c>
    </row>
    <row r="23" spans="1:51" ht="18.75" customHeight="1">
      <c r="A23" s="26"/>
      <c r="B23" s="21"/>
      <c r="C23" s="21"/>
      <c r="I23" s="21"/>
      <c r="J23" s="21"/>
      <c r="AW23" s="24" t="s">
        <v>34</v>
      </c>
      <c r="AX23" s="14">
        <f t="shared" si="0"/>
        <v>49740</v>
      </c>
      <c r="AY23" s="25">
        <f t="shared" si="1"/>
        <v>47102</v>
      </c>
    </row>
    <row r="24" spans="1:51" ht="18.75" customHeight="1">
      <c r="A24" s="26"/>
      <c r="B24" s="21"/>
      <c r="C24" s="21"/>
      <c r="I24" s="21"/>
      <c r="J24" s="21"/>
      <c r="AW24" s="24" t="s">
        <v>35</v>
      </c>
      <c r="AX24" s="14">
        <f t="shared" si="0"/>
        <v>50802</v>
      </c>
      <c r="AY24" s="25">
        <f t="shared" si="1"/>
        <v>49213</v>
      </c>
    </row>
    <row r="25" spans="1:51" ht="18.75" customHeight="1">
      <c r="A25" s="26"/>
      <c r="B25" s="21"/>
      <c r="C25" s="21"/>
      <c r="I25" s="21"/>
      <c r="J25" s="21"/>
      <c r="AJ25" s="27">
        <v>41640</v>
      </c>
      <c r="AK25" s="28" t="e">
        <f>#REF!</f>
        <v>#REF!</v>
      </c>
      <c r="AW25" s="24" t="s">
        <v>36</v>
      </c>
      <c r="AX25" s="14">
        <f t="shared" si="0"/>
        <v>51039</v>
      </c>
      <c r="AY25" s="25">
        <f t="shared" si="1"/>
        <v>49450</v>
      </c>
    </row>
    <row r="26" spans="1:51" ht="18.75" customHeight="1">
      <c r="A26" s="26"/>
      <c r="B26" s="21"/>
      <c r="C26" s="21"/>
      <c r="I26" s="21"/>
      <c r="J26" s="21"/>
      <c r="AJ26" s="29" t="s">
        <v>16</v>
      </c>
      <c r="AK26" s="28" t="e">
        <f>#REF!</f>
        <v>#REF!</v>
      </c>
      <c r="AW26" s="24" t="s">
        <v>37</v>
      </c>
      <c r="AX26" s="14">
        <f t="shared" si="0"/>
        <v>51149</v>
      </c>
      <c r="AY26" s="25">
        <f t="shared" si="1"/>
        <v>49658</v>
      </c>
    </row>
    <row r="27" spans="1:51" ht="18.75" customHeight="1">
      <c r="A27" s="26"/>
      <c r="B27" s="21"/>
      <c r="C27" s="21"/>
      <c r="I27" s="21"/>
      <c r="J27" s="21"/>
      <c r="AJ27" s="29" t="s">
        <v>17</v>
      </c>
      <c r="AK27" s="28" t="e">
        <f>#REF!</f>
        <v>#REF!</v>
      </c>
      <c r="AW27" s="24" t="s">
        <v>38</v>
      </c>
      <c r="AX27" s="14">
        <f t="shared" si="0"/>
        <v>51362</v>
      </c>
      <c r="AY27" s="25">
        <f t="shared" si="1"/>
        <v>49854</v>
      </c>
    </row>
    <row r="28" spans="1:51" ht="18.75" customHeight="1">
      <c r="A28" s="26"/>
      <c r="B28" s="21"/>
      <c r="C28" s="21"/>
      <c r="I28" s="21"/>
      <c r="J28" s="21"/>
      <c r="AJ28" s="29" t="s">
        <v>18</v>
      </c>
      <c r="AK28" s="28" t="e">
        <f>#REF!</f>
        <v>#REF!</v>
      </c>
      <c r="AW28" s="5"/>
      <c r="AX28" s="5"/>
      <c r="AY28" s="5"/>
    </row>
    <row r="29" spans="1:51" ht="18.75" customHeight="1">
      <c r="A29" s="26"/>
      <c r="B29" s="21"/>
      <c r="C29" s="21"/>
      <c r="I29" s="21"/>
      <c r="J29" s="21"/>
      <c r="AJ29" s="29" t="s">
        <v>19</v>
      </c>
      <c r="AK29" s="28" t="e">
        <f>#REF!</f>
        <v>#REF!</v>
      </c>
    </row>
    <row r="30" spans="1:51" ht="18.75" customHeight="1">
      <c r="A30" s="26"/>
      <c r="B30" s="21"/>
      <c r="C30" s="21"/>
      <c r="D30" s="23"/>
      <c r="I30" s="21"/>
      <c r="J30" s="21"/>
      <c r="K30" s="23"/>
      <c r="AJ30" s="29" t="s">
        <v>20</v>
      </c>
      <c r="AK30" s="28" t="e">
        <f>#REF!</f>
        <v>#REF!</v>
      </c>
    </row>
    <row r="31" spans="1:51" ht="18.75" customHeight="1">
      <c r="A31" s="26"/>
      <c r="B31" s="30"/>
      <c r="C31" s="30"/>
      <c r="D31" s="31"/>
      <c r="I31" s="30"/>
      <c r="J31" s="30"/>
      <c r="K31" s="31"/>
      <c r="AJ31" s="29" t="s">
        <v>21</v>
      </c>
      <c r="AK31" s="28" t="e">
        <f>#REF!</f>
        <v>#REF!</v>
      </c>
    </row>
    <row r="32" spans="1:51" ht="9.75" customHeight="1">
      <c r="A32" s="26"/>
      <c r="B32" s="32"/>
      <c r="C32" s="32"/>
      <c r="D32" s="32"/>
      <c r="E32" s="33"/>
      <c r="I32" s="32"/>
      <c r="J32" s="32"/>
      <c r="K32" s="32"/>
      <c r="L32" s="33"/>
      <c r="AJ32" s="29" t="s">
        <v>22</v>
      </c>
      <c r="AK32" s="28" t="e">
        <f>#REF!</f>
        <v>#REF!</v>
      </c>
    </row>
    <row r="33" spans="1:37" ht="18.75" customHeight="1">
      <c r="A33" s="26"/>
      <c r="B33" s="34"/>
      <c r="C33" s="34"/>
      <c r="D33" s="34"/>
      <c r="E33" s="33"/>
      <c r="I33" s="34"/>
      <c r="J33" s="34"/>
      <c r="K33" s="34"/>
      <c r="L33" s="33"/>
      <c r="AJ33" s="29" t="s">
        <v>23</v>
      </c>
      <c r="AK33" s="28" t="e">
        <f>#REF!</f>
        <v>#REF!</v>
      </c>
    </row>
    <row r="34" spans="1:37" ht="18.75" customHeight="1">
      <c r="A34" s="26"/>
      <c r="B34" s="34"/>
      <c r="C34" s="34"/>
      <c r="D34" s="34"/>
      <c r="E34" s="33"/>
      <c r="F34" s="33"/>
      <c r="G34" s="33"/>
      <c r="I34" s="34"/>
      <c r="J34" s="34"/>
      <c r="K34" s="34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J34" s="29" t="s">
        <v>24</v>
      </c>
      <c r="AK34" s="28" t="e">
        <f>#REF!</f>
        <v>#REF!</v>
      </c>
    </row>
    <row r="35" spans="1:37">
      <c r="B35" s="34"/>
      <c r="C35" s="34"/>
      <c r="D35" s="34"/>
      <c r="E35" s="33"/>
      <c r="F35" s="35"/>
      <c r="G35" s="35"/>
      <c r="I35" s="34"/>
      <c r="J35" s="34"/>
      <c r="K35" s="34"/>
      <c r="L35" s="33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J35" s="36" t="s">
        <v>25</v>
      </c>
      <c r="AK35" s="28" t="e">
        <f>#REF!</f>
        <v>#REF!</v>
      </c>
    </row>
    <row r="36" spans="1:37">
      <c r="B36" s="34"/>
      <c r="C36" s="34"/>
      <c r="D36" s="34"/>
      <c r="E36" s="24"/>
      <c r="F36" s="33"/>
      <c r="G36" s="33"/>
      <c r="I36" s="34"/>
      <c r="J36" s="34"/>
      <c r="K36" s="34"/>
      <c r="L36" s="24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J36" s="37" t="s">
        <v>26</v>
      </c>
      <c r="AK36" s="28" t="e">
        <f>#REF!</f>
        <v>#REF!</v>
      </c>
    </row>
    <row r="37" spans="1:37">
      <c r="B37" s="34"/>
      <c r="C37" s="34"/>
      <c r="D37" s="34"/>
      <c r="E37" s="24"/>
      <c r="I37" s="34"/>
      <c r="J37" s="34"/>
      <c r="K37" s="34"/>
      <c r="L37" s="24"/>
      <c r="AJ37" s="27">
        <v>42005</v>
      </c>
      <c r="AK37" s="38">
        <v>6.4986144447992746</v>
      </c>
    </row>
    <row r="38" spans="1:37">
      <c r="B38" s="34"/>
      <c r="C38" s="34"/>
      <c r="D38" s="34"/>
      <c r="E38" s="24"/>
      <c r="I38" s="34"/>
      <c r="J38" s="34"/>
      <c r="K38" s="34"/>
      <c r="L38" s="24"/>
      <c r="AJ38" s="29" t="s">
        <v>16</v>
      </c>
      <c r="AK38" s="38">
        <v>5.6647325430819802</v>
      </c>
    </row>
    <row r="39" spans="1:37">
      <c r="B39" s="34"/>
      <c r="C39" s="34"/>
      <c r="D39" s="34"/>
      <c r="E39" s="24"/>
      <c r="I39" s="34"/>
      <c r="J39" s="34"/>
      <c r="K39" s="34"/>
      <c r="L39" s="24"/>
      <c r="AJ39" s="29" t="s">
        <v>17</v>
      </c>
      <c r="AK39" s="38">
        <v>5.8371209762779399</v>
      </c>
    </row>
    <row r="40" spans="1:37">
      <c r="B40" s="34"/>
      <c r="C40" s="34"/>
      <c r="D40" s="34"/>
      <c r="E40" s="24"/>
      <c r="I40" s="34"/>
      <c r="J40" s="34"/>
      <c r="K40" s="34"/>
      <c r="L40" s="24"/>
      <c r="AJ40" s="29" t="s">
        <v>18</v>
      </c>
      <c r="AK40" s="38">
        <v>5.8961776960544592</v>
      </c>
    </row>
    <row r="41" spans="1:37">
      <c r="B41" s="34"/>
      <c r="C41" s="34"/>
      <c r="D41" s="34"/>
      <c r="E41" s="24"/>
      <c r="I41" s="34"/>
      <c r="J41" s="34"/>
      <c r="K41" s="34"/>
      <c r="L41" s="24"/>
      <c r="AJ41" s="29" t="s">
        <v>19</v>
      </c>
      <c r="AK41" s="38">
        <v>5.8370252335174913</v>
      </c>
    </row>
    <row r="42" spans="1:37">
      <c r="B42" s="34"/>
      <c r="C42" s="34"/>
      <c r="D42" s="34"/>
      <c r="E42" s="24"/>
      <c r="I42" s="34"/>
      <c r="J42" s="34"/>
      <c r="K42" s="34"/>
      <c r="L42" s="24"/>
      <c r="AJ42" s="29" t="s">
        <v>20</v>
      </c>
      <c r="AK42" s="38">
        <v>5.3335091895075211</v>
      </c>
    </row>
    <row r="43" spans="1:37">
      <c r="B43" s="34"/>
      <c r="C43" s="34"/>
      <c r="D43" s="34"/>
      <c r="E43" s="24"/>
      <c r="I43" s="34"/>
      <c r="J43" s="34"/>
      <c r="K43" s="34"/>
      <c r="L43" s="24"/>
      <c r="AJ43" s="29" t="s">
        <v>21</v>
      </c>
      <c r="AK43" s="38">
        <v>5.2416292086454837</v>
      </c>
    </row>
    <row r="44" spans="1:37">
      <c r="B44" s="34"/>
      <c r="C44" s="34"/>
      <c r="D44" s="34"/>
      <c r="E44" s="24"/>
      <c r="I44" s="34"/>
      <c r="J44" s="34"/>
      <c r="K44" s="34"/>
      <c r="L44" s="24"/>
      <c r="AJ44" s="29" t="s">
        <v>22</v>
      </c>
      <c r="AK44" s="38">
        <v>5.5166509296920392</v>
      </c>
    </row>
    <row r="45" spans="1:37">
      <c r="B45" s="33"/>
      <c r="C45" s="33"/>
      <c r="D45" s="33"/>
      <c r="E45" s="24"/>
      <c r="I45" s="33"/>
      <c r="J45" s="33"/>
      <c r="K45" s="33"/>
      <c r="L45" s="24"/>
      <c r="AJ45" s="29" t="s">
        <v>23</v>
      </c>
      <c r="AK45" s="38">
        <v>5.4870643171990663</v>
      </c>
    </row>
    <row r="46" spans="1:37">
      <c r="B46" s="33"/>
      <c r="C46" s="33"/>
      <c r="D46" s="33"/>
      <c r="E46" s="24"/>
      <c r="I46" s="33"/>
      <c r="J46" s="33"/>
      <c r="K46" s="33"/>
      <c r="L46" s="24"/>
      <c r="AJ46" s="29" t="s">
        <v>24</v>
      </c>
      <c r="AK46" s="38">
        <v>5.783171244952511</v>
      </c>
    </row>
    <row r="47" spans="1:37">
      <c r="E47" s="24"/>
      <c r="L47" s="24"/>
      <c r="AJ47" s="36" t="s">
        <v>25</v>
      </c>
      <c r="AK47" s="38">
        <v>5.9014498215433724</v>
      </c>
    </row>
    <row r="48" spans="1:37">
      <c r="AJ48" s="37" t="s">
        <v>26</v>
      </c>
      <c r="AK48" s="38">
        <v>4.9508699844870234</v>
      </c>
    </row>
    <row r="49" spans="2:37">
      <c r="AJ49" s="27">
        <v>42370</v>
      </c>
      <c r="AK49" s="38" t="e">
        <f>#REF!</f>
        <v>#REF!</v>
      </c>
    </row>
    <row r="50" spans="2:37">
      <c r="AJ50" s="24" t="s">
        <v>29</v>
      </c>
      <c r="AK50" s="38" t="e">
        <f>#REF!</f>
        <v>#REF!</v>
      </c>
    </row>
    <row r="51" spans="2:37">
      <c r="AJ51" s="24" t="s">
        <v>30</v>
      </c>
      <c r="AK51" s="38" t="e">
        <f>#REF!</f>
        <v>#REF!</v>
      </c>
    </row>
    <row r="52" spans="2:37">
      <c r="AJ52" s="24" t="s">
        <v>31</v>
      </c>
      <c r="AK52" s="38" t="e">
        <f>#REF!</f>
        <v>#REF!</v>
      </c>
    </row>
    <row r="53" spans="2:37">
      <c r="AJ53" s="24" t="s">
        <v>19</v>
      </c>
      <c r="AK53" s="38" t="e">
        <f>#REF!</f>
        <v>#REF!</v>
      </c>
    </row>
    <row r="54" spans="2:37">
      <c r="AJ54" s="24" t="s">
        <v>32</v>
      </c>
      <c r="AK54" s="38" t="e">
        <f>#REF!</f>
        <v>#REF!</v>
      </c>
    </row>
    <row r="55" spans="2:37">
      <c r="AJ55" s="24" t="s">
        <v>33</v>
      </c>
      <c r="AK55" s="38" t="e">
        <f>#REF!</f>
        <v>#REF!</v>
      </c>
    </row>
    <row r="56" spans="2:37">
      <c r="AJ56" s="24" t="s">
        <v>34</v>
      </c>
      <c r="AK56" s="38" t="e">
        <f>#REF!</f>
        <v>#REF!</v>
      </c>
    </row>
    <row r="57" spans="2:37">
      <c r="AJ57" s="24" t="s">
        <v>35</v>
      </c>
      <c r="AK57" s="38" t="e">
        <f>#REF!</f>
        <v>#REF!</v>
      </c>
    </row>
    <row r="58" spans="2:37">
      <c r="B58" s="33"/>
      <c r="I58" s="33"/>
      <c r="AJ58" s="24" t="s">
        <v>36</v>
      </c>
      <c r="AK58" s="38" t="e">
        <f>#REF!</f>
        <v>#REF!</v>
      </c>
    </row>
    <row r="59" spans="2:37">
      <c r="B59" s="33"/>
      <c r="I59" s="33"/>
      <c r="AJ59" s="24" t="s">
        <v>37</v>
      </c>
      <c r="AK59" s="38" t="e">
        <f>#REF!</f>
        <v>#REF!</v>
      </c>
    </row>
    <row r="60" spans="2:37">
      <c r="B60" s="33"/>
      <c r="I60" s="33"/>
      <c r="AJ60" s="24" t="s">
        <v>38</v>
      </c>
      <c r="AK60" s="38" t="e">
        <f>#REF!</f>
        <v>#REF!</v>
      </c>
    </row>
    <row r="61" spans="2:37">
      <c r="B61" s="33"/>
      <c r="I61" s="33"/>
      <c r="AJ61" s="27">
        <v>42736</v>
      </c>
      <c r="AK61" s="40" t="e">
        <f>#REF!</f>
        <v>#REF!</v>
      </c>
    </row>
    <row r="62" spans="2:37">
      <c r="B62" s="33"/>
      <c r="I62" s="33"/>
      <c r="AJ62" s="24" t="s">
        <v>29</v>
      </c>
      <c r="AK62" s="40" t="e">
        <f>#REF!</f>
        <v>#REF!</v>
      </c>
    </row>
    <row r="63" spans="2:37">
      <c r="B63" s="33"/>
      <c r="I63" s="33"/>
      <c r="AJ63" s="24" t="s">
        <v>30</v>
      </c>
      <c r="AK63" s="40" t="e">
        <f>#REF!</f>
        <v>#REF!</v>
      </c>
    </row>
    <row r="64" spans="2:37">
      <c r="B64" s="33"/>
      <c r="I64" s="33"/>
      <c r="AJ64" s="24" t="s">
        <v>31</v>
      </c>
      <c r="AK64" s="40" t="e">
        <f>#REF!</f>
        <v>#REF!</v>
      </c>
    </row>
    <row r="65" spans="2:37">
      <c r="B65" s="33"/>
      <c r="I65" s="33"/>
      <c r="AJ65" s="24" t="s">
        <v>19</v>
      </c>
      <c r="AK65" s="40" t="e">
        <f>#REF!</f>
        <v>#REF!</v>
      </c>
    </row>
    <row r="66" spans="2:37">
      <c r="B66" s="33"/>
      <c r="I66" s="33"/>
      <c r="AJ66" s="24" t="s">
        <v>32</v>
      </c>
      <c r="AK66" s="40" t="e">
        <f>#REF!</f>
        <v>#REF!</v>
      </c>
    </row>
    <row r="67" spans="2:37">
      <c r="B67" s="33"/>
      <c r="I67" s="33"/>
      <c r="AJ67" s="24" t="s">
        <v>33</v>
      </c>
      <c r="AK67" s="40" t="e">
        <f>#REF!</f>
        <v>#REF!</v>
      </c>
    </row>
    <row r="68" spans="2:37">
      <c r="B68" s="33"/>
      <c r="I68" s="33"/>
      <c r="AJ68" s="24" t="s">
        <v>34</v>
      </c>
      <c r="AK68" s="40" t="e">
        <f>#REF!</f>
        <v>#REF!</v>
      </c>
    </row>
    <row r="69" spans="2:37">
      <c r="B69" s="33"/>
      <c r="I69" s="33"/>
      <c r="AJ69" s="24" t="s">
        <v>35</v>
      </c>
      <c r="AK69" s="40" t="e">
        <f>#REF!</f>
        <v>#REF!</v>
      </c>
    </row>
    <row r="70" spans="2:37">
      <c r="B70" s="33"/>
      <c r="I70" s="33"/>
      <c r="AJ70" s="24" t="s">
        <v>36</v>
      </c>
      <c r="AK70" s="40" t="e">
        <f>#REF!</f>
        <v>#REF!</v>
      </c>
    </row>
    <row r="71" spans="2:37">
      <c r="B71" s="33"/>
      <c r="I71" s="33"/>
      <c r="AJ71" s="24" t="s">
        <v>37</v>
      </c>
      <c r="AK71" s="40" t="e">
        <f>#REF!</f>
        <v>#REF!</v>
      </c>
    </row>
    <row r="72" spans="2:37">
      <c r="B72" s="33"/>
      <c r="I72" s="33"/>
      <c r="AJ72" s="24" t="s">
        <v>38</v>
      </c>
      <c r="AK72" s="41" t="e">
        <f>#REF!</f>
        <v>#REF!</v>
      </c>
    </row>
    <row r="73" spans="2:37">
      <c r="B73" s="33"/>
      <c r="I73" s="33"/>
      <c r="AJ73" s="42">
        <v>43101</v>
      </c>
      <c r="AK73" s="40">
        <f>G7</f>
        <v>6.6</v>
      </c>
    </row>
    <row r="74" spans="2:37">
      <c r="B74" s="33"/>
      <c r="I74" s="33"/>
      <c r="AJ74" s="24" t="s">
        <v>29</v>
      </c>
      <c r="AK74" s="40">
        <f t="shared" ref="AK74:AK84" si="2">G8</f>
        <v>6.4</v>
      </c>
    </row>
    <row r="75" spans="2:37">
      <c r="B75" s="33"/>
      <c r="I75" s="33"/>
      <c r="AJ75" s="24" t="s">
        <v>30</v>
      </c>
      <c r="AK75" s="40">
        <f t="shared" si="2"/>
        <v>6.5</v>
      </c>
    </row>
    <row r="76" spans="2:37">
      <c r="B76" s="33"/>
      <c r="I76" s="33"/>
      <c r="AJ76" s="24" t="s">
        <v>31</v>
      </c>
      <c r="AK76" s="40">
        <f t="shared" si="2"/>
        <v>6.7</v>
      </c>
    </row>
    <row r="77" spans="2:37">
      <c r="B77" s="33"/>
      <c r="I77" s="33"/>
      <c r="AJ77" s="24" t="s">
        <v>19</v>
      </c>
      <c r="AK77" s="40">
        <f t="shared" si="2"/>
        <v>6.9</v>
      </c>
    </row>
    <row r="78" spans="2:37">
      <c r="B78" s="33"/>
      <c r="I78" s="33"/>
      <c r="AJ78" s="24" t="s">
        <v>32</v>
      </c>
      <c r="AK78" s="40">
        <f t="shared" si="2"/>
        <v>5.8</v>
      </c>
    </row>
    <row r="79" spans="2:37">
      <c r="B79" s="33"/>
      <c r="I79" s="33"/>
      <c r="AJ79" s="24" t="s">
        <v>33</v>
      </c>
      <c r="AK79" s="40">
        <f t="shared" si="2"/>
        <v>6.1</v>
      </c>
    </row>
    <row r="80" spans="2:37">
      <c r="B80" s="33"/>
      <c r="I80" s="33"/>
      <c r="AJ80" s="24" t="s">
        <v>34</v>
      </c>
      <c r="AK80" s="40">
        <f t="shared" si="2"/>
        <v>6.6</v>
      </c>
    </row>
    <row r="81" spans="2:37">
      <c r="B81" s="33"/>
      <c r="I81" s="33"/>
      <c r="AJ81" s="24" t="s">
        <v>35</v>
      </c>
      <c r="AK81" s="40">
        <f t="shared" si="2"/>
        <v>6</v>
      </c>
    </row>
    <row r="82" spans="2:37">
      <c r="AJ82" s="24" t="s">
        <v>36</v>
      </c>
      <c r="AK82" s="40">
        <f t="shared" si="2"/>
        <v>6.4</v>
      </c>
    </row>
    <row r="83" spans="2:37">
      <c r="AJ83" s="24" t="s">
        <v>37</v>
      </c>
      <c r="AK83" s="40">
        <f t="shared" si="2"/>
        <v>6.4</v>
      </c>
    </row>
    <row r="84" spans="2:37">
      <c r="AJ84" s="24" t="s">
        <v>38</v>
      </c>
      <c r="AK84" s="40">
        <f t="shared" si="2"/>
        <v>6</v>
      </c>
    </row>
    <row r="85" spans="2:37">
      <c r="AJ85" s="42">
        <v>43466</v>
      </c>
      <c r="AK85" s="40">
        <f>N7</f>
        <v>6.5882149816969973</v>
      </c>
    </row>
    <row r="86" spans="2:37">
      <c r="AJ86" s="24" t="s">
        <v>29</v>
      </c>
      <c r="AK86" s="40">
        <f>N8</f>
        <v>6.0482804911572279</v>
      </c>
    </row>
    <row r="87" spans="2:37">
      <c r="AJ87" s="24" t="s">
        <v>30</v>
      </c>
      <c r="AK87" s="40">
        <f t="shared" ref="AK87:AK96" si="3">N9</f>
        <v>6.1824598176503818</v>
      </c>
    </row>
    <row r="88" spans="2:37">
      <c r="AJ88" s="24" t="s">
        <v>31</v>
      </c>
      <c r="AK88" s="40">
        <f t="shared" si="3"/>
        <v>6.0189152035866762</v>
      </c>
    </row>
    <row r="89" spans="2:37">
      <c r="AJ89" s="24" t="s">
        <v>19</v>
      </c>
      <c r="AK89" s="40">
        <f t="shared" si="3"/>
        <v>6.9693063559966193</v>
      </c>
    </row>
    <row r="90" spans="2:37">
      <c r="AJ90" s="24" t="s">
        <v>32</v>
      </c>
      <c r="AK90" s="40">
        <f t="shared" si="3"/>
        <v>6.2974838531525128</v>
      </c>
    </row>
    <row r="91" spans="2:37">
      <c r="AJ91" s="24" t="s">
        <v>33</v>
      </c>
      <c r="AK91" s="40">
        <f t="shared" si="3"/>
        <v>5.8777392231348422</v>
      </c>
    </row>
    <row r="92" spans="2:37">
      <c r="AJ92" s="24" t="s">
        <v>34</v>
      </c>
      <c r="AK92" s="40">
        <f t="shared" si="3"/>
        <v>6.5354937125120207</v>
      </c>
    </row>
    <row r="93" spans="2:37">
      <c r="AJ93" s="24" t="s">
        <v>35</v>
      </c>
      <c r="AK93" s="40">
        <f t="shared" si="3"/>
        <v>6.0265945053859173</v>
      </c>
    </row>
    <row r="94" spans="2:37">
      <c r="AJ94" s="24" t="s">
        <v>36</v>
      </c>
      <c r="AK94" s="40">
        <f t="shared" si="3"/>
        <v>6.4568748581424016</v>
      </c>
    </row>
    <row r="95" spans="2:37">
      <c r="AJ95" s="24" t="s">
        <v>37</v>
      </c>
      <c r="AK95" s="40">
        <f t="shared" si="3"/>
        <v>6.431551764903114</v>
      </c>
    </row>
    <row r="96" spans="2:37">
      <c r="AJ96" s="24" t="s">
        <v>38</v>
      </c>
      <c r="AK96" s="40">
        <f t="shared" si="3"/>
        <v>6.1300122010911764</v>
      </c>
    </row>
  </sheetData>
  <mergeCells count="6">
    <mergeCell ref="A2:N2"/>
    <mergeCell ref="A1:N1"/>
    <mergeCell ref="AF4:AK4"/>
    <mergeCell ref="A3:A5"/>
    <mergeCell ref="B3:G3"/>
    <mergeCell ref="I3:N3"/>
  </mergeCells>
  <pageMargins left="0.7" right="0.7" top="0.75" bottom="0.75" header="0.3" footer="0.3"/>
  <pageSetup paperSize="9" scale="56" orientation="landscape" horizontalDpi="4294967295" verticalDpi="4294967295" r:id="rId1"/>
  <rowBreaks count="1" manualBreakCount="1">
    <brk id="51" max="1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10.3</vt:lpstr>
      <vt:lpstr>'10.3'!Print_Area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2020-09-26T06:31:13Z</cp:lastPrinted>
  <dcterms:created xsi:type="dcterms:W3CDTF">2019-02-27T06:18:18Z</dcterms:created>
  <dcterms:modified xsi:type="dcterms:W3CDTF">2020-09-26T06:31:20Z</dcterms:modified>
</cp:coreProperties>
</file>