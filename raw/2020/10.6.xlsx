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6" sheetId="6" r:id="rId1"/>
  </sheets>
  <externalReferences>
    <externalReference r:id="rId2"/>
  </externalReferences>
  <definedNames>
    <definedName name="_xlnm.Print_Area" localSheetId="0">'10.6'!$A$1:$K$48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2" i="6" l="1"/>
  <c r="AA22" i="6"/>
  <c r="Z23" i="6"/>
  <c r="AA23" i="6"/>
  <c r="Z24" i="6"/>
  <c r="AA24" i="6"/>
  <c r="Z25" i="6"/>
  <c r="AA25" i="6"/>
  <c r="Z26" i="6"/>
  <c r="AA26" i="6"/>
  <c r="Z27" i="6"/>
  <c r="AA27" i="6"/>
  <c r="Z28" i="6"/>
  <c r="AA28" i="6"/>
  <c r="Z29" i="6"/>
  <c r="AA29" i="6"/>
  <c r="Z30" i="6"/>
  <c r="AA30" i="6"/>
  <c r="Z31" i="6"/>
  <c r="AA31" i="6"/>
  <c r="Z32" i="6"/>
  <c r="AA32" i="6"/>
  <c r="AA21" i="6"/>
  <c r="Z21" i="6"/>
  <c r="I7" i="6"/>
  <c r="K7" i="6"/>
  <c r="J7" i="6"/>
  <c r="H7" i="6"/>
  <c r="G7" i="6"/>
  <c r="D19" i="6" l="1"/>
  <c r="D18" i="6"/>
  <c r="D17" i="6"/>
  <c r="D16" i="6"/>
  <c r="D15" i="6"/>
  <c r="D14" i="6"/>
  <c r="D13" i="6"/>
  <c r="D12" i="6"/>
  <c r="D11" i="6"/>
  <c r="D10" i="6"/>
  <c r="D9" i="6"/>
  <c r="D8" i="6"/>
  <c r="D7" i="6" s="1"/>
  <c r="F7" i="6"/>
  <c r="E7" i="6"/>
  <c r="C7" i="6"/>
  <c r="B7" i="6"/>
</calcChain>
</file>

<file path=xl/sharedStrings.xml><?xml version="1.0" encoding="utf-8"?>
<sst xmlns="http://schemas.openxmlformats.org/spreadsheetml/2006/main" count="52" uniqueCount="40">
  <si>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</si>
  <si>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</si>
  <si>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</si>
  <si>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</si>
  <si>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</si>
  <si>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</si>
  <si>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</si>
  <si>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</si>
  <si>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</si>
  <si>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</si>
  <si>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</si>
  <si>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</si>
  <si>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</si>
  <si>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</si>
  <si>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</si>
  <si>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</si>
  <si>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</si>
  <si>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</si>
  <si>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</si>
  <si>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</si>
  <si>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</si>
  <si>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</si>
  <si>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</si>
  <si>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</si>
  <si>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</si>
  <si>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</si>
  <si>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</si>
  <si>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</si>
  <si>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</si>
  <si>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</si>
  <si>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</si>
  <si>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</si>
  <si>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</si>
  <si>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</si>
  <si>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</si>
  <si>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</si>
  <si>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</si>
  <si>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</si>
  <si>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10.6: BED CAPACITY AND UTILIZATION OF GUEST HOUSES BY MONTH,  2018 - 2019</t>
  </si>
  <si>
    <t>2019 - 2018  ,urwvcnim unuverukcnunEb wgWjegudnea iaWa wgWj egudnea egukwtcsuawhcTcseg uhwmcswmikea : 10.6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</si>
</sst>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ourier"/>
      <family val="3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sz val="9"/>
      <name val="A_Faseyha"/>
    </font>
    <font>
      <b/>
      <sz val="12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8" fillId="0" borderId="0"/>
    <xf numFmtId="0" fontId="2" fillId="0" borderId="0"/>
    <xf numFmtId="43" fontId="2" fillId="0" borderId="0" applyFont="0" applyFill="0" applyBorder="0" applyAlignment="0" applyProtection="0"/>
    <xf numFmtId="171" fontId="19" fillId="0" borderId="0"/>
    <xf numFmtId="1" fontId="20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8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8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3" fontId="7" fillId="2" borderId="1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 applyProtection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right" vertical="center" wrapText="1"/>
    </xf>
    <xf numFmtId="0" fontId="15" fillId="2" borderId="0" xfId="0" applyFont="1" applyFill="1" applyAlignment="1" applyProtection="1">
      <alignment horizontal="left" vertical="center" wrapText="1"/>
    </xf>
    <xf numFmtId="3" fontId="15" fillId="2" borderId="10" xfId="0" applyNumberFormat="1" applyFont="1" applyFill="1" applyBorder="1" applyAlignment="1">
      <alignment horizontal="center"/>
    </xf>
    <xf numFmtId="3" fontId="15" fillId="2" borderId="0" xfId="0" applyNumberFormat="1" applyFont="1" applyFill="1" applyAlignment="1">
      <alignment horizontal="center"/>
    </xf>
    <xf numFmtId="167" fontId="15" fillId="2" borderId="0" xfId="0" applyNumberFormat="1" applyFont="1" applyFill="1" applyAlignment="1">
      <alignment horizontal="center"/>
    </xf>
    <xf numFmtId="3" fontId="15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 applyProtection="1">
      <alignment horizontal="left" vertical="center"/>
    </xf>
    <xf numFmtId="3" fontId="17" fillId="2" borderId="11" xfId="0" applyNumberFormat="1" applyFont="1" applyFill="1" applyBorder="1" applyAlignment="1">
      <alignment horizontal="center"/>
    </xf>
    <xf numFmtId="3" fontId="17" fillId="2" borderId="0" xfId="0" applyNumberFormat="1" applyFont="1" applyFill="1" applyBorder="1" applyAlignment="1">
      <alignment horizontal="center"/>
    </xf>
    <xf numFmtId="164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Border="1" applyAlignment="1">
      <alignment horizontal="right" vertical="center"/>
    </xf>
    <xf numFmtId="0" fontId="17" fillId="2" borderId="0" xfId="0" applyFont="1" applyFill="1" applyBorder="1" applyAlignment="1" applyProtection="1">
      <alignment horizontal="left" vertical="center"/>
    </xf>
    <xf numFmtId="0" fontId="17" fillId="2" borderId="1" xfId="0" applyFont="1" applyFill="1" applyBorder="1" applyAlignment="1" applyProtection="1">
      <alignment horizontal="left" vertical="center"/>
    </xf>
    <xf numFmtId="3" fontId="17" fillId="2" borderId="9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/>
    </xf>
    <xf numFmtId="164" fontId="17" fillId="2" borderId="1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10" fillId="2" borderId="0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22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23" fillId="2" borderId="0" xfId="0" applyFont="1" applyFill="1" applyAlignment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10.10:  Bed capacity and beds in operation in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400" b="1" i="0" baseline="0">
                <a:effectLst/>
              </a:rPr>
              <a:t>, 2019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6009440464504268"/>
          <c:y val="4.4281416042506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'10.6'!$Z$20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/>
          </c:spPr>
          <c:invertIfNegative val="0"/>
          <c:cat>
            <c:strRef>
              <c:f>'10.6'!$Y$21:$Y$32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'10.6'!$Z$21:$Z$32</c:f>
              <c:numCache>
                <c:formatCode>#,##0</c:formatCode>
                <c:ptCount val="12"/>
                <c:pt idx="0">
                  <c:v>8611</c:v>
                </c:pt>
                <c:pt idx="1">
                  <c:v>8895</c:v>
                </c:pt>
                <c:pt idx="2">
                  <c:v>8981</c:v>
                </c:pt>
                <c:pt idx="3">
                  <c:v>9047</c:v>
                </c:pt>
                <c:pt idx="4">
                  <c:v>9073</c:v>
                </c:pt>
                <c:pt idx="5">
                  <c:v>9125</c:v>
                </c:pt>
                <c:pt idx="6">
                  <c:v>9221</c:v>
                </c:pt>
                <c:pt idx="7">
                  <c:v>9313</c:v>
                </c:pt>
                <c:pt idx="8">
                  <c:v>9415</c:v>
                </c:pt>
                <c:pt idx="9">
                  <c:v>9525</c:v>
                </c:pt>
                <c:pt idx="10">
                  <c:v>9563</c:v>
                </c:pt>
                <c:pt idx="11">
                  <c:v>9753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B8-441E-B04C-71F893D65C4D}"/>
            </c:ext>
          </c:extLst>
        </c:ser>
        <c:ser>
          <c:idx val="1"/>
          <c:order val="1"/>
          <c:tx>
            <c:strRef>
              <c:f>'10.6'!$AA$20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CA945E"/>
            </a:solidFill>
            <a:ln>
              <a:noFill/>
            </a:ln>
            <a:effectLst/>
          </c:spPr>
          <c:invertIfNegative val="0"/>
          <c:cat>
            <c:strRef>
              <c:f>'10.6'!$Y$21:$Y$32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'10.6'!$AA$21:$AA$32</c:f>
              <c:numCache>
                <c:formatCode>#,##0</c:formatCode>
                <c:ptCount val="12"/>
                <c:pt idx="0">
                  <c:v>8601</c:v>
                </c:pt>
                <c:pt idx="1">
                  <c:v>8885</c:v>
                </c:pt>
                <c:pt idx="2">
                  <c:v>8971</c:v>
                </c:pt>
                <c:pt idx="3">
                  <c:v>9037</c:v>
                </c:pt>
                <c:pt idx="4">
                  <c:v>9063</c:v>
                </c:pt>
                <c:pt idx="5">
                  <c:v>9115</c:v>
                </c:pt>
                <c:pt idx="6">
                  <c:v>9211</c:v>
                </c:pt>
                <c:pt idx="7">
                  <c:v>9303</c:v>
                </c:pt>
                <c:pt idx="8">
                  <c:v>9405</c:v>
                </c:pt>
                <c:pt idx="9">
                  <c:v>9515</c:v>
                </c:pt>
                <c:pt idx="10">
                  <c:v>9553</c:v>
                </c:pt>
                <c:pt idx="11">
                  <c:v>9743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B8-441E-B04C-71F893D6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19725904"/>
        <c:axId val="419723552"/>
      </c:barChart>
      <c:catAx>
        <c:axId val="41972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723552"/>
        <c:crosses val="autoZero"/>
        <c:auto val="1"/>
        <c:lblAlgn val="ctr"/>
        <c:lblOffset val="100"/>
        <c:noMultiLvlLbl val="0"/>
      </c:catAx>
      <c:valAx>
        <c:axId val="419723552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7259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5902587773345312E-2"/>
          <c:y val="0.16155719864285259"/>
          <c:w val="0.44580324011222733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76201</xdr:rowOff>
    </xdr:from>
    <xdr:to>
      <xdr:col>9</xdr:col>
      <xdr:colOff>171450</xdr:colOff>
      <xdr:row>39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8"/>
  <sheetViews>
    <sheetView tabSelected="1" zoomScale="96" zoomScaleNormal="96" workbookViewId="0">
      <selection activeCell="O10" sqref="O10"/>
    </sheetView>
  </sheetViews>
  <sheetFormatPr defaultColWidth="9.140625" defaultRowHeight="12"/>
  <cols>
    <col min="1" max="1" width="19.28515625" style="3" customWidth="1"/>
    <col min="2" max="11" width="13.140625" style="3" customWidth="1"/>
    <col min="12" max="22" width="18.28515625" style="3" customWidth="1"/>
    <col min="23" max="16384" width="9.140625" style="3"/>
  </cols>
  <sheetData>
    <row r="1" spans="1:29" ht="18.75">
      <c r="A1" s="47" t="s">
        <v>39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29" ht="12.75">
      <c r="A2" s="41" t="s">
        <v>38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9" ht="12.7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9" s="4" customFormat="1" ht="12.75">
      <c r="A4" s="42" t="s">
        <v>2</v>
      </c>
      <c r="B4" s="45">
        <v>2018</v>
      </c>
      <c r="C4" s="46"/>
      <c r="D4" s="46"/>
      <c r="E4" s="46"/>
      <c r="F4" s="46"/>
      <c r="G4" s="45">
        <v>2019</v>
      </c>
      <c r="H4" s="46"/>
      <c r="I4" s="46"/>
      <c r="J4" s="46"/>
      <c r="K4" s="4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9" s="4" customFormat="1" ht="56.25">
      <c r="A5" s="43"/>
      <c r="B5" s="5" t="s">
        <v>3</v>
      </c>
      <c r="C5" s="6" t="s">
        <v>4</v>
      </c>
      <c r="D5" s="6" t="s">
        <v>1</v>
      </c>
      <c r="E5" s="6" t="s">
        <v>5</v>
      </c>
      <c r="F5" s="6" t="s">
        <v>6</v>
      </c>
      <c r="G5" s="5" t="s">
        <v>3</v>
      </c>
      <c r="H5" s="6" t="s">
        <v>4</v>
      </c>
      <c r="I5" s="6" t="s">
        <v>1</v>
      </c>
      <c r="J5" s="6" t="s">
        <v>5</v>
      </c>
      <c r="K5" s="6" t="s">
        <v>6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s="4" customFormat="1" ht="51">
      <c r="A6" s="44"/>
      <c r="B6" s="39" t="s">
        <v>11</v>
      </c>
      <c r="C6" s="38" t="s">
        <v>7</v>
      </c>
      <c r="D6" s="38" t="s">
        <v>8</v>
      </c>
      <c r="E6" s="38" t="s">
        <v>9</v>
      </c>
      <c r="F6" s="19" t="s">
        <v>10</v>
      </c>
      <c r="G6" s="39" t="s">
        <v>11</v>
      </c>
      <c r="H6" s="38" t="s">
        <v>7</v>
      </c>
      <c r="I6" s="38" t="s">
        <v>8</v>
      </c>
      <c r="J6" s="38" t="s">
        <v>9</v>
      </c>
      <c r="K6" s="19" t="s">
        <v>10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9" s="4" customFormat="1" ht="18.75" customHeight="1">
      <c r="A7" s="20" t="s">
        <v>12</v>
      </c>
      <c r="B7" s="21">
        <f>AVERAGE(B8:B19)</f>
        <v>8017.25</v>
      </c>
      <c r="C7" s="22">
        <f>AVERAGE(C8:C19)</f>
        <v>8000</v>
      </c>
      <c r="D7" s="23">
        <f>AVERAGE(D8:D19)</f>
        <v>99.794445335464502</v>
      </c>
      <c r="E7" s="23">
        <f>AVERAGE(E8:E19)</f>
        <v>32.573452691970985</v>
      </c>
      <c r="F7" s="24">
        <f>SUM(F8:F19)</f>
        <v>944521.39614352607</v>
      </c>
      <c r="G7" s="21">
        <f>AVERAGE(G8:G19)</f>
        <v>9210.1666666666661</v>
      </c>
      <c r="H7" s="22">
        <f>AVERAGE(H8:H19)</f>
        <v>9200.1666666666661</v>
      </c>
      <c r="I7" s="23">
        <f>AVERAGE(I8:I19)</f>
        <v>99.891363640789621</v>
      </c>
      <c r="J7" s="23">
        <f>AVERAGE(J8:J19)</f>
        <v>33.86767677413031</v>
      </c>
      <c r="K7" s="24">
        <f>SUM(K8:K19)</f>
        <v>1128597.1511523826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9" s="4" customFormat="1" ht="15.75">
      <c r="A8" s="25" t="s">
        <v>13</v>
      </c>
      <c r="B8" s="26">
        <v>7464</v>
      </c>
      <c r="C8" s="27">
        <v>7464</v>
      </c>
      <c r="D8" s="28">
        <f>C8/B8*100</f>
        <v>100</v>
      </c>
      <c r="E8" s="28">
        <v>44.887239508992295</v>
      </c>
      <c r="F8" s="29">
        <v>103861.89026548673</v>
      </c>
      <c r="G8" s="26">
        <v>8611</v>
      </c>
      <c r="H8" s="27">
        <v>8601</v>
      </c>
      <c r="I8" s="28">
        <v>99.883869469283468</v>
      </c>
      <c r="J8" s="28">
        <v>47.683581926758109</v>
      </c>
      <c r="K8" s="29">
        <v>127139.2113271344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9" s="4" customFormat="1" ht="15.75">
      <c r="A9" s="25" t="s">
        <v>14</v>
      </c>
      <c r="B9" s="26">
        <v>7528</v>
      </c>
      <c r="C9" s="27">
        <v>7528</v>
      </c>
      <c r="D9" s="28">
        <f t="shared" ref="D9:D19" si="0">C9/B9*100</f>
        <v>100</v>
      </c>
      <c r="E9" s="28">
        <v>48.9502999143102</v>
      </c>
      <c r="F9" s="29">
        <v>103179.4001713796</v>
      </c>
      <c r="G9" s="26">
        <v>8895</v>
      </c>
      <c r="H9" s="27">
        <v>8885</v>
      </c>
      <c r="I9" s="28">
        <v>99.887577290612711</v>
      </c>
      <c r="J9" s="28">
        <v>52.778827580414877</v>
      </c>
      <c r="K9" s="29">
        <v>131303.16725455615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spans="1:29" s="4" customFormat="1" ht="15.75">
      <c r="A10" s="25" t="s">
        <v>15</v>
      </c>
      <c r="B10" s="26">
        <v>7750</v>
      </c>
      <c r="C10" s="27">
        <v>7750</v>
      </c>
      <c r="D10" s="28">
        <f t="shared" si="0"/>
        <v>100</v>
      </c>
      <c r="E10" s="28">
        <v>38.764922057022076</v>
      </c>
      <c r="F10" s="29">
        <v>93132.725241995533</v>
      </c>
      <c r="G10" s="26">
        <v>8981</v>
      </c>
      <c r="H10" s="27">
        <v>8971</v>
      </c>
      <c r="I10" s="28">
        <v>99.888653824741127</v>
      </c>
      <c r="J10" s="28">
        <v>44.268487284626417</v>
      </c>
      <c r="K10" s="29">
        <v>123111.10582341891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1:29" s="4" customFormat="1" ht="15.75">
      <c r="A11" s="25" t="s">
        <v>16</v>
      </c>
      <c r="B11" s="26">
        <v>7922</v>
      </c>
      <c r="C11" s="27">
        <v>7922</v>
      </c>
      <c r="D11" s="28">
        <f t="shared" si="0"/>
        <v>100</v>
      </c>
      <c r="E11" s="28">
        <v>30.592478104070072</v>
      </c>
      <c r="F11" s="29">
        <v>72706.083462132927</v>
      </c>
      <c r="G11" s="26">
        <v>9047</v>
      </c>
      <c r="H11" s="27">
        <v>9037</v>
      </c>
      <c r="I11" s="28">
        <v>99.889466121366198</v>
      </c>
      <c r="J11" s="28">
        <v>39.530061477545061</v>
      </c>
      <c r="K11" s="29">
        <v>107169.94967177243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9" s="4" customFormat="1" ht="15.75">
      <c r="A12" s="25" t="s">
        <v>17</v>
      </c>
      <c r="B12" s="26">
        <v>7948</v>
      </c>
      <c r="C12" s="27">
        <v>7948</v>
      </c>
      <c r="D12" s="28">
        <f t="shared" si="0"/>
        <v>100</v>
      </c>
      <c r="E12" s="28">
        <v>22.085715478028625</v>
      </c>
      <c r="F12" s="29">
        <v>54416.552652005172</v>
      </c>
      <c r="G12" s="26">
        <v>9073</v>
      </c>
      <c r="H12" s="27">
        <v>9063</v>
      </c>
      <c r="I12" s="28">
        <v>99.889782872258351</v>
      </c>
      <c r="J12" s="28">
        <v>24.33364691125745</v>
      </c>
      <c r="K12" s="29">
        <v>68366.111006585139</v>
      </c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spans="1:29" s="4" customFormat="1" ht="15.75">
      <c r="A13" s="25" t="s">
        <v>18</v>
      </c>
      <c r="B13" s="26">
        <v>8006</v>
      </c>
      <c r="C13" s="27">
        <v>7998</v>
      </c>
      <c r="D13" s="28">
        <f t="shared" si="0"/>
        <v>99.900074943792163</v>
      </c>
      <c r="E13" s="28">
        <v>22.764136904761905</v>
      </c>
      <c r="F13" s="29">
        <v>54620.270089285717</v>
      </c>
      <c r="G13" s="26">
        <v>9125</v>
      </c>
      <c r="H13" s="27">
        <v>9115</v>
      </c>
      <c r="I13" s="28">
        <v>99.890410958904113</v>
      </c>
      <c r="J13" s="28">
        <v>22.651515151515152</v>
      </c>
      <c r="K13" s="29">
        <v>61940.568181818184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spans="1:29" s="4" customFormat="1" ht="15.75">
      <c r="A14" s="25" t="s">
        <v>19</v>
      </c>
      <c r="B14" s="26">
        <v>8098</v>
      </c>
      <c r="C14" s="27">
        <v>8090</v>
      </c>
      <c r="D14" s="28">
        <f t="shared" si="0"/>
        <v>99.901210175351935</v>
      </c>
      <c r="E14" s="28">
        <v>28.928325125545161</v>
      </c>
      <c r="F14" s="29">
        <v>72549.346582354716</v>
      </c>
      <c r="G14" s="26">
        <v>9221</v>
      </c>
      <c r="H14" s="27">
        <v>9211</v>
      </c>
      <c r="I14" s="28">
        <v>99.891551892419471</v>
      </c>
      <c r="J14" s="28">
        <v>21.885118119678619</v>
      </c>
      <c r="K14" s="29">
        <v>62490.985130111527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1:29" s="4" customFormat="1" ht="15.75">
      <c r="A15" s="25" t="s">
        <v>20</v>
      </c>
      <c r="B15" s="26">
        <v>8134</v>
      </c>
      <c r="C15" s="27">
        <v>8112</v>
      </c>
      <c r="D15" s="28">
        <f t="shared" si="0"/>
        <v>99.72953036636342</v>
      </c>
      <c r="E15" s="28">
        <v>32.908998616516207</v>
      </c>
      <c r="F15" s="29">
        <v>82756.917000925634</v>
      </c>
      <c r="G15" s="26">
        <v>9313</v>
      </c>
      <c r="H15" s="27">
        <v>9303</v>
      </c>
      <c r="I15" s="28">
        <v>99.892623214860947</v>
      </c>
      <c r="J15" s="28">
        <v>32.688539970749744</v>
      </c>
      <c r="K15" s="29">
        <v>94271.461077844317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9" s="4" customFormat="1" ht="15.75">
      <c r="A16" s="25" t="s">
        <v>21</v>
      </c>
      <c r="B16" s="26">
        <v>8208</v>
      </c>
      <c r="C16" s="27">
        <v>8200</v>
      </c>
      <c r="D16" s="28">
        <f t="shared" si="0"/>
        <v>99.902534113060426</v>
      </c>
      <c r="E16" s="28">
        <v>25.1469596222415</v>
      </c>
      <c r="F16" s="29">
        <v>61861.520670714082</v>
      </c>
      <c r="G16" s="26">
        <v>9415</v>
      </c>
      <c r="H16" s="27">
        <v>9405</v>
      </c>
      <c r="I16" s="28">
        <v>99.893786510886883</v>
      </c>
      <c r="J16" s="28">
        <v>23.778213019958962</v>
      </c>
      <c r="K16" s="29">
        <v>67090.228035814216</v>
      </c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27" s="4" customFormat="1" ht="15.75">
      <c r="A17" s="25" t="s">
        <v>22</v>
      </c>
      <c r="B17" s="26">
        <v>8294</v>
      </c>
      <c r="C17" s="27">
        <v>8286</v>
      </c>
      <c r="D17" s="28">
        <f t="shared" si="0"/>
        <v>99.903544731130935</v>
      </c>
      <c r="E17" s="28">
        <v>25.17155880585053</v>
      </c>
      <c r="F17" s="29">
        <v>64657.176242236026</v>
      </c>
      <c r="G17" s="26">
        <v>9525</v>
      </c>
      <c r="H17" s="27">
        <v>9515</v>
      </c>
      <c r="I17" s="28">
        <v>99.895013123359576</v>
      </c>
      <c r="J17" s="28">
        <v>25.389397425228843</v>
      </c>
      <c r="K17" s="29">
        <v>74889.836115326252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7" s="4" customFormat="1" ht="15.75">
      <c r="A18" s="30" t="s">
        <v>23</v>
      </c>
      <c r="B18" s="26">
        <v>8292</v>
      </c>
      <c r="C18" s="27">
        <v>8248</v>
      </c>
      <c r="D18" s="28">
        <f t="shared" si="0"/>
        <v>99.469368065605408</v>
      </c>
      <c r="E18" s="28">
        <v>30.452926208651398</v>
      </c>
      <c r="F18" s="29">
        <v>75352.720610687029</v>
      </c>
      <c r="G18" s="26">
        <v>9563</v>
      </c>
      <c r="H18" s="27">
        <v>9553</v>
      </c>
      <c r="I18" s="28">
        <v>99.895430304297818</v>
      </c>
      <c r="J18" s="28">
        <v>31.740818154673033</v>
      </c>
      <c r="K18" s="29">
        <v>90966.010749477457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1:27" s="4" customFormat="1" ht="15.75">
      <c r="A19" s="31" t="s">
        <v>24</v>
      </c>
      <c r="B19" s="32">
        <v>8563</v>
      </c>
      <c r="C19" s="33">
        <v>8454</v>
      </c>
      <c r="D19" s="34">
        <f t="shared" si="0"/>
        <v>98.727081630269765</v>
      </c>
      <c r="E19" s="34">
        <v>40.22787195766189</v>
      </c>
      <c r="F19" s="35">
        <v>105426.7931543228</v>
      </c>
      <c r="G19" s="32">
        <v>9753</v>
      </c>
      <c r="H19" s="33">
        <v>9743</v>
      </c>
      <c r="I19" s="34">
        <v>99.898198106484784</v>
      </c>
      <c r="J19" s="34">
        <v>39.683914267157391</v>
      </c>
      <c r="K19" s="35">
        <v>119858.5167785235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1:27" ht="20.25" customHeight="1">
      <c r="A20" s="1" t="s">
        <v>0</v>
      </c>
      <c r="B20" s="8"/>
      <c r="C20" s="8"/>
      <c r="D20" s="9"/>
      <c r="F20" s="2"/>
      <c r="G20" s="8"/>
      <c r="H20" s="8"/>
      <c r="I20" s="9"/>
      <c r="K20" s="40" t="s">
        <v>25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Z20" s="10" t="s">
        <v>11</v>
      </c>
      <c r="AA20" s="10" t="s">
        <v>26</v>
      </c>
    </row>
    <row r="21" spans="1:27" ht="12.75">
      <c r="A21" s="11"/>
      <c r="B21" s="15"/>
      <c r="C21" s="18"/>
      <c r="D21" s="18"/>
      <c r="E21" s="18"/>
      <c r="F21" s="18"/>
      <c r="G21" s="15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Y21" s="12" t="s">
        <v>27</v>
      </c>
      <c r="Z21" s="7">
        <f>G8</f>
        <v>8611</v>
      </c>
      <c r="AA21" s="7">
        <f>H8</f>
        <v>8601</v>
      </c>
    </row>
    <row r="22" spans="1:27" ht="12.75">
      <c r="A22" s="13"/>
      <c r="B22" s="15"/>
      <c r="C22" s="18"/>
      <c r="D22" s="18"/>
      <c r="E22" s="18"/>
      <c r="F22" s="18"/>
      <c r="G22" s="15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Y22" s="12" t="s">
        <v>28</v>
      </c>
      <c r="Z22" s="7">
        <f t="shared" ref="Z22:AA22" si="1">G9</f>
        <v>8895</v>
      </c>
      <c r="AA22" s="7">
        <f t="shared" si="1"/>
        <v>8885</v>
      </c>
    </row>
    <row r="23" spans="1:27" ht="12.75">
      <c r="A23" s="13"/>
      <c r="B23" s="15"/>
      <c r="C23" s="18"/>
      <c r="D23" s="18"/>
      <c r="E23" s="18"/>
      <c r="F23" s="18"/>
      <c r="G23" s="15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Y23" s="12" t="s">
        <v>29</v>
      </c>
      <c r="Z23" s="7">
        <f t="shared" ref="Z23:AA23" si="2">G10</f>
        <v>8981</v>
      </c>
      <c r="AA23" s="7">
        <f t="shared" si="2"/>
        <v>8971</v>
      </c>
    </row>
    <row r="24" spans="1:27" ht="12.75">
      <c r="A24" s="13"/>
      <c r="B24" s="15"/>
      <c r="C24" s="18"/>
      <c r="D24" s="18"/>
      <c r="E24" s="18"/>
      <c r="F24" s="18"/>
      <c r="G24" s="15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Y24" s="12" t="s">
        <v>30</v>
      </c>
      <c r="Z24" s="7">
        <f t="shared" ref="Z24:AA24" si="3">G11</f>
        <v>9047</v>
      </c>
      <c r="AA24" s="7">
        <f t="shared" si="3"/>
        <v>9037</v>
      </c>
    </row>
    <row r="25" spans="1:27" ht="12.75">
      <c r="A25" s="13"/>
      <c r="B25" s="15"/>
      <c r="C25" s="18"/>
      <c r="D25" s="18"/>
      <c r="E25" s="18"/>
      <c r="F25" s="18"/>
      <c r="G25" s="15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Y25" s="12" t="s">
        <v>17</v>
      </c>
      <c r="Z25" s="7">
        <f t="shared" ref="Z25:AA25" si="4">G12</f>
        <v>9073</v>
      </c>
      <c r="AA25" s="7">
        <f t="shared" si="4"/>
        <v>9063</v>
      </c>
    </row>
    <row r="26" spans="1:27" ht="12.75">
      <c r="A26" s="13"/>
      <c r="B26" s="15"/>
      <c r="C26" s="18"/>
      <c r="D26" s="18"/>
      <c r="E26" s="18"/>
      <c r="F26" s="18"/>
      <c r="G26" s="15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Y26" s="12" t="s">
        <v>31</v>
      </c>
      <c r="Z26" s="7">
        <f t="shared" ref="Z26:AA26" si="5">G13</f>
        <v>9125</v>
      </c>
      <c r="AA26" s="7">
        <f t="shared" si="5"/>
        <v>9115</v>
      </c>
    </row>
    <row r="27" spans="1:27" ht="12.75">
      <c r="A27" s="13"/>
      <c r="B27" s="17"/>
      <c r="C27" s="16"/>
      <c r="D27" s="16"/>
      <c r="E27" s="16"/>
      <c r="F27" s="16"/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Y27" s="12" t="s">
        <v>32</v>
      </c>
      <c r="Z27" s="7">
        <f t="shared" ref="Z27:AA27" si="6">G14</f>
        <v>9221</v>
      </c>
      <c r="AA27" s="7">
        <f t="shared" si="6"/>
        <v>9211</v>
      </c>
    </row>
    <row r="28" spans="1:27" ht="12.75">
      <c r="A28" s="13"/>
      <c r="B28" s="15"/>
      <c r="C28" s="16"/>
      <c r="D28" s="16"/>
      <c r="E28" s="16"/>
      <c r="F28" s="16"/>
      <c r="G28" s="15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Y28" s="12" t="s">
        <v>33</v>
      </c>
      <c r="Z28" s="7">
        <f t="shared" ref="Z28:AA28" si="7">G15</f>
        <v>9313</v>
      </c>
      <c r="AA28" s="7">
        <f t="shared" si="7"/>
        <v>9303</v>
      </c>
    </row>
    <row r="29" spans="1:27" ht="12.75">
      <c r="A29" s="13"/>
      <c r="B29" s="15"/>
      <c r="C29" s="16"/>
      <c r="D29" s="16"/>
      <c r="E29" s="16"/>
      <c r="F29" s="16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Y29" s="12" t="s">
        <v>34</v>
      </c>
      <c r="Z29" s="7">
        <f t="shared" ref="Z29:AA29" si="8">G16</f>
        <v>9415</v>
      </c>
      <c r="AA29" s="7">
        <f t="shared" si="8"/>
        <v>9405</v>
      </c>
    </row>
    <row r="30" spans="1:27" ht="12.75">
      <c r="A30" s="13"/>
      <c r="B30" s="15"/>
      <c r="C30" s="16"/>
      <c r="D30" s="16"/>
      <c r="E30" s="16"/>
      <c r="F30" s="16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Y30" s="12" t="s">
        <v>35</v>
      </c>
      <c r="Z30" s="7">
        <f t="shared" ref="Z30:AA30" si="9">G17</f>
        <v>9525</v>
      </c>
      <c r="AA30" s="7">
        <f t="shared" si="9"/>
        <v>9515</v>
      </c>
    </row>
    <row r="31" spans="1:27" ht="12.75">
      <c r="A31" s="13"/>
      <c r="B31" s="15"/>
      <c r="C31" s="16"/>
      <c r="D31" s="16"/>
      <c r="E31" s="16"/>
      <c r="F31" s="16"/>
      <c r="G31" s="15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Y31" s="12" t="s">
        <v>36</v>
      </c>
      <c r="Z31" s="7">
        <f t="shared" ref="Z31:AA31" si="10">G18</f>
        <v>9563</v>
      </c>
      <c r="AA31" s="7">
        <f t="shared" si="10"/>
        <v>9553</v>
      </c>
    </row>
    <row r="32" spans="1:27" ht="12.75">
      <c r="A32" s="13"/>
      <c r="B32" s="15"/>
      <c r="C32" s="16"/>
      <c r="D32" s="16"/>
      <c r="E32" s="16"/>
      <c r="F32" s="16"/>
      <c r="G32" s="15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Y32" s="12" t="s">
        <v>37</v>
      </c>
      <c r="Z32" s="7">
        <f t="shared" ref="Z32:AA32" si="11">G19</f>
        <v>9753</v>
      </c>
      <c r="AA32" s="7">
        <f t="shared" si="11"/>
        <v>9743</v>
      </c>
    </row>
    <row r="33" spans="1:27" ht="12.75">
      <c r="A33" s="13"/>
      <c r="B33" s="15"/>
      <c r="C33" s="16"/>
      <c r="D33" s="16"/>
      <c r="E33" s="16"/>
      <c r="F33" s="16"/>
      <c r="G33" s="15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Y33" s="4"/>
      <c r="Z33" s="4"/>
      <c r="AA33" s="4"/>
    </row>
    <row r="34" spans="1:27" ht="12.75">
      <c r="A34" s="13"/>
      <c r="B34" s="15"/>
      <c r="C34" s="16"/>
      <c r="D34" s="16"/>
      <c r="E34" s="16"/>
      <c r="F34" s="16"/>
      <c r="G34" s="15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7" ht="12.75">
      <c r="A35" s="13"/>
      <c r="B35" s="15"/>
      <c r="C35" s="16"/>
      <c r="D35" s="16"/>
      <c r="E35" s="16"/>
      <c r="F35" s="16"/>
      <c r="G35" s="15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7" ht="12.75">
      <c r="B36" s="15"/>
      <c r="C36" s="16"/>
      <c r="D36" s="16"/>
      <c r="E36" s="16"/>
      <c r="F36" s="16"/>
      <c r="G36" s="1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7" ht="12.75">
      <c r="B37" s="15"/>
      <c r="C37" s="16"/>
      <c r="D37" s="16"/>
      <c r="E37" s="16"/>
      <c r="F37" s="16"/>
      <c r="G37" s="15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7" ht="12.75">
      <c r="B38" s="15"/>
      <c r="C38" s="16"/>
      <c r="D38" s="16"/>
      <c r="E38" s="16"/>
      <c r="F38" s="16"/>
      <c r="G38" s="15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</sheetData>
  <mergeCells count="5">
    <mergeCell ref="G4:K4"/>
    <mergeCell ref="A1:K1"/>
    <mergeCell ref="A2:K2"/>
    <mergeCell ref="A4:A6"/>
    <mergeCell ref="B4:F4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2020-09-07T02:47:09Z</cp:lastPrinted>
  <dcterms:created xsi:type="dcterms:W3CDTF">2019-02-27T06:18:18Z</dcterms:created>
  <dcterms:modified xsi:type="dcterms:W3CDTF">2020-09-07T02:47:14Z</dcterms:modified>
</cp:coreProperties>
</file>