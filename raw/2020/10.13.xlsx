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13" sheetId="13" r:id="rId1"/>
  </sheets>
  <definedNames>
    <definedName name="_xlnm.Print_Area" localSheetId="0">'10.13'!$A$1:$O$124</definedName>
    <definedName name="_xlnm.Print_Titles" localSheetId="0">'10.13'!$4:$4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3" i="13" l="1"/>
  <c r="M50" i="13"/>
  <c r="B242" i="13" l="1"/>
  <c r="B241" i="13"/>
  <c r="B240" i="13"/>
  <c r="B239" i="13"/>
  <c r="B238" i="13"/>
  <c r="B237" i="13"/>
  <c r="B236" i="13"/>
  <c r="B235" i="13"/>
  <c r="B234" i="13"/>
  <c r="B233" i="13"/>
  <c r="B232" i="13"/>
  <c r="B231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29" i="13"/>
  <c r="B228" i="13"/>
  <c r="B227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5" i="13"/>
  <c r="B224" i="13"/>
  <c r="B223" i="13"/>
  <c r="B222" i="13"/>
  <c r="B221" i="13"/>
  <c r="B220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8" i="13"/>
  <c r="B217" i="13"/>
  <c r="B216" i="13"/>
  <c r="B215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3" i="13"/>
  <c r="B212" i="13"/>
  <c r="B211" i="13"/>
  <c r="B210" i="13"/>
  <c r="B209" i="13"/>
  <c r="B208" i="13"/>
  <c r="N207" i="13"/>
  <c r="M207" i="13"/>
  <c r="L207" i="13"/>
  <c r="K207" i="13"/>
  <c r="J207" i="13"/>
  <c r="I207" i="13"/>
  <c r="H207" i="13"/>
  <c r="G207" i="13"/>
  <c r="F207" i="13"/>
  <c r="E207" i="13"/>
  <c r="D207" i="13"/>
  <c r="B207" i="13" s="1"/>
  <c r="C207" i="13"/>
  <c r="B206" i="13"/>
  <c r="B205" i="13"/>
  <c r="B204" i="13"/>
  <c r="B203" i="13"/>
  <c r="B202" i="13"/>
  <c r="B201" i="13"/>
  <c r="B200" i="13"/>
  <c r="B199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C191" i="13" s="1"/>
  <c r="B197" i="13"/>
  <c r="B196" i="13"/>
  <c r="B195" i="13"/>
  <c r="B194" i="13"/>
  <c r="B193" i="13"/>
  <c r="N192" i="13"/>
  <c r="M192" i="13"/>
  <c r="L192" i="13"/>
  <c r="K192" i="13"/>
  <c r="J192" i="13"/>
  <c r="I192" i="13"/>
  <c r="H192" i="13"/>
  <c r="G192" i="13"/>
  <c r="F192" i="13"/>
  <c r="E192" i="13"/>
  <c r="E191" i="13" s="1"/>
  <c r="D192" i="13"/>
  <c r="D191" i="13" s="1"/>
  <c r="C192" i="13"/>
  <c r="N191" i="13"/>
  <c r="B190" i="13"/>
  <c r="B189" i="13"/>
  <c r="B188" i="13"/>
  <c r="N187" i="13"/>
  <c r="M187" i="13"/>
  <c r="L187" i="13"/>
  <c r="K187" i="13"/>
  <c r="J187" i="13"/>
  <c r="I187" i="13"/>
  <c r="H187" i="13"/>
  <c r="G187" i="13"/>
  <c r="F187" i="13"/>
  <c r="E187" i="13"/>
  <c r="D187" i="13"/>
  <c r="C187" i="13"/>
  <c r="B186" i="13"/>
  <c r="B185" i="13"/>
  <c r="B184" i="13"/>
  <c r="B183" i="13"/>
  <c r="B182" i="13"/>
  <c r="B181" i="13"/>
  <c r="B180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8" i="13"/>
  <c r="B177" i="13"/>
  <c r="B176" i="13"/>
  <c r="B175" i="13"/>
  <c r="B174" i="13"/>
  <c r="B173" i="13"/>
  <c r="B172" i="13"/>
  <c r="B171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69" i="13"/>
  <c r="B168" i="13"/>
  <c r="B167" i="13"/>
  <c r="B166" i="13"/>
  <c r="B165" i="13"/>
  <c r="B164" i="13"/>
  <c r="B163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N148" i="13"/>
  <c r="M148" i="13"/>
  <c r="L148" i="13"/>
  <c r="K148" i="13"/>
  <c r="J148" i="13"/>
  <c r="J147" i="13" s="1"/>
  <c r="I148" i="13"/>
  <c r="H148" i="13"/>
  <c r="G148" i="13"/>
  <c r="F148" i="13"/>
  <c r="E148" i="13"/>
  <c r="D148" i="13"/>
  <c r="C148" i="13"/>
  <c r="F191" i="13" l="1"/>
  <c r="L191" i="13"/>
  <c r="E147" i="13"/>
  <c r="E146" i="13" s="1"/>
  <c r="K147" i="13"/>
  <c r="K146" i="13" s="1"/>
  <c r="G191" i="13"/>
  <c r="M191" i="13"/>
  <c r="M147" i="13"/>
  <c r="M146" i="13" s="1"/>
  <c r="H147" i="13"/>
  <c r="G147" i="13"/>
  <c r="K191" i="13"/>
  <c r="B179" i="13"/>
  <c r="B219" i="13"/>
  <c r="B230" i="13"/>
  <c r="B148" i="13"/>
  <c r="B226" i="13"/>
  <c r="B162" i="13"/>
  <c r="H191" i="13"/>
  <c r="J191" i="13"/>
  <c r="J146" i="13" s="1"/>
  <c r="B170" i="13"/>
  <c r="B187" i="13"/>
  <c r="L147" i="13"/>
  <c r="L146" i="13" s="1"/>
  <c r="I191" i="13"/>
  <c r="I147" i="13"/>
  <c r="F147" i="13"/>
  <c r="F146" i="13" s="1"/>
  <c r="N147" i="13"/>
  <c r="N146" i="13" s="1"/>
  <c r="B214" i="13"/>
  <c r="C147" i="13"/>
  <c r="B192" i="13"/>
  <c r="D147" i="13"/>
  <c r="D146" i="13" s="1"/>
  <c r="B198" i="13"/>
  <c r="G146" i="13" l="1"/>
  <c r="B191" i="13"/>
  <c r="I146" i="13"/>
  <c r="H146" i="13"/>
  <c r="B147" i="13"/>
  <c r="C146" i="13"/>
  <c r="B146" i="13" l="1"/>
  <c r="B101" i="13"/>
  <c r="B100" i="13"/>
  <c r="B99" i="13"/>
  <c r="B98" i="13"/>
  <c r="B97" i="13"/>
  <c r="B96" i="13"/>
  <c r="B95" i="13"/>
  <c r="B94" i="13"/>
  <c r="B93" i="13"/>
  <c r="B92" i="13"/>
  <c r="B91" i="13"/>
  <c r="B90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8" i="13"/>
  <c r="B87" i="13"/>
  <c r="B86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4" i="13"/>
  <c r="B83" i="13"/>
  <c r="B82" i="13"/>
  <c r="B81" i="13"/>
  <c r="B80" i="13"/>
  <c r="B79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7" i="13"/>
  <c r="B76" i="13"/>
  <c r="B75" i="13"/>
  <c r="B74" i="13"/>
  <c r="N73" i="13"/>
  <c r="L73" i="13"/>
  <c r="K73" i="13"/>
  <c r="J73" i="13"/>
  <c r="I73" i="13"/>
  <c r="H73" i="13"/>
  <c r="G73" i="13"/>
  <c r="F73" i="13"/>
  <c r="E73" i="13"/>
  <c r="D73" i="13"/>
  <c r="C73" i="13"/>
  <c r="B72" i="13"/>
  <c r="B71" i="13"/>
  <c r="B70" i="13"/>
  <c r="B69" i="13"/>
  <c r="B68" i="13"/>
  <c r="B67" i="13"/>
  <c r="E66" i="13"/>
  <c r="D66" i="13"/>
  <c r="C66" i="13"/>
  <c r="B65" i="13"/>
  <c r="B64" i="13"/>
  <c r="B63" i="13"/>
  <c r="B62" i="13"/>
  <c r="B61" i="13"/>
  <c r="B60" i="13"/>
  <c r="B59" i="13"/>
  <c r="B58" i="13"/>
  <c r="E57" i="13"/>
  <c r="D57" i="13"/>
  <c r="C57" i="13"/>
  <c r="B56" i="13"/>
  <c r="B55" i="13"/>
  <c r="B54" i="13"/>
  <c r="B53" i="13"/>
  <c r="B52" i="13"/>
  <c r="G50" i="13"/>
  <c r="E51" i="13"/>
  <c r="D51" i="13"/>
  <c r="C51" i="13"/>
  <c r="B49" i="13"/>
  <c r="B48" i="13"/>
  <c r="B47" i="13"/>
  <c r="D46" i="13"/>
  <c r="C46" i="13"/>
  <c r="B45" i="13"/>
  <c r="B44" i="13"/>
  <c r="B43" i="13"/>
  <c r="B42" i="13"/>
  <c r="B41" i="13"/>
  <c r="B40" i="13"/>
  <c r="B39" i="13"/>
  <c r="D38" i="13"/>
  <c r="C38" i="13"/>
  <c r="B37" i="13"/>
  <c r="B36" i="13"/>
  <c r="B35" i="13"/>
  <c r="B34" i="13"/>
  <c r="B33" i="13"/>
  <c r="B32" i="13"/>
  <c r="B31" i="13"/>
  <c r="B30" i="13"/>
  <c r="D29" i="13"/>
  <c r="C29" i="13"/>
  <c r="B28" i="13"/>
  <c r="B27" i="13"/>
  <c r="B26" i="13"/>
  <c r="B25" i="13"/>
  <c r="B24" i="13"/>
  <c r="B23" i="13"/>
  <c r="B22" i="13"/>
  <c r="D21" i="13"/>
  <c r="C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AP22" i="13"/>
  <c r="AN22" i="13"/>
  <c r="AH22" i="13"/>
  <c r="D7" i="13"/>
  <c r="C7" i="13"/>
  <c r="AF22" i="13" l="1"/>
  <c r="AG22" i="13"/>
  <c r="AO22" i="13"/>
  <c r="D50" i="13"/>
  <c r="AG23" i="13" s="1"/>
  <c r="L50" i="13"/>
  <c r="AO23" i="13" s="1"/>
  <c r="I50" i="13"/>
  <c r="AL23" i="13" s="1"/>
  <c r="C50" i="13"/>
  <c r="AF23" i="13" s="1"/>
  <c r="K50" i="13"/>
  <c r="AN23" i="13" s="1"/>
  <c r="E50" i="13"/>
  <c r="AH23" i="13" s="1"/>
  <c r="J50" i="13"/>
  <c r="AM23" i="13" s="1"/>
  <c r="AJ22" i="13"/>
  <c r="J6" i="13"/>
  <c r="AI22" i="13"/>
  <c r="AQ22" i="13"/>
  <c r="B46" i="13"/>
  <c r="B66" i="13"/>
  <c r="B21" i="13"/>
  <c r="AK22" i="13"/>
  <c r="B73" i="13"/>
  <c r="B78" i="13"/>
  <c r="AL22" i="13"/>
  <c r="B51" i="13"/>
  <c r="B89" i="13"/>
  <c r="AM22" i="13"/>
  <c r="B57" i="13"/>
  <c r="B85" i="13"/>
  <c r="B29" i="13"/>
  <c r="B38" i="13"/>
  <c r="H50" i="13"/>
  <c r="AK23" i="13" s="1"/>
  <c r="B7" i="13"/>
  <c r="D6" i="13"/>
  <c r="D5" i="13" s="1"/>
  <c r="AG21" i="13" s="1"/>
  <c r="AG24" i="13" s="1"/>
  <c r="F50" i="13"/>
  <c r="AI23" i="13" s="1"/>
  <c r="N50" i="13"/>
  <c r="AQ23" i="13" s="1"/>
  <c r="AP23" i="13"/>
  <c r="G5" i="13"/>
  <c r="AJ21" i="13" s="1"/>
  <c r="AJ23" i="13"/>
  <c r="H5" i="13"/>
  <c r="AK21" i="13" s="1"/>
  <c r="C6" i="13"/>
  <c r="K5" i="13" l="1"/>
  <c r="AN21" i="13" s="1"/>
  <c r="AN24" i="13" s="1"/>
  <c r="AK24" i="13"/>
  <c r="J5" i="13"/>
  <c r="AM21" i="13" s="1"/>
  <c r="L5" i="13"/>
  <c r="AO21" i="13" s="1"/>
  <c r="AO24" i="13" s="1"/>
  <c r="E5" i="13"/>
  <c r="AH21" i="13" s="1"/>
  <c r="AH24" i="13" s="1"/>
  <c r="I5" i="13"/>
  <c r="AL21" i="13" s="1"/>
  <c r="AL24" i="13" s="1"/>
  <c r="N5" i="13"/>
  <c r="AQ21" i="13" s="1"/>
  <c r="AQ24" i="13" s="1"/>
  <c r="F5" i="13"/>
  <c r="AI21" i="13" s="1"/>
  <c r="AI24" i="13" s="1"/>
  <c r="M5" i="13"/>
  <c r="AP21" i="13" s="1"/>
  <c r="AP24" i="13" s="1"/>
  <c r="B50" i="13"/>
  <c r="AM24" i="13"/>
  <c r="AR22" i="13"/>
  <c r="AJ24" i="13"/>
  <c r="B6" i="13"/>
  <c r="C5" i="13"/>
  <c r="AF21" i="13" s="1"/>
  <c r="AR23" i="13"/>
  <c r="B5" i="13" l="1"/>
  <c r="AR21" i="13" l="1"/>
  <c r="AF24" i="13"/>
  <c r="AR24" i="13" s="1"/>
</calcChain>
</file>

<file path=xl/sharedStrings.xml><?xml version="1.0" encoding="utf-8"?>
<sst xmlns="http://schemas.openxmlformats.org/spreadsheetml/2006/main" count="447" uniqueCount="196">
  <si>
    <t>Total</t>
  </si>
  <si>
    <t>ޖުމްލަ</t>
  </si>
  <si>
    <t>Europe</t>
  </si>
  <si>
    <t>ޔޫރަޕް</t>
  </si>
  <si>
    <t>އޮސްޓްރިއާ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</si>
  <si>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</si>
  <si>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</si>
  <si>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</si>
  <si>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</si>
  <si>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</si>
  <si>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</si>
  <si>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</si>
  <si>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</si>
  <si>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</si>
  <si>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</si>
  <si>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</si>
  <si>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Asia</t>
  </si>
  <si>
    <t>އޭޝިއާ</t>
  </si>
  <si>
    <t>ޗައިނާ</t>
  </si>
  <si>
    <t>އިންޑިއާ</t>
  </si>
  <si>
    <t>އިންޑޮނޭޝިއާ</t>
  </si>
  <si>
    <t>ޖަޕާން</t>
  </si>
  <si>
    <t>ކޮރެއާ</t>
  </si>
  <si>
    <t>މެލޭޝިއާ</t>
  </si>
  <si>
    <t>ޕާކިސްތާން</t>
  </si>
  <si>
    <t>ޓައިވާން</t>
  </si>
  <si>
    <t>Africa</t>
  </si>
  <si>
    <t>އެފްރިކާ</t>
  </si>
  <si>
    <t>ކެނެޑާ</t>
  </si>
  <si>
    <t>Oceania</t>
  </si>
  <si>
    <t>އޮސްޓްރޭލިއާ</t>
  </si>
  <si>
    <t>Middle East</t>
  </si>
  <si>
    <t>ކުވެއިތު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</si>
  <si>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</si>
  <si>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</si>
  <si>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</si>
  <si>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</si>
  <si>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</si>
  <si>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</si>
  <si>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</si>
  <si>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</si>
  <si>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</si>
  <si>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</si>
  <si>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</si>
  <si>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</si>
  <si>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</si>
  <si>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</si>
  <si>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Country of Nationality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</si>
  <si>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</si>
  <si>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</si>
  <si>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</si>
  <si>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</si>
  <si>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</si>
  <si>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</si>
  <si>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</si>
  <si>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</si>
  <si>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އެމެރިކާ</t>
  </si>
  <si>
    <t>America</t>
  </si>
  <si>
    <t>ތާވަލު 10.13: ޤައުމުތަކުގެ ގޮތުން ރާއްޖެއައި ފަތުރުވެރިންގެ ޢަދަދު، މަސްމަހުގެ ގޮތުން، 2018</t>
  </si>
  <si>
    <t>Table 10.13 :   MONTHLY DISTRIBUTION OF TOURIST ARRIVALS BY NATIONALITY, 2018</t>
  </si>
  <si>
    <t xml:space="preserve">   Total</t>
  </si>
  <si>
    <t>ވަޒަންވެރިވެފައިވާ ޤައުމު</t>
  </si>
  <si>
    <t>މެދު އިރުމަތީ ޔޫރަޕް</t>
  </si>
  <si>
    <t>Belarus</t>
  </si>
  <si>
    <t>ބެލަރުސް</t>
  </si>
  <si>
    <t>Bulgaria</t>
  </si>
  <si>
    <t>ބަލްގޭރިއާ</t>
  </si>
  <si>
    <t>Czech Republic</t>
  </si>
  <si>
    <t>ޗެކް ރިޕަބްލިކް</t>
  </si>
  <si>
    <t>Hungary</t>
  </si>
  <si>
    <t>ހަންގޭރީ</t>
  </si>
  <si>
    <t>Kazakhstan</t>
  </si>
  <si>
    <t>ކަޒަކިސްތާން</t>
  </si>
  <si>
    <t>Latvia</t>
  </si>
  <si>
    <t>ލެޓްވިއާ</t>
  </si>
  <si>
    <t>Lithuania</t>
  </si>
  <si>
    <t>ލިތުއާނާ</t>
  </si>
  <si>
    <t>Poland</t>
  </si>
  <si>
    <t>ޕޮލަންޑް</t>
  </si>
  <si>
    <t>Romania</t>
  </si>
  <si>
    <t>ރޮމޭނިއާ</t>
  </si>
  <si>
    <t>Russia</t>
  </si>
  <si>
    <t>Slovakia</t>
  </si>
  <si>
    <t>Ukraine</t>
  </si>
  <si>
    <t>ޔޫކްރެއިން</t>
  </si>
  <si>
    <t>Others</t>
  </si>
  <si>
    <t>އުތުރު ޔޫރަޕް</t>
  </si>
  <si>
    <t>Denmark</t>
  </si>
  <si>
    <t>ޑެންމާކް</t>
  </si>
  <si>
    <t>Finland</t>
  </si>
  <si>
    <t>Ireland</t>
  </si>
  <si>
    <t>އަޔަލެންޑް</t>
  </si>
  <si>
    <t>Other continents</t>
  </si>
  <si>
    <t>Norway</t>
  </si>
  <si>
    <t>ނޯވޭ</t>
  </si>
  <si>
    <t>Sweden</t>
  </si>
  <si>
    <t>ސްވިޑެން</t>
  </si>
  <si>
    <t>United Kingdom</t>
  </si>
  <si>
    <t>ދެކުނު ޔޫރަޕް</t>
  </si>
  <si>
    <t>Croatia</t>
  </si>
  <si>
    <t>ކްރޮއޭޝިއާ</t>
  </si>
  <si>
    <t>Greece</t>
  </si>
  <si>
    <t>Italy</t>
  </si>
  <si>
    <t>Portugal</t>
  </si>
  <si>
    <t>Serbia</t>
  </si>
  <si>
    <t>ސަރބިއާ</t>
  </si>
  <si>
    <t>Slovenia</t>
  </si>
  <si>
    <t>ސްލޮވޭނިއާ</t>
  </si>
  <si>
    <t>Spain</t>
  </si>
  <si>
    <t>ހުޅަނގު ޔޫރަޕް</t>
  </si>
  <si>
    <t>Austria</t>
  </si>
  <si>
    <t>Belgium</t>
  </si>
  <si>
    <t>France</t>
  </si>
  <si>
    <t>Germany</t>
  </si>
  <si>
    <t>ޖަރުމަނީ</t>
  </si>
  <si>
    <t xml:space="preserve">Netherlands </t>
  </si>
  <si>
    <t>ނެދަލެންޑްސް</t>
  </si>
  <si>
    <t>Switzerland</t>
  </si>
  <si>
    <t>ސްވިޓްޒަލެންޑް</t>
  </si>
  <si>
    <t>..</t>
  </si>
  <si>
    <t>އިރުމަތީ ޔޫރަޕް</t>
  </si>
  <si>
    <t>Israel</t>
  </si>
  <si>
    <t>އިސްރާއީލް</t>
  </si>
  <si>
    <t>Turkey</t>
  </si>
  <si>
    <t>ތުރުކީ</t>
  </si>
  <si>
    <t>އިރު އުތުރު އޭޝިއާ</t>
  </si>
  <si>
    <t>China</t>
  </si>
  <si>
    <t>Japan</t>
  </si>
  <si>
    <t>Korea</t>
  </si>
  <si>
    <t>Taiwan</t>
  </si>
  <si>
    <t>އިރު ދެކުނު އޭޝިއާ</t>
  </si>
  <si>
    <t>Indonesia</t>
  </si>
  <si>
    <t>Malaysia</t>
  </si>
  <si>
    <t>Myanmar</t>
  </si>
  <si>
    <t>މިޔަންމާ</t>
  </si>
  <si>
    <t>Philippines</t>
  </si>
  <si>
    <t>ފިލިޕިންސް</t>
  </si>
  <si>
    <t>Singapore</t>
  </si>
  <si>
    <t>ސިންގަޕޯ</t>
  </si>
  <si>
    <t>Thailand</t>
  </si>
  <si>
    <t>ތައިލެންޑް</t>
  </si>
  <si>
    <t>Vietnam</t>
  </si>
  <si>
    <t>ވިއެޓްނާމް</t>
  </si>
  <si>
    <t>ދެކުނު އޭޝިއާ</t>
  </si>
  <si>
    <t>Bangladesh</t>
  </si>
  <si>
    <t>ބަންގްލަދެޝް</t>
  </si>
  <si>
    <t>India</t>
  </si>
  <si>
    <t>Iran</t>
  </si>
  <si>
    <t>އިރާން</t>
  </si>
  <si>
    <t>Pakistan</t>
  </si>
  <si>
    <t>Sri Lanka</t>
  </si>
  <si>
    <t>ސްރީ ލަންކާ</t>
  </si>
  <si>
    <t>Algeria</t>
  </si>
  <si>
    <t>އަލްޖީރިއާ</t>
  </si>
  <si>
    <t>Morocco</t>
  </si>
  <si>
    <t>މޮރޮކޯ</t>
  </si>
  <si>
    <t>South Africa</t>
  </si>
  <si>
    <t>ދެކުނު އެފްރިކާ</t>
  </si>
  <si>
    <t>Argentina</t>
  </si>
  <si>
    <t>އަރޖެންޓީނާ</t>
  </si>
  <si>
    <t>Brazil</t>
  </si>
  <si>
    <t>ބްރެޒިލް</t>
  </si>
  <si>
    <t>Canada</t>
  </si>
  <si>
    <t>Mexico</t>
  </si>
  <si>
    <t>މެކްސިކޯ</t>
  </si>
  <si>
    <t>United States</t>
  </si>
  <si>
    <t>ޔުނައިޓެޑް ސްޓޭޓްސް</t>
  </si>
  <si>
    <t>އޯޝިއާނާ</t>
  </si>
  <si>
    <t>Australia</t>
  </si>
  <si>
    <t>New Zealand</t>
  </si>
  <si>
    <t>ނިއުޒިލެންޑް</t>
  </si>
  <si>
    <t>މެދު އިރުމަތީ</t>
  </si>
  <si>
    <t>Egypt</t>
  </si>
  <si>
    <t>އިޖިޕްޓް</t>
  </si>
  <si>
    <t>Jordan</t>
  </si>
  <si>
    <t>ޖޯޑްން</t>
  </si>
  <si>
    <t>Kuwait</t>
  </si>
  <si>
    <t>Lebanon</t>
  </si>
  <si>
    <t>ލެބަނާން</t>
  </si>
  <si>
    <t>Oman</t>
  </si>
  <si>
    <t>އޮމާން</t>
  </si>
  <si>
    <t>Qatar</t>
  </si>
  <si>
    <t>ޤަތަރު</t>
  </si>
  <si>
    <t>Saudi Arabia</t>
  </si>
  <si>
    <t>ސައުދީ އަރަބިއްޔާ</t>
  </si>
  <si>
    <t>Syrian Arab Republic</t>
  </si>
  <si>
    <t>ސީރިއަން އަރަބް ރިޕަބްލިކް</t>
  </si>
  <si>
    <t>United Arab Emirates</t>
  </si>
  <si>
    <t>ޔުނައިޓެޑް އަރަބް އެމަރެޓްސް</t>
  </si>
  <si>
    <t>UN Passpoert holders</t>
  </si>
  <si>
    <t xml:space="preserve">ޔޫ އެން ޕާސްޕޯޓު ހޯލްޑަރސް </t>
  </si>
  <si>
    <t xml:space="preserve">Others Not Stated </t>
  </si>
  <si>
    <t>Maldives Immigration</t>
  </si>
  <si>
    <t>މޯލްޑިވްސް އިމިގްރޭޝަން</t>
  </si>
  <si>
    <t>Table 10.13 :   MONTHLY DISTRIBUTION OF TOURIST ARRIVALS BY NATIONALITY, 2019</t>
  </si>
  <si>
    <t>ތާވަލު 10.13: ޤައުމުތަކުގެ ގޮތުން ރާއްޖެއައި ފަތުރުވެރިންގެ ޢަދަދު، މަސްމަހުގެ ގޮތުން،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</si>
</sst>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_(* #,##0_);_(* \(#,##0\);_(* &quot;-&quot;??_);_(@_)"/>
    <numFmt numFmtId="168" formatCode="0.00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Faruma"/>
    </font>
    <font>
      <sz val="9"/>
      <color theme="1"/>
      <name val="Faruma"/>
    </font>
    <font>
      <sz val="9"/>
      <name val="Faruma"/>
    </font>
    <font>
      <b/>
      <sz val="1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168" fontId="17" fillId="0" borderId="0"/>
    <xf numFmtId="1" fontId="18" fillId="0" borderId="4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6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</cellStyleXfs>
  <cellXfs count="54">
    <xf numFmtId="0" fontId="0" fillId="0" borderId="0" xfId="0"/>
    <xf numFmtId="0" fontId="9" fillId="2" borderId="0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5" fillId="2" borderId="0" xfId="2" applyFont="1" applyFill="1" applyBorder="1" applyAlignment="1" applyProtection="1">
      <alignment vertical="center"/>
    </xf>
    <xf numFmtId="165" fontId="5" fillId="2" borderId="0" xfId="1" applyNumberFormat="1" applyFont="1" applyFill="1" applyBorder="1" applyAlignment="1" applyProtection="1">
      <alignment horizontal="right" vertical="center"/>
    </xf>
    <xf numFmtId="165" fontId="11" fillId="2" borderId="0" xfId="1" applyNumberFormat="1" applyFont="1" applyFill="1" applyBorder="1" applyAlignment="1" applyProtection="1">
      <alignment horizontal="right" vertical="center"/>
    </xf>
    <xf numFmtId="165" fontId="5" fillId="2" borderId="2" xfId="1" applyNumberFormat="1" applyFont="1" applyFill="1" applyBorder="1" applyAlignment="1" applyProtection="1">
      <alignment horizontal="right" vertical="center"/>
    </xf>
    <xf numFmtId="0" fontId="11" fillId="2" borderId="0" xfId="2" applyFont="1" applyFill="1" applyAlignment="1">
      <alignment vertical="center"/>
    </xf>
    <xf numFmtId="0" fontId="11" fillId="2" borderId="0" xfId="2" applyFont="1" applyFill="1"/>
    <xf numFmtId="0" fontId="5" fillId="2" borderId="2" xfId="2" applyFont="1" applyFill="1" applyBorder="1" applyAlignment="1" applyProtection="1">
      <alignment horizontal="center" vertical="center"/>
    </xf>
    <xf numFmtId="165" fontId="5" fillId="2" borderId="2" xfId="2" applyNumberFormat="1" applyFont="1" applyFill="1" applyBorder="1" applyAlignment="1" applyProtection="1">
      <alignment horizontal="center" vertical="center"/>
    </xf>
    <xf numFmtId="0" fontId="11" fillId="2" borderId="0" xfId="2" applyFont="1" applyFill="1" applyBorder="1"/>
    <xf numFmtId="0" fontId="5" fillId="2" borderId="2" xfId="2" applyFont="1" applyFill="1" applyBorder="1" applyAlignment="1" applyProtection="1">
      <alignment horizontal="left" vertical="center"/>
    </xf>
    <xf numFmtId="0" fontId="5" fillId="2" borderId="2" xfId="2" applyFont="1" applyFill="1" applyBorder="1" applyAlignment="1" applyProtection="1">
      <alignment horizontal="right" vertical="center"/>
    </xf>
    <xf numFmtId="0" fontId="5" fillId="2" borderId="3" xfId="2" applyFont="1" applyFill="1" applyBorder="1" applyAlignment="1" applyProtection="1">
      <alignment horizontal="right" vertical="center"/>
    </xf>
    <xf numFmtId="0" fontId="12" fillId="2" borderId="3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2" borderId="1" xfId="2" applyFont="1" applyFill="1" applyBorder="1" applyAlignment="1" applyProtection="1">
      <alignment horizontal="left" vertical="center"/>
    </xf>
    <xf numFmtId="165" fontId="5" fillId="2" borderId="1" xfId="1" applyNumberFormat="1" applyFont="1" applyFill="1" applyBorder="1" applyAlignment="1" applyProtection="1">
      <alignment horizontal="right" vertical="center"/>
    </xf>
    <xf numFmtId="0" fontId="12" fillId="2" borderId="1" xfId="2" applyFont="1" applyFill="1" applyBorder="1"/>
    <xf numFmtId="0" fontId="6" fillId="2" borderId="0" xfId="2" applyFont="1" applyFill="1"/>
    <xf numFmtId="165" fontId="6" fillId="2" borderId="0" xfId="2" applyNumberFormat="1" applyFont="1" applyFill="1"/>
    <xf numFmtId="0" fontId="5" fillId="2" borderId="0" xfId="2" applyFont="1" applyFill="1" applyBorder="1" applyAlignment="1" applyProtection="1">
      <alignment horizontal="left" vertical="center"/>
    </xf>
    <xf numFmtId="0" fontId="12" fillId="2" borderId="0" xfId="2" applyFont="1" applyFill="1"/>
    <xf numFmtId="165" fontId="6" fillId="2" borderId="0" xfId="2" applyNumberFormat="1" applyFont="1" applyFill="1" applyAlignment="1">
      <alignment vertical="center"/>
    </xf>
    <xf numFmtId="17" fontId="5" fillId="2" borderId="0" xfId="4" applyNumberFormat="1" applyFont="1" applyFill="1" applyBorder="1" applyAlignment="1">
      <alignment horizontal="left" vertical="center" indent="1"/>
    </xf>
    <xf numFmtId="0" fontId="4" fillId="2" borderId="0" xfId="2" applyFont="1" applyFill="1" applyBorder="1" applyAlignment="1">
      <alignment horizontal="right" vertical="center" indent="1"/>
    </xf>
    <xf numFmtId="0" fontId="11" fillId="2" borderId="0" xfId="4" applyFont="1" applyFill="1" applyBorder="1" applyAlignment="1">
      <alignment horizontal="left" vertical="center" indent="2"/>
    </xf>
    <xf numFmtId="165" fontId="5" fillId="2" borderId="0" xfId="1" applyNumberFormat="1" applyFont="1" applyFill="1" applyBorder="1" applyAlignment="1">
      <alignment vertical="center"/>
    </xf>
    <xf numFmtId="165" fontId="11" fillId="2" borderId="0" xfId="1" applyNumberFormat="1" applyFont="1" applyFill="1" applyBorder="1" applyAlignment="1">
      <alignment vertical="center"/>
    </xf>
    <xf numFmtId="0" fontId="14" fillId="2" borderId="0" xfId="2" applyFont="1" applyFill="1" applyAlignment="1">
      <alignment horizontal="right" indent="2"/>
    </xf>
    <xf numFmtId="0" fontId="11" fillId="2" borderId="0" xfId="4" quotePrefix="1" applyFont="1" applyFill="1" applyBorder="1" applyAlignment="1">
      <alignment horizontal="left" vertical="center" indent="2"/>
    </xf>
    <xf numFmtId="165" fontId="5" fillId="2" borderId="0" xfId="1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right" indent="1"/>
    </xf>
    <xf numFmtId="17" fontId="5" fillId="2" borderId="0" xfId="4" applyNumberFormat="1" applyFont="1" applyFill="1" applyBorder="1" applyAlignment="1">
      <alignment horizontal="left" vertical="center" wrapText="1" indent="1"/>
    </xf>
    <xf numFmtId="0" fontId="11" fillId="2" borderId="2" xfId="4" applyFont="1" applyFill="1" applyBorder="1" applyAlignment="1">
      <alignment horizontal="left" vertical="center" indent="2"/>
    </xf>
    <xf numFmtId="165" fontId="5" fillId="2" borderId="2" xfId="1" applyNumberFormat="1" applyFont="1" applyFill="1" applyBorder="1" applyAlignment="1">
      <alignment vertical="center"/>
    </xf>
    <xf numFmtId="165" fontId="11" fillId="2" borderId="2" xfId="1" applyNumberFormat="1" applyFont="1" applyFill="1" applyBorder="1" applyAlignment="1">
      <alignment vertical="center"/>
    </xf>
    <xf numFmtId="0" fontId="14" fillId="2" borderId="2" xfId="2" applyFont="1" applyFill="1" applyBorder="1" applyAlignment="1">
      <alignment horizontal="right" indent="2"/>
    </xf>
    <xf numFmtId="0" fontId="12" fillId="2" borderId="0" xfId="2" applyFont="1" applyFill="1" applyBorder="1"/>
    <xf numFmtId="0" fontId="12" fillId="2" borderId="0" xfId="2" applyFont="1" applyFill="1" applyAlignment="1">
      <alignment horizontal="right" indent="1" readingOrder="1"/>
    </xf>
    <xf numFmtId="0" fontId="14" fillId="2" borderId="0" xfId="2" applyFont="1" applyFill="1" applyBorder="1" applyAlignment="1">
      <alignment horizontal="right" indent="2"/>
    </xf>
    <xf numFmtId="0" fontId="11" fillId="2" borderId="0" xfId="4" applyFont="1" applyFill="1" applyBorder="1" applyAlignment="1">
      <alignment horizontal="left" vertical="center" indent="1"/>
    </xf>
    <xf numFmtId="0" fontId="14" fillId="2" borderId="0" xfId="2" applyFont="1" applyFill="1" applyAlignment="1">
      <alignment horizontal="right" indent="1"/>
    </xf>
    <xf numFmtId="0" fontId="11" fillId="2" borderId="2" xfId="4" applyFont="1" applyFill="1" applyBorder="1" applyAlignment="1">
      <alignment horizontal="left" vertical="center" indent="1"/>
    </xf>
    <xf numFmtId="0" fontId="14" fillId="2" borderId="2" xfId="2" applyFont="1" applyFill="1" applyBorder="1" applyAlignment="1">
      <alignment horizontal="right" indent="1"/>
    </xf>
    <xf numFmtId="165" fontId="11" fillId="2" borderId="0" xfId="1" applyNumberFormat="1" applyFont="1" applyFill="1" applyBorder="1" applyAlignment="1">
      <alignment horizontal="right" vertical="center"/>
    </xf>
    <xf numFmtId="165" fontId="11" fillId="2" borderId="2" xfId="1" applyNumberFormat="1" applyFont="1" applyFill="1" applyBorder="1" applyAlignment="1">
      <alignment horizontal="right" vertical="center"/>
    </xf>
    <xf numFmtId="0" fontId="10" fillId="2" borderId="0" xfId="2" applyFont="1" applyFill="1" applyAlignment="1" applyProtection="1">
      <alignment horizontal="left" vertical="center"/>
    </xf>
    <xf numFmtId="0" fontId="10" fillId="2" borderId="1" xfId="2" applyFont="1" applyFill="1" applyBorder="1" applyAlignment="1" applyProtection="1">
      <alignment horizontal="left" vertical="center"/>
    </xf>
    <xf numFmtId="0" fontId="8" fillId="2" borderId="0" xfId="0" applyFont="1" applyFill="1" applyAlignment="1" applyProtection="1">
      <alignment horizontal="left" vertical="center" indent="3"/>
    </xf>
    <xf numFmtId="3" fontId="11" fillId="2" borderId="0" xfId="2" applyNumberFormat="1" applyFont="1" applyFill="1"/>
    <xf numFmtId="0" fontId="15" fillId="2" borderId="0" xfId="2" applyFont="1" applyFill="1" applyAlignment="1">
      <alignment horizontal="center" vertical="center"/>
    </xf>
    <xf numFmtId="0" fontId="2" fillId="2" borderId="0" xfId="2" applyFont="1" applyFill="1" applyBorder="1" applyAlignment="1" applyProtection="1">
      <alignment horizontal="center" vertical="center"/>
    </xf>
  </cellXfs>
  <cellStyles count="22">
    <cellStyle name="1" xfId="6"/>
    <cellStyle name="Comma" xfId="1" builtinId="3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Percent 2" xfId="13"/>
    <cellStyle name="Percent 2 2" xfId="3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10.21: Monthly tourist arrivals by continent, 2019</a:t>
            </a:r>
          </a:p>
        </c:rich>
      </c:tx>
      <c:layout>
        <c:manualLayout>
          <c:xMode val="edge"/>
          <c:yMode val="edge"/>
          <c:x val="0.30845712656267216"/>
          <c:y val="3.70369519506165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1"/>
          <c:order val="1"/>
          <c:tx>
            <c:strRef>
              <c:f>'10.13'!$AE$22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rgbClr val="663300"/>
              </a:solidFill>
            </a:ln>
          </c:spPr>
          <c:marker>
            <c:symbol val="diamond"/>
            <c:size val="6"/>
            <c:spPr>
              <a:solidFill>
                <a:srgbClr val="663300"/>
              </a:solidFill>
              <a:ln>
                <a:noFill/>
              </a:ln>
            </c:spPr>
          </c:marker>
          <c:cat>
            <c:strRef>
              <c:f>'10.13'!$AF$20:$AQ$20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'10.13'!$AF$22:$AQ$22</c:f>
              <c:numCache>
                <c:formatCode>_(* #,##0_);_(* \(#,##0\);_(* "-"??_);_(@_)</c:formatCode>
                <c:ptCount val="12"/>
                <c:pt idx="0">
                  <c:v>83528</c:v>
                </c:pt>
                <c:pt idx="1">
                  <c:v>93617</c:v>
                </c:pt>
                <c:pt idx="2">
                  <c:v>92474</c:v>
                </c:pt>
                <c:pt idx="3">
                  <c:v>88031</c:v>
                </c:pt>
                <c:pt idx="4">
                  <c:v>38519</c:v>
                </c:pt>
                <c:pt idx="5">
                  <c:v>37678</c:v>
                </c:pt>
                <c:pt idx="6">
                  <c:v>53318</c:v>
                </c:pt>
                <c:pt idx="7">
                  <c:v>59208</c:v>
                </c:pt>
                <c:pt idx="8">
                  <c:v>48284</c:v>
                </c:pt>
                <c:pt idx="9">
                  <c:v>70888</c:v>
                </c:pt>
                <c:pt idx="10">
                  <c:v>74548</c:v>
                </c:pt>
                <c:pt idx="11">
                  <c:v>93846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26B-41EC-A07D-C41172FBA7F0}"/>
            </c:ext>
          </c:extLst>
        </c:ser>
        <c:ser>
          <c:idx val="2"/>
          <c:order val="2"/>
          <c:tx>
            <c:strRef>
              <c:f>'10.13'!$AE$23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rgbClr val="CA945E"/>
              </a:solidFill>
            </a:ln>
          </c:spPr>
          <c:marker>
            <c:symbol val="square"/>
            <c:size val="5"/>
            <c:spPr>
              <a:solidFill>
                <a:srgbClr val="CA945E"/>
              </a:solidFill>
              <a:ln>
                <a:solidFill>
                  <a:srgbClr val="CA945E"/>
                </a:solidFill>
              </a:ln>
            </c:spPr>
          </c:marker>
          <c:cat>
            <c:strRef>
              <c:f>'10.13'!$AF$20:$AQ$20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'10.13'!$AF$23:$AQ$23</c:f>
              <c:numCache>
                <c:formatCode>_(* #,##0_);_(* \(#,##0\);_(* "-"??_);_(@_)</c:formatCode>
                <c:ptCount val="12"/>
                <c:pt idx="0">
                  <c:v>51613</c:v>
                </c:pt>
                <c:pt idx="1">
                  <c:v>59047</c:v>
                </c:pt>
                <c:pt idx="2">
                  <c:v>49491</c:v>
                </c:pt>
                <c:pt idx="3">
                  <c:v>54400</c:v>
                </c:pt>
                <c:pt idx="4">
                  <c:v>54073</c:v>
                </c:pt>
                <c:pt idx="5">
                  <c:v>58110</c:v>
                </c:pt>
                <c:pt idx="6">
                  <c:v>60212</c:v>
                </c:pt>
                <c:pt idx="7">
                  <c:v>61791</c:v>
                </c:pt>
                <c:pt idx="8">
                  <c:v>53026</c:v>
                </c:pt>
                <c:pt idx="9">
                  <c:v>55839</c:v>
                </c:pt>
                <c:pt idx="10">
                  <c:v>46243</c:v>
                </c:pt>
                <c:pt idx="11">
                  <c:v>57155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26B-41EC-A07D-C41172FBA7F0}"/>
            </c:ext>
          </c:extLst>
        </c:ser>
        <c:ser>
          <c:idx val="3"/>
          <c:order val="3"/>
          <c:tx>
            <c:strRef>
              <c:f>'10.13'!$AE$24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rgbClr val="996633"/>
              </a:solidFill>
            </a:ln>
          </c:spPr>
          <c:marker>
            <c:spPr>
              <a:solidFill>
                <a:srgbClr val="996633"/>
              </a:solidFill>
              <a:ln>
                <a:noFill/>
              </a:ln>
            </c:spPr>
          </c:marker>
          <c:cat>
            <c:strRef>
              <c:f>'10.13'!$AF$20:$AQ$20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'10.13'!$AF$24:$AQ$24</c:f>
              <c:numCache>
                <c:formatCode>General</c:formatCode>
                <c:ptCount val="12"/>
                <c:pt idx="0" formatCode="_(* #,##0_);_(* \(#,##0\);_(* &quot;-&quot;??_);_(@_)">
                  <c:v>16411</c:v>
                </c:pt>
                <c:pt idx="1">
                  <c:v>15919</c:v>
                </c:pt>
                <c:pt idx="2">
                  <c:v>20878</c:v>
                </c:pt>
                <c:pt idx="3">
                  <c:v>20683</c:v>
                </c:pt>
                <c:pt idx="4">
                  <c:v>10430</c:v>
                </c:pt>
                <c:pt idx="5">
                  <c:v>17687</c:v>
                </c:pt>
                <c:pt idx="6">
                  <c:v>18614</c:v>
                </c:pt>
                <c:pt idx="7">
                  <c:v>18339</c:v>
                </c:pt>
                <c:pt idx="8">
                  <c:v>16309</c:v>
                </c:pt>
                <c:pt idx="9">
                  <c:v>15201</c:v>
                </c:pt>
                <c:pt idx="10">
                  <c:v>17130</c:v>
                </c:pt>
                <c:pt idx="11">
                  <c:v>20347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26B-41EC-A07D-C41172FBA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935032"/>
        <c:axId val="404938168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'10.13'!$AE$21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</c:spPr>
                </c:marker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'10.13'!$AF$20:$AQ$20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'10.13'!$AF$21:$AQ$21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  <c:pt idx="0">
                        <c:v>151552</c:v>
                      </c:pt>
                      <c:pt idx="1">
                        <c:v>168583</c:v>
                      </c:pt>
                      <c:pt idx="2">
                        <c:v>162843</c:v>
                      </c:pt>
                      <c:pt idx="3">
                        <c:v>163114</c:v>
                      </c:pt>
                      <c:pt idx="4">
                        <c:v>103022</c:v>
                      </c:pt>
                      <c:pt idx="5">
                        <c:v>113475</c:v>
                      </c:pt>
                      <c:pt idx="6">
                        <c:v>132144</c:v>
                      </c:pt>
                      <c:pt idx="7">
                        <c:v>139338</c:v>
                      </c:pt>
                      <c:pt idx="8">
                        <c:v>117619</c:v>
                      </c:pt>
                      <c:pt idx="9">
                        <c:v>141928</c:v>
                      </c:pt>
                      <c:pt idx="10">
                        <c:v>137921</c:v>
                      </c:pt>
                      <c:pt idx="11">
                        <c:v>171348</c:v>
                      </c:pt>
                    </c:numCache>
                  </c:numRef>
                </c:val>
                <c:smooth val="1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026B-41EC-A07D-C41172FBA7F0}"/>
                  </c:ext>
                </c:extLst>
              </c15:ser>
            </c15:filteredLineSeries>
          </c:ext>
        </c:extLst>
      </c:lineChart>
      <c:catAx>
        <c:axId val="40493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04938168"/>
        <c:crosses val="autoZero"/>
        <c:auto val="1"/>
        <c:lblAlgn val="ctr"/>
        <c:lblOffset val="100"/>
        <c:noMultiLvlLbl val="0"/>
      </c:catAx>
      <c:valAx>
        <c:axId val="4049381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4049350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903887541885747"/>
          <c:y val="0.19905870461844444"/>
          <c:w val="0.39546927859429248"/>
          <c:h val="0.11279426212434579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zero"/>
    <c:showDLblsOverMax val="0"/>
  </c:chart>
  <c:spPr>
    <a:solidFill>
      <a:srgbClr val="F6ECE2"/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102</xdr:row>
      <xdr:rowOff>66675</xdr:rowOff>
    </xdr:from>
    <xdr:to>
      <xdr:col>12</xdr:col>
      <xdr:colOff>456856</xdr:colOff>
      <xdr:row>120</xdr:row>
      <xdr:rowOff>143390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244"/>
  <sheetViews>
    <sheetView tabSelected="1" zoomScaleNormal="100" zoomScaleSheetLayoutView="80" workbookViewId="0">
      <selection activeCell="R10" sqref="R10"/>
    </sheetView>
  </sheetViews>
  <sheetFormatPr defaultColWidth="9.140625" defaultRowHeight="12.75"/>
  <cols>
    <col min="1" max="1" width="21" style="8" customWidth="1"/>
    <col min="2" max="2" width="11.5703125" style="8" bestFit="1" customWidth="1"/>
    <col min="3" max="10" width="10.28515625" style="8" bestFit="1" customWidth="1"/>
    <col min="11" max="11" width="9.85546875" style="8" bestFit="1" customWidth="1"/>
    <col min="12" max="14" width="10.28515625" style="8" bestFit="1" customWidth="1"/>
    <col min="15" max="15" width="18.28515625" style="8" customWidth="1"/>
    <col min="16" max="43" width="9.140625" style="8"/>
    <col min="44" max="44" width="11.140625" style="8" customWidth="1"/>
    <col min="45" max="16384" width="9.140625" style="8"/>
  </cols>
  <sheetData>
    <row r="1" spans="1:44" s="7" customFormat="1" ht="18.75" customHeight="1">
      <c r="A1" s="52" t="s">
        <v>195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44" ht="17.25" customHeight="1">
      <c r="A2" s="53" t="s">
        <v>194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44" s="11" customFormat="1" ht="12.7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44" s="16" customFormat="1" ht="18.75" customHeight="1">
      <c r="A4" s="12" t="s">
        <v>47</v>
      </c>
      <c r="B4" s="13" t="s">
        <v>60</v>
      </c>
      <c r="C4" s="13" t="s">
        <v>36</v>
      </c>
      <c r="D4" s="13" t="s">
        <v>37</v>
      </c>
      <c r="E4" s="13" t="s">
        <v>38</v>
      </c>
      <c r="F4" s="13" t="s">
        <v>39</v>
      </c>
      <c r="G4" s="13" t="s">
        <v>34</v>
      </c>
      <c r="H4" s="13" t="s">
        <v>40</v>
      </c>
      <c r="I4" s="13" t="s">
        <v>41</v>
      </c>
      <c r="J4" s="13" t="s">
        <v>42</v>
      </c>
      <c r="K4" s="13" t="s">
        <v>43</v>
      </c>
      <c r="L4" s="13" t="s">
        <v>44</v>
      </c>
      <c r="M4" s="13" t="s">
        <v>45</v>
      </c>
      <c r="N4" s="14" t="s">
        <v>46</v>
      </c>
      <c r="O4" s="15" t="s">
        <v>61</v>
      </c>
    </row>
    <row r="5" spans="1:44" s="20" customFormat="1" ht="18" customHeight="1">
      <c r="A5" s="17" t="s">
        <v>0</v>
      </c>
      <c r="B5" s="18">
        <f>SUM(C5:N5)</f>
        <v>1702887</v>
      </c>
      <c r="C5" s="18">
        <f>C6+C50+C73+C78+C85+C89+C100+C101</f>
        <v>151552</v>
      </c>
      <c r="D5" s="18">
        <f>D6+D50+D73+D78+D85+D89+D100+D101</f>
        <v>168583</v>
      </c>
      <c r="E5" s="18">
        <f t="shared" ref="E5:K5" si="0">E6+E50+E73+E78+E85+E89+E100+E101</f>
        <v>162843</v>
      </c>
      <c r="F5" s="18">
        <f t="shared" si="0"/>
        <v>163114</v>
      </c>
      <c r="G5" s="18">
        <f t="shared" si="0"/>
        <v>103022</v>
      </c>
      <c r="H5" s="18">
        <f t="shared" si="0"/>
        <v>113475</v>
      </c>
      <c r="I5" s="18">
        <f t="shared" si="0"/>
        <v>132144</v>
      </c>
      <c r="J5" s="18">
        <f t="shared" si="0"/>
        <v>139338</v>
      </c>
      <c r="K5" s="18">
        <f t="shared" si="0"/>
        <v>117619</v>
      </c>
      <c r="L5" s="18">
        <f>L6+L50+L73+L78+L85+L89+L100+L101</f>
        <v>141928</v>
      </c>
      <c r="M5" s="18">
        <f t="shared" ref="M5:N5" si="1">M6+M50+M73+M78+M85+M89+M100+M101</f>
        <v>137921</v>
      </c>
      <c r="N5" s="18">
        <f t="shared" si="1"/>
        <v>171348</v>
      </c>
      <c r="O5" s="19" t="s">
        <v>1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4" s="20" customFormat="1" ht="18" customHeight="1">
      <c r="A6" s="22" t="s">
        <v>2</v>
      </c>
      <c r="B6" s="4">
        <f>SUM(C6:N6)</f>
        <v>833939</v>
      </c>
      <c r="C6" s="4">
        <f>C7+C21+C29+C38+C46</f>
        <v>83528</v>
      </c>
      <c r="D6" s="4">
        <f t="shared" ref="D6:J6" si="2">D7+D21+D29+D38+D46</f>
        <v>93617</v>
      </c>
      <c r="E6" s="4">
        <v>92474</v>
      </c>
      <c r="F6" s="4">
        <v>88031</v>
      </c>
      <c r="G6" s="4">
        <v>38519</v>
      </c>
      <c r="H6" s="4">
        <v>37678</v>
      </c>
      <c r="I6" s="4">
        <v>53318</v>
      </c>
      <c r="J6" s="4">
        <f t="shared" si="2"/>
        <v>59208</v>
      </c>
      <c r="K6" s="4">
        <v>48284</v>
      </c>
      <c r="L6" s="4">
        <v>70888</v>
      </c>
      <c r="M6" s="4">
        <v>74548</v>
      </c>
      <c r="N6" s="4">
        <v>93846</v>
      </c>
      <c r="O6" s="23" t="s">
        <v>3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1:44" s="20" customFormat="1" ht="18" customHeight="1">
      <c r="A7" s="25" t="s">
        <v>48</v>
      </c>
      <c r="B7" s="4">
        <f>SUM(C7:N7)</f>
        <v>179865</v>
      </c>
      <c r="C7" s="4">
        <f>SUM(C8:C20)</f>
        <v>22079</v>
      </c>
      <c r="D7" s="4">
        <f t="shared" ref="D7" si="3">SUM(D8:D20)</f>
        <v>19730</v>
      </c>
      <c r="E7" s="4">
        <v>19553</v>
      </c>
      <c r="F7" s="4">
        <v>13586</v>
      </c>
      <c r="G7" s="4">
        <v>8933</v>
      </c>
      <c r="H7" s="4">
        <v>8882</v>
      </c>
      <c r="I7" s="4">
        <v>11409</v>
      </c>
      <c r="J7" s="4">
        <v>10713</v>
      </c>
      <c r="K7" s="4">
        <v>9953</v>
      </c>
      <c r="L7" s="4">
        <v>15812</v>
      </c>
      <c r="M7" s="4">
        <v>17655</v>
      </c>
      <c r="N7" s="4">
        <v>21560</v>
      </c>
      <c r="O7" s="26" t="s">
        <v>62</v>
      </c>
    </row>
    <row r="8" spans="1:44" s="20" customFormat="1" ht="18" customHeight="1">
      <c r="A8" s="27" t="s">
        <v>63</v>
      </c>
      <c r="B8" s="28">
        <f>SUM(C8:N8)</f>
        <v>2718</v>
      </c>
      <c r="C8" s="29">
        <v>346</v>
      </c>
      <c r="D8" s="29">
        <v>259</v>
      </c>
      <c r="E8" s="29">
        <v>351</v>
      </c>
      <c r="F8" s="29">
        <v>189</v>
      </c>
      <c r="G8" s="29">
        <v>190</v>
      </c>
      <c r="H8" s="29">
        <v>159</v>
      </c>
      <c r="I8" s="29">
        <v>132</v>
      </c>
      <c r="J8" s="29">
        <v>174</v>
      </c>
      <c r="K8" s="29">
        <v>137</v>
      </c>
      <c r="L8" s="29">
        <v>182</v>
      </c>
      <c r="M8" s="29">
        <v>295</v>
      </c>
      <c r="N8" s="29">
        <v>304</v>
      </c>
      <c r="O8" s="30" t="s">
        <v>64</v>
      </c>
      <c r="P8" s="16"/>
    </row>
    <row r="9" spans="1:44" s="20" customFormat="1" ht="18" customHeight="1">
      <c r="A9" s="27" t="s">
        <v>65</v>
      </c>
      <c r="B9" s="28">
        <f>SUM(C9:N9)</f>
        <v>6085</v>
      </c>
      <c r="C9" s="29">
        <v>910</v>
      </c>
      <c r="D9" s="29">
        <v>1143</v>
      </c>
      <c r="E9" s="29">
        <v>887</v>
      </c>
      <c r="F9" s="29">
        <v>529</v>
      </c>
      <c r="G9" s="29">
        <v>195</v>
      </c>
      <c r="H9" s="29">
        <v>110</v>
      </c>
      <c r="I9" s="29">
        <v>154</v>
      </c>
      <c r="J9" s="29">
        <v>161</v>
      </c>
      <c r="K9" s="29">
        <v>187</v>
      </c>
      <c r="L9" s="29">
        <v>351</v>
      </c>
      <c r="M9" s="29">
        <v>485</v>
      </c>
      <c r="N9" s="29">
        <v>973</v>
      </c>
      <c r="O9" s="30" t="s">
        <v>66</v>
      </c>
    </row>
    <row r="10" spans="1:44" s="20" customFormat="1" ht="18" customHeight="1">
      <c r="A10" s="27" t="s">
        <v>67</v>
      </c>
      <c r="B10" s="28">
        <f t="shared" ref="B10:B84" si="4">SUM(C10:N10)</f>
        <v>13423</v>
      </c>
      <c r="C10" s="29">
        <v>1274</v>
      </c>
      <c r="D10" s="29">
        <v>2366</v>
      </c>
      <c r="E10" s="29">
        <v>1743</v>
      </c>
      <c r="F10" s="29">
        <v>1228</v>
      </c>
      <c r="G10" s="29">
        <v>514</v>
      </c>
      <c r="H10" s="29">
        <v>484</v>
      </c>
      <c r="I10" s="29">
        <v>976</v>
      </c>
      <c r="J10" s="29">
        <v>684</v>
      </c>
      <c r="K10" s="29">
        <v>547</v>
      </c>
      <c r="L10" s="29">
        <v>966</v>
      </c>
      <c r="M10" s="29">
        <v>1179</v>
      </c>
      <c r="N10" s="29">
        <v>1462</v>
      </c>
      <c r="O10" s="30" t="s">
        <v>68</v>
      </c>
      <c r="P10" s="16"/>
    </row>
    <row r="11" spans="1:44" s="20" customFormat="1" ht="18" customHeight="1">
      <c r="A11" s="31" t="s">
        <v>69</v>
      </c>
      <c r="B11" s="28">
        <f t="shared" si="4"/>
        <v>10025</v>
      </c>
      <c r="C11" s="29">
        <v>1824</v>
      </c>
      <c r="D11" s="29">
        <v>1712</v>
      </c>
      <c r="E11" s="29">
        <v>928</v>
      </c>
      <c r="F11" s="29">
        <v>643</v>
      </c>
      <c r="G11" s="29">
        <v>287</v>
      </c>
      <c r="H11" s="29">
        <v>269</v>
      </c>
      <c r="I11" s="29">
        <v>462</v>
      </c>
      <c r="J11" s="29">
        <v>367</v>
      </c>
      <c r="K11" s="29">
        <v>361</v>
      </c>
      <c r="L11" s="29">
        <v>899</v>
      </c>
      <c r="M11" s="29">
        <v>726</v>
      </c>
      <c r="N11" s="29">
        <v>1547</v>
      </c>
      <c r="O11" s="30" t="s">
        <v>70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</row>
    <row r="12" spans="1:44" s="20" customFormat="1" ht="18" customHeight="1">
      <c r="A12" s="27" t="s">
        <v>71</v>
      </c>
      <c r="B12" s="28">
        <f t="shared" si="4"/>
        <v>4984</v>
      </c>
      <c r="C12" s="29">
        <v>749</v>
      </c>
      <c r="D12" s="29">
        <v>299</v>
      </c>
      <c r="E12" s="29">
        <v>765</v>
      </c>
      <c r="F12" s="29">
        <v>198</v>
      </c>
      <c r="G12" s="29">
        <v>187</v>
      </c>
      <c r="H12" s="29">
        <v>269</v>
      </c>
      <c r="I12" s="29">
        <v>430</v>
      </c>
      <c r="J12" s="29">
        <v>390</v>
      </c>
      <c r="K12" s="29">
        <v>214</v>
      </c>
      <c r="L12" s="29">
        <v>319</v>
      </c>
      <c r="M12" s="29">
        <v>262</v>
      </c>
      <c r="N12" s="29">
        <v>902</v>
      </c>
      <c r="O12" s="30" t="s">
        <v>72</v>
      </c>
      <c r="P12" s="16"/>
      <c r="AE12" s="24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</row>
    <row r="13" spans="1:44" s="20" customFormat="1" ht="18" customHeight="1">
      <c r="A13" s="27" t="s">
        <v>73</v>
      </c>
      <c r="B13" s="28">
        <f t="shared" si="4"/>
        <v>1362</v>
      </c>
      <c r="C13" s="29">
        <v>166</v>
      </c>
      <c r="D13" s="29">
        <v>184</v>
      </c>
      <c r="E13" s="29">
        <v>175</v>
      </c>
      <c r="F13" s="29">
        <v>105</v>
      </c>
      <c r="G13" s="29">
        <v>38</v>
      </c>
      <c r="H13" s="29">
        <v>29</v>
      </c>
      <c r="I13" s="29">
        <v>61</v>
      </c>
      <c r="J13" s="29">
        <v>37</v>
      </c>
      <c r="K13" s="29">
        <v>59</v>
      </c>
      <c r="L13" s="29">
        <v>190</v>
      </c>
      <c r="M13" s="29">
        <v>149</v>
      </c>
      <c r="N13" s="29">
        <v>169</v>
      </c>
      <c r="O13" s="30" t="s">
        <v>74</v>
      </c>
      <c r="P13" s="16"/>
      <c r="AE13" s="24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</row>
    <row r="14" spans="1:44" s="20" customFormat="1" ht="18" customHeight="1">
      <c r="A14" s="27" t="s">
        <v>75</v>
      </c>
      <c r="B14" s="28">
        <f t="shared" si="4"/>
        <v>2125</v>
      </c>
      <c r="C14" s="29">
        <v>280</v>
      </c>
      <c r="D14" s="29">
        <v>365</v>
      </c>
      <c r="E14" s="29">
        <v>265</v>
      </c>
      <c r="F14" s="29">
        <v>217</v>
      </c>
      <c r="G14" s="29">
        <v>98</v>
      </c>
      <c r="H14" s="29">
        <v>65</v>
      </c>
      <c r="I14" s="29">
        <v>70</v>
      </c>
      <c r="J14" s="29">
        <v>87</v>
      </c>
      <c r="K14" s="29">
        <v>137</v>
      </c>
      <c r="L14" s="29">
        <v>100</v>
      </c>
      <c r="M14" s="29">
        <v>197</v>
      </c>
      <c r="N14" s="29">
        <v>244</v>
      </c>
      <c r="O14" s="30" t="s">
        <v>76</v>
      </c>
      <c r="P14" s="16"/>
      <c r="AE14" s="24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</row>
    <row r="15" spans="1:44" s="20" customFormat="1" ht="18" customHeight="1">
      <c r="A15" s="27" t="s">
        <v>77</v>
      </c>
      <c r="B15" s="28">
        <f t="shared" si="4"/>
        <v>20961</v>
      </c>
      <c r="C15" s="29">
        <v>2048</v>
      </c>
      <c r="D15" s="29">
        <v>1751</v>
      </c>
      <c r="E15" s="29">
        <v>1445</v>
      </c>
      <c r="F15" s="29">
        <v>1187</v>
      </c>
      <c r="G15" s="29">
        <v>715</v>
      </c>
      <c r="H15" s="29">
        <v>1074</v>
      </c>
      <c r="I15" s="29">
        <v>1937</v>
      </c>
      <c r="J15" s="29">
        <v>1934</v>
      </c>
      <c r="K15" s="29">
        <v>1697</v>
      </c>
      <c r="L15" s="29">
        <v>2047</v>
      </c>
      <c r="M15" s="29">
        <v>2821</v>
      </c>
      <c r="N15" s="29">
        <v>2305</v>
      </c>
      <c r="O15" s="30" t="s">
        <v>78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s="20" customFormat="1" ht="18" customHeight="1">
      <c r="A16" s="27" t="s">
        <v>79</v>
      </c>
      <c r="B16" s="28">
        <f t="shared" si="4"/>
        <v>10137</v>
      </c>
      <c r="C16" s="29">
        <v>1461</v>
      </c>
      <c r="D16" s="29">
        <v>1280</v>
      </c>
      <c r="E16" s="29">
        <v>795</v>
      </c>
      <c r="F16" s="29">
        <v>983</v>
      </c>
      <c r="G16" s="29">
        <v>282</v>
      </c>
      <c r="H16" s="29">
        <v>425</v>
      </c>
      <c r="I16" s="29">
        <v>446</v>
      </c>
      <c r="J16" s="29">
        <v>389</v>
      </c>
      <c r="K16" s="29">
        <v>439</v>
      </c>
      <c r="L16" s="29">
        <v>869</v>
      </c>
      <c r="M16" s="29">
        <v>1209</v>
      </c>
      <c r="N16" s="29">
        <v>1559</v>
      </c>
      <c r="O16" s="30" t="s">
        <v>80</v>
      </c>
      <c r="P16" s="16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spans="1:44" s="20" customFormat="1" ht="18" customHeight="1">
      <c r="A17" s="27" t="s">
        <v>81</v>
      </c>
      <c r="B17" s="28">
        <f t="shared" si="4"/>
        <v>83369</v>
      </c>
      <c r="C17" s="29">
        <v>9668</v>
      </c>
      <c r="D17" s="29">
        <v>7334</v>
      </c>
      <c r="E17" s="29">
        <v>9282</v>
      </c>
      <c r="F17" s="29">
        <v>6475</v>
      </c>
      <c r="G17" s="29">
        <v>5397</v>
      </c>
      <c r="H17" s="29">
        <v>4793</v>
      </c>
      <c r="I17" s="29">
        <v>5345</v>
      </c>
      <c r="J17" s="29">
        <v>5175</v>
      </c>
      <c r="K17" s="29">
        <v>4837</v>
      </c>
      <c r="L17" s="29">
        <v>7855</v>
      </c>
      <c r="M17" s="29">
        <v>8171</v>
      </c>
      <c r="N17" s="29">
        <v>9037</v>
      </c>
      <c r="O17" s="30" t="s">
        <v>11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</row>
    <row r="18" spans="1:44" s="20" customFormat="1" ht="18" customHeight="1">
      <c r="A18" s="27" t="s">
        <v>82</v>
      </c>
      <c r="B18" s="28">
        <f t="shared" si="4"/>
        <v>6910</v>
      </c>
      <c r="C18" s="29">
        <v>795</v>
      </c>
      <c r="D18" s="29">
        <v>1272</v>
      </c>
      <c r="E18" s="29">
        <v>887</v>
      </c>
      <c r="F18" s="29">
        <v>719</v>
      </c>
      <c r="G18" s="29">
        <v>261</v>
      </c>
      <c r="H18" s="29">
        <v>206</v>
      </c>
      <c r="I18" s="29">
        <v>392</v>
      </c>
      <c r="J18" s="29">
        <v>234</v>
      </c>
      <c r="K18" s="29">
        <v>239</v>
      </c>
      <c r="L18" s="29">
        <v>523</v>
      </c>
      <c r="M18" s="29">
        <v>580</v>
      </c>
      <c r="N18" s="29">
        <v>802</v>
      </c>
      <c r="O18" s="30" t="s">
        <v>12</v>
      </c>
      <c r="P18" s="16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</row>
    <row r="19" spans="1:44" s="20" customFormat="1" ht="18" customHeight="1">
      <c r="A19" s="27" t="s">
        <v>83</v>
      </c>
      <c r="B19" s="28">
        <f t="shared" si="4"/>
        <v>13253</v>
      </c>
      <c r="C19" s="29">
        <v>1883</v>
      </c>
      <c r="D19" s="29">
        <v>1267</v>
      </c>
      <c r="E19" s="29">
        <v>1491</v>
      </c>
      <c r="F19" s="29">
        <v>821</v>
      </c>
      <c r="G19" s="29">
        <v>604</v>
      </c>
      <c r="H19" s="29">
        <v>788</v>
      </c>
      <c r="I19" s="29">
        <v>769</v>
      </c>
      <c r="J19" s="29">
        <v>840</v>
      </c>
      <c r="K19" s="29">
        <v>840</v>
      </c>
      <c r="L19" s="29">
        <v>1178</v>
      </c>
      <c r="M19" s="29">
        <v>1234</v>
      </c>
      <c r="N19" s="29">
        <v>1538</v>
      </c>
      <c r="O19" s="30" t="s">
        <v>84</v>
      </c>
    </row>
    <row r="20" spans="1:44" s="20" customFormat="1" ht="18" customHeight="1">
      <c r="A20" s="27" t="s">
        <v>85</v>
      </c>
      <c r="B20" s="28">
        <f t="shared" si="4"/>
        <v>4513</v>
      </c>
      <c r="C20" s="29">
        <v>675</v>
      </c>
      <c r="D20" s="29">
        <v>498</v>
      </c>
      <c r="E20" s="29">
        <v>539</v>
      </c>
      <c r="F20" s="29">
        <v>292</v>
      </c>
      <c r="G20" s="29">
        <v>165</v>
      </c>
      <c r="H20" s="29">
        <v>211</v>
      </c>
      <c r="I20" s="29">
        <v>235</v>
      </c>
      <c r="J20" s="29">
        <v>241</v>
      </c>
      <c r="K20" s="29">
        <v>259</v>
      </c>
      <c r="L20" s="29">
        <v>333</v>
      </c>
      <c r="M20" s="29">
        <v>347</v>
      </c>
      <c r="N20" s="29">
        <v>718</v>
      </c>
      <c r="O20" s="30" t="s">
        <v>15</v>
      </c>
      <c r="P20" s="16"/>
      <c r="AF20" s="20" t="s">
        <v>36</v>
      </c>
      <c r="AG20" s="20" t="s">
        <v>37</v>
      </c>
      <c r="AH20" s="20" t="s">
        <v>38</v>
      </c>
      <c r="AI20" s="20" t="s">
        <v>39</v>
      </c>
      <c r="AJ20" s="20" t="s">
        <v>34</v>
      </c>
      <c r="AK20" s="20" t="s">
        <v>40</v>
      </c>
      <c r="AL20" s="20" t="s">
        <v>41</v>
      </c>
      <c r="AM20" s="20" t="s">
        <v>42</v>
      </c>
      <c r="AN20" s="20" t="s">
        <v>43</v>
      </c>
      <c r="AO20" s="20" t="s">
        <v>44</v>
      </c>
      <c r="AP20" s="20" t="s">
        <v>45</v>
      </c>
      <c r="AQ20" s="20" t="s">
        <v>46</v>
      </c>
    </row>
    <row r="21" spans="1:44" s="20" customFormat="1" ht="18" customHeight="1">
      <c r="A21" s="25" t="s">
        <v>49</v>
      </c>
      <c r="B21" s="28">
        <f t="shared" si="4"/>
        <v>165546</v>
      </c>
      <c r="C21" s="32">
        <f>SUM(C22:C28)</f>
        <v>14867</v>
      </c>
      <c r="D21" s="32">
        <f t="shared" ref="D21" si="5">SUM(D22:D28)</f>
        <v>19804</v>
      </c>
      <c r="E21" s="32">
        <v>15837</v>
      </c>
      <c r="F21" s="32">
        <v>16391</v>
      </c>
      <c r="G21" s="32">
        <v>9948</v>
      </c>
      <c r="H21" s="32">
        <v>8871</v>
      </c>
      <c r="I21" s="32">
        <v>12079</v>
      </c>
      <c r="J21" s="32">
        <v>11203</v>
      </c>
      <c r="K21" s="32">
        <v>9506</v>
      </c>
      <c r="L21" s="32">
        <v>14982</v>
      </c>
      <c r="M21" s="32">
        <v>14868</v>
      </c>
      <c r="N21" s="32">
        <v>17190</v>
      </c>
      <c r="O21" s="33" t="s">
        <v>86</v>
      </c>
      <c r="AE21" s="20" t="s">
        <v>0</v>
      </c>
      <c r="AF21" s="21">
        <f>C5</f>
        <v>151552</v>
      </c>
      <c r="AG21" s="21">
        <f>D5</f>
        <v>168583</v>
      </c>
      <c r="AH21" s="21">
        <f>E5</f>
        <v>162843</v>
      </c>
      <c r="AI21" s="21">
        <f>F5</f>
        <v>163114</v>
      </c>
      <c r="AJ21" s="21">
        <f>G5</f>
        <v>103022</v>
      </c>
      <c r="AK21" s="21">
        <f>H5</f>
        <v>113475</v>
      </c>
      <c r="AL21" s="21">
        <f>I5</f>
        <v>132144</v>
      </c>
      <c r="AM21" s="21">
        <f>J5</f>
        <v>139338</v>
      </c>
      <c r="AN21" s="21">
        <f>K5</f>
        <v>117619</v>
      </c>
      <c r="AO21" s="21">
        <f>L5</f>
        <v>141928</v>
      </c>
      <c r="AP21" s="21">
        <f>M5</f>
        <v>137921</v>
      </c>
      <c r="AQ21" s="21">
        <f>N5</f>
        <v>171348</v>
      </c>
      <c r="AR21" s="21">
        <f>SUM(AF21:AQ21)</f>
        <v>1702887</v>
      </c>
    </row>
    <row r="22" spans="1:44" s="20" customFormat="1" ht="18" customHeight="1">
      <c r="A22" s="27" t="s">
        <v>87</v>
      </c>
      <c r="B22" s="28">
        <f t="shared" si="4"/>
        <v>10621</v>
      </c>
      <c r="C22" s="29">
        <v>1348</v>
      </c>
      <c r="D22" s="29">
        <v>2242</v>
      </c>
      <c r="E22" s="29">
        <v>1019</v>
      </c>
      <c r="F22" s="29">
        <v>1123</v>
      </c>
      <c r="G22" s="29">
        <v>331</v>
      </c>
      <c r="H22" s="29">
        <v>262</v>
      </c>
      <c r="I22" s="29">
        <v>1207</v>
      </c>
      <c r="J22" s="29">
        <v>322</v>
      </c>
      <c r="K22" s="29">
        <v>364</v>
      </c>
      <c r="L22" s="29">
        <v>1014</v>
      </c>
      <c r="M22" s="29">
        <v>615</v>
      </c>
      <c r="N22" s="29">
        <v>774</v>
      </c>
      <c r="O22" s="30" t="s">
        <v>88</v>
      </c>
      <c r="P22" s="16"/>
      <c r="AE22" s="20" t="s">
        <v>2</v>
      </c>
      <c r="AF22" s="21">
        <f>C7+C21+C29+C38+C46</f>
        <v>83528</v>
      </c>
      <c r="AG22" s="21">
        <f>D7+D21+D29+D38+D46</f>
        <v>93617</v>
      </c>
      <c r="AH22" s="21">
        <f>E7+E21+E29+E38+E46</f>
        <v>92474</v>
      </c>
      <c r="AI22" s="21">
        <f>F7+F21+F29+F38+F46</f>
        <v>88031</v>
      </c>
      <c r="AJ22" s="21">
        <f>G7+G21+G29+G38+G46</f>
        <v>38519</v>
      </c>
      <c r="AK22" s="21">
        <f>H7+H21+H29+H38+H46</f>
        <v>37678</v>
      </c>
      <c r="AL22" s="21">
        <f>I7+I21+I29+I38+I46</f>
        <v>53318</v>
      </c>
      <c r="AM22" s="21">
        <f>J7+J21+J29+J38+J46</f>
        <v>59208</v>
      </c>
      <c r="AN22" s="21">
        <f>K7+K21+K29+K38+K46</f>
        <v>48284</v>
      </c>
      <c r="AO22" s="21">
        <f>L7+L21+L29+L38+L46</f>
        <v>70888</v>
      </c>
      <c r="AP22" s="21">
        <f>M7+M21+M29+M38+M46</f>
        <v>74548</v>
      </c>
      <c r="AQ22" s="21">
        <f>N7+N21+N29+N38+N46</f>
        <v>93846</v>
      </c>
      <c r="AR22" s="21">
        <f t="shared" ref="AR22:AR24" si="6">SUM(AF22:AQ22)</f>
        <v>833939</v>
      </c>
    </row>
    <row r="23" spans="1:44" s="20" customFormat="1" ht="18" customHeight="1">
      <c r="A23" s="27" t="s">
        <v>89</v>
      </c>
      <c r="B23" s="28">
        <f t="shared" si="4"/>
        <v>5315</v>
      </c>
      <c r="C23" s="29">
        <v>689</v>
      </c>
      <c r="D23" s="29">
        <v>806</v>
      </c>
      <c r="E23" s="29">
        <v>452</v>
      </c>
      <c r="F23" s="29">
        <v>356</v>
      </c>
      <c r="G23" s="29">
        <v>187</v>
      </c>
      <c r="H23" s="29">
        <v>200</v>
      </c>
      <c r="I23" s="29">
        <v>253</v>
      </c>
      <c r="J23" s="29">
        <v>154</v>
      </c>
      <c r="K23" s="29">
        <v>245</v>
      </c>
      <c r="L23" s="29">
        <v>501</v>
      </c>
      <c r="M23" s="29">
        <v>568</v>
      </c>
      <c r="N23" s="29">
        <v>904</v>
      </c>
      <c r="O23" s="30" t="s">
        <v>6</v>
      </c>
      <c r="AE23" s="20" t="s">
        <v>16</v>
      </c>
      <c r="AF23" s="21">
        <f>C50</f>
        <v>51613</v>
      </c>
      <c r="AG23" s="21">
        <f>D50</f>
        <v>59047</v>
      </c>
      <c r="AH23" s="21">
        <f>E50</f>
        <v>49491</v>
      </c>
      <c r="AI23" s="21">
        <f>F50</f>
        <v>54400</v>
      </c>
      <c r="AJ23" s="21">
        <f>G50</f>
        <v>54073</v>
      </c>
      <c r="AK23" s="21">
        <f>H50</f>
        <v>58110</v>
      </c>
      <c r="AL23" s="21">
        <f>I50</f>
        <v>60212</v>
      </c>
      <c r="AM23" s="21">
        <f>J50</f>
        <v>61791</v>
      </c>
      <c r="AN23" s="21">
        <f>K50</f>
        <v>53026</v>
      </c>
      <c r="AO23" s="21">
        <f>L50</f>
        <v>55839</v>
      </c>
      <c r="AP23" s="21">
        <f>M50</f>
        <v>46243</v>
      </c>
      <c r="AQ23" s="21">
        <f>N50</f>
        <v>57155</v>
      </c>
      <c r="AR23" s="21">
        <f t="shared" si="6"/>
        <v>661000</v>
      </c>
    </row>
    <row r="24" spans="1:44" s="20" customFormat="1" ht="18" customHeight="1">
      <c r="A24" s="27" t="s">
        <v>90</v>
      </c>
      <c r="B24" s="28">
        <f t="shared" si="4"/>
        <v>4287</v>
      </c>
      <c r="C24" s="29">
        <v>368</v>
      </c>
      <c r="D24" s="29">
        <v>347</v>
      </c>
      <c r="E24" s="29">
        <v>377</v>
      </c>
      <c r="F24" s="29">
        <v>491</v>
      </c>
      <c r="G24" s="29">
        <v>253</v>
      </c>
      <c r="H24" s="29">
        <v>363</v>
      </c>
      <c r="I24" s="29">
        <v>386</v>
      </c>
      <c r="J24" s="29">
        <v>339</v>
      </c>
      <c r="K24" s="29">
        <v>326</v>
      </c>
      <c r="L24" s="29">
        <v>316</v>
      </c>
      <c r="M24" s="29">
        <v>348</v>
      </c>
      <c r="N24" s="29">
        <v>373</v>
      </c>
      <c r="O24" s="30" t="s">
        <v>91</v>
      </c>
      <c r="P24" s="16"/>
      <c r="AE24" s="20" t="s">
        <v>92</v>
      </c>
      <c r="AF24" s="21">
        <f>AF21-AF22-AF23</f>
        <v>16411</v>
      </c>
      <c r="AG24" s="20">
        <f t="shared" ref="AG24:AQ24" si="7">AG21-AG22-AG23</f>
        <v>15919</v>
      </c>
      <c r="AH24" s="20">
        <f t="shared" si="7"/>
        <v>20878</v>
      </c>
      <c r="AI24" s="20">
        <f t="shared" si="7"/>
        <v>20683</v>
      </c>
      <c r="AJ24" s="20">
        <f t="shared" si="7"/>
        <v>10430</v>
      </c>
      <c r="AK24" s="20">
        <f t="shared" si="7"/>
        <v>17687</v>
      </c>
      <c r="AL24" s="20">
        <f t="shared" si="7"/>
        <v>18614</v>
      </c>
      <c r="AM24" s="20">
        <f t="shared" si="7"/>
        <v>18339</v>
      </c>
      <c r="AN24" s="20">
        <f t="shared" si="7"/>
        <v>16309</v>
      </c>
      <c r="AO24" s="20">
        <f t="shared" si="7"/>
        <v>15201</v>
      </c>
      <c r="AP24" s="20">
        <f t="shared" si="7"/>
        <v>17130</v>
      </c>
      <c r="AQ24" s="20">
        <f t="shared" si="7"/>
        <v>20347</v>
      </c>
      <c r="AR24" s="21">
        <f t="shared" si="6"/>
        <v>207948</v>
      </c>
    </row>
    <row r="25" spans="1:44" s="20" customFormat="1" ht="18" customHeight="1">
      <c r="A25" s="27" t="s">
        <v>93</v>
      </c>
      <c r="B25" s="28">
        <f t="shared" si="4"/>
        <v>5641</v>
      </c>
      <c r="C25" s="29">
        <v>537</v>
      </c>
      <c r="D25" s="29">
        <v>746</v>
      </c>
      <c r="E25" s="29">
        <v>387</v>
      </c>
      <c r="F25" s="29">
        <v>516</v>
      </c>
      <c r="G25" s="29">
        <v>146</v>
      </c>
      <c r="H25" s="29">
        <v>398</v>
      </c>
      <c r="I25" s="29">
        <v>1029</v>
      </c>
      <c r="J25" s="29">
        <v>222</v>
      </c>
      <c r="K25" s="29">
        <v>322</v>
      </c>
      <c r="L25" s="29">
        <v>345</v>
      </c>
      <c r="M25" s="29">
        <v>416</v>
      </c>
      <c r="N25" s="29">
        <v>577</v>
      </c>
      <c r="O25" s="30" t="s">
        <v>94</v>
      </c>
      <c r="AE25" s="3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4" s="20" customFormat="1" ht="18" customHeight="1">
      <c r="A26" s="27" t="s">
        <v>95</v>
      </c>
      <c r="B26" s="28">
        <f t="shared" si="4"/>
        <v>13245</v>
      </c>
      <c r="C26" s="29">
        <v>1707</v>
      </c>
      <c r="D26" s="29">
        <v>2063</v>
      </c>
      <c r="E26" s="29">
        <v>1197</v>
      </c>
      <c r="F26" s="29">
        <v>998</v>
      </c>
      <c r="G26" s="29">
        <v>369</v>
      </c>
      <c r="H26" s="29">
        <v>492</v>
      </c>
      <c r="I26" s="29">
        <v>727</v>
      </c>
      <c r="J26" s="29">
        <v>333</v>
      </c>
      <c r="K26" s="29">
        <v>370</v>
      </c>
      <c r="L26" s="29">
        <v>1455</v>
      </c>
      <c r="M26" s="29">
        <v>972</v>
      </c>
      <c r="N26" s="29">
        <v>2562</v>
      </c>
      <c r="O26" s="30" t="s">
        <v>96</v>
      </c>
      <c r="P26" s="16"/>
      <c r="AE26" s="3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4" s="20" customFormat="1" ht="18" customHeight="1">
      <c r="A27" s="27" t="s">
        <v>97</v>
      </c>
      <c r="B27" s="28">
        <f t="shared" si="4"/>
        <v>126199</v>
      </c>
      <c r="C27" s="29">
        <v>10175</v>
      </c>
      <c r="D27" s="29">
        <v>13564</v>
      </c>
      <c r="E27" s="29">
        <v>12377</v>
      </c>
      <c r="F27" s="29">
        <v>12876</v>
      </c>
      <c r="G27" s="29">
        <v>8655</v>
      </c>
      <c r="H27" s="29">
        <v>7145</v>
      </c>
      <c r="I27" s="29">
        <v>8470</v>
      </c>
      <c r="J27" s="29">
        <v>9827</v>
      </c>
      <c r="K27" s="29">
        <v>7876</v>
      </c>
      <c r="L27" s="29">
        <v>11321</v>
      </c>
      <c r="M27" s="29">
        <v>11936</v>
      </c>
      <c r="N27" s="29">
        <v>11977</v>
      </c>
      <c r="O27" s="30" t="s">
        <v>14</v>
      </c>
      <c r="AE27" s="21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4" s="20" customFormat="1" ht="18" customHeight="1">
      <c r="A28" s="27" t="s">
        <v>85</v>
      </c>
      <c r="B28" s="28">
        <f t="shared" si="4"/>
        <v>238</v>
      </c>
      <c r="C28" s="29">
        <v>43</v>
      </c>
      <c r="D28" s="29">
        <v>36</v>
      </c>
      <c r="E28" s="29">
        <v>28</v>
      </c>
      <c r="F28" s="29">
        <v>31</v>
      </c>
      <c r="G28" s="29">
        <v>7</v>
      </c>
      <c r="H28" s="29">
        <v>11</v>
      </c>
      <c r="I28" s="29">
        <v>7</v>
      </c>
      <c r="J28" s="29">
        <v>6</v>
      </c>
      <c r="K28" s="29">
        <v>3</v>
      </c>
      <c r="L28" s="29">
        <v>30</v>
      </c>
      <c r="M28" s="29">
        <v>13</v>
      </c>
      <c r="N28" s="29">
        <v>23</v>
      </c>
      <c r="O28" s="30" t="s">
        <v>15</v>
      </c>
      <c r="P28" s="16"/>
      <c r="AE28" s="24"/>
      <c r="AF28" s="4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</row>
    <row r="29" spans="1:44" s="20" customFormat="1" ht="18" customHeight="1">
      <c r="A29" s="25" t="s">
        <v>50</v>
      </c>
      <c r="B29" s="28">
        <f>SUM(C29:N29)</f>
        <v>199553</v>
      </c>
      <c r="C29" s="32">
        <f>SUM(C30:C37)</f>
        <v>20372</v>
      </c>
      <c r="D29" s="32">
        <f t="shared" ref="D29" si="8">SUM(D30:D37)</f>
        <v>21644</v>
      </c>
      <c r="E29" s="32">
        <v>22136</v>
      </c>
      <c r="F29" s="32">
        <v>20877</v>
      </c>
      <c r="G29" s="32">
        <v>6396</v>
      </c>
      <c r="H29" s="32">
        <v>8071</v>
      </c>
      <c r="I29" s="32">
        <v>11816</v>
      </c>
      <c r="J29" s="32">
        <v>20516</v>
      </c>
      <c r="K29" s="32">
        <v>11435</v>
      </c>
      <c r="L29" s="32">
        <v>12712</v>
      </c>
      <c r="M29" s="32">
        <v>16310</v>
      </c>
      <c r="N29" s="32">
        <v>27268</v>
      </c>
      <c r="O29" s="33" t="s">
        <v>98</v>
      </c>
      <c r="AF29" s="4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</row>
    <row r="30" spans="1:44" s="20" customFormat="1" ht="18" customHeight="1">
      <c r="A30" s="27" t="s">
        <v>99</v>
      </c>
      <c r="B30" s="28">
        <f t="shared" si="4"/>
        <v>2192</v>
      </c>
      <c r="C30" s="32">
        <v>429</v>
      </c>
      <c r="D30" s="32">
        <v>258</v>
      </c>
      <c r="E30" s="32">
        <v>178</v>
      </c>
      <c r="F30" s="32">
        <v>196</v>
      </c>
      <c r="G30" s="32">
        <v>97</v>
      </c>
      <c r="H30" s="32">
        <v>80</v>
      </c>
      <c r="I30" s="32">
        <v>94</v>
      </c>
      <c r="J30" s="32">
        <v>109</v>
      </c>
      <c r="K30" s="32">
        <v>88</v>
      </c>
      <c r="L30" s="32">
        <v>213</v>
      </c>
      <c r="M30" s="32">
        <v>179</v>
      </c>
      <c r="N30" s="32">
        <v>271</v>
      </c>
      <c r="O30" s="43" t="s">
        <v>100</v>
      </c>
      <c r="AF30" s="4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</row>
    <row r="31" spans="1:44" s="20" customFormat="1" ht="18" customHeight="1">
      <c r="A31" s="27" t="s">
        <v>101</v>
      </c>
      <c r="B31" s="28">
        <f t="shared" si="4"/>
        <v>2805</v>
      </c>
      <c r="C31" s="29">
        <v>276</v>
      </c>
      <c r="D31" s="29">
        <v>258</v>
      </c>
      <c r="E31" s="29">
        <v>252</v>
      </c>
      <c r="F31" s="29">
        <v>293</v>
      </c>
      <c r="G31" s="29">
        <v>63</v>
      </c>
      <c r="H31" s="29">
        <v>119</v>
      </c>
      <c r="I31" s="29">
        <v>143</v>
      </c>
      <c r="J31" s="29">
        <v>284</v>
      </c>
      <c r="K31" s="29">
        <v>156</v>
      </c>
      <c r="L31" s="29">
        <v>241</v>
      </c>
      <c r="M31" s="29">
        <v>264</v>
      </c>
      <c r="N31" s="29">
        <v>456</v>
      </c>
      <c r="O31" s="30" t="s">
        <v>8</v>
      </c>
      <c r="P31" s="16"/>
      <c r="AF31" s="4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</row>
    <row r="32" spans="1:44" s="20" customFormat="1" ht="18" customHeight="1">
      <c r="A32" s="27" t="s">
        <v>102</v>
      </c>
      <c r="B32" s="28">
        <f t="shared" si="4"/>
        <v>136343</v>
      </c>
      <c r="C32" s="29">
        <v>16768</v>
      </c>
      <c r="D32" s="29">
        <v>17795</v>
      </c>
      <c r="E32" s="29">
        <v>18285</v>
      </c>
      <c r="F32" s="29">
        <v>15043</v>
      </c>
      <c r="G32" s="29">
        <v>3443</v>
      </c>
      <c r="H32" s="29">
        <v>4042</v>
      </c>
      <c r="I32" s="29">
        <v>5337</v>
      </c>
      <c r="J32" s="29">
        <v>11449</v>
      </c>
      <c r="K32" s="29">
        <v>5213</v>
      </c>
      <c r="L32" s="29">
        <v>6560</v>
      </c>
      <c r="M32" s="29">
        <v>11114</v>
      </c>
      <c r="N32" s="29">
        <v>21294</v>
      </c>
      <c r="O32" s="30" t="s">
        <v>9</v>
      </c>
      <c r="AF32" s="4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</row>
    <row r="33" spans="1:32" s="20" customFormat="1" ht="18" customHeight="1">
      <c r="A33" s="27" t="s">
        <v>103</v>
      </c>
      <c r="B33" s="28">
        <f t="shared" si="4"/>
        <v>11428</v>
      </c>
      <c r="C33" s="29">
        <v>532</v>
      </c>
      <c r="D33" s="29">
        <v>509</v>
      </c>
      <c r="E33" s="29">
        <v>757</v>
      </c>
      <c r="F33" s="29">
        <v>1528</v>
      </c>
      <c r="G33" s="29">
        <v>728</v>
      </c>
      <c r="H33" s="29">
        <v>946</v>
      </c>
      <c r="I33" s="29">
        <v>1105</v>
      </c>
      <c r="J33" s="29">
        <v>1343</v>
      </c>
      <c r="K33" s="29">
        <v>1089</v>
      </c>
      <c r="L33" s="29">
        <v>1062</v>
      </c>
      <c r="M33" s="29">
        <v>822</v>
      </c>
      <c r="N33" s="29">
        <v>1007</v>
      </c>
      <c r="O33" s="30" t="s">
        <v>10</v>
      </c>
      <c r="P33" s="16"/>
      <c r="AF33" s="4"/>
    </row>
    <row r="34" spans="1:32" s="20" customFormat="1" ht="18" customHeight="1">
      <c r="A34" s="27" t="s">
        <v>104</v>
      </c>
      <c r="B34" s="28">
        <f t="shared" si="4"/>
        <v>3130</v>
      </c>
      <c r="C34" s="29">
        <v>305</v>
      </c>
      <c r="D34" s="29">
        <v>411</v>
      </c>
      <c r="E34" s="29">
        <v>225</v>
      </c>
      <c r="F34" s="29">
        <v>247</v>
      </c>
      <c r="G34" s="29">
        <v>157</v>
      </c>
      <c r="H34" s="29">
        <v>203</v>
      </c>
      <c r="I34" s="29">
        <v>228</v>
      </c>
      <c r="J34" s="29">
        <v>237</v>
      </c>
      <c r="K34" s="29">
        <v>297</v>
      </c>
      <c r="L34" s="29">
        <v>216</v>
      </c>
      <c r="M34" s="29">
        <v>301</v>
      </c>
      <c r="N34" s="29">
        <v>303</v>
      </c>
      <c r="O34" s="30" t="s">
        <v>105</v>
      </c>
      <c r="P34" s="16"/>
      <c r="AF34" s="4"/>
    </row>
    <row r="35" spans="1:32" s="20" customFormat="1" ht="18" customHeight="1">
      <c r="A35" s="27" t="s">
        <v>106</v>
      </c>
      <c r="B35" s="28">
        <f t="shared" si="4"/>
        <v>3693</v>
      </c>
      <c r="C35" s="29">
        <v>356</v>
      </c>
      <c r="D35" s="29">
        <v>708</v>
      </c>
      <c r="E35" s="29">
        <v>306</v>
      </c>
      <c r="F35" s="29">
        <v>271</v>
      </c>
      <c r="G35" s="29">
        <v>85</v>
      </c>
      <c r="H35" s="29">
        <v>99</v>
      </c>
      <c r="I35" s="29">
        <v>327</v>
      </c>
      <c r="J35" s="29">
        <v>202</v>
      </c>
      <c r="K35" s="29">
        <v>118</v>
      </c>
      <c r="L35" s="29">
        <v>480</v>
      </c>
      <c r="M35" s="29">
        <v>265</v>
      </c>
      <c r="N35" s="29">
        <v>476</v>
      </c>
      <c r="O35" s="30" t="s">
        <v>107</v>
      </c>
      <c r="AE35" s="21"/>
      <c r="AF35" s="4"/>
    </row>
    <row r="36" spans="1:32" s="20" customFormat="1" ht="18" customHeight="1">
      <c r="A36" s="27" t="s">
        <v>108</v>
      </c>
      <c r="B36" s="28">
        <f t="shared" si="4"/>
        <v>36064</v>
      </c>
      <c r="C36" s="29">
        <v>1385</v>
      </c>
      <c r="D36" s="29">
        <v>1392</v>
      </c>
      <c r="E36" s="29">
        <v>1778</v>
      </c>
      <c r="F36" s="29">
        <v>2936</v>
      </c>
      <c r="G36" s="29">
        <v>1669</v>
      </c>
      <c r="H36" s="29">
        <v>2364</v>
      </c>
      <c r="I36" s="29">
        <v>4313</v>
      </c>
      <c r="J36" s="29">
        <v>6555</v>
      </c>
      <c r="K36" s="29">
        <v>4046</v>
      </c>
      <c r="L36" s="29">
        <v>3609</v>
      </c>
      <c r="M36" s="29">
        <v>3004</v>
      </c>
      <c r="N36" s="29">
        <v>3013</v>
      </c>
      <c r="O36" s="30" t="s">
        <v>13</v>
      </c>
      <c r="P36" s="16"/>
      <c r="AE36" s="24"/>
      <c r="AF36" s="4"/>
    </row>
    <row r="37" spans="1:32" s="20" customFormat="1" ht="18" customHeight="1">
      <c r="A37" s="27" t="s">
        <v>85</v>
      </c>
      <c r="B37" s="28">
        <f t="shared" si="4"/>
        <v>3898</v>
      </c>
      <c r="C37" s="29">
        <v>321</v>
      </c>
      <c r="D37" s="29">
        <v>313</v>
      </c>
      <c r="E37" s="29">
        <v>355</v>
      </c>
      <c r="F37" s="29">
        <v>363</v>
      </c>
      <c r="G37" s="29">
        <v>154</v>
      </c>
      <c r="H37" s="29">
        <v>218</v>
      </c>
      <c r="I37" s="29">
        <v>269</v>
      </c>
      <c r="J37" s="29">
        <v>337</v>
      </c>
      <c r="K37" s="29">
        <v>428</v>
      </c>
      <c r="L37" s="29">
        <v>331</v>
      </c>
      <c r="M37" s="29">
        <v>361</v>
      </c>
      <c r="N37" s="29">
        <v>448</v>
      </c>
      <c r="O37" s="30" t="s">
        <v>15</v>
      </c>
      <c r="AF37" s="4"/>
    </row>
    <row r="38" spans="1:32" s="20" customFormat="1" ht="18" customHeight="1">
      <c r="A38" s="25" t="s">
        <v>51</v>
      </c>
      <c r="B38" s="28">
        <f t="shared" si="4"/>
        <v>267702</v>
      </c>
      <c r="C38" s="32">
        <f>SUM(C39:C45)</f>
        <v>24323</v>
      </c>
      <c r="D38" s="32">
        <f t="shared" ref="D38" si="9">SUM(D39:D45)</f>
        <v>30889</v>
      </c>
      <c r="E38" s="32">
        <v>33506</v>
      </c>
      <c r="F38" s="32">
        <v>35207</v>
      </c>
      <c r="G38" s="32">
        <v>12423</v>
      </c>
      <c r="H38" s="32">
        <v>10540</v>
      </c>
      <c r="I38" s="32">
        <v>16273</v>
      </c>
      <c r="J38" s="32">
        <v>14641</v>
      </c>
      <c r="K38" s="32">
        <v>15168</v>
      </c>
      <c r="L38" s="32">
        <v>24577</v>
      </c>
      <c r="M38" s="32">
        <v>24044</v>
      </c>
      <c r="N38" s="32">
        <v>26111</v>
      </c>
      <c r="O38" s="33" t="s">
        <v>109</v>
      </c>
      <c r="P38" s="16"/>
      <c r="AF38" s="4"/>
    </row>
    <row r="39" spans="1:32" s="20" customFormat="1" ht="18" customHeight="1">
      <c r="A39" s="27" t="s">
        <v>110</v>
      </c>
      <c r="B39" s="28">
        <f t="shared" si="4"/>
        <v>21839</v>
      </c>
      <c r="C39" s="29">
        <v>2593</v>
      </c>
      <c r="D39" s="29">
        <v>3285</v>
      </c>
      <c r="E39" s="29">
        <v>2340</v>
      </c>
      <c r="F39" s="29">
        <v>2257</v>
      </c>
      <c r="G39" s="29">
        <v>933</v>
      </c>
      <c r="H39" s="29">
        <v>592</v>
      </c>
      <c r="I39" s="29">
        <v>1415</v>
      </c>
      <c r="J39" s="29">
        <v>1108</v>
      </c>
      <c r="K39" s="29">
        <v>877</v>
      </c>
      <c r="L39" s="29">
        <v>1613</v>
      </c>
      <c r="M39" s="29">
        <v>2229</v>
      </c>
      <c r="N39" s="29">
        <v>2597</v>
      </c>
      <c r="O39" s="30" t="s">
        <v>4</v>
      </c>
    </row>
    <row r="40" spans="1:32" s="20" customFormat="1" ht="18" customHeight="1">
      <c r="A40" s="27" t="s">
        <v>111</v>
      </c>
      <c r="B40" s="28">
        <f t="shared" si="4"/>
        <v>7305</v>
      </c>
      <c r="C40" s="29">
        <v>676</v>
      </c>
      <c r="D40" s="29">
        <v>669</v>
      </c>
      <c r="E40" s="29">
        <v>844</v>
      </c>
      <c r="F40" s="29">
        <v>1052</v>
      </c>
      <c r="G40" s="29">
        <v>281</v>
      </c>
      <c r="H40" s="29">
        <v>294</v>
      </c>
      <c r="I40" s="29">
        <v>713</v>
      </c>
      <c r="J40" s="29">
        <v>460</v>
      </c>
      <c r="K40" s="29">
        <v>478</v>
      </c>
      <c r="L40" s="29">
        <v>559</v>
      </c>
      <c r="M40" s="29">
        <v>518</v>
      </c>
      <c r="N40" s="29">
        <v>761</v>
      </c>
      <c r="O40" s="30" t="s">
        <v>5</v>
      </c>
      <c r="P40" s="16"/>
    </row>
    <row r="41" spans="1:32" s="20" customFormat="1" ht="18" customHeight="1">
      <c r="A41" s="27" t="s">
        <v>112</v>
      </c>
      <c r="B41" s="28">
        <f t="shared" si="4"/>
        <v>59738</v>
      </c>
      <c r="C41" s="29">
        <v>7153</v>
      </c>
      <c r="D41" s="29">
        <v>10730</v>
      </c>
      <c r="E41" s="29">
        <v>8809</v>
      </c>
      <c r="F41" s="29">
        <v>7244</v>
      </c>
      <c r="G41" s="29">
        <v>2008</v>
      </c>
      <c r="H41" s="29">
        <v>1439</v>
      </c>
      <c r="I41" s="29">
        <v>2242</v>
      </c>
      <c r="J41" s="29">
        <v>3173</v>
      </c>
      <c r="K41" s="29">
        <v>1924</v>
      </c>
      <c r="L41" s="29">
        <v>3940</v>
      </c>
      <c r="M41" s="29">
        <v>4229</v>
      </c>
      <c r="N41" s="29">
        <v>6847</v>
      </c>
      <c r="O41" s="30" t="s">
        <v>7</v>
      </c>
    </row>
    <row r="42" spans="1:32" s="20" customFormat="1" ht="18" customHeight="1">
      <c r="A42" s="27" t="s">
        <v>113</v>
      </c>
      <c r="B42" s="28">
        <f t="shared" si="4"/>
        <v>131561</v>
      </c>
      <c r="C42" s="29">
        <v>9819</v>
      </c>
      <c r="D42" s="29">
        <v>11140</v>
      </c>
      <c r="E42" s="29">
        <v>16320</v>
      </c>
      <c r="F42" s="29">
        <v>17583</v>
      </c>
      <c r="G42" s="29">
        <v>7545</v>
      </c>
      <c r="H42" s="29">
        <v>6830</v>
      </c>
      <c r="I42" s="29">
        <v>8266</v>
      </c>
      <c r="J42" s="29">
        <v>7242</v>
      </c>
      <c r="K42" s="29">
        <v>8982</v>
      </c>
      <c r="L42" s="29">
        <v>13625</v>
      </c>
      <c r="M42" s="29">
        <v>12816</v>
      </c>
      <c r="N42" s="29">
        <v>11393</v>
      </c>
      <c r="O42" s="30" t="s">
        <v>114</v>
      </c>
      <c r="P42" s="16"/>
    </row>
    <row r="43" spans="1:32" s="20" customFormat="1" ht="18" customHeight="1">
      <c r="A43" s="31" t="s">
        <v>115</v>
      </c>
      <c r="B43" s="28">
        <f t="shared" si="4"/>
        <v>12261</v>
      </c>
      <c r="C43" s="29">
        <v>1057</v>
      </c>
      <c r="D43" s="29">
        <v>1127</v>
      </c>
      <c r="E43" s="29">
        <v>1142</v>
      </c>
      <c r="F43" s="29">
        <v>1162</v>
      </c>
      <c r="G43" s="29">
        <v>482</v>
      </c>
      <c r="H43" s="29">
        <v>537</v>
      </c>
      <c r="I43" s="29">
        <v>1296</v>
      </c>
      <c r="J43" s="29">
        <v>1772</v>
      </c>
      <c r="K43" s="29">
        <v>1063</v>
      </c>
      <c r="L43" s="29">
        <v>840</v>
      </c>
      <c r="M43" s="29">
        <v>789</v>
      </c>
      <c r="N43" s="29">
        <v>994</v>
      </c>
      <c r="O43" s="30" t="s">
        <v>116</v>
      </c>
    </row>
    <row r="44" spans="1:32" s="20" customFormat="1" ht="18" customHeight="1">
      <c r="A44" s="27" t="s">
        <v>117</v>
      </c>
      <c r="B44" s="28">
        <f t="shared" si="4"/>
        <v>33829</v>
      </c>
      <c r="C44" s="29">
        <v>2966</v>
      </c>
      <c r="D44" s="29">
        <v>3819</v>
      </c>
      <c r="E44" s="29">
        <v>3911</v>
      </c>
      <c r="F44" s="29">
        <v>5656</v>
      </c>
      <c r="G44" s="29">
        <v>1148</v>
      </c>
      <c r="H44" s="29">
        <v>814</v>
      </c>
      <c r="I44" s="29">
        <v>2273</v>
      </c>
      <c r="J44" s="29">
        <v>766</v>
      </c>
      <c r="K44" s="29">
        <v>1804</v>
      </c>
      <c r="L44" s="29">
        <v>3892</v>
      </c>
      <c r="M44" s="29">
        <v>3387</v>
      </c>
      <c r="N44" s="29">
        <v>3393</v>
      </c>
      <c r="O44" s="30" t="s">
        <v>118</v>
      </c>
      <c r="P44" s="16"/>
      <c r="AC44" s="20" t="s">
        <v>119</v>
      </c>
    </row>
    <row r="45" spans="1:32" s="20" customFormat="1" ht="18" customHeight="1">
      <c r="A45" s="27" t="s">
        <v>85</v>
      </c>
      <c r="B45" s="28">
        <f t="shared" si="4"/>
        <v>1169</v>
      </c>
      <c r="C45" s="29">
        <v>59</v>
      </c>
      <c r="D45" s="29">
        <v>119</v>
      </c>
      <c r="E45" s="29">
        <v>140</v>
      </c>
      <c r="F45" s="29">
        <v>253</v>
      </c>
      <c r="G45" s="29">
        <v>26</v>
      </c>
      <c r="H45" s="29">
        <v>34</v>
      </c>
      <c r="I45" s="29">
        <v>68</v>
      </c>
      <c r="J45" s="29">
        <v>120</v>
      </c>
      <c r="K45" s="29">
        <v>40</v>
      </c>
      <c r="L45" s="29">
        <v>108</v>
      </c>
      <c r="M45" s="29">
        <v>76</v>
      </c>
      <c r="N45" s="29">
        <v>126</v>
      </c>
      <c r="O45" s="30" t="s">
        <v>15</v>
      </c>
    </row>
    <row r="46" spans="1:32" s="20" customFormat="1" ht="23.25" customHeight="1">
      <c r="A46" s="34" t="s">
        <v>52</v>
      </c>
      <c r="B46" s="28">
        <f t="shared" si="4"/>
        <v>21273</v>
      </c>
      <c r="C46" s="32">
        <f>SUM(C47:C49)</f>
        <v>1887</v>
      </c>
      <c r="D46" s="32">
        <f t="shared" ref="D46" si="10">SUM(D47:D49)</f>
        <v>1550</v>
      </c>
      <c r="E46" s="32">
        <v>1442</v>
      </c>
      <c r="F46" s="32">
        <v>1970</v>
      </c>
      <c r="G46" s="32">
        <v>819</v>
      </c>
      <c r="H46" s="32">
        <v>1314</v>
      </c>
      <c r="I46" s="32">
        <v>1741</v>
      </c>
      <c r="J46" s="32">
        <v>2135</v>
      </c>
      <c r="K46" s="32">
        <v>2222</v>
      </c>
      <c r="L46" s="32">
        <v>2805</v>
      </c>
      <c r="M46" s="32">
        <v>1671</v>
      </c>
      <c r="N46" s="32">
        <v>1717</v>
      </c>
      <c r="O46" s="33" t="s">
        <v>120</v>
      </c>
      <c r="P46" s="16"/>
    </row>
    <row r="47" spans="1:32" s="20" customFormat="1" ht="18" customHeight="1">
      <c r="A47" s="31" t="s">
        <v>121</v>
      </c>
      <c r="B47" s="28">
        <f t="shared" si="4"/>
        <v>10424</v>
      </c>
      <c r="C47" s="29">
        <v>570</v>
      </c>
      <c r="D47" s="29">
        <v>462</v>
      </c>
      <c r="E47" s="29">
        <v>648</v>
      </c>
      <c r="F47" s="29">
        <v>1109</v>
      </c>
      <c r="G47" s="29">
        <v>408</v>
      </c>
      <c r="H47" s="29">
        <v>439</v>
      </c>
      <c r="I47" s="29">
        <v>841</v>
      </c>
      <c r="J47" s="29">
        <v>1255</v>
      </c>
      <c r="K47" s="29">
        <v>1287</v>
      </c>
      <c r="L47" s="29">
        <v>2153</v>
      </c>
      <c r="M47" s="29">
        <v>492</v>
      </c>
      <c r="N47" s="29">
        <v>760</v>
      </c>
      <c r="O47" s="30" t="s">
        <v>122</v>
      </c>
    </row>
    <row r="48" spans="1:32" s="20" customFormat="1" ht="18" customHeight="1">
      <c r="A48" s="27" t="s">
        <v>123</v>
      </c>
      <c r="B48" s="28">
        <f t="shared" si="4"/>
        <v>9976</v>
      </c>
      <c r="C48" s="29">
        <v>1256</v>
      </c>
      <c r="D48" s="29">
        <v>1001</v>
      </c>
      <c r="E48" s="29">
        <v>735</v>
      </c>
      <c r="F48" s="29">
        <v>746</v>
      </c>
      <c r="G48" s="29">
        <v>382</v>
      </c>
      <c r="H48" s="29">
        <v>843</v>
      </c>
      <c r="I48" s="29">
        <v>848</v>
      </c>
      <c r="J48" s="29">
        <v>745</v>
      </c>
      <c r="K48" s="29">
        <v>907</v>
      </c>
      <c r="L48" s="29">
        <v>596</v>
      </c>
      <c r="M48" s="29">
        <v>1115</v>
      </c>
      <c r="N48" s="29">
        <v>802</v>
      </c>
      <c r="O48" s="30" t="s">
        <v>124</v>
      </c>
      <c r="P48" s="16"/>
    </row>
    <row r="49" spans="1:16" s="20" customFormat="1" ht="18" customHeight="1">
      <c r="A49" s="35" t="s">
        <v>85</v>
      </c>
      <c r="B49" s="36">
        <f t="shared" si="4"/>
        <v>873</v>
      </c>
      <c r="C49" s="37">
        <v>61</v>
      </c>
      <c r="D49" s="37">
        <v>87</v>
      </c>
      <c r="E49" s="37">
        <v>59</v>
      </c>
      <c r="F49" s="37">
        <v>115</v>
      </c>
      <c r="G49" s="37">
        <v>29</v>
      </c>
      <c r="H49" s="37">
        <v>32</v>
      </c>
      <c r="I49" s="37">
        <v>52</v>
      </c>
      <c r="J49" s="37">
        <v>135</v>
      </c>
      <c r="K49" s="37">
        <v>28</v>
      </c>
      <c r="L49" s="37">
        <v>56</v>
      </c>
      <c r="M49" s="37">
        <v>64</v>
      </c>
      <c r="N49" s="37">
        <v>155</v>
      </c>
      <c r="O49" s="38" t="s">
        <v>15</v>
      </c>
    </row>
    <row r="50" spans="1:16" s="20" customFormat="1" ht="23.25" customHeight="1">
      <c r="A50" s="22" t="s">
        <v>16</v>
      </c>
      <c r="B50" s="4">
        <f t="shared" si="4"/>
        <v>661000</v>
      </c>
      <c r="C50" s="4">
        <f>C51+C57+C66</f>
        <v>51613</v>
      </c>
      <c r="D50" s="4">
        <f t="shared" ref="D50:N50" si="11">D51+D57+D66</f>
        <v>59047</v>
      </c>
      <c r="E50" s="4">
        <f t="shared" si="11"/>
        <v>49491</v>
      </c>
      <c r="F50" s="4">
        <f t="shared" si="11"/>
        <v>54400</v>
      </c>
      <c r="G50" s="4">
        <f t="shared" si="11"/>
        <v>54073</v>
      </c>
      <c r="H50" s="4">
        <f t="shared" si="11"/>
        <v>58110</v>
      </c>
      <c r="I50" s="4">
        <f t="shared" si="11"/>
        <v>60212</v>
      </c>
      <c r="J50" s="4">
        <f t="shared" si="11"/>
        <v>61791</v>
      </c>
      <c r="K50" s="4">
        <f t="shared" si="11"/>
        <v>53026</v>
      </c>
      <c r="L50" s="4">
        <f t="shared" si="11"/>
        <v>55839</v>
      </c>
      <c r="M50" s="4">
        <f t="shared" si="11"/>
        <v>46243</v>
      </c>
      <c r="N50" s="4">
        <f t="shared" si="11"/>
        <v>57155</v>
      </c>
      <c r="O50" s="39" t="s">
        <v>17</v>
      </c>
      <c r="P50" s="16"/>
    </row>
    <row r="51" spans="1:16" s="20" customFormat="1" ht="18" customHeight="1">
      <c r="A51" s="25" t="s">
        <v>53</v>
      </c>
      <c r="B51" s="28">
        <f t="shared" si="4"/>
        <v>380623</v>
      </c>
      <c r="C51" s="32">
        <f>SUM(C52:C56)</f>
        <v>33201</v>
      </c>
      <c r="D51" s="32">
        <f t="shared" ref="D51:E51" si="12">SUM(D52:D56)</f>
        <v>39347</v>
      </c>
      <c r="E51" s="32">
        <f t="shared" si="12"/>
        <v>27554</v>
      </c>
      <c r="F51" s="32">
        <v>29402</v>
      </c>
      <c r="G51" s="32">
        <v>27118</v>
      </c>
      <c r="H51" s="32">
        <v>31442</v>
      </c>
      <c r="I51" s="32">
        <v>39328</v>
      </c>
      <c r="J51" s="32">
        <v>40718</v>
      </c>
      <c r="K51" s="32">
        <v>32449</v>
      </c>
      <c r="L51" s="32">
        <v>31557</v>
      </c>
      <c r="M51" s="32">
        <v>23457</v>
      </c>
      <c r="N51" s="32">
        <v>25050</v>
      </c>
      <c r="O51" s="40" t="s">
        <v>125</v>
      </c>
    </row>
    <row r="52" spans="1:16" s="20" customFormat="1" ht="18" customHeight="1">
      <c r="A52" s="27" t="s">
        <v>126</v>
      </c>
      <c r="B52" s="28">
        <f t="shared" si="4"/>
        <v>284029</v>
      </c>
      <c r="C52" s="29">
        <v>25804</v>
      </c>
      <c r="D52" s="29">
        <v>31285</v>
      </c>
      <c r="E52" s="29">
        <v>19479</v>
      </c>
      <c r="F52" s="29">
        <v>18704</v>
      </c>
      <c r="G52" s="29">
        <v>21010</v>
      </c>
      <c r="H52" s="29">
        <v>23983</v>
      </c>
      <c r="I52" s="29">
        <v>32569</v>
      </c>
      <c r="J52" s="29">
        <v>32757</v>
      </c>
      <c r="K52" s="29">
        <v>24758</v>
      </c>
      <c r="L52" s="29">
        <v>21926</v>
      </c>
      <c r="M52" s="29">
        <v>15600</v>
      </c>
      <c r="N52" s="29">
        <v>16154</v>
      </c>
      <c r="O52" s="30" t="s">
        <v>18</v>
      </c>
      <c r="P52" s="16"/>
    </row>
    <row r="53" spans="1:16" s="20" customFormat="1" ht="18" customHeight="1">
      <c r="A53" s="27" t="s">
        <v>127</v>
      </c>
      <c r="B53" s="28">
        <f t="shared" si="4"/>
        <v>44251</v>
      </c>
      <c r="C53" s="29">
        <v>3126</v>
      </c>
      <c r="D53" s="29">
        <v>3957</v>
      </c>
      <c r="E53" s="29">
        <v>4080</v>
      </c>
      <c r="F53" s="29">
        <v>6389</v>
      </c>
      <c r="G53" s="29">
        <v>2204</v>
      </c>
      <c r="H53" s="29">
        <v>2868</v>
      </c>
      <c r="I53" s="29">
        <v>2802</v>
      </c>
      <c r="J53" s="29">
        <v>4623</v>
      </c>
      <c r="K53" s="29">
        <v>3318</v>
      </c>
      <c r="L53" s="29">
        <v>3349</v>
      </c>
      <c r="M53" s="29">
        <v>3110</v>
      </c>
      <c r="N53" s="29">
        <v>4425</v>
      </c>
      <c r="O53" s="30" t="s">
        <v>21</v>
      </c>
    </row>
    <row r="54" spans="1:16" s="20" customFormat="1" ht="18" customHeight="1">
      <c r="A54" s="27" t="s">
        <v>128</v>
      </c>
      <c r="B54" s="28">
        <f t="shared" si="4"/>
        <v>37073</v>
      </c>
      <c r="C54" s="29">
        <v>3069</v>
      </c>
      <c r="D54" s="29">
        <v>2582</v>
      </c>
      <c r="E54" s="29">
        <v>2505</v>
      </c>
      <c r="F54" s="29">
        <v>3103</v>
      </c>
      <c r="G54" s="29">
        <v>2875</v>
      </c>
      <c r="H54" s="29">
        <v>3224</v>
      </c>
      <c r="I54" s="29">
        <v>2522</v>
      </c>
      <c r="J54" s="29">
        <v>2308</v>
      </c>
      <c r="K54" s="29">
        <v>2815</v>
      </c>
      <c r="L54" s="29">
        <v>4587</v>
      </c>
      <c r="M54" s="29">
        <v>3851</v>
      </c>
      <c r="N54" s="29">
        <v>3632</v>
      </c>
      <c r="O54" s="30" t="s">
        <v>22</v>
      </c>
      <c r="P54" s="16"/>
    </row>
    <row r="55" spans="1:16" s="20" customFormat="1" ht="18" customHeight="1">
      <c r="A55" s="27" t="s">
        <v>129</v>
      </c>
      <c r="B55" s="28">
        <f t="shared" si="4"/>
        <v>14972</v>
      </c>
      <c r="C55" s="29">
        <v>1141</v>
      </c>
      <c r="D55" s="29">
        <v>1491</v>
      </c>
      <c r="E55" s="29">
        <v>1454</v>
      </c>
      <c r="F55" s="29">
        <v>1200</v>
      </c>
      <c r="G55" s="29">
        <v>1017</v>
      </c>
      <c r="H55" s="29">
        <v>1342</v>
      </c>
      <c r="I55" s="29">
        <v>1418</v>
      </c>
      <c r="J55" s="29">
        <v>1015</v>
      </c>
      <c r="K55" s="29">
        <v>1526</v>
      </c>
      <c r="L55" s="29">
        <v>1687</v>
      </c>
      <c r="M55" s="29">
        <v>872</v>
      </c>
      <c r="N55" s="29">
        <v>809</v>
      </c>
      <c r="O55" s="30" t="s">
        <v>25</v>
      </c>
    </row>
    <row r="56" spans="1:16" s="20" customFormat="1" ht="18" customHeight="1">
      <c r="A56" s="27" t="s">
        <v>85</v>
      </c>
      <c r="B56" s="28">
        <f t="shared" si="4"/>
        <v>298</v>
      </c>
      <c r="C56" s="29">
        <v>61</v>
      </c>
      <c r="D56" s="29">
        <v>32</v>
      </c>
      <c r="E56" s="29">
        <v>36</v>
      </c>
      <c r="F56" s="29">
        <v>6</v>
      </c>
      <c r="G56" s="29">
        <v>12</v>
      </c>
      <c r="H56" s="29">
        <v>25</v>
      </c>
      <c r="I56" s="29">
        <v>17</v>
      </c>
      <c r="J56" s="29">
        <v>15</v>
      </c>
      <c r="K56" s="29">
        <v>32</v>
      </c>
      <c r="L56" s="29">
        <v>8</v>
      </c>
      <c r="M56" s="29">
        <v>24</v>
      </c>
      <c r="N56" s="29">
        <v>30</v>
      </c>
      <c r="O56" s="30" t="s">
        <v>15</v>
      </c>
      <c r="P56" s="16"/>
    </row>
    <row r="57" spans="1:16" s="20" customFormat="1" ht="18" customHeight="1">
      <c r="A57" s="25" t="s">
        <v>54</v>
      </c>
      <c r="B57" s="28">
        <f t="shared" si="4"/>
        <v>87636</v>
      </c>
      <c r="C57" s="32">
        <f>SUM(C58:C65)</f>
        <v>4771</v>
      </c>
      <c r="D57" s="32">
        <f t="shared" ref="D57:E57" si="13">SUM(D58:D65)</f>
        <v>5305</v>
      </c>
      <c r="E57" s="32">
        <f t="shared" si="13"/>
        <v>7852</v>
      </c>
      <c r="F57" s="32">
        <v>9745</v>
      </c>
      <c r="G57" s="32">
        <v>8457</v>
      </c>
      <c r="H57" s="32">
        <v>8708</v>
      </c>
      <c r="I57" s="32">
        <v>7433</v>
      </c>
      <c r="J57" s="32">
        <v>6736</v>
      </c>
      <c r="K57" s="32">
        <v>6913</v>
      </c>
      <c r="L57" s="32">
        <v>7171</v>
      </c>
      <c r="M57" s="32">
        <v>6411</v>
      </c>
      <c r="N57" s="32">
        <v>8134</v>
      </c>
      <c r="O57" s="40" t="s">
        <v>130</v>
      </c>
    </row>
    <row r="58" spans="1:16" s="20" customFormat="1" ht="18" customHeight="1">
      <c r="A58" s="27" t="s">
        <v>131</v>
      </c>
      <c r="B58" s="28">
        <f t="shared" si="4"/>
        <v>4646</v>
      </c>
      <c r="C58" s="29">
        <v>292</v>
      </c>
      <c r="D58" s="29">
        <v>266</v>
      </c>
      <c r="E58" s="29">
        <v>512</v>
      </c>
      <c r="F58" s="29">
        <v>337</v>
      </c>
      <c r="G58" s="29">
        <v>230</v>
      </c>
      <c r="H58" s="29">
        <v>465</v>
      </c>
      <c r="I58" s="29">
        <v>533</v>
      </c>
      <c r="J58" s="29">
        <v>400</v>
      </c>
      <c r="K58" s="29">
        <v>390</v>
      </c>
      <c r="L58" s="29">
        <v>427</v>
      </c>
      <c r="M58" s="29">
        <v>416</v>
      </c>
      <c r="N58" s="29">
        <v>378</v>
      </c>
      <c r="O58" s="30" t="s">
        <v>20</v>
      </c>
      <c r="P58" s="16"/>
    </row>
    <row r="59" spans="1:16" s="20" customFormat="1" ht="18" customHeight="1">
      <c r="A59" s="27" t="s">
        <v>132</v>
      </c>
      <c r="B59" s="28">
        <f t="shared" si="4"/>
        <v>21605</v>
      </c>
      <c r="C59" s="29">
        <v>1476</v>
      </c>
      <c r="D59" s="29">
        <v>1565</v>
      </c>
      <c r="E59" s="29">
        <v>2345</v>
      </c>
      <c r="F59" s="29">
        <v>2414</v>
      </c>
      <c r="G59" s="29">
        <v>1433</v>
      </c>
      <c r="H59" s="29">
        <v>2023</v>
      </c>
      <c r="I59" s="29">
        <v>1750</v>
      </c>
      <c r="J59" s="29">
        <v>1755</v>
      </c>
      <c r="K59" s="29">
        <v>1583</v>
      </c>
      <c r="L59" s="29">
        <v>1611</v>
      </c>
      <c r="M59" s="29">
        <v>1585</v>
      </c>
      <c r="N59" s="29">
        <v>2065</v>
      </c>
      <c r="O59" s="30" t="s">
        <v>23</v>
      </c>
    </row>
    <row r="60" spans="1:16" s="20" customFormat="1" ht="18" customHeight="1">
      <c r="A60" s="27" t="s">
        <v>133</v>
      </c>
      <c r="B60" s="28">
        <f t="shared" si="4"/>
        <v>1286</v>
      </c>
      <c r="C60" s="29">
        <v>71</v>
      </c>
      <c r="D60" s="29">
        <v>61</v>
      </c>
      <c r="E60" s="29">
        <v>86</v>
      </c>
      <c r="F60" s="29">
        <v>186</v>
      </c>
      <c r="G60" s="29">
        <v>105</v>
      </c>
      <c r="H60" s="29">
        <v>98</v>
      </c>
      <c r="I60" s="29">
        <v>66</v>
      </c>
      <c r="J60" s="29">
        <v>57</v>
      </c>
      <c r="K60" s="29">
        <v>175</v>
      </c>
      <c r="L60" s="29">
        <v>135</v>
      </c>
      <c r="M60" s="29">
        <v>131</v>
      </c>
      <c r="N60" s="29">
        <v>115</v>
      </c>
      <c r="O60" s="30" t="s">
        <v>134</v>
      </c>
    </row>
    <row r="61" spans="1:16" s="20" customFormat="1" ht="18" customHeight="1">
      <c r="A61" s="27" t="s">
        <v>135</v>
      </c>
      <c r="B61" s="28">
        <f t="shared" si="4"/>
        <v>8461</v>
      </c>
      <c r="C61" s="29">
        <v>578</v>
      </c>
      <c r="D61" s="29">
        <v>605</v>
      </c>
      <c r="E61" s="29">
        <v>684</v>
      </c>
      <c r="F61" s="29">
        <v>1271</v>
      </c>
      <c r="G61" s="29">
        <v>768</v>
      </c>
      <c r="H61" s="29">
        <v>921</v>
      </c>
      <c r="I61" s="29">
        <v>602</v>
      </c>
      <c r="J61" s="29">
        <v>661</v>
      </c>
      <c r="K61" s="29">
        <v>463</v>
      </c>
      <c r="L61" s="29">
        <v>576</v>
      </c>
      <c r="M61" s="29">
        <v>722</v>
      </c>
      <c r="N61" s="29">
        <v>610</v>
      </c>
      <c r="O61" s="30" t="s">
        <v>136</v>
      </c>
      <c r="P61" s="16"/>
    </row>
    <row r="62" spans="1:16" s="20" customFormat="1" ht="18" customHeight="1">
      <c r="A62" s="27" t="s">
        <v>137</v>
      </c>
      <c r="B62" s="28">
        <f t="shared" si="4"/>
        <v>14990</v>
      </c>
      <c r="C62" s="29">
        <v>846</v>
      </c>
      <c r="D62" s="29">
        <v>755</v>
      </c>
      <c r="E62" s="29">
        <v>1473</v>
      </c>
      <c r="F62" s="29">
        <v>1142</v>
      </c>
      <c r="G62" s="29">
        <v>971</v>
      </c>
      <c r="H62" s="29">
        <v>1880</v>
      </c>
      <c r="I62" s="29">
        <v>860</v>
      </c>
      <c r="J62" s="29">
        <v>1212</v>
      </c>
      <c r="K62" s="29">
        <v>1268</v>
      </c>
      <c r="L62" s="29">
        <v>1067</v>
      </c>
      <c r="M62" s="29">
        <v>1274</v>
      </c>
      <c r="N62" s="29">
        <v>2242</v>
      </c>
      <c r="O62" s="30" t="s">
        <v>138</v>
      </c>
    </row>
    <row r="63" spans="1:16" s="20" customFormat="1" ht="18" customHeight="1">
      <c r="A63" s="27" t="s">
        <v>139</v>
      </c>
      <c r="B63" s="28">
        <f t="shared" si="4"/>
        <v>29211</v>
      </c>
      <c r="C63" s="29">
        <v>1130</v>
      </c>
      <c r="D63" s="29">
        <v>1414</v>
      </c>
      <c r="E63" s="29">
        <v>2250</v>
      </c>
      <c r="F63" s="29">
        <v>3423</v>
      </c>
      <c r="G63" s="29">
        <v>4238</v>
      </c>
      <c r="H63" s="29">
        <v>2417</v>
      </c>
      <c r="I63" s="29">
        <v>2825</v>
      </c>
      <c r="J63" s="29">
        <v>2174</v>
      </c>
      <c r="K63" s="29">
        <v>2533</v>
      </c>
      <c r="L63" s="29">
        <v>2940</v>
      </c>
      <c r="M63" s="29">
        <v>1708</v>
      </c>
      <c r="N63" s="29">
        <v>2159</v>
      </c>
      <c r="O63" s="30" t="s">
        <v>140</v>
      </c>
      <c r="P63" s="16"/>
    </row>
    <row r="64" spans="1:16" s="20" customFormat="1" ht="18" customHeight="1">
      <c r="A64" s="27" t="s">
        <v>141</v>
      </c>
      <c r="B64" s="28">
        <f t="shared" si="4"/>
        <v>6191</v>
      </c>
      <c r="C64" s="29">
        <v>261</v>
      </c>
      <c r="D64" s="29">
        <v>582</v>
      </c>
      <c r="E64" s="29">
        <v>399</v>
      </c>
      <c r="F64" s="29">
        <v>848</v>
      </c>
      <c r="G64" s="29">
        <v>550</v>
      </c>
      <c r="H64" s="29">
        <v>727</v>
      </c>
      <c r="I64" s="29">
        <v>697</v>
      </c>
      <c r="J64" s="29">
        <v>422</v>
      </c>
      <c r="K64" s="29">
        <v>367</v>
      </c>
      <c r="L64" s="29">
        <v>351</v>
      </c>
      <c r="M64" s="29">
        <v>517</v>
      </c>
      <c r="N64" s="29">
        <v>470</v>
      </c>
      <c r="O64" s="30" t="s">
        <v>142</v>
      </c>
      <c r="P64" s="16"/>
    </row>
    <row r="65" spans="1:16" s="20" customFormat="1" ht="18" customHeight="1">
      <c r="A65" s="27" t="s">
        <v>85</v>
      </c>
      <c r="B65" s="28">
        <f t="shared" si="4"/>
        <v>1246</v>
      </c>
      <c r="C65" s="29">
        <v>117</v>
      </c>
      <c r="D65" s="29">
        <v>57</v>
      </c>
      <c r="E65" s="29">
        <v>103</v>
      </c>
      <c r="F65" s="29">
        <v>124</v>
      </c>
      <c r="G65" s="29">
        <v>162</v>
      </c>
      <c r="H65" s="29">
        <v>177</v>
      </c>
      <c r="I65" s="29">
        <v>100</v>
      </c>
      <c r="J65" s="29">
        <v>55</v>
      </c>
      <c r="K65" s="29">
        <v>134</v>
      </c>
      <c r="L65" s="29">
        <v>64</v>
      </c>
      <c r="M65" s="29">
        <v>58</v>
      </c>
      <c r="N65" s="29">
        <v>95</v>
      </c>
      <c r="O65" s="30" t="s">
        <v>15</v>
      </c>
    </row>
    <row r="66" spans="1:16" s="20" customFormat="1" ht="18" customHeight="1">
      <c r="A66" s="25" t="s">
        <v>55</v>
      </c>
      <c r="B66" s="28">
        <f t="shared" si="4"/>
        <v>192741</v>
      </c>
      <c r="C66" s="32">
        <f t="shared" ref="C66:E66" si="14">SUM(C67:C72)</f>
        <v>13641</v>
      </c>
      <c r="D66" s="32">
        <f t="shared" si="14"/>
        <v>14395</v>
      </c>
      <c r="E66" s="32">
        <f t="shared" si="14"/>
        <v>14085</v>
      </c>
      <c r="F66" s="32">
        <v>15253</v>
      </c>
      <c r="G66" s="32">
        <v>18498</v>
      </c>
      <c r="H66" s="32">
        <v>17960</v>
      </c>
      <c r="I66" s="32">
        <v>13451</v>
      </c>
      <c r="J66" s="32">
        <v>14337</v>
      </c>
      <c r="K66" s="32">
        <v>13664</v>
      </c>
      <c r="L66" s="32">
        <v>17111</v>
      </c>
      <c r="M66" s="32">
        <v>16375</v>
      </c>
      <c r="N66" s="32">
        <v>23971</v>
      </c>
      <c r="O66" s="40" t="s">
        <v>143</v>
      </c>
      <c r="P66" s="16"/>
    </row>
    <row r="67" spans="1:16" s="20" customFormat="1" ht="18" customHeight="1">
      <c r="A67" s="27" t="s">
        <v>144</v>
      </c>
      <c r="B67" s="28">
        <f t="shared" si="4"/>
        <v>3918</v>
      </c>
      <c r="C67" s="29">
        <v>373</v>
      </c>
      <c r="D67" s="29">
        <v>287</v>
      </c>
      <c r="E67" s="29">
        <v>291</v>
      </c>
      <c r="F67" s="29">
        <v>305</v>
      </c>
      <c r="G67" s="29">
        <v>112</v>
      </c>
      <c r="H67" s="29">
        <v>465</v>
      </c>
      <c r="I67" s="29">
        <v>213</v>
      </c>
      <c r="J67" s="29">
        <v>580</v>
      </c>
      <c r="K67" s="29">
        <v>237</v>
      </c>
      <c r="L67" s="29">
        <v>242</v>
      </c>
      <c r="M67" s="29">
        <v>220</v>
      </c>
      <c r="N67" s="29">
        <v>593</v>
      </c>
      <c r="O67" s="41" t="s">
        <v>145</v>
      </c>
    </row>
    <row r="68" spans="1:16" s="20" customFormat="1" ht="18" customHeight="1">
      <c r="A68" s="27" t="s">
        <v>146</v>
      </c>
      <c r="B68" s="28">
        <f t="shared" si="4"/>
        <v>166030</v>
      </c>
      <c r="C68" s="29">
        <v>11633</v>
      </c>
      <c r="D68" s="29">
        <v>12584</v>
      </c>
      <c r="E68" s="29">
        <v>11836</v>
      </c>
      <c r="F68" s="29">
        <v>12823</v>
      </c>
      <c r="G68" s="29">
        <v>17389</v>
      </c>
      <c r="H68" s="29">
        <v>15875</v>
      </c>
      <c r="I68" s="29">
        <v>11035</v>
      </c>
      <c r="J68" s="29">
        <v>11067</v>
      </c>
      <c r="K68" s="29">
        <v>11265</v>
      </c>
      <c r="L68" s="29">
        <v>15110</v>
      </c>
      <c r="M68" s="29">
        <v>14430</v>
      </c>
      <c r="N68" s="29">
        <v>20983</v>
      </c>
      <c r="O68" s="41" t="s">
        <v>19</v>
      </c>
      <c r="P68" s="16"/>
    </row>
    <row r="69" spans="1:16" s="20" customFormat="1" ht="18" customHeight="1">
      <c r="A69" s="27" t="s">
        <v>147</v>
      </c>
      <c r="B69" s="28">
        <f t="shared" si="4"/>
        <v>1534</v>
      </c>
      <c r="C69" s="29">
        <v>73</v>
      </c>
      <c r="D69" s="29">
        <v>101</v>
      </c>
      <c r="E69" s="29">
        <v>438</v>
      </c>
      <c r="F69" s="29">
        <v>90</v>
      </c>
      <c r="G69" s="29">
        <v>67</v>
      </c>
      <c r="H69" s="29">
        <v>127</v>
      </c>
      <c r="I69" s="29">
        <v>96</v>
      </c>
      <c r="J69" s="29">
        <v>143</v>
      </c>
      <c r="K69" s="29">
        <v>131</v>
      </c>
      <c r="L69" s="29">
        <v>91</v>
      </c>
      <c r="M69" s="29">
        <v>99</v>
      </c>
      <c r="N69" s="29">
        <v>78</v>
      </c>
      <c r="O69" s="41" t="s">
        <v>148</v>
      </c>
      <c r="P69" s="16"/>
    </row>
    <row r="70" spans="1:16" s="20" customFormat="1" ht="18" customHeight="1">
      <c r="A70" s="27" t="s">
        <v>149</v>
      </c>
      <c r="B70" s="28">
        <f t="shared" si="4"/>
        <v>6095</v>
      </c>
      <c r="C70" s="29">
        <v>500</v>
      </c>
      <c r="D70" s="29">
        <v>457</v>
      </c>
      <c r="E70" s="29">
        <v>389</v>
      </c>
      <c r="F70" s="29">
        <v>357</v>
      </c>
      <c r="G70" s="29">
        <v>98</v>
      </c>
      <c r="H70" s="29">
        <v>502</v>
      </c>
      <c r="I70" s="29">
        <v>1390</v>
      </c>
      <c r="J70" s="29">
        <v>538</v>
      </c>
      <c r="K70" s="29">
        <v>648</v>
      </c>
      <c r="L70" s="29">
        <v>308</v>
      </c>
      <c r="M70" s="29">
        <v>388</v>
      </c>
      <c r="N70" s="29">
        <v>520</v>
      </c>
      <c r="O70" s="41" t="s">
        <v>24</v>
      </c>
    </row>
    <row r="71" spans="1:16" s="20" customFormat="1" ht="18" customHeight="1">
      <c r="A71" s="27" t="s">
        <v>150</v>
      </c>
      <c r="B71" s="28">
        <f t="shared" si="4"/>
        <v>13623</v>
      </c>
      <c r="C71" s="29">
        <v>971</v>
      </c>
      <c r="D71" s="29">
        <v>874</v>
      </c>
      <c r="E71" s="29">
        <v>975</v>
      </c>
      <c r="F71" s="29">
        <v>1586</v>
      </c>
      <c r="G71" s="29">
        <v>749</v>
      </c>
      <c r="H71" s="29">
        <v>882</v>
      </c>
      <c r="I71" s="29">
        <v>561</v>
      </c>
      <c r="J71" s="29">
        <v>1874</v>
      </c>
      <c r="K71" s="29">
        <v>1233</v>
      </c>
      <c r="L71" s="29">
        <v>1108</v>
      </c>
      <c r="M71" s="29">
        <v>1140</v>
      </c>
      <c r="N71" s="29">
        <v>1670</v>
      </c>
      <c r="O71" s="41" t="s">
        <v>151</v>
      </c>
      <c r="P71" s="16"/>
    </row>
    <row r="72" spans="1:16" s="20" customFormat="1" ht="18" customHeight="1">
      <c r="A72" s="35" t="s">
        <v>85</v>
      </c>
      <c r="B72" s="36">
        <f t="shared" si="4"/>
        <v>1541</v>
      </c>
      <c r="C72" s="37">
        <v>91</v>
      </c>
      <c r="D72" s="37">
        <v>92</v>
      </c>
      <c r="E72" s="37">
        <v>156</v>
      </c>
      <c r="F72" s="37">
        <v>92</v>
      </c>
      <c r="G72" s="37">
        <v>83</v>
      </c>
      <c r="H72" s="37">
        <v>109</v>
      </c>
      <c r="I72" s="37">
        <v>156</v>
      </c>
      <c r="J72" s="37">
        <v>135</v>
      </c>
      <c r="K72" s="37">
        <v>150</v>
      </c>
      <c r="L72" s="37">
        <v>252</v>
      </c>
      <c r="M72" s="37">
        <v>98</v>
      </c>
      <c r="N72" s="37">
        <v>127</v>
      </c>
      <c r="O72" s="38" t="s">
        <v>15</v>
      </c>
    </row>
    <row r="73" spans="1:16" s="20" customFormat="1" ht="20.25" customHeight="1">
      <c r="A73" s="22" t="s">
        <v>26</v>
      </c>
      <c r="B73" s="4">
        <f t="shared" si="4"/>
        <v>18695</v>
      </c>
      <c r="C73" s="4">
        <f>SUM(C74:C77)</f>
        <v>1453</v>
      </c>
      <c r="D73" s="4">
        <f t="shared" ref="D73:N73" si="15">SUM(D74:D77)</f>
        <v>1050</v>
      </c>
      <c r="E73" s="4">
        <f t="shared" si="15"/>
        <v>1585</v>
      </c>
      <c r="F73" s="4">
        <f t="shared" si="15"/>
        <v>1833</v>
      </c>
      <c r="G73" s="4">
        <f t="shared" si="15"/>
        <v>734</v>
      </c>
      <c r="H73" s="4">
        <f t="shared" si="15"/>
        <v>1549</v>
      </c>
      <c r="I73" s="4">
        <f t="shared" si="15"/>
        <v>1526</v>
      </c>
      <c r="J73" s="4">
        <f t="shared" si="15"/>
        <v>1825</v>
      </c>
      <c r="K73" s="4">
        <f t="shared" si="15"/>
        <v>1730</v>
      </c>
      <c r="L73" s="4">
        <f t="shared" si="15"/>
        <v>1059</v>
      </c>
      <c r="M73" s="4">
        <f t="shared" si="15"/>
        <v>1192</v>
      </c>
      <c r="N73" s="4">
        <f t="shared" si="15"/>
        <v>3159</v>
      </c>
      <c r="O73" s="39" t="s">
        <v>27</v>
      </c>
      <c r="P73" s="16"/>
    </row>
    <row r="74" spans="1:16" s="20" customFormat="1" ht="20.25" customHeight="1">
      <c r="A74" s="42" t="s">
        <v>152</v>
      </c>
      <c r="B74" s="4">
        <f>SUM(C74:N74)</f>
        <v>1729</v>
      </c>
      <c r="C74" s="5">
        <v>130</v>
      </c>
      <c r="D74" s="5">
        <v>61</v>
      </c>
      <c r="E74" s="5">
        <v>139</v>
      </c>
      <c r="F74" s="5">
        <v>154</v>
      </c>
      <c r="G74" s="5">
        <v>18</v>
      </c>
      <c r="H74" s="5">
        <v>93</v>
      </c>
      <c r="I74" s="5">
        <v>279</v>
      </c>
      <c r="J74" s="5">
        <v>336</v>
      </c>
      <c r="K74" s="5">
        <v>211</v>
      </c>
      <c r="L74" s="5">
        <v>88</v>
      </c>
      <c r="M74" s="5">
        <v>93</v>
      </c>
      <c r="N74" s="5">
        <v>127</v>
      </c>
      <c r="O74" s="43" t="s">
        <v>153</v>
      </c>
      <c r="P74" s="16"/>
    </row>
    <row r="75" spans="1:16" s="20" customFormat="1" ht="20.25" customHeight="1">
      <c r="A75" s="42" t="s">
        <v>154</v>
      </c>
      <c r="B75" s="4">
        <f t="shared" si="4"/>
        <v>2108</v>
      </c>
      <c r="C75" s="5">
        <v>207</v>
      </c>
      <c r="D75" s="5">
        <v>148</v>
      </c>
      <c r="E75" s="5">
        <v>179</v>
      </c>
      <c r="F75" s="5">
        <v>251</v>
      </c>
      <c r="G75" s="5">
        <v>38</v>
      </c>
      <c r="H75" s="5">
        <v>197</v>
      </c>
      <c r="I75" s="5">
        <v>190</v>
      </c>
      <c r="J75" s="5">
        <v>259</v>
      </c>
      <c r="K75" s="5">
        <v>149</v>
      </c>
      <c r="L75" s="5">
        <v>139</v>
      </c>
      <c r="M75" s="5">
        <v>167</v>
      </c>
      <c r="N75" s="5">
        <v>184</v>
      </c>
      <c r="O75" s="43" t="s">
        <v>155</v>
      </c>
      <c r="P75" s="16"/>
    </row>
    <row r="76" spans="1:16" s="20" customFormat="1" ht="18" customHeight="1">
      <c r="A76" s="42" t="s">
        <v>156</v>
      </c>
      <c r="B76" s="28">
        <f t="shared" si="4"/>
        <v>9545</v>
      </c>
      <c r="C76" s="29">
        <v>720</v>
      </c>
      <c r="D76" s="29">
        <v>484</v>
      </c>
      <c r="E76" s="29">
        <v>851</v>
      </c>
      <c r="F76" s="29">
        <v>936</v>
      </c>
      <c r="G76" s="29">
        <v>483</v>
      </c>
      <c r="H76" s="29">
        <v>870</v>
      </c>
      <c r="I76" s="29">
        <v>549</v>
      </c>
      <c r="J76" s="29">
        <v>677</v>
      </c>
      <c r="K76" s="29">
        <v>887</v>
      </c>
      <c r="L76" s="29">
        <v>513</v>
      </c>
      <c r="M76" s="29">
        <v>459</v>
      </c>
      <c r="N76" s="29">
        <v>2116</v>
      </c>
      <c r="O76" s="43" t="s">
        <v>157</v>
      </c>
    </row>
    <row r="77" spans="1:16" s="20" customFormat="1" ht="18" customHeight="1">
      <c r="A77" s="44" t="s">
        <v>85</v>
      </c>
      <c r="B77" s="36">
        <f t="shared" si="4"/>
        <v>5313</v>
      </c>
      <c r="C77" s="37">
        <v>396</v>
      </c>
      <c r="D77" s="37">
        <v>357</v>
      </c>
      <c r="E77" s="37">
        <v>416</v>
      </c>
      <c r="F77" s="37">
        <v>492</v>
      </c>
      <c r="G77" s="37">
        <v>195</v>
      </c>
      <c r="H77" s="37">
        <v>389</v>
      </c>
      <c r="I77" s="37">
        <v>508</v>
      </c>
      <c r="J77" s="37">
        <v>553</v>
      </c>
      <c r="K77" s="37">
        <v>483</v>
      </c>
      <c r="L77" s="37">
        <v>319</v>
      </c>
      <c r="M77" s="37">
        <v>473</v>
      </c>
      <c r="N77" s="37">
        <v>732</v>
      </c>
      <c r="O77" s="45" t="s">
        <v>15</v>
      </c>
      <c r="P77" s="16"/>
    </row>
    <row r="78" spans="1:16" s="20" customFormat="1" ht="24.75" customHeight="1">
      <c r="A78" s="22" t="s">
        <v>57</v>
      </c>
      <c r="B78" s="4">
        <f t="shared" si="4"/>
        <v>84794</v>
      </c>
      <c r="C78" s="4">
        <f>SUM(C79:C84)</f>
        <v>7239</v>
      </c>
      <c r="D78" s="4">
        <f t="shared" ref="D78:N78" si="16">SUM(D79:D84)</f>
        <v>8358</v>
      </c>
      <c r="E78" s="4">
        <f t="shared" si="16"/>
        <v>10207</v>
      </c>
      <c r="F78" s="4">
        <f t="shared" si="16"/>
        <v>7393</v>
      </c>
      <c r="G78" s="4">
        <f t="shared" si="16"/>
        <v>5395</v>
      </c>
      <c r="H78" s="4">
        <f t="shared" si="16"/>
        <v>5356</v>
      </c>
      <c r="I78" s="4">
        <f t="shared" si="16"/>
        <v>5873</v>
      </c>
      <c r="J78" s="4">
        <f t="shared" si="16"/>
        <v>5310</v>
      </c>
      <c r="K78" s="4">
        <f t="shared" si="16"/>
        <v>5982</v>
      </c>
      <c r="L78" s="4">
        <f t="shared" si="16"/>
        <v>6496</v>
      </c>
      <c r="M78" s="4">
        <f t="shared" si="16"/>
        <v>8020</v>
      </c>
      <c r="N78" s="4">
        <f t="shared" si="16"/>
        <v>9165</v>
      </c>
      <c r="O78" s="39" t="s">
        <v>56</v>
      </c>
    </row>
    <row r="79" spans="1:16" s="20" customFormat="1" ht="24.75" customHeight="1">
      <c r="A79" s="42" t="s">
        <v>158</v>
      </c>
      <c r="B79" s="28">
        <f t="shared" si="4"/>
        <v>2596</v>
      </c>
      <c r="C79" s="5">
        <v>434</v>
      </c>
      <c r="D79" s="5">
        <v>298</v>
      </c>
      <c r="E79" s="5">
        <v>311</v>
      </c>
      <c r="F79" s="5">
        <v>369</v>
      </c>
      <c r="G79" s="5">
        <v>214</v>
      </c>
      <c r="H79" s="5">
        <v>70</v>
      </c>
      <c r="I79" s="5">
        <v>110</v>
      </c>
      <c r="J79" s="5">
        <v>109</v>
      </c>
      <c r="K79" s="5">
        <v>118</v>
      </c>
      <c r="L79" s="5">
        <v>183</v>
      </c>
      <c r="M79" s="5">
        <v>235</v>
      </c>
      <c r="N79" s="5">
        <v>145</v>
      </c>
      <c r="O79" s="43" t="s">
        <v>159</v>
      </c>
    </row>
    <row r="80" spans="1:16" s="20" customFormat="1" ht="18" customHeight="1">
      <c r="A80" s="42" t="s">
        <v>160</v>
      </c>
      <c r="B80" s="28">
        <f t="shared" si="4"/>
        <v>9868</v>
      </c>
      <c r="C80" s="29">
        <v>800</v>
      </c>
      <c r="D80" s="29">
        <v>654</v>
      </c>
      <c r="E80" s="29">
        <v>1235</v>
      </c>
      <c r="F80" s="29">
        <v>976</v>
      </c>
      <c r="G80" s="29">
        <v>831</v>
      </c>
      <c r="H80" s="29">
        <v>598</v>
      </c>
      <c r="I80" s="29">
        <v>647</v>
      </c>
      <c r="J80" s="29">
        <v>518</v>
      </c>
      <c r="K80" s="29">
        <v>820</v>
      </c>
      <c r="L80" s="29">
        <v>906</v>
      </c>
      <c r="M80" s="29">
        <v>866</v>
      </c>
      <c r="N80" s="29">
        <v>1017</v>
      </c>
      <c r="O80" s="43" t="s">
        <v>161</v>
      </c>
      <c r="P80" s="16"/>
    </row>
    <row r="81" spans="1:16" s="20" customFormat="1" ht="18" customHeight="1">
      <c r="A81" s="42" t="s">
        <v>162</v>
      </c>
      <c r="B81" s="28">
        <f t="shared" si="4"/>
        <v>11473</v>
      </c>
      <c r="C81" s="29">
        <v>1151</v>
      </c>
      <c r="D81" s="29">
        <v>1667</v>
      </c>
      <c r="E81" s="29">
        <v>1484</v>
      </c>
      <c r="F81" s="29">
        <v>1009</v>
      </c>
      <c r="G81" s="29">
        <v>528</v>
      </c>
      <c r="H81" s="29">
        <v>526</v>
      </c>
      <c r="I81" s="29">
        <v>686</v>
      </c>
      <c r="J81" s="29">
        <v>708</v>
      </c>
      <c r="K81" s="29">
        <v>700</v>
      </c>
      <c r="L81" s="29">
        <v>795</v>
      </c>
      <c r="M81" s="29">
        <v>1015</v>
      </c>
      <c r="N81" s="29">
        <v>1204</v>
      </c>
      <c r="O81" s="43" t="s">
        <v>28</v>
      </c>
    </row>
    <row r="82" spans="1:16" s="20" customFormat="1" ht="18" customHeight="1">
      <c r="A82" s="42" t="s">
        <v>163</v>
      </c>
      <c r="B82" s="28">
        <f t="shared" si="4"/>
        <v>2237</v>
      </c>
      <c r="C82" s="29">
        <v>99</v>
      </c>
      <c r="D82" s="29">
        <v>107</v>
      </c>
      <c r="E82" s="29">
        <v>198</v>
      </c>
      <c r="F82" s="29">
        <v>221</v>
      </c>
      <c r="G82" s="29">
        <v>125</v>
      </c>
      <c r="H82" s="29">
        <v>167</v>
      </c>
      <c r="I82" s="29">
        <v>170</v>
      </c>
      <c r="J82" s="29">
        <v>152</v>
      </c>
      <c r="K82" s="29">
        <v>162</v>
      </c>
      <c r="L82" s="29">
        <v>199</v>
      </c>
      <c r="M82" s="29">
        <v>379</v>
      </c>
      <c r="N82" s="29">
        <v>258</v>
      </c>
      <c r="O82" s="43" t="s">
        <v>164</v>
      </c>
    </row>
    <row r="83" spans="1:16" s="20" customFormat="1" ht="18" customHeight="1">
      <c r="A83" s="42" t="s">
        <v>165</v>
      </c>
      <c r="B83" s="28">
        <f t="shared" si="4"/>
        <v>54474</v>
      </c>
      <c r="C83" s="29">
        <v>4454</v>
      </c>
      <c r="D83" s="29">
        <v>5302</v>
      </c>
      <c r="E83" s="29">
        <v>6583</v>
      </c>
      <c r="F83" s="29">
        <v>4423</v>
      </c>
      <c r="G83" s="29">
        <v>3389</v>
      </c>
      <c r="H83" s="29">
        <v>3533</v>
      </c>
      <c r="I83" s="29">
        <v>3997</v>
      </c>
      <c r="J83" s="29">
        <v>3513</v>
      </c>
      <c r="K83" s="29">
        <v>3819</v>
      </c>
      <c r="L83" s="29">
        <v>4078</v>
      </c>
      <c r="M83" s="29">
        <v>5176</v>
      </c>
      <c r="N83" s="29">
        <v>6207</v>
      </c>
      <c r="O83" s="43" t="s">
        <v>166</v>
      </c>
      <c r="P83" s="16"/>
    </row>
    <row r="84" spans="1:16" s="20" customFormat="1" ht="18" customHeight="1">
      <c r="A84" s="44" t="s">
        <v>85</v>
      </c>
      <c r="B84" s="36">
        <f t="shared" si="4"/>
        <v>4146</v>
      </c>
      <c r="C84" s="37">
        <v>301</v>
      </c>
      <c r="D84" s="37">
        <v>330</v>
      </c>
      <c r="E84" s="37">
        <v>396</v>
      </c>
      <c r="F84" s="37">
        <v>395</v>
      </c>
      <c r="G84" s="37">
        <v>308</v>
      </c>
      <c r="H84" s="37">
        <v>462</v>
      </c>
      <c r="I84" s="37">
        <v>263</v>
      </c>
      <c r="J84" s="37">
        <v>310</v>
      </c>
      <c r="K84" s="37">
        <v>363</v>
      </c>
      <c r="L84" s="37">
        <v>335</v>
      </c>
      <c r="M84" s="37">
        <v>349</v>
      </c>
      <c r="N84" s="37">
        <v>334</v>
      </c>
      <c r="O84" s="45" t="s">
        <v>15</v>
      </c>
    </row>
    <row r="85" spans="1:16" s="20" customFormat="1" ht="22.5" customHeight="1">
      <c r="A85" s="22" t="s">
        <v>29</v>
      </c>
      <c r="B85" s="4">
        <f t="shared" ref="B85:B98" si="17">SUM(C85:N85)</f>
        <v>44140</v>
      </c>
      <c r="C85" s="4">
        <f>SUM(C86:C88)</f>
        <v>3503</v>
      </c>
      <c r="D85" s="4">
        <f t="shared" ref="D85:N85" si="18">SUM(D86:D88)</f>
        <v>2843</v>
      </c>
      <c r="E85" s="4">
        <f t="shared" si="18"/>
        <v>4105</v>
      </c>
      <c r="F85" s="4">
        <f t="shared" si="18"/>
        <v>4990</v>
      </c>
      <c r="G85" s="4">
        <f t="shared" si="18"/>
        <v>3542</v>
      </c>
      <c r="H85" s="4">
        <f t="shared" si="18"/>
        <v>3062</v>
      </c>
      <c r="I85" s="4">
        <f t="shared" si="18"/>
        <v>4075</v>
      </c>
      <c r="J85" s="4">
        <f t="shared" si="18"/>
        <v>3191</v>
      </c>
      <c r="K85" s="4">
        <f t="shared" si="18"/>
        <v>3952</v>
      </c>
      <c r="L85" s="4">
        <f t="shared" si="18"/>
        <v>4146</v>
      </c>
      <c r="M85" s="4">
        <f t="shared" si="18"/>
        <v>3621</v>
      </c>
      <c r="N85" s="4">
        <f t="shared" si="18"/>
        <v>3110</v>
      </c>
      <c r="O85" s="39" t="s">
        <v>167</v>
      </c>
      <c r="P85" s="16"/>
    </row>
    <row r="86" spans="1:16" s="20" customFormat="1" ht="18" customHeight="1">
      <c r="A86" s="42" t="s">
        <v>168</v>
      </c>
      <c r="B86" s="4">
        <f t="shared" si="17"/>
        <v>39928</v>
      </c>
      <c r="C86" s="29">
        <v>3203</v>
      </c>
      <c r="D86" s="29">
        <v>2570</v>
      </c>
      <c r="E86" s="29">
        <v>3842</v>
      </c>
      <c r="F86" s="29">
        <v>4517</v>
      </c>
      <c r="G86" s="29">
        <v>3239</v>
      </c>
      <c r="H86" s="29">
        <v>2713</v>
      </c>
      <c r="I86" s="29">
        <v>3701</v>
      </c>
      <c r="J86" s="29">
        <v>2711</v>
      </c>
      <c r="K86" s="29">
        <v>3570</v>
      </c>
      <c r="L86" s="29">
        <v>3710</v>
      </c>
      <c r="M86" s="29">
        <v>3308</v>
      </c>
      <c r="N86" s="29">
        <v>2844</v>
      </c>
      <c r="O86" s="43" t="s">
        <v>30</v>
      </c>
    </row>
    <row r="87" spans="1:16" s="20" customFormat="1" ht="18" customHeight="1">
      <c r="A87" s="42" t="s">
        <v>169</v>
      </c>
      <c r="B87" s="4">
        <f t="shared" si="17"/>
        <v>4082</v>
      </c>
      <c r="C87" s="29">
        <v>288</v>
      </c>
      <c r="D87" s="29">
        <v>269</v>
      </c>
      <c r="E87" s="29">
        <v>257</v>
      </c>
      <c r="F87" s="29">
        <v>472</v>
      </c>
      <c r="G87" s="29">
        <v>299</v>
      </c>
      <c r="H87" s="29">
        <v>343</v>
      </c>
      <c r="I87" s="29">
        <v>371</v>
      </c>
      <c r="J87" s="29">
        <v>455</v>
      </c>
      <c r="K87" s="29">
        <v>366</v>
      </c>
      <c r="L87" s="29">
        <v>431</v>
      </c>
      <c r="M87" s="29">
        <v>273</v>
      </c>
      <c r="N87" s="29">
        <v>258</v>
      </c>
      <c r="O87" s="43" t="s">
        <v>170</v>
      </c>
      <c r="P87" s="16"/>
    </row>
    <row r="88" spans="1:16" s="20" customFormat="1" ht="18" customHeight="1">
      <c r="A88" s="44" t="s">
        <v>85</v>
      </c>
      <c r="B88" s="6">
        <f t="shared" si="17"/>
        <v>130</v>
      </c>
      <c r="C88" s="37">
        <v>12</v>
      </c>
      <c r="D88" s="37">
        <v>4</v>
      </c>
      <c r="E88" s="37">
        <v>6</v>
      </c>
      <c r="F88" s="37">
        <v>1</v>
      </c>
      <c r="G88" s="37">
        <v>4</v>
      </c>
      <c r="H88" s="37">
        <v>6</v>
      </c>
      <c r="I88" s="37">
        <v>3</v>
      </c>
      <c r="J88" s="37">
        <v>25</v>
      </c>
      <c r="K88" s="37">
        <v>16</v>
      </c>
      <c r="L88" s="37">
        <v>5</v>
      </c>
      <c r="M88" s="37">
        <v>40</v>
      </c>
      <c r="N88" s="37">
        <v>8</v>
      </c>
      <c r="O88" s="45" t="s">
        <v>15</v>
      </c>
    </row>
    <row r="89" spans="1:16" s="20" customFormat="1" ht="18.75" customHeight="1">
      <c r="A89" s="22" t="s">
        <v>31</v>
      </c>
      <c r="B89" s="4">
        <f t="shared" si="17"/>
        <v>60003</v>
      </c>
      <c r="C89" s="4">
        <f>SUM(C90:C99)</f>
        <v>4200</v>
      </c>
      <c r="D89" s="4">
        <f t="shared" ref="D89:N89" si="19">SUM(D90:D99)</f>
        <v>3651</v>
      </c>
      <c r="E89" s="4">
        <f t="shared" si="19"/>
        <v>4959</v>
      </c>
      <c r="F89" s="4">
        <f t="shared" si="19"/>
        <v>6443</v>
      </c>
      <c r="G89" s="4">
        <f t="shared" si="19"/>
        <v>741</v>
      </c>
      <c r="H89" s="4">
        <f t="shared" si="19"/>
        <v>7685</v>
      </c>
      <c r="I89" s="4">
        <f t="shared" si="19"/>
        <v>7105</v>
      </c>
      <c r="J89" s="4">
        <f t="shared" si="19"/>
        <v>7990</v>
      </c>
      <c r="K89" s="4">
        <f t="shared" si="19"/>
        <v>4613</v>
      </c>
      <c r="L89" s="4">
        <f t="shared" si="19"/>
        <v>3477</v>
      </c>
      <c r="M89" s="4">
        <f t="shared" si="19"/>
        <v>4255</v>
      </c>
      <c r="N89" s="4">
        <f t="shared" si="19"/>
        <v>4884</v>
      </c>
      <c r="O89" s="39" t="s">
        <v>171</v>
      </c>
      <c r="P89" s="16"/>
    </row>
    <row r="90" spans="1:16" s="20" customFormat="1" ht="18.75" customHeight="1">
      <c r="A90" s="42" t="s">
        <v>172</v>
      </c>
      <c r="B90" s="28">
        <f t="shared" si="17"/>
        <v>3824</v>
      </c>
      <c r="C90" s="5">
        <v>248</v>
      </c>
      <c r="D90" s="5">
        <v>265</v>
      </c>
      <c r="E90" s="5">
        <v>274</v>
      </c>
      <c r="F90" s="5">
        <v>322</v>
      </c>
      <c r="G90" s="5">
        <v>98</v>
      </c>
      <c r="H90" s="5">
        <v>385</v>
      </c>
      <c r="I90" s="5">
        <v>456</v>
      </c>
      <c r="J90" s="5">
        <v>512</v>
      </c>
      <c r="K90" s="5">
        <v>338</v>
      </c>
      <c r="L90" s="5">
        <v>270</v>
      </c>
      <c r="M90" s="5">
        <v>312</v>
      </c>
      <c r="N90" s="5">
        <v>344</v>
      </c>
      <c r="O90" s="43" t="s">
        <v>173</v>
      </c>
      <c r="P90" s="16"/>
    </row>
    <row r="91" spans="1:16" s="20" customFormat="1" ht="18.75" customHeight="1">
      <c r="A91" s="42" t="s">
        <v>174</v>
      </c>
      <c r="B91" s="28">
        <f t="shared" si="17"/>
        <v>1877</v>
      </c>
      <c r="C91" s="5">
        <v>128</v>
      </c>
      <c r="D91" s="5">
        <v>100</v>
      </c>
      <c r="E91" s="5">
        <v>101</v>
      </c>
      <c r="F91" s="5">
        <v>190</v>
      </c>
      <c r="G91" s="5">
        <v>26</v>
      </c>
      <c r="H91" s="5">
        <v>230</v>
      </c>
      <c r="I91" s="5">
        <v>223</v>
      </c>
      <c r="J91" s="5">
        <v>215</v>
      </c>
      <c r="K91" s="5">
        <v>111</v>
      </c>
      <c r="L91" s="5">
        <v>155</v>
      </c>
      <c r="M91" s="5">
        <v>198</v>
      </c>
      <c r="N91" s="5">
        <v>200</v>
      </c>
      <c r="O91" s="43" t="s">
        <v>175</v>
      </c>
      <c r="P91" s="16"/>
    </row>
    <row r="92" spans="1:16" s="20" customFormat="1" ht="19.5" customHeight="1">
      <c r="A92" s="42" t="s">
        <v>176</v>
      </c>
      <c r="B92" s="28">
        <f t="shared" si="17"/>
        <v>5420</v>
      </c>
      <c r="C92" s="29">
        <v>433</v>
      </c>
      <c r="D92" s="29">
        <v>999</v>
      </c>
      <c r="E92" s="29">
        <v>674</v>
      </c>
      <c r="F92" s="29">
        <v>753</v>
      </c>
      <c r="G92" s="29">
        <v>46</v>
      </c>
      <c r="H92" s="29">
        <v>383</v>
      </c>
      <c r="I92" s="29">
        <v>404</v>
      </c>
      <c r="J92" s="29">
        <v>512</v>
      </c>
      <c r="K92" s="29">
        <v>185</v>
      </c>
      <c r="L92" s="29">
        <v>228</v>
      </c>
      <c r="M92" s="29">
        <v>295</v>
      </c>
      <c r="N92" s="29">
        <v>508</v>
      </c>
      <c r="O92" s="43" t="s">
        <v>32</v>
      </c>
    </row>
    <row r="93" spans="1:16" s="20" customFormat="1" ht="18" customHeight="1">
      <c r="A93" s="42" t="s">
        <v>177</v>
      </c>
      <c r="B93" s="28">
        <f t="shared" si="17"/>
        <v>1940</v>
      </c>
      <c r="C93" s="29">
        <v>146</v>
      </c>
      <c r="D93" s="29">
        <v>145</v>
      </c>
      <c r="E93" s="29">
        <v>202</v>
      </c>
      <c r="F93" s="29">
        <v>260</v>
      </c>
      <c r="G93" s="29">
        <v>72</v>
      </c>
      <c r="H93" s="29">
        <v>175</v>
      </c>
      <c r="I93" s="29">
        <v>172</v>
      </c>
      <c r="J93" s="29">
        <v>192</v>
      </c>
      <c r="K93" s="29">
        <v>110</v>
      </c>
      <c r="L93" s="29">
        <v>116</v>
      </c>
      <c r="M93" s="29">
        <v>156</v>
      </c>
      <c r="N93" s="29">
        <v>194</v>
      </c>
      <c r="O93" s="43" t="s">
        <v>178</v>
      </c>
      <c r="P93" s="16"/>
    </row>
    <row r="94" spans="1:16" s="20" customFormat="1" ht="18" customHeight="1">
      <c r="A94" s="42" t="s">
        <v>179</v>
      </c>
      <c r="B94" s="28">
        <f t="shared" si="17"/>
        <v>1157</v>
      </c>
      <c r="C94" s="29">
        <v>160</v>
      </c>
      <c r="D94" s="29">
        <v>99</v>
      </c>
      <c r="E94" s="29">
        <v>115</v>
      </c>
      <c r="F94" s="29">
        <v>152</v>
      </c>
      <c r="G94" s="29">
        <v>3</v>
      </c>
      <c r="H94" s="29">
        <v>78</v>
      </c>
      <c r="I94" s="29">
        <v>97</v>
      </c>
      <c r="J94" s="29">
        <v>84</v>
      </c>
      <c r="K94" s="29">
        <v>57</v>
      </c>
      <c r="L94" s="29">
        <v>47</v>
      </c>
      <c r="M94" s="29">
        <v>143</v>
      </c>
      <c r="N94" s="29">
        <v>122</v>
      </c>
      <c r="O94" s="43" t="s">
        <v>180</v>
      </c>
      <c r="P94" s="16"/>
    </row>
    <row r="95" spans="1:16" s="20" customFormat="1" ht="18" customHeight="1">
      <c r="A95" s="42" t="s">
        <v>181</v>
      </c>
      <c r="B95" s="28">
        <f t="shared" si="17"/>
        <v>4554</v>
      </c>
      <c r="C95" s="29">
        <v>180</v>
      </c>
      <c r="D95" s="29">
        <v>150</v>
      </c>
      <c r="E95" s="29">
        <v>365</v>
      </c>
      <c r="F95" s="29">
        <v>824</v>
      </c>
      <c r="G95" s="29">
        <v>32</v>
      </c>
      <c r="H95" s="29">
        <v>616</v>
      </c>
      <c r="I95" s="29">
        <v>578</v>
      </c>
      <c r="J95" s="29">
        <v>729</v>
      </c>
      <c r="K95" s="29">
        <v>132</v>
      </c>
      <c r="L95" s="29">
        <v>252</v>
      </c>
      <c r="M95" s="29">
        <v>196</v>
      </c>
      <c r="N95" s="29">
        <v>500</v>
      </c>
      <c r="O95" s="43" t="s">
        <v>182</v>
      </c>
      <c r="P95" s="16"/>
    </row>
    <row r="96" spans="1:16" s="20" customFormat="1" ht="18" customHeight="1">
      <c r="A96" s="42" t="s">
        <v>183</v>
      </c>
      <c r="B96" s="28">
        <f t="shared" si="17"/>
        <v>25865</v>
      </c>
      <c r="C96" s="29">
        <v>2162</v>
      </c>
      <c r="D96" s="29">
        <v>1269</v>
      </c>
      <c r="E96" s="29">
        <v>2023</v>
      </c>
      <c r="F96" s="29">
        <v>2038</v>
      </c>
      <c r="G96" s="29">
        <v>287</v>
      </c>
      <c r="H96" s="29">
        <v>3841</v>
      </c>
      <c r="I96" s="29">
        <v>3493</v>
      </c>
      <c r="J96" s="29">
        <v>3768</v>
      </c>
      <c r="K96" s="29">
        <v>2640</v>
      </c>
      <c r="L96" s="29">
        <v>1427</v>
      </c>
      <c r="M96" s="29">
        <v>1373</v>
      </c>
      <c r="N96" s="29">
        <v>1544</v>
      </c>
      <c r="O96" s="43" t="s">
        <v>184</v>
      </c>
    </row>
    <row r="97" spans="1:16" s="20" customFormat="1" ht="18" customHeight="1">
      <c r="A97" s="42" t="s">
        <v>185</v>
      </c>
      <c r="B97" s="28">
        <f t="shared" si="17"/>
        <v>1290</v>
      </c>
      <c r="C97" s="29">
        <v>76</v>
      </c>
      <c r="D97" s="29">
        <v>43</v>
      </c>
      <c r="E97" s="29">
        <v>91</v>
      </c>
      <c r="F97" s="29">
        <v>121</v>
      </c>
      <c r="G97" s="29">
        <v>38</v>
      </c>
      <c r="H97" s="29">
        <v>155</v>
      </c>
      <c r="I97" s="29">
        <v>137</v>
      </c>
      <c r="J97" s="29">
        <v>158</v>
      </c>
      <c r="K97" s="29">
        <v>107</v>
      </c>
      <c r="L97" s="29">
        <v>92</v>
      </c>
      <c r="M97" s="29">
        <v>166</v>
      </c>
      <c r="N97" s="29">
        <v>106</v>
      </c>
      <c r="O97" s="43" t="s">
        <v>186</v>
      </c>
    </row>
    <row r="98" spans="1:16" s="20" customFormat="1" ht="18" customHeight="1">
      <c r="A98" s="42" t="s">
        <v>187</v>
      </c>
      <c r="B98" s="28">
        <f t="shared" si="17"/>
        <v>10493</v>
      </c>
      <c r="C98" s="29">
        <v>485</v>
      </c>
      <c r="D98" s="29">
        <v>389</v>
      </c>
      <c r="E98" s="29">
        <v>836</v>
      </c>
      <c r="F98" s="29">
        <v>1453</v>
      </c>
      <c r="G98" s="29">
        <v>79</v>
      </c>
      <c r="H98" s="29">
        <v>1453</v>
      </c>
      <c r="I98" s="29">
        <v>1206</v>
      </c>
      <c r="J98" s="29">
        <v>1349</v>
      </c>
      <c r="K98" s="29">
        <v>592</v>
      </c>
      <c r="L98" s="29">
        <v>627</v>
      </c>
      <c r="M98" s="29">
        <v>1126</v>
      </c>
      <c r="N98" s="29">
        <v>898</v>
      </c>
      <c r="O98" s="43" t="s">
        <v>188</v>
      </c>
      <c r="P98" s="16"/>
    </row>
    <row r="99" spans="1:16" s="20" customFormat="1" ht="18" customHeight="1">
      <c r="A99" s="44" t="s">
        <v>85</v>
      </c>
      <c r="B99" s="36">
        <f>SUM(C99:N99)</f>
        <v>3583</v>
      </c>
      <c r="C99" s="37">
        <v>182</v>
      </c>
      <c r="D99" s="37">
        <v>192</v>
      </c>
      <c r="E99" s="37">
        <v>278</v>
      </c>
      <c r="F99" s="37">
        <v>330</v>
      </c>
      <c r="G99" s="37">
        <v>60</v>
      </c>
      <c r="H99" s="37">
        <v>369</v>
      </c>
      <c r="I99" s="37">
        <v>339</v>
      </c>
      <c r="J99" s="37">
        <v>471</v>
      </c>
      <c r="K99" s="37">
        <v>341</v>
      </c>
      <c r="L99" s="37">
        <v>263</v>
      </c>
      <c r="M99" s="37">
        <v>290</v>
      </c>
      <c r="N99" s="37">
        <v>468</v>
      </c>
      <c r="O99" s="43" t="s">
        <v>15</v>
      </c>
    </row>
    <row r="100" spans="1:16" s="20" customFormat="1" ht="18" customHeight="1">
      <c r="A100" s="22" t="s">
        <v>189</v>
      </c>
      <c r="B100" s="4">
        <f t="shared" ref="B100:B101" si="20">SUM(C100:N100)</f>
        <v>138</v>
      </c>
      <c r="C100" s="46">
        <v>5</v>
      </c>
      <c r="D100" s="46">
        <v>6</v>
      </c>
      <c r="E100" s="46">
        <v>11</v>
      </c>
      <c r="F100" s="46">
        <v>5</v>
      </c>
      <c r="G100" s="46">
        <v>5</v>
      </c>
      <c r="H100" s="46">
        <v>21</v>
      </c>
      <c r="I100" s="46">
        <v>21</v>
      </c>
      <c r="J100" s="46">
        <v>11</v>
      </c>
      <c r="K100" s="29">
        <v>15</v>
      </c>
      <c r="L100" s="29">
        <v>8</v>
      </c>
      <c r="M100" s="29">
        <v>23</v>
      </c>
      <c r="N100" s="29">
        <v>7</v>
      </c>
      <c r="O100" s="19" t="s">
        <v>190</v>
      </c>
    </row>
    <row r="101" spans="1:16" s="20" customFormat="1" ht="18" customHeight="1">
      <c r="A101" s="12" t="s">
        <v>191</v>
      </c>
      <c r="B101" s="6">
        <f t="shared" si="20"/>
        <v>178</v>
      </c>
      <c r="C101" s="47">
        <v>11</v>
      </c>
      <c r="D101" s="47">
        <v>11</v>
      </c>
      <c r="E101" s="47">
        <v>11</v>
      </c>
      <c r="F101" s="47">
        <v>19</v>
      </c>
      <c r="G101" s="47">
        <v>13</v>
      </c>
      <c r="H101" s="47">
        <v>14</v>
      </c>
      <c r="I101" s="47">
        <v>14</v>
      </c>
      <c r="J101" s="47">
        <v>12</v>
      </c>
      <c r="K101" s="37">
        <v>17</v>
      </c>
      <c r="L101" s="37">
        <v>15</v>
      </c>
      <c r="M101" s="37">
        <v>19</v>
      </c>
      <c r="N101" s="37">
        <v>22</v>
      </c>
      <c r="O101" s="45" t="s">
        <v>15</v>
      </c>
    </row>
    <row r="102" spans="1:16" s="20" customFormat="1" ht="17.25" customHeight="1">
      <c r="A102" s="48" t="s">
        <v>33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9"/>
      <c r="N102" s="49"/>
      <c r="O102" s="1" t="s">
        <v>35</v>
      </c>
      <c r="P102" s="16"/>
    </row>
    <row r="103" spans="1:16" s="20" customFormat="1" ht="17.25" customHeight="1">
      <c r="A103" s="50" t="s">
        <v>192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O103" s="2" t="s">
        <v>193</v>
      </c>
    </row>
    <row r="104" spans="1:16" ht="12.75" customHeight="1"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</row>
    <row r="105" spans="1:16" ht="12.75" customHeight="1"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</row>
    <row r="106" spans="1:16"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</row>
    <row r="142" spans="1:15" ht="21">
      <c r="A142" s="52" t="s">
        <v>58</v>
      </c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</row>
    <row r="143" spans="1:15" ht="15">
      <c r="A143" s="53" t="s">
        <v>59</v>
      </c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</row>
    <row r="144" spans="1:1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1"/>
    </row>
    <row r="145" spans="1:15" ht="17.25">
      <c r="A145" s="12" t="s">
        <v>47</v>
      </c>
      <c r="B145" s="13" t="s">
        <v>60</v>
      </c>
      <c r="C145" s="13" t="s">
        <v>36</v>
      </c>
      <c r="D145" s="13" t="s">
        <v>37</v>
      </c>
      <c r="E145" s="13" t="s">
        <v>38</v>
      </c>
      <c r="F145" s="13" t="s">
        <v>39</v>
      </c>
      <c r="G145" s="13" t="s">
        <v>34</v>
      </c>
      <c r="H145" s="13" t="s">
        <v>40</v>
      </c>
      <c r="I145" s="13" t="s">
        <v>41</v>
      </c>
      <c r="J145" s="13" t="s">
        <v>42</v>
      </c>
      <c r="K145" s="13" t="s">
        <v>43</v>
      </c>
      <c r="L145" s="13" t="s">
        <v>44</v>
      </c>
      <c r="M145" s="13" t="s">
        <v>45</v>
      </c>
      <c r="N145" s="14" t="s">
        <v>46</v>
      </c>
      <c r="O145" s="15" t="s">
        <v>61</v>
      </c>
    </row>
    <row r="146" spans="1:15" ht="17.25">
      <c r="A146" s="17" t="s">
        <v>0</v>
      </c>
      <c r="B146" s="18">
        <f>SUM(C146:N146)</f>
        <v>1484274</v>
      </c>
      <c r="C146" s="18">
        <f>C147+C191+C214+C219+C226+C230+C241+C242</f>
        <v>142351</v>
      </c>
      <c r="D146" s="18">
        <f>D147+D191+D214+D219+D226+D230+D241+D242</f>
        <v>144286</v>
      </c>
      <c r="E146" s="18">
        <f t="shared" ref="E146:K146" si="21">E147+E191+E214+E219+E226+E230+E241+E242</f>
        <v>133466</v>
      </c>
      <c r="F146" s="18">
        <f t="shared" si="21"/>
        <v>119713</v>
      </c>
      <c r="G146" s="18">
        <f t="shared" si="21"/>
        <v>92913</v>
      </c>
      <c r="H146" s="18">
        <f t="shared" si="21"/>
        <v>93786</v>
      </c>
      <c r="I146" s="18">
        <f t="shared" si="21"/>
        <v>122332</v>
      </c>
      <c r="J146" s="18">
        <f t="shared" si="21"/>
        <v>123992</v>
      </c>
      <c r="K146" s="18">
        <f t="shared" si="21"/>
        <v>107620</v>
      </c>
      <c r="L146" s="18">
        <f>L147+L191+L214+L219+L226+L230+L241+L242</f>
        <v>127393</v>
      </c>
      <c r="M146" s="18">
        <f t="shared" ref="M146:N146" si="22">M147+M191+M214+M219+M226+M230+M241+M242</f>
        <v>125604</v>
      </c>
      <c r="N146" s="18">
        <f t="shared" si="22"/>
        <v>150818</v>
      </c>
      <c r="O146" s="19" t="s">
        <v>1</v>
      </c>
    </row>
    <row r="147" spans="1:15" ht="17.25">
      <c r="A147" s="22" t="s">
        <v>2</v>
      </c>
      <c r="B147" s="4">
        <f>SUM(C147:N147)</f>
        <v>726420</v>
      </c>
      <c r="C147" s="4">
        <f>C148+C162+C170+C179+C187</f>
        <v>76603</v>
      </c>
      <c r="D147" s="4">
        <f t="shared" ref="D147:G147" si="23">D148+D162+D170+D179+D187</f>
        <v>79710</v>
      </c>
      <c r="E147" s="4">
        <f t="shared" si="23"/>
        <v>82383</v>
      </c>
      <c r="F147" s="4">
        <f t="shared" si="23"/>
        <v>62871</v>
      </c>
      <c r="G147" s="4">
        <f t="shared" si="23"/>
        <v>40056</v>
      </c>
      <c r="H147" s="4">
        <f>H148+H162+H170+H179+H187</f>
        <v>30774</v>
      </c>
      <c r="I147" s="4">
        <f t="shared" ref="I147:K147" si="24">I148+I162+I170+I179+I187</f>
        <v>47603</v>
      </c>
      <c r="J147" s="4">
        <f t="shared" si="24"/>
        <v>52488</v>
      </c>
      <c r="K147" s="4">
        <f t="shared" si="24"/>
        <v>44008</v>
      </c>
      <c r="L147" s="4">
        <f>L148+L162+L170+L179+L187</f>
        <v>62962</v>
      </c>
      <c r="M147" s="4">
        <f t="shared" ref="M147:N147" si="25">M148+M162+M170+M179+M187</f>
        <v>64207</v>
      </c>
      <c r="N147" s="4">
        <f t="shared" si="25"/>
        <v>82755</v>
      </c>
      <c r="O147" s="23" t="s">
        <v>3</v>
      </c>
    </row>
    <row r="148" spans="1:15" ht="18.75">
      <c r="A148" s="25" t="s">
        <v>48</v>
      </c>
      <c r="B148" s="4">
        <f>SUM(C148:N148)</f>
        <v>150519</v>
      </c>
      <c r="C148" s="4">
        <f>SUM(C149:C161)</f>
        <v>20749</v>
      </c>
      <c r="D148" s="4">
        <f t="shared" ref="D148:N148" si="26">SUM(D149:D161)</f>
        <v>17475</v>
      </c>
      <c r="E148" s="4">
        <f t="shared" si="26"/>
        <v>17743</v>
      </c>
      <c r="F148" s="4">
        <f t="shared" si="26"/>
        <v>13301</v>
      </c>
      <c r="G148" s="4">
        <f t="shared" si="26"/>
        <v>7467</v>
      </c>
      <c r="H148" s="4">
        <f t="shared" si="26"/>
        <v>6422</v>
      </c>
      <c r="I148" s="4">
        <f t="shared" si="26"/>
        <v>9048</v>
      </c>
      <c r="J148" s="4">
        <f t="shared" si="26"/>
        <v>8320</v>
      </c>
      <c r="K148" s="4">
        <f t="shared" si="26"/>
        <v>7359</v>
      </c>
      <c r="L148" s="4">
        <f t="shared" si="26"/>
        <v>11847</v>
      </c>
      <c r="M148" s="4">
        <f t="shared" si="26"/>
        <v>13970</v>
      </c>
      <c r="N148" s="4">
        <f t="shared" si="26"/>
        <v>16818</v>
      </c>
      <c r="O148" s="26" t="s">
        <v>62</v>
      </c>
    </row>
    <row r="149" spans="1:15" ht="17.25">
      <c r="A149" s="27" t="s">
        <v>63</v>
      </c>
      <c r="B149" s="28">
        <f>SUM(C149:N149)</f>
        <v>2150</v>
      </c>
      <c r="C149" s="29">
        <v>258</v>
      </c>
      <c r="D149" s="29">
        <v>221</v>
      </c>
      <c r="E149" s="29">
        <v>280</v>
      </c>
      <c r="F149" s="29">
        <v>162</v>
      </c>
      <c r="G149" s="29">
        <v>89</v>
      </c>
      <c r="H149" s="29">
        <v>97</v>
      </c>
      <c r="I149" s="29">
        <v>104</v>
      </c>
      <c r="J149" s="29">
        <v>133</v>
      </c>
      <c r="K149" s="29">
        <v>128</v>
      </c>
      <c r="L149" s="29">
        <v>208</v>
      </c>
      <c r="M149" s="29">
        <v>187</v>
      </c>
      <c r="N149" s="29">
        <v>283</v>
      </c>
      <c r="O149" s="30" t="s">
        <v>64</v>
      </c>
    </row>
    <row r="150" spans="1:15" ht="17.25">
      <c r="A150" s="27" t="s">
        <v>65</v>
      </c>
      <c r="B150" s="28">
        <f>SUM(C150:N150)</f>
        <v>5510</v>
      </c>
      <c r="C150" s="29">
        <v>779</v>
      </c>
      <c r="D150" s="29">
        <v>953</v>
      </c>
      <c r="E150" s="29">
        <v>760</v>
      </c>
      <c r="F150" s="29">
        <v>540</v>
      </c>
      <c r="G150" s="29">
        <v>195</v>
      </c>
      <c r="H150" s="29">
        <v>106</v>
      </c>
      <c r="I150" s="29">
        <v>123</v>
      </c>
      <c r="J150" s="29">
        <v>147</v>
      </c>
      <c r="K150" s="29">
        <v>210</v>
      </c>
      <c r="L150" s="29">
        <v>282</v>
      </c>
      <c r="M150" s="29">
        <v>456</v>
      </c>
      <c r="N150" s="29">
        <v>959</v>
      </c>
      <c r="O150" s="30" t="s">
        <v>66</v>
      </c>
    </row>
    <row r="151" spans="1:15" ht="17.25">
      <c r="A151" s="27" t="s">
        <v>67</v>
      </c>
      <c r="B151" s="28">
        <f t="shared" ref="B151:B169" si="27">SUM(C151:N151)</f>
        <v>13229</v>
      </c>
      <c r="C151" s="29">
        <v>1344</v>
      </c>
      <c r="D151" s="29">
        <v>2204</v>
      </c>
      <c r="E151" s="29">
        <v>1685</v>
      </c>
      <c r="F151" s="29">
        <v>1348</v>
      </c>
      <c r="G151" s="29">
        <v>543</v>
      </c>
      <c r="H151" s="29">
        <v>396</v>
      </c>
      <c r="I151" s="29">
        <v>1130</v>
      </c>
      <c r="J151" s="29">
        <v>692</v>
      </c>
      <c r="K151" s="29">
        <v>513</v>
      </c>
      <c r="L151" s="29">
        <v>888</v>
      </c>
      <c r="M151" s="29">
        <v>1237</v>
      </c>
      <c r="N151" s="29">
        <v>1249</v>
      </c>
      <c r="O151" s="30" t="s">
        <v>68</v>
      </c>
    </row>
    <row r="152" spans="1:15" ht="17.25">
      <c r="A152" s="31" t="s">
        <v>69</v>
      </c>
      <c r="B152" s="28">
        <f t="shared" si="27"/>
        <v>7782</v>
      </c>
      <c r="C152" s="29">
        <v>1456</v>
      </c>
      <c r="D152" s="29">
        <v>1258</v>
      </c>
      <c r="E152" s="29">
        <v>986</v>
      </c>
      <c r="F152" s="29">
        <v>439</v>
      </c>
      <c r="G152" s="29">
        <v>283</v>
      </c>
      <c r="H152" s="29">
        <v>199</v>
      </c>
      <c r="I152" s="29">
        <v>272</v>
      </c>
      <c r="J152" s="29">
        <v>309</v>
      </c>
      <c r="K152" s="29">
        <v>229</v>
      </c>
      <c r="L152" s="29">
        <v>776</v>
      </c>
      <c r="M152" s="29">
        <v>468</v>
      </c>
      <c r="N152" s="29">
        <v>1107</v>
      </c>
      <c r="O152" s="30" t="s">
        <v>70</v>
      </c>
    </row>
    <row r="153" spans="1:15" ht="17.25">
      <c r="A153" s="27" t="s">
        <v>71</v>
      </c>
      <c r="B153" s="28">
        <f t="shared" si="27"/>
        <v>4249</v>
      </c>
      <c r="C153" s="29">
        <v>660</v>
      </c>
      <c r="D153" s="29">
        <v>296</v>
      </c>
      <c r="E153" s="29">
        <v>772</v>
      </c>
      <c r="F153" s="29">
        <v>184</v>
      </c>
      <c r="G153" s="29">
        <v>160</v>
      </c>
      <c r="H153" s="29">
        <v>183</v>
      </c>
      <c r="I153" s="29">
        <v>488</v>
      </c>
      <c r="J153" s="29">
        <v>296</v>
      </c>
      <c r="K153" s="29">
        <v>157</v>
      </c>
      <c r="L153" s="29">
        <v>264</v>
      </c>
      <c r="M153" s="29">
        <v>138</v>
      </c>
      <c r="N153" s="29">
        <v>651</v>
      </c>
      <c r="O153" s="30" t="s">
        <v>72</v>
      </c>
    </row>
    <row r="154" spans="1:15" ht="17.25">
      <c r="A154" s="27" t="s">
        <v>73</v>
      </c>
      <c r="B154" s="28">
        <f t="shared" si="27"/>
        <v>1199</v>
      </c>
      <c r="C154" s="29">
        <v>143</v>
      </c>
      <c r="D154" s="29">
        <v>172</v>
      </c>
      <c r="E154" s="29">
        <v>164</v>
      </c>
      <c r="F154" s="29">
        <v>95</v>
      </c>
      <c r="G154" s="29">
        <v>45</v>
      </c>
      <c r="H154" s="29">
        <v>42</v>
      </c>
      <c r="I154" s="29">
        <v>31</v>
      </c>
      <c r="J154" s="29">
        <v>34</v>
      </c>
      <c r="K154" s="29">
        <v>30</v>
      </c>
      <c r="L154" s="29">
        <v>98</v>
      </c>
      <c r="M154" s="29">
        <v>174</v>
      </c>
      <c r="N154" s="29">
        <v>171</v>
      </c>
      <c r="O154" s="30" t="s">
        <v>74</v>
      </c>
    </row>
    <row r="155" spans="1:15" ht="17.25">
      <c r="A155" s="27" t="s">
        <v>75</v>
      </c>
      <c r="B155" s="28">
        <f t="shared" si="27"/>
        <v>2638</v>
      </c>
      <c r="C155" s="29">
        <v>305</v>
      </c>
      <c r="D155" s="29">
        <v>332</v>
      </c>
      <c r="E155" s="29">
        <v>325</v>
      </c>
      <c r="F155" s="29">
        <v>227</v>
      </c>
      <c r="G155" s="29">
        <v>152</v>
      </c>
      <c r="H155" s="29">
        <v>86</v>
      </c>
      <c r="I155" s="29">
        <v>62</v>
      </c>
      <c r="J155" s="29">
        <v>89</v>
      </c>
      <c r="K155" s="29">
        <v>160</v>
      </c>
      <c r="L155" s="29">
        <v>274</v>
      </c>
      <c r="M155" s="29">
        <v>328</v>
      </c>
      <c r="N155" s="29">
        <v>298</v>
      </c>
      <c r="O155" s="30" t="s">
        <v>76</v>
      </c>
    </row>
    <row r="156" spans="1:15" ht="17.25">
      <c r="A156" s="27" t="s">
        <v>77</v>
      </c>
      <c r="B156" s="28">
        <f t="shared" si="27"/>
        <v>12025</v>
      </c>
      <c r="C156" s="29">
        <v>1730</v>
      </c>
      <c r="D156" s="29">
        <v>1424</v>
      </c>
      <c r="E156" s="29">
        <v>1122</v>
      </c>
      <c r="F156" s="29">
        <v>1124</v>
      </c>
      <c r="G156" s="29">
        <v>760</v>
      </c>
      <c r="H156" s="29">
        <v>505</v>
      </c>
      <c r="I156" s="29">
        <v>878</v>
      </c>
      <c r="J156" s="29">
        <v>566</v>
      </c>
      <c r="K156" s="29">
        <v>668</v>
      </c>
      <c r="L156" s="29">
        <v>839</v>
      </c>
      <c r="M156" s="29">
        <v>1251</v>
      </c>
      <c r="N156" s="29">
        <v>1158</v>
      </c>
      <c r="O156" s="30" t="s">
        <v>78</v>
      </c>
    </row>
    <row r="157" spans="1:15" ht="17.25">
      <c r="A157" s="27" t="s">
        <v>79</v>
      </c>
      <c r="B157" s="28">
        <f t="shared" si="27"/>
        <v>8520</v>
      </c>
      <c r="C157" s="29">
        <v>1192</v>
      </c>
      <c r="D157" s="29">
        <v>1188</v>
      </c>
      <c r="E157" s="29">
        <v>778</v>
      </c>
      <c r="F157" s="29">
        <v>722</v>
      </c>
      <c r="G157" s="29">
        <v>339</v>
      </c>
      <c r="H157" s="29">
        <v>273</v>
      </c>
      <c r="I157" s="29">
        <v>351</v>
      </c>
      <c r="J157" s="29">
        <v>384</v>
      </c>
      <c r="K157" s="29">
        <v>388</v>
      </c>
      <c r="L157" s="29">
        <v>695</v>
      </c>
      <c r="M157" s="29">
        <v>1098</v>
      </c>
      <c r="N157" s="29">
        <v>1112</v>
      </c>
      <c r="O157" s="30" t="s">
        <v>80</v>
      </c>
    </row>
    <row r="158" spans="1:15" ht="17.25">
      <c r="A158" s="27" t="s">
        <v>81</v>
      </c>
      <c r="B158" s="28">
        <f t="shared" si="27"/>
        <v>70935</v>
      </c>
      <c r="C158" s="29">
        <v>9595</v>
      </c>
      <c r="D158" s="29">
        <v>6953</v>
      </c>
      <c r="E158" s="29">
        <v>7867</v>
      </c>
      <c r="F158" s="29">
        <v>6433</v>
      </c>
      <c r="G158" s="29">
        <v>3903</v>
      </c>
      <c r="H158" s="29">
        <v>3646</v>
      </c>
      <c r="I158" s="29">
        <v>4370</v>
      </c>
      <c r="J158" s="29">
        <v>4525</v>
      </c>
      <c r="K158" s="29">
        <v>3790</v>
      </c>
      <c r="L158" s="29">
        <v>5800</v>
      </c>
      <c r="M158" s="29">
        <v>6901</v>
      </c>
      <c r="N158" s="29">
        <v>7152</v>
      </c>
      <c r="O158" s="30" t="s">
        <v>11</v>
      </c>
    </row>
    <row r="159" spans="1:15" ht="17.25">
      <c r="A159" s="27" t="s">
        <v>82</v>
      </c>
      <c r="B159" s="28">
        <f t="shared" si="27"/>
        <v>6584</v>
      </c>
      <c r="C159" s="29">
        <v>773</v>
      </c>
      <c r="D159" s="29">
        <v>942</v>
      </c>
      <c r="E159" s="29">
        <v>1222</v>
      </c>
      <c r="F159" s="29">
        <v>734</v>
      </c>
      <c r="G159" s="29">
        <v>268</v>
      </c>
      <c r="H159" s="29">
        <v>205</v>
      </c>
      <c r="I159" s="29">
        <v>386</v>
      </c>
      <c r="J159" s="29">
        <v>193</v>
      </c>
      <c r="K159" s="29">
        <v>174</v>
      </c>
      <c r="L159" s="29">
        <v>480</v>
      </c>
      <c r="M159" s="29">
        <v>530</v>
      </c>
      <c r="N159" s="29">
        <v>677</v>
      </c>
      <c r="O159" s="30" t="s">
        <v>12</v>
      </c>
    </row>
    <row r="160" spans="1:15" ht="17.25">
      <c r="A160" s="27" t="s">
        <v>83</v>
      </c>
      <c r="B160" s="28">
        <f t="shared" si="27"/>
        <v>11430</v>
      </c>
      <c r="C160" s="29">
        <v>1734</v>
      </c>
      <c r="D160" s="29">
        <v>1099</v>
      </c>
      <c r="E160" s="29">
        <v>1191</v>
      </c>
      <c r="F160" s="29">
        <v>965</v>
      </c>
      <c r="G160" s="29">
        <v>613</v>
      </c>
      <c r="H160" s="29">
        <v>525</v>
      </c>
      <c r="I160" s="29">
        <v>641</v>
      </c>
      <c r="J160" s="29">
        <v>744</v>
      </c>
      <c r="K160" s="29">
        <v>687</v>
      </c>
      <c r="L160" s="29">
        <v>955</v>
      </c>
      <c r="M160" s="29">
        <v>867</v>
      </c>
      <c r="N160" s="29">
        <v>1409</v>
      </c>
      <c r="O160" s="30" t="s">
        <v>84</v>
      </c>
    </row>
    <row r="161" spans="1:15" ht="17.25">
      <c r="A161" s="27" t="s">
        <v>85</v>
      </c>
      <c r="B161" s="28">
        <f t="shared" si="27"/>
        <v>4268</v>
      </c>
      <c r="C161" s="29">
        <v>780</v>
      </c>
      <c r="D161" s="29">
        <v>433</v>
      </c>
      <c r="E161" s="29">
        <v>591</v>
      </c>
      <c r="F161" s="29">
        <v>328</v>
      </c>
      <c r="G161" s="29">
        <v>117</v>
      </c>
      <c r="H161" s="29">
        <v>159</v>
      </c>
      <c r="I161" s="29">
        <v>212</v>
      </c>
      <c r="J161" s="29">
        <v>208</v>
      </c>
      <c r="K161" s="29">
        <v>225</v>
      </c>
      <c r="L161" s="29">
        <v>288</v>
      </c>
      <c r="M161" s="29">
        <v>335</v>
      </c>
      <c r="N161" s="29">
        <v>592</v>
      </c>
      <c r="O161" s="30" t="s">
        <v>15</v>
      </c>
    </row>
    <row r="162" spans="1:15" ht="17.25">
      <c r="A162" s="25" t="s">
        <v>49</v>
      </c>
      <c r="B162" s="28">
        <f t="shared" si="27"/>
        <v>156465</v>
      </c>
      <c r="C162" s="32">
        <f>SUM(C163:C169)</f>
        <v>14669</v>
      </c>
      <c r="D162" s="32">
        <f t="shared" ref="D162:N162" si="28">SUM(D163:D169)</f>
        <v>17293</v>
      </c>
      <c r="E162" s="32">
        <f t="shared" si="28"/>
        <v>16657</v>
      </c>
      <c r="F162" s="32">
        <f t="shared" si="28"/>
        <v>13278</v>
      </c>
      <c r="G162" s="32">
        <f t="shared" si="28"/>
        <v>9024</v>
      </c>
      <c r="H162" s="32">
        <f t="shared" si="28"/>
        <v>8334</v>
      </c>
      <c r="I162" s="32">
        <f t="shared" si="28"/>
        <v>12516</v>
      </c>
      <c r="J162" s="32">
        <f t="shared" si="28"/>
        <v>11012</v>
      </c>
      <c r="K162" s="32">
        <f t="shared" si="28"/>
        <v>9793</v>
      </c>
      <c r="L162" s="32">
        <f t="shared" si="28"/>
        <v>13963</v>
      </c>
      <c r="M162" s="32">
        <f t="shared" si="28"/>
        <v>13889</v>
      </c>
      <c r="N162" s="32">
        <f t="shared" si="28"/>
        <v>16037</v>
      </c>
      <c r="O162" s="33" t="s">
        <v>86</v>
      </c>
    </row>
    <row r="163" spans="1:15" ht="17.25">
      <c r="A163" s="27" t="s">
        <v>87</v>
      </c>
      <c r="B163" s="28">
        <f t="shared" si="27"/>
        <v>11133</v>
      </c>
      <c r="C163" s="29">
        <v>1323</v>
      </c>
      <c r="D163" s="29">
        <v>2025</v>
      </c>
      <c r="E163" s="29">
        <v>1466</v>
      </c>
      <c r="F163" s="29">
        <v>748</v>
      </c>
      <c r="G163" s="29">
        <v>354</v>
      </c>
      <c r="H163" s="29">
        <v>294</v>
      </c>
      <c r="I163" s="29">
        <v>1529</v>
      </c>
      <c r="J163" s="29">
        <v>405</v>
      </c>
      <c r="K163" s="29">
        <v>388</v>
      </c>
      <c r="L163" s="29">
        <v>1000</v>
      </c>
      <c r="M163" s="29">
        <v>766</v>
      </c>
      <c r="N163" s="29">
        <v>835</v>
      </c>
      <c r="O163" s="30" t="s">
        <v>88</v>
      </c>
    </row>
    <row r="164" spans="1:15" ht="17.25">
      <c r="A164" s="27" t="s">
        <v>89</v>
      </c>
      <c r="B164" s="28">
        <f t="shared" si="27"/>
        <v>5682</v>
      </c>
      <c r="C164" s="29">
        <v>784</v>
      </c>
      <c r="D164" s="29">
        <v>726</v>
      </c>
      <c r="E164" s="29">
        <v>593</v>
      </c>
      <c r="F164" s="29">
        <v>256</v>
      </c>
      <c r="G164" s="29">
        <v>233</v>
      </c>
      <c r="H164" s="29">
        <v>209</v>
      </c>
      <c r="I164" s="29">
        <v>287</v>
      </c>
      <c r="J164" s="29">
        <v>218</v>
      </c>
      <c r="K164" s="29">
        <v>227</v>
      </c>
      <c r="L164" s="29">
        <v>575</v>
      </c>
      <c r="M164" s="29">
        <v>579</v>
      </c>
      <c r="N164" s="29">
        <v>995</v>
      </c>
      <c r="O164" s="30" t="s">
        <v>6</v>
      </c>
    </row>
    <row r="165" spans="1:15" ht="17.25">
      <c r="A165" s="27" t="s">
        <v>90</v>
      </c>
      <c r="B165" s="28">
        <f t="shared" si="27"/>
        <v>4236</v>
      </c>
      <c r="C165" s="29">
        <v>383</v>
      </c>
      <c r="D165" s="29">
        <v>309</v>
      </c>
      <c r="E165" s="29">
        <v>431</v>
      </c>
      <c r="F165" s="29">
        <v>380</v>
      </c>
      <c r="G165" s="29">
        <v>249</v>
      </c>
      <c r="H165" s="29">
        <v>321</v>
      </c>
      <c r="I165" s="29">
        <v>361</v>
      </c>
      <c r="J165" s="29">
        <v>416</v>
      </c>
      <c r="K165" s="29">
        <v>312</v>
      </c>
      <c r="L165" s="29">
        <v>357</v>
      </c>
      <c r="M165" s="29">
        <v>328</v>
      </c>
      <c r="N165" s="29">
        <v>389</v>
      </c>
      <c r="O165" s="30" t="s">
        <v>91</v>
      </c>
    </row>
    <row r="166" spans="1:15" ht="17.25">
      <c r="A166" s="27" t="s">
        <v>93</v>
      </c>
      <c r="B166" s="28">
        <f t="shared" si="27"/>
        <v>5585</v>
      </c>
      <c r="C166" s="29">
        <v>508</v>
      </c>
      <c r="D166" s="29">
        <v>728</v>
      </c>
      <c r="E166" s="29">
        <v>635</v>
      </c>
      <c r="F166" s="29">
        <v>226</v>
      </c>
      <c r="G166" s="29">
        <v>186</v>
      </c>
      <c r="H166" s="29">
        <v>464</v>
      </c>
      <c r="I166" s="29">
        <v>1048</v>
      </c>
      <c r="J166" s="29">
        <v>317</v>
      </c>
      <c r="K166" s="29">
        <v>263</v>
      </c>
      <c r="L166" s="29">
        <v>336</v>
      </c>
      <c r="M166" s="29">
        <v>387</v>
      </c>
      <c r="N166" s="29">
        <v>487</v>
      </c>
      <c r="O166" s="30" t="s">
        <v>94</v>
      </c>
    </row>
    <row r="167" spans="1:15" ht="17.25">
      <c r="A167" s="27" t="s">
        <v>95</v>
      </c>
      <c r="B167" s="28">
        <f t="shared" si="27"/>
        <v>14988</v>
      </c>
      <c r="C167" s="29">
        <v>2190</v>
      </c>
      <c r="D167" s="29">
        <v>2109</v>
      </c>
      <c r="E167" s="29">
        <v>1672</v>
      </c>
      <c r="F167" s="29">
        <v>793</v>
      </c>
      <c r="G167" s="29">
        <v>408</v>
      </c>
      <c r="H167" s="29">
        <v>576</v>
      </c>
      <c r="I167" s="29">
        <v>856</v>
      </c>
      <c r="J167" s="29">
        <v>396</v>
      </c>
      <c r="K167" s="29">
        <v>483</v>
      </c>
      <c r="L167" s="29">
        <v>1684</v>
      </c>
      <c r="M167" s="29">
        <v>1301</v>
      </c>
      <c r="N167" s="29">
        <v>2520</v>
      </c>
      <c r="O167" s="30" t="s">
        <v>96</v>
      </c>
    </row>
    <row r="168" spans="1:15" ht="17.25">
      <c r="A168" s="27" t="s">
        <v>97</v>
      </c>
      <c r="B168" s="28">
        <f t="shared" si="27"/>
        <v>114602</v>
      </c>
      <c r="C168" s="29">
        <v>9442</v>
      </c>
      <c r="D168" s="29">
        <v>11362</v>
      </c>
      <c r="E168" s="29">
        <v>11829</v>
      </c>
      <c r="F168" s="29">
        <v>10866</v>
      </c>
      <c r="G168" s="29">
        <v>7577</v>
      </c>
      <c r="H168" s="29">
        <v>6459</v>
      </c>
      <c r="I168" s="29">
        <v>8421</v>
      </c>
      <c r="J168" s="29">
        <v>9249</v>
      </c>
      <c r="K168" s="29">
        <v>8106</v>
      </c>
      <c r="L168" s="29">
        <v>9989</v>
      </c>
      <c r="M168" s="29">
        <v>10518</v>
      </c>
      <c r="N168" s="29">
        <v>10784</v>
      </c>
      <c r="O168" s="30" t="s">
        <v>14</v>
      </c>
    </row>
    <row r="169" spans="1:15" ht="17.25">
      <c r="A169" s="27" t="s">
        <v>85</v>
      </c>
      <c r="B169" s="28">
        <f t="shared" si="27"/>
        <v>239</v>
      </c>
      <c r="C169" s="29">
        <v>39</v>
      </c>
      <c r="D169" s="29">
        <v>34</v>
      </c>
      <c r="E169" s="29">
        <v>31</v>
      </c>
      <c r="F169" s="29">
        <v>9</v>
      </c>
      <c r="G169" s="29">
        <v>17</v>
      </c>
      <c r="H169" s="29">
        <v>11</v>
      </c>
      <c r="I169" s="29">
        <v>14</v>
      </c>
      <c r="J169" s="29">
        <v>11</v>
      </c>
      <c r="K169" s="29">
        <v>14</v>
      </c>
      <c r="L169" s="29">
        <v>22</v>
      </c>
      <c r="M169" s="29">
        <v>10</v>
      </c>
      <c r="N169" s="29">
        <v>27</v>
      </c>
      <c r="O169" s="30" t="s">
        <v>15</v>
      </c>
    </row>
    <row r="170" spans="1:15" ht="17.25">
      <c r="A170" s="25" t="s">
        <v>50</v>
      </c>
      <c r="B170" s="28">
        <f>SUM(C170:N170)</f>
        <v>158119</v>
      </c>
      <c r="C170" s="32">
        <f>SUM(C171:C178)</f>
        <v>17516</v>
      </c>
      <c r="D170" s="32">
        <f t="shared" ref="D170:N170" si="29">SUM(D171:D178)</f>
        <v>16920</v>
      </c>
      <c r="E170" s="32">
        <f t="shared" si="29"/>
        <v>17278</v>
      </c>
      <c r="F170" s="32">
        <f t="shared" si="29"/>
        <v>11597</v>
      </c>
      <c r="G170" s="32">
        <f t="shared" si="29"/>
        <v>5918</v>
      </c>
      <c r="H170" s="32">
        <f t="shared" si="29"/>
        <v>6729</v>
      </c>
      <c r="I170" s="32">
        <f t="shared" si="29"/>
        <v>9855</v>
      </c>
      <c r="J170" s="32">
        <f t="shared" si="29"/>
        <v>16839</v>
      </c>
      <c r="K170" s="32">
        <f t="shared" si="29"/>
        <v>9338</v>
      </c>
      <c r="L170" s="32">
        <f t="shared" si="29"/>
        <v>11176</v>
      </c>
      <c r="M170" s="32">
        <f t="shared" si="29"/>
        <v>11999</v>
      </c>
      <c r="N170" s="32">
        <f t="shared" si="29"/>
        <v>22954</v>
      </c>
      <c r="O170" s="33" t="s">
        <v>98</v>
      </c>
    </row>
    <row r="171" spans="1:15" ht="17.25">
      <c r="A171" s="27" t="s">
        <v>99</v>
      </c>
      <c r="B171" s="28">
        <f t="shared" ref="B171:B214" si="30">SUM(C171:N171)</f>
        <v>1579</v>
      </c>
      <c r="C171" s="32">
        <v>322</v>
      </c>
      <c r="D171" s="32">
        <v>143</v>
      </c>
      <c r="E171" s="32">
        <v>190</v>
      </c>
      <c r="F171" s="32">
        <v>123</v>
      </c>
      <c r="G171" s="32">
        <v>71</v>
      </c>
      <c r="H171" s="32">
        <v>51</v>
      </c>
      <c r="I171" s="32">
        <v>52</v>
      </c>
      <c r="J171" s="32">
        <v>83</v>
      </c>
      <c r="K171" s="32">
        <v>67</v>
      </c>
      <c r="L171" s="32">
        <v>127</v>
      </c>
      <c r="M171" s="32">
        <v>134</v>
      </c>
      <c r="N171" s="32">
        <v>216</v>
      </c>
      <c r="O171" s="33" t="s">
        <v>100</v>
      </c>
    </row>
    <row r="172" spans="1:15" ht="17.25">
      <c r="A172" s="27" t="s">
        <v>101</v>
      </c>
      <c r="B172" s="28">
        <f t="shared" si="30"/>
        <v>2398</v>
      </c>
      <c r="C172" s="29">
        <v>209</v>
      </c>
      <c r="D172" s="29">
        <v>204</v>
      </c>
      <c r="E172" s="29">
        <v>191</v>
      </c>
      <c r="F172" s="29">
        <v>240</v>
      </c>
      <c r="G172" s="29">
        <v>84</v>
      </c>
      <c r="H172" s="29">
        <v>94</v>
      </c>
      <c r="I172" s="29">
        <v>150</v>
      </c>
      <c r="J172" s="29">
        <v>298</v>
      </c>
      <c r="K172" s="29">
        <v>151</v>
      </c>
      <c r="L172" s="29">
        <v>157</v>
      </c>
      <c r="M172" s="29">
        <v>198</v>
      </c>
      <c r="N172" s="29">
        <v>422</v>
      </c>
      <c r="O172" s="30" t="s">
        <v>8</v>
      </c>
    </row>
    <row r="173" spans="1:15" ht="17.25">
      <c r="A173" s="27" t="s">
        <v>102</v>
      </c>
      <c r="B173" s="28">
        <f t="shared" si="30"/>
        <v>105297</v>
      </c>
      <c r="C173" s="29">
        <v>14329</v>
      </c>
      <c r="D173" s="29">
        <v>13962</v>
      </c>
      <c r="E173" s="29">
        <v>13198</v>
      </c>
      <c r="F173" s="29">
        <v>8389</v>
      </c>
      <c r="G173" s="29">
        <v>3258</v>
      </c>
      <c r="H173" s="29">
        <v>3236</v>
      </c>
      <c r="I173" s="29">
        <v>4644</v>
      </c>
      <c r="J173" s="29">
        <v>8771</v>
      </c>
      <c r="K173" s="29">
        <v>4133</v>
      </c>
      <c r="L173" s="29">
        <v>5663</v>
      </c>
      <c r="M173" s="29">
        <v>7927</v>
      </c>
      <c r="N173" s="29">
        <v>17787</v>
      </c>
      <c r="O173" s="30" t="s">
        <v>9</v>
      </c>
    </row>
    <row r="174" spans="1:15" ht="17.25">
      <c r="A174" s="27" t="s">
        <v>103</v>
      </c>
      <c r="B174" s="28">
        <f t="shared" si="30"/>
        <v>8342</v>
      </c>
      <c r="C174" s="29">
        <v>456</v>
      </c>
      <c r="D174" s="29">
        <v>408</v>
      </c>
      <c r="E174" s="29">
        <v>918</v>
      </c>
      <c r="F174" s="29">
        <v>578</v>
      </c>
      <c r="G174" s="29">
        <v>496</v>
      </c>
      <c r="H174" s="29">
        <v>597</v>
      </c>
      <c r="I174" s="29">
        <v>920</v>
      </c>
      <c r="J174" s="29">
        <v>1034</v>
      </c>
      <c r="K174" s="29">
        <v>775</v>
      </c>
      <c r="L174" s="29">
        <v>761</v>
      </c>
      <c r="M174" s="29">
        <v>577</v>
      </c>
      <c r="N174" s="29">
        <v>822</v>
      </c>
      <c r="O174" s="30" t="s">
        <v>10</v>
      </c>
    </row>
    <row r="175" spans="1:15" ht="17.25">
      <c r="A175" s="27" t="s">
        <v>104</v>
      </c>
      <c r="B175" s="28">
        <f t="shared" si="30"/>
        <v>2451</v>
      </c>
      <c r="C175" s="29">
        <v>339</v>
      </c>
      <c r="D175" s="29">
        <v>297</v>
      </c>
      <c r="E175" s="29">
        <v>185</v>
      </c>
      <c r="F175" s="29">
        <v>173</v>
      </c>
      <c r="G175" s="29">
        <v>103</v>
      </c>
      <c r="H175" s="29">
        <v>149</v>
      </c>
      <c r="I175" s="29">
        <v>205</v>
      </c>
      <c r="J175" s="29">
        <v>173</v>
      </c>
      <c r="K175" s="29">
        <v>159</v>
      </c>
      <c r="L175" s="29">
        <v>154</v>
      </c>
      <c r="M175" s="29">
        <v>241</v>
      </c>
      <c r="N175" s="29">
        <v>273</v>
      </c>
      <c r="O175" s="30" t="s">
        <v>105</v>
      </c>
    </row>
    <row r="176" spans="1:15" ht="17.25">
      <c r="A176" s="27" t="s">
        <v>106</v>
      </c>
      <c r="B176" s="28">
        <f t="shared" si="30"/>
        <v>3167</v>
      </c>
      <c r="C176" s="29">
        <v>250</v>
      </c>
      <c r="D176" s="29">
        <v>561</v>
      </c>
      <c r="E176" s="29">
        <v>185</v>
      </c>
      <c r="F176" s="29">
        <v>388</v>
      </c>
      <c r="G176" s="29">
        <v>124</v>
      </c>
      <c r="H176" s="29">
        <v>106</v>
      </c>
      <c r="I176" s="29">
        <v>248</v>
      </c>
      <c r="J176" s="29">
        <v>129</v>
      </c>
      <c r="K176" s="29">
        <v>102</v>
      </c>
      <c r="L176" s="29">
        <v>449</v>
      </c>
      <c r="M176" s="29">
        <v>230</v>
      </c>
      <c r="N176" s="29">
        <v>395</v>
      </c>
      <c r="O176" s="30" t="s">
        <v>107</v>
      </c>
    </row>
    <row r="177" spans="1:15" ht="17.25">
      <c r="A177" s="27" t="s">
        <v>108</v>
      </c>
      <c r="B177" s="28">
        <f t="shared" si="30"/>
        <v>31780</v>
      </c>
      <c r="C177" s="29">
        <v>1315</v>
      </c>
      <c r="D177" s="29">
        <v>1129</v>
      </c>
      <c r="E177" s="29">
        <v>2118</v>
      </c>
      <c r="F177" s="29">
        <v>1511</v>
      </c>
      <c r="G177" s="29">
        <v>1623</v>
      </c>
      <c r="H177" s="29">
        <v>2333</v>
      </c>
      <c r="I177" s="29">
        <v>3408</v>
      </c>
      <c r="J177" s="29">
        <v>6081</v>
      </c>
      <c r="K177" s="29">
        <v>3642</v>
      </c>
      <c r="L177" s="29">
        <v>3563</v>
      </c>
      <c r="M177" s="29">
        <v>2426</v>
      </c>
      <c r="N177" s="29">
        <v>2631</v>
      </c>
      <c r="O177" s="30" t="s">
        <v>13</v>
      </c>
    </row>
    <row r="178" spans="1:15" ht="17.25">
      <c r="A178" s="27" t="s">
        <v>85</v>
      </c>
      <c r="B178" s="28">
        <f t="shared" si="30"/>
        <v>3105</v>
      </c>
      <c r="C178" s="29">
        <v>296</v>
      </c>
      <c r="D178" s="29">
        <v>216</v>
      </c>
      <c r="E178" s="29">
        <v>293</v>
      </c>
      <c r="F178" s="29">
        <v>195</v>
      </c>
      <c r="G178" s="29">
        <v>159</v>
      </c>
      <c r="H178" s="29">
        <v>163</v>
      </c>
      <c r="I178" s="29">
        <v>228</v>
      </c>
      <c r="J178" s="29">
        <v>270</v>
      </c>
      <c r="K178" s="29">
        <v>309</v>
      </c>
      <c r="L178" s="29">
        <v>302</v>
      </c>
      <c r="M178" s="29">
        <v>266</v>
      </c>
      <c r="N178" s="29">
        <v>408</v>
      </c>
      <c r="O178" s="30" t="s">
        <v>15</v>
      </c>
    </row>
    <row r="179" spans="1:15" ht="17.25">
      <c r="A179" s="25" t="s">
        <v>51</v>
      </c>
      <c r="B179" s="28">
        <f t="shared" si="30"/>
        <v>242727</v>
      </c>
      <c r="C179" s="32">
        <f>SUM(C180:C186)</f>
        <v>21563</v>
      </c>
      <c r="D179" s="32">
        <f t="shared" ref="D179:N179" si="31">SUM(D180:D186)</f>
        <v>26881</v>
      </c>
      <c r="E179" s="32">
        <f t="shared" si="31"/>
        <v>29439</v>
      </c>
      <c r="F179" s="32">
        <f t="shared" si="31"/>
        <v>23126</v>
      </c>
      <c r="G179" s="32">
        <f t="shared" si="31"/>
        <v>16669</v>
      </c>
      <c r="H179" s="32">
        <f t="shared" si="31"/>
        <v>8458</v>
      </c>
      <c r="I179" s="32">
        <f t="shared" si="31"/>
        <v>14361</v>
      </c>
      <c r="J179" s="32">
        <f t="shared" si="31"/>
        <v>14225</v>
      </c>
      <c r="K179" s="32">
        <f t="shared" si="31"/>
        <v>14819</v>
      </c>
      <c r="L179" s="32">
        <f t="shared" si="31"/>
        <v>24721</v>
      </c>
      <c r="M179" s="32">
        <f t="shared" si="31"/>
        <v>23333</v>
      </c>
      <c r="N179" s="32">
        <f t="shared" si="31"/>
        <v>25132</v>
      </c>
      <c r="O179" s="33" t="s">
        <v>109</v>
      </c>
    </row>
    <row r="180" spans="1:15" ht="17.25">
      <c r="A180" s="27" t="s">
        <v>110</v>
      </c>
      <c r="B180" s="28">
        <f t="shared" si="30"/>
        <v>20391</v>
      </c>
      <c r="C180" s="29">
        <v>2290</v>
      </c>
      <c r="D180" s="29">
        <v>3021</v>
      </c>
      <c r="E180" s="29">
        <v>2835</v>
      </c>
      <c r="F180" s="29">
        <v>1350</v>
      </c>
      <c r="G180" s="29">
        <v>989</v>
      </c>
      <c r="H180" s="29">
        <v>492</v>
      </c>
      <c r="I180" s="29">
        <v>1301</v>
      </c>
      <c r="J180" s="29">
        <v>1100</v>
      </c>
      <c r="K180" s="29">
        <v>745</v>
      </c>
      <c r="L180" s="29">
        <v>1890</v>
      </c>
      <c r="M180" s="29">
        <v>2013</v>
      </c>
      <c r="N180" s="29">
        <v>2365</v>
      </c>
      <c r="O180" s="30" t="s">
        <v>4</v>
      </c>
    </row>
    <row r="181" spans="1:15" ht="17.25">
      <c r="A181" s="27" t="s">
        <v>111</v>
      </c>
      <c r="B181" s="28">
        <f t="shared" si="30"/>
        <v>6492</v>
      </c>
      <c r="C181" s="29">
        <v>598</v>
      </c>
      <c r="D181" s="29">
        <v>684</v>
      </c>
      <c r="E181" s="29">
        <v>695</v>
      </c>
      <c r="F181" s="29">
        <v>654</v>
      </c>
      <c r="G181" s="29">
        <v>263</v>
      </c>
      <c r="H181" s="29">
        <v>219</v>
      </c>
      <c r="I181" s="29">
        <v>572</v>
      </c>
      <c r="J181" s="29">
        <v>448</v>
      </c>
      <c r="K181" s="29">
        <v>404</v>
      </c>
      <c r="L181" s="29">
        <v>641</v>
      </c>
      <c r="M181" s="29">
        <v>504</v>
      </c>
      <c r="N181" s="29">
        <v>810</v>
      </c>
      <c r="O181" s="30" t="s">
        <v>5</v>
      </c>
    </row>
    <row r="182" spans="1:15" ht="17.25">
      <c r="A182" s="27" t="s">
        <v>112</v>
      </c>
      <c r="B182" s="28">
        <f t="shared" si="30"/>
        <v>50476</v>
      </c>
      <c r="C182" s="29">
        <v>6335</v>
      </c>
      <c r="D182" s="29">
        <v>8058</v>
      </c>
      <c r="E182" s="29">
        <v>6452</v>
      </c>
      <c r="F182" s="29">
        <v>5903</v>
      </c>
      <c r="G182" s="29">
        <v>2555</v>
      </c>
      <c r="H182" s="29">
        <v>1057</v>
      </c>
      <c r="I182" s="29">
        <v>2043</v>
      </c>
      <c r="J182" s="29">
        <v>2714</v>
      </c>
      <c r="K182" s="29">
        <v>1853</v>
      </c>
      <c r="L182" s="29">
        <v>3743</v>
      </c>
      <c r="M182" s="29">
        <v>3349</v>
      </c>
      <c r="N182" s="29">
        <v>6414</v>
      </c>
      <c r="O182" s="30" t="s">
        <v>7</v>
      </c>
    </row>
    <row r="183" spans="1:15" ht="17.25">
      <c r="A183" s="27" t="s">
        <v>113</v>
      </c>
      <c r="B183" s="28">
        <f t="shared" si="30"/>
        <v>117532</v>
      </c>
      <c r="C183" s="29">
        <v>8329</v>
      </c>
      <c r="D183" s="29">
        <v>9785</v>
      </c>
      <c r="E183" s="29">
        <v>14692</v>
      </c>
      <c r="F183" s="29">
        <v>9070</v>
      </c>
      <c r="G183" s="29">
        <v>10668</v>
      </c>
      <c r="H183" s="29">
        <v>5283</v>
      </c>
      <c r="I183" s="29">
        <v>6932</v>
      </c>
      <c r="J183" s="29">
        <v>6382</v>
      </c>
      <c r="K183" s="29">
        <v>9112</v>
      </c>
      <c r="L183" s="29">
        <v>13364</v>
      </c>
      <c r="M183" s="29">
        <v>13043</v>
      </c>
      <c r="N183" s="29">
        <v>10872</v>
      </c>
      <c r="O183" s="30" t="s">
        <v>114</v>
      </c>
    </row>
    <row r="184" spans="1:15" ht="17.25">
      <c r="A184" s="31" t="s">
        <v>115</v>
      </c>
      <c r="B184" s="28">
        <f t="shared" si="30"/>
        <v>13845</v>
      </c>
      <c r="C184" s="29">
        <v>1008</v>
      </c>
      <c r="D184" s="29">
        <v>1112</v>
      </c>
      <c r="E184" s="29">
        <v>887</v>
      </c>
      <c r="F184" s="29">
        <v>1042</v>
      </c>
      <c r="G184" s="29">
        <v>770</v>
      </c>
      <c r="H184" s="29">
        <v>728</v>
      </c>
      <c r="I184" s="29">
        <v>1554</v>
      </c>
      <c r="J184" s="29">
        <v>2567</v>
      </c>
      <c r="K184" s="29">
        <v>1115</v>
      </c>
      <c r="L184" s="29">
        <v>1127</v>
      </c>
      <c r="M184" s="29">
        <v>836</v>
      </c>
      <c r="N184" s="29">
        <v>1099</v>
      </c>
      <c r="O184" s="30" t="s">
        <v>116</v>
      </c>
    </row>
    <row r="185" spans="1:15" ht="17.25">
      <c r="A185" s="27" t="s">
        <v>117</v>
      </c>
      <c r="B185" s="28">
        <f t="shared" si="30"/>
        <v>32984</v>
      </c>
      <c r="C185" s="29">
        <v>2927</v>
      </c>
      <c r="D185" s="29">
        <v>4132</v>
      </c>
      <c r="E185" s="29">
        <v>3760</v>
      </c>
      <c r="F185" s="29">
        <v>4916</v>
      </c>
      <c r="G185" s="29">
        <v>1397</v>
      </c>
      <c r="H185" s="29">
        <v>663</v>
      </c>
      <c r="I185" s="29">
        <v>1899</v>
      </c>
      <c r="J185" s="29">
        <v>897</v>
      </c>
      <c r="K185" s="29">
        <v>1560</v>
      </c>
      <c r="L185" s="29">
        <v>3874</v>
      </c>
      <c r="M185" s="29">
        <v>3508</v>
      </c>
      <c r="N185" s="29">
        <v>3451</v>
      </c>
      <c r="O185" s="30" t="s">
        <v>118</v>
      </c>
    </row>
    <row r="186" spans="1:15" ht="17.25">
      <c r="A186" s="27" t="s">
        <v>85</v>
      </c>
      <c r="B186" s="28">
        <f t="shared" si="30"/>
        <v>1007</v>
      </c>
      <c r="C186" s="29">
        <v>76</v>
      </c>
      <c r="D186" s="29">
        <v>89</v>
      </c>
      <c r="E186" s="29">
        <v>118</v>
      </c>
      <c r="F186" s="29">
        <v>191</v>
      </c>
      <c r="G186" s="29">
        <v>27</v>
      </c>
      <c r="H186" s="29">
        <v>16</v>
      </c>
      <c r="I186" s="29">
        <v>60</v>
      </c>
      <c r="J186" s="29">
        <v>117</v>
      </c>
      <c r="K186" s="29">
        <v>30</v>
      </c>
      <c r="L186" s="29">
        <v>82</v>
      </c>
      <c r="M186" s="29">
        <v>80</v>
      </c>
      <c r="N186" s="29">
        <v>121</v>
      </c>
      <c r="O186" s="30" t="s">
        <v>15</v>
      </c>
    </row>
    <row r="187" spans="1:15" ht="25.5">
      <c r="A187" s="34" t="s">
        <v>52</v>
      </c>
      <c r="B187" s="28">
        <f t="shared" si="30"/>
        <v>18590</v>
      </c>
      <c r="C187" s="32">
        <f>SUM(C188:C190)</f>
        <v>2106</v>
      </c>
      <c r="D187" s="32">
        <f t="shared" ref="D187:N187" si="32">SUM(D188:D190)</f>
        <v>1141</v>
      </c>
      <c r="E187" s="32">
        <f t="shared" si="32"/>
        <v>1266</v>
      </c>
      <c r="F187" s="32">
        <f t="shared" si="32"/>
        <v>1569</v>
      </c>
      <c r="G187" s="32">
        <f t="shared" si="32"/>
        <v>978</v>
      </c>
      <c r="H187" s="32">
        <f t="shared" si="32"/>
        <v>831</v>
      </c>
      <c r="I187" s="32">
        <f t="shared" si="32"/>
        <v>1823</v>
      </c>
      <c r="J187" s="32">
        <f t="shared" si="32"/>
        <v>2092</v>
      </c>
      <c r="K187" s="32">
        <f t="shared" si="32"/>
        <v>2699</v>
      </c>
      <c r="L187" s="32">
        <f t="shared" si="32"/>
        <v>1255</v>
      </c>
      <c r="M187" s="32">
        <f t="shared" si="32"/>
        <v>1016</v>
      </c>
      <c r="N187" s="32">
        <f t="shared" si="32"/>
        <v>1814</v>
      </c>
      <c r="O187" s="33" t="s">
        <v>120</v>
      </c>
    </row>
    <row r="188" spans="1:15" ht="17.25">
      <c r="A188" s="31" t="s">
        <v>121</v>
      </c>
      <c r="B188" s="28">
        <f t="shared" si="30"/>
        <v>7748</v>
      </c>
      <c r="C188" s="29">
        <v>466</v>
      </c>
      <c r="D188" s="29">
        <v>382</v>
      </c>
      <c r="E188" s="29">
        <v>554</v>
      </c>
      <c r="F188" s="29">
        <v>540</v>
      </c>
      <c r="G188" s="29">
        <v>328</v>
      </c>
      <c r="H188" s="29">
        <v>300</v>
      </c>
      <c r="I188" s="29">
        <v>679</v>
      </c>
      <c r="J188" s="29">
        <v>1141</v>
      </c>
      <c r="K188" s="29">
        <v>1693</v>
      </c>
      <c r="L188" s="29">
        <v>441</v>
      </c>
      <c r="M188" s="29">
        <v>359</v>
      </c>
      <c r="N188" s="29">
        <v>865</v>
      </c>
      <c r="O188" s="30" t="s">
        <v>122</v>
      </c>
    </row>
    <row r="189" spans="1:15" ht="17.25">
      <c r="A189" s="27" t="s">
        <v>123</v>
      </c>
      <c r="B189" s="28">
        <f t="shared" si="30"/>
        <v>10129</v>
      </c>
      <c r="C189" s="29">
        <v>1567</v>
      </c>
      <c r="D189" s="29">
        <v>719</v>
      </c>
      <c r="E189" s="29">
        <v>653</v>
      </c>
      <c r="F189" s="29">
        <v>945</v>
      </c>
      <c r="G189" s="29">
        <v>641</v>
      </c>
      <c r="H189" s="29">
        <v>503</v>
      </c>
      <c r="I189" s="29">
        <v>1097</v>
      </c>
      <c r="J189" s="29">
        <v>809</v>
      </c>
      <c r="K189" s="29">
        <v>982</v>
      </c>
      <c r="L189" s="29">
        <v>755</v>
      </c>
      <c r="M189" s="29">
        <v>599</v>
      </c>
      <c r="N189" s="29">
        <v>859</v>
      </c>
      <c r="O189" s="30" t="s">
        <v>124</v>
      </c>
    </row>
    <row r="190" spans="1:15" ht="17.25">
      <c r="A190" s="35" t="s">
        <v>85</v>
      </c>
      <c r="B190" s="36">
        <f t="shared" si="30"/>
        <v>713</v>
      </c>
      <c r="C190" s="37">
        <v>73</v>
      </c>
      <c r="D190" s="37">
        <v>40</v>
      </c>
      <c r="E190" s="37">
        <v>59</v>
      </c>
      <c r="F190" s="37">
        <v>84</v>
      </c>
      <c r="G190" s="37">
        <v>9</v>
      </c>
      <c r="H190" s="37">
        <v>28</v>
      </c>
      <c r="I190" s="37">
        <v>47</v>
      </c>
      <c r="J190" s="37">
        <v>142</v>
      </c>
      <c r="K190" s="37">
        <v>24</v>
      </c>
      <c r="L190" s="37">
        <v>59</v>
      </c>
      <c r="M190" s="37">
        <v>58</v>
      </c>
      <c r="N190" s="37">
        <v>90</v>
      </c>
      <c r="O190" s="38" t="s">
        <v>15</v>
      </c>
    </row>
    <row r="191" spans="1:15" ht="17.25">
      <c r="A191" s="22" t="s">
        <v>16</v>
      </c>
      <c r="B191" s="4">
        <f t="shared" si="30"/>
        <v>580927</v>
      </c>
      <c r="C191" s="4">
        <f>C192+C198+C207</f>
        <v>49130</v>
      </c>
      <c r="D191" s="4">
        <f t="shared" ref="D191:N191" si="33">D192+D198+D207</f>
        <v>53327</v>
      </c>
      <c r="E191" s="4">
        <f t="shared" si="33"/>
        <v>36336</v>
      </c>
      <c r="F191" s="4">
        <f t="shared" si="33"/>
        <v>40543</v>
      </c>
      <c r="G191" s="4">
        <f t="shared" si="33"/>
        <v>42383</v>
      </c>
      <c r="H191" s="4">
        <f t="shared" si="33"/>
        <v>49663</v>
      </c>
      <c r="I191" s="4">
        <f t="shared" si="33"/>
        <v>57352</v>
      </c>
      <c r="J191" s="4">
        <f t="shared" si="33"/>
        <v>54810</v>
      </c>
      <c r="K191" s="4">
        <f t="shared" si="33"/>
        <v>48950</v>
      </c>
      <c r="L191" s="4">
        <f t="shared" si="33"/>
        <v>50903</v>
      </c>
      <c r="M191" s="4">
        <f t="shared" si="33"/>
        <v>46954</v>
      </c>
      <c r="N191" s="4">
        <f t="shared" si="33"/>
        <v>50576</v>
      </c>
      <c r="O191" s="39" t="s">
        <v>17</v>
      </c>
    </row>
    <row r="192" spans="1:15" ht="17.25">
      <c r="A192" s="25" t="s">
        <v>53</v>
      </c>
      <c r="B192" s="28">
        <f t="shared" si="30"/>
        <v>372448</v>
      </c>
      <c r="C192" s="32">
        <f>SUM(C193:C197)</f>
        <v>32934</v>
      </c>
      <c r="D192" s="32">
        <f t="shared" ref="D192:N192" si="34">SUM(D193:D197)</f>
        <v>40522</v>
      </c>
      <c r="E192" s="32">
        <f t="shared" si="34"/>
        <v>20734</v>
      </c>
      <c r="F192" s="32">
        <f t="shared" si="34"/>
        <v>22846</v>
      </c>
      <c r="G192" s="32">
        <f t="shared" si="34"/>
        <v>22673</v>
      </c>
      <c r="H192" s="32">
        <f t="shared" si="34"/>
        <v>29047</v>
      </c>
      <c r="I192" s="32">
        <f t="shared" si="34"/>
        <v>39940</v>
      </c>
      <c r="J192" s="32">
        <f t="shared" si="34"/>
        <v>41066</v>
      </c>
      <c r="K192" s="32">
        <f t="shared" si="34"/>
        <v>35591</v>
      </c>
      <c r="L192" s="32">
        <f t="shared" si="34"/>
        <v>34122</v>
      </c>
      <c r="M192" s="32">
        <f t="shared" si="34"/>
        <v>27433</v>
      </c>
      <c r="N192" s="32">
        <f t="shared" si="34"/>
        <v>25540</v>
      </c>
      <c r="O192" s="40" t="s">
        <v>125</v>
      </c>
    </row>
    <row r="193" spans="1:15" ht="17.25">
      <c r="A193" s="27" t="s">
        <v>126</v>
      </c>
      <c r="B193" s="28">
        <f t="shared" si="30"/>
        <v>283116</v>
      </c>
      <c r="C193" s="29">
        <v>25830</v>
      </c>
      <c r="D193" s="29">
        <v>33506</v>
      </c>
      <c r="E193" s="29">
        <v>13203</v>
      </c>
      <c r="F193" s="29">
        <v>15093</v>
      </c>
      <c r="G193" s="29">
        <v>16927</v>
      </c>
      <c r="H193" s="29">
        <v>22853</v>
      </c>
      <c r="I193" s="29">
        <v>33227</v>
      </c>
      <c r="J193" s="29">
        <v>33472</v>
      </c>
      <c r="K193" s="29">
        <v>27997</v>
      </c>
      <c r="L193" s="29">
        <v>25803</v>
      </c>
      <c r="M193" s="29">
        <v>18465</v>
      </c>
      <c r="N193" s="29">
        <v>16740</v>
      </c>
      <c r="O193" s="30" t="s">
        <v>18</v>
      </c>
    </row>
    <row r="194" spans="1:15" ht="17.25">
      <c r="A194" s="27" t="s">
        <v>127</v>
      </c>
      <c r="B194" s="28">
        <f t="shared" si="30"/>
        <v>42304</v>
      </c>
      <c r="C194" s="29">
        <v>3138</v>
      </c>
      <c r="D194" s="29">
        <v>3715</v>
      </c>
      <c r="E194" s="29">
        <v>3790</v>
      </c>
      <c r="F194" s="29">
        <v>3698</v>
      </c>
      <c r="G194" s="29">
        <v>2217</v>
      </c>
      <c r="H194" s="29">
        <v>2629</v>
      </c>
      <c r="I194" s="29">
        <v>2923</v>
      </c>
      <c r="J194" s="29">
        <v>4432</v>
      </c>
      <c r="K194" s="29">
        <v>3923</v>
      </c>
      <c r="L194" s="29">
        <v>3425</v>
      </c>
      <c r="M194" s="29">
        <v>3823</v>
      </c>
      <c r="N194" s="29">
        <v>4591</v>
      </c>
      <c r="O194" s="30" t="s">
        <v>21</v>
      </c>
    </row>
    <row r="195" spans="1:15" ht="17.25">
      <c r="A195" s="27" t="s">
        <v>128</v>
      </c>
      <c r="B195" s="28">
        <f t="shared" si="30"/>
        <v>34400</v>
      </c>
      <c r="C195" s="29">
        <v>2988</v>
      </c>
      <c r="D195" s="29">
        <v>2078</v>
      </c>
      <c r="E195" s="29">
        <v>2663</v>
      </c>
      <c r="F195" s="29">
        <v>3008</v>
      </c>
      <c r="G195" s="29">
        <v>2647</v>
      </c>
      <c r="H195" s="29">
        <v>2531</v>
      </c>
      <c r="I195" s="29">
        <v>2477</v>
      </c>
      <c r="J195" s="29">
        <v>2175</v>
      </c>
      <c r="K195" s="29">
        <v>2566</v>
      </c>
      <c r="L195" s="29">
        <v>3826</v>
      </c>
      <c r="M195" s="29">
        <v>4098</v>
      </c>
      <c r="N195" s="29">
        <v>3343</v>
      </c>
      <c r="O195" s="30" t="s">
        <v>22</v>
      </c>
    </row>
    <row r="196" spans="1:15" ht="17.25">
      <c r="A196" s="27" t="s">
        <v>129</v>
      </c>
      <c r="B196" s="28">
        <f t="shared" si="30"/>
        <v>12439</v>
      </c>
      <c r="C196" s="29">
        <v>921</v>
      </c>
      <c r="D196" s="29">
        <v>1216</v>
      </c>
      <c r="E196" s="29">
        <v>1058</v>
      </c>
      <c r="F196" s="29">
        <v>1041</v>
      </c>
      <c r="G196" s="29">
        <v>877</v>
      </c>
      <c r="H196" s="29">
        <v>1007</v>
      </c>
      <c r="I196" s="29">
        <v>1305</v>
      </c>
      <c r="J196" s="29">
        <v>981</v>
      </c>
      <c r="K196" s="29">
        <v>1099</v>
      </c>
      <c r="L196" s="29">
        <v>1066</v>
      </c>
      <c r="M196" s="29">
        <v>1037</v>
      </c>
      <c r="N196" s="29">
        <v>831</v>
      </c>
      <c r="O196" s="30" t="s">
        <v>25</v>
      </c>
    </row>
    <row r="197" spans="1:15" ht="17.25">
      <c r="A197" s="27" t="s">
        <v>85</v>
      </c>
      <c r="B197" s="28">
        <f t="shared" si="30"/>
        <v>189</v>
      </c>
      <c r="C197" s="29">
        <v>57</v>
      </c>
      <c r="D197" s="29">
        <v>7</v>
      </c>
      <c r="E197" s="29">
        <v>20</v>
      </c>
      <c r="F197" s="29">
        <v>6</v>
      </c>
      <c r="G197" s="29">
        <v>5</v>
      </c>
      <c r="H197" s="29">
        <v>27</v>
      </c>
      <c r="I197" s="29">
        <v>8</v>
      </c>
      <c r="J197" s="29">
        <v>6</v>
      </c>
      <c r="K197" s="29">
        <v>6</v>
      </c>
      <c r="L197" s="29">
        <v>2</v>
      </c>
      <c r="M197" s="29">
        <v>10</v>
      </c>
      <c r="N197" s="29">
        <v>35</v>
      </c>
      <c r="O197" s="30" t="s">
        <v>15</v>
      </c>
    </row>
    <row r="198" spans="1:15" ht="17.25">
      <c r="A198" s="25" t="s">
        <v>54</v>
      </c>
      <c r="B198" s="28">
        <f t="shared" si="30"/>
        <v>93397</v>
      </c>
      <c r="C198" s="32">
        <f>SUM(C199:C206)</f>
        <v>5295</v>
      </c>
      <c r="D198" s="32">
        <f t="shared" ref="D198:N198" si="35">SUM(D199:D206)</f>
        <v>5184</v>
      </c>
      <c r="E198" s="32">
        <f t="shared" si="35"/>
        <v>8457</v>
      </c>
      <c r="F198" s="32">
        <f t="shared" si="35"/>
        <v>9617</v>
      </c>
      <c r="G198" s="32">
        <f t="shared" si="35"/>
        <v>9487</v>
      </c>
      <c r="H198" s="32">
        <f t="shared" si="35"/>
        <v>11133</v>
      </c>
      <c r="I198" s="32">
        <f t="shared" si="35"/>
        <v>9256</v>
      </c>
      <c r="J198" s="32">
        <f t="shared" si="35"/>
        <v>6888</v>
      </c>
      <c r="K198" s="32">
        <f t="shared" si="35"/>
        <v>6463</v>
      </c>
      <c r="L198" s="32">
        <f t="shared" si="35"/>
        <v>7102</v>
      </c>
      <c r="M198" s="32">
        <f t="shared" si="35"/>
        <v>6435</v>
      </c>
      <c r="N198" s="32">
        <f t="shared" si="35"/>
        <v>8080</v>
      </c>
      <c r="O198" s="40" t="s">
        <v>130</v>
      </c>
    </row>
    <row r="199" spans="1:15" ht="17.25">
      <c r="A199" s="27" t="s">
        <v>131</v>
      </c>
      <c r="B199" s="28">
        <f t="shared" si="30"/>
        <v>5885</v>
      </c>
      <c r="C199" s="29">
        <v>371</v>
      </c>
      <c r="D199" s="29">
        <v>453</v>
      </c>
      <c r="E199" s="29">
        <v>529</v>
      </c>
      <c r="F199" s="29">
        <v>442</v>
      </c>
      <c r="G199" s="29">
        <v>518</v>
      </c>
      <c r="H199" s="29">
        <v>774</v>
      </c>
      <c r="I199" s="29">
        <v>586</v>
      </c>
      <c r="J199" s="29">
        <v>492</v>
      </c>
      <c r="K199" s="29">
        <v>467</v>
      </c>
      <c r="L199" s="29">
        <v>389</v>
      </c>
      <c r="M199" s="29">
        <v>511</v>
      </c>
      <c r="N199" s="29">
        <v>353</v>
      </c>
      <c r="O199" s="30" t="s">
        <v>20</v>
      </c>
    </row>
    <row r="200" spans="1:15" ht="17.25">
      <c r="A200" s="27" t="s">
        <v>132</v>
      </c>
      <c r="B200" s="28">
        <f t="shared" si="30"/>
        <v>22202</v>
      </c>
      <c r="C200" s="29">
        <v>1182</v>
      </c>
      <c r="D200" s="29">
        <v>1405</v>
      </c>
      <c r="E200" s="29">
        <v>2472</v>
      </c>
      <c r="F200" s="29">
        <v>2126</v>
      </c>
      <c r="G200" s="29">
        <v>1900</v>
      </c>
      <c r="H200" s="29">
        <v>3217</v>
      </c>
      <c r="I200" s="29">
        <v>2169</v>
      </c>
      <c r="J200" s="29">
        <v>1482</v>
      </c>
      <c r="K200" s="29">
        <v>1733</v>
      </c>
      <c r="L200" s="29">
        <v>1277</v>
      </c>
      <c r="M200" s="29">
        <v>1473</v>
      </c>
      <c r="N200" s="29">
        <v>1766</v>
      </c>
      <c r="O200" s="30" t="s">
        <v>23</v>
      </c>
    </row>
    <row r="201" spans="1:15" ht="17.25">
      <c r="A201" s="27" t="s">
        <v>133</v>
      </c>
      <c r="B201" s="28">
        <f t="shared" si="30"/>
        <v>1084</v>
      </c>
      <c r="C201" s="29">
        <v>55</v>
      </c>
      <c r="D201" s="29">
        <v>69</v>
      </c>
      <c r="E201" s="29">
        <v>67</v>
      </c>
      <c r="F201" s="29">
        <v>167</v>
      </c>
      <c r="G201" s="29">
        <v>81</v>
      </c>
      <c r="H201" s="29">
        <v>77</v>
      </c>
      <c r="I201" s="29">
        <v>127</v>
      </c>
      <c r="J201" s="29">
        <v>46</v>
      </c>
      <c r="K201" s="29">
        <v>68</v>
      </c>
      <c r="L201" s="29">
        <v>60</v>
      </c>
      <c r="M201" s="29">
        <v>118</v>
      </c>
      <c r="N201" s="29">
        <v>149</v>
      </c>
      <c r="O201" s="30" t="s">
        <v>134</v>
      </c>
    </row>
    <row r="202" spans="1:15" ht="17.25">
      <c r="A202" s="27" t="s">
        <v>135</v>
      </c>
      <c r="B202" s="28">
        <f t="shared" si="30"/>
        <v>11035</v>
      </c>
      <c r="C202" s="29">
        <v>686</v>
      </c>
      <c r="D202" s="29">
        <v>548</v>
      </c>
      <c r="E202" s="29">
        <v>1211</v>
      </c>
      <c r="F202" s="29">
        <v>1092</v>
      </c>
      <c r="G202" s="29">
        <v>1289</v>
      </c>
      <c r="H202" s="29">
        <v>1136</v>
      </c>
      <c r="I202" s="29">
        <v>1199</v>
      </c>
      <c r="J202" s="29">
        <v>825</v>
      </c>
      <c r="K202" s="29">
        <v>710</v>
      </c>
      <c r="L202" s="29">
        <v>926</v>
      </c>
      <c r="M202" s="29">
        <v>714</v>
      </c>
      <c r="N202" s="29">
        <v>699</v>
      </c>
      <c r="O202" s="30" t="s">
        <v>136</v>
      </c>
    </row>
    <row r="203" spans="1:15" ht="17.25">
      <c r="A203" s="27" t="s">
        <v>137</v>
      </c>
      <c r="B203" s="28">
        <f t="shared" si="30"/>
        <v>13877</v>
      </c>
      <c r="C203" s="29">
        <v>859</v>
      </c>
      <c r="D203" s="29">
        <v>580</v>
      </c>
      <c r="E203" s="29">
        <v>1086</v>
      </c>
      <c r="F203" s="29">
        <v>971</v>
      </c>
      <c r="G203" s="29">
        <v>1061</v>
      </c>
      <c r="H203" s="29">
        <v>1449</v>
      </c>
      <c r="I203" s="29">
        <v>918</v>
      </c>
      <c r="J203" s="29">
        <v>1188</v>
      </c>
      <c r="K203" s="29">
        <v>1081</v>
      </c>
      <c r="L203" s="29">
        <v>835</v>
      </c>
      <c r="M203" s="29">
        <v>1506</v>
      </c>
      <c r="N203" s="29">
        <v>2343</v>
      </c>
      <c r="O203" s="30" t="s">
        <v>138</v>
      </c>
    </row>
    <row r="204" spans="1:15" ht="17.25">
      <c r="A204" s="27" t="s">
        <v>139</v>
      </c>
      <c r="B204" s="28">
        <f t="shared" si="30"/>
        <v>32436</v>
      </c>
      <c r="C204" s="29">
        <v>1741</v>
      </c>
      <c r="D204" s="29">
        <v>1564</v>
      </c>
      <c r="E204" s="29">
        <v>2668</v>
      </c>
      <c r="F204" s="29">
        <v>3890</v>
      </c>
      <c r="G204" s="29">
        <v>4041</v>
      </c>
      <c r="H204" s="29">
        <v>3441</v>
      </c>
      <c r="I204" s="29">
        <v>3427</v>
      </c>
      <c r="J204" s="29">
        <v>2244</v>
      </c>
      <c r="K204" s="29">
        <v>2163</v>
      </c>
      <c r="L204" s="29">
        <v>3216</v>
      </c>
      <c r="M204" s="29">
        <v>1757</v>
      </c>
      <c r="N204" s="29">
        <v>2284</v>
      </c>
      <c r="O204" s="30" t="s">
        <v>140</v>
      </c>
    </row>
    <row r="205" spans="1:15" ht="17.25">
      <c r="A205" s="27" t="s">
        <v>141</v>
      </c>
      <c r="B205" s="28">
        <f t="shared" si="30"/>
        <v>5550</v>
      </c>
      <c r="C205" s="29">
        <v>319</v>
      </c>
      <c r="D205" s="29">
        <v>504</v>
      </c>
      <c r="E205" s="29">
        <v>360</v>
      </c>
      <c r="F205" s="29">
        <v>697</v>
      </c>
      <c r="G205" s="29">
        <v>455</v>
      </c>
      <c r="H205" s="29">
        <v>813</v>
      </c>
      <c r="I205" s="29">
        <v>717</v>
      </c>
      <c r="J205" s="29">
        <v>546</v>
      </c>
      <c r="K205" s="29">
        <v>196</v>
      </c>
      <c r="L205" s="29">
        <v>291</v>
      </c>
      <c r="M205" s="29">
        <v>275</v>
      </c>
      <c r="N205" s="29">
        <v>377</v>
      </c>
      <c r="O205" s="30" t="s">
        <v>142</v>
      </c>
    </row>
    <row r="206" spans="1:15" ht="17.25">
      <c r="A206" s="27" t="s">
        <v>85</v>
      </c>
      <c r="B206" s="28">
        <f t="shared" si="30"/>
        <v>1328</v>
      </c>
      <c r="C206" s="29">
        <v>82</v>
      </c>
      <c r="D206" s="29">
        <v>61</v>
      </c>
      <c r="E206" s="29">
        <v>64</v>
      </c>
      <c r="F206" s="29">
        <v>232</v>
      </c>
      <c r="G206" s="29">
        <v>142</v>
      </c>
      <c r="H206" s="29">
        <v>226</v>
      </c>
      <c r="I206" s="29">
        <v>113</v>
      </c>
      <c r="J206" s="29">
        <v>65</v>
      </c>
      <c r="K206" s="29">
        <v>45</v>
      </c>
      <c r="L206" s="29">
        <v>108</v>
      </c>
      <c r="M206" s="29">
        <v>81</v>
      </c>
      <c r="N206" s="29">
        <v>109</v>
      </c>
      <c r="O206" s="30" t="s">
        <v>15</v>
      </c>
    </row>
    <row r="207" spans="1:15" ht="17.25">
      <c r="A207" s="25" t="s">
        <v>55</v>
      </c>
      <c r="B207" s="28">
        <f t="shared" si="30"/>
        <v>115082</v>
      </c>
      <c r="C207" s="32">
        <f t="shared" ref="C207:N207" si="36">SUM(C208:C213)</f>
        <v>10901</v>
      </c>
      <c r="D207" s="32">
        <f t="shared" si="36"/>
        <v>7621</v>
      </c>
      <c r="E207" s="32">
        <f t="shared" si="36"/>
        <v>7145</v>
      </c>
      <c r="F207" s="32">
        <f t="shared" si="36"/>
        <v>8080</v>
      </c>
      <c r="G207" s="32">
        <f t="shared" si="36"/>
        <v>10223</v>
      </c>
      <c r="H207" s="32">
        <f t="shared" si="36"/>
        <v>9483</v>
      </c>
      <c r="I207" s="32">
        <f t="shared" si="36"/>
        <v>8156</v>
      </c>
      <c r="J207" s="32">
        <f t="shared" si="36"/>
        <v>6856</v>
      </c>
      <c r="K207" s="32">
        <f t="shared" si="36"/>
        <v>6896</v>
      </c>
      <c r="L207" s="32">
        <f t="shared" si="36"/>
        <v>9679</v>
      </c>
      <c r="M207" s="32">
        <f t="shared" si="36"/>
        <v>13086</v>
      </c>
      <c r="N207" s="32">
        <f t="shared" si="36"/>
        <v>16956</v>
      </c>
      <c r="O207" s="40" t="s">
        <v>143</v>
      </c>
    </row>
    <row r="208" spans="1:15" ht="17.25">
      <c r="A208" s="27" t="s">
        <v>144</v>
      </c>
      <c r="B208" s="28">
        <f t="shared" si="30"/>
        <v>3644</v>
      </c>
      <c r="C208" s="29">
        <v>526</v>
      </c>
      <c r="D208" s="29">
        <v>267</v>
      </c>
      <c r="E208" s="29">
        <v>163</v>
      </c>
      <c r="F208" s="29">
        <v>226</v>
      </c>
      <c r="G208" s="29">
        <v>157</v>
      </c>
      <c r="H208" s="29">
        <v>469</v>
      </c>
      <c r="I208" s="29">
        <v>286</v>
      </c>
      <c r="J208" s="29">
        <v>454</v>
      </c>
      <c r="K208" s="29">
        <v>205</v>
      </c>
      <c r="L208" s="29">
        <v>296</v>
      </c>
      <c r="M208" s="29">
        <v>196</v>
      </c>
      <c r="N208" s="29">
        <v>399</v>
      </c>
      <c r="O208" s="41" t="s">
        <v>145</v>
      </c>
    </row>
    <row r="209" spans="1:15" ht="17.25">
      <c r="A209" s="27" t="s">
        <v>146</v>
      </c>
      <c r="B209" s="28">
        <f t="shared" si="30"/>
        <v>90474</v>
      </c>
      <c r="C209" s="29">
        <v>8481</v>
      </c>
      <c r="D209" s="29">
        <v>6038</v>
      </c>
      <c r="E209" s="29">
        <v>4916</v>
      </c>
      <c r="F209" s="29">
        <v>5588</v>
      </c>
      <c r="G209" s="29">
        <v>8711</v>
      </c>
      <c r="H209" s="29">
        <v>7348</v>
      </c>
      <c r="I209" s="29">
        <v>5694</v>
      </c>
      <c r="J209" s="29">
        <v>4299</v>
      </c>
      <c r="K209" s="29">
        <v>5244</v>
      </c>
      <c r="L209" s="29">
        <v>7905</v>
      </c>
      <c r="M209" s="29">
        <v>11590</v>
      </c>
      <c r="N209" s="29">
        <v>14660</v>
      </c>
      <c r="O209" s="41" t="s">
        <v>19</v>
      </c>
    </row>
    <row r="210" spans="1:15" ht="17.25">
      <c r="A210" s="27" t="s">
        <v>147</v>
      </c>
      <c r="B210" s="28">
        <f t="shared" si="30"/>
        <v>1768</v>
      </c>
      <c r="C210" s="29">
        <v>104</v>
      </c>
      <c r="D210" s="29">
        <v>88</v>
      </c>
      <c r="E210" s="29">
        <v>555</v>
      </c>
      <c r="F210" s="29">
        <v>80</v>
      </c>
      <c r="G210" s="29">
        <v>129</v>
      </c>
      <c r="H210" s="29">
        <v>145</v>
      </c>
      <c r="I210" s="29">
        <v>203</v>
      </c>
      <c r="J210" s="29">
        <v>210</v>
      </c>
      <c r="K210" s="29">
        <v>86</v>
      </c>
      <c r="L210" s="29">
        <v>45</v>
      </c>
      <c r="M210" s="29">
        <v>64</v>
      </c>
      <c r="N210" s="29">
        <v>59</v>
      </c>
      <c r="O210" s="41" t="s">
        <v>148</v>
      </c>
    </row>
    <row r="211" spans="1:15" ht="17.25">
      <c r="A211" s="27" t="s">
        <v>149</v>
      </c>
      <c r="B211" s="28">
        <f t="shared" si="30"/>
        <v>5340</v>
      </c>
      <c r="C211" s="29">
        <v>685</v>
      </c>
      <c r="D211" s="29">
        <v>391</v>
      </c>
      <c r="E211" s="29">
        <v>454</v>
      </c>
      <c r="F211" s="29">
        <v>431</v>
      </c>
      <c r="G211" s="29">
        <v>234</v>
      </c>
      <c r="H211" s="29">
        <v>571</v>
      </c>
      <c r="I211" s="29">
        <v>622</v>
      </c>
      <c r="J211" s="29">
        <v>492</v>
      </c>
      <c r="K211" s="29">
        <v>407</v>
      </c>
      <c r="L211" s="29">
        <v>286</v>
      </c>
      <c r="M211" s="29">
        <v>320</v>
      </c>
      <c r="N211" s="29">
        <v>447</v>
      </c>
      <c r="O211" s="41" t="s">
        <v>24</v>
      </c>
    </row>
    <row r="212" spans="1:15" ht="17.25">
      <c r="A212" s="27" t="s">
        <v>150</v>
      </c>
      <c r="B212" s="28">
        <f t="shared" si="30"/>
        <v>12792</v>
      </c>
      <c r="C212" s="29">
        <v>995</v>
      </c>
      <c r="D212" s="29">
        <v>740</v>
      </c>
      <c r="E212" s="29">
        <v>955</v>
      </c>
      <c r="F212" s="29">
        <v>1688</v>
      </c>
      <c r="G212" s="29">
        <v>914</v>
      </c>
      <c r="H212" s="29">
        <v>877</v>
      </c>
      <c r="I212" s="29">
        <v>1256</v>
      </c>
      <c r="J212" s="29">
        <v>1326</v>
      </c>
      <c r="K212" s="29">
        <v>900</v>
      </c>
      <c r="L212" s="29">
        <v>993</v>
      </c>
      <c r="M212" s="29">
        <v>840</v>
      </c>
      <c r="N212" s="29">
        <v>1308</v>
      </c>
      <c r="O212" s="41" t="s">
        <v>151</v>
      </c>
    </row>
    <row r="213" spans="1:15" ht="17.25">
      <c r="A213" s="35" t="s">
        <v>85</v>
      </c>
      <c r="B213" s="36">
        <f t="shared" si="30"/>
        <v>1064</v>
      </c>
      <c r="C213" s="37">
        <v>110</v>
      </c>
      <c r="D213" s="37">
        <v>97</v>
      </c>
      <c r="E213" s="37">
        <v>102</v>
      </c>
      <c r="F213" s="37">
        <v>67</v>
      </c>
      <c r="G213" s="37">
        <v>78</v>
      </c>
      <c r="H213" s="37">
        <v>73</v>
      </c>
      <c r="I213" s="37">
        <v>95</v>
      </c>
      <c r="J213" s="37">
        <v>75</v>
      </c>
      <c r="K213" s="37">
        <v>54</v>
      </c>
      <c r="L213" s="37">
        <v>154</v>
      </c>
      <c r="M213" s="37">
        <v>76</v>
      </c>
      <c r="N213" s="37">
        <v>83</v>
      </c>
      <c r="O213" s="38" t="s">
        <v>15</v>
      </c>
    </row>
    <row r="214" spans="1:15" ht="17.25">
      <c r="A214" s="22" t="s">
        <v>26</v>
      </c>
      <c r="B214" s="4">
        <f t="shared" si="30"/>
        <v>15356</v>
      </c>
      <c r="C214" s="4">
        <f>SUM(C215:C218)</f>
        <v>1057</v>
      </c>
      <c r="D214" s="4">
        <f t="shared" ref="D214:N214" si="37">SUM(D215:D218)</f>
        <v>708</v>
      </c>
      <c r="E214" s="4">
        <f t="shared" si="37"/>
        <v>1115</v>
      </c>
      <c r="F214" s="4">
        <f t="shared" si="37"/>
        <v>1356</v>
      </c>
      <c r="G214" s="4">
        <f t="shared" si="37"/>
        <v>859</v>
      </c>
      <c r="H214" s="4">
        <f t="shared" si="37"/>
        <v>1101</v>
      </c>
      <c r="I214" s="4">
        <f t="shared" si="37"/>
        <v>1595</v>
      </c>
      <c r="J214" s="4">
        <f t="shared" si="37"/>
        <v>1649</v>
      </c>
      <c r="K214" s="4">
        <f t="shared" si="37"/>
        <v>1449</v>
      </c>
      <c r="L214" s="4">
        <f t="shared" si="37"/>
        <v>1156</v>
      </c>
      <c r="M214" s="4">
        <f t="shared" si="37"/>
        <v>949</v>
      </c>
      <c r="N214" s="4">
        <f t="shared" si="37"/>
        <v>2362</v>
      </c>
      <c r="O214" s="39" t="s">
        <v>27</v>
      </c>
    </row>
    <row r="215" spans="1:15" ht="17.25">
      <c r="A215" s="42" t="s">
        <v>152</v>
      </c>
      <c r="B215" s="4">
        <f>SUM(C215:N215)</f>
        <v>1523</v>
      </c>
      <c r="C215" s="5">
        <v>76</v>
      </c>
      <c r="D215" s="5">
        <v>98</v>
      </c>
      <c r="E215" s="5">
        <v>117</v>
      </c>
      <c r="F215" s="5">
        <v>151</v>
      </c>
      <c r="G215" s="5">
        <v>30</v>
      </c>
      <c r="H215" s="5">
        <v>61</v>
      </c>
      <c r="I215" s="5">
        <v>237</v>
      </c>
      <c r="J215" s="5">
        <v>274</v>
      </c>
      <c r="K215" s="5">
        <v>205</v>
      </c>
      <c r="L215" s="5">
        <v>80</v>
      </c>
      <c r="M215" s="5">
        <v>83</v>
      </c>
      <c r="N215" s="5">
        <v>111</v>
      </c>
      <c r="O215" s="43" t="s">
        <v>153</v>
      </c>
    </row>
    <row r="216" spans="1:15" ht="17.25">
      <c r="A216" s="42" t="s">
        <v>154</v>
      </c>
      <c r="B216" s="4">
        <f t="shared" ref="B216:B239" si="38">SUM(C216:N216)</f>
        <v>1686</v>
      </c>
      <c r="C216" s="5">
        <v>114</v>
      </c>
      <c r="D216" s="5">
        <v>131</v>
      </c>
      <c r="E216" s="5">
        <v>113</v>
      </c>
      <c r="F216" s="5">
        <v>215</v>
      </c>
      <c r="G216" s="5">
        <v>62</v>
      </c>
      <c r="H216" s="5">
        <v>73</v>
      </c>
      <c r="I216" s="5">
        <v>182</v>
      </c>
      <c r="J216" s="5">
        <v>264</v>
      </c>
      <c r="K216" s="5">
        <v>147</v>
      </c>
      <c r="L216" s="5">
        <v>106</v>
      </c>
      <c r="M216" s="5">
        <v>115</v>
      </c>
      <c r="N216" s="5">
        <v>164</v>
      </c>
      <c r="O216" s="43" t="s">
        <v>155</v>
      </c>
    </row>
    <row r="217" spans="1:15" ht="17.25">
      <c r="A217" s="42" t="s">
        <v>156</v>
      </c>
      <c r="B217" s="28">
        <f t="shared" si="38"/>
        <v>7751</v>
      </c>
      <c r="C217" s="29">
        <v>498</v>
      </c>
      <c r="D217" s="29">
        <v>240</v>
      </c>
      <c r="E217" s="29">
        <v>582</v>
      </c>
      <c r="F217" s="29">
        <v>605</v>
      </c>
      <c r="G217" s="29">
        <v>492</v>
      </c>
      <c r="H217" s="29">
        <v>681</v>
      </c>
      <c r="I217" s="29">
        <v>745</v>
      </c>
      <c r="J217" s="29">
        <v>566</v>
      </c>
      <c r="K217" s="29">
        <v>778</v>
      </c>
      <c r="L217" s="29">
        <v>689</v>
      </c>
      <c r="M217" s="29">
        <v>429</v>
      </c>
      <c r="N217" s="29">
        <v>1446</v>
      </c>
      <c r="O217" s="43" t="s">
        <v>157</v>
      </c>
    </row>
    <row r="218" spans="1:15" ht="17.25">
      <c r="A218" s="44" t="s">
        <v>85</v>
      </c>
      <c r="B218" s="36">
        <f t="shared" si="38"/>
        <v>4396</v>
      </c>
      <c r="C218" s="37">
        <v>369</v>
      </c>
      <c r="D218" s="37">
        <v>239</v>
      </c>
      <c r="E218" s="37">
        <v>303</v>
      </c>
      <c r="F218" s="37">
        <v>385</v>
      </c>
      <c r="G218" s="37">
        <v>275</v>
      </c>
      <c r="H218" s="37">
        <v>286</v>
      </c>
      <c r="I218" s="37">
        <v>431</v>
      </c>
      <c r="J218" s="37">
        <v>545</v>
      </c>
      <c r="K218" s="37">
        <v>319</v>
      </c>
      <c r="L218" s="37">
        <v>281</v>
      </c>
      <c r="M218" s="37">
        <v>322</v>
      </c>
      <c r="N218" s="37">
        <v>641</v>
      </c>
      <c r="O218" s="45" t="s">
        <v>15</v>
      </c>
    </row>
    <row r="219" spans="1:15" ht="17.25">
      <c r="A219" s="22" t="s">
        <v>57</v>
      </c>
      <c r="B219" s="4">
        <f t="shared" si="38"/>
        <v>68763</v>
      </c>
      <c r="C219" s="4">
        <f>SUM(C220:C225)</f>
        <v>6581</v>
      </c>
      <c r="D219" s="4">
        <f t="shared" ref="D219:N219" si="39">SUM(D220:D225)</f>
        <v>5780</v>
      </c>
      <c r="E219" s="4">
        <f t="shared" si="39"/>
        <v>6746</v>
      </c>
      <c r="F219" s="4">
        <f t="shared" si="39"/>
        <v>5813</v>
      </c>
      <c r="G219" s="4">
        <f t="shared" si="39"/>
        <v>4630</v>
      </c>
      <c r="H219" s="4">
        <f t="shared" si="39"/>
        <v>4683</v>
      </c>
      <c r="I219" s="4">
        <f t="shared" si="39"/>
        <v>5117</v>
      </c>
      <c r="J219" s="4">
        <f t="shared" si="39"/>
        <v>4594</v>
      </c>
      <c r="K219" s="4">
        <f t="shared" si="39"/>
        <v>5055</v>
      </c>
      <c r="L219" s="4">
        <f t="shared" si="39"/>
        <v>5314</v>
      </c>
      <c r="M219" s="4">
        <f t="shared" si="39"/>
        <v>6830</v>
      </c>
      <c r="N219" s="4">
        <f t="shared" si="39"/>
        <v>7620</v>
      </c>
      <c r="O219" s="39" t="s">
        <v>56</v>
      </c>
    </row>
    <row r="220" spans="1:15" ht="17.25">
      <c r="A220" s="42" t="s">
        <v>158</v>
      </c>
      <c r="B220" s="28">
        <f t="shared" si="38"/>
        <v>3192</v>
      </c>
      <c r="C220" s="5">
        <v>581</v>
      </c>
      <c r="D220" s="5">
        <v>408</v>
      </c>
      <c r="E220" s="5">
        <v>389</v>
      </c>
      <c r="F220" s="5">
        <v>477</v>
      </c>
      <c r="G220" s="5">
        <v>213</v>
      </c>
      <c r="H220" s="5">
        <v>119</v>
      </c>
      <c r="I220" s="5">
        <v>148</v>
      </c>
      <c r="J220" s="5">
        <v>111</v>
      </c>
      <c r="K220" s="5">
        <v>258</v>
      </c>
      <c r="L220" s="5">
        <v>150</v>
      </c>
      <c r="M220" s="5">
        <v>196</v>
      </c>
      <c r="N220" s="5">
        <v>142</v>
      </c>
      <c r="O220" s="43" t="s">
        <v>159</v>
      </c>
    </row>
    <row r="221" spans="1:15" ht="17.25">
      <c r="A221" s="42" t="s">
        <v>160</v>
      </c>
      <c r="B221" s="28">
        <f t="shared" si="38"/>
        <v>7702</v>
      </c>
      <c r="C221" s="29">
        <v>683</v>
      </c>
      <c r="D221" s="29">
        <v>607</v>
      </c>
      <c r="E221" s="29">
        <v>729</v>
      </c>
      <c r="F221" s="29">
        <v>770</v>
      </c>
      <c r="G221" s="29">
        <v>671</v>
      </c>
      <c r="H221" s="29">
        <v>522</v>
      </c>
      <c r="I221" s="29">
        <v>451</v>
      </c>
      <c r="J221" s="29">
        <v>383</v>
      </c>
      <c r="K221" s="29">
        <v>651</v>
      </c>
      <c r="L221" s="29">
        <v>717</v>
      </c>
      <c r="M221" s="29">
        <v>788</v>
      </c>
      <c r="N221" s="29">
        <v>730</v>
      </c>
      <c r="O221" s="43" t="s">
        <v>161</v>
      </c>
    </row>
    <row r="222" spans="1:15" ht="17.25">
      <c r="A222" s="42" t="s">
        <v>162</v>
      </c>
      <c r="B222" s="28">
        <f t="shared" si="38"/>
        <v>9540</v>
      </c>
      <c r="C222" s="29">
        <v>1015</v>
      </c>
      <c r="D222" s="29">
        <v>992</v>
      </c>
      <c r="E222" s="29">
        <v>1056</v>
      </c>
      <c r="F222" s="29">
        <v>797</v>
      </c>
      <c r="G222" s="29">
        <v>492</v>
      </c>
      <c r="H222" s="29">
        <v>528</v>
      </c>
      <c r="I222" s="29">
        <v>601</v>
      </c>
      <c r="J222" s="29">
        <v>728</v>
      </c>
      <c r="K222" s="29">
        <v>580</v>
      </c>
      <c r="L222" s="29">
        <v>694</v>
      </c>
      <c r="M222" s="29">
        <v>906</v>
      </c>
      <c r="N222" s="29">
        <v>1151</v>
      </c>
      <c r="O222" s="43" t="s">
        <v>28</v>
      </c>
    </row>
    <row r="223" spans="1:15" ht="17.25">
      <c r="A223" s="42" t="s">
        <v>163</v>
      </c>
      <c r="B223" s="28">
        <f t="shared" si="38"/>
        <v>1795</v>
      </c>
      <c r="C223" s="29">
        <v>71</v>
      </c>
      <c r="D223" s="29">
        <v>91</v>
      </c>
      <c r="E223" s="29">
        <v>199</v>
      </c>
      <c r="F223" s="29">
        <v>134</v>
      </c>
      <c r="G223" s="29">
        <v>180</v>
      </c>
      <c r="H223" s="29">
        <v>150</v>
      </c>
      <c r="I223" s="29">
        <v>138</v>
      </c>
      <c r="J223" s="29">
        <v>96</v>
      </c>
      <c r="K223" s="29">
        <v>146</v>
      </c>
      <c r="L223" s="29">
        <v>178</v>
      </c>
      <c r="M223" s="29">
        <v>232</v>
      </c>
      <c r="N223" s="29">
        <v>180</v>
      </c>
      <c r="O223" s="43" t="s">
        <v>164</v>
      </c>
    </row>
    <row r="224" spans="1:15" ht="17.25">
      <c r="A224" s="42" t="s">
        <v>165</v>
      </c>
      <c r="B224" s="28">
        <f t="shared" si="38"/>
        <v>42901</v>
      </c>
      <c r="C224" s="29">
        <v>3930</v>
      </c>
      <c r="D224" s="29">
        <v>3391</v>
      </c>
      <c r="E224" s="29">
        <v>4043</v>
      </c>
      <c r="F224" s="29">
        <v>3266</v>
      </c>
      <c r="G224" s="29">
        <v>2825</v>
      </c>
      <c r="H224" s="29">
        <v>3129</v>
      </c>
      <c r="I224" s="29">
        <v>3494</v>
      </c>
      <c r="J224" s="29">
        <v>2988</v>
      </c>
      <c r="K224" s="29">
        <v>3133</v>
      </c>
      <c r="L224" s="29">
        <v>3307</v>
      </c>
      <c r="M224" s="29">
        <v>4329</v>
      </c>
      <c r="N224" s="29">
        <v>5066</v>
      </c>
      <c r="O224" s="43" t="s">
        <v>166</v>
      </c>
    </row>
    <row r="225" spans="1:15" ht="17.25">
      <c r="A225" s="44" t="s">
        <v>85</v>
      </c>
      <c r="B225" s="36">
        <f t="shared" si="38"/>
        <v>3633</v>
      </c>
      <c r="C225" s="37">
        <v>301</v>
      </c>
      <c r="D225" s="37">
        <v>291</v>
      </c>
      <c r="E225" s="37">
        <v>330</v>
      </c>
      <c r="F225" s="37">
        <v>369</v>
      </c>
      <c r="G225" s="37">
        <v>249</v>
      </c>
      <c r="H225" s="37">
        <v>235</v>
      </c>
      <c r="I225" s="37">
        <v>285</v>
      </c>
      <c r="J225" s="37">
        <v>288</v>
      </c>
      <c r="K225" s="37">
        <v>287</v>
      </c>
      <c r="L225" s="37">
        <v>268</v>
      </c>
      <c r="M225" s="37">
        <v>379</v>
      </c>
      <c r="N225" s="37">
        <v>351</v>
      </c>
      <c r="O225" s="45" t="s">
        <v>15</v>
      </c>
    </row>
    <row r="226" spans="1:15" ht="17.25">
      <c r="A226" s="22" t="s">
        <v>29</v>
      </c>
      <c r="B226" s="4">
        <f t="shared" si="38"/>
        <v>40510</v>
      </c>
      <c r="C226" s="4">
        <f>SUM(C227:C229)</f>
        <v>3395</v>
      </c>
      <c r="D226" s="4">
        <f t="shared" ref="D226:N226" si="40">SUM(D227:D229)</f>
        <v>2021</v>
      </c>
      <c r="E226" s="4">
        <f t="shared" si="40"/>
        <v>3257</v>
      </c>
      <c r="F226" s="4">
        <f t="shared" si="40"/>
        <v>4516</v>
      </c>
      <c r="G226" s="4">
        <f t="shared" si="40"/>
        <v>2908</v>
      </c>
      <c r="H226" s="4">
        <f t="shared" si="40"/>
        <v>2986</v>
      </c>
      <c r="I226" s="4">
        <f t="shared" si="40"/>
        <v>3957</v>
      </c>
      <c r="J226" s="4">
        <f t="shared" si="40"/>
        <v>3017</v>
      </c>
      <c r="K226" s="4">
        <f t="shared" si="40"/>
        <v>4200</v>
      </c>
      <c r="L226" s="4">
        <f t="shared" si="40"/>
        <v>4068</v>
      </c>
      <c r="M226" s="4">
        <f t="shared" si="40"/>
        <v>3215</v>
      </c>
      <c r="N226" s="4">
        <f t="shared" si="40"/>
        <v>2970</v>
      </c>
      <c r="O226" s="39" t="s">
        <v>167</v>
      </c>
    </row>
    <row r="227" spans="1:15" ht="17.25">
      <c r="A227" s="42" t="s">
        <v>168</v>
      </c>
      <c r="B227" s="4">
        <f t="shared" si="38"/>
        <v>37254</v>
      </c>
      <c r="C227" s="29">
        <v>3115</v>
      </c>
      <c r="D227" s="29">
        <v>1816</v>
      </c>
      <c r="E227" s="29">
        <v>2998</v>
      </c>
      <c r="F227" s="29">
        <v>4207</v>
      </c>
      <c r="G227" s="29">
        <v>2686</v>
      </c>
      <c r="H227" s="29">
        <v>2749</v>
      </c>
      <c r="I227" s="29">
        <v>3625</v>
      </c>
      <c r="J227" s="29">
        <v>2733</v>
      </c>
      <c r="K227" s="29">
        <v>3849</v>
      </c>
      <c r="L227" s="29">
        <v>3775</v>
      </c>
      <c r="M227" s="29">
        <v>2970</v>
      </c>
      <c r="N227" s="29">
        <v>2731</v>
      </c>
      <c r="O227" s="43" t="s">
        <v>30</v>
      </c>
    </row>
    <row r="228" spans="1:15" ht="17.25">
      <c r="A228" s="42" t="s">
        <v>169</v>
      </c>
      <c r="B228" s="4">
        <f t="shared" si="38"/>
        <v>3200</v>
      </c>
      <c r="C228" s="29">
        <v>277</v>
      </c>
      <c r="D228" s="29">
        <v>202</v>
      </c>
      <c r="E228" s="29">
        <v>257</v>
      </c>
      <c r="F228" s="29">
        <v>306</v>
      </c>
      <c r="G228" s="29">
        <v>219</v>
      </c>
      <c r="H228" s="29">
        <v>233</v>
      </c>
      <c r="I228" s="29">
        <v>322</v>
      </c>
      <c r="J228" s="29">
        <v>275</v>
      </c>
      <c r="K228" s="29">
        <v>345</v>
      </c>
      <c r="L228" s="29">
        <v>284</v>
      </c>
      <c r="M228" s="29">
        <v>244</v>
      </c>
      <c r="N228" s="29">
        <v>236</v>
      </c>
      <c r="O228" s="43" t="s">
        <v>170</v>
      </c>
    </row>
    <row r="229" spans="1:15" ht="17.25">
      <c r="A229" s="44" t="s">
        <v>85</v>
      </c>
      <c r="B229" s="6">
        <f t="shared" si="38"/>
        <v>56</v>
      </c>
      <c r="C229" s="37">
        <v>3</v>
      </c>
      <c r="D229" s="37">
        <v>3</v>
      </c>
      <c r="E229" s="37">
        <v>2</v>
      </c>
      <c r="F229" s="37">
        <v>3</v>
      </c>
      <c r="G229" s="37">
        <v>3</v>
      </c>
      <c r="H229" s="37">
        <v>4</v>
      </c>
      <c r="I229" s="37">
        <v>10</v>
      </c>
      <c r="J229" s="37">
        <v>9</v>
      </c>
      <c r="K229" s="37">
        <v>6</v>
      </c>
      <c r="L229" s="37">
        <v>9</v>
      </c>
      <c r="M229" s="37">
        <v>1</v>
      </c>
      <c r="N229" s="37">
        <v>3</v>
      </c>
      <c r="O229" s="45" t="s">
        <v>15</v>
      </c>
    </row>
    <row r="230" spans="1:15" ht="17.25">
      <c r="A230" s="22" t="s">
        <v>31</v>
      </c>
      <c r="B230" s="4">
        <f t="shared" si="38"/>
        <v>52114</v>
      </c>
      <c r="C230" s="4">
        <f>SUM(C231:C240)</f>
        <v>5567</v>
      </c>
      <c r="D230" s="4">
        <f t="shared" ref="D230:N230" si="41">SUM(D231:D240)</f>
        <v>2723</v>
      </c>
      <c r="E230" s="4">
        <f t="shared" si="41"/>
        <v>3608</v>
      </c>
      <c r="F230" s="4">
        <f t="shared" si="41"/>
        <v>4599</v>
      </c>
      <c r="G230" s="4">
        <f t="shared" si="41"/>
        <v>2067</v>
      </c>
      <c r="H230" s="4">
        <f t="shared" si="41"/>
        <v>4566</v>
      </c>
      <c r="I230" s="4">
        <f t="shared" si="41"/>
        <v>6693</v>
      </c>
      <c r="J230" s="4">
        <f t="shared" si="41"/>
        <v>7417</v>
      </c>
      <c r="K230" s="4">
        <f t="shared" si="41"/>
        <v>3946</v>
      </c>
      <c r="L230" s="4">
        <f t="shared" si="41"/>
        <v>2982</v>
      </c>
      <c r="M230" s="4">
        <f t="shared" si="41"/>
        <v>3429</v>
      </c>
      <c r="N230" s="4">
        <f t="shared" si="41"/>
        <v>4517</v>
      </c>
      <c r="O230" s="39" t="s">
        <v>171</v>
      </c>
    </row>
    <row r="231" spans="1:15" ht="17.25">
      <c r="A231" s="42" t="s">
        <v>172</v>
      </c>
      <c r="B231" s="28">
        <f t="shared" si="38"/>
        <v>3530</v>
      </c>
      <c r="C231" s="5">
        <v>272</v>
      </c>
      <c r="D231" s="5">
        <v>193</v>
      </c>
      <c r="E231" s="5">
        <v>256</v>
      </c>
      <c r="F231" s="5">
        <v>297</v>
      </c>
      <c r="G231" s="5">
        <v>157</v>
      </c>
      <c r="H231" s="5">
        <v>303</v>
      </c>
      <c r="I231" s="5">
        <v>393</v>
      </c>
      <c r="J231" s="5">
        <v>452</v>
      </c>
      <c r="K231" s="5">
        <v>297</v>
      </c>
      <c r="L231" s="5">
        <v>295</v>
      </c>
      <c r="M231" s="5">
        <v>290</v>
      </c>
      <c r="N231" s="5">
        <v>325</v>
      </c>
      <c r="O231" s="43" t="s">
        <v>173</v>
      </c>
    </row>
    <row r="232" spans="1:15" ht="17.25">
      <c r="A232" s="42" t="s">
        <v>174</v>
      </c>
      <c r="B232" s="28">
        <f t="shared" si="38"/>
        <v>1504</v>
      </c>
      <c r="C232" s="5">
        <v>129</v>
      </c>
      <c r="D232" s="5">
        <v>63</v>
      </c>
      <c r="E232" s="5">
        <v>155</v>
      </c>
      <c r="F232" s="5">
        <v>152</v>
      </c>
      <c r="G232" s="5">
        <v>64</v>
      </c>
      <c r="H232" s="5">
        <v>145</v>
      </c>
      <c r="I232" s="5">
        <v>151</v>
      </c>
      <c r="J232" s="5">
        <v>209</v>
      </c>
      <c r="K232" s="5">
        <v>95</v>
      </c>
      <c r="L232" s="5">
        <v>95</v>
      </c>
      <c r="M232" s="5">
        <v>97</v>
      </c>
      <c r="N232" s="5">
        <v>149</v>
      </c>
      <c r="O232" s="43" t="s">
        <v>175</v>
      </c>
    </row>
    <row r="233" spans="1:15" ht="17.25">
      <c r="A233" s="42" t="s">
        <v>176</v>
      </c>
      <c r="B233" s="28">
        <f t="shared" si="38"/>
        <v>4559</v>
      </c>
      <c r="C233" s="29">
        <v>483</v>
      </c>
      <c r="D233" s="29">
        <v>678</v>
      </c>
      <c r="E233" s="29">
        <v>495</v>
      </c>
      <c r="F233" s="29">
        <v>663</v>
      </c>
      <c r="G233" s="29">
        <v>163</v>
      </c>
      <c r="H233" s="29">
        <v>265</v>
      </c>
      <c r="I233" s="29">
        <v>257</v>
      </c>
      <c r="J233" s="29">
        <v>488</v>
      </c>
      <c r="K233" s="29">
        <v>212</v>
      </c>
      <c r="L233" s="29">
        <v>195</v>
      </c>
      <c r="M233" s="29">
        <v>235</v>
      </c>
      <c r="N233" s="29">
        <v>425</v>
      </c>
      <c r="O233" s="43" t="s">
        <v>32</v>
      </c>
    </row>
    <row r="234" spans="1:15" ht="17.25">
      <c r="A234" s="42" t="s">
        <v>177</v>
      </c>
      <c r="B234" s="28">
        <f t="shared" si="38"/>
        <v>1898</v>
      </c>
      <c r="C234" s="29">
        <v>147</v>
      </c>
      <c r="D234" s="29">
        <v>145</v>
      </c>
      <c r="E234" s="29">
        <v>197</v>
      </c>
      <c r="F234" s="29">
        <v>208</v>
      </c>
      <c r="G234" s="29">
        <v>81</v>
      </c>
      <c r="H234" s="29">
        <v>116</v>
      </c>
      <c r="I234" s="29">
        <v>189</v>
      </c>
      <c r="J234" s="29">
        <v>228</v>
      </c>
      <c r="K234" s="29">
        <v>123</v>
      </c>
      <c r="L234" s="29">
        <v>105</v>
      </c>
      <c r="M234" s="29">
        <v>161</v>
      </c>
      <c r="N234" s="29">
        <v>198</v>
      </c>
      <c r="O234" s="43" t="s">
        <v>178</v>
      </c>
    </row>
    <row r="235" spans="1:15" ht="17.25">
      <c r="A235" s="42" t="s">
        <v>179</v>
      </c>
      <c r="B235" s="28">
        <f t="shared" si="38"/>
        <v>978</v>
      </c>
      <c r="C235" s="29">
        <v>99</v>
      </c>
      <c r="D235" s="29">
        <v>58</v>
      </c>
      <c r="E235" s="29">
        <v>45</v>
      </c>
      <c r="F235" s="29">
        <v>67</v>
      </c>
      <c r="G235" s="29">
        <v>24</v>
      </c>
      <c r="H235" s="29">
        <v>63</v>
      </c>
      <c r="I235" s="29">
        <v>132</v>
      </c>
      <c r="J235" s="29">
        <v>78</v>
      </c>
      <c r="K235" s="29">
        <v>77</v>
      </c>
      <c r="L235" s="29">
        <v>48</v>
      </c>
      <c r="M235" s="29">
        <v>179</v>
      </c>
      <c r="N235" s="29">
        <v>108</v>
      </c>
      <c r="O235" s="43" t="s">
        <v>180</v>
      </c>
    </row>
    <row r="236" spans="1:15" ht="17.25">
      <c r="A236" s="42" t="s">
        <v>181</v>
      </c>
      <c r="B236" s="28">
        <f t="shared" si="38"/>
        <v>3087</v>
      </c>
      <c r="C236" s="29">
        <v>190</v>
      </c>
      <c r="D236" s="29">
        <v>71</v>
      </c>
      <c r="E236" s="29">
        <v>167</v>
      </c>
      <c r="F236" s="29">
        <v>463</v>
      </c>
      <c r="G236" s="29">
        <v>181</v>
      </c>
      <c r="H236" s="29">
        <v>390</v>
      </c>
      <c r="I236" s="29">
        <v>383</v>
      </c>
      <c r="J236" s="29">
        <v>552</v>
      </c>
      <c r="K236" s="29">
        <v>147</v>
      </c>
      <c r="L236" s="29">
        <v>146</v>
      </c>
      <c r="M236" s="29">
        <v>104</v>
      </c>
      <c r="N236" s="29">
        <v>293</v>
      </c>
      <c r="O236" s="43" t="s">
        <v>182</v>
      </c>
    </row>
    <row r="237" spans="1:15" ht="17.25">
      <c r="A237" s="42" t="s">
        <v>183</v>
      </c>
      <c r="B237" s="28">
        <f t="shared" si="38"/>
        <v>23540</v>
      </c>
      <c r="C237" s="29">
        <v>3591</v>
      </c>
      <c r="D237" s="29">
        <v>967</v>
      </c>
      <c r="E237" s="29">
        <v>1268</v>
      </c>
      <c r="F237" s="29">
        <v>1519</v>
      </c>
      <c r="G237" s="29">
        <v>725</v>
      </c>
      <c r="H237" s="29">
        <v>2043</v>
      </c>
      <c r="I237" s="29">
        <v>3466</v>
      </c>
      <c r="J237" s="29">
        <v>3568</v>
      </c>
      <c r="K237" s="29">
        <v>1901</v>
      </c>
      <c r="L237" s="29">
        <v>1241</v>
      </c>
      <c r="M237" s="29">
        <v>1186</v>
      </c>
      <c r="N237" s="29">
        <v>2065</v>
      </c>
      <c r="O237" s="43" t="s">
        <v>184</v>
      </c>
    </row>
    <row r="238" spans="1:15" ht="17.25">
      <c r="A238" s="42" t="s">
        <v>185</v>
      </c>
      <c r="B238" s="28">
        <f t="shared" si="38"/>
        <v>1094</v>
      </c>
      <c r="C238" s="29">
        <v>58</v>
      </c>
      <c r="D238" s="29">
        <v>73</v>
      </c>
      <c r="E238" s="29">
        <v>82</v>
      </c>
      <c r="F238" s="29">
        <v>105</v>
      </c>
      <c r="G238" s="29">
        <v>72</v>
      </c>
      <c r="H238" s="29">
        <v>111</v>
      </c>
      <c r="I238" s="29">
        <v>126</v>
      </c>
      <c r="J238" s="29">
        <v>146</v>
      </c>
      <c r="K238" s="29">
        <v>95</v>
      </c>
      <c r="L238" s="29">
        <v>61</v>
      </c>
      <c r="M238" s="29">
        <v>97</v>
      </c>
      <c r="N238" s="29">
        <v>68</v>
      </c>
      <c r="O238" s="43" t="s">
        <v>186</v>
      </c>
    </row>
    <row r="239" spans="1:15" ht="17.25">
      <c r="A239" s="42" t="s">
        <v>187</v>
      </c>
      <c r="B239" s="28">
        <f t="shared" si="38"/>
        <v>9018</v>
      </c>
      <c r="C239" s="29">
        <v>387</v>
      </c>
      <c r="D239" s="29">
        <v>280</v>
      </c>
      <c r="E239" s="29">
        <v>751</v>
      </c>
      <c r="F239" s="29">
        <v>853</v>
      </c>
      <c r="G239" s="29">
        <v>446</v>
      </c>
      <c r="H239" s="29">
        <v>850</v>
      </c>
      <c r="I239" s="29">
        <v>1240</v>
      </c>
      <c r="J239" s="29">
        <v>1346</v>
      </c>
      <c r="K239" s="29">
        <v>709</v>
      </c>
      <c r="L239" s="29">
        <v>613</v>
      </c>
      <c r="M239" s="29">
        <v>901</v>
      </c>
      <c r="N239" s="29">
        <v>642</v>
      </c>
      <c r="O239" s="43" t="s">
        <v>188</v>
      </c>
    </row>
    <row r="240" spans="1:15" ht="17.25">
      <c r="A240" s="44" t="s">
        <v>85</v>
      </c>
      <c r="B240" s="36">
        <f>SUM(C240:N240)</f>
        <v>2906</v>
      </c>
      <c r="C240" s="37">
        <v>211</v>
      </c>
      <c r="D240" s="37">
        <v>195</v>
      </c>
      <c r="E240" s="37">
        <v>192</v>
      </c>
      <c r="F240" s="37">
        <v>272</v>
      </c>
      <c r="G240" s="37">
        <v>154</v>
      </c>
      <c r="H240" s="37">
        <v>280</v>
      </c>
      <c r="I240" s="37">
        <v>356</v>
      </c>
      <c r="J240" s="37">
        <v>350</v>
      </c>
      <c r="K240" s="37">
        <v>290</v>
      </c>
      <c r="L240" s="37">
        <v>183</v>
      </c>
      <c r="M240" s="37">
        <v>179</v>
      </c>
      <c r="N240" s="37">
        <v>244</v>
      </c>
      <c r="O240" s="43" t="s">
        <v>15</v>
      </c>
    </row>
    <row r="241" spans="1:15" ht="17.25">
      <c r="A241" s="22" t="s">
        <v>189</v>
      </c>
      <c r="B241" s="4">
        <f t="shared" ref="B241:B242" si="42">SUM(C241:N241)</f>
        <v>34</v>
      </c>
      <c r="C241" s="46">
        <v>3</v>
      </c>
      <c r="D241" s="46">
        <v>2</v>
      </c>
      <c r="E241" s="46">
        <v>9</v>
      </c>
      <c r="F241" s="46">
        <v>1</v>
      </c>
      <c r="G241" s="46">
        <v>3</v>
      </c>
      <c r="H241" s="46">
        <v>0</v>
      </c>
      <c r="I241" s="46">
        <v>3</v>
      </c>
      <c r="J241" s="46">
        <v>4</v>
      </c>
      <c r="K241" s="29">
        <v>2</v>
      </c>
      <c r="L241" s="29">
        <v>1</v>
      </c>
      <c r="M241" s="29">
        <v>1</v>
      </c>
      <c r="N241" s="29">
        <v>5</v>
      </c>
      <c r="O241" s="19" t="s">
        <v>190</v>
      </c>
    </row>
    <row r="242" spans="1:15" ht="17.25">
      <c r="A242" s="12" t="s">
        <v>191</v>
      </c>
      <c r="B242" s="6">
        <f t="shared" si="42"/>
        <v>150</v>
      </c>
      <c r="C242" s="47">
        <v>15</v>
      </c>
      <c r="D242" s="47">
        <v>15</v>
      </c>
      <c r="E242" s="47">
        <v>12</v>
      </c>
      <c r="F242" s="47">
        <v>14</v>
      </c>
      <c r="G242" s="47">
        <v>7</v>
      </c>
      <c r="H242" s="47">
        <v>13</v>
      </c>
      <c r="I242" s="47">
        <v>12</v>
      </c>
      <c r="J242" s="47">
        <v>13</v>
      </c>
      <c r="K242" s="37">
        <v>10</v>
      </c>
      <c r="L242" s="37">
        <v>7</v>
      </c>
      <c r="M242" s="37">
        <v>19</v>
      </c>
      <c r="N242" s="37">
        <v>13</v>
      </c>
      <c r="O242" s="45" t="s">
        <v>15</v>
      </c>
    </row>
    <row r="243" spans="1:15">
      <c r="A243" s="48" t="s">
        <v>33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9"/>
      <c r="N243" s="49"/>
      <c r="O243" s="1" t="s">
        <v>35</v>
      </c>
    </row>
    <row r="244" spans="1:15" ht="17.25">
      <c r="A244" s="50" t="s">
        <v>192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20"/>
      <c r="O244" s="2" t="s">
        <v>193</v>
      </c>
    </row>
  </sheetData>
  <mergeCells count="4">
    <mergeCell ref="A1:O1"/>
    <mergeCell ref="A2:O2"/>
    <mergeCell ref="A142:O142"/>
    <mergeCell ref="A143:O143"/>
  </mergeCells>
  <pageMargins left="0.7" right="0.7" top="0.75" bottom="0.75" header="0.3" footer="0.3"/>
  <pageSetup paperSize="9" scale="50" orientation="portrait" horizontalDpi="4294967295" verticalDpi="4294967295" r:id="rId1"/>
  <rowBreaks count="1" manualBreakCount="1">
    <brk id="77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10.13</vt:lpstr>
      <vt:lpstr>'10.13'!Print_Area</vt:lpstr>
      <vt:lpstr>'10.13'!Print_Titles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2020-09-07T03:12:19Z</cp:lastPrinted>
  <dcterms:created xsi:type="dcterms:W3CDTF">2019-02-27T06:18:18Z</dcterms:created>
  <dcterms:modified xsi:type="dcterms:W3CDTF">2020-09-07T03:12:46Z</dcterms:modified>
</cp:coreProperties>
</file>