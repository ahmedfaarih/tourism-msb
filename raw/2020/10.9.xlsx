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9" sheetId="9" r:id="rId1"/>
  </sheets>
  <definedNames>
    <definedName name="_xlnm.Print_Area" localSheetId="0">'10.9'!$A$1:$U$42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9" i="9" l="1"/>
  <c r="Q9" i="9"/>
  <c r="R9" i="9"/>
  <c r="T9" i="9"/>
  <c r="O14" i="9" l="1"/>
  <c r="O15" i="9"/>
  <c r="O16" i="9"/>
  <c r="O17" i="9"/>
  <c r="O18" i="9"/>
  <c r="O19" i="9"/>
  <c r="O20" i="9"/>
  <c r="O10" i="9"/>
  <c r="O11" i="9"/>
  <c r="O12" i="9"/>
  <c r="O13" i="9"/>
  <c r="T20" i="9"/>
  <c r="T19" i="9"/>
  <c r="T18" i="9"/>
  <c r="T17" i="9"/>
  <c r="T16" i="9"/>
  <c r="T15" i="9"/>
  <c r="T14" i="9"/>
  <c r="T13" i="9"/>
  <c r="T12" i="9"/>
  <c r="T11" i="9"/>
  <c r="T10" i="9"/>
  <c r="R20" i="9"/>
  <c r="R19" i="9"/>
  <c r="R18" i="9"/>
  <c r="R17" i="9"/>
  <c r="R16" i="9"/>
  <c r="R15" i="9"/>
  <c r="R14" i="9"/>
  <c r="R13" i="9"/>
  <c r="R12" i="9"/>
  <c r="R11" i="9"/>
  <c r="R10" i="9"/>
  <c r="Q10" i="9"/>
  <c r="Q11" i="9"/>
  <c r="Q12" i="9"/>
  <c r="Q13" i="9"/>
  <c r="Q14" i="9"/>
  <c r="Q15" i="9"/>
  <c r="Q16" i="9"/>
  <c r="Q17" i="9"/>
  <c r="Q18" i="9"/>
  <c r="Q19" i="9"/>
  <c r="Q20" i="9"/>
  <c r="N8" i="9"/>
  <c r="F8" i="9"/>
  <c r="M8" i="9" l="1"/>
  <c r="L8" i="9"/>
  <c r="K8" i="9"/>
  <c r="J8" i="9"/>
  <c r="I8" i="9"/>
  <c r="G8" i="9"/>
  <c r="O8" i="9" s="1"/>
  <c r="E8" i="9"/>
  <c r="D8" i="9"/>
  <c r="C8" i="9"/>
  <c r="B8" i="9"/>
  <c r="Q8" i="9" l="1"/>
</calcChain>
</file>

<file path=xl/sharedStrings.xml><?xml version="1.0" encoding="utf-8"?>
<sst xmlns="http://schemas.openxmlformats.org/spreadsheetml/2006/main" count="65" uniqueCount="55">
  <si>
    <t>Total</t>
  </si>
  <si>
    <t>Source: Ministry of Tourism</t>
  </si>
  <si>
    <t>wlcmuj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</si>
  <si>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</si>
  <si>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</si>
  <si>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</si>
  <si>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</si>
  <si>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</si>
  <si>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</si>
  <si>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</si>
  <si>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</si>
  <si>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</si>
  <si>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</si>
  <si>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</si>
  <si>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</si>
  <si>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</si>
  <si>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</si>
  <si>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</si>
  <si>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</si>
  <si>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</si>
  <si>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</si>
  <si>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</si>
  <si>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</si>
  <si>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</si>
  <si>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</si>
  <si>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</si>
  <si>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</si>
  <si>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</si>
  <si>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</si>
  <si>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</si>
  <si>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</si>
  <si>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</si>
  <si>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</si>
  <si>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</si>
  <si>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</si>
  <si>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</si>
  <si>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</si>
  <si>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</si>
  <si>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</si>
  <si>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</si>
  <si>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</si>
  <si>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</si>
  <si>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</si>
  <si>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</si>
  <si>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</si>
  <si>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</si>
  <si>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</si>
  <si>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</si>
  <si>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</si>
  <si>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</si>
  <si>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</si>
  <si>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Note: * Tourist Bed night figures include resorts/hotels/safaris &amp; guesthouses</t>
  </si>
  <si>
    <t>2018-2019</t>
  </si>
  <si>
    <t xml:space="preserve">Table 10.9: TOURIST ARRIVALS,AND TOURIST BED-NIGHTS BY MONTH,  2017 - 2019
</t>
  </si>
  <si>
    <t>2019 - 2017 , udwdwA egEr irukwdEh cnirevurutwf iaWrwviawa cnirevurutwf iawguhwmcswmikea : 10.9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</si>
</sst>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#,##0.0"/>
    <numFmt numFmtId="169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_Utheem"/>
    </font>
    <font>
      <b/>
      <sz val="9.5"/>
      <color theme="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color theme="1"/>
      <name val="A_Faseyha"/>
    </font>
    <font>
      <b/>
      <sz val="12"/>
      <color theme="1"/>
      <name val="A_Faseyha"/>
    </font>
    <font>
      <sz val="9"/>
      <color theme="1"/>
      <name val="A_Faseyha"/>
    </font>
    <font>
      <b/>
      <sz val="9"/>
      <color theme="1"/>
      <name val="A_Faseyha"/>
    </font>
    <font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169" fontId="15" fillId="0" borderId="0"/>
    <xf numFmtId="1" fontId="16" fillId="0" borderId="23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</cellStyleXfs>
  <cellXfs count="108">
    <xf numFmtId="0" fontId="0" fillId="0" borderId="0" xfId="0"/>
    <xf numFmtId="0" fontId="5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3" fontId="8" fillId="2" borderId="5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/>
    <xf numFmtId="0" fontId="11" fillId="2" borderId="0" xfId="0" applyFont="1" applyFill="1"/>
    <xf numFmtId="164" fontId="10" fillId="2" borderId="0" xfId="0" applyNumberFormat="1" applyFont="1" applyFill="1"/>
    <xf numFmtId="0" fontId="10" fillId="2" borderId="0" xfId="0" applyFont="1" applyFill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right" vertical="center" wrapText="1"/>
    </xf>
    <xf numFmtId="0" fontId="12" fillId="2" borderId="0" xfId="0" applyFont="1" applyFill="1" applyAlignment="1">
      <alignment vertical="center"/>
    </xf>
    <xf numFmtId="0" fontId="7" fillId="2" borderId="5" xfId="0" applyFont="1" applyFill="1" applyBorder="1" applyAlignment="1" applyProtection="1">
      <alignment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top" wrapText="1"/>
    </xf>
    <xf numFmtId="0" fontId="7" fillId="2" borderId="10" xfId="0" applyFont="1" applyFill="1" applyBorder="1" applyAlignment="1" applyProtection="1">
      <alignment horizontal="center" vertical="top" wrapText="1"/>
    </xf>
    <xf numFmtId="0" fontId="9" fillId="2" borderId="20" xfId="0" applyFont="1" applyFill="1" applyBorder="1" applyAlignment="1" applyProtection="1">
      <alignment horizontal="right" vertical="center" wrapText="1" indent="2"/>
    </xf>
    <xf numFmtId="0" fontId="9" fillId="2" borderId="21" xfId="0" applyFont="1" applyFill="1" applyBorder="1" applyAlignment="1" applyProtection="1">
      <alignment horizontal="center" vertical="center" wrapText="1"/>
    </xf>
    <xf numFmtId="0" fontId="9" fillId="2" borderId="22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right" vertical="top" wrapText="1"/>
    </xf>
    <xf numFmtId="0" fontId="9" fillId="2" borderId="21" xfId="0" applyFont="1" applyFill="1" applyBorder="1" applyAlignment="1" applyProtection="1">
      <alignment vertical="top" wrapText="1"/>
    </xf>
    <xf numFmtId="0" fontId="7" fillId="2" borderId="3" xfId="0" applyFont="1" applyFill="1" applyBorder="1" applyAlignment="1" applyProtection="1">
      <alignment horizontal="right" vertical="center" wrapText="1"/>
    </xf>
    <xf numFmtId="0" fontId="7" fillId="2" borderId="4" xfId="0" applyFont="1" applyFill="1" applyBorder="1" applyAlignment="1" applyProtection="1">
      <alignment horizontal="right" vertical="center" wrapText="1"/>
    </xf>
    <xf numFmtId="0" fontId="7" fillId="2" borderId="17" xfId="0" applyFont="1" applyFill="1" applyBorder="1" applyAlignment="1" applyProtection="1">
      <alignment horizontal="right" vertical="center" wrapText="1"/>
    </xf>
    <xf numFmtId="0" fontId="10" fillId="2" borderId="0" xfId="0" applyFont="1" applyFill="1" applyAlignment="1">
      <alignment horizontal="right" vertical="center"/>
    </xf>
    <xf numFmtId="0" fontId="7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Alignment="1" applyProtection="1">
      <alignment horizontal="right" vertical="center"/>
    </xf>
    <xf numFmtId="3" fontId="7" fillId="2" borderId="7" xfId="0" applyNumberFormat="1" applyFont="1" applyFill="1" applyBorder="1" applyAlignment="1" applyProtection="1">
      <alignment horizontal="right" vertical="center"/>
    </xf>
    <xf numFmtId="3" fontId="7" fillId="2" borderId="6" xfId="0" applyNumberFormat="1" applyFont="1" applyFill="1" applyBorder="1" applyAlignment="1" applyProtection="1">
      <alignment horizontal="right" vertical="center"/>
    </xf>
    <xf numFmtId="3" fontId="7" fillId="2" borderId="7" xfId="0" applyNumberFormat="1" applyFont="1" applyFill="1" applyBorder="1" applyAlignment="1" applyProtection="1">
      <alignment horizontal="center" vertical="center"/>
    </xf>
    <xf numFmtId="3" fontId="7" fillId="2" borderId="0" xfId="0" applyNumberFormat="1" applyFont="1" applyFill="1" applyBorder="1" applyAlignment="1" applyProtection="1">
      <alignment horizontal="center" vertical="center"/>
    </xf>
    <xf numFmtId="0" fontId="8" fillId="2" borderId="0" xfId="0" applyFont="1" applyFill="1" applyAlignment="1" applyProtection="1">
      <alignment horizontal="left" vertical="center" indent="1"/>
    </xf>
    <xf numFmtId="3" fontId="8" fillId="2" borderId="0" xfId="0" applyNumberFormat="1" applyFont="1" applyFill="1" applyBorder="1" applyAlignment="1" applyProtection="1">
      <alignment horizontal="righ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3" fontId="8" fillId="2" borderId="7" xfId="0" applyNumberFormat="1" applyFont="1" applyFill="1" applyBorder="1" applyAlignment="1">
      <alignment horizontal="right" vertical="center"/>
    </xf>
    <xf numFmtId="0" fontId="8" fillId="2" borderId="5" xfId="0" applyFont="1" applyFill="1" applyBorder="1" applyAlignment="1" applyProtection="1">
      <alignment horizontal="left" vertical="center" indent="1"/>
    </xf>
    <xf numFmtId="3" fontId="8" fillId="2" borderId="5" xfId="0" applyNumberFormat="1" applyFont="1" applyFill="1" applyBorder="1" applyAlignment="1" applyProtection="1">
      <alignment horizontal="right" vertical="center"/>
    </xf>
    <xf numFmtId="3" fontId="6" fillId="2" borderId="5" xfId="0" applyNumberFormat="1" applyFont="1" applyFill="1" applyBorder="1" applyAlignment="1" applyProtection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37" fontId="10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left" vertical="center" indent="1"/>
    </xf>
    <xf numFmtId="166" fontId="8" fillId="2" borderId="0" xfId="0" applyNumberFormat="1" applyFont="1" applyFill="1" applyBorder="1" applyAlignment="1" applyProtection="1">
      <alignment horizontal="right" vertical="center" indent="5"/>
    </xf>
    <xf numFmtId="166" fontId="8" fillId="2" borderId="5" xfId="0" applyNumberFormat="1" applyFont="1" applyFill="1" applyBorder="1" applyAlignment="1" applyProtection="1">
      <alignment horizontal="right" vertical="center" indent="5"/>
    </xf>
    <xf numFmtId="166" fontId="7" fillId="2" borderId="0" xfId="0" applyNumberFormat="1" applyFont="1" applyFill="1" applyBorder="1" applyAlignment="1" applyProtection="1">
      <alignment horizontal="right" vertical="center" indent="5"/>
    </xf>
    <xf numFmtId="166" fontId="7" fillId="2" borderId="6" xfId="0" applyNumberFormat="1" applyFont="1" applyFill="1" applyBorder="1" applyAlignment="1" applyProtection="1">
      <alignment horizontal="right" vertical="center" indent="5"/>
    </xf>
    <xf numFmtId="0" fontId="7" fillId="2" borderId="1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9" fillId="2" borderId="1" xfId="0" applyFont="1" applyFill="1" applyBorder="1" applyAlignment="1" applyProtection="1">
      <alignment vertical="center" wrapText="1"/>
    </xf>
    <xf numFmtId="0" fontId="9" fillId="2" borderId="9" xfId="0" applyFont="1" applyFill="1" applyBorder="1" applyAlignment="1" applyProtection="1">
      <alignment vertical="center" wrapText="1"/>
    </xf>
    <xf numFmtId="0" fontId="9" fillId="2" borderId="18" xfId="0" applyFont="1" applyFill="1" applyBorder="1" applyAlignment="1" applyProtection="1">
      <alignment vertical="center" wrapText="1"/>
    </xf>
    <xf numFmtId="0" fontId="11" fillId="2" borderId="0" xfId="0" applyFont="1" applyFill="1" applyAlignment="1">
      <alignment horizontal="center"/>
    </xf>
    <xf numFmtId="166" fontId="8" fillId="2" borderId="7" xfId="0" applyNumberFormat="1" applyFont="1" applyFill="1" applyBorder="1" applyAlignment="1" applyProtection="1">
      <alignment horizontal="right" vertical="center" indent="5"/>
    </xf>
    <xf numFmtId="166" fontId="8" fillId="2" borderId="6" xfId="0" applyNumberFormat="1" applyFont="1" applyFill="1" applyBorder="1" applyAlignment="1" applyProtection="1">
      <alignment horizontal="right" vertical="center" indent="5"/>
    </xf>
    <xf numFmtId="166" fontId="8" fillId="2" borderId="2" xfId="0" applyNumberFormat="1" applyFont="1" applyFill="1" applyBorder="1" applyAlignment="1" applyProtection="1">
      <alignment horizontal="right" vertical="center" indent="5"/>
    </xf>
    <xf numFmtId="166" fontId="8" fillId="2" borderId="8" xfId="0" applyNumberFormat="1" applyFont="1" applyFill="1" applyBorder="1" applyAlignment="1" applyProtection="1">
      <alignment horizontal="right" vertical="center" indent="5"/>
    </xf>
    <xf numFmtId="3" fontId="7" fillId="2" borderId="14" xfId="0" applyNumberFormat="1" applyFont="1" applyFill="1" applyBorder="1" applyAlignment="1" applyProtection="1">
      <alignment horizontal="center" vertical="center"/>
    </xf>
    <xf numFmtId="0" fontId="7" fillId="2" borderId="25" xfId="0" applyFont="1" applyFill="1" applyBorder="1" applyAlignment="1" applyProtection="1">
      <alignment horizontal="right" vertical="center" wrapText="1"/>
    </xf>
    <xf numFmtId="3" fontId="7" fillId="2" borderId="13" xfId="0" applyNumberFormat="1" applyFont="1" applyFill="1" applyBorder="1" applyAlignment="1" applyProtection="1">
      <alignment horizontal="right" vertical="center"/>
    </xf>
    <xf numFmtId="3" fontId="8" fillId="2" borderId="13" xfId="0" applyNumberFormat="1" applyFont="1" applyFill="1" applyBorder="1" applyAlignment="1">
      <alignment horizontal="right" vertical="center"/>
    </xf>
    <xf numFmtId="3" fontId="8" fillId="2" borderId="11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3" fontId="8" fillId="2" borderId="2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right" vertical="center" indent="1"/>
    </xf>
    <xf numFmtId="0" fontId="19" fillId="2" borderId="0" xfId="0" applyFont="1" applyFill="1" applyAlignment="1">
      <alignment horizontal="right" vertical="center" indent="2"/>
    </xf>
    <xf numFmtId="0" fontId="19" fillId="2" borderId="5" xfId="0" applyFont="1" applyFill="1" applyBorder="1" applyAlignment="1">
      <alignment horizontal="right" vertical="center" indent="2"/>
    </xf>
    <xf numFmtId="0" fontId="19" fillId="2" borderId="0" xfId="0" applyFont="1" applyFill="1" applyAlignment="1">
      <alignment vertical="center"/>
    </xf>
    <xf numFmtId="0" fontId="19" fillId="2" borderId="0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9" fillId="2" borderId="0" xfId="0" applyFont="1" applyFill="1"/>
    <xf numFmtId="0" fontId="21" fillId="2" borderId="0" xfId="0" applyFont="1" applyFill="1"/>
    <xf numFmtId="0" fontId="7" fillId="2" borderId="15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6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2" borderId="1" xfId="0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left" vertical="center"/>
    </xf>
    <xf numFmtId="0" fontId="17" fillId="2" borderId="1" xfId="0" applyFont="1" applyFill="1" applyBorder="1" applyAlignment="1">
      <alignment horizontal="right" vertical="center" indent="1"/>
    </xf>
    <xf numFmtId="0" fontId="17" fillId="2" borderId="0" xfId="0" applyFont="1" applyFill="1" applyBorder="1" applyAlignment="1">
      <alignment horizontal="right" vertical="center" indent="1"/>
    </xf>
    <xf numFmtId="0" fontId="17" fillId="2" borderId="5" xfId="0" applyFont="1" applyFill="1" applyBorder="1" applyAlignment="1">
      <alignment horizontal="right" vertical="center" indent="1"/>
    </xf>
    <xf numFmtId="0" fontId="7" fillId="2" borderId="15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6" xfId="0" applyFont="1" applyFill="1" applyBorder="1" applyAlignment="1" applyProtection="1">
      <alignment horizontal="center" vertical="center" wrapText="1"/>
    </xf>
    <xf numFmtId="0" fontId="13" fillId="2" borderId="3" xfId="0" applyFont="1" applyFill="1" applyBorder="1" applyAlignment="1" applyProtection="1">
      <alignment horizontal="center" vertical="top" wrapText="1"/>
    </xf>
    <xf numFmtId="0" fontId="13" fillId="2" borderId="4" xfId="0" applyFont="1" applyFill="1" applyBorder="1" applyAlignment="1" applyProtection="1">
      <alignment horizontal="center" vertical="top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2" borderId="1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14" xfId="0" applyFont="1" applyFill="1" applyBorder="1" applyAlignment="1" applyProtection="1">
      <alignment horizontal="center" vertical="center" wrapText="1"/>
    </xf>
    <xf numFmtId="0" fontId="9" fillId="2" borderId="24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13" fillId="2" borderId="3" xfId="0" applyFont="1" applyFill="1" applyBorder="1" applyAlignment="1" applyProtection="1">
      <alignment horizontal="center" vertical="top"/>
    </xf>
    <xf numFmtId="0" fontId="13" fillId="2" borderId="4" xfId="0" applyFont="1" applyFill="1" applyBorder="1" applyAlignment="1" applyProtection="1">
      <alignment horizontal="center" vertical="top"/>
    </xf>
    <xf numFmtId="0" fontId="13" fillId="2" borderId="17" xfId="0" applyFont="1" applyFill="1" applyBorder="1" applyAlignment="1" applyProtection="1">
      <alignment horizontal="center" vertical="top"/>
    </xf>
    <xf numFmtId="0" fontId="18" fillId="2" borderId="0" xfId="0" applyFont="1" applyFill="1" applyAlignment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10.16: Percentage change of tourist arrivals and bed-nights compared to previous month, 2019</a:t>
            </a:r>
          </a:p>
        </c:rich>
      </c:tx>
      <c:layout>
        <c:manualLayout>
          <c:xMode val="edge"/>
          <c:yMode val="edge"/>
          <c:x val="0.15623847276667729"/>
          <c:y val="5.19631141916405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895721997878728E-2"/>
          <c:y val="0.17897647925182064"/>
          <c:w val="0.87594382271054516"/>
          <c:h val="0.71984321279656682"/>
        </c:manualLayout>
      </c:layout>
      <c:lineChart>
        <c:grouping val="standard"/>
        <c:varyColors val="0"/>
        <c:ser>
          <c:idx val="0"/>
          <c:order val="0"/>
          <c:tx>
            <c:strRef>
              <c:f>'10.9'!$R$5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>
              <a:solidFill>
                <a:srgbClr val="CA945E"/>
              </a:solidFill>
            </a:ln>
          </c:spPr>
          <c:marker>
            <c:symbol val="none"/>
          </c:marker>
          <c:cat>
            <c:strRef>
              <c:f>'10.9'!$AM$46:$AM$57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'10.9'!$R$9:$R$20</c:f>
              <c:numCache>
                <c:formatCode>#,##0.0</c:formatCode>
                <c:ptCount val="12"/>
                <c:pt idx="0">
                  <c:v>9.7626892610416682</c:v>
                </c:pt>
                <c:pt idx="1">
                  <c:v>2.121284122019329</c:v>
                </c:pt>
                <c:pt idx="2">
                  <c:v>-1.2619160100535987</c:v>
                </c:pt>
                <c:pt idx="3">
                  <c:v>-2.4832843664881699</c:v>
                </c:pt>
                <c:pt idx="4">
                  <c:v>-26.867558991328522</c:v>
                </c:pt>
                <c:pt idx="5">
                  <c:v>-0.47143975692255369</c:v>
                </c:pt>
                <c:pt idx="6">
                  <c:v>8.6902302080646301</c:v>
                </c:pt>
                <c:pt idx="7">
                  <c:v>-14.707707243428459</c:v>
                </c:pt>
                <c:pt idx="8">
                  <c:v>-22.160241428109785</c:v>
                </c:pt>
                <c:pt idx="9">
                  <c:v>29.28287405880743</c:v>
                </c:pt>
                <c:pt idx="10">
                  <c:v>-3.2043780758683305</c:v>
                </c:pt>
                <c:pt idx="11">
                  <c:v>18.314510114625151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2-481F-8432-BDDC3A80E60E}"/>
            </c:ext>
          </c:extLst>
        </c:ser>
        <c:ser>
          <c:idx val="1"/>
          <c:order val="1"/>
          <c:tx>
            <c:strRef>
              <c:f>'10.9'!$T$5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rgbClr val="B05800"/>
              </a:solidFill>
            </a:ln>
          </c:spPr>
          <c:marker>
            <c:symbol val="none"/>
          </c:marker>
          <c:cat>
            <c:strRef>
              <c:f>'10.9'!$AM$46:$AM$57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'10.9'!$T$9:$T$20</c:f>
              <c:numCache>
                <c:formatCode>#,##0.0</c:formatCode>
                <c:ptCount val="12"/>
                <c:pt idx="0">
                  <c:v>0.48667930883581345</c:v>
                </c:pt>
                <c:pt idx="1">
                  <c:v>11.237726984797302</c:v>
                </c:pt>
                <c:pt idx="2">
                  <c:v>-3.40485102293826</c:v>
                </c:pt>
                <c:pt idx="3">
                  <c:v>0.16641796085801186</c:v>
                </c:pt>
                <c:pt idx="4">
                  <c:v>-36.840491925892316</c:v>
                </c:pt>
                <c:pt idx="5">
                  <c:v>10.146376502106346</c:v>
                </c:pt>
                <c:pt idx="6">
                  <c:v>16.452081956378063</c:v>
                </c:pt>
                <c:pt idx="7">
                  <c:v>5.4440610243370768</c:v>
                </c:pt>
                <c:pt idx="8">
                  <c:v>-15.587276981153742</c:v>
                </c:pt>
                <c:pt idx="9">
                  <c:v>20.667579217643418</c:v>
                </c:pt>
                <c:pt idx="10">
                  <c:v>-2.8232624992954203</c:v>
                </c:pt>
                <c:pt idx="11">
                  <c:v>24.236338193603579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B7-49DB-A88D-428132FD0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379112"/>
        <c:axId val="343381464"/>
      </c:lineChart>
      <c:catAx>
        <c:axId val="343379112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ln w="31750">
            <a:solidFill>
              <a:srgbClr val="663300"/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343381464"/>
        <c:crosses val="autoZero"/>
        <c:auto val="1"/>
        <c:lblAlgn val="ctr"/>
        <c:lblOffset val="100"/>
        <c:noMultiLvlLbl val="0"/>
      </c:catAx>
      <c:valAx>
        <c:axId val="343381464"/>
        <c:scaling>
          <c:orientation val="minMax"/>
          <c:max val="30"/>
          <c:min val="-40"/>
        </c:scaling>
        <c:delete val="0"/>
        <c:axPos val="l"/>
        <c:majorGridlines>
          <c:spPr>
            <a:ln>
              <a:solidFill>
                <a:srgbClr val="EEDCCA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343379112"/>
        <c:crosses val="autoZero"/>
        <c:crossBetween val="between"/>
      </c:valAx>
      <c:spPr>
        <a:solidFill>
          <a:srgbClr val="F6ECE2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2289984937664521"/>
          <c:y val="0.21369461851698324"/>
          <c:w val="0.47349488327322165"/>
          <c:h val="3.8073199873204747E-2"/>
        </c:manualLayout>
      </c:layout>
      <c:overlay val="0"/>
      <c:spPr>
        <a:noFill/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Figure 10.15: Percentage change of tourist arrivals and bed-nights compared to same month of previous year, 2018 - 2019</a:t>
            </a:r>
          </a:p>
        </c:rich>
      </c:tx>
      <c:layout>
        <c:manualLayout>
          <c:xMode val="edge"/>
          <c:yMode val="edge"/>
          <c:x val="0.15969080427083063"/>
          <c:y val="1.6218441721903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810993416211781E-2"/>
          <c:y val="0.14211051240712064"/>
          <c:w val="0.89575573747088033"/>
          <c:h val="0.75039979961153014"/>
        </c:manualLayout>
      </c:layout>
      <c:lineChart>
        <c:grouping val="standard"/>
        <c:varyColors val="0"/>
        <c:ser>
          <c:idx val="0"/>
          <c:order val="0"/>
          <c:tx>
            <c:strRef>
              <c:f>'10.9'!$O$5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 w="28575" cap="rnd">
              <a:solidFill>
                <a:srgbClr val="CA945E"/>
              </a:solidFill>
              <a:round/>
            </a:ln>
            <a:effectLst/>
          </c:spPr>
          <c:marker>
            <c:symbol val="none"/>
          </c:marker>
          <c:cat>
            <c:strRef>
              <c:f>'10.9'!$AL$46:$AM$57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'10.9'!$O$9:$O$20</c:f>
              <c:numCache>
                <c:formatCode>#,##0.0</c:formatCode>
                <c:ptCount val="12"/>
                <c:pt idx="0">
                  <c:v>6.0499633526618579</c:v>
                </c:pt>
                <c:pt idx="1">
                  <c:v>10.161362736622937</c:v>
                </c:pt>
                <c:pt idx="2">
                  <c:v>15.22680280879587</c:v>
                </c:pt>
                <c:pt idx="3">
                  <c:v>23.207846280220945</c:v>
                </c:pt>
                <c:pt idx="4">
                  <c:v>11.91625314803102</c:v>
                </c:pt>
                <c:pt idx="5">
                  <c:v>31.228971267836101</c:v>
                </c:pt>
                <c:pt idx="6">
                  <c:v>4.4644970614367674</c:v>
                </c:pt>
                <c:pt idx="7">
                  <c:v>10.659502452563018</c:v>
                </c:pt>
                <c:pt idx="8">
                  <c:v>9.319893313678973</c:v>
                </c:pt>
                <c:pt idx="9">
                  <c:v>11.663955365084622</c:v>
                </c:pt>
                <c:pt idx="10">
                  <c:v>9.6250524636813708</c:v>
                </c:pt>
                <c:pt idx="11">
                  <c:v>15.374406858260281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'10.9'!$Q$5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 w="28575" cap="rnd">
              <a:solidFill>
                <a:srgbClr val="B05800"/>
              </a:solidFill>
              <a:round/>
            </a:ln>
            <a:effectLst/>
          </c:spPr>
          <c:marker>
            <c:symbol val="none"/>
          </c:marker>
          <c:cat>
            <c:strRef>
              <c:f>'10.9'!$AL$46:$AM$57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'10.9'!$Q$9:$Q$20</c:f>
              <c:numCache>
                <c:formatCode>#,##0.0</c:formatCode>
                <c:ptCount val="12"/>
                <c:pt idx="0">
                  <c:v>6.4636005367015414</c:v>
                </c:pt>
                <c:pt idx="1">
                  <c:v>16.839471605006718</c:v>
                </c:pt>
                <c:pt idx="2">
                  <c:v>22.010849205040994</c:v>
                </c:pt>
                <c:pt idx="3">
                  <c:v>36.254207980753961</c:v>
                </c:pt>
                <c:pt idx="4">
                  <c:v>10.880070603683013</c:v>
                </c:pt>
                <c:pt idx="5">
                  <c:v>20.993538481223204</c:v>
                </c:pt>
                <c:pt idx="6">
                  <c:v>8.0207958669849191</c:v>
                </c:pt>
                <c:pt idx="7">
                  <c:v>12.376604942254342</c:v>
                </c:pt>
                <c:pt idx="8">
                  <c:v>9.2910239732391773</c:v>
                </c:pt>
                <c:pt idx="9">
                  <c:v>11.409575094392931</c:v>
                </c:pt>
                <c:pt idx="10">
                  <c:v>9.8062163625362242</c:v>
                </c:pt>
                <c:pt idx="11">
                  <c:v>13.612433529154355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379504"/>
        <c:axId val="446195512"/>
      </c:lineChart>
      <c:catAx>
        <c:axId val="3433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95512"/>
        <c:crosses val="autoZero"/>
        <c:auto val="1"/>
        <c:lblAlgn val="ctr"/>
        <c:lblOffset val="100"/>
        <c:noMultiLvlLbl val="0"/>
      </c:catAx>
      <c:valAx>
        <c:axId val="44619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EDCCA"/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79504"/>
        <c:crosses val="autoZero"/>
        <c:crossBetween val="between"/>
      </c:valAx>
      <c:spPr>
        <a:solidFill>
          <a:srgbClr val="F6ECE2"/>
        </a:solidFill>
        <a:ln>
          <a:solidFill>
            <a:srgbClr val="EEDCCA"/>
          </a:solidFill>
        </a:ln>
        <a:effectLst/>
      </c:spPr>
    </c:plotArea>
    <c:legend>
      <c:legendPos val="b"/>
      <c:layout>
        <c:manualLayout>
          <c:xMode val="edge"/>
          <c:yMode val="edge"/>
          <c:x val="0.45803025210874027"/>
          <c:y val="0.16316472853549627"/>
          <c:w val="0.45703767333895823"/>
          <c:h val="5.2662747484000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672353</xdr:colOff>
      <xdr:row>22</xdr:row>
      <xdr:rowOff>141697</xdr:rowOff>
    </xdr:from>
    <xdr:to>
      <xdr:col>20</xdr:col>
      <xdr:colOff>583164</xdr:colOff>
      <xdr:row>40</xdr:row>
      <xdr:rowOff>145791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650754</xdr:colOff>
      <xdr:row>39</xdr:row>
      <xdr:rowOff>90489</xdr:rowOff>
    </xdr:from>
    <xdr:to>
      <xdr:col>17</xdr:col>
      <xdr:colOff>856106</xdr:colOff>
      <xdr:row>40</xdr:row>
      <xdr:rowOff>119389</xdr:rowOff>
    </xdr:to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675677" y="8818499"/>
          <a:ext cx="3393312" cy="233007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 i="1"/>
            <a:t>* Tourist Bed night figures include resorts/hotels/safaris &amp; guesthouses</a:t>
          </a:r>
        </a:p>
      </xdr:txBody>
    </xdr:sp>
    <xdr:clientData/>
  </xdr:twoCellAnchor>
  <xdr:twoCellAnchor>
    <xdr:from>
      <xdr:col>0</xdr:col>
      <xdr:colOff>284860</xdr:colOff>
      <xdr:row>22</xdr:row>
      <xdr:rowOff>146882</xdr:rowOff>
    </xdr:from>
    <xdr:to>
      <xdr:col>13</xdr:col>
      <xdr:colOff>352294</xdr:colOff>
      <xdr:row>40</xdr:row>
      <xdr:rowOff>97195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272781</xdr:colOff>
      <xdr:row>39</xdr:row>
      <xdr:rowOff>52571</xdr:rowOff>
    </xdr:from>
    <xdr:to>
      <xdr:col>6</xdr:col>
      <xdr:colOff>670638</xdr:colOff>
      <xdr:row>40</xdr:row>
      <xdr:rowOff>156146</xdr:rowOff>
    </xdr:to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272781" y="8780581"/>
          <a:ext cx="3070689" cy="30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 include resorts/hotels/safaris &amp; guesthouses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0.00268</cdr:x>
      <cdr:y>0.38852</cdr:y>
    </cdr:from>
    <cdr:to>
      <cdr:x>0.04289</cdr:x>
      <cdr:y>0.59806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2465" y="1330265"/>
          <a:ext cx="337582" cy="717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0.01308</cdr:x>
      <cdr:y>0.105</cdr:y>
    </cdr:from>
    <cdr:to>
      <cdr:x>0.08107</cdr:x>
      <cdr:y>0.13418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6764" y="427291"/>
          <a:ext cx="347173" cy="11877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W57"/>
  <sheetViews>
    <sheetView tabSelected="1" zoomScaleNormal="100" zoomScaleSheetLayoutView="98" workbookViewId="0">
      <selection activeCell="AA14" sqref="AA14"/>
    </sheetView>
  </sheetViews>
  <sheetFormatPr defaultColWidth="9.140625" defaultRowHeight="15.75"/>
  <cols>
    <col min="1" max="1" width="15.5703125" style="6" customWidth="1"/>
    <col min="2" max="4" width="12.28515625" style="6" hidden="1" customWidth="1"/>
    <col min="5" max="7" width="12.28515625" style="6" customWidth="1"/>
    <col min="8" max="8" width="0.85546875" style="6" customWidth="1"/>
    <col min="9" max="11" width="11.140625" style="6" hidden="1" customWidth="1"/>
    <col min="12" max="14" width="11.140625" style="6" customWidth="1"/>
    <col min="15" max="15" width="20" style="6" customWidth="1"/>
    <col min="16" max="16" width="1.5703125" style="6" customWidth="1"/>
    <col min="17" max="17" width="15.140625" style="6" customWidth="1"/>
    <col min="18" max="18" width="17.7109375" style="6" customWidth="1"/>
    <col min="19" max="19" width="2.42578125" style="6" customWidth="1"/>
    <col min="20" max="20" width="14.5703125" style="6" customWidth="1"/>
    <col min="21" max="21" width="12.7109375" style="68" customWidth="1"/>
    <col min="22" max="22" width="3.85546875" style="6" customWidth="1"/>
    <col min="23" max="16384" width="9.140625" style="6"/>
  </cols>
  <sheetData>
    <row r="1" spans="1:23" ht="18.75">
      <c r="A1" s="107" t="s">
        <v>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"/>
    </row>
    <row r="2" spans="1:23" s="49" customFormat="1" ht="22.5" customHeight="1">
      <c r="A2" s="75" t="s">
        <v>53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spans="1:23" s="5" customFormat="1" ht="12.75" customHeight="1">
      <c r="A3" s="77" t="s">
        <v>3</v>
      </c>
      <c r="C3" s="44"/>
      <c r="E3" s="94" t="s">
        <v>28</v>
      </c>
      <c r="F3" s="94"/>
      <c r="G3" s="94"/>
      <c r="H3" s="73"/>
      <c r="J3" s="44"/>
      <c r="L3" s="93" t="s">
        <v>29</v>
      </c>
      <c r="M3" s="94"/>
      <c r="N3" s="95"/>
      <c r="O3" s="83" t="s">
        <v>30</v>
      </c>
      <c r="P3" s="84"/>
      <c r="Q3" s="85"/>
      <c r="R3" s="83" t="s">
        <v>31</v>
      </c>
      <c r="S3" s="84"/>
      <c r="T3" s="84"/>
      <c r="U3" s="80" t="s">
        <v>32</v>
      </c>
    </row>
    <row r="4" spans="1:23" s="5" customFormat="1" ht="18.75" customHeight="1">
      <c r="A4" s="78"/>
      <c r="B4" s="11"/>
      <c r="C4" s="11"/>
      <c r="D4" s="11"/>
      <c r="E4" s="11"/>
      <c r="F4" s="11"/>
      <c r="G4" s="11"/>
      <c r="H4" s="72"/>
      <c r="I4" s="45"/>
      <c r="J4" s="11"/>
      <c r="K4" s="45"/>
      <c r="L4" s="102"/>
      <c r="M4" s="92"/>
      <c r="N4" s="103"/>
      <c r="O4" s="104" t="s">
        <v>33</v>
      </c>
      <c r="P4" s="105"/>
      <c r="Q4" s="106"/>
      <c r="R4" s="86" t="s">
        <v>34</v>
      </c>
      <c r="S4" s="87"/>
      <c r="T4" s="87"/>
      <c r="U4" s="81"/>
    </row>
    <row r="5" spans="1:23" s="5" customFormat="1" ht="18.75" customHeight="1">
      <c r="A5" s="78"/>
      <c r="C5" s="46"/>
      <c r="E5" s="97" t="s">
        <v>35</v>
      </c>
      <c r="F5" s="97"/>
      <c r="G5" s="97"/>
      <c r="H5" s="12"/>
      <c r="J5" s="46"/>
      <c r="L5" s="96" t="s">
        <v>36</v>
      </c>
      <c r="M5" s="97"/>
      <c r="N5" s="98"/>
      <c r="O5" s="69" t="s">
        <v>28</v>
      </c>
      <c r="P5" s="70"/>
      <c r="Q5" s="71" t="s">
        <v>29</v>
      </c>
      <c r="R5" s="13" t="s">
        <v>28</v>
      </c>
      <c r="S5" s="14"/>
      <c r="T5" s="14" t="s">
        <v>29</v>
      </c>
      <c r="U5" s="81"/>
    </row>
    <row r="6" spans="1:23" s="5" customFormat="1" ht="37.5">
      <c r="A6" s="78"/>
      <c r="B6" s="47"/>
      <c r="C6" s="47"/>
      <c r="D6" s="47"/>
      <c r="E6" s="47"/>
      <c r="F6" s="47"/>
      <c r="G6" s="47"/>
      <c r="H6" s="74"/>
      <c r="I6" s="48"/>
      <c r="J6" s="47"/>
      <c r="K6" s="48"/>
      <c r="L6" s="99"/>
      <c r="M6" s="100"/>
      <c r="N6" s="101"/>
      <c r="O6" s="15" t="s">
        <v>35</v>
      </c>
      <c r="P6" s="16"/>
      <c r="Q6" s="17" t="s">
        <v>36</v>
      </c>
      <c r="R6" s="18" t="s">
        <v>35</v>
      </c>
      <c r="S6" s="19"/>
      <c r="T6" s="19" t="s">
        <v>36</v>
      </c>
      <c r="U6" s="81"/>
    </row>
    <row r="7" spans="1:23" s="23" customFormat="1" ht="12.75">
      <c r="A7" s="79"/>
      <c r="B7" s="21">
        <v>2014</v>
      </c>
      <c r="C7" s="21">
        <v>2015</v>
      </c>
      <c r="D7" s="21">
        <v>2016</v>
      </c>
      <c r="E7" s="9">
        <v>2017</v>
      </c>
      <c r="F7" s="9">
        <v>2018</v>
      </c>
      <c r="G7" s="9">
        <v>2019</v>
      </c>
      <c r="H7" s="9"/>
      <c r="I7" s="20">
        <v>2014</v>
      </c>
      <c r="J7" s="21">
        <v>2015</v>
      </c>
      <c r="K7" s="20">
        <v>2016</v>
      </c>
      <c r="L7" s="55">
        <v>2017</v>
      </c>
      <c r="M7" s="21">
        <v>2018</v>
      </c>
      <c r="N7" s="22">
        <v>2019</v>
      </c>
      <c r="O7" s="88" t="s">
        <v>52</v>
      </c>
      <c r="P7" s="89"/>
      <c r="Q7" s="90"/>
      <c r="R7" s="91">
        <v>2019</v>
      </c>
      <c r="S7" s="92"/>
      <c r="T7" s="92"/>
      <c r="U7" s="82"/>
    </row>
    <row r="8" spans="1:23" s="5" customFormat="1" ht="19.5" customHeight="1">
      <c r="A8" s="24" t="s">
        <v>0</v>
      </c>
      <c r="B8" s="25">
        <f t="shared" ref="B8:G8" si="0">SUM(B9:B20)</f>
        <v>7505622.2623784998</v>
      </c>
      <c r="C8" s="25">
        <f t="shared" si="0"/>
        <v>7322683.0686780298</v>
      </c>
      <c r="D8" s="25">
        <f t="shared" si="0"/>
        <v>7770922.642037821</v>
      </c>
      <c r="E8" s="25">
        <f t="shared" si="0"/>
        <v>8593283.6177621465</v>
      </c>
      <c r="F8" s="25">
        <f t="shared" si="0"/>
        <v>9478093.9017162751</v>
      </c>
      <c r="G8" s="25">
        <f t="shared" si="0"/>
        <v>10688387.114665871</v>
      </c>
      <c r="H8" s="25"/>
      <c r="I8" s="26">
        <f t="shared" ref="I8:N8" si="1">SUM(I9:I20)</f>
        <v>1204857</v>
      </c>
      <c r="J8" s="2">
        <f t="shared" si="1"/>
        <v>1234248</v>
      </c>
      <c r="K8" s="26">
        <f t="shared" si="1"/>
        <v>1286135</v>
      </c>
      <c r="L8" s="56">
        <f t="shared" si="1"/>
        <v>1389542</v>
      </c>
      <c r="M8" s="2">
        <f t="shared" si="1"/>
        <v>1484274</v>
      </c>
      <c r="N8" s="27">
        <f t="shared" si="1"/>
        <v>1702887</v>
      </c>
      <c r="O8" s="40">
        <f>((G8/F8)-1)*100</f>
        <v>12.769373520665784</v>
      </c>
      <c r="P8" s="42"/>
      <c r="Q8" s="43">
        <f>((N8/M8)-1)*100</f>
        <v>14.728614797537375</v>
      </c>
      <c r="R8" s="28" t="s">
        <v>37</v>
      </c>
      <c r="S8" s="54"/>
      <c r="T8" s="29" t="s">
        <v>37</v>
      </c>
      <c r="U8" s="61" t="s">
        <v>2</v>
      </c>
    </row>
    <row r="9" spans="1:23" s="5" customFormat="1" ht="19.5" customHeight="1">
      <c r="A9" s="30" t="s">
        <v>4</v>
      </c>
      <c r="B9" s="31">
        <v>702057.23965050967</v>
      </c>
      <c r="C9" s="32">
        <v>663541.53766544769</v>
      </c>
      <c r="D9" s="31">
        <v>658991.02257734654</v>
      </c>
      <c r="E9" s="31">
        <v>800126.35612185334</v>
      </c>
      <c r="F9" s="31">
        <v>941496.93723687832</v>
      </c>
      <c r="G9" s="31">
        <v>998457.1569061433</v>
      </c>
      <c r="H9" s="4"/>
      <c r="I9" s="33">
        <v>105296</v>
      </c>
      <c r="J9" s="4">
        <v>97073</v>
      </c>
      <c r="K9" s="33">
        <v>108396</v>
      </c>
      <c r="L9" s="57">
        <v>125336</v>
      </c>
      <c r="M9" s="4">
        <v>142351</v>
      </c>
      <c r="N9" s="59">
        <v>151552</v>
      </c>
      <c r="O9" s="40">
        <f>((G9/F9)-1)*100</f>
        <v>6.0499633526618579</v>
      </c>
      <c r="P9" s="40"/>
      <c r="Q9" s="51">
        <f t="shared" ref="Q9:Q20" si="2">((N9/M9)-1)*100</f>
        <v>6.4636005367015414</v>
      </c>
      <c r="R9" s="50">
        <f>((G9/F20)-1)*100</f>
        <v>9.7626892610416682</v>
      </c>
      <c r="S9" s="40"/>
      <c r="T9" s="50">
        <f>((N9/M20)-1)*100</f>
        <v>0.48667930883581345</v>
      </c>
      <c r="U9" s="62" t="s">
        <v>38</v>
      </c>
      <c r="W9" s="7"/>
    </row>
    <row r="10" spans="1:23" s="5" customFormat="1" ht="19.5" customHeight="1">
      <c r="A10" s="30" t="s">
        <v>5</v>
      </c>
      <c r="B10" s="31">
        <v>701834.83220814099</v>
      </c>
      <c r="C10" s="32">
        <v>713662.18298669241</v>
      </c>
      <c r="D10" s="31">
        <v>749459.82384348847</v>
      </c>
      <c r="E10" s="31">
        <v>772412.98962665652</v>
      </c>
      <c r="F10" s="31">
        <v>925585.20039239002</v>
      </c>
      <c r="G10" s="31">
        <v>1019637.270040759</v>
      </c>
      <c r="H10" s="4"/>
      <c r="I10" s="33">
        <v>110705</v>
      </c>
      <c r="J10" s="4">
        <v>120468</v>
      </c>
      <c r="K10" s="33">
        <v>120639</v>
      </c>
      <c r="L10" s="57">
        <v>121052</v>
      </c>
      <c r="M10" s="4">
        <v>144286</v>
      </c>
      <c r="N10" s="59">
        <v>168583</v>
      </c>
      <c r="O10" s="40">
        <f t="shared" ref="O10:O20" si="3">((G10/F10)-1)*100</f>
        <v>10.161362736622937</v>
      </c>
      <c r="P10" s="40"/>
      <c r="Q10" s="51">
        <f t="shared" si="2"/>
        <v>16.839471605006718</v>
      </c>
      <c r="R10" s="50">
        <f t="shared" ref="R10:R15" si="4">((G10/G9)-1)*100</f>
        <v>2.121284122019329</v>
      </c>
      <c r="S10" s="40"/>
      <c r="T10" s="50">
        <f t="shared" ref="T10:T20" si="5">((N10/N9)-1)*100</f>
        <v>11.237726984797302</v>
      </c>
      <c r="U10" s="62" t="s">
        <v>39</v>
      </c>
      <c r="W10" s="7"/>
    </row>
    <row r="11" spans="1:23" s="5" customFormat="1" ht="19.5" customHeight="1">
      <c r="A11" s="30" t="s">
        <v>6</v>
      </c>
      <c r="B11" s="31">
        <v>706437.32186961442</v>
      </c>
      <c r="C11" s="32">
        <v>692862.60109209386</v>
      </c>
      <c r="D11" s="31">
        <v>746568.50029467535</v>
      </c>
      <c r="E11" s="31">
        <v>750431.75735626707</v>
      </c>
      <c r="F11" s="31">
        <v>873729.2709199331</v>
      </c>
      <c r="G11" s="31">
        <v>1006770.3040856412</v>
      </c>
      <c r="H11" s="4"/>
      <c r="I11" s="33">
        <v>105560</v>
      </c>
      <c r="J11" s="4">
        <v>112427</v>
      </c>
      <c r="K11" s="33">
        <v>115131</v>
      </c>
      <c r="L11" s="57">
        <v>112665</v>
      </c>
      <c r="M11" s="4">
        <v>133466</v>
      </c>
      <c r="N11" s="59">
        <v>162843</v>
      </c>
      <c r="O11" s="40">
        <f t="shared" si="3"/>
        <v>15.22680280879587</v>
      </c>
      <c r="P11" s="40"/>
      <c r="Q11" s="51">
        <f t="shared" si="2"/>
        <v>22.010849205040994</v>
      </c>
      <c r="R11" s="50">
        <f t="shared" si="4"/>
        <v>-1.2619160100535987</v>
      </c>
      <c r="S11" s="40"/>
      <c r="T11" s="50">
        <f t="shared" si="5"/>
        <v>-3.40485102293826</v>
      </c>
      <c r="U11" s="62" t="s">
        <v>40</v>
      </c>
      <c r="W11" s="7"/>
    </row>
    <row r="12" spans="1:23" s="5" customFormat="1" ht="19.5" customHeight="1">
      <c r="A12" s="30" t="s">
        <v>7</v>
      </c>
      <c r="B12" s="31">
        <v>673309.98970234313</v>
      </c>
      <c r="C12" s="32">
        <v>640521.60154796869</v>
      </c>
      <c r="D12" s="31">
        <v>655921.90097689989</v>
      </c>
      <c r="E12" s="31">
        <v>742497.61743564717</v>
      </c>
      <c r="F12" s="31">
        <v>796839.94498607225</v>
      </c>
      <c r="G12" s="31">
        <v>981769.33451783704</v>
      </c>
      <c r="H12" s="4"/>
      <c r="I12" s="33">
        <v>105309</v>
      </c>
      <c r="J12" s="4">
        <v>102242</v>
      </c>
      <c r="K12" s="33">
        <v>103493</v>
      </c>
      <c r="L12" s="57">
        <v>119774</v>
      </c>
      <c r="M12" s="4">
        <v>119713</v>
      </c>
      <c r="N12" s="59">
        <v>163114</v>
      </c>
      <c r="O12" s="40">
        <f t="shared" si="3"/>
        <v>23.207846280220945</v>
      </c>
      <c r="P12" s="40"/>
      <c r="Q12" s="51">
        <f t="shared" si="2"/>
        <v>36.254207980753961</v>
      </c>
      <c r="R12" s="50">
        <f t="shared" si="4"/>
        <v>-2.4832843664881699</v>
      </c>
      <c r="S12" s="40"/>
      <c r="T12" s="50">
        <f t="shared" si="5"/>
        <v>0.16641796085801186</v>
      </c>
      <c r="U12" s="62" t="s">
        <v>41</v>
      </c>
      <c r="W12" s="7"/>
    </row>
    <row r="13" spans="1:23" s="5" customFormat="1" ht="19.5" customHeight="1">
      <c r="A13" s="30" t="s">
        <v>8</v>
      </c>
      <c r="B13" s="31">
        <v>577519.5276717894</v>
      </c>
      <c r="C13" s="32">
        <v>575317.18052742502</v>
      </c>
      <c r="D13" s="31">
        <v>573465.31358633551</v>
      </c>
      <c r="E13" s="31">
        <v>601496.36821079231</v>
      </c>
      <c r="F13" s="31">
        <v>641543.88590708072</v>
      </c>
      <c r="G13" s="31">
        <v>717991.87940748374</v>
      </c>
      <c r="H13" s="4"/>
      <c r="I13" s="33">
        <v>91296</v>
      </c>
      <c r="J13" s="4">
        <v>95389</v>
      </c>
      <c r="K13" s="33">
        <v>93228</v>
      </c>
      <c r="L13" s="57">
        <v>93491</v>
      </c>
      <c r="M13" s="4">
        <v>92913</v>
      </c>
      <c r="N13" s="59">
        <v>103022</v>
      </c>
      <c r="O13" s="40">
        <f t="shared" si="3"/>
        <v>11.91625314803102</v>
      </c>
      <c r="P13" s="40"/>
      <c r="Q13" s="51">
        <f t="shared" si="2"/>
        <v>10.880070603683013</v>
      </c>
      <c r="R13" s="50">
        <f t="shared" si="4"/>
        <v>-26.867558991328522</v>
      </c>
      <c r="S13" s="40"/>
      <c r="T13" s="50">
        <f t="shared" si="5"/>
        <v>-36.840491925892316</v>
      </c>
      <c r="U13" s="62" t="s">
        <v>42</v>
      </c>
      <c r="W13" s="7"/>
    </row>
    <row r="14" spans="1:23" s="5" customFormat="1" ht="19.5" customHeight="1">
      <c r="A14" s="30" t="s">
        <v>9</v>
      </c>
      <c r="B14" s="31">
        <v>472676.95853012655</v>
      </c>
      <c r="C14" s="32">
        <v>447882.4886566248</v>
      </c>
      <c r="D14" s="31">
        <v>443937.13137700246</v>
      </c>
      <c r="E14" s="31">
        <v>480889.64024626091</v>
      </c>
      <c r="F14" s="31">
        <v>544549.70829420025</v>
      </c>
      <c r="G14" s="31">
        <v>714606.98023648141</v>
      </c>
      <c r="H14" s="4"/>
      <c r="I14" s="33">
        <v>83347</v>
      </c>
      <c r="J14" s="4">
        <v>81506</v>
      </c>
      <c r="K14" s="33">
        <v>79034</v>
      </c>
      <c r="L14" s="57">
        <v>85222</v>
      </c>
      <c r="M14" s="4">
        <v>93786</v>
      </c>
      <c r="N14" s="59">
        <v>113475</v>
      </c>
      <c r="O14" s="40">
        <f t="shared" si="3"/>
        <v>31.228971267836101</v>
      </c>
      <c r="P14" s="40"/>
      <c r="Q14" s="51">
        <f t="shared" si="2"/>
        <v>20.993538481223204</v>
      </c>
      <c r="R14" s="50">
        <f t="shared" si="4"/>
        <v>-0.47143975692255369</v>
      </c>
      <c r="S14" s="40"/>
      <c r="T14" s="50">
        <f t="shared" si="5"/>
        <v>10.146376502106346</v>
      </c>
      <c r="U14" s="62" t="s">
        <v>43</v>
      </c>
      <c r="W14" s="7"/>
    </row>
    <row r="15" spans="1:23" s="5" customFormat="1" ht="19.5" customHeight="1">
      <c r="A15" s="30" t="s">
        <v>10</v>
      </c>
      <c r="B15" s="31">
        <v>576664.64986032562</v>
      </c>
      <c r="C15" s="32">
        <v>570407.39669035666</v>
      </c>
      <c r="D15" s="31">
        <v>629327.19249594188</v>
      </c>
      <c r="E15" s="31">
        <v>688020.73461813317</v>
      </c>
      <c r="F15" s="31">
        <v>743513.8192884227</v>
      </c>
      <c r="G15" s="31">
        <v>776707.97190193064</v>
      </c>
      <c r="H15" s="4"/>
      <c r="I15" s="33">
        <v>100191</v>
      </c>
      <c r="J15" s="4">
        <v>104517</v>
      </c>
      <c r="K15" s="33">
        <v>110432</v>
      </c>
      <c r="L15" s="57">
        <v>113175</v>
      </c>
      <c r="M15" s="4">
        <v>122332</v>
      </c>
      <c r="N15" s="59">
        <v>132144</v>
      </c>
      <c r="O15" s="40">
        <f t="shared" si="3"/>
        <v>4.4644970614367674</v>
      </c>
      <c r="P15" s="40"/>
      <c r="Q15" s="51">
        <f t="shared" si="2"/>
        <v>8.0207958669849191</v>
      </c>
      <c r="R15" s="50">
        <f t="shared" si="4"/>
        <v>8.6902302080646301</v>
      </c>
      <c r="S15" s="40"/>
      <c r="T15" s="50">
        <f t="shared" si="5"/>
        <v>16.452081956378063</v>
      </c>
      <c r="U15" s="62" t="s">
        <v>44</v>
      </c>
      <c r="W15" s="7"/>
    </row>
    <row r="16" spans="1:23" s="5" customFormat="1" ht="19.5" customHeight="1">
      <c r="A16" s="30" t="s">
        <v>11</v>
      </c>
      <c r="B16" s="31">
        <v>644401.86744888476</v>
      </c>
      <c r="C16" s="32">
        <v>634864.87032498559</v>
      </c>
      <c r="D16" s="31">
        <v>679120.24186927639</v>
      </c>
      <c r="E16" s="31">
        <v>746618.12340413022</v>
      </c>
      <c r="F16" s="31">
        <v>822923.1134527917</v>
      </c>
      <c r="G16" s="31">
        <v>910642.62291399995</v>
      </c>
      <c r="H16" s="4"/>
      <c r="I16" s="33">
        <v>104186</v>
      </c>
      <c r="J16" s="4">
        <v>110144</v>
      </c>
      <c r="K16" s="33">
        <v>112282</v>
      </c>
      <c r="L16" s="57">
        <v>121310</v>
      </c>
      <c r="M16" s="4">
        <v>123992</v>
      </c>
      <c r="N16" s="59">
        <v>139338</v>
      </c>
      <c r="O16" s="40">
        <f t="shared" si="3"/>
        <v>10.659502452563018</v>
      </c>
      <c r="P16" s="40"/>
      <c r="Q16" s="51">
        <f t="shared" si="2"/>
        <v>12.376604942254342</v>
      </c>
      <c r="R16" s="50">
        <f>((G15/G16)-1)*100</f>
        <v>-14.707707243428459</v>
      </c>
      <c r="S16" s="40"/>
      <c r="T16" s="50">
        <f t="shared" si="5"/>
        <v>5.4440610243370768</v>
      </c>
      <c r="U16" s="62" t="s">
        <v>45</v>
      </c>
      <c r="W16" s="7"/>
    </row>
    <row r="17" spans="1:23" s="5" customFormat="1" ht="19.5" customHeight="1">
      <c r="A17" s="30" t="s">
        <v>12</v>
      </c>
      <c r="B17" s="31">
        <v>550854.33086917293</v>
      </c>
      <c r="C17" s="32">
        <v>545085.53667477472</v>
      </c>
      <c r="D17" s="31">
        <v>589810.66820347263</v>
      </c>
      <c r="E17" s="31">
        <v>604175.35293706728</v>
      </c>
      <c r="F17" s="31">
        <v>648410.82226000517</v>
      </c>
      <c r="G17" s="31">
        <v>708842.01912898617</v>
      </c>
      <c r="H17" s="4"/>
      <c r="I17" s="33">
        <v>95114</v>
      </c>
      <c r="J17" s="4">
        <v>95511</v>
      </c>
      <c r="K17" s="33">
        <v>101909</v>
      </c>
      <c r="L17" s="57">
        <v>105984</v>
      </c>
      <c r="M17" s="4">
        <v>107620</v>
      </c>
      <c r="N17" s="59">
        <v>117619</v>
      </c>
      <c r="O17" s="40">
        <f t="shared" si="3"/>
        <v>9.319893313678973</v>
      </c>
      <c r="P17" s="40"/>
      <c r="Q17" s="51">
        <f t="shared" si="2"/>
        <v>9.2910239732391773</v>
      </c>
      <c r="R17" s="50">
        <f>((G17/G16)-1)*100</f>
        <v>-22.160241428109785</v>
      </c>
      <c r="S17" s="40"/>
      <c r="T17" s="50">
        <f t="shared" si="5"/>
        <v>-15.587276981153742</v>
      </c>
      <c r="U17" s="62" t="s">
        <v>46</v>
      </c>
      <c r="W17" s="7"/>
    </row>
    <row r="18" spans="1:23" s="5" customFormat="1" ht="19.5" customHeight="1">
      <c r="A18" s="30" t="s">
        <v>13</v>
      </c>
      <c r="B18" s="31">
        <v>684193.71933576756</v>
      </c>
      <c r="C18" s="32">
        <v>638669.93168310425</v>
      </c>
      <c r="D18" s="31">
        <v>706407.53106039867</v>
      </c>
      <c r="E18" s="31">
        <v>793474.41907263896</v>
      </c>
      <c r="F18" s="31">
        <v>820686.79357652483</v>
      </c>
      <c r="G18" s="31">
        <v>916411.3348664348</v>
      </c>
      <c r="H18" s="4"/>
      <c r="I18" s="33">
        <v>110331</v>
      </c>
      <c r="J18" s="4">
        <v>105498</v>
      </c>
      <c r="K18" s="33">
        <v>117489</v>
      </c>
      <c r="L18" s="57">
        <v>127986</v>
      </c>
      <c r="M18" s="4">
        <v>127393</v>
      </c>
      <c r="N18" s="59">
        <v>141928</v>
      </c>
      <c r="O18" s="40">
        <f t="shared" si="3"/>
        <v>11.663955365084622</v>
      </c>
      <c r="P18" s="40"/>
      <c r="Q18" s="51">
        <f t="shared" si="2"/>
        <v>11.409575094392931</v>
      </c>
      <c r="R18" s="50">
        <f>((G18/G17)-1)*100</f>
        <v>29.28287405880743</v>
      </c>
      <c r="S18" s="40"/>
      <c r="T18" s="50">
        <f t="shared" si="5"/>
        <v>20.667579217643418</v>
      </c>
      <c r="U18" s="62" t="s">
        <v>47</v>
      </c>
      <c r="W18" s="7"/>
    </row>
    <row r="19" spans="1:23" s="5" customFormat="1" ht="19.5" customHeight="1">
      <c r="A19" s="30" t="s">
        <v>14</v>
      </c>
      <c r="B19" s="31">
        <v>572968.68602542835</v>
      </c>
      <c r="C19" s="32">
        <v>566992.26515688817</v>
      </c>
      <c r="D19" s="31">
        <v>651958.88226781064</v>
      </c>
      <c r="E19" s="31">
        <v>750052.33152232482</v>
      </c>
      <c r="F19" s="31">
        <v>809163.62732057029</v>
      </c>
      <c r="G19" s="31">
        <v>887046.05096720241</v>
      </c>
      <c r="H19" s="4"/>
      <c r="I19" s="33">
        <v>89778</v>
      </c>
      <c r="J19" s="4">
        <v>90218</v>
      </c>
      <c r="K19" s="33">
        <v>104572</v>
      </c>
      <c r="L19" s="57">
        <v>120506</v>
      </c>
      <c r="M19" s="4">
        <v>125604</v>
      </c>
      <c r="N19" s="59">
        <v>137921</v>
      </c>
      <c r="O19" s="40">
        <f t="shared" si="3"/>
        <v>9.6250524636813708</v>
      </c>
      <c r="P19" s="40"/>
      <c r="Q19" s="51">
        <f t="shared" si="2"/>
        <v>9.8062163625362242</v>
      </c>
      <c r="R19" s="50">
        <f>((G19/G18)-1)*100</f>
        <v>-3.2043780758683305</v>
      </c>
      <c r="S19" s="40"/>
      <c r="T19" s="50">
        <f t="shared" si="5"/>
        <v>-2.8232624992954203</v>
      </c>
      <c r="U19" s="62" t="s">
        <v>48</v>
      </c>
      <c r="W19" s="7"/>
    </row>
    <row r="20" spans="1:23" s="5" customFormat="1" ht="19.5" customHeight="1">
      <c r="A20" s="34" t="s">
        <v>15</v>
      </c>
      <c r="B20" s="35">
        <v>642703.13920639607</v>
      </c>
      <c r="C20" s="36">
        <v>632875.47567166749</v>
      </c>
      <c r="D20" s="35">
        <v>685954.43348517246</v>
      </c>
      <c r="E20" s="35">
        <v>863087.92721037427</v>
      </c>
      <c r="F20" s="35">
        <v>909650.77808140765</v>
      </c>
      <c r="G20" s="35">
        <v>1049504.1896929736</v>
      </c>
      <c r="H20" s="3"/>
      <c r="I20" s="37">
        <v>103744</v>
      </c>
      <c r="J20" s="3">
        <v>119255</v>
      </c>
      <c r="K20" s="37">
        <v>119530</v>
      </c>
      <c r="L20" s="58">
        <v>143041</v>
      </c>
      <c r="M20" s="3">
        <v>150818</v>
      </c>
      <c r="N20" s="60">
        <v>171348</v>
      </c>
      <c r="O20" s="53">
        <f t="shared" si="3"/>
        <v>15.374406858260281</v>
      </c>
      <c r="P20" s="41"/>
      <c r="Q20" s="52">
        <f t="shared" si="2"/>
        <v>13.612433529154355</v>
      </c>
      <c r="R20" s="53">
        <f>((G20/G19)-1)*100</f>
        <v>18.314510114625151</v>
      </c>
      <c r="S20" s="41"/>
      <c r="T20" s="53">
        <f t="shared" si="5"/>
        <v>24.236338193603579</v>
      </c>
      <c r="U20" s="63" t="s">
        <v>49</v>
      </c>
      <c r="W20" s="7"/>
    </row>
    <row r="21" spans="1:23" s="5" customFormat="1" ht="14.25">
      <c r="A21" s="1" t="s">
        <v>51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64" t="s">
        <v>50</v>
      </c>
    </row>
    <row r="22" spans="1:23" s="5" customFormat="1" ht="15.75" customHeight="1">
      <c r="A22" s="1" t="s">
        <v>1</v>
      </c>
      <c r="U22" s="65" t="s">
        <v>16</v>
      </c>
    </row>
    <row r="23" spans="1:23" s="5" customFormat="1" ht="14.25"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66"/>
    </row>
    <row r="24" spans="1:23" s="5" customFormat="1" ht="14.25">
      <c r="A24" s="1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67"/>
    </row>
    <row r="25" spans="1:23" s="5" customFormat="1" ht="14.25" customHeight="1">
      <c r="A25" s="39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66"/>
    </row>
    <row r="27" spans="1:23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7"/>
    </row>
    <row r="42" spans="38:49"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6" spans="38:49">
      <c r="AM46" s="8" t="s">
        <v>17</v>
      </c>
    </row>
    <row r="47" spans="38:49">
      <c r="AM47" s="8" t="s">
        <v>18</v>
      </c>
    </row>
    <row r="48" spans="38:49">
      <c r="AM48" s="8" t="s">
        <v>19</v>
      </c>
    </row>
    <row r="49" spans="39:39">
      <c r="AM49" s="8" t="s">
        <v>20</v>
      </c>
    </row>
    <row r="50" spans="39:39">
      <c r="AM50" s="8" t="s">
        <v>8</v>
      </c>
    </row>
    <row r="51" spans="39:39">
      <c r="AM51" s="8" t="s">
        <v>21</v>
      </c>
    </row>
    <row r="52" spans="39:39">
      <c r="AM52" s="8" t="s">
        <v>22</v>
      </c>
    </row>
    <row r="53" spans="39:39">
      <c r="AM53" s="8" t="s">
        <v>23</v>
      </c>
    </row>
    <row r="54" spans="39:39">
      <c r="AM54" s="8" t="s">
        <v>24</v>
      </c>
    </row>
    <row r="55" spans="39:39">
      <c r="AM55" s="8" t="s">
        <v>25</v>
      </c>
    </row>
    <row r="56" spans="39:39">
      <c r="AM56" s="8" t="s">
        <v>26</v>
      </c>
    </row>
    <row r="57" spans="39:39">
      <c r="AM57" s="8" t="s">
        <v>27</v>
      </c>
    </row>
  </sheetData>
  <mergeCells count="16">
    <mergeCell ref="A1:U1"/>
    <mergeCell ref="A2:U2"/>
    <mergeCell ref="A3:A7"/>
    <mergeCell ref="U3:U7"/>
    <mergeCell ref="O3:Q3"/>
    <mergeCell ref="R3:T3"/>
    <mergeCell ref="R4:T4"/>
    <mergeCell ref="O7:Q7"/>
    <mergeCell ref="R7:T7"/>
    <mergeCell ref="L3:N3"/>
    <mergeCell ref="L5:N5"/>
    <mergeCell ref="E5:G5"/>
    <mergeCell ref="E3:G3"/>
    <mergeCell ref="L6:N6"/>
    <mergeCell ref="L4:N4"/>
    <mergeCell ref="O4:Q4"/>
  </mergeCells>
  <pageMargins left="0.7" right="0.7" top="0.75" bottom="0.75" header="0.3" footer="0.3"/>
  <pageSetup paperSize="9" scale="65" orientation="landscape" horizontalDpi="4294967295" verticalDpi="4294967295" r:id="rId1"/>
  <rowBreaks count="1" manualBreakCount="1">
    <brk id="44" max="18" man="1"/>
  </rowBreaks>
  <colBreaks count="1" manualBreakCount="1">
    <brk id="21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10.9</vt:lpstr>
      <vt:lpstr>'10.9'!Print_Area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2020-09-07T03:00:03Z</cp:lastPrinted>
  <dcterms:created xsi:type="dcterms:W3CDTF">2019-02-27T06:18:18Z</dcterms:created>
  <dcterms:modified xsi:type="dcterms:W3CDTF">2020-09-07T03:00:12Z</dcterms:modified>
</cp:coreProperties>
</file>