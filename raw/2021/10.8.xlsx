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8" sheetId="8" r:id="rId1"/>
  </sheets>
  <externalReferences>
    <externalReference r:id="rId2"/>
  </externalReferences>
  <definedNames>
    <definedName name="_xlnm.Print_Area" localSheetId="0">'10.8'!$A$1:$P$90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8" l="1"/>
  <c r="AM48" i="8" s="1"/>
  <c r="B27" i="8"/>
  <c r="AL48" i="8" s="1"/>
  <c r="N26" i="8"/>
  <c r="M26" i="8"/>
  <c r="L26" i="8"/>
  <c r="K26" i="8"/>
  <c r="J26" i="8"/>
  <c r="I26" i="8"/>
  <c r="H26" i="8"/>
  <c r="G26" i="8"/>
  <c r="F26" i="8"/>
  <c r="E26" i="8"/>
  <c r="D26" i="8"/>
  <c r="C26" i="8"/>
  <c r="B26" i="8" l="1"/>
  <c r="B24" i="8" l="1"/>
  <c r="AM47" i="8" s="1"/>
  <c r="B23" i="8"/>
  <c r="AL47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 l="1"/>
  <c r="B20" i="8" l="1"/>
  <c r="AM46" i="8" s="1"/>
  <c r="B19" i="8"/>
  <c r="AL46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 l="1"/>
  <c r="B18" i="8"/>
  <c r="B10" i="8"/>
  <c r="B14" i="8"/>
</calcChain>
</file>

<file path=xl/sharedStrings.xml><?xml version="1.0" encoding="utf-8"?>
<sst xmlns="http://schemas.openxmlformats.org/spreadsheetml/2006/main" count="69" uniqueCount="37">
  <si>
    <t>Total</t>
  </si>
  <si>
    <t>ޖުމްލަ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</si>
  <si>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</si>
  <si>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</si>
  <si>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</si>
  <si>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</si>
  <si>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</si>
  <si>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</si>
  <si>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</si>
  <si>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</si>
  <si>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</si>
  <si>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</si>
  <si>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</si>
  <si>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</si>
  <si>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</si>
  <si>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</si>
  <si>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</si>
  <si>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</si>
  <si>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</si>
  <si>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</si>
  <si>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</si>
  <si>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</si>
  <si>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</si>
  <si>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</si>
  <si>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</si>
  <si>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</si>
  <si>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</si>
  <si>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</si>
  <si>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</si>
  <si>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</si>
  <si>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</si>
  <si>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</si>
  <si>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</si>
  <si>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TABLE 10.8: MONTHLY ARRIVAL OF TOURISTS  BY SEX, 2015 - 2020</t>
  </si>
  <si>
    <t>ތާވަލު 10.8: ޖިންސުގެ ގޮތުން އެކިމަސްމަހު ރާއްޖެއައި ފަތުރުވެރިންގެ އަދަދު،  2015 - 2020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</si>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</sst>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6" formatCode="_(* #,##0_);_(* \(#,##0\);_(* &quot;-&quot;??_);_(@_)"/>
    <numFmt numFmtId="169" formatCode="General_)"/>
    <numFmt numFmtId="171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8" fillId="0" borderId="0"/>
    <xf numFmtId="0" fontId="3" fillId="0" borderId="0"/>
    <xf numFmtId="0" fontId="20" fillId="0" borderId="0"/>
    <xf numFmtId="0" fontId="3" fillId="0" borderId="0"/>
    <xf numFmtId="43" fontId="3" fillId="0" borderId="0" applyFont="0" applyFill="0" applyBorder="0" applyAlignment="0" applyProtection="0"/>
    <xf numFmtId="171" fontId="21" fillId="0" borderId="0"/>
    <xf numFmtId="1" fontId="22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Border="1"/>
    <xf numFmtId="0" fontId="10" fillId="2" borderId="0" xfId="0" applyFont="1" applyFill="1" applyAlignment="1" applyProtection="1">
      <alignment horizontal="left" vertical="center"/>
    </xf>
    <xf numFmtId="0" fontId="8" fillId="2" borderId="0" xfId="0" applyFont="1" applyFill="1"/>
    <xf numFmtId="0" fontId="2" fillId="2" borderId="2" xfId="0" applyFont="1" applyFill="1" applyBorder="1"/>
    <xf numFmtId="0" fontId="4" fillId="2" borderId="4" xfId="2" applyFont="1" applyFill="1" applyBorder="1" applyAlignment="1" applyProtection="1">
      <alignment horizontal="right" vertical="center"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3" fontId="15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5" fillId="2" borderId="1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vertical="center"/>
    </xf>
    <xf numFmtId="0" fontId="6" fillId="2" borderId="6" xfId="2" applyFont="1" applyFill="1" applyBorder="1" applyAlignment="1" applyProtection="1">
      <alignment horizontal="left" vertical="center"/>
    </xf>
    <xf numFmtId="0" fontId="12" fillId="2" borderId="0" xfId="0" applyFont="1" applyFill="1" applyAlignment="1"/>
    <xf numFmtId="0" fontId="17" fillId="2" borderId="0" xfId="0" applyFont="1" applyFill="1" applyBorder="1" applyAlignment="1">
      <alignment horizontal="right" vertical="center"/>
    </xf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6" fillId="2" borderId="0" xfId="2" applyFont="1" applyFill="1" applyBorder="1" applyAlignment="1" applyProtection="1">
      <alignment horizontal="left" vertical="center"/>
    </xf>
    <xf numFmtId="0" fontId="7" fillId="2" borderId="0" xfId="0" applyFont="1" applyFill="1" applyAlignment="1" applyProtection="1">
      <alignment horizontal="left" vertical="center"/>
    </xf>
    <xf numFmtId="0" fontId="7" fillId="2" borderId="0" xfId="0" applyFont="1" applyFill="1" applyAlignment="1" applyProtection="1">
      <alignment horizontal="left" vertical="center" indent="3"/>
    </xf>
    <xf numFmtId="0" fontId="11" fillId="2" borderId="0" xfId="2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 vertical="center"/>
    </xf>
    <xf numFmtId="169" fontId="19" fillId="2" borderId="7" xfId="4" applyNumberFormat="1" applyFont="1" applyFill="1" applyBorder="1" applyAlignment="1">
      <alignment horizontal="center" vertical="center"/>
    </xf>
  </cellXfs>
  <cellStyles count="23">
    <cellStyle name="1" xfId="7"/>
    <cellStyle name="Comma" xfId="1" builtinId="3"/>
    <cellStyle name="Comma 2" xfId="21"/>
    <cellStyle name="Comma 3" xfId="8"/>
    <cellStyle name="Normal" xfId="0" builtinId="0"/>
    <cellStyle name="Normal - Style1" xfId="9"/>
    <cellStyle name="Normal 10" xfId="15"/>
    <cellStyle name="Normal 2" xfId="2"/>
    <cellStyle name="Normal 2 2" xfId="10"/>
    <cellStyle name="Normal 2 2 2" xfId="22"/>
    <cellStyle name="Normal 3" xfId="11"/>
    <cellStyle name="Normal 4" xfId="16"/>
    <cellStyle name="Normal 4 2" xfId="12"/>
    <cellStyle name="Normal 4 2 2" xfId="17"/>
    <cellStyle name="Normal 5" xfId="13"/>
    <cellStyle name="Normal 5 2" xfId="5"/>
    <cellStyle name="Normal 6" xfId="18"/>
    <cellStyle name="Normal 7" xfId="19"/>
    <cellStyle name="Normal 8" xfId="20"/>
    <cellStyle name="Normal 9" xfId="6"/>
    <cellStyle name="Normal_VIII-8 (Tourism) 2" xfId="4"/>
    <cellStyle name="Percent 2" xfId="14"/>
    <cellStyle name="Percent 2 2" xfId="3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Figure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10.12: </a:t>
            </a: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Monthly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arrival of tourists by sex, 2020</a:t>
            </a:r>
            <a:endParaRPr lang="en-US" sz="1200">
              <a:solidFill>
                <a:schemeClr val="tx1"/>
              </a:solidFill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9757646365632867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0717410323705E-2"/>
          <c:y val="0.16069105691056912"/>
          <c:w val="0.9116420603674541"/>
          <c:h val="0.7251894885090582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'10.8'!$A$23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'10.8'!$AF$29:$AQ$29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'10.8'!$C$27:$N$27</c:f>
              <c:numCache>
                <c:formatCode>#,##0</c:formatCode>
                <c:ptCount val="12"/>
                <c:pt idx="0">
                  <c:v>82485</c:v>
                </c:pt>
                <c:pt idx="1">
                  <c:v>71772</c:v>
                </c:pt>
                <c:pt idx="2">
                  <c:v>28412</c:v>
                </c:pt>
                <c:pt idx="3">
                  <c:v>12</c:v>
                </c:pt>
                <c:pt idx="4">
                  <c:v>27</c:v>
                </c:pt>
                <c:pt idx="5">
                  <c:v>1</c:v>
                </c:pt>
                <c:pt idx="6">
                  <c:v>862</c:v>
                </c:pt>
                <c:pt idx="7">
                  <c:v>3794</c:v>
                </c:pt>
                <c:pt idx="8">
                  <c:v>4869</c:v>
                </c:pt>
                <c:pt idx="9">
                  <c:v>10646</c:v>
                </c:pt>
                <c:pt idx="10">
                  <c:v>17220</c:v>
                </c:pt>
                <c:pt idx="11">
                  <c:v>46711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0-44DB-8EE1-A9E6C4BF8A09}"/>
            </c:ext>
          </c:extLst>
        </c:ser>
        <c:ser>
          <c:idx val="0"/>
          <c:order val="1"/>
          <c:tx>
            <c:strRef>
              <c:f>'10.8'!$A$24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'10.8'!$AF$29:$AQ$29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'10.8'!$C$28:$N$28</c:f>
              <c:numCache>
                <c:formatCode>#,##0</c:formatCode>
                <c:ptCount val="12"/>
                <c:pt idx="0">
                  <c:v>90862</c:v>
                </c:pt>
                <c:pt idx="1">
                  <c:v>78013</c:v>
                </c:pt>
                <c:pt idx="2">
                  <c:v>31218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890</c:v>
                </c:pt>
                <c:pt idx="7">
                  <c:v>3842</c:v>
                </c:pt>
                <c:pt idx="8">
                  <c:v>4736</c:v>
                </c:pt>
                <c:pt idx="9">
                  <c:v>10869</c:v>
                </c:pt>
                <c:pt idx="10">
                  <c:v>18537</c:v>
                </c:pt>
                <c:pt idx="11">
                  <c:v>49701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0-44DB-8EE1-A9E6C4BF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"/>
        <c:axId val="157931344"/>
        <c:axId val="414979120"/>
      </c:barChart>
      <c:catAx>
        <c:axId val="1579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9120"/>
        <c:crosses val="autoZero"/>
        <c:auto val="1"/>
        <c:lblAlgn val="ctr"/>
        <c:lblOffset val="100"/>
        <c:noMultiLvlLbl val="0"/>
      </c:catAx>
      <c:valAx>
        <c:axId val="4149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134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6626052602799652"/>
          <c:y val="0.210597398151318"/>
          <c:w val="0.20981516612469656"/>
          <c:h val="6.1141732283464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6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9-434D-8708-6E02DCFD0988}"/>
              </c:ext>
            </c:extLst>
          </c:dPt>
          <c:dLbls>
            <c:dLbl>
              <c:idx val="0"/>
              <c:layout>
                <c:manualLayout>
                  <c:x val="-0.10167714800923754"/>
                  <c:y val="-1.77818984425271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5B9-434D-8708-6E02DCFD0988}"/>
                </c:ext>
              </c:extLst>
            </c:dLbl>
            <c:dLbl>
              <c:idx val="1"/>
              <c:layout>
                <c:manualLayout>
                  <c:x val="0.13251717916408037"/>
                  <c:y val="-3.54425245028787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001855180319305E-2"/>
                      <c:h val="0.12062851179914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5B9-434D-8708-6E02DCFD0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'10.8'!$A$27:$A$28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'10.8'!$B$27:$B$28</c:f>
              <c:numCache>
                <c:formatCode>#,##0</c:formatCode>
                <c:ptCount val="2"/>
                <c:pt idx="0">
                  <c:v>266811</c:v>
                </c:pt>
                <c:pt idx="1">
                  <c:v>288683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10.14: Tourist arrival</a:t>
            </a:r>
            <a:r>
              <a:rPr lang="en-US" sz="1200" b="1" baseline="0">
                <a:solidFill>
                  <a:schemeClr val="tx1"/>
                </a:solidFill>
                <a:latin typeface="Consolas" panose="020B0609020204030204" pitchFamily="49" charset="0"/>
              </a:rPr>
              <a:t> by sex, 2015 - 2020</a:t>
            </a:r>
            <a:endParaRPr lang="en-US" sz="1200" b="1">
              <a:solidFill>
                <a:schemeClr val="tx1"/>
              </a:solidFill>
              <a:latin typeface="Consolas" panose="020B0609020204030204" pitchFamily="49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2906618325774E-2"/>
          <c:y val="0.13906613363832585"/>
          <c:w val="0.90612607509055587"/>
          <c:h val="0.7677166923467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'10.8'!$AL$42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286539611128241E-2"/>
                  <c:y val="1.2647898350183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18E-40D2-AD96-9DF93495FEE4}"/>
                </c:ext>
              </c:extLst>
            </c:dLbl>
            <c:dLbl>
              <c:idx val="1"/>
              <c:layout>
                <c:manualLayout>
                  <c:x val="-1.8567471755043842E-2"/>
                  <c:y val="1.3117101496846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8E-40D2-AD96-9DF93495FEE4}"/>
                </c:ext>
              </c:extLst>
            </c:dLbl>
            <c:dLbl>
              <c:idx val="2"/>
              <c:layout>
                <c:manualLayout>
                  <c:x val="-1.8550358021949685E-2"/>
                  <c:y val="1.2647898350183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18E-40D2-AD96-9DF93495FEE4}"/>
                </c:ext>
              </c:extLst>
            </c:dLbl>
            <c:dLbl>
              <c:idx val="3"/>
              <c:layout>
                <c:manualLayout>
                  <c:x val="-1.0160398287612874E-2"/>
                  <c:y val="3.16197345983882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8E-40D2-AD96-9DF93495FEE4}"/>
                </c:ext>
              </c:extLst>
            </c:dLbl>
            <c:dLbl>
              <c:idx val="4"/>
              <c:layout>
                <c:manualLayout>
                  <c:x val="-1.1779217603326435E-2"/>
                  <c:y val="1.4543133700621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BF-4E9E-80C7-64B599F98239}"/>
                </c:ext>
              </c:extLst>
            </c:dLbl>
            <c:dLbl>
              <c:idx val="5"/>
              <c:layout>
                <c:manualLayout>
                  <c:x val="-1.3452337085379044E-2"/>
                  <c:y val="1.80243700837466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BF-4E9E-80C7-64B599F98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'10.8'!$AK$43:$AK$48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'10.8'!$AL$43:$AL$48</c:f>
              <c:numCache>
                <c:formatCode>_(* #,##0_);_(* \(#,##0\);_(* "-"??_);_(@_)</c:formatCode>
                <c:ptCount val="6"/>
                <c:pt idx="0">
                  <c:v>598458</c:v>
                </c:pt>
                <c:pt idx="1">
                  <c:v>623657</c:v>
                </c:pt>
                <c:pt idx="2">
                  <c:v>667286</c:v>
                </c:pt>
                <c:pt idx="3" formatCode="#,##0">
                  <c:v>710256</c:v>
                </c:pt>
                <c:pt idx="4" formatCode="#,##0">
                  <c:v>816083</c:v>
                </c:pt>
                <c:pt idx="5" formatCode="#,##0">
                  <c:v>266811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3-4931-A496-BB556552B691}"/>
            </c:ext>
          </c:extLst>
        </c:ser>
        <c:ser>
          <c:idx val="1"/>
          <c:order val="1"/>
          <c:tx>
            <c:strRef>
              <c:f>'10.8'!$AM$42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478723119167566E-2"/>
                  <c:y val="2.1787495292957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BF-4E9E-80C7-64B599F98239}"/>
                </c:ext>
              </c:extLst>
            </c:dLbl>
            <c:dLbl>
              <c:idx val="1"/>
              <c:layout>
                <c:manualLayout>
                  <c:x val="1.5163563509063451E-2"/>
                  <c:y val="1.08937476464787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373236721666759E-2"/>
                      <c:h val="5.52132872841372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DBF-4E9E-80C7-64B599F98239}"/>
                </c:ext>
              </c:extLst>
            </c:dLbl>
            <c:dLbl>
              <c:idx val="2"/>
              <c:layout>
                <c:manualLayout>
                  <c:x val="1.5163563509063513E-2"/>
                  <c:y val="1.8156246077464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BF-4E9E-80C7-64B599F98239}"/>
                </c:ext>
              </c:extLst>
            </c:dLbl>
            <c:dLbl>
              <c:idx val="3"/>
              <c:layout>
                <c:manualLayout>
                  <c:x val="1.5163582282890152E-2"/>
                  <c:y val="1.8119648590026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BF-4E9E-80C7-64B599F98239}"/>
                </c:ext>
              </c:extLst>
            </c:dLbl>
            <c:dLbl>
              <c:idx val="4"/>
              <c:layout>
                <c:manualLayout>
                  <c:x val="1.5207488417428536E-2"/>
                  <c:y val="7.29900997837883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BF-4E9E-80C7-64B599F98239}"/>
                </c:ext>
              </c:extLst>
            </c:dLbl>
            <c:dLbl>
              <c:idx val="5"/>
              <c:layout>
                <c:manualLayout>
                  <c:x val="1.6028790613479824E-2"/>
                  <c:y val="1.62416062304801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973116315277948E-2"/>
                      <c:h val="5.83616089464831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DBF-4E9E-80C7-64B599F98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'10.8'!$AK$43:$AK$48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'10.8'!$AM$43:$AM$48</c:f>
              <c:numCache>
                <c:formatCode>_(* #,##0_);_(* \(#,##0\);_(* "-"??_);_(@_)</c:formatCode>
                <c:ptCount val="6"/>
                <c:pt idx="0">
                  <c:v>635790</c:v>
                </c:pt>
                <c:pt idx="1">
                  <c:v>662478</c:v>
                </c:pt>
                <c:pt idx="2">
                  <c:v>722256</c:v>
                </c:pt>
                <c:pt idx="3" formatCode="#,##0">
                  <c:v>774018</c:v>
                </c:pt>
                <c:pt idx="4" formatCode="#,##0">
                  <c:v>886804</c:v>
                </c:pt>
                <c:pt idx="5" formatCode="#,##0">
                  <c:v>288683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3-4931-A496-BB556552B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axId val="414981080"/>
        <c:axId val="414981864"/>
      </c:barChart>
      <c:catAx>
        <c:axId val="41498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81864"/>
        <c:crosses val="autoZero"/>
        <c:auto val="1"/>
        <c:lblAlgn val="ctr"/>
        <c:lblOffset val="100"/>
        <c:noMultiLvlLbl val="0"/>
      </c:catAx>
      <c:valAx>
        <c:axId val="414981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8108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8799606277899438E-2"/>
          <c:y val="0.23735291532708122"/>
          <c:w val="0.15163407738916698"/>
          <c:h val="5.3506600152855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286752</xdr:colOff>
      <xdr:row>32</xdr:row>
      <xdr:rowOff>63667</xdr:rowOff>
    </xdr:from>
    <xdr:to>
      <xdr:col>13</xdr:col>
      <xdr:colOff>286752</xdr:colOff>
      <xdr:row>51</xdr:row>
      <xdr:rowOff>44617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264452</xdr:colOff>
      <xdr:row>53</xdr:row>
      <xdr:rowOff>120293</xdr:rowOff>
    </xdr:from>
    <xdr:to>
      <xdr:col>13</xdr:col>
      <xdr:colOff>264452</xdr:colOff>
      <xdr:row>70</xdr:row>
      <xdr:rowOff>25043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246152</xdr:colOff>
      <xdr:row>71</xdr:row>
      <xdr:rowOff>26830</xdr:rowOff>
    </xdr:from>
    <xdr:to>
      <xdr:col>13</xdr:col>
      <xdr:colOff>278258</xdr:colOff>
      <xdr:row>89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258305</xdr:colOff>
      <xdr:row>72</xdr:row>
      <xdr:rowOff>48432</xdr:rowOff>
    </xdr:from>
    <xdr:to>
      <xdr:col>3</xdr:col>
      <xdr:colOff>32288</xdr:colOff>
      <xdr:row>73</xdr:row>
      <xdr:rowOff>80720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867905" y="11792757"/>
          <a:ext cx="1145583" cy="194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/>
            <a:t>Arrivals</a:t>
          </a:r>
          <a:r>
            <a:rPr lang="en-US" sz="900" b="1" i="0" baseline="0"/>
            <a:t> in Numbers</a:t>
          </a:r>
          <a:endParaRPr lang="en-US" sz="900" b="1" i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48"/>
  <sheetViews>
    <sheetView tabSelected="1" view="pageBreakPreview" topLeftCell="A73" zoomScale="91" zoomScaleNormal="100" zoomScaleSheetLayoutView="91" workbookViewId="0">
      <selection activeCell="R47" sqref="R47"/>
    </sheetView>
  </sheetViews>
  <sheetFormatPr defaultColWidth="9.140625" defaultRowHeight="15"/>
  <cols>
    <col min="1" max="1" width="9.140625" style="4"/>
    <col min="2" max="2" width="11.42578125" style="4" customWidth="1"/>
    <col min="3" max="10" width="9.140625" style="4"/>
    <col min="11" max="11" width="9.7109375" style="4" customWidth="1"/>
    <col min="12" max="14" width="9.140625" style="4"/>
    <col min="15" max="15" width="9.85546875" style="4" customWidth="1"/>
    <col min="16" max="16" width="3.85546875" style="1" customWidth="1"/>
    <col min="17" max="18" width="9.140625" style="1"/>
    <col min="19" max="24" width="11.7109375" style="1" customWidth="1"/>
    <col min="25" max="26" width="12.28515625" style="1" bestFit="1" customWidth="1"/>
    <col min="27" max="37" width="9.140625" style="1"/>
    <col min="38" max="39" width="10.5703125" style="1" customWidth="1"/>
    <col min="40" max="40" width="10.5703125" style="1" bestFit="1" customWidth="1"/>
    <col min="41" max="16384" width="9.140625" style="1"/>
  </cols>
  <sheetData>
    <row r="1" spans="1:15" ht="21">
      <c r="A1" s="36" t="s">
        <v>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>
      <c r="A2" s="37" t="s">
        <v>33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5.7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5" s="8" customFormat="1" ht="29.25">
      <c r="A4" s="5"/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27</v>
      </c>
      <c r="N4" s="6" t="s">
        <v>28</v>
      </c>
      <c r="O4" s="7"/>
    </row>
    <row r="5" spans="1:15">
      <c r="A5" s="9">
        <v>2015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>
        <v>2015</v>
      </c>
    </row>
    <row r="6" spans="1:15" ht="18.75">
      <c r="A6" s="9" t="s">
        <v>0</v>
      </c>
      <c r="B6" s="11">
        <f>SUM(B7:B8)</f>
        <v>1234248</v>
      </c>
      <c r="C6" s="11">
        <f>SUM(C7:C8)</f>
        <v>97073</v>
      </c>
      <c r="D6" s="11">
        <f t="shared" ref="D6:N6" si="0">SUM(D7:D8)</f>
        <v>120468</v>
      </c>
      <c r="E6" s="11">
        <f t="shared" si="0"/>
        <v>112427</v>
      </c>
      <c r="F6" s="11">
        <f t="shared" si="0"/>
        <v>102242</v>
      </c>
      <c r="G6" s="11">
        <f>SUM(G7:G8)</f>
        <v>95389</v>
      </c>
      <c r="H6" s="11">
        <f t="shared" si="0"/>
        <v>81506</v>
      </c>
      <c r="I6" s="11">
        <f t="shared" si="0"/>
        <v>104517</v>
      </c>
      <c r="J6" s="11">
        <f t="shared" si="0"/>
        <v>110144</v>
      </c>
      <c r="K6" s="11">
        <f t="shared" si="0"/>
        <v>95511</v>
      </c>
      <c r="L6" s="11">
        <f t="shared" si="0"/>
        <v>105498</v>
      </c>
      <c r="M6" s="11">
        <f t="shared" si="0"/>
        <v>90218</v>
      </c>
      <c r="N6" s="11">
        <f t="shared" si="0"/>
        <v>119255</v>
      </c>
      <c r="O6" s="12" t="s">
        <v>1</v>
      </c>
    </row>
    <row r="7" spans="1:15" ht="18.75">
      <c r="A7" s="13" t="s">
        <v>29</v>
      </c>
      <c r="B7" s="11">
        <f>SUM(C7:N7)</f>
        <v>598458</v>
      </c>
      <c r="C7" s="14">
        <v>47173</v>
      </c>
      <c r="D7" s="14">
        <v>57866</v>
      </c>
      <c r="E7" s="14">
        <v>54087</v>
      </c>
      <c r="F7" s="14">
        <v>49321</v>
      </c>
      <c r="G7" s="15">
        <v>46353</v>
      </c>
      <c r="H7" s="14">
        <v>39330</v>
      </c>
      <c r="I7" s="14">
        <v>49602</v>
      </c>
      <c r="J7" s="14">
        <v>53154</v>
      </c>
      <c r="K7" s="14">
        <v>46533</v>
      </c>
      <c r="L7" s="14">
        <v>52055</v>
      </c>
      <c r="M7" s="14">
        <v>44453</v>
      </c>
      <c r="N7" s="14">
        <v>58531</v>
      </c>
      <c r="O7" s="16" t="s">
        <v>30</v>
      </c>
    </row>
    <row r="8" spans="1:15" ht="18.75">
      <c r="A8" s="17" t="s">
        <v>31</v>
      </c>
      <c r="B8" s="18">
        <f>SUM(C8:N8)</f>
        <v>635790</v>
      </c>
      <c r="C8" s="19">
        <v>49900</v>
      </c>
      <c r="D8" s="19">
        <v>62602</v>
      </c>
      <c r="E8" s="19">
        <v>58340</v>
      </c>
      <c r="F8" s="19">
        <v>52921</v>
      </c>
      <c r="G8" s="20">
        <v>49036</v>
      </c>
      <c r="H8" s="19">
        <v>42176</v>
      </c>
      <c r="I8" s="19">
        <v>54915</v>
      </c>
      <c r="J8" s="19">
        <v>56990</v>
      </c>
      <c r="K8" s="19">
        <v>48978</v>
      </c>
      <c r="L8" s="19">
        <v>53443</v>
      </c>
      <c r="M8" s="19">
        <v>45765</v>
      </c>
      <c r="N8" s="19">
        <v>60724</v>
      </c>
      <c r="O8" s="21" t="s">
        <v>32</v>
      </c>
    </row>
    <row r="9" spans="1:15">
      <c r="A9" s="9">
        <v>2016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v>2016</v>
      </c>
    </row>
    <row r="10" spans="1:15" ht="18.75">
      <c r="A10" s="9" t="s">
        <v>0</v>
      </c>
      <c r="B10" s="11">
        <f>SUM(B11:B12)</f>
        <v>1286135</v>
      </c>
      <c r="C10" s="11">
        <f>SUM(C11:C12)</f>
        <v>108396</v>
      </c>
      <c r="D10" s="11">
        <f t="shared" ref="D10:N10" si="1">SUM(D11:D12)</f>
        <v>120639</v>
      </c>
      <c r="E10" s="11">
        <f t="shared" si="1"/>
        <v>115131</v>
      </c>
      <c r="F10" s="11">
        <f t="shared" si="1"/>
        <v>103493</v>
      </c>
      <c r="G10" s="11">
        <f t="shared" si="1"/>
        <v>93228</v>
      </c>
      <c r="H10" s="11">
        <f t="shared" si="1"/>
        <v>79034</v>
      </c>
      <c r="I10" s="11">
        <f t="shared" si="1"/>
        <v>110432</v>
      </c>
      <c r="J10" s="11">
        <f t="shared" si="1"/>
        <v>112282</v>
      </c>
      <c r="K10" s="11">
        <f t="shared" si="1"/>
        <v>101909</v>
      </c>
      <c r="L10" s="11">
        <f t="shared" si="1"/>
        <v>117489</v>
      </c>
      <c r="M10" s="11">
        <f t="shared" si="1"/>
        <v>104572</v>
      </c>
      <c r="N10" s="11">
        <f t="shared" si="1"/>
        <v>119530</v>
      </c>
      <c r="O10" s="12" t="s">
        <v>1</v>
      </c>
    </row>
    <row r="11" spans="1:15" ht="18.75">
      <c r="A11" s="13" t="s">
        <v>29</v>
      </c>
      <c r="B11" s="11">
        <f>SUM(C11:N11)</f>
        <v>623657</v>
      </c>
      <c r="C11" s="14">
        <v>52580</v>
      </c>
      <c r="D11" s="14">
        <v>58245</v>
      </c>
      <c r="E11" s="14">
        <v>55809</v>
      </c>
      <c r="F11" s="14">
        <v>49741</v>
      </c>
      <c r="G11" s="14">
        <v>45523</v>
      </c>
      <c r="H11" s="14">
        <v>37767</v>
      </c>
      <c r="I11" s="14">
        <v>52833</v>
      </c>
      <c r="J11" s="14">
        <v>53869</v>
      </c>
      <c r="K11" s="14">
        <v>49635</v>
      </c>
      <c r="L11" s="14">
        <v>58020</v>
      </c>
      <c r="M11" s="14">
        <v>51192</v>
      </c>
      <c r="N11" s="14">
        <v>58443</v>
      </c>
      <c r="O11" s="16" t="s">
        <v>30</v>
      </c>
    </row>
    <row r="12" spans="1:15" ht="18.75">
      <c r="A12" s="17" t="s">
        <v>31</v>
      </c>
      <c r="B12" s="18">
        <f>SUM(C12:N12)</f>
        <v>662478</v>
      </c>
      <c r="C12" s="19">
        <v>55816</v>
      </c>
      <c r="D12" s="19">
        <v>62394</v>
      </c>
      <c r="E12" s="19">
        <v>59322</v>
      </c>
      <c r="F12" s="19">
        <v>53752</v>
      </c>
      <c r="G12" s="19">
        <v>47705</v>
      </c>
      <c r="H12" s="19">
        <v>41267</v>
      </c>
      <c r="I12" s="19">
        <v>57599</v>
      </c>
      <c r="J12" s="19">
        <v>58413</v>
      </c>
      <c r="K12" s="19">
        <v>52274</v>
      </c>
      <c r="L12" s="19">
        <v>59469</v>
      </c>
      <c r="M12" s="19">
        <v>53380</v>
      </c>
      <c r="N12" s="19">
        <v>61087</v>
      </c>
      <c r="O12" s="21" t="s">
        <v>32</v>
      </c>
    </row>
    <row r="13" spans="1:15" s="8" customFormat="1" ht="18.75" customHeight="1">
      <c r="A13" s="9">
        <v>2017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10">
        <v>2017</v>
      </c>
    </row>
    <row r="14" spans="1:15" s="8" customFormat="1" ht="18.75">
      <c r="A14" s="9" t="s">
        <v>0</v>
      </c>
      <c r="B14" s="11">
        <f>SUM(C14:N14)</f>
        <v>1389542</v>
      </c>
      <c r="C14" s="11">
        <f>SUM(C15:C16)</f>
        <v>125336</v>
      </c>
      <c r="D14" s="11">
        <f t="shared" ref="D14:N14" si="2">SUM(D15:D16)</f>
        <v>121052</v>
      </c>
      <c r="E14" s="11">
        <f t="shared" si="2"/>
        <v>112665</v>
      </c>
      <c r="F14" s="11">
        <f t="shared" si="2"/>
        <v>119774</v>
      </c>
      <c r="G14" s="11">
        <f t="shared" si="2"/>
        <v>93491</v>
      </c>
      <c r="H14" s="11">
        <f t="shared" si="2"/>
        <v>85222</v>
      </c>
      <c r="I14" s="11">
        <f t="shared" si="2"/>
        <v>113175</v>
      </c>
      <c r="J14" s="11">
        <f t="shared" si="2"/>
        <v>121310</v>
      </c>
      <c r="K14" s="11">
        <f t="shared" si="2"/>
        <v>105984</v>
      </c>
      <c r="L14" s="11">
        <f t="shared" si="2"/>
        <v>127986</v>
      </c>
      <c r="M14" s="11">
        <f t="shared" si="2"/>
        <v>120506</v>
      </c>
      <c r="N14" s="11">
        <f t="shared" si="2"/>
        <v>143041</v>
      </c>
      <c r="O14" s="12" t="s">
        <v>1</v>
      </c>
    </row>
    <row r="15" spans="1:15" ht="18.75">
      <c r="A15" s="13" t="s">
        <v>29</v>
      </c>
      <c r="B15" s="11">
        <f>SUM(C15:N15)</f>
        <v>667286</v>
      </c>
      <c r="C15" s="14">
        <v>60242</v>
      </c>
      <c r="D15" s="14">
        <v>58195</v>
      </c>
      <c r="E15" s="14">
        <v>54157</v>
      </c>
      <c r="F15" s="14">
        <v>57109</v>
      </c>
      <c r="G15" s="14">
        <v>45177</v>
      </c>
      <c r="H15" s="14">
        <v>40579</v>
      </c>
      <c r="I15" s="14">
        <v>54239</v>
      </c>
      <c r="J15" s="14">
        <v>57649</v>
      </c>
      <c r="K15" s="14">
        <v>51284</v>
      </c>
      <c r="L15" s="14">
        <v>61740</v>
      </c>
      <c r="M15" s="14">
        <v>57934</v>
      </c>
      <c r="N15" s="14">
        <v>68981</v>
      </c>
      <c r="O15" s="16" t="s">
        <v>30</v>
      </c>
    </row>
    <row r="16" spans="1:15" s="2" customFormat="1" ht="18.75">
      <c r="A16" s="23" t="s">
        <v>31</v>
      </c>
      <c r="B16" s="24">
        <f>SUM(C16:N16)</f>
        <v>722256</v>
      </c>
      <c r="C16" s="25">
        <v>65094</v>
      </c>
      <c r="D16" s="25">
        <v>62857</v>
      </c>
      <c r="E16" s="25">
        <v>58508</v>
      </c>
      <c r="F16" s="25">
        <v>62665</v>
      </c>
      <c r="G16" s="25">
        <v>48314</v>
      </c>
      <c r="H16" s="25">
        <v>44643</v>
      </c>
      <c r="I16" s="25">
        <v>58936</v>
      </c>
      <c r="J16" s="25">
        <v>63661</v>
      </c>
      <c r="K16" s="25">
        <v>54700</v>
      </c>
      <c r="L16" s="25">
        <v>66246</v>
      </c>
      <c r="M16" s="25">
        <v>62572</v>
      </c>
      <c r="N16" s="25">
        <v>74060</v>
      </c>
      <c r="O16" s="26" t="s">
        <v>32</v>
      </c>
    </row>
    <row r="17" spans="1:43" s="8" customFormat="1" ht="18.75" customHeight="1">
      <c r="A17" s="9">
        <v>2018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0">
        <v>2018</v>
      </c>
    </row>
    <row r="18" spans="1:43" s="8" customFormat="1" ht="18.75">
      <c r="A18" s="9" t="s">
        <v>0</v>
      </c>
      <c r="B18" s="11">
        <f>SUM(C18:N18)</f>
        <v>1484274</v>
      </c>
      <c r="C18" s="11">
        <f>SUM(C19:C20)</f>
        <v>142351</v>
      </c>
      <c r="D18" s="11">
        <f t="shared" ref="D18:N18" si="3">SUM(D19:D20)</f>
        <v>144286</v>
      </c>
      <c r="E18" s="11">
        <f t="shared" si="3"/>
        <v>133466</v>
      </c>
      <c r="F18" s="11">
        <f t="shared" si="3"/>
        <v>119713</v>
      </c>
      <c r="G18" s="11">
        <f t="shared" si="3"/>
        <v>92913</v>
      </c>
      <c r="H18" s="11">
        <f t="shared" si="3"/>
        <v>93786</v>
      </c>
      <c r="I18" s="11">
        <f t="shared" si="3"/>
        <v>122332</v>
      </c>
      <c r="J18" s="11">
        <f t="shared" si="3"/>
        <v>123992</v>
      </c>
      <c r="K18" s="11">
        <f t="shared" si="3"/>
        <v>107620</v>
      </c>
      <c r="L18" s="11">
        <f t="shared" si="3"/>
        <v>127393</v>
      </c>
      <c r="M18" s="11">
        <f t="shared" si="3"/>
        <v>125604</v>
      </c>
      <c r="N18" s="11">
        <f t="shared" si="3"/>
        <v>150818</v>
      </c>
      <c r="O18" s="12" t="s">
        <v>1</v>
      </c>
    </row>
    <row r="19" spans="1:43" ht="18.75">
      <c r="A19" s="13" t="s">
        <v>29</v>
      </c>
      <c r="B19" s="11">
        <f>SUM(C19:N19)</f>
        <v>710256</v>
      </c>
      <c r="C19" s="14">
        <v>67601</v>
      </c>
      <c r="D19" s="14">
        <v>68779</v>
      </c>
      <c r="E19" s="14">
        <v>64018</v>
      </c>
      <c r="F19" s="14">
        <v>57300</v>
      </c>
      <c r="G19" s="14">
        <v>44543</v>
      </c>
      <c r="H19" s="14">
        <v>44461</v>
      </c>
      <c r="I19" s="14">
        <v>58223</v>
      </c>
      <c r="J19" s="14">
        <v>58839</v>
      </c>
      <c r="K19" s="14">
        <v>51698</v>
      </c>
      <c r="L19" s="14">
        <v>61444</v>
      </c>
      <c r="M19" s="14">
        <v>60624</v>
      </c>
      <c r="N19" s="14">
        <v>72726</v>
      </c>
      <c r="O19" s="16" t="s">
        <v>30</v>
      </c>
    </row>
    <row r="20" spans="1:43" s="2" customFormat="1" ht="18.75">
      <c r="A20" s="23" t="s">
        <v>31</v>
      </c>
      <c r="B20" s="24">
        <f>SUM(C20:N20)</f>
        <v>774018</v>
      </c>
      <c r="C20" s="25">
        <v>74750</v>
      </c>
      <c r="D20" s="25">
        <v>75507</v>
      </c>
      <c r="E20" s="25">
        <v>69448</v>
      </c>
      <c r="F20" s="25">
        <v>62413</v>
      </c>
      <c r="G20" s="25">
        <v>48370</v>
      </c>
      <c r="H20" s="25">
        <v>49325</v>
      </c>
      <c r="I20" s="25">
        <v>64109</v>
      </c>
      <c r="J20" s="25">
        <v>65153</v>
      </c>
      <c r="K20" s="25">
        <v>55922</v>
      </c>
      <c r="L20" s="25">
        <v>65949</v>
      </c>
      <c r="M20" s="25">
        <v>64980</v>
      </c>
      <c r="N20" s="25">
        <v>78092</v>
      </c>
      <c r="O20" s="26" t="s">
        <v>32</v>
      </c>
    </row>
    <row r="21" spans="1:43" s="8" customFormat="1" ht="18.75" customHeight="1">
      <c r="A21" s="9">
        <v>2019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10">
        <v>2019</v>
      </c>
    </row>
    <row r="22" spans="1:43" s="8" customFormat="1" ht="18.75">
      <c r="A22" s="9" t="s">
        <v>0</v>
      </c>
      <c r="B22" s="11">
        <f>SUM(C22:N22)</f>
        <v>1702887</v>
      </c>
      <c r="C22" s="11">
        <f>SUM(C23:C24)</f>
        <v>151552</v>
      </c>
      <c r="D22" s="11">
        <f t="shared" ref="D22:N22" si="4">SUM(D23:D24)</f>
        <v>168583</v>
      </c>
      <c r="E22" s="11">
        <f t="shared" si="4"/>
        <v>162843</v>
      </c>
      <c r="F22" s="11">
        <f t="shared" si="4"/>
        <v>163114</v>
      </c>
      <c r="G22" s="11">
        <f t="shared" si="4"/>
        <v>103022</v>
      </c>
      <c r="H22" s="11">
        <f t="shared" si="4"/>
        <v>113475</v>
      </c>
      <c r="I22" s="11">
        <f t="shared" si="4"/>
        <v>132144</v>
      </c>
      <c r="J22" s="11">
        <f t="shared" si="4"/>
        <v>139338</v>
      </c>
      <c r="K22" s="11">
        <f t="shared" si="4"/>
        <v>117619</v>
      </c>
      <c r="L22" s="11">
        <f t="shared" si="4"/>
        <v>141928</v>
      </c>
      <c r="M22" s="11">
        <f t="shared" si="4"/>
        <v>137921</v>
      </c>
      <c r="N22" s="11">
        <f t="shared" si="4"/>
        <v>171348</v>
      </c>
      <c r="O22" s="12" t="s">
        <v>1</v>
      </c>
    </row>
    <row r="23" spans="1:43" ht="18.75">
      <c r="A23" s="13" t="s">
        <v>29</v>
      </c>
      <c r="B23" s="11">
        <f>SUM(C23:N23)</f>
        <v>816083</v>
      </c>
      <c r="C23" s="14">
        <v>72654</v>
      </c>
      <c r="D23" s="14">
        <v>80612</v>
      </c>
      <c r="E23" s="14">
        <v>77386</v>
      </c>
      <c r="F23" s="14">
        <v>77481</v>
      </c>
      <c r="G23" s="14">
        <v>49160</v>
      </c>
      <c r="H23" s="14">
        <v>54044</v>
      </c>
      <c r="I23" s="14">
        <v>63259</v>
      </c>
      <c r="J23" s="14">
        <v>66671</v>
      </c>
      <c r="K23" s="14">
        <v>57144</v>
      </c>
      <c r="L23" s="14">
        <v>68634</v>
      </c>
      <c r="M23" s="14">
        <v>66248</v>
      </c>
      <c r="N23" s="14">
        <v>82790</v>
      </c>
      <c r="O23" s="16" t="s">
        <v>30</v>
      </c>
    </row>
    <row r="24" spans="1:43" s="2" customFormat="1" ht="18.75">
      <c r="A24" s="23" t="s">
        <v>31</v>
      </c>
      <c r="B24" s="24">
        <f>SUM(C24:N24)</f>
        <v>886804</v>
      </c>
      <c r="C24" s="25">
        <v>78898</v>
      </c>
      <c r="D24" s="25">
        <v>87971</v>
      </c>
      <c r="E24" s="25">
        <v>85457</v>
      </c>
      <c r="F24" s="25">
        <v>85633</v>
      </c>
      <c r="G24" s="25">
        <v>53862</v>
      </c>
      <c r="H24" s="25">
        <v>59431</v>
      </c>
      <c r="I24" s="25">
        <v>68885</v>
      </c>
      <c r="J24" s="25">
        <v>72667</v>
      </c>
      <c r="K24" s="25">
        <v>60475</v>
      </c>
      <c r="L24" s="25">
        <v>73294</v>
      </c>
      <c r="M24" s="25">
        <v>71673</v>
      </c>
      <c r="N24" s="25">
        <v>88558</v>
      </c>
      <c r="O24" s="26" t="s">
        <v>32</v>
      </c>
    </row>
    <row r="25" spans="1:43" s="8" customFormat="1" ht="18.75" customHeight="1">
      <c r="A25" s="9">
        <v>2020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10">
        <v>2020</v>
      </c>
    </row>
    <row r="26" spans="1:43" s="8" customFormat="1" ht="18.75">
      <c r="A26" s="9" t="s">
        <v>0</v>
      </c>
      <c r="B26" s="11">
        <f>SUM(C26:N26)</f>
        <v>555494</v>
      </c>
      <c r="C26" s="11">
        <f>SUM(C27:C28)</f>
        <v>173347</v>
      </c>
      <c r="D26" s="11">
        <f t="shared" ref="D26:N26" si="5">SUM(D27:D28)</f>
        <v>149785</v>
      </c>
      <c r="E26" s="11">
        <f t="shared" si="5"/>
        <v>59630</v>
      </c>
      <c r="F26" s="11">
        <f t="shared" si="5"/>
        <v>13</v>
      </c>
      <c r="G26" s="11">
        <f t="shared" si="5"/>
        <v>41</v>
      </c>
      <c r="H26" s="11">
        <f t="shared" si="5"/>
        <v>1</v>
      </c>
      <c r="I26" s="11">
        <f t="shared" si="5"/>
        <v>1752</v>
      </c>
      <c r="J26" s="11">
        <f t="shared" si="5"/>
        <v>7636</v>
      </c>
      <c r="K26" s="11">
        <f t="shared" si="5"/>
        <v>9605</v>
      </c>
      <c r="L26" s="11">
        <f t="shared" si="5"/>
        <v>21515</v>
      </c>
      <c r="M26" s="11">
        <f t="shared" si="5"/>
        <v>35757</v>
      </c>
      <c r="N26" s="11">
        <f t="shared" si="5"/>
        <v>96412</v>
      </c>
      <c r="O26" s="12" t="s">
        <v>1</v>
      </c>
    </row>
    <row r="27" spans="1:43" ht="18.75">
      <c r="A27" s="13" t="s">
        <v>29</v>
      </c>
      <c r="B27" s="11">
        <f>SUM(C27:N27)</f>
        <v>266811</v>
      </c>
      <c r="C27" s="14">
        <v>82485</v>
      </c>
      <c r="D27" s="14">
        <v>71772</v>
      </c>
      <c r="E27" s="14">
        <v>28412</v>
      </c>
      <c r="F27" s="14">
        <v>12</v>
      </c>
      <c r="G27" s="14">
        <v>27</v>
      </c>
      <c r="H27" s="14">
        <v>1</v>
      </c>
      <c r="I27" s="14">
        <v>862</v>
      </c>
      <c r="J27" s="14">
        <v>3794</v>
      </c>
      <c r="K27" s="14">
        <v>4869</v>
      </c>
      <c r="L27" s="14">
        <v>10646</v>
      </c>
      <c r="M27" s="14">
        <v>17220</v>
      </c>
      <c r="N27" s="14">
        <v>46711</v>
      </c>
      <c r="O27" s="16" t="s">
        <v>30</v>
      </c>
    </row>
    <row r="28" spans="1:43" s="2" customFormat="1" ht="18.75">
      <c r="A28" s="23" t="s">
        <v>31</v>
      </c>
      <c r="B28" s="24">
        <f>SUM(C28:N28)</f>
        <v>288683</v>
      </c>
      <c r="C28" s="25">
        <v>90862</v>
      </c>
      <c r="D28" s="25">
        <v>78013</v>
      </c>
      <c r="E28" s="25">
        <v>31218</v>
      </c>
      <c r="F28" s="25">
        <v>1</v>
      </c>
      <c r="G28" s="25">
        <v>14</v>
      </c>
      <c r="H28" s="25">
        <v>0</v>
      </c>
      <c r="I28" s="25">
        <v>890</v>
      </c>
      <c r="J28" s="25">
        <v>3842</v>
      </c>
      <c r="K28" s="25">
        <v>4736</v>
      </c>
      <c r="L28" s="25">
        <v>10869</v>
      </c>
      <c r="M28" s="25">
        <v>18537</v>
      </c>
      <c r="N28" s="25">
        <v>49701</v>
      </c>
      <c r="O28" s="26" t="s">
        <v>32</v>
      </c>
    </row>
    <row r="29" spans="1:43" ht="15.75">
      <c r="A29" s="27" t="s">
        <v>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1"/>
      <c r="O29" s="29" t="s">
        <v>4</v>
      </c>
      <c r="AF29" s="3" t="s">
        <v>5</v>
      </c>
      <c r="AG29" s="3" t="s">
        <v>6</v>
      </c>
      <c r="AH29" s="3" t="s">
        <v>7</v>
      </c>
      <c r="AI29" s="3" t="s">
        <v>8</v>
      </c>
      <c r="AJ29" s="3" t="s">
        <v>3</v>
      </c>
      <c r="AK29" s="3" t="s">
        <v>9</v>
      </c>
      <c r="AL29" s="3" t="s">
        <v>10</v>
      </c>
      <c r="AM29" s="3" t="s">
        <v>11</v>
      </c>
      <c r="AN29" s="3" t="s">
        <v>12</v>
      </c>
      <c r="AO29" s="3" t="s">
        <v>13</v>
      </c>
      <c r="AP29" s="3" t="s">
        <v>14</v>
      </c>
      <c r="AQ29" s="3" t="s">
        <v>15</v>
      </c>
    </row>
    <row r="30" spans="1:43" ht="15.75">
      <c r="A30" s="34" t="s">
        <v>35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1"/>
      <c r="O30" s="29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ht="15.75">
      <c r="A31" s="35" t="s">
        <v>36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1"/>
      <c r="O31" s="29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ht="15.75">
      <c r="A32" s="33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1"/>
      <c r="O32" s="29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7" spans="3:42" ht="18"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42" spans="3:42">
      <c r="AL42" s="13" t="s">
        <v>29</v>
      </c>
      <c r="AM42" s="17" t="s">
        <v>31</v>
      </c>
    </row>
    <row r="43" spans="3:42">
      <c r="AK43" s="1">
        <v>2015</v>
      </c>
      <c r="AL43" s="30">
        <v>598458</v>
      </c>
      <c r="AM43" s="30">
        <v>635790</v>
      </c>
      <c r="AO43" s="31"/>
      <c r="AP43" s="31"/>
    </row>
    <row r="44" spans="3:42">
      <c r="AK44" s="1">
        <v>2016</v>
      </c>
      <c r="AL44" s="30">
        <v>623657</v>
      </c>
      <c r="AM44" s="30">
        <v>662478</v>
      </c>
      <c r="AO44" s="31"/>
      <c r="AP44" s="31"/>
    </row>
    <row r="45" spans="3:42">
      <c r="AK45" s="1">
        <v>2017</v>
      </c>
      <c r="AL45" s="30">
        <v>667286</v>
      </c>
      <c r="AM45" s="30">
        <v>722256</v>
      </c>
      <c r="AN45" s="32"/>
      <c r="AO45" s="31"/>
      <c r="AP45" s="31"/>
    </row>
    <row r="46" spans="3:42">
      <c r="AK46" s="1">
        <v>2018</v>
      </c>
      <c r="AL46" s="31">
        <f>B19</f>
        <v>710256</v>
      </c>
      <c r="AM46" s="31">
        <f>B20</f>
        <v>774018</v>
      </c>
      <c r="AN46" s="32"/>
      <c r="AO46" s="31"/>
    </row>
    <row r="47" spans="3:42">
      <c r="AK47" s="1">
        <v>2019</v>
      </c>
      <c r="AL47" s="31">
        <f>B23</f>
        <v>816083</v>
      </c>
      <c r="AM47" s="31">
        <f>B24</f>
        <v>886804</v>
      </c>
    </row>
    <row r="48" spans="3:42">
      <c r="AK48" s="1">
        <v>2020</v>
      </c>
      <c r="AL48" s="31">
        <f>B27</f>
        <v>266811</v>
      </c>
      <c r="AM48" s="31">
        <f>B28</f>
        <v>288683</v>
      </c>
    </row>
  </sheetData>
  <mergeCells count="4">
    <mergeCell ref="A1:O1"/>
    <mergeCell ref="A2:O2"/>
    <mergeCell ref="A3:N3"/>
    <mergeCell ref="C37:Q37"/>
  </mergeCells>
  <pageMargins left="0.7" right="0.7" top="0.75" bottom="0.75" header="0.3" footer="0.3"/>
  <pageSetup paperSize="9" scale="55" orientation="landscape" horizontalDpi="4294967295" verticalDpi="4294967295" r:id="rId1"/>
  <rowBreaks count="1" manualBreakCount="1">
    <brk id="53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10.8</vt:lpstr>
      <vt:lpstr>'10.8'!Print_Area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2019-02-28T05:39:35Z</cp:lastPrinted>
  <dcterms:created xsi:type="dcterms:W3CDTF">2019-02-27T06:18:18Z</dcterms:created>
  <dcterms:modified xsi:type="dcterms:W3CDTF">2021-07-12T05:56:30Z</dcterms:modified>
</cp:coreProperties>
</file>