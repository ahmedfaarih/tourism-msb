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0.Tourism\"/>
    </mc:Choice>
  </mc:AlternateContent>
  <bookViews>
    <workbookView xWindow="21645" yWindow="3555" windowWidth="7500" windowHeight="6000" tabRatio="731"/>
  </bookViews>
  <sheets>
    <sheet name="10.5" sheetId="5" r:id="rId1"/>
  </sheets>
  <externalReferences>
    <externalReference r:id="rId2"/>
  </externalReferences>
  <definedNames>
    <definedName name="_xlnm.Print_Area" localSheetId="0">'10.5'!$A$1:$L$38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0" i="5" l="1"/>
  <c r="AK11" i="5" l="1"/>
  <c r="AL11" i="5"/>
  <c r="AK12" i="5"/>
  <c r="AL12" i="5"/>
  <c r="AK13" i="5"/>
  <c r="AL13" i="5"/>
  <c r="AK14" i="5"/>
  <c r="AL14" i="5"/>
  <c r="AK15" i="5"/>
  <c r="AL15" i="5"/>
  <c r="AK16" i="5"/>
  <c r="AL16" i="5"/>
  <c r="AK17" i="5"/>
  <c r="AL17" i="5"/>
  <c r="AK18" i="5"/>
  <c r="AL18" i="5"/>
  <c r="AK19" i="5"/>
  <c r="AL19" i="5"/>
  <c r="AK20" i="5"/>
  <c r="AL20" i="5"/>
  <c r="AK21" i="5"/>
  <c r="AL21" i="5"/>
  <c r="AL10" i="5"/>
  <c r="K6" i="5"/>
  <c r="J6" i="5"/>
  <c r="I6" i="5"/>
  <c r="H6" i="5"/>
  <c r="G6" i="5"/>
  <c r="D6" i="5" l="1"/>
  <c r="F6" i="5"/>
  <c r="E6" i="5"/>
  <c r="C6" i="5"/>
  <c r="B6" i="5"/>
</calcChain>
</file>

<file path=xl/sharedStrings.xml><?xml version="1.0" encoding="utf-8"?>
<sst xmlns="http://schemas.openxmlformats.org/spreadsheetml/2006/main" count="54" uniqueCount="42">
  <si>
    <t>Source: Ministry of Tourism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</si>
  <si>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</si>
  <si>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</si>
  <si>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</si>
  <si>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</si>
  <si>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</si>
  <si>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</si>
  <si>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</si>
  <si>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</si>
  <si>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</si>
  <si>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</si>
  <si>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</si>
  <si>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</si>
  <si>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</si>
  <si>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</si>
  <si>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</si>
  <si>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</si>
  <si>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</si>
  <si>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</si>
  <si>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</si>
  <si>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</si>
  <si>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</si>
  <si>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</si>
  <si>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</si>
  <si>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</si>
  <si>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</si>
  <si>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</si>
  <si>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</si>
  <si>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</si>
  <si>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</si>
  <si>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</si>
  <si>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</si>
  <si>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</si>
  <si>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</si>
  <si>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</si>
  <si>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</si>
  <si>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</si>
  <si>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</si>
  <si>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2020 - 2019  ,urwvcnim unuverukcnunEb wgWjegudnea iaWa wgWj egudnea egukwtWToh uhwmcswmikea : 10.5 ulwvWt</t>
  </si>
  <si>
    <t>Table  10.5: BED CAPACITY AND UTILIZATION OF HOTELS BY MONTH,  2019 - 2020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</si>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</sst>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0.0"/>
    <numFmt numFmtId="167" formatCode="#,##0.0"/>
    <numFmt numFmtId="168" formatCode="[$-409]mmm\-yy;@"/>
    <numFmt numFmtId="171" formatCode="0.00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0"/>
      <name val="Times New Roman"/>
      <family val="1"/>
    </font>
    <font>
      <sz val="9"/>
      <name val="A_Faseyha"/>
    </font>
    <font>
      <b/>
      <sz val="12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6" fillId="0" borderId="0"/>
    <xf numFmtId="0" fontId="2" fillId="0" borderId="0"/>
    <xf numFmtId="43" fontId="2" fillId="0" borderId="0" applyFont="0" applyFill="0" applyBorder="0" applyAlignment="0" applyProtection="0"/>
    <xf numFmtId="171" fontId="17" fillId="0" borderId="0"/>
    <xf numFmtId="1" fontId="18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6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</cellStyleXfs>
  <cellXfs count="47">
    <xf numFmtId="0" fontId="0" fillId="0" borderId="0" xfId="0"/>
    <xf numFmtId="0" fontId="4" fillId="2" borderId="0" xfId="0" applyFont="1" applyFill="1" applyAlignment="1" applyProtection="1">
      <alignment horizontal="left" vertical="center"/>
    </xf>
    <xf numFmtId="3" fontId="7" fillId="2" borderId="0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right" vertical="center"/>
    </xf>
    <xf numFmtId="3" fontId="7" fillId="2" borderId="0" xfId="0" applyNumberFormat="1" applyFont="1" applyFill="1" applyBorder="1" applyAlignment="1">
      <alignment horizontal="right" vertic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 applyProtection="1">
      <alignment horizontal="center" vertical="center" wrapText="1"/>
    </xf>
    <xf numFmtId="37" fontId="8" fillId="2" borderId="7" xfId="0" applyNumberFormat="1" applyFont="1" applyFill="1" applyBorder="1" applyAlignment="1" applyProtection="1">
      <alignment horizontal="center" vertical="center" wrapText="1"/>
    </xf>
    <xf numFmtId="0" fontId="6" fillId="2" borderId="0" xfId="0" applyFont="1" applyFill="1" applyAlignment="1" applyProtection="1">
      <alignment horizontal="left" vertical="center" wrapText="1"/>
    </xf>
    <xf numFmtId="3" fontId="6" fillId="2" borderId="10" xfId="0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/>
    </xf>
    <xf numFmtId="167" fontId="6" fillId="2" borderId="0" xfId="0" applyNumberFormat="1" applyFont="1" applyFill="1" applyAlignment="1">
      <alignment horizontal="center"/>
    </xf>
    <xf numFmtId="3" fontId="6" fillId="2" borderId="0" xfId="0" applyNumberFormat="1" applyFont="1" applyFill="1" applyAlignment="1">
      <alignment horizontal="right" vertical="center"/>
    </xf>
    <xf numFmtId="0" fontId="7" fillId="2" borderId="0" xfId="0" applyFont="1" applyFill="1" applyAlignment="1" applyProtection="1">
      <alignment horizontal="left" vertical="center"/>
    </xf>
    <xf numFmtId="3" fontId="7" fillId="2" borderId="1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0" xfId="0" applyFont="1" applyFill="1" applyBorder="1" applyAlignment="1" applyProtection="1">
      <alignment horizontal="left" vertical="center"/>
    </xf>
    <xf numFmtId="0" fontId="7" fillId="2" borderId="1" xfId="0" applyFont="1" applyFill="1" applyBorder="1" applyAlignment="1" applyProtection="1">
      <alignment horizontal="left" vertical="center"/>
    </xf>
    <xf numFmtId="3" fontId="7" fillId="2" borderId="9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167" fontId="9" fillId="2" borderId="0" xfId="0" applyNumberFormat="1" applyFont="1" applyFill="1"/>
    <xf numFmtId="164" fontId="9" fillId="2" borderId="0" xfId="0" applyNumberFormat="1" applyFont="1" applyFill="1"/>
    <xf numFmtId="0" fontId="12" fillId="2" borderId="1" xfId="0" applyFont="1" applyFill="1" applyBorder="1" applyAlignment="1" applyProtection="1">
      <alignment horizontal="center" vertical="center" wrapText="1"/>
    </xf>
    <xf numFmtId="0" fontId="9" fillId="2" borderId="0" xfId="0" applyFont="1" applyFill="1" applyAlignment="1" applyProtection="1">
      <alignment horizontal="left" vertical="center"/>
    </xf>
    <xf numFmtId="0" fontId="9" fillId="2" borderId="0" xfId="0" applyFont="1" applyFill="1" applyBorder="1" applyAlignment="1" applyProtection="1">
      <alignment horizontal="left" vertical="center"/>
    </xf>
    <xf numFmtId="164" fontId="9" fillId="2" borderId="0" xfId="0" applyNumberFormat="1" applyFont="1" applyFill="1" applyAlignment="1">
      <alignment horizontal="center" vertical="center"/>
    </xf>
    <xf numFmtId="0" fontId="14" fillId="2" borderId="0" xfId="0" applyFont="1" applyFill="1" applyBorder="1" applyAlignment="1" applyProtection="1">
      <alignment horizontal="center" vertical="center" wrapText="1"/>
    </xf>
    <xf numFmtId="0" fontId="13" fillId="2" borderId="0" xfId="0" applyFont="1" applyFill="1" applyBorder="1" applyAlignment="1" applyProtection="1">
      <alignment horizontal="left" vertical="center"/>
    </xf>
    <xf numFmtId="164" fontId="7" fillId="2" borderId="0" xfId="0" applyNumberFormat="1" applyFont="1" applyFill="1" applyBorder="1" applyAlignment="1">
      <alignment horizontal="center"/>
    </xf>
    <xf numFmtId="168" fontId="13" fillId="2" borderId="0" xfId="0" applyNumberFormat="1" applyFont="1" applyFill="1" applyBorder="1" applyAlignment="1" applyProtection="1">
      <alignment horizontal="left" vertical="center"/>
    </xf>
    <xf numFmtId="164" fontId="9" fillId="2" borderId="0" xfId="0" applyNumberFormat="1" applyFont="1" applyFill="1" applyBorder="1" applyAlignment="1">
      <alignment horizontal="center"/>
    </xf>
    <xf numFmtId="0" fontId="6" fillId="2" borderId="1" xfId="0" applyFont="1" applyFill="1" applyBorder="1" applyAlignment="1" applyProtection="1">
      <alignment horizontal="right" vertical="center" wrapText="1"/>
    </xf>
    <xf numFmtId="164" fontId="11" fillId="2" borderId="0" xfId="0" applyNumberFormat="1" applyFont="1" applyFill="1"/>
    <xf numFmtId="0" fontId="20" fillId="2" borderId="0" xfId="0" applyFont="1" applyFill="1" applyBorder="1" applyAlignment="1">
      <alignment horizontal="right" vertical="center"/>
    </xf>
    <xf numFmtId="0" fontId="6" fillId="2" borderId="9" xfId="0" applyFont="1" applyFill="1" applyBorder="1" applyAlignment="1" applyProtection="1">
      <alignment horizontal="right" vertical="center" wrapText="1"/>
    </xf>
    <xf numFmtId="37" fontId="8" fillId="2" borderId="7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 vertical="center"/>
    </xf>
    <xf numFmtId="0" fontId="5" fillId="2" borderId="0" xfId="0" applyFont="1" applyFill="1" applyAlignment="1" applyProtection="1">
      <alignment horizontal="left" vertical="center" indent="3"/>
    </xf>
    <xf numFmtId="0" fontId="6" fillId="2" borderId="2" xfId="0" applyFont="1" applyFill="1" applyBorder="1" applyAlignment="1" applyProtection="1">
      <alignment horizontal="center" vertical="center" wrapText="1"/>
    </xf>
    <xf numFmtId="0" fontId="6" fillId="2" borderId="5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10" fillId="2" borderId="3" xfId="0" applyFont="1" applyFill="1" applyBorder="1" applyAlignment="1" applyProtection="1">
      <alignment horizontal="center" vertical="center"/>
    </xf>
    <xf numFmtId="0" fontId="10" fillId="2" borderId="4" xfId="0" applyFont="1" applyFill="1" applyBorder="1" applyAlignment="1" applyProtection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</xf>
    <xf numFmtId="0" fontId="21" fillId="2" borderId="0" xfId="0" applyFont="1" applyFill="1" applyAlignment="1">
      <alignment horizontal="center" vertical="center"/>
    </xf>
  </cellXfs>
  <cellStyles count="21">
    <cellStyle name="1" xfId="5"/>
    <cellStyle name="Comma 2" xfId="19"/>
    <cellStyle name="Comma 3" xfId="6"/>
    <cellStyle name="Normal" xfId="0" builtinId="0"/>
    <cellStyle name="Normal - Style1" xfId="7"/>
    <cellStyle name="Normal 10" xfId="13"/>
    <cellStyle name="Normal 2" xfId="1"/>
    <cellStyle name="Normal 2 2" xfId="8"/>
    <cellStyle name="Normal 2 2 2" xfId="20"/>
    <cellStyle name="Normal 3" xfId="9"/>
    <cellStyle name="Normal 4" xfId="14"/>
    <cellStyle name="Normal 4 2" xfId="10"/>
    <cellStyle name="Normal 4 2 2" xfId="15"/>
    <cellStyle name="Normal 5" xfId="11"/>
    <cellStyle name="Normal 5 2" xfId="3"/>
    <cellStyle name="Normal 6" xfId="16"/>
    <cellStyle name="Normal 7" xfId="17"/>
    <cellStyle name="Normal 8" xfId="18"/>
    <cellStyle name="Normal 9" xfId="4"/>
    <cellStyle name="Percent 2" xfId="12"/>
    <cellStyle name="Percent 2 2" xfId="2"/>
  </cellStyles>
  <dxfs count="0"/>
  <tableStyles count="0" defaultTableStyle="TableStyleMedium2" defaultPivotStyle="PivotStyleLight16"/>
  <colors>
    <mruColors>
      <color rgb="FFC0F2F0"/>
      <color rgb="FFEAFAFA"/>
      <color rgb="FFDDF8F7"/>
      <color rgb="FFFF9900"/>
      <color rgb="FFFFCC66"/>
      <color rgb="FF33CCCC"/>
      <color rgb="FF196563"/>
      <color rgb="FF249390"/>
      <color rgb="FFCA945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10.9:  Bed capacity and beds in operation in </a:t>
            </a:r>
            <a:r>
              <a:rPr lang="en-US" sz="1200" b="1" i="0" u="none" strike="noStrike" baseline="0">
                <a:effectLst/>
              </a:rPr>
              <a:t>hotels</a:t>
            </a:r>
            <a:r>
              <a:rPr lang="en-US" sz="1200" b="1" i="0" baseline="0">
                <a:effectLst/>
              </a:rPr>
              <a:t>, 2020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335898448050194"/>
          <c:y val="3.19086644781647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45645514469065E-2"/>
          <c:y val="0.1444703890279628"/>
          <c:w val="0.90029650250643645"/>
          <c:h val="0.70754032938865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'10.5'!$AK$9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f>'10.5'!$AJ$10:$AJ$21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'10.5'!$AK$10:$AK$21</c:f>
              <c:numCache>
                <c:formatCode>#,##0</c:formatCode>
                <c:ptCount val="12"/>
                <c:pt idx="0">
                  <c:v>1698</c:v>
                </c:pt>
                <c:pt idx="1">
                  <c:v>1698</c:v>
                </c:pt>
                <c:pt idx="2">
                  <c:v>1698</c:v>
                </c:pt>
                <c:pt idx="3">
                  <c:v>1698</c:v>
                </c:pt>
                <c:pt idx="4">
                  <c:v>1698</c:v>
                </c:pt>
                <c:pt idx="5">
                  <c:v>1698</c:v>
                </c:pt>
                <c:pt idx="6">
                  <c:v>1698</c:v>
                </c:pt>
                <c:pt idx="7">
                  <c:v>1698</c:v>
                </c:pt>
                <c:pt idx="8">
                  <c:v>1698</c:v>
                </c:pt>
                <c:pt idx="9">
                  <c:v>1698</c:v>
                </c:pt>
                <c:pt idx="10">
                  <c:v>1698</c:v>
                </c:pt>
                <c:pt idx="11">
                  <c:v>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C-44CF-B7BF-D4DBEC0B3BE6}"/>
            </c:ext>
          </c:extLst>
        </c:ser>
        <c:ser>
          <c:idx val="1"/>
          <c:order val="1"/>
          <c:tx>
            <c:strRef>
              <c:f>'10.5'!$AL$9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'10.5'!$AJ$10:$AJ$21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'10.5'!$AL$10:$AL$21</c:f>
              <c:numCache>
                <c:formatCode>#,##0</c:formatCode>
                <c:ptCount val="12"/>
                <c:pt idx="0">
                  <c:v>1698</c:v>
                </c:pt>
                <c:pt idx="1">
                  <c:v>1698</c:v>
                </c:pt>
                <c:pt idx="2">
                  <c:v>1698</c:v>
                </c:pt>
                <c:pt idx="3">
                  <c:v>336</c:v>
                </c:pt>
                <c:pt idx="4">
                  <c:v>0</c:v>
                </c:pt>
                <c:pt idx="5">
                  <c:v>0</c:v>
                </c:pt>
                <c:pt idx="6">
                  <c:v>252</c:v>
                </c:pt>
                <c:pt idx="7">
                  <c:v>956</c:v>
                </c:pt>
                <c:pt idx="8">
                  <c:v>1318</c:v>
                </c:pt>
                <c:pt idx="9">
                  <c:v>1478</c:v>
                </c:pt>
                <c:pt idx="10">
                  <c:v>1478</c:v>
                </c:pt>
                <c:pt idx="11">
                  <c:v>1478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7C-44CF-B7BF-D4DBEC0B3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404763104"/>
        <c:axId val="404764672"/>
      </c:barChart>
      <c:catAx>
        <c:axId val="40476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4672"/>
        <c:crosses val="autoZero"/>
        <c:auto val="1"/>
        <c:lblAlgn val="ctr"/>
        <c:lblOffset val="100"/>
        <c:noMultiLvlLbl val="0"/>
      </c:catAx>
      <c:valAx>
        <c:axId val="4047646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310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5542659597631621"/>
          <c:y val="0.92567819373455529"/>
          <c:w val="0.3626495480369788"/>
          <c:h val="7.26248254055962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533397</xdr:colOff>
      <xdr:row>21</xdr:row>
      <xdr:rowOff>152400</xdr:rowOff>
    </xdr:from>
    <xdr:to>
      <xdr:col>9</xdr:col>
      <xdr:colOff>828674</xdr:colOff>
      <xdr:row>35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L73"/>
  <sheetViews>
    <sheetView tabSelected="1" zoomScaleNormal="100" workbookViewId="0">
      <selection activeCell="K15" sqref="K15"/>
    </sheetView>
  </sheetViews>
  <sheetFormatPr defaultColWidth="9.140625" defaultRowHeight="12"/>
  <cols>
    <col min="1" max="1" width="13.7109375" style="5" customWidth="1"/>
    <col min="2" max="11" width="13.42578125" style="5" customWidth="1"/>
    <col min="12" max="12" width="2.28515625" style="5" customWidth="1"/>
    <col min="13" max="16384" width="9.140625" style="5"/>
  </cols>
  <sheetData>
    <row r="1" spans="1:38" ht="17.25" customHeight="1">
      <c r="A1" s="46" t="s">
        <v>38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38" ht="24" customHeight="1">
      <c r="A2" s="45" t="s">
        <v>39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28"/>
    </row>
    <row r="3" spans="1:38" s="6" customFormat="1" ht="18.75" customHeight="1">
      <c r="A3" s="40" t="s">
        <v>2</v>
      </c>
      <c r="B3" s="43">
        <v>2019</v>
      </c>
      <c r="C3" s="44"/>
      <c r="D3" s="44"/>
      <c r="E3" s="44"/>
      <c r="F3" s="44"/>
      <c r="G3" s="43">
        <v>2020</v>
      </c>
      <c r="H3" s="44"/>
      <c r="I3" s="44"/>
      <c r="J3" s="44"/>
      <c r="K3" s="44"/>
      <c r="L3" s="32"/>
    </row>
    <row r="4" spans="1:38" s="6" customFormat="1" ht="72" customHeight="1">
      <c r="A4" s="41"/>
      <c r="B4" s="7" t="s">
        <v>3</v>
      </c>
      <c r="C4" s="8" t="s">
        <v>4</v>
      </c>
      <c r="D4" s="8" t="s">
        <v>1</v>
      </c>
      <c r="E4" s="8" t="s">
        <v>5</v>
      </c>
      <c r="F4" s="37" t="s">
        <v>6</v>
      </c>
      <c r="G4" s="7" t="s">
        <v>3</v>
      </c>
      <c r="H4" s="8" t="s">
        <v>4</v>
      </c>
      <c r="I4" s="8" t="s">
        <v>1</v>
      </c>
      <c r="J4" s="8" t="s">
        <v>5</v>
      </c>
      <c r="K4" s="37" t="s">
        <v>6</v>
      </c>
      <c r="L4" s="32"/>
    </row>
    <row r="5" spans="1:38" s="6" customFormat="1" ht="46.5" customHeight="1">
      <c r="A5" s="42"/>
      <c r="B5" s="36" t="s">
        <v>11</v>
      </c>
      <c r="C5" s="33" t="s">
        <v>7</v>
      </c>
      <c r="D5" s="33" t="s">
        <v>8</v>
      </c>
      <c r="E5" s="33" t="s">
        <v>9</v>
      </c>
      <c r="F5" s="33" t="s">
        <v>10</v>
      </c>
      <c r="G5" s="36" t="s">
        <v>11</v>
      </c>
      <c r="H5" s="33" t="s">
        <v>7</v>
      </c>
      <c r="I5" s="33" t="s">
        <v>8</v>
      </c>
      <c r="J5" s="33" t="s">
        <v>9</v>
      </c>
      <c r="K5" s="33" t="s">
        <v>10</v>
      </c>
      <c r="L5" s="32"/>
    </row>
    <row r="6" spans="1:38" s="6" customFormat="1" ht="15.75" customHeight="1">
      <c r="A6" s="9" t="s">
        <v>12</v>
      </c>
      <c r="B6" s="10">
        <f>AVERAGE(B7:B18)</f>
        <v>1755.6666666666667</v>
      </c>
      <c r="C6" s="11">
        <f>AVERAGE(C7:C18)</f>
        <v>1723</v>
      </c>
      <c r="D6" s="12">
        <f>AVERAGE(D7:D18)</f>
        <v>98.002770303257364</v>
      </c>
      <c r="E6" s="12">
        <f>AVERAGE(E7:E18)</f>
        <v>45.412556932056837</v>
      </c>
      <c r="F6" s="13">
        <f>SUM(F7:F18)</f>
        <v>285763.87485801958</v>
      </c>
      <c r="G6" s="10">
        <f>AVERAGE(G7:G18)</f>
        <v>1698</v>
      </c>
      <c r="H6" s="11">
        <f>AVERAGE(H7:H18)</f>
        <v>1032.5</v>
      </c>
      <c r="I6" s="12">
        <f>AVERAGE(I7:I18)</f>
        <v>60.80683156654888</v>
      </c>
      <c r="J6" s="12">
        <f>AVERAGE(J7:J18)</f>
        <v>17.074461530906429</v>
      </c>
      <c r="K6" s="13">
        <f>SUM(K7:K18)</f>
        <v>100047.94144871892</v>
      </c>
      <c r="L6" s="32"/>
    </row>
    <row r="7" spans="1:38" s="6" customFormat="1" ht="16.5" customHeight="1">
      <c r="A7" s="14" t="s">
        <v>13</v>
      </c>
      <c r="B7" s="15">
        <v>1862</v>
      </c>
      <c r="C7" s="2">
        <v>1862</v>
      </c>
      <c r="D7" s="16">
        <v>100</v>
      </c>
      <c r="E7" s="16">
        <v>49.439315216985015</v>
      </c>
      <c r="F7" s="4">
        <v>28537.361529548089</v>
      </c>
      <c r="G7" s="15">
        <v>1698</v>
      </c>
      <c r="H7" s="2">
        <v>1698</v>
      </c>
      <c r="I7" s="16">
        <v>100</v>
      </c>
      <c r="J7" s="16">
        <v>59.607833391321627</v>
      </c>
      <c r="K7" s="4">
        <v>31376.371340523881</v>
      </c>
      <c r="L7" s="32"/>
      <c r="M7" s="34"/>
    </row>
    <row r="8" spans="1:38" s="6" customFormat="1" ht="16.5" customHeight="1">
      <c r="A8" s="14" t="s">
        <v>14</v>
      </c>
      <c r="B8" s="15">
        <v>1862</v>
      </c>
      <c r="C8" s="2">
        <v>1862</v>
      </c>
      <c r="D8" s="16">
        <v>100</v>
      </c>
      <c r="E8" s="16">
        <v>64.336016096579471</v>
      </c>
      <c r="F8" s="4">
        <v>33542.225352112677</v>
      </c>
      <c r="G8" s="15">
        <v>1698</v>
      </c>
      <c r="H8" s="2">
        <v>1698</v>
      </c>
      <c r="I8" s="16">
        <v>100</v>
      </c>
      <c r="J8" s="16">
        <v>56.992503748125941</v>
      </c>
      <c r="K8" s="4">
        <v>28064.248695652175</v>
      </c>
      <c r="L8" s="32"/>
      <c r="M8" s="34"/>
    </row>
    <row r="9" spans="1:38" s="6" customFormat="1" ht="16.5" customHeight="1">
      <c r="A9" s="14" t="s">
        <v>15</v>
      </c>
      <c r="B9" s="15">
        <v>1870</v>
      </c>
      <c r="C9" s="2">
        <v>1870</v>
      </c>
      <c r="D9" s="16">
        <v>100</v>
      </c>
      <c r="E9" s="16">
        <v>51.884117526196839</v>
      </c>
      <c r="F9" s="4">
        <v>30077.222929936306</v>
      </c>
      <c r="G9" s="15">
        <v>1698</v>
      </c>
      <c r="H9" s="2">
        <v>1698</v>
      </c>
      <c r="I9" s="16">
        <v>100</v>
      </c>
      <c r="J9" s="16">
        <v>26.706872370266478</v>
      </c>
      <c r="K9" s="4">
        <v>14057.96347826087</v>
      </c>
      <c r="L9" s="32"/>
      <c r="M9" s="34"/>
      <c r="AJ9" s="5"/>
      <c r="AK9" s="24" t="s">
        <v>11</v>
      </c>
      <c r="AL9" s="24" t="s">
        <v>26</v>
      </c>
    </row>
    <row r="10" spans="1:38" s="6" customFormat="1" ht="16.5" customHeight="1">
      <c r="A10" s="14" t="s">
        <v>16</v>
      </c>
      <c r="B10" s="15">
        <v>1870</v>
      </c>
      <c r="C10" s="2">
        <v>1870</v>
      </c>
      <c r="D10" s="16">
        <v>100</v>
      </c>
      <c r="E10" s="16">
        <v>51.594017094017083</v>
      </c>
      <c r="F10" s="4">
        <v>28944.24358974359</v>
      </c>
      <c r="G10" s="15">
        <v>1698</v>
      </c>
      <c r="H10" s="2">
        <v>336</v>
      </c>
      <c r="I10" s="16">
        <v>19.78798586572438</v>
      </c>
      <c r="J10" s="16">
        <v>0.54563492063492058</v>
      </c>
      <c r="K10" s="4">
        <v>55</v>
      </c>
      <c r="L10" s="32"/>
      <c r="M10" s="34"/>
      <c r="AJ10" s="25" t="s">
        <v>27</v>
      </c>
      <c r="AK10" s="15">
        <f>G7</f>
        <v>1698</v>
      </c>
      <c r="AL10" s="15">
        <f>H7</f>
        <v>1698</v>
      </c>
    </row>
    <row r="11" spans="1:38" s="6" customFormat="1" ht="16.5" customHeight="1">
      <c r="A11" s="14" t="s">
        <v>17</v>
      </c>
      <c r="B11" s="15">
        <v>1870</v>
      </c>
      <c r="C11" s="2">
        <v>1870</v>
      </c>
      <c r="D11" s="16">
        <v>100</v>
      </c>
      <c r="E11" s="16">
        <v>35.241935483870968</v>
      </c>
      <c r="F11" s="4">
        <v>20429.75</v>
      </c>
      <c r="G11" s="15">
        <v>1698</v>
      </c>
      <c r="H11" s="2">
        <v>0</v>
      </c>
      <c r="I11" s="16">
        <v>0</v>
      </c>
      <c r="J11" s="16">
        <v>0</v>
      </c>
      <c r="K11" s="4">
        <v>0</v>
      </c>
      <c r="L11" s="32"/>
      <c r="M11" s="34"/>
      <c r="AJ11" s="25" t="s">
        <v>28</v>
      </c>
      <c r="AK11" s="15">
        <f>G8</f>
        <v>1698</v>
      </c>
      <c r="AL11" s="15">
        <f>H8</f>
        <v>1698</v>
      </c>
    </row>
    <row r="12" spans="1:38" s="6" customFormat="1" ht="16.5" customHeight="1">
      <c r="A12" s="14" t="s">
        <v>18</v>
      </c>
      <c r="B12" s="15">
        <v>1870</v>
      </c>
      <c r="C12" s="2">
        <v>1870</v>
      </c>
      <c r="D12" s="16">
        <v>100</v>
      </c>
      <c r="E12" s="16">
        <v>33.220085470085472</v>
      </c>
      <c r="F12" s="4">
        <v>18636.467948717949</v>
      </c>
      <c r="G12" s="15">
        <v>1698</v>
      </c>
      <c r="H12" s="2">
        <v>0</v>
      </c>
      <c r="I12" s="16">
        <v>0</v>
      </c>
      <c r="J12" s="16">
        <v>0</v>
      </c>
      <c r="K12" s="4">
        <v>0</v>
      </c>
      <c r="L12" s="32"/>
      <c r="M12" s="34"/>
      <c r="AJ12" s="25" t="s">
        <v>29</v>
      </c>
      <c r="AK12" s="15">
        <f>G9</f>
        <v>1698</v>
      </c>
      <c r="AL12" s="15">
        <f>H9</f>
        <v>1698</v>
      </c>
    </row>
    <row r="13" spans="1:38" s="6" customFormat="1" ht="16.5" customHeight="1">
      <c r="A13" s="14" t="s">
        <v>19</v>
      </c>
      <c r="B13" s="15">
        <v>1870</v>
      </c>
      <c r="C13" s="2">
        <v>1772</v>
      </c>
      <c r="D13" s="16">
        <v>94.759358288770059</v>
      </c>
      <c r="E13" s="16">
        <v>42.83064516129032</v>
      </c>
      <c r="F13" s="4">
        <v>23527.73</v>
      </c>
      <c r="G13" s="15">
        <v>1698</v>
      </c>
      <c r="H13" s="2">
        <v>252</v>
      </c>
      <c r="I13" s="16">
        <v>14.840989399293287</v>
      </c>
      <c r="J13" s="16">
        <v>0</v>
      </c>
      <c r="K13" s="4">
        <v>0</v>
      </c>
      <c r="L13" s="32"/>
      <c r="M13" s="34"/>
      <c r="AJ13" s="25" t="s">
        <v>30</v>
      </c>
      <c r="AK13" s="15">
        <f>G10</f>
        <v>1698</v>
      </c>
      <c r="AL13" s="15">
        <f>H10</f>
        <v>336</v>
      </c>
    </row>
    <row r="14" spans="1:38" s="6" customFormat="1" ht="16.5" customHeight="1">
      <c r="A14" s="14" t="s">
        <v>20</v>
      </c>
      <c r="B14" s="15">
        <v>1570</v>
      </c>
      <c r="C14" s="2">
        <v>1472</v>
      </c>
      <c r="D14" s="16">
        <v>93.757961783439498</v>
      </c>
      <c r="E14" s="16">
        <v>45.147849462365585</v>
      </c>
      <c r="F14" s="4">
        <v>20601.866666666665</v>
      </c>
      <c r="G14" s="15">
        <v>1698</v>
      </c>
      <c r="H14" s="2">
        <v>956</v>
      </c>
      <c r="I14" s="16">
        <v>56.301531213191993</v>
      </c>
      <c r="J14" s="16">
        <v>5.6451612903225801</v>
      </c>
      <c r="K14" s="4">
        <v>1673</v>
      </c>
      <c r="L14" s="32"/>
      <c r="M14" s="34"/>
      <c r="AJ14" s="25" t="s">
        <v>17</v>
      </c>
      <c r="AK14" s="15">
        <f>G11</f>
        <v>1698</v>
      </c>
      <c r="AL14" s="15">
        <f>H11</f>
        <v>0</v>
      </c>
    </row>
    <row r="15" spans="1:38" s="6" customFormat="1" ht="16.5" customHeight="1">
      <c r="A15" s="14" t="s">
        <v>21</v>
      </c>
      <c r="B15" s="15">
        <v>1570</v>
      </c>
      <c r="C15" s="2">
        <v>1472</v>
      </c>
      <c r="D15" s="16">
        <v>93.757961783439498</v>
      </c>
      <c r="E15" s="16">
        <v>42.861111111111114</v>
      </c>
      <c r="F15" s="4">
        <v>18927.466666666667</v>
      </c>
      <c r="G15" s="15">
        <v>1698</v>
      </c>
      <c r="H15" s="2">
        <v>1318</v>
      </c>
      <c r="I15" s="16">
        <v>77.620730270906947</v>
      </c>
      <c r="J15" s="16">
        <v>5.6497175141242941</v>
      </c>
      <c r="K15" s="4">
        <v>2233.898305084746</v>
      </c>
      <c r="L15" s="32"/>
      <c r="M15" s="34"/>
      <c r="AJ15" s="25" t="s">
        <v>31</v>
      </c>
      <c r="AK15" s="15">
        <f>G12</f>
        <v>1698</v>
      </c>
      <c r="AL15" s="15">
        <f>H12</f>
        <v>0</v>
      </c>
    </row>
    <row r="16" spans="1:38" s="6" customFormat="1" ht="16.5" customHeight="1">
      <c r="A16" s="14" t="s">
        <v>22</v>
      </c>
      <c r="B16" s="15">
        <v>1570</v>
      </c>
      <c r="C16" s="2">
        <v>1472</v>
      </c>
      <c r="D16" s="16">
        <v>93.757961783439498</v>
      </c>
      <c r="E16" s="16">
        <v>43.940860215053767</v>
      </c>
      <c r="F16" s="4">
        <v>20051.093333333334</v>
      </c>
      <c r="G16" s="15">
        <v>1698</v>
      </c>
      <c r="H16" s="2">
        <v>1478</v>
      </c>
      <c r="I16" s="16">
        <v>87.043580683156648</v>
      </c>
      <c r="J16" s="16">
        <v>7.1919619249074573</v>
      </c>
      <c r="K16" s="4">
        <v>3295.2131147540986</v>
      </c>
      <c r="L16" s="32"/>
      <c r="M16" s="34"/>
      <c r="AJ16" s="25" t="s">
        <v>32</v>
      </c>
      <c r="AK16" s="15">
        <f>G13</f>
        <v>1698</v>
      </c>
      <c r="AL16" s="15">
        <f>H13</f>
        <v>252</v>
      </c>
    </row>
    <row r="17" spans="1:38" s="6" customFormat="1" ht="16.5" customHeight="1">
      <c r="A17" s="17" t="s">
        <v>23</v>
      </c>
      <c r="B17" s="15">
        <v>1642</v>
      </c>
      <c r="C17" s="2">
        <v>1642</v>
      </c>
      <c r="D17" s="16">
        <v>100</v>
      </c>
      <c r="E17" s="16">
        <v>30.493300852618759</v>
      </c>
      <c r="F17" s="4">
        <v>15021</v>
      </c>
      <c r="G17" s="15">
        <v>1698</v>
      </c>
      <c r="H17" s="2">
        <v>1478</v>
      </c>
      <c r="I17" s="16">
        <v>87.043580683156648</v>
      </c>
      <c r="J17" s="16">
        <v>13.87536873156342</v>
      </c>
      <c r="K17" s="4">
        <v>6152.3384955752208</v>
      </c>
      <c r="L17" s="32"/>
      <c r="M17" s="34"/>
      <c r="AJ17" s="25" t="s">
        <v>33</v>
      </c>
      <c r="AK17" s="15">
        <f>G14</f>
        <v>1698</v>
      </c>
      <c r="AL17" s="15">
        <f>H14</f>
        <v>956</v>
      </c>
    </row>
    <row r="18" spans="1:38" s="6" customFormat="1" ht="16.5" customHeight="1">
      <c r="A18" s="18" t="s">
        <v>24</v>
      </c>
      <c r="B18" s="19">
        <v>1642</v>
      </c>
      <c r="C18" s="20">
        <v>1642</v>
      </c>
      <c r="D18" s="21">
        <v>100</v>
      </c>
      <c r="E18" s="21">
        <v>53.961429494507684</v>
      </c>
      <c r="F18" s="3">
        <v>27467.446841294299</v>
      </c>
      <c r="G18" s="19">
        <v>1698</v>
      </c>
      <c r="H18" s="20">
        <v>1478</v>
      </c>
      <c r="I18" s="21">
        <v>87.043580683156648</v>
      </c>
      <c r="J18" s="21">
        <v>28.678484479610468</v>
      </c>
      <c r="K18" s="3">
        <v>13139.908018867925</v>
      </c>
      <c r="L18" s="32"/>
      <c r="M18" s="34"/>
      <c r="AJ18" s="25" t="s">
        <v>34</v>
      </c>
      <c r="AK18" s="15">
        <f>G15</f>
        <v>1698</v>
      </c>
      <c r="AL18" s="15">
        <f>H15</f>
        <v>1318</v>
      </c>
    </row>
    <row r="19" spans="1:38" ht="19.5" customHeight="1">
      <c r="A19" s="1" t="s">
        <v>0</v>
      </c>
      <c r="B19" s="22"/>
      <c r="C19" s="22"/>
      <c r="D19" s="23"/>
      <c r="F19" s="35"/>
      <c r="G19" s="22"/>
      <c r="H19" s="22"/>
      <c r="I19" s="23"/>
      <c r="K19" s="35" t="s">
        <v>25</v>
      </c>
      <c r="L19" s="32"/>
      <c r="O19" s="6"/>
      <c r="S19" s="6"/>
      <c r="AJ19" s="25" t="s">
        <v>35</v>
      </c>
      <c r="AK19" s="15">
        <f>G16</f>
        <v>1698</v>
      </c>
      <c r="AL19" s="15">
        <f>H16</f>
        <v>1478</v>
      </c>
    </row>
    <row r="20" spans="1:38" ht="12.75" customHeight="1">
      <c r="A20" s="38" t="s">
        <v>40</v>
      </c>
      <c r="B20" s="29"/>
      <c r="C20" s="32"/>
      <c r="D20" s="32"/>
      <c r="E20" s="32"/>
      <c r="F20" s="32"/>
      <c r="G20" s="29"/>
      <c r="H20" s="32"/>
      <c r="I20" s="32"/>
      <c r="J20" s="32"/>
      <c r="K20" s="32"/>
      <c r="L20" s="32"/>
      <c r="O20" s="6"/>
      <c r="S20" s="6"/>
      <c r="AJ20" s="25" t="s">
        <v>36</v>
      </c>
      <c r="AK20" s="15">
        <f>G17</f>
        <v>1698</v>
      </c>
      <c r="AL20" s="15">
        <f>H17</f>
        <v>1478</v>
      </c>
    </row>
    <row r="21" spans="1:38" ht="12.75" customHeight="1">
      <c r="A21" s="39" t="s">
        <v>41</v>
      </c>
      <c r="B21" s="29"/>
      <c r="C21" s="32"/>
      <c r="D21" s="32"/>
      <c r="E21" s="32"/>
      <c r="F21" s="32"/>
      <c r="G21" s="29"/>
      <c r="H21" s="32"/>
      <c r="I21" s="32"/>
      <c r="J21" s="32"/>
      <c r="K21" s="32"/>
      <c r="L21" s="32"/>
      <c r="AJ21" s="25" t="s">
        <v>37</v>
      </c>
      <c r="AK21" s="15">
        <f>G18</f>
        <v>1698</v>
      </c>
      <c r="AL21" s="15">
        <f>H18</f>
        <v>1478</v>
      </c>
    </row>
    <row r="22" spans="1:38" ht="18.75" customHeight="1">
      <c r="A22" s="26"/>
      <c r="B22" s="29"/>
      <c r="C22" s="32"/>
      <c r="D22" s="32"/>
      <c r="E22" s="32"/>
      <c r="F22" s="32"/>
      <c r="G22" s="29"/>
      <c r="H22" s="32"/>
      <c r="I22" s="32"/>
      <c r="J22" s="32"/>
      <c r="K22" s="32"/>
      <c r="L22" s="32"/>
    </row>
    <row r="23" spans="1:38" ht="18.75" customHeight="1">
      <c r="A23" s="26"/>
      <c r="B23" s="29"/>
      <c r="C23" s="32"/>
      <c r="D23" s="32"/>
      <c r="E23" s="32"/>
      <c r="F23" s="32"/>
      <c r="G23" s="29"/>
      <c r="H23" s="32"/>
      <c r="I23" s="32"/>
      <c r="J23" s="32"/>
      <c r="K23" s="32"/>
      <c r="L23" s="32"/>
    </row>
    <row r="24" spans="1:38" ht="18.75" customHeight="1">
      <c r="A24" s="26"/>
      <c r="B24" s="29"/>
      <c r="C24" s="32"/>
      <c r="D24" s="32"/>
      <c r="E24" s="32"/>
      <c r="F24" s="32"/>
      <c r="G24" s="29"/>
      <c r="H24" s="32"/>
      <c r="I24" s="32"/>
      <c r="J24" s="32"/>
      <c r="K24" s="32"/>
      <c r="L24" s="32"/>
    </row>
    <row r="25" spans="1:38" ht="18.75" customHeight="1">
      <c r="A25" s="26"/>
      <c r="B25" s="29"/>
      <c r="C25" s="32"/>
      <c r="D25" s="32"/>
      <c r="E25" s="32"/>
      <c r="F25" s="32"/>
      <c r="G25" s="29"/>
      <c r="H25" s="32"/>
      <c r="I25" s="32"/>
      <c r="J25" s="32"/>
      <c r="K25" s="32"/>
      <c r="L25" s="32"/>
      <c r="T25" s="27"/>
    </row>
    <row r="26" spans="1:38" ht="18.75" customHeight="1">
      <c r="A26" s="26"/>
      <c r="B26" s="31"/>
      <c r="C26" s="30"/>
      <c r="D26" s="30"/>
      <c r="E26" s="30"/>
      <c r="F26" s="30"/>
      <c r="G26" s="31"/>
      <c r="H26" s="30"/>
      <c r="I26" s="30"/>
      <c r="J26" s="30"/>
      <c r="K26" s="30"/>
      <c r="L26" s="30"/>
      <c r="T26" s="27"/>
    </row>
    <row r="27" spans="1:38" ht="18.75" customHeight="1">
      <c r="A27" s="26"/>
      <c r="B27" s="29"/>
      <c r="C27" s="30"/>
      <c r="D27" s="30"/>
      <c r="E27" s="30"/>
      <c r="F27" s="30"/>
      <c r="G27" s="29"/>
      <c r="H27" s="30"/>
      <c r="I27" s="30"/>
      <c r="J27" s="30"/>
      <c r="K27" s="30"/>
      <c r="L27" s="30"/>
      <c r="T27" s="27"/>
    </row>
    <row r="28" spans="1:38" ht="18.75" customHeight="1">
      <c r="A28" s="26"/>
      <c r="B28" s="29"/>
      <c r="C28" s="30"/>
      <c r="D28" s="30"/>
      <c r="E28" s="30"/>
      <c r="F28" s="30"/>
      <c r="G28" s="29"/>
      <c r="H28" s="30"/>
      <c r="I28" s="30"/>
      <c r="J28" s="30"/>
      <c r="K28" s="30"/>
      <c r="L28" s="30"/>
      <c r="T28" s="27"/>
    </row>
    <row r="29" spans="1:38" ht="18.75" customHeight="1">
      <c r="A29" s="26"/>
      <c r="B29" s="29"/>
      <c r="C29" s="30"/>
      <c r="D29" s="30"/>
      <c r="E29" s="30"/>
      <c r="F29" s="30"/>
      <c r="G29" s="29"/>
      <c r="H29" s="30"/>
      <c r="I29" s="30"/>
      <c r="J29" s="30"/>
      <c r="K29" s="30"/>
      <c r="L29" s="30"/>
      <c r="T29" s="27"/>
    </row>
    <row r="30" spans="1:38" ht="18.75" customHeight="1">
      <c r="A30" s="26"/>
      <c r="B30" s="29"/>
      <c r="C30" s="30"/>
      <c r="D30" s="30"/>
      <c r="E30" s="30"/>
      <c r="F30" s="30"/>
      <c r="G30" s="29"/>
      <c r="H30" s="30"/>
      <c r="I30" s="30"/>
      <c r="J30" s="30"/>
      <c r="K30" s="30"/>
      <c r="L30" s="30"/>
      <c r="T30" s="27"/>
    </row>
    <row r="31" spans="1:38" ht="18.75" customHeight="1">
      <c r="A31" s="26"/>
      <c r="B31" s="29"/>
      <c r="C31" s="30"/>
      <c r="D31" s="30"/>
      <c r="E31" s="30"/>
      <c r="F31" s="30"/>
      <c r="G31" s="29"/>
      <c r="H31" s="30"/>
      <c r="I31" s="30"/>
      <c r="J31" s="30"/>
      <c r="K31" s="30"/>
      <c r="L31" s="30"/>
      <c r="T31" s="27"/>
    </row>
    <row r="32" spans="1:38" ht="9.75" customHeight="1">
      <c r="A32" s="26"/>
      <c r="B32" s="29"/>
      <c r="C32" s="30"/>
      <c r="D32" s="30"/>
      <c r="E32" s="30"/>
      <c r="F32" s="30"/>
      <c r="G32" s="29"/>
      <c r="H32" s="30"/>
      <c r="I32" s="30"/>
      <c r="J32" s="30"/>
      <c r="K32" s="30"/>
      <c r="L32" s="30"/>
      <c r="T32" s="27"/>
    </row>
    <row r="33" spans="1:20" ht="18.75" customHeight="1">
      <c r="A33" s="26"/>
      <c r="B33" s="29"/>
      <c r="C33" s="30"/>
      <c r="D33" s="30"/>
      <c r="E33" s="30"/>
      <c r="F33" s="30"/>
      <c r="G33" s="29"/>
      <c r="H33" s="30"/>
      <c r="I33" s="30"/>
      <c r="J33" s="30"/>
      <c r="K33" s="30"/>
      <c r="L33" s="30"/>
      <c r="T33" s="27"/>
    </row>
    <row r="34" spans="1:20" ht="18.75" customHeight="1">
      <c r="A34" s="26"/>
      <c r="B34" s="29"/>
      <c r="C34" s="30"/>
      <c r="D34" s="30"/>
      <c r="E34" s="30"/>
      <c r="F34" s="30"/>
      <c r="G34" s="29"/>
      <c r="H34" s="30"/>
      <c r="I34" s="30"/>
      <c r="J34" s="30"/>
      <c r="K34" s="30"/>
      <c r="L34" s="30"/>
      <c r="T34" s="27"/>
    </row>
    <row r="35" spans="1:20" ht="12.75">
      <c r="B35" s="29"/>
      <c r="C35" s="30"/>
      <c r="D35" s="30"/>
      <c r="E35" s="30"/>
      <c r="F35" s="30"/>
      <c r="G35" s="29"/>
      <c r="H35" s="30"/>
      <c r="I35" s="30"/>
      <c r="J35" s="30"/>
      <c r="K35" s="30"/>
      <c r="L35" s="30"/>
      <c r="T35" s="27"/>
    </row>
    <row r="36" spans="1:20" ht="12.75">
      <c r="B36" s="29"/>
      <c r="C36" s="30"/>
      <c r="D36" s="30"/>
      <c r="E36" s="30"/>
      <c r="F36" s="30"/>
      <c r="G36" s="29"/>
      <c r="H36" s="30"/>
      <c r="I36" s="30"/>
      <c r="J36" s="30"/>
      <c r="K36" s="30"/>
      <c r="L36" s="30"/>
      <c r="T36" s="27"/>
    </row>
    <row r="37" spans="1:20" ht="12.75">
      <c r="B37" s="29"/>
      <c r="C37" s="30"/>
      <c r="D37" s="30"/>
      <c r="E37" s="30"/>
      <c r="F37" s="30"/>
      <c r="G37" s="29"/>
      <c r="H37" s="30"/>
      <c r="I37" s="30"/>
      <c r="J37" s="30"/>
      <c r="K37" s="30"/>
      <c r="L37" s="30"/>
      <c r="T37" s="27"/>
    </row>
    <row r="38" spans="1:20">
      <c r="T38" s="27"/>
    </row>
    <row r="39" spans="1:20">
      <c r="T39" s="27"/>
    </row>
    <row r="40" spans="1:20">
      <c r="T40" s="27"/>
    </row>
    <row r="41" spans="1:20">
      <c r="T41" s="27"/>
    </row>
    <row r="42" spans="1:20">
      <c r="T42" s="27"/>
    </row>
    <row r="43" spans="1:20">
      <c r="T43" s="27"/>
    </row>
    <row r="44" spans="1:20">
      <c r="T44" s="27"/>
    </row>
    <row r="45" spans="1:20">
      <c r="T45" s="27"/>
    </row>
    <row r="46" spans="1:20">
      <c r="T46" s="27"/>
    </row>
    <row r="47" spans="1:20">
      <c r="T47" s="27"/>
    </row>
    <row r="48" spans="1:20">
      <c r="T48" s="27"/>
    </row>
    <row r="49" spans="20:20">
      <c r="T49" s="27"/>
    </row>
    <row r="50" spans="20:20">
      <c r="T50" s="27"/>
    </row>
    <row r="51" spans="20:20">
      <c r="T51" s="27"/>
    </row>
    <row r="52" spans="20:20">
      <c r="T52" s="27"/>
    </row>
    <row r="53" spans="20:20">
      <c r="T53" s="27"/>
    </row>
    <row r="54" spans="20:20">
      <c r="T54" s="27"/>
    </row>
    <row r="55" spans="20:20">
      <c r="T55" s="27"/>
    </row>
    <row r="56" spans="20:20">
      <c r="T56" s="27"/>
    </row>
    <row r="57" spans="20:20">
      <c r="T57" s="27"/>
    </row>
    <row r="58" spans="20:20">
      <c r="T58" s="27"/>
    </row>
    <row r="59" spans="20:20">
      <c r="T59" s="27"/>
    </row>
    <row r="60" spans="20:20">
      <c r="T60" s="27"/>
    </row>
    <row r="61" spans="20:20">
      <c r="T61" s="27"/>
    </row>
    <row r="62" spans="20:20">
      <c r="T62" s="27"/>
    </row>
    <row r="63" spans="20:20">
      <c r="T63" s="27"/>
    </row>
    <row r="64" spans="20:20">
      <c r="T64" s="27"/>
    </row>
    <row r="65" spans="20:20">
      <c r="T65" s="27"/>
    </row>
    <row r="66" spans="20:20">
      <c r="T66" s="27"/>
    </row>
    <row r="67" spans="20:20">
      <c r="T67" s="27"/>
    </row>
    <row r="68" spans="20:20">
      <c r="T68" s="27"/>
    </row>
    <row r="69" spans="20:20">
      <c r="T69" s="27"/>
    </row>
    <row r="70" spans="20:20">
      <c r="T70" s="27"/>
    </row>
    <row r="71" spans="20:20">
      <c r="T71" s="27"/>
    </row>
    <row r="72" spans="20:20">
      <c r="T72" s="27"/>
    </row>
    <row r="73" spans="20:20">
      <c r="T73" s="27"/>
    </row>
  </sheetData>
  <mergeCells count="5">
    <mergeCell ref="G3:K3"/>
    <mergeCell ref="A2:K2"/>
    <mergeCell ref="A1:K1"/>
    <mergeCell ref="B3:F3"/>
    <mergeCell ref="A3:A5"/>
  </mergeCells>
  <pageMargins left="0.7" right="0.7" top="0.75" bottom="0.75" header="0.3" footer="0.3"/>
  <pageSetup paperSize="9" scale="7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10.5</vt:lpstr>
      <vt:lpstr>'10.5'!Print_Area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2021-07-12T05:48:07Z</cp:lastPrinted>
  <dcterms:created xsi:type="dcterms:W3CDTF">2019-02-27T06:18:18Z</dcterms:created>
  <dcterms:modified xsi:type="dcterms:W3CDTF">2021-07-12T05:48:17Z</dcterms:modified>
</cp:coreProperties>
</file>