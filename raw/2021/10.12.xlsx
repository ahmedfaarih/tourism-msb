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12" sheetId="12" r:id="rId1"/>
  </sheets>
  <externalReferences>
    <externalReference r:id="rId2"/>
  </externalReferences>
  <definedNames>
    <definedName name="_xlnm.Print_Area" localSheetId="0">'10.12'!$A$1:$L$62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L27" i="12" l="1"/>
  <c r="BL28" i="12"/>
  <c r="BL29" i="12"/>
  <c r="BL30" i="12"/>
  <c r="BL31" i="12"/>
  <c r="BL32" i="12"/>
  <c r="BL33" i="12"/>
  <c r="BL34" i="12"/>
  <c r="BL35" i="12"/>
  <c r="BL36" i="12"/>
  <c r="BL37" i="12"/>
  <c r="BL38" i="12"/>
  <c r="BL39" i="12"/>
  <c r="BL40" i="12"/>
  <c r="BL41" i="12"/>
  <c r="BL42" i="12"/>
  <c r="BL43" i="12"/>
  <c r="BL44" i="12"/>
  <c r="BL26" i="12"/>
  <c r="BP45" i="12" l="1"/>
  <c r="I5" i="12" l="1"/>
  <c r="J8" i="12" s="1"/>
  <c r="J24" i="12" l="1"/>
  <c r="J12" i="12"/>
  <c r="J22" i="12"/>
  <c r="J10" i="12"/>
  <c r="J19" i="12"/>
  <c r="J7" i="12"/>
  <c r="J18" i="12"/>
  <c r="J6" i="12"/>
  <c r="J16" i="12"/>
  <c r="J5" i="12"/>
  <c r="J13" i="12"/>
  <c r="J23" i="12"/>
  <c r="J17" i="12"/>
  <c r="J11" i="12"/>
  <c r="J21" i="12"/>
  <c r="J15" i="12"/>
  <c r="J9" i="12"/>
  <c r="J20" i="12"/>
  <c r="J14" i="12"/>
  <c r="BO45" i="12" l="1"/>
  <c r="H5" i="12"/>
  <c r="BL45" i="12" l="1"/>
  <c r="BN45" i="12"/>
  <c r="BM45" i="12" l="1"/>
  <c r="G5" i="12"/>
  <c r="F5" i="12"/>
  <c r="E5" i="12"/>
  <c r="D5" i="12"/>
  <c r="C5" i="12"/>
  <c r="B5" i="12"/>
</calcChain>
</file>

<file path=xl/sharedStrings.xml><?xml version="1.0" encoding="utf-8"?>
<sst xmlns="http://schemas.openxmlformats.org/spreadsheetml/2006/main" count="73" uniqueCount="69">
  <si>
    <t>ޖުމްލަ</t>
  </si>
  <si>
    <t>-</t>
  </si>
  <si>
    <t>Source: Ministry of Tourism</t>
  </si>
  <si>
    <t>cmwzirUT cfoa  IrcTcsinim :ctWrwf ivcaed utWmUluAwm</t>
  </si>
  <si>
    <t>Resorts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</si>
  <si>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</si>
  <si>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</si>
  <si>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</si>
  <si>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</si>
  <si>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</si>
  <si>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</si>
  <si>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</si>
  <si>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</si>
  <si>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</si>
  <si>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</si>
  <si>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</si>
  <si>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</si>
  <si>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</si>
  <si>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</si>
  <si>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</si>
  <si>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</si>
  <si>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</si>
  <si>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</si>
  <si>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</si>
  <si>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</si>
  <si>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</si>
  <si>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</si>
  <si>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</si>
  <si>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</si>
  <si>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</si>
  <si>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</si>
  <si>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</si>
  <si>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</si>
  <si>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</si>
  <si>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</si>
  <si>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</si>
  <si>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</si>
  <si>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</si>
  <si>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</si>
  <si>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</si>
  <si>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</si>
  <si>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</si>
  <si>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</si>
  <si>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</si>
  <si>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</si>
  <si>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</si>
  <si>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</si>
  <si>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</si>
  <si>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</si>
  <si>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</si>
  <si>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</si>
  <si>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</si>
  <si>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</si>
  <si>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</si>
  <si>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</si>
  <si>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</si>
  <si>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</si>
  <si>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</si>
  <si>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</si>
  <si>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</si>
  <si>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</si>
  <si>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</si>
  <si>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</si>
  <si>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HDh</t>
  </si>
  <si>
    <t>ތިލަދުންމަތި ދެކުނުބުރި (ހދ)</t>
  </si>
  <si>
    <t>number of resorts</t>
  </si>
  <si>
    <t>in 2020</t>
  </si>
  <si>
    <t>Table 10.12 :   BED CAPACITY OF TOURIST RESORTS BY ATOLL, 2013 - 2020</t>
  </si>
  <si>
    <t>ތާވަލު 10.12: ރިސޯޓުތަކުގެ އެނދުގެ ޖާގަ އަތޮޅުތަކަށް ބެހިފައިވާ ގޮތް، 2013 - 2020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</si>
</sst>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6" formatCode="_(* #,##0_);_(* \(#,##0\);_(* &quot;-&quot;??_);_(@_)"/>
    <numFmt numFmtId="171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sz val="9"/>
      <color theme="1"/>
      <name val="A_Randhoo"/>
    </font>
    <font>
      <sz val="10"/>
      <name val="Courier"/>
      <family val="3"/>
    </font>
    <font>
      <i/>
      <sz val="9"/>
      <color theme="1"/>
      <name val="Arial"/>
      <family val="2"/>
    </font>
    <font>
      <sz val="10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171" fontId="18" fillId="0" borderId="0"/>
    <xf numFmtId="1" fontId="19" fillId="0" borderId="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4">
    <xf numFmtId="0" fontId="0" fillId="0" borderId="0" xfId="0"/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Border="1" applyAlignment="1">
      <alignment horizontal="right" vertical="center"/>
    </xf>
    <xf numFmtId="0" fontId="9" fillId="2" borderId="0" xfId="2" applyFont="1" applyFill="1" applyBorder="1"/>
    <xf numFmtId="0" fontId="9" fillId="2" borderId="0" xfId="2" applyFont="1" applyFill="1" applyBorder="1" applyAlignment="1">
      <alignment vertical="center"/>
    </xf>
    <xf numFmtId="3" fontId="9" fillId="2" borderId="0" xfId="2" applyNumberFormat="1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3" fontId="6" fillId="2" borderId="0" xfId="2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/>
    </xf>
    <xf numFmtId="0" fontId="6" fillId="2" borderId="0" xfId="2" applyFont="1" applyFill="1" applyBorder="1" applyAlignment="1" applyProtection="1">
      <alignment horizontal="left" vertical="center"/>
    </xf>
    <xf numFmtId="0" fontId="6" fillId="2" borderId="0" xfId="2" applyFont="1" applyFill="1" applyBorder="1" applyAlignment="1">
      <alignment horizontal="left" vertical="center"/>
    </xf>
    <xf numFmtId="0" fontId="15" fillId="2" borderId="0" xfId="2" applyFont="1" applyFill="1" applyBorder="1" applyAlignment="1" applyProtection="1">
      <alignment horizontal="right" vertical="center"/>
    </xf>
    <xf numFmtId="1" fontId="5" fillId="2" borderId="2" xfId="2" applyNumberFormat="1" applyFont="1" applyFill="1" applyBorder="1" applyAlignment="1">
      <alignment horizontal="right" vertical="center"/>
    </xf>
    <xf numFmtId="0" fontId="5" fillId="2" borderId="2" xfId="2" applyFont="1" applyFill="1" applyBorder="1" applyAlignment="1">
      <alignment horizontal="center" vertical="center"/>
    </xf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3" fontId="5" fillId="2" borderId="0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 applyAlignment="1">
      <alignment horizontal="center" vertical="center"/>
    </xf>
    <xf numFmtId="0" fontId="14" fillId="2" borderId="0" xfId="2" applyFont="1" applyFill="1" applyBorder="1" applyAlignment="1" applyProtection="1">
      <alignment horizontal="left" vertical="center"/>
    </xf>
    <xf numFmtId="0" fontId="5" fillId="2" borderId="0" xfId="2" applyFont="1" applyFill="1" applyBorder="1" applyAlignment="1" applyProtection="1">
      <alignment horizontal="left" vertical="center"/>
    </xf>
    <xf numFmtId="0" fontId="4" fillId="2" borderId="0" xfId="2" applyFont="1" applyFill="1" applyBorder="1" applyAlignment="1" applyProtection="1">
      <alignment horizontal="left" vertical="center"/>
    </xf>
    <xf numFmtId="0" fontId="5" fillId="2" borderId="1" xfId="2" applyFont="1" applyFill="1" applyBorder="1" applyAlignment="1">
      <alignment horizontal="center" vertical="center"/>
    </xf>
    <xf numFmtId="0" fontId="9" fillId="2" borderId="0" xfId="0" applyFont="1" applyFill="1" applyBorder="1"/>
    <xf numFmtId="0" fontId="5" fillId="2" borderId="1" xfId="2" applyFont="1" applyFill="1" applyBorder="1" applyAlignment="1" applyProtection="1">
      <alignment horizontal="center" vertical="center"/>
    </xf>
    <xf numFmtId="0" fontId="5" fillId="2" borderId="2" xfId="2" applyFont="1" applyFill="1" applyBorder="1" applyAlignment="1" applyProtection="1">
      <alignment horizontal="center" vertical="center"/>
    </xf>
    <xf numFmtId="0" fontId="10" fillId="2" borderId="0" xfId="2" applyFont="1" applyFill="1" applyBorder="1" applyAlignment="1">
      <alignment horizontal="center"/>
    </xf>
    <xf numFmtId="0" fontId="11" fillId="2" borderId="0" xfId="2" applyFont="1" applyFill="1" applyBorder="1" applyAlignment="1" applyProtection="1">
      <alignment horizontal="center" vertical="center" wrapText="1"/>
    </xf>
    <xf numFmtId="0" fontId="7" fillId="2" borderId="0" xfId="2" applyFont="1" applyFill="1" applyBorder="1" applyAlignment="1" applyProtection="1">
      <alignment horizontal="right" vertical="center"/>
    </xf>
    <xf numFmtId="3" fontId="6" fillId="2" borderId="0" xfId="2" applyNumberFormat="1" applyFont="1" applyFill="1" applyBorder="1" applyAlignment="1">
      <alignment horizontal="center" vertical="center"/>
    </xf>
    <xf numFmtId="0" fontId="15" fillId="2" borderId="0" xfId="2" applyFont="1" applyFill="1" applyBorder="1" applyAlignment="1">
      <alignment horizontal="right" vertical="center"/>
    </xf>
    <xf numFmtId="1" fontId="9" fillId="2" borderId="0" xfId="2" applyNumberFormat="1" applyFont="1" applyFill="1" applyBorder="1"/>
    <xf numFmtId="1" fontId="9" fillId="2" borderId="0" xfId="2" applyNumberFormat="1" applyFont="1" applyFill="1" applyBorder="1" applyAlignment="1">
      <alignment horizontal="center"/>
    </xf>
    <xf numFmtId="166" fontId="9" fillId="2" borderId="0" xfId="1" applyNumberFormat="1" applyFont="1" applyFill="1" applyBorder="1"/>
    <xf numFmtId="0" fontId="16" fillId="2" borderId="0" xfId="2" applyFont="1" applyFill="1" applyBorder="1"/>
    <xf numFmtId="3" fontId="9" fillId="2" borderId="0" xfId="2" applyNumberFormat="1" applyFont="1" applyFill="1" applyBorder="1"/>
    <xf numFmtId="0" fontId="9" fillId="2" borderId="0" xfId="2" applyFont="1" applyFill="1" applyBorder="1" applyAlignment="1">
      <alignment horizontal="center"/>
    </xf>
    <xf numFmtId="0" fontId="6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right" vertical="center"/>
    </xf>
    <xf numFmtId="3" fontId="6" fillId="2" borderId="2" xfId="2" applyNumberFormat="1" applyFont="1" applyFill="1" applyBorder="1" applyAlignment="1">
      <alignment horizontal="center" vertical="center"/>
    </xf>
    <xf numFmtId="0" fontId="15" fillId="2" borderId="2" xfId="2" applyFont="1" applyFill="1" applyBorder="1" applyAlignment="1">
      <alignment horizontal="right" vertical="center"/>
    </xf>
    <xf numFmtId="1" fontId="5" fillId="2" borderId="2" xfId="2" applyNumberFormat="1" applyFont="1" applyFill="1" applyBorder="1" applyAlignment="1">
      <alignment vertical="center"/>
    </xf>
    <xf numFmtId="0" fontId="7" fillId="2" borderId="2" xfId="2" applyFont="1" applyFill="1" applyBorder="1" applyAlignment="1" applyProtection="1">
      <alignment horizontal="right" vertical="center"/>
    </xf>
    <xf numFmtId="0" fontId="5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right"/>
    </xf>
    <xf numFmtId="0" fontId="9" fillId="2" borderId="0" xfId="2" applyFont="1" applyFill="1" applyBorder="1" applyAlignment="1">
      <alignment horizontal="center"/>
    </xf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201</a:t>
            </a:r>
            <a:r>
              <a:rPr lang="dv-MV" sz="1100" b="1" i="0" baseline="0">
                <a:latin typeface="Consolas" panose="020B0609020204030204" pitchFamily="49" charset="0"/>
                <a:cs typeface="Consolas" pitchFamily="49" charset="0"/>
              </a:rPr>
              <a:t>9</a:t>
            </a: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89229683863952"/>
          <c:y val="4.5856134216005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88201474815648"/>
          <c:y val="0.1600313294171562"/>
          <c:w val="0.85448928258967627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cat>
            <c:strRef>
              <c:f>'10.12'!$BK$26:$BK$44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'10.12'!$BL$26:$BL$44</c:f>
              <c:numCache>
                <c:formatCode>_(* #,##0_);_(* \(#,##0\);_(* "-"??_);_(@_)</c:formatCode>
                <c:ptCount val="19"/>
                <c:pt idx="0">
                  <c:v>394</c:v>
                </c:pt>
                <c:pt idx="1">
                  <c:v>118</c:v>
                </c:pt>
                <c:pt idx="2">
                  <c:v>457</c:v>
                </c:pt>
                <c:pt idx="3">
                  <c:v>1436</c:v>
                </c:pt>
                <c:pt idx="4">
                  <c:v>3288</c:v>
                </c:pt>
                <c:pt idx="5">
                  <c:v>3104</c:v>
                </c:pt>
                <c:pt idx="6">
                  <c:v>2468</c:v>
                </c:pt>
                <c:pt idx="7">
                  <c:v>12048</c:v>
                </c:pt>
                <c:pt idx="8">
                  <c:v>2224</c:v>
                </c:pt>
                <c:pt idx="9">
                  <c:v>4350</c:v>
                </c:pt>
                <c:pt idx="10">
                  <c:v>614</c:v>
                </c:pt>
                <c:pt idx="11">
                  <c:v>440</c:v>
                </c:pt>
                <c:pt idx="12">
                  <c:v>250</c:v>
                </c:pt>
                <c:pt idx="13">
                  <c:v>2806</c:v>
                </c:pt>
                <c:pt idx="14">
                  <c:v>152</c:v>
                </c:pt>
                <c:pt idx="15">
                  <c:v>242</c:v>
                </c:pt>
                <c:pt idx="16">
                  <c:v>1267</c:v>
                </c:pt>
                <c:pt idx="17">
                  <c:v>550</c:v>
                </c:pt>
                <c:pt idx="18">
                  <c:v>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158427960"/>
        <c:axId val="158432272"/>
      </c:barChart>
      <c:catAx>
        <c:axId val="15842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58432272"/>
        <c:crosses val="autoZero"/>
        <c:auto val="1"/>
        <c:lblAlgn val="ctr"/>
        <c:lblOffset val="100"/>
        <c:noMultiLvlLbl val="0"/>
      </c:catAx>
      <c:valAx>
        <c:axId val="158432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58427960"/>
        <c:crosses val="autoZero"/>
        <c:crossBetween val="between"/>
      </c:valAx>
      <c:spPr>
        <a:solidFill>
          <a:srgbClr val="EAFAFA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</a:t>
            </a:r>
            <a:r>
              <a:rPr lang="en-US" sz="1200" b="1" baseline="0"/>
              <a:t> 10.19: Number of resorts by Atolls, 2018 - 2020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9789024373666111E-2"/>
          <c:y val="0.16041666666666668"/>
          <c:w val="0.94195085531083245"/>
          <c:h val="0.75533209390492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'10.12'!$BN$25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'10.12'!$BK$26:$BK$44</c15:sqref>
                  </c15:fullRef>
                </c:ext>
              </c:extLst>
              <c:f>'10.12'!$BK$27:$BK$44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'10.12'!$BN$26:$BN$44</c15:sqref>
                  </c15:fullRef>
                </c:ext>
              </c:extLst>
              <c:f>'10.12'!$BN$27:$BN$44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8</c:v>
                </c:pt>
                <c:pt idx="4">
                  <c:v>15</c:v>
                </c:pt>
                <c:pt idx="5">
                  <c:v>9</c:v>
                </c:pt>
                <c:pt idx="6">
                  <c:v>47</c:v>
                </c:pt>
                <c:pt idx="7">
                  <c:v>13</c:v>
                </c:pt>
                <c:pt idx="8">
                  <c:v>17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7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A-4EB2-9A8D-E6B9EDC79472}"/>
            </c:ext>
          </c:extLst>
        </c:ser>
        <c:ser>
          <c:idx val="1"/>
          <c:order val="1"/>
          <c:tx>
            <c:strRef>
              <c:f>'10.12'!$BO$25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'10.12'!$BK$26:$BK$44</c15:sqref>
                  </c15:fullRef>
                </c:ext>
              </c:extLst>
              <c:f>'10.12'!$BK$27:$BK$44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'10.12'!$BO$26:$BO$44</c15:sqref>
                  </c15:fullRef>
                </c:ext>
              </c:extLst>
              <c:f>'10.12'!$BO$27:$BO$44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10</c:v>
                </c:pt>
                <c:pt idx="6">
                  <c:v>52</c:v>
                </c:pt>
                <c:pt idx="7">
                  <c:v>13</c:v>
                </c:pt>
                <c:pt idx="8">
                  <c:v>17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6A-4EB2-9A8D-E6B9EDC79472}"/>
            </c:ext>
          </c:extLst>
        </c:ser>
        <c:ser>
          <c:idx val="2"/>
          <c:order val="2"/>
          <c:tx>
            <c:strRef>
              <c:f>'10.12'!$BP$25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'10.12'!$BK$26:$BK$44</c15:sqref>
                  </c15:fullRef>
                </c:ext>
              </c:extLst>
              <c:f>'10.12'!$BK$27:$BK$44</c:f>
              <c:strCache>
                <c:ptCount val="18"/>
                <c:pt idx="0">
                  <c:v>HDh</c:v>
                </c:pt>
                <c:pt idx="1">
                  <c:v>Sh</c:v>
                </c:pt>
                <c:pt idx="2">
                  <c:v>N</c:v>
                </c:pt>
                <c:pt idx="3">
                  <c:v>R</c:v>
                </c:pt>
                <c:pt idx="4">
                  <c:v>B</c:v>
                </c:pt>
                <c:pt idx="5">
                  <c:v>Lh</c:v>
                </c:pt>
                <c:pt idx="6">
                  <c:v>K</c:v>
                </c:pt>
                <c:pt idx="7">
                  <c:v>AA</c:v>
                </c:pt>
                <c:pt idx="8">
                  <c:v>ADh</c:v>
                </c:pt>
                <c:pt idx="9">
                  <c:v>V</c:v>
                </c:pt>
                <c:pt idx="10">
                  <c:v>M</c:v>
                </c:pt>
                <c:pt idx="11">
                  <c:v>F</c:v>
                </c:pt>
                <c:pt idx="12">
                  <c:v>D</c:v>
                </c:pt>
                <c:pt idx="13">
                  <c:v>Th</c:v>
                </c:pt>
                <c:pt idx="14">
                  <c:v>L</c:v>
                </c:pt>
                <c:pt idx="15">
                  <c:v>GA</c:v>
                </c:pt>
                <c:pt idx="16">
                  <c:v>GDh</c:v>
                </c:pt>
                <c:pt idx="17">
                  <c:v>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'10.12'!$BP$26:$BP$44</c15:sqref>
                  </c15:fullRef>
                </c:ext>
              </c:extLst>
              <c:f>'10.12'!$BP$27:$BP$44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16</c:v>
                </c:pt>
                <c:pt idx="5">
                  <c:v>10</c:v>
                </c:pt>
                <c:pt idx="6">
                  <c:v>50</c:v>
                </c:pt>
                <c:pt idx="7">
                  <c:v>11</c:v>
                </c:pt>
                <c:pt idx="8">
                  <c:v>17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9</c:v>
                </c:pt>
                <c:pt idx="13">
                  <c:v>1</c:v>
                </c:pt>
                <c:pt idx="14">
                  <c:v>2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6A-4EB2-9A8D-E6B9EDC7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2"/>
        <c:axId val="158432664"/>
        <c:axId val="158433056"/>
      </c:barChart>
      <c:catAx>
        <c:axId val="1584326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3056"/>
        <c:crosses val="autoZero"/>
        <c:auto val="1"/>
        <c:lblAlgn val="ctr"/>
        <c:lblOffset val="100"/>
        <c:noMultiLvlLbl val="0"/>
      </c:catAx>
      <c:valAx>
        <c:axId val="1584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2664"/>
        <c:crosses val="autoZero"/>
        <c:crossBetween val="between"/>
      </c:valAx>
      <c:spPr>
        <a:solidFill>
          <a:srgbClr val="EAFAFA"/>
        </a:solidFill>
        <a:ln>
          <a:solidFill>
            <a:srgbClr val="DDF8F7"/>
          </a:solidFill>
        </a:ln>
        <a:effectLst/>
      </c:spPr>
    </c:plotArea>
    <c:legend>
      <c:legendPos val="b"/>
      <c:layout>
        <c:manualLayout>
          <c:xMode val="edge"/>
          <c:yMode val="edge"/>
          <c:x val="0.56770056867891516"/>
          <c:y val="0.29687445319335076"/>
          <c:w val="0.16818605154848301"/>
          <c:h val="7.6780736351888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866775</xdr:colOff>
      <xdr:row>42</xdr:row>
      <xdr:rowOff>95249</xdr:rowOff>
    </xdr:from>
    <xdr:to>
      <xdr:col>10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</xdr:row>
      <xdr:rowOff>99060</xdr:rowOff>
    </xdr:from>
    <xdr:to>
      <xdr:col>1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903976</xdr:colOff>
      <xdr:row>25</xdr:row>
      <xdr:rowOff>61643</xdr:rowOff>
    </xdr:from>
    <xdr:to>
      <xdr:col>10</xdr:col>
      <xdr:colOff>871627</xdr:colOff>
      <xdr:row>41</xdr:row>
      <xdr:rowOff>73145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P45"/>
  <sheetViews>
    <sheetView tabSelected="1" zoomScale="98" zoomScaleNormal="98" workbookViewId="0">
      <selection activeCell="O1" sqref="O1:T1048576"/>
    </sheetView>
  </sheetViews>
  <sheetFormatPr defaultColWidth="9.140625" defaultRowHeight="12.75"/>
  <cols>
    <col min="1" max="1" width="28.140625" style="3" customWidth="1"/>
    <col min="2" max="9" width="8.7109375" style="3" customWidth="1"/>
    <col min="10" max="10" width="17" style="3" customWidth="1"/>
    <col min="11" max="11" width="23.28515625" style="3" customWidth="1"/>
    <col min="12" max="12" width="2" style="3" customWidth="1"/>
    <col min="13" max="63" width="9.140625" style="3"/>
    <col min="64" max="64" width="9.42578125" style="3" bestFit="1" customWidth="1"/>
    <col min="65" max="16384" width="9.140625" style="3"/>
  </cols>
  <sheetData>
    <row r="1" spans="1:68" ht="18.75" customHeight="1">
      <c r="A1" s="24" t="s">
        <v>68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68" ht="18.75" customHeight="1">
      <c r="A2" s="25" t="s">
        <v>67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68" ht="13.5" customHeight="1">
      <c r="A3" s="22" t="s">
        <v>4</v>
      </c>
      <c r="B3" s="41"/>
      <c r="C3" s="41"/>
      <c r="D3" s="41"/>
      <c r="E3" s="41"/>
      <c r="F3" s="41"/>
      <c r="G3" s="41"/>
      <c r="H3" s="41"/>
      <c r="I3" s="41"/>
      <c r="J3" s="20" t="s">
        <v>5</v>
      </c>
      <c r="K3" s="42"/>
    </row>
    <row r="4" spans="1:68" ht="15.95" customHeight="1">
      <c r="A4" s="23"/>
      <c r="B4" s="12">
        <v>2013</v>
      </c>
      <c r="C4" s="39">
        <v>2014</v>
      </c>
      <c r="D4" s="39">
        <v>2015</v>
      </c>
      <c r="E4" s="39">
        <v>2016</v>
      </c>
      <c r="F4" s="39">
        <v>2017</v>
      </c>
      <c r="G4" s="39">
        <v>2018</v>
      </c>
      <c r="H4" s="39">
        <v>2019</v>
      </c>
      <c r="I4" s="39">
        <v>2020</v>
      </c>
      <c r="J4" s="13" t="s">
        <v>66</v>
      </c>
      <c r="K4" s="40" t="s">
        <v>6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spans="1:68" s="4" customFormat="1" ht="17.25" customHeight="1">
      <c r="A5" s="18" t="s">
        <v>7</v>
      </c>
      <c r="B5" s="15">
        <f t="shared" ref="B5:G5" si="0">SUM(B6:B24)</f>
        <v>23487</v>
      </c>
      <c r="C5" s="15">
        <f t="shared" si="0"/>
        <v>24031</v>
      </c>
      <c r="D5" s="15">
        <f t="shared" si="0"/>
        <v>24877</v>
      </c>
      <c r="E5" s="15">
        <f t="shared" si="0"/>
        <v>27031</v>
      </c>
      <c r="F5" s="15">
        <f t="shared" si="0"/>
        <v>29977</v>
      </c>
      <c r="G5" s="15">
        <f t="shared" si="0"/>
        <v>31741</v>
      </c>
      <c r="H5" s="15">
        <f>SUM(H6:H24)</f>
        <v>37016</v>
      </c>
      <c r="I5" s="15">
        <f>SUM(I6:I24)</f>
        <v>37134</v>
      </c>
      <c r="J5" s="16">
        <f>I5/$I$5*100</f>
        <v>100</v>
      </c>
      <c r="K5" s="26" t="s">
        <v>0</v>
      </c>
      <c r="BE5" s="5"/>
      <c r="BF5" s="5"/>
      <c r="BG5" s="5"/>
      <c r="BH5" s="5"/>
      <c r="BK5" s="3"/>
      <c r="BL5" s="3"/>
      <c r="BM5" s="3"/>
      <c r="BN5" s="3"/>
      <c r="BO5" s="3"/>
      <c r="BP5" s="3"/>
    </row>
    <row r="6" spans="1:68" s="4" customFormat="1" ht="18.75" customHeight="1">
      <c r="A6" s="10" t="s">
        <v>8</v>
      </c>
      <c r="B6" s="7">
        <v>456</v>
      </c>
      <c r="C6" s="7">
        <v>464</v>
      </c>
      <c r="D6" s="7">
        <v>464</v>
      </c>
      <c r="E6" s="7">
        <v>464</v>
      </c>
      <c r="F6" s="7">
        <v>594</v>
      </c>
      <c r="G6" s="7">
        <v>594</v>
      </c>
      <c r="H6" s="7">
        <v>594</v>
      </c>
      <c r="I6" s="7">
        <v>394</v>
      </c>
      <c r="J6" s="27">
        <f t="shared" ref="J6:J24" si="1">I6/$I$5*100</f>
        <v>1.061022243765821</v>
      </c>
      <c r="K6" s="28" t="s">
        <v>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5"/>
      <c r="BF6" s="5"/>
      <c r="BG6" s="5"/>
      <c r="BK6" s="6"/>
      <c r="BL6" s="7"/>
      <c r="BM6" s="29"/>
      <c r="BN6" s="3"/>
      <c r="BO6" s="3"/>
      <c r="BP6" s="3"/>
    </row>
    <row r="7" spans="1:68" s="4" customFormat="1" ht="18.75" customHeight="1">
      <c r="A7" s="10" t="s">
        <v>10</v>
      </c>
      <c r="B7" s="14" t="s">
        <v>1</v>
      </c>
      <c r="C7" s="14" t="s">
        <v>1</v>
      </c>
      <c r="D7" s="14" t="s">
        <v>1</v>
      </c>
      <c r="E7" s="14" t="s">
        <v>1</v>
      </c>
      <c r="F7" s="14" t="s">
        <v>1</v>
      </c>
      <c r="G7" s="7">
        <v>118</v>
      </c>
      <c r="H7" s="7">
        <v>118</v>
      </c>
      <c r="I7" s="7">
        <v>118</v>
      </c>
      <c r="J7" s="27">
        <f t="shared" si="1"/>
        <v>0.31776808315829158</v>
      </c>
      <c r="K7" s="28" t="s">
        <v>64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5"/>
      <c r="BF7" s="5"/>
      <c r="BG7" s="5"/>
      <c r="BH7" s="5"/>
      <c r="BK7" s="6"/>
      <c r="BL7" s="7"/>
      <c r="BM7" s="29"/>
      <c r="BN7" s="3"/>
      <c r="BO7" s="3"/>
      <c r="BP7" s="3"/>
    </row>
    <row r="8" spans="1:68" s="4" customFormat="1" ht="18.75" customHeight="1">
      <c r="A8" s="10" t="s">
        <v>11</v>
      </c>
      <c r="B8" s="7">
        <v>159</v>
      </c>
      <c r="C8" s="7">
        <v>159</v>
      </c>
      <c r="D8" s="7">
        <v>159</v>
      </c>
      <c r="E8" s="7">
        <v>159</v>
      </c>
      <c r="F8" s="7">
        <v>227</v>
      </c>
      <c r="G8" s="7">
        <v>227</v>
      </c>
      <c r="H8" s="7">
        <v>457</v>
      </c>
      <c r="I8" s="7">
        <v>457</v>
      </c>
      <c r="J8" s="27">
        <f t="shared" si="1"/>
        <v>1.2306780847740615</v>
      </c>
      <c r="K8" s="11" t="s">
        <v>12</v>
      </c>
      <c r="BE8" s="5"/>
      <c r="BF8" s="5"/>
      <c r="BG8" s="5"/>
      <c r="BH8" s="5"/>
      <c r="BK8" s="6"/>
      <c r="BL8" s="7"/>
      <c r="BM8" s="29"/>
      <c r="BN8" s="3"/>
      <c r="BO8" s="3"/>
      <c r="BP8" s="3"/>
    </row>
    <row r="9" spans="1:68" s="4" customFormat="1" ht="18.75" customHeight="1">
      <c r="A9" s="10" t="s">
        <v>13</v>
      </c>
      <c r="B9" s="7">
        <v>796</v>
      </c>
      <c r="C9" s="7">
        <v>796</v>
      </c>
      <c r="D9" s="7">
        <v>796</v>
      </c>
      <c r="E9" s="7">
        <v>832</v>
      </c>
      <c r="F9" s="7">
        <v>1176</v>
      </c>
      <c r="G9" s="7">
        <v>1388</v>
      </c>
      <c r="H9" s="7">
        <v>1398</v>
      </c>
      <c r="I9" s="7">
        <v>1436</v>
      </c>
      <c r="J9" s="27">
        <f t="shared" si="1"/>
        <v>3.8670759950449725</v>
      </c>
      <c r="K9" s="11" t="s">
        <v>14</v>
      </c>
      <c r="BE9" s="5"/>
      <c r="BF9" s="5"/>
      <c r="BG9" s="5"/>
      <c r="BH9" s="5"/>
      <c r="BK9" s="6"/>
      <c r="BL9" s="7"/>
      <c r="BM9" s="29"/>
      <c r="BN9" s="3"/>
      <c r="BO9" s="3"/>
      <c r="BP9" s="3"/>
    </row>
    <row r="10" spans="1:68" s="8" customFormat="1" ht="18.75" customHeight="1">
      <c r="A10" s="9" t="s">
        <v>15</v>
      </c>
      <c r="B10" s="7">
        <v>470</v>
      </c>
      <c r="C10" s="7">
        <v>656</v>
      </c>
      <c r="D10" s="7">
        <v>680</v>
      </c>
      <c r="E10" s="7">
        <v>810</v>
      </c>
      <c r="F10" s="7">
        <v>1616</v>
      </c>
      <c r="G10" s="7">
        <v>1960</v>
      </c>
      <c r="H10" s="7">
        <v>3324</v>
      </c>
      <c r="I10" s="7">
        <v>3288</v>
      </c>
      <c r="J10" s="27">
        <f t="shared" si="1"/>
        <v>8.8544191307157867</v>
      </c>
      <c r="K10" s="11" t="s">
        <v>16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5"/>
      <c r="BF10" s="5"/>
      <c r="BG10" s="5"/>
      <c r="BH10" s="5"/>
      <c r="BK10" s="9"/>
      <c r="BL10" s="7"/>
      <c r="BM10" s="29"/>
      <c r="BN10" s="3"/>
      <c r="BO10" s="3"/>
      <c r="BP10" s="3"/>
    </row>
    <row r="11" spans="1:68" s="8" customFormat="1" ht="18.75" customHeight="1">
      <c r="A11" s="9" t="s">
        <v>17</v>
      </c>
      <c r="B11" s="1">
        <v>1704</v>
      </c>
      <c r="C11" s="1">
        <v>1704</v>
      </c>
      <c r="D11" s="1">
        <v>1700</v>
      </c>
      <c r="E11" s="1">
        <v>2302</v>
      </c>
      <c r="F11" s="1">
        <v>2562</v>
      </c>
      <c r="G11" s="1">
        <v>2882</v>
      </c>
      <c r="H11" s="1">
        <v>2918</v>
      </c>
      <c r="I11" s="1">
        <v>3104</v>
      </c>
      <c r="J11" s="27">
        <f t="shared" si="1"/>
        <v>8.3589163569774332</v>
      </c>
      <c r="K11" s="11" t="s">
        <v>18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5"/>
      <c r="BF11" s="5"/>
      <c r="BG11" s="5"/>
      <c r="BH11" s="5"/>
      <c r="BK11" s="9"/>
      <c r="BL11" s="1"/>
      <c r="BM11" s="29"/>
      <c r="BN11" s="3"/>
      <c r="BO11" s="3"/>
      <c r="BP11" s="3"/>
    </row>
    <row r="12" spans="1:68" s="8" customFormat="1" ht="18.75" customHeight="1">
      <c r="A12" s="9" t="s">
        <v>19</v>
      </c>
      <c r="B12" s="1">
        <v>1476</v>
      </c>
      <c r="C12" s="1">
        <v>1636</v>
      </c>
      <c r="D12" s="1">
        <v>1636</v>
      </c>
      <c r="E12" s="1">
        <v>2138</v>
      </c>
      <c r="F12" s="1">
        <v>2250</v>
      </c>
      <c r="G12" s="1">
        <v>2284</v>
      </c>
      <c r="H12" s="1">
        <v>2440</v>
      </c>
      <c r="I12" s="1">
        <v>2468</v>
      </c>
      <c r="J12" s="27">
        <f t="shared" si="1"/>
        <v>6.6462002477513868</v>
      </c>
      <c r="K12" s="11" t="s">
        <v>20</v>
      </c>
      <c r="BE12" s="5"/>
      <c r="BF12" s="5"/>
      <c r="BG12" s="5"/>
      <c r="BH12" s="5"/>
      <c r="BK12" s="9"/>
      <c r="BL12" s="1"/>
      <c r="BM12" s="29"/>
      <c r="BN12" s="3"/>
      <c r="BO12" s="3"/>
      <c r="BP12" s="3"/>
    </row>
    <row r="13" spans="1:68" s="8" customFormat="1" ht="18.75" customHeight="1">
      <c r="A13" s="9" t="s">
        <v>21</v>
      </c>
      <c r="B13" s="1">
        <v>8964</v>
      </c>
      <c r="C13" s="1">
        <v>8968</v>
      </c>
      <c r="D13" s="1">
        <v>9088</v>
      </c>
      <c r="E13" s="1">
        <v>9506</v>
      </c>
      <c r="F13" s="1">
        <v>10094</v>
      </c>
      <c r="G13" s="1">
        <v>10568</v>
      </c>
      <c r="H13" s="1">
        <v>12100</v>
      </c>
      <c r="I13" s="1">
        <v>12048</v>
      </c>
      <c r="J13" s="27">
        <f t="shared" si="1"/>
        <v>32.444659880433022</v>
      </c>
      <c r="K13" s="11" t="s">
        <v>22</v>
      </c>
      <c r="BE13" s="5"/>
      <c r="BF13" s="5"/>
      <c r="BG13" s="5"/>
      <c r="BH13" s="5"/>
      <c r="BK13" s="9"/>
      <c r="BL13" s="1"/>
      <c r="BM13" s="29"/>
      <c r="BN13" s="3"/>
      <c r="BO13" s="3"/>
      <c r="BP13" s="3"/>
    </row>
    <row r="14" spans="1:68" s="8" customFormat="1" ht="18.75" customHeight="1">
      <c r="A14" s="9" t="s">
        <v>23</v>
      </c>
      <c r="B14" s="1">
        <v>2156</v>
      </c>
      <c r="C14" s="1">
        <v>2216</v>
      </c>
      <c r="D14" s="1">
        <v>2244</v>
      </c>
      <c r="E14" s="1">
        <v>2454</v>
      </c>
      <c r="F14" s="1">
        <v>2488</v>
      </c>
      <c r="G14" s="1">
        <v>2488</v>
      </c>
      <c r="H14" s="1">
        <v>2538</v>
      </c>
      <c r="I14" s="1">
        <v>2224</v>
      </c>
      <c r="J14" s="27">
        <f t="shared" si="1"/>
        <v>5.9891204825766149</v>
      </c>
      <c r="K14" s="11" t="s">
        <v>24</v>
      </c>
      <c r="BE14" s="5"/>
      <c r="BF14" s="5"/>
      <c r="BG14" s="5"/>
      <c r="BH14" s="5"/>
      <c r="BK14" s="9"/>
      <c r="BL14" s="1"/>
      <c r="BM14" s="29"/>
      <c r="BN14" s="3"/>
      <c r="BO14" s="3"/>
      <c r="BP14" s="3"/>
    </row>
    <row r="15" spans="1:68" s="4" customFormat="1" ht="18.75" customHeight="1">
      <c r="A15" s="9" t="s">
        <v>25</v>
      </c>
      <c r="B15" s="1">
        <v>3818</v>
      </c>
      <c r="C15" s="1">
        <v>3862</v>
      </c>
      <c r="D15" s="1">
        <v>3982</v>
      </c>
      <c r="E15" s="1">
        <v>3982</v>
      </c>
      <c r="F15" s="1">
        <v>4036</v>
      </c>
      <c r="G15" s="1">
        <v>4056</v>
      </c>
      <c r="H15" s="1">
        <v>4056</v>
      </c>
      <c r="I15" s="1">
        <v>4350</v>
      </c>
      <c r="J15" s="27">
        <f t="shared" si="1"/>
        <v>11.71433187914041</v>
      </c>
      <c r="K15" s="11" t="s">
        <v>26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5"/>
      <c r="BF15" s="5"/>
      <c r="BG15" s="5"/>
      <c r="BH15" s="5"/>
      <c r="BK15" s="9"/>
      <c r="BL15" s="1"/>
      <c r="BM15" s="29"/>
      <c r="BN15" s="3"/>
      <c r="BO15" s="3"/>
      <c r="BP15" s="3"/>
    </row>
    <row r="16" spans="1:68" s="4" customFormat="1" ht="18.75" customHeight="1">
      <c r="A16" s="9" t="s">
        <v>27</v>
      </c>
      <c r="B16" s="7">
        <v>402</v>
      </c>
      <c r="C16" s="7">
        <v>402</v>
      </c>
      <c r="D16" s="7">
        <v>402</v>
      </c>
      <c r="E16" s="7">
        <v>434</v>
      </c>
      <c r="F16" s="7">
        <v>434</v>
      </c>
      <c r="G16" s="7">
        <v>434</v>
      </c>
      <c r="H16" s="7">
        <v>614</v>
      </c>
      <c r="I16" s="7">
        <v>614</v>
      </c>
      <c r="J16" s="27">
        <f t="shared" si="1"/>
        <v>1.653471212366026</v>
      </c>
      <c r="K16" s="11" t="s">
        <v>28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G16" s="5"/>
      <c r="BH16" s="5"/>
      <c r="BK16" s="9"/>
      <c r="BL16" s="7"/>
      <c r="BM16" s="29"/>
      <c r="BN16" s="3"/>
      <c r="BO16" s="3"/>
      <c r="BP16" s="3"/>
    </row>
    <row r="17" spans="1:68" s="4" customFormat="1" ht="18.75" customHeight="1">
      <c r="A17" s="10" t="s">
        <v>29</v>
      </c>
      <c r="B17" s="7">
        <v>400</v>
      </c>
      <c r="C17" s="7">
        <v>400</v>
      </c>
      <c r="D17" s="7">
        <v>400</v>
      </c>
      <c r="E17" s="7">
        <v>400</v>
      </c>
      <c r="F17" s="7">
        <v>400</v>
      </c>
      <c r="G17" s="7">
        <v>400</v>
      </c>
      <c r="H17" s="7">
        <v>400</v>
      </c>
      <c r="I17" s="7">
        <v>440</v>
      </c>
      <c r="J17" s="27">
        <f t="shared" si="1"/>
        <v>1.1848979372004094</v>
      </c>
      <c r="K17" s="28" t="s">
        <v>30</v>
      </c>
      <c r="BE17" s="5"/>
      <c r="BF17" s="5"/>
      <c r="BG17" s="5"/>
      <c r="BH17" s="5"/>
      <c r="BK17" s="6"/>
      <c r="BL17" s="7"/>
      <c r="BM17" s="29"/>
      <c r="BN17" s="3"/>
      <c r="BO17" s="3"/>
      <c r="BP17" s="3"/>
    </row>
    <row r="18" spans="1:68" s="4" customFormat="1" ht="18.75" customHeight="1">
      <c r="A18" s="10" t="s">
        <v>31</v>
      </c>
      <c r="B18" s="7">
        <v>250</v>
      </c>
      <c r="C18" s="7">
        <v>250</v>
      </c>
      <c r="D18" s="7">
        <v>250</v>
      </c>
      <c r="E18" s="7">
        <v>250</v>
      </c>
      <c r="F18" s="7">
        <v>250</v>
      </c>
      <c r="G18" s="7">
        <v>250</v>
      </c>
      <c r="H18" s="7">
        <v>250</v>
      </c>
      <c r="I18" s="7">
        <v>250</v>
      </c>
      <c r="J18" s="27">
        <f t="shared" si="1"/>
        <v>0.67323746431841447</v>
      </c>
      <c r="K18" s="11" t="s">
        <v>32</v>
      </c>
      <c r="BE18" s="5"/>
      <c r="BF18" s="5"/>
      <c r="BG18" s="5"/>
      <c r="BH18" s="5"/>
      <c r="BK18" s="6"/>
      <c r="BL18" s="7"/>
      <c r="BM18" s="29"/>
      <c r="BN18" s="3"/>
      <c r="BO18" s="3"/>
      <c r="BP18" s="3"/>
    </row>
    <row r="19" spans="1:68" s="4" customFormat="1" ht="18.75" customHeight="1">
      <c r="A19" s="10" t="s">
        <v>33</v>
      </c>
      <c r="B19" s="7">
        <v>590</v>
      </c>
      <c r="C19" s="7">
        <v>590</v>
      </c>
      <c r="D19" s="7">
        <v>778</v>
      </c>
      <c r="E19" s="7">
        <v>962</v>
      </c>
      <c r="F19" s="7">
        <v>1512</v>
      </c>
      <c r="G19" s="7">
        <v>1754</v>
      </c>
      <c r="H19" s="7">
        <v>2798</v>
      </c>
      <c r="I19" s="7">
        <v>2806</v>
      </c>
      <c r="J19" s="27">
        <f t="shared" si="1"/>
        <v>7.5564172995098833</v>
      </c>
      <c r="K19" s="11" t="s">
        <v>34</v>
      </c>
      <c r="BE19" s="5"/>
      <c r="BF19" s="5"/>
      <c r="BG19" s="5"/>
      <c r="BH19" s="5"/>
      <c r="BK19" s="6"/>
      <c r="BL19" s="7"/>
      <c r="BM19" s="29"/>
      <c r="BN19" s="3"/>
      <c r="BO19" s="3"/>
      <c r="BP19" s="3"/>
    </row>
    <row r="20" spans="1:68" s="4" customFormat="1" ht="18.75" customHeight="1">
      <c r="A20" s="10" t="s">
        <v>35</v>
      </c>
      <c r="B20" s="7">
        <v>46</v>
      </c>
      <c r="C20" s="7">
        <v>132</v>
      </c>
      <c r="D20" s="7">
        <v>152</v>
      </c>
      <c r="E20" s="7">
        <v>152</v>
      </c>
      <c r="F20" s="7">
        <v>152</v>
      </c>
      <c r="G20" s="7">
        <v>152</v>
      </c>
      <c r="H20" s="7">
        <v>152</v>
      </c>
      <c r="I20" s="7">
        <v>152</v>
      </c>
      <c r="J20" s="27">
        <f t="shared" si="1"/>
        <v>0.40932837830559593</v>
      </c>
      <c r="K20" s="11" t="s">
        <v>36</v>
      </c>
      <c r="BE20" s="5"/>
      <c r="BF20" s="5"/>
      <c r="BG20" s="5"/>
      <c r="BH20" s="5"/>
      <c r="BK20" s="6"/>
      <c r="BL20" s="7"/>
      <c r="BM20" s="29"/>
      <c r="BN20" s="3"/>
      <c r="BO20" s="3"/>
      <c r="BP20" s="3"/>
    </row>
    <row r="21" spans="1:68" s="8" customFormat="1" ht="18.75" customHeight="1">
      <c r="A21" s="10" t="s">
        <v>37</v>
      </c>
      <c r="B21" s="7">
        <v>194</v>
      </c>
      <c r="C21" s="7">
        <v>194</v>
      </c>
      <c r="D21" s="7">
        <v>194</v>
      </c>
      <c r="E21" s="7">
        <v>194</v>
      </c>
      <c r="F21" s="7">
        <v>194</v>
      </c>
      <c r="G21" s="7">
        <v>194</v>
      </c>
      <c r="H21" s="7">
        <v>242</v>
      </c>
      <c r="I21" s="7">
        <v>242</v>
      </c>
      <c r="J21" s="27">
        <f t="shared" si="1"/>
        <v>0.65169386546022512</v>
      </c>
      <c r="K21" s="11" t="s">
        <v>38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5"/>
      <c r="BF21" s="5"/>
      <c r="BG21" s="5"/>
      <c r="BH21" s="5"/>
      <c r="BK21" s="6"/>
      <c r="BL21" s="7"/>
      <c r="BM21" s="29"/>
      <c r="BN21" s="3"/>
      <c r="BO21" s="3"/>
      <c r="BP21" s="3"/>
    </row>
    <row r="22" spans="1:68" s="4" customFormat="1" ht="18.75" customHeight="1">
      <c r="A22" s="10" t="s">
        <v>39</v>
      </c>
      <c r="B22" s="7">
        <v>576</v>
      </c>
      <c r="C22" s="7">
        <v>576</v>
      </c>
      <c r="D22" s="7">
        <v>576</v>
      </c>
      <c r="E22" s="7">
        <v>616</v>
      </c>
      <c r="F22" s="7">
        <v>616</v>
      </c>
      <c r="G22" s="7">
        <v>616</v>
      </c>
      <c r="H22" s="7">
        <v>1141</v>
      </c>
      <c r="I22" s="7">
        <v>1267</v>
      </c>
      <c r="J22" s="27">
        <f t="shared" si="1"/>
        <v>3.4119674691657242</v>
      </c>
      <c r="K22" s="11" t="s">
        <v>40</v>
      </c>
      <c r="BE22" s="5"/>
      <c r="BF22" s="5"/>
      <c r="BG22" s="5"/>
      <c r="BH22" s="5"/>
      <c r="BK22" s="6"/>
      <c r="BL22" s="7"/>
      <c r="BM22" s="29"/>
      <c r="BN22" s="3"/>
      <c r="BO22" s="3"/>
      <c r="BP22" s="3"/>
    </row>
    <row r="23" spans="1:68" s="4" customFormat="1" ht="18.75" customHeight="1">
      <c r="A23" s="10" t="s">
        <v>41</v>
      </c>
      <c r="B23" s="7">
        <v>200</v>
      </c>
      <c r="C23" s="7">
        <v>200</v>
      </c>
      <c r="D23" s="7">
        <v>550</v>
      </c>
      <c r="E23" s="7">
        <v>550</v>
      </c>
      <c r="F23" s="7">
        <v>550</v>
      </c>
      <c r="G23" s="7">
        <v>550</v>
      </c>
      <c r="H23" s="7">
        <v>550</v>
      </c>
      <c r="I23" s="7">
        <v>550</v>
      </c>
      <c r="J23" s="27">
        <f t="shared" si="1"/>
        <v>1.4811224215005117</v>
      </c>
      <c r="K23" s="11" t="s">
        <v>42</v>
      </c>
      <c r="BE23" s="5"/>
      <c r="BF23" s="5"/>
      <c r="BG23" s="5"/>
      <c r="BH23" s="5"/>
      <c r="BK23" s="6"/>
      <c r="BL23" s="7"/>
      <c r="BM23" s="29"/>
      <c r="BN23" s="3"/>
      <c r="BO23" s="3"/>
      <c r="BP23" s="3"/>
    </row>
    <row r="24" spans="1:68" s="4" customFormat="1" ht="18.75" customHeight="1">
      <c r="A24" s="35" t="s">
        <v>43</v>
      </c>
      <c r="B24" s="36">
        <v>830</v>
      </c>
      <c r="C24" s="36">
        <v>826</v>
      </c>
      <c r="D24" s="36">
        <v>826</v>
      </c>
      <c r="E24" s="36">
        <v>826</v>
      </c>
      <c r="F24" s="36">
        <v>826</v>
      </c>
      <c r="G24" s="36">
        <v>826</v>
      </c>
      <c r="H24" s="36">
        <v>926</v>
      </c>
      <c r="I24" s="36">
        <v>926</v>
      </c>
      <c r="J24" s="37">
        <f t="shared" si="1"/>
        <v>2.4936715678354071</v>
      </c>
      <c r="K24" s="38" t="s">
        <v>44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5"/>
      <c r="BF24" s="5"/>
      <c r="BG24" s="5"/>
      <c r="BH24" s="3"/>
      <c r="BK24" s="6"/>
      <c r="BL24" s="7"/>
      <c r="BM24" s="30" t="s">
        <v>65</v>
      </c>
      <c r="BN24" s="30"/>
      <c r="BO24" s="30"/>
      <c r="BP24" s="3"/>
    </row>
    <row r="25" spans="1:68" ht="20.25" customHeight="1">
      <c r="A25" s="19" t="s">
        <v>2</v>
      </c>
      <c r="B25" s="17"/>
      <c r="C25" s="17"/>
      <c r="D25" s="17"/>
      <c r="E25" s="17"/>
      <c r="F25" s="17"/>
      <c r="G25" s="17"/>
      <c r="H25" s="17"/>
      <c r="I25" s="17"/>
      <c r="J25" s="17"/>
      <c r="K25" s="2" t="s">
        <v>3</v>
      </c>
      <c r="BM25" s="3">
        <v>2017</v>
      </c>
      <c r="BN25" s="3">
        <v>2018</v>
      </c>
      <c r="BO25" s="3">
        <v>2019</v>
      </c>
      <c r="BP25" s="3">
        <v>2020</v>
      </c>
    </row>
    <row r="26" spans="1:68" ht="24" customHeight="1">
      <c r="BH26" s="10"/>
      <c r="BK26" s="6" t="s">
        <v>45</v>
      </c>
      <c r="BL26" s="31">
        <f>I6</f>
        <v>394</v>
      </c>
      <c r="BM26" s="3">
        <v>3</v>
      </c>
      <c r="BN26" s="21">
        <v>3</v>
      </c>
      <c r="BO26" s="21">
        <v>3</v>
      </c>
      <c r="BP26" s="3">
        <v>2</v>
      </c>
    </row>
    <row r="27" spans="1:68">
      <c r="A27" s="32"/>
      <c r="BH27" s="10"/>
      <c r="BK27" s="6" t="s">
        <v>63</v>
      </c>
      <c r="BL27" s="31">
        <f t="shared" ref="BL27:BL44" si="2">I7</f>
        <v>118</v>
      </c>
      <c r="BM27" s="3">
        <v>0</v>
      </c>
      <c r="BN27" s="21">
        <v>1</v>
      </c>
      <c r="BO27" s="21">
        <v>1</v>
      </c>
      <c r="BP27" s="3">
        <v>1</v>
      </c>
    </row>
    <row r="28" spans="1:68">
      <c r="A28" s="32"/>
      <c r="B28" s="33"/>
      <c r="C28" s="33"/>
      <c r="D28" s="33"/>
      <c r="E28" s="33"/>
      <c r="F28" s="33"/>
      <c r="G28" s="33"/>
      <c r="H28" s="33"/>
      <c r="I28" s="33"/>
      <c r="BH28" s="10"/>
      <c r="BK28" s="6" t="s">
        <v>46</v>
      </c>
      <c r="BL28" s="31">
        <f t="shared" si="2"/>
        <v>457</v>
      </c>
      <c r="BM28" s="3">
        <v>2</v>
      </c>
      <c r="BN28" s="21">
        <v>2</v>
      </c>
      <c r="BO28" s="21">
        <v>2</v>
      </c>
      <c r="BP28" s="3">
        <v>2</v>
      </c>
    </row>
    <row r="29" spans="1:68">
      <c r="BH29" s="9"/>
      <c r="BK29" s="6" t="s">
        <v>47</v>
      </c>
      <c r="BL29" s="31">
        <f t="shared" si="2"/>
        <v>1436</v>
      </c>
      <c r="BM29" s="3">
        <v>6</v>
      </c>
      <c r="BN29" s="21">
        <v>7</v>
      </c>
      <c r="BO29" s="21">
        <v>7</v>
      </c>
      <c r="BP29" s="3">
        <v>7</v>
      </c>
    </row>
    <row r="30" spans="1:68">
      <c r="BH30" s="9"/>
      <c r="BK30" s="9" t="s">
        <v>48</v>
      </c>
      <c r="BL30" s="31">
        <f t="shared" si="2"/>
        <v>3288</v>
      </c>
      <c r="BM30" s="3">
        <v>6</v>
      </c>
      <c r="BN30" s="21">
        <v>8</v>
      </c>
      <c r="BO30" s="21">
        <v>13</v>
      </c>
      <c r="BP30" s="3">
        <v>13</v>
      </c>
    </row>
    <row r="31" spans="1:68">
      <c r="BH31" s="9"/>
      <c r="BK31" s="9" t="s">
        <v>49</v>
      </c>
      <c r="BL31" s="31">
        <f t="shared" si="2"/>
        <v>3104</v>
      </c>
      <c r="BM31" s="3">
        <v>13</v>
      </c>
      <c r="BN31" s="21">
        <v>15</v>
      </c>
      <c r="BO31" s="21">
        <v>16</v>
      </c>
      <c r="BP31" s="3">
        <v>16</v>
      </c>
    </row>
    <row r="32" spans="1:68">
      <c r="BH32" s="9"/>
      <c r="BK32" s="9" t="s">
        <v>50</v>
      </c>
      <c r="BL32" s="31">
        <f t="shared" si="2"/>
        <v>2468</v>
      </c>
      <c r="BM32" s="3">
        <v>8</v>
      </c>
      <c r="BN32" s="21">
        <v>9</v>
      </c>
      <c r="BO32" s="21">
        <v>10</v>
      </c>
      <c r="BP32" s="3">
        <v>10</v>
      </c>
    </row>
    <row r="33" spans="11:68">
      <c r="BH33" s="9"/>
      <c r="BK33" s="9" t="s">
        <v>51</v>
      </c>
      <c r="BL33" s="31">
        <f t="shared" si="2"/>
        <v>12048</v>
      </c>
      <c r="BM33" s="3">
        <v>45</v>
      </c>
      <c r="BN33" s="21">
        <v>47</v>
      </c>
      <c r="BO33" s="21">
        <v>52</v>
      </c>
      <c r="BP33" s="3">
        <v>50</v>
      </c>
    </row>
    <row r="34" spans="11:68">
      <c r="K34" s="34"/>
      <c r="L34" s="34"/>
      <c r="M34" s="34"/>
      <c r="N34" s="34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H34" s="9"/>
      <c r="BK34" s="9" t="s">
        <v>52</v>
      </c>
      <c r="BL34" s="31">
        <f t="shared" si="2"/>
        <v>2224</v>
      </c>
      <c r="BM34" s="3">
        <v>13</v>
      </c>
      <c r="BN34" s="21">
        <v>13</v>
      </c>
      <c r="BO34" s="21">
        <v>13</v>
      </c>
      <c r="BP34" s="3">
        <v>11</v>
      </c>
    </row>
    <row r="35" spans="11:68">
      <c r="BH35" s="9"/>
      <c r="BK35" s="9" t="s">
        <v>53</v>
      </c>
      <c r="BL35" s="31">
        <f t="shared" si="2"/>
        <v>4350</v>
      </c>
      <c r="BM35" s="3">
        <v>17</v>
      </c>
      <c r="BN35" s="21">
        <v>17</v>
      </c>
      <c r="BO35" s="21">
        <v>17</v>
      </c>
      <c r="BP35" s="3">
        <v>17</v>
      </c>
    </row>
    <row r="36" spans="11:68">
      <c r="BH36" s="10"/>
      <c r="BK36" s="9" t="s">
        <v>54</v>
      </c>
      <c r="BL36" s="31">
        <f t="shared" si="2"/>
        <v>614</v>
      </c>
      <c r="BM36" s="3">
        <v>2</v>
      </c>
      <c r="BN36" s="21">
        <v>2</v>
      </c>
      <c r="BO36" s="21">
        <v>3</v>
      </c>
      <c r="BP36" s="3">
        <v>3</v>
      </c>
    </row>
    <row r="37" spans="11:68">
      <c r="BH37" s="10"/>
      <c r="BK37" s="6" t="s">
        <v>55</v>
      </c>
      <c r="BL37" s="31">
        <f t="shared" si="2"/>
        <v>440</v>
      </c>
      <c r="BM37" s="3">
        <v>2</v>
      </c>
      <c r="BN37" s="21">
        <v>2</v>
      </c>
      <c r="BO37" s="21">
        <v>2</v>
      </c>
      <c r="BP37" s="3">
        <v>2</v>
      </c>
    </row>
    <row r="38" spans="11:68">
      <c r="BH38" s="10"/>
      <c r="BK38" s="6" t="s">
        <v>56</v>
      </c>
      <c r="BL38" s="31">
        <f t="shared" si="2"/>
        <v>250</v>
      </c>
      <c r="BM38" s="3">
        <v>1</v>
      </c>
      <c r="BN38" s="21">
        <v>1</v>
      </c>
      <c r="BO38" s="21">
        <v>1</v>
      </c>
      <c r="BP38" s="3">
        <v>1</v>
      </c>
    </row>
    <row r="39" spans="11:68">
      <c r="BH39" s="10"/>
      <c r="BK39" s="6" t="s">
        <v>57</v>
      </c>
      <c r="BL39" s="31">
        <f t="shared" si="2"/>
        <v>2806</v>
      </c>
      <c r="BM39" s="3">
        <v>6</v>
      </c>
      <c r="BN39" s="21">
        <v>7</v>
      </c>
      <c r="BO39" s="21">
        <v>9</v>
      </c>
      <c r="BP39" s="3">
        <v>9</v>
      </c>
    </row>
    <row r="40" spans="11:68">
      <c r="BH40" s="10"/>
      <c r="BK40" s="6" t="s">
        <v>58</v>
      </c>
      <c r="BL40" s="31">
        <f t="shared" si="2"/>
        <v>152</v>
      </c>
      <c r="BM40" s="3">
        <v>1</v>
      </c>
      <c r="BN40" s="21">
        <v>1</v>
      </c>
      <c r="BO40" s="21">
        <v>1</v>
      </c>
      <c r="BP40" s="3">
        <v>1</v>
      </c>
    </row>
    <row r="41" spans="11:68">
      <c r="BH41" s="10"/>
      <c r="BK41" s="6" t="s">
        <v>59</v>
      </c>
      <c r="BL41" s="31">
        <f t="shared" si="2"/>
        <v>242</v>
      </c>
      <c r="BM41" s="3">
        <v>1</v>
      </c>
      <c r="BN41" s="21">
        <v>1</v>
      </c>
      <c r="BO41" s="21">
        <v>2</v>
      </c>
      <c r="BP41" s="3">
        <v>2</v>
      </c>
    </row>
    <row r="42" spans="11:68">
      <c r="BH42" s="10"/>
      <c r="BK42" s="6" t="s">
        <v>60</v>
      </c>
      <c r="BL42" s="31">
        <f t="shared" si="2"/>
        <v>1267</v>
      </c>
      <c r="BM42" s="3">
        <v>4</v>
      </c>
      <c r="BN42" s="21">
        <v>4</v>
      </c>
      <c r="BO42" s="21">
        <v>6</v>
      </c>
      <c r="BP42" s="3">
        <v>6</v>
      </c>
    </row>
    <row r="43" spans="11:68">
      <c r="BH43" s="10"/>
      <c r="BK43" s="6" t="s">
        <v>61</v>
      </c>
      <c r="BL43" s="31">
        <f t="shared" si="2"/>
        <v>550</v>
      </c>
      <c r="BM43" s="3">
        <v>3</v>
      </c>
      <c r="BN43" s="21">
        <v>3</v>
      </c>
      <c r="BO43" s="21">
        <v>3</v>
      </c>
      <c r="BP43" s="3">
        <v>3</v>
      </c>
    </row>
    <row r="44" spans="11:68">
      <c r="BK44" s="6" t="s">
        <v>62</v>
      </c>
      <c r="BL44" s="31">
        <f t="shared" si="2"/>
        <v>926</v>
      </c>
      <c r="BM44" s="3">
        <v>2</v>
      </c>
      <c r="BN44" s="3">
        <v>2</v>
      </c>
      <c r="BO44" s="3">
        <v>3</v>
      </c>
      <c r="BP44" s="3">
        <v>3</v>
      </c>
    </row>
    <row r="45" spans="11:68">
      <c r="BL45" s="3">
        <f>SUM(BL26:BL44)</f>
        <v>37134</v>
      </c>
      <c r="BM45" s="3">
        <f>SUM(BM26:BM44)</f>
        <v>135</v>
      </c>
      <c r="BN45" s="3">
        <f>SUM(BN26:BN44)</f>
        <v>145</v>
      </c>
      <c r="BO45" s="3">
        <f>SUM(BO26:BO44)</f>
        <v>164</v>
      </c>
      <c r="BP45" s="3">
        <f>SUM(BP26:BP44)</f>
        <v>159</v>
      </c>
    </row>
  </sheetData>
  <mergeCells count="6">
    <mergeCell ref="BM24:BO24"/>
    <mergeCell ref="A1:K1"/>
    <mergeCell ref="A2:K2"/>
    <mergeCell ref="A3:A4"/>
    <mergeCell ref="K34:N34"/>
    <mergeCell ref="B3:I3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2021-07-14T05:26:43Z</cp:lastPrinted>
  <dcterms:created xsi:type="dcterms:W3CDTF">2019-02-27T06:18:18Z</dcterms:created>
  <dcterms:modified xsi:type="dcterms:W3CDTF">2021-07-14T05:26:57Z</dcterms:modified>
</cp:coreProperties>
</file>