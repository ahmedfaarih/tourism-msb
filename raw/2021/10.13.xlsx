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drawings/drawing11.xml" ContentType="application/vnd.openxmlformats-officedocument.drawingml.chartshapes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drawings/drawing15.xml" ContentType="application/vnd.openxmlformats-officedocument.drawingml.chartshapes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drawings/drawing17.xml" ContentType="application/vnd.openxmlformats-officedocument.drawingml.chartshap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"/>
    </mc:Choice>
  </mc:AlternateContent>
  <bookViews>
    <workbookView xWindow="21645" yWindow="3555" windowWidth="7500" windowHeight="6000" tabRatio="731" activeTab="13"/>
  </bookViews>
  <sheets>
    <sheet name="10.1" sheetId="1" r:id="rId1"/>
    <sheet name="10.2" sheetId="2" r:id="rId2"/>
    <sheet name="10.3" sheetId="3" r:id="rId3"/>
    <sheet name="10.4" sheetId="4" r:id="rId4"/>
    <sheet name="10.5" sheetId="5" r:id="rId5"/>
    <sheet name="10.6" sheetId="6" r:id="rId6"/>
    <sheet name="10.7" sheetId="7" r:id="rId7"/>
    <sheet name="10.8" sheetId="8" r:id="rId8"/>
    <sheet name="10.9" sheetId="9" r:id="rId9"/>
    <sheet name="10.10" sheetId="16" r:id="rId10"/>
    <sheet name="10.11" sheetId="11" r:id="rId11"/>
    <sheet name="10.12" sheetId="12" r:id="rId12"/>
    <sheet name="10.13" sheetId="13" r:id="rId13"/>
    <sheet name="10.14" sheetId="14" r:id="rId14"/>
    <sheet name="10.15" sheetId="15" r:id="rId15"/>
  </sheets>
  <externalReferences>
    <externalReference r:id="rId16"/>
    <externalReference r:id="rId17"/>
    <externalReference r:id="rId18"/>
  </externalReferences>
  <definedNames>
    <definedName name="_xlnm.Print_Area" localSheetId="0">'10.1'!$A$1:$AE$109</definedName>
    <definedName name="_xlnm.Print_Area" localSheetId="10">'10.11'!$A$1:$O$42</definedName>
    <definedName name="_xlnm.Print_Area" localSheetId="11">'10.12'!$A$1:$P$62</definedName>
    <definedName name="_xlnm.Print_Area" localSheetId="12">'10.13'!$A$1:$O$125</definedName>
    <definedName name="_xlnm.Print_Area" localSheetId="13">'10.14'!$A$1:$U$196</definedName>
    <definedName name="_xlnm.Print_Area" localSheetId="1">'10.2'!$A$1:$W$77</definedName>
    <definedName name="_xlnm.Print_Area" localSheetId="2">'10.3'!$A$1:$AF$34</definedName>
    <definedName name="_xlnm.Print_Area" localSheetId="3">'10.4'!$A$1:$AK$43</definedName>
    <definedName name="_xlnm.Print_Area" localSheetId="4">'10.5'!$A$1:$AK$38</definedName>
    <definedName name="_xlnm.Print_Area" localSheetId="6">'10.7'!$A$1:$AJ$41</definedName>
    <definedName name="_xlnm.Print_Area" localSheetId="7">'10.8'!$A$1:$P$90</definedName>
    <definedName name="_xlnm.Print_Area" localSheetId="8">'10.9'!$A$1:$W$48</definedName>
    <definedName name="_xlnm.Print_Titles" localSheetId="12">'10.13'!$4:$4</definedName>
    <definedName name="_xlnm.Print_Titles" localSheetId="13">'10.14'!$4:$5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7" i="12" l="1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26" i="12"/>
  <c r="P19" i="16" l="1"/>
  <c r="O19" i="16"/>
  <c r="N19" i="16"/>
  <c r="M19" i="16"/>
  <c r="P18" i="16"/>
  <c r="O18" i="16"/>
  <c r="N18" i="16"/>
  <c r="M18" i="16"/>
  <c r="H17" i="16"/>
  <c r="G17" i="16"/>
  <c r="F17" i="16"/>
  <c r="S16" i="16"/>
  <c r="S19" i="16" s="1"/>
  <c r="R16" i="16"/>
  <c r="R19" i="16" s="1"/>
  <c r="Q16" i="16"/>
  <c r="Q19" i="16" s="1"/>
  <c r="S15" i="16"/>
  <c r="R15" i="16"/>
  <c r="R14" i="16" s="1"/>
  <c r="R17" i="16" s="1"/>
  <c r="Q15" i="16"/>
  <c r="Q18" i="16" s="1"/>
  <c r="P14" i="16"/>
  <c r="P17" i="16" s="1"/>
  <c r="O14" i="16"/>
  <c r="N14" i="16"/>
  <c r="M14" i="16"/>
  <c r="L14" i="16"/>
  <c r="K14" i="16"/>
  <c r="K17" i="16" s="1"/>
  <c r="J14" i="16"/>
  <c r="I14" i="16"/>
  <c r="S11" i="16"/>
  <c r="R11" i="16"/>
  <c r="Q11" i="16"/>
  <c r="P11" i="16"/>
  <c r="O11" i="16"/>
  <c r="N11" i="16"/>
  <c r="M11" i="16"/>
  <c r="L11" i="16"/>
  <c r="J11" i="16"/>
  <c r="I11" i="16"/>
  <c r="S9" i="16"/>
  <c r="R9" i="16"/>
  <c r="Q9" i="16"/>
  <c r="P9" i="16"/>
  <c r="O9" i="16"/>
  <c r="N9" i="16"/>
  <c r="M9" i="16"/>
  <c r="L17" i="16" l="1"/>
  <c r="J17" i="16"/>
  <c r="N17" i="16"/>
  <c r="O17" i="16"/>
  <c r="I17" i="16"/>
  <c r="Q14" i="16"/>
  <c r="Q17" i="16" s="1"/>
  <c r="R18" i="16"/>
  <c r="M17" i="16"/>
  <c r="S14" i="16"/>
  <c r="S17" i="16" s="1"/>
  <c r="S18" i="16"/>
  <c r="AD45" i="12" l="1"/>
  <c r="X28" i="11"/>
  <c r="AD7" i="1"/>
  <c r="V15" i="9"/>
  <c r="AP22" i="5"/>
  <c r="AQ21" i="4"/>
  <c r="AP21" i="4"/>
  <c r="BO98" i="3"/>
  <c r="BO99" i="3"/>
  <c r="BO100" i="3"/>
  <c r="BO101" i="3"/>
  <c r="BO102" i="3"/>
  <c r="BO103" i="3"/>
  <c r="BO104" i="3"/>
  <c r="BO105" i="3"/>
  <c r="BO106" i="3"/>
  <c r="BO107" i="3"/>
  <c r="BO108" i="3"/>
  <c r="BO97" i="3"/>
  <c r="CB17" i="3"/>
  <c r="CC17" i="3"/>
  <c r="CB18" i="3"/>
  <c r="CC18" i="3"/>
  <c r="CB19" i="3"/>
  <c r="CC19" i="3"/>
  <c r="CB20" i="3"/>
  <c r="CC20" i="3"/>
  <c r="CB21" i="3"/>
  <c r="CC21" i="3"/>
  <c r="CB22" i="3"/>
  <c r="CC22" i="3"/>
  <c r="CB23" i="3"/>
  <c r="CC23" i="3"/>
  <c r="CB24" i="3"/>
  <c r="CC24" i="3"/>
  <c r="CB25" i="3"/>
  <c r="CC25" i="3"/>
  <c r="CB26" i="3"/>
  <c r="CC26" i="3"/>
  <c r="CB27" i="3"/>
  <c r="CC27" i="3"/>
  <c r="CB16" i="3"/>
  <c r="CC16" i="3"/>
  <c r="U24" i="2" l="1"/>
  <c r="C57" i="13" l="1"/>
  <c r="D57" i="13"/>
  <c r="E57" i="13"/>
  <c r="F57" i="13"/>
  <c r="G57" i="13"/>
  <c r="H57" i="13"/>
  <c r="I57" i="13"/>
  <c r="J57" i="13"/>
  <c r="K57" i="13"/>
  <c r="L57" i="13"/>
  <c r="M57" i="13"/>
  <c r="N57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AQ6" i="3" l="1"/>
  <c r="D109" i="15" l="1"/>
  <c r="E109" i="15"/>
  <c r="F109" i="15"/>
  <c r="G109" i="15"/>
  <c r="G239" i="15"/>
  <c r="F239" i="15"/>
  <c r="E239" i="15"/>
  <c r="D239" i="15"/>
  <c r="G236" i="15"/>
  <c r="F236" i="15"/>
  <c r="E236" i="15"/>
  <c r="D236" i="15"/>
  <c r="C236" i="15"/>
  <c r="B236" i="15"/>
  <c r="G223" i="15"/>
  <c r="F223" i="15"/>
  <c r="E223" i="15"/>
  <c r="D223" i="15"/>
  <c r="G211" i="15"/>
  <c r="F211" i="15"/>
  <c r="E211" i="15"/>
  <c r="D211" i="15"/>
  <c r="G197" i="15"/>
  <c r="F197" i="15"/>
  <c r="E197" i="15"/>
  <c r="D197" i="15"/>
  <c r="G182" i="15"/>
  <c r="F182" i="15"/>
  <c r="E182" i="15"/>
  <c r="D182" i="15"/>
  <c r="G174" i="15"/>
  <c r="F174" i="15"/>
  <c r="E174" i="15"/>
  <c r="D174" i="15"/>
  <c r="G167" i="15"/>
  <c r="F167" i="15"/>
  <c r="E167" i="15"/>
  <c r="D167" i="15"/>
  <c r="G157" i="15"/>
  <c r="F157" i="15"/>
  <c r="E157" i="15"/>
  <c r="D157" i="15"/>
  <c r="G150" i="15"/>
  <c r="F150" i="15"/>
  <c r="E150" i="15"/>
  <c r="D150" i="15"/>
  <c r="G138" i="15"/>
  <c r="F138" i="15"/>
  <c r="E138" i="15"/>
  <c r="D138" i="15"/>
  <c r="G128" i="15"/>
  <c r="F128" i="15"/>
  <c r="E128" i="15"/>
  <c r="D128" i="15"/>
  <c r="G116" i="15"/>
  <c r="F116" i="15"/>
  <c r="E116" i="15"/>
  <c r="D116" i="15"/>
  <c r="G93" i="15"/>
  <c r="F93" i="15"/>
  <c r="E93" i="15"/>
  <c r="D93" i="15"/>
  <c r="G76" i="15"/>
  <c r="F76" i="15"/>
  <c r="E76" i="15"/>
  <c r="D76" i="15"/>
  <c r="G61" i="15"/>
  <c r="F61" i="15"/>
  <c r="E61" i="15"/>
  <c r="D61" i="15"/>
  <c r="G45" i="15"/>
  <c r="F45" i="15"/>
  <c r="E45" i="15"/>
  <c r="D45" i="15"/>
  <c r="G27" i="15"/>
  <c r="F27" i="15"/>
  <c r="E27" i="15"/>
  <c r="D27" i="15"/>
  <c r="G11" i="15"/>
  <c r="F11" i="15"/>
  <c r="E11" i="15"/>
  <c r="D11" i="15"/>
  <c r="B10" i="15" l="1"/>
  <c r="B6" i="15" s="1"/>
  <c r="E10" i="15"/>
  <c r="E6" i="15" s="1"/>
  <c r="D10" i="15"/>
  <c r="D6" i="15" s="1"/>
  <c r="G10" i="15"/>
  <c r="G6" i="15" s="1"/>
  <c r="F10" i="15"/>
  <c r="F6" i="15" s="1"/>
  <c r="T189" i="14" l="1"/>
  <c r="C239" i="15" s="1"/>
  <c r="T185" i="14"/>
  <c r="C223" i="15" s="1"/>
  <c r="T178" i="14"/>
  <c r="C211" i="15" s="1"/>
  <c r="T175" i="14"/>
  <c r="C197" i="15" s="1"/>
  <c r="T173" i="14"/>
  <c r="C182" i="15" s="1"/>
  <c r="T163" i="14"/>
  <c r="C174" i="15" s="1"/>
  <c r="T161" i="14"/>
  <c r="C167" i="15" s="1"/>
  <c r="T158" i="14"/>
  <c r="C157" i="15" s="1"/>
  <c r="T154" i="14"/>
  <c r="C150" i="15" s="1"/>
  <c r="T135" i="14"/>
  <c r="C138" i="15" s="1"/>
  <c r="T121" i="14"/>
  <c r="C128" i="15" s="1"/>
  <c r="T67" i="14"/>
  <c r="C116" i="15" s="1"/>
  <c r="T56" i="14"/>
  <c r="C109" i="15" s="1"/>
  <c r="T39" i="14"/>
  <c r="C93" i="15" s="1"/>
  <c r="T24" i="14"/>
  <c r="C76" i="15" s="1"/>
  <c r="T16" i="14"/>
  <c r="C61" i="15" s="1"/>
  <c r="T13" i="14"/>
  <c r="C45" i="15" s="1"/>
  <c r="T11" i="14"/>
  <c r="T7" i="14"/>
  <c r="E66" i="13"/>
  <c r="F66" i="13"/>
  <c r="G66" i="13"/>
  <c r="H66" i="13"/>
  <c r="I66" i="13"/>
  <c r="J66" i="13"/>
  <c r="K66" i="13"/>
  <c r="L66" i="13"/>
  <c r="M66" i="13"/>
  <c r="N66" i="13"/>
  <c r="F51" i="13"/>
  <c r="G51" i="13"/>
  <c r="H51" i="13"/>
  <c r="I51" i="13"/>
  <c r="J51" i="13"/>
  <c r="K51" i="13"/>
  <c r="K50" i="13" s="1"/>
  <c r="L51" i="13"/>
  <c r="M51" i="13"/>
  <c r="N51" i="13"/>
  <c r="E46" i="13"/>
  <c r="F46" i="13"/>
  <c r="G46" i="13"/>
  <c r="H46" i="13"/>
  <c r="I46" i="13"/>
  <c r="J46" i="13"/>
  <c r="K46" i="13"/>
  <c r="L46" i="13"/>
  <c r="M46" i="13"/>
  <c r="N46" i="13"/>
  <c r="E38" i="13"/>
  <c r="F38" i="13"/>
  <c r="G38" i="13"/>
  <c r="H38" i="13"/>
  <c r="I38" i="13"/>
  <c r="J38" i="13"/>
  <c r="K38" i="13"/>
  <c r="L38" i="13"/>
  <c r="M38" i="13"/>
  <c r="N38" i="13"/>
  <c r="E21" i="13"/>
  <c r="F21" i="13"/>
  <c r="G21" i="13"/>
  <c r="H21" i="13"/>
  <c r="I21" i="13"/>
  <c r="J21" i="13"/>
  <c r="K21" i="13"/>
  <c r="L21" i="13"/>
  <c r="M21" i="13"/>
  <c r="N21" i="13"/>
  <c r="E7" i="13"/>
  <c r="F7" i="13"/>
  <c r="G7" i="13"/>
  <c r="H7" i="13"/>
  <c r="I7" i="13"/>
  <c r="J7" i="13"/>
  <c r="K7" i="13"/>
  <c r="L7" i="13"/>
  <c r="M7" i="13"/>
  <c r="N7" i="13"/>
  <c r="D7" i="13"/>
  <c r="C7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N230" i="13"/>
  <c r="M230" i="13"/>
  <c r="M146" i="13" s="1"/>
  <c r="L230" i="13"/>
  <c r="K230" i="13"/>
  <c r="J230" i="13"/>
  <c r="I230" i="13"/>
  <c r="H230" i="13"/>
  <c r="G230" i="13"/>
  <c r="F230" i="13"/>
  <c r="E230" i="13"/>
  <c r="D230" i="13"/>
  <c r="C230" i="13"/>
  <c r="B229" i="13"/>
  <c r="B228" i="13"/>
  <c r="B227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5" i="13"/>
  <c r="B224" i="13"/>
  <c r="B223" i="13"/>
  <c r="B222" i="13"/>
  <c r="B221" i="13"/>
  <c r="B220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8" i="13"/>
  <c r="B217" i="13"/>
  <c r="B216" i="13"/>
  <c r="B215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3" i="13"/>
  <c r="B212" i="13"/>
  <c r="B211" i="13"/>
  <c r="B210" i="13"/>
  <c r="B209" i="13"/>
  <c r="B208" i="13"/>
  <c r="E207" i="13"/>
  <c r="B207" i="13" s="1"/>
  <c r="D207" i="13"/>
  <c r="C207" i="13"/>
  <c r="B206" i="13"/>
  <c r="B205" i="13"/>
  <c r="B204" i="13"/>
  <c r="B203" i="13"/>
  <c r="B202" i="13"/>
  <c r="B201" i="13"/>
  <c r="B200" i="13"/>
  <c r="B199" i="13"/>
  <c r="E198" i="13"/>
  <c r="E191" i="13" s="1"/>
  <c r="E146" i="13" s="1"/>
  <c r="D198" i="13"/>
  <c r="C198" i="13"/>
  <c r="B197" i="13"/>
  <c r="B196" i="13"/>
  <c r="B195" i="13"/>
  <c r="B194" i="13"/>
  <c r="B193" i="13"/>
  <c r="E192" i="13"/>
  <c r="D192" i="13"/>
  <c r="C192" i="13"/>
  <c r="B192" i="13"/>
  <c r="N191" i="13"/>
  <c r="M191" i="13"/>
  <c r="L191" i="13"/>
  <c r="K191" i="13"/>
  <c r="J191" i="13"/>
  <c r="I191" i="13"/>
  <c r="I146" i="13" s="1"/>
  <c r="H191" i="13"/>
  <c r="G191" i="13"/>
  <c r="F191" i="13"/>
  <c r="D191" i="13"/>
  <c r="C191" i="13"/>
  <c r="B190" i="13"/>
  <c r="B189" i="13"/>
  <c r="B188" i="13"/>
  <c r="D187" i="13"/>
  <c r="C187" i="13"/>
  <c r="B187" i="13" s="1"/>
  <c r="B186" i="13"/>
  <c r="B185" i="13"/>
  <c r="B184" i="13"/>
  <c r="B183" i="13"/>
  <c r="B182" i="13"/>
  <c r="B181" i="13"/>
  <c r="B180" i="13"/>
  <c r="D179" i="13"/>
  <c r="C179" i="13"/>
  <c r="B178" i="13"/>
  <c r="B177" i="13"/>
  <c r="B176" i="13"/>
  <c r="B175" i="13"/>
  <c r="B174" i="13"/>
  <c r="B173" i="13"/>
  <c r="B172" i="13"/>
  <c r="B171" i="13"/>
  <c r="D170" i="13"/>
  <c r="C170" i="13"/>
  <c r="B170" i="13" s="1"/>
  <c r="B169" i="13"/>
  <c r="B168" i="13"/>
  <c r="B167" i="13"/>
  <c r="B166" i="13"/>
  <c r="B165" i="13"/>
  <c r="B164" i="13"/>
  <c r="B163" i="13"/>
  <c r="D162" i="13"/>
  <c r="C162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D148" i="13"/>
  <c r="D147" i="13" s="1"/>
  <c r="D146" i="13" s="1"/>
  <c r="C148" i="13"/>
  <c r="C147" i="13" s="1"/>
  <c r="J147" i="13"/>
  <c r="M5" i="12"/>
  <c r="N8" i="12" s="1"/>
  <c r="V20" i="9"/>
  <c r="V19" i="9"/>
  <c r="V18" i="9"/>
  <c r="V17" i="9"/>
  <c r="V16" i="9"/>
  <c r="V14" i="9"/>
  <c r="V13" i="9"/>
  <c r="V12" i="9"/>
  <c r="V11" i="9"/>
  <c r="V10" i="9"/>
  <c r="V9" i="9"/>
  <c r="T20" i="9"/>
  <c r="T19" i="9"/>
  <c r="T18" i="9"/>
  <c r="T16" i="9"/>
  <c r="T17" i="9"/>
  <c r="T15" i="9"/>
  <c r="T14" i="9"/>
  <c r="T13" i="9"/>
  <c r="T12" i="9"/>
  <c r="Q9" i="9"/>
  <c r="T11" i="9"/>
  <c r="T10" i="9"/>
  <c r="T9" i="9"/>
  <c r="S9" i="9"/>
  <c r="S10" i="9"/>
  <c r="S11" i="9"/>
  <c r="S12" i="9"/>
  <c r="S13" i="9"/>
  <c r="S14" i="9"/>
  <c r="S15" i="9"/>
  <c r="S16" i="9"/>
  <c r="S17" i="9"/>
  <c r="S18" i="9"/>
  <c r="S19" i="9"/>
  <c r="S20" i="9"/>
  <c r="Q10" i="9"/>
  <c r="Q11" i="9"/>
  <c r="Q12" i="9"/>
  <c r="Q13" i="9"/>
  <c r="Q14" i="9"/>
  <c r="Q15" i="9"/>
  <c r="Q16" i="9"/>
  <c r="Q17" i="9"/>
  <c r="Q18" i="9"/>
  <c r="Q19" i="9"/>
  <c r="Q20" i="9"/>
  <c r="P8" i="9"/>
  <c r="H8" i="9"/>
  <c r="B28" i="8"/>
  <c r="AG48" i="8" s="1"/>
  <c r="B27" i="8"/>
  <c r="AF48" i="8" s="1"/>
  <c r="N26" i="8"/>
  <c r="M26" i="8"/>
  <c r="L26" i="8"/>
  <c r="K26" i="8"/>
  <c r="J26" i="8"/>
  <c r="I26" i="8"/>
  <c r="H26" i="8"/>
  <c r="G26" i="8"/>
  <c r="F26" i="8"/>
  <c r="E26" i="8"/>
  <c r="D26" i="8"/>
  <c r="C26" i="8"/>
  <c r="AP22" i="7"/>
  <c r="AQ22" i="7"/>
  <c r="AP23" i="7"/>
  <c r="AQ23" i="7"/>
  <c r="AP24" i="7"/>
  <c r="AQ24" i="7"/>
  <c r="AP25" i="7"/>
  <c r="AQ25" i="7"/>
  <c r="AP26" i="7"/>
  <c r="AQ26" i="7"/>
  <c r="AP27" i="7"/>
  <c r="AQ27" i="7"/>
  <c r="AP28" i="7"/>
  <c r="AQ28" i="7"/>
  <c r="AP29" i="7"/>
  <c r="AQ29" i="7"/>
  <c r="AP30" i="7"/>
  <c r="AQ30" i="7"/>
  <c r="AP31" i="7"/>
  <c r="AQ31" i="7"/>
  <c r="AP32" i="7"/>
  <c r="AQ32" i="7"/>
  <c r="AQ21" i="7"/>
  <c r="AP21" i="7"/>
  <c r="AJ6" i="7"/>
  <c r="AI6" i="7"/>
  <c r="AH6" i="7"/>
  <c r="AG6" i="7"/>
  <c r="AF6" i="7"/>
  <c r="AO22" i="6"/>
  <c r="AP22" i="6"/>
  <c r="AO23" i="6"/>
  <c r="AP23" i="6"/>
  <c r="AO24" i="6"/>
  <c r="AP24" i="6"/>
  <c r="AO25" i="6"/>
  <c r="AP25" i="6"/>
  <c r="AO26" i="6"/>
  <c r="AP26" i="6"/>
  <c r="AO27" i="6"/>
  <c r="AP27" i="6"/>
  <c r="AO28" i="6"/>
  <c r="AP28" i="6"/>
  <c r="AO29" i="6"/>
  <c r="AP29" i="6"/>
  <c r="AO30" i="6"/>
  <c r="AP30" i="6"/>
  <c r="AO31" i="6"/>
  <c r="AP31" i="6"/>
  <c r="AO32" i="6"/>
  <c r="AP32" i="6"/>
  <c r="AP21" i="6"/>
  <c r="AO21" i="6"/>
  <c r="AJ7" i="6"/>
  <c r="AI7" i="6"/>
  <c r="AH7" i="6"/>
  <c r="AG7" i="6"/>
  <c r="AF7" i="6"/>
  <c r="AP23" i="5"/>
  <c r="AQ23" i="5"/>
  <c r="AP24" i="5"/>
  <c r="AQ24" i="5"/>
  <c r="AP25" i="5"/>
  <c r="AQ25" i="5"/>
  <c r="AP26" i="5"/>
  <c r="AQ26" i="5"/>
  <c r="AP27" i="5"/>
  <c r="AQ27" i="5"/>
  <c r="AP28" i="5"/>
  <c r="AQ28" i="5"/>
  <c r="AP29" i="5"/>
  <c r="AQ29" i="5"/>
  <c r="AP30" i="5"/>
  <c r="AQ30" i="5"/>
  <c r="AP31" i="5"/>
  <c r="AQ31" i="5"/>
  <c r="AP32" i="5"/>
  <c r="AQ32" i="5"/>
  <c r="AP33" i="5"/>
  <c r="AQ33" i="5"/>
  <c r="AQ22" i="5"/>
  <c r="AJ6" i="5"/>
  <c r="AI6" i="5"/>
  <c r="AH6" i="5"/>
  <c r="AG6" i="5"/>
  <c r="AF6" i="5"/>
  <c r="AQ22" i="4"/>
  <c r="AQ23" i="4"/>
  <c r="AQ24" i="4"/>
  <c r="AQ25" i="4"/>
  <c r="AQ26" i="4"/>
  <c r="AQ27" i="4"/>
  <c r="AQ28" i="4"/>
  <c r="AQ29" i="4"/>
  <c r="AQ30" i="4"/>
  <c r="AQ31" i="4"/>
  <c r="AQ32" i="4"/>
  <c r="AP22" i="4"/>
  <c r="AP23" i="4"/>
  <c r="AP24" i="4"/>
  <c r="AP25" i="4"/>
  <c r="AP26" i="4"/>
  <c r="AP27" i="4"/>
  <c r="AP28" i="4"/>
  <c r="AP29" i="4"/>
  <c r="AP30" i="4"/>
  <c r="AP31" i="4"/>
  <c r="AP32" i="4"/>
  <c r="AJ7" i="4"/>
  <c r="AI7" i="4"/>
  <c r="AH7" i="4"/>
  <c r="AG7" i="4"/>
  <c r="AF7" i="4"/>
  <c r="AP6" i="3"/>
  <c r="AO6" i="3"/>
  <c r="AN6" i="3"/>
  <c r="AM6" i="3"/>
  <c r="U18" i="2"/>
  <c r="U12" i="2"/>
  <c r="U6" i="2"/>
  <c r="AD9" i="1"/>
  <c r="AD67" i="1"/>
  <c r="AD66" i="1"/>
  <c r="AD65" i="1"/>
  <c r="AD64" i="1"/>
  <c r="AD63" i="1"/>
  <c r="AD61" i="1"/>
  <c r="AD60" i="1"/>
  <c r="AD59" i="1"/>
  <c r="AD57" i="1"/>
  <c r="AD56" i="1"/>
  <c r="AD55" i="1"/>
  <c r="AD54" i="1"/>
  <c r="AD52" i="1"/>
  <c r="AD51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J62" i="1"/>
  <c r="J58" i="1"/>
  <c r="J53" i="1"/>
  <c r="J50" i="1"/>
  <c r="J35" i="1"/>
  <c r="J8" i="1"/>
  <c r="C10" i="15" l="1"/>
  <c r="C6" i="15" s="1"/>
  <c r="N24" i="12"/>
  <c r="N12" i="12"/>
  <c r="N22" i="12"/>
  <c r="N10" i="12"/>
  <c r="N19" i="12"/>
  <c r="N7" i="12"/>
  <c r="N18" i="12"/>
  <c r="N6" i="12"/>
  <c r="N16" i="12"/>
  <c r="N5" i="12"/>
  <c r="N13" i="12"/>
  <c r="H50" i="13"/>
  <c r="G50" i="13"/>
  <c r="I50" i="13"/>
  <c r="M50" i="13"/>
  <c r="E6" i="13"/>
  <c r="M6" i="13"/>
  <c r="G6" i="13"/>
  <c r="H6" i="13"/>
  <c r="I6" i="13"/>
  <c r="N23" i="12"/>
  <c r="N17" i="12"/>
  <c r="N11" i="12"/>
  <c r="F146" i="13"/>
  <c r="B230" i="13"/>
  <c r="J50" i="13"/>
  <c r="N50" i="13"/>
  <c r="K146" i="13"/>
  <c r="H146" i="13"/>
  <c r="J6" i="13"/>
  <c r="N21" i="12"/>
  <c r="N15" i="12"/>
  <c r="N9" i="12"/>
  <c r="L146" i="13"/>
  <c r="B198" i="13"/>
  <c r="N146" i="13"/>
  <c r="L50" i="13"/>
  <c r="F50" i="13"/>
  <c r="B214" i="13"/>
  <c r="N20" i="12"/>
  <c r="N14" i="12"/>
  <c r="J146" i="13"/>
  <c r="B179" i="13"/>
  <c r="G146" i="13"/>
  <c r="B219" i="13"/>
  <c r="B226" i="13"/>
  <c r="T6" i="14"/>
  <c r="U147" i="14" s="1"/>
  <c r="N6" i="13"/>
  <c r="F6" i="13"/>
  <c r="L6" i="13"/>
  <c r="K6" i="13"/>
  <c r="B147" i="13"/>
  <c r="C146" i="13"/>
  <c r="B146" i="13" s="1"/>
  <c r="B191" i="13"/>
  <c r="B148" i="13"/>
  <c r="B26" i="8"/>
  <c r="J7" i="1"/>
  <c r="S12" i="2"/>
  <c r="AA6" i="3"/>
  <c r="U26" i="14" l="1"/>
  <c r="U97" i="14"/>
  <c r="U185" i="14"/>
  <c r="U135" i="14"/>
  <c r="U189" i="14"/>
  <c r="U178" i="14"/>
  <c r="U56" i="14"/>
  <c r="U154" i="14"/>
  <c r="T7" i="1"/>
  <c r="U7" i="14"/>
  <c r="U161" i="14"/>
  <c r="U173" i="14"/>
  <c r="U158" i="14"/>
  <c r="U13" i="14"/>
  <c r="U6" i="14"/>
  <c r="U187" i="14"/>
  <c r="U181" i="14"/>
  <c r="U175" i="14"/>
  <c r="U169" i="14"/>
  <c r="U163" i="14"/>
  <c r="U157" i="14"/>
  <c r="U151" i="14"/>
  <c r="U144" i="14"/>
  <c r="U138" i="14"/>
  <c r="U132" i="14"/>
  <c r="U126" i="14"/>
  <c r="U120" i="14"/>
  <c r="U114" i="14"/>
  <c r="U108" i="14"/>
  <c r="U102" i="14"/>
  <c r="U95" i="14"/>
  <c r="U89" i="14"/>
  <c r="U83" i="14"/>
  <c r="U77" i="14"/>
  <c r="U71" i="14"/>
  <c r="U65" i="14"/>
  <c r="U59" i="14"/>
  <c r="U53" i="14"/>
  <c r="U47" i="14"/>
  <c r="U41" i="14"/>
  <c r="U35" i="14"/>
  <c r="U29" i="14"/>
  <c r="U22" i="14"/>
  <c r="U16" i="14"/>
  <c r="U10" i="14"/>
  <c r="U177" i="14"/>
  <c r="U37" i="14"/>
  <c r="U176" i="14"/>
  <c r="U164" i="14"/>
  <c r="U145" i="14"/>
  <c r="U133" i="14"/>
  <c r="U109" i="14"/>
  <c r="U90" i="14"/>
  <c r="U66" i="14"/>
  <c r="U48" i="14"/>
  <c r="U17" i="14"/>
  <c r="U192" i="14"/>
  <c r="U186" i="14"/>
  <c r="U180" i="14"/>
  <c r="U174" i="14"/>
  <c r="U168" i="14"/>
  <c r="U162" i="14"/>
  <c r="U156" i="14"/>
  <c r="U150" i="14"/>
  <c r="U143" i="14"/>
  <c r="U137" i="14"/>
  <c r="U131" i="14"/>
  <c r="U125" i="14"/>
  <c r="U119" i="14"/>
  <c r="U113" i="14"/>
  <c r="U107" i="14"/>
  <c r="U101" i="14"/>
  <c r="U94" i="14"/>
  <c r="U88" i="14"/>
  <c r="U82" i="14"/>
  <c r="U76" i="14"/>
  <c r="U70" i="14"/>
  <c r="U64" i="14"/>
  <c r="U58" i="14"/>
  <c r="U52" i="14"/>
  <c r="U46" i="14"/>
  <c r="U40" i="14"/>
  <c r="U34" i="14"/>
  <c r="U28" i="14"/>
  <c r="U21" i="14"/>
  <c r="U15" i="14"/>
  <c r="U9" i="14"/>
  <c r="U171" i="14"/>
  <c r="U49" i="14"/>
  <c r="U182" i="14"/>
  <c r="U152" i="14"/>
  <c r="U127" i="14"/>
  <c r="U103" i="14"/>
  <c r="U78" i="14"/>
  <c r="U60" i="14"/>
  <c r="U36" i="14"/>
  <c r="U30" i="14"/>
  <c r="U23" i="14"/>
  <c r="U191" i="14"/>
  <c r="U179" i="14"/>
  <c r="U167" i="14"/>
  <c r="U155" i="14"/>
  <c r="U149" i="14"/>
  <c r="U142" i="14"/>
  <c r="U136" i="14"/>
  <c r="U130" i="14"/>
  <c r="U124" i="14"/>
  <c r="U118" i="14"/>
  <c r="U112" i="14"/>
  <c r="U106" i="14"/>
  <c r="U100" i="14"/>
  <c r="U93" i="14"/>
  <c r="U87" i="14"/>
  <c r="U81" i="14"/>
  <c r="U75" i="14"/>
  <c r="U69" i="14"/>
  <c r="U63" i="14"/>
  <c r="U57" i="14"/>
  <c r="U51" i="14"/>
  <c r="U45" i="14"/>
  <c r="U33" i="14"/>
  <c r="U27" i="14"/>
  <c r="U20" i="14"/>
  <c r="U14" i="14"/>
  <c r="U8" i="14"/>
  <c r="U183" i="14"/>
  <c r="U165" i="14"/>
  <c r="U159" i="14"/>
  <c r="U153" i="14"/>
  <c r="U146" i="14"/>
  <c r="U140" i="14"/>
  <c r="U134" i="14"/>
  <c r="U128" i="14"/>
  <c r="U122" i="14"/>
  <c r="U116" i="14"/>
  <c r="U110" i="14"/>
  <c r="U104" i="14"/>
  <c r="U98" i="14"/>
  <c r="U91" i="14"/>
  <c r="U85" i="14"/>
  <c r="U79" i="14"/>
  <c r="U73" i="14"/>
  <c r="U67" i="14"/>
  <c r="U61" i="14"/>
  <c r="U55" i="14"/>
  <c r="U43" i="14"/>
  <c r="U24" i="14"/>
  <c r="U18" i="14"/>
  <c r="U12" i="14"/>
  <c r="U188" i="14"/>
  <c r="U121" i="14"/>
  <c r="U72" i="14"/>
  <c r="U42" i="14"/>
  <c r="U190" i="14"/>
  <c r="U184" i="14"/>
  <c r="U172" i="14"/>
  <c r="U166" i="14"/>
  <c r="U160" i="14"/>
  <c r="U148" i="14"/>
  <c r="U141" i="14"/>
  <c r="U129" i="14"/>
  <c r="U123" i="14"/>
  <c r="U117" i="14"/>
  <c r="U111" i="14"/>
  <c r="U105" i="14"/>
  <c r="U99" i="14"/>
  <c r="U92" i="14"/>
  <c r="U86" i="14"/>
  <c r="U80" i="14"/>
  <c r="U74" i="14"/>
  <c r="U68" i="14"/>
  <c r="U62" i="14"/>
  <c r="U50" i="14"/>
  <c r="U44" i="14"/>
  <c r="U38" i="14"/>
  <c r="U32" i="14"/>
  <c r="U25" i="14"/>
  <c r="U19" i="14"/>
  <c r="U31" i="14"/>
  <c r="U170" i="14"/>
  <c r="U139" i="14"/>
  <c r="U115" i="14"/>
  <c r="U96" i="14"/>
  <c r="U84" i="14"/>
  <c r="U54" i="14"/>
  <c r="U11" i="14"/>
  <c r="U39" i="14"/>
  <c r="T53" i="1"/>
  <c r="T37" i="1"/>
  <c r="T27" i="1"/>
  <c r="T50" i="1"/>
  <c r="T67" i="1"/>
  <c r="T59" i="1"/>
  <c r="T51" i="1"/>
  <c r="T43" i="1"/>
  <c r="T19" i="1"/>
  <c r="T42" i="1"/>
  <c r="T18" i="1"/>
  <c r="T65" i="1"/>
  <c r="T57" i="1"/>
  <c r="T49" i="1"/>
  <c r="T41" i="1"/>
  <c r="T33" i="1"/>
  <c r="T25" i="1"/>
  <c r="T17" i="1"/>
  <c r="T9" i="1"/>
  <c r="T63" i="1"/>
  <c r="T47" i="1"/>
  <c r="T31" i="1"/>
  <c r="T23" i="1"/>
  <c r="T21" i="1"/>
  <c r="T68" i="1"/>
  <c r="T52" i="1"/>
  <c r="T36" i="1"/>
  <c r="T20" i="1"/>
  <c r="T66" i="1"/>
  <c r="T26" i="1"/>
  <c r="T64" i="1"/>
  <c r="T56" i="1"/>
  <c r="T48" i="1"/>
  <c r="T40" i="1"/>
  <c r="T32" i="1"/>
  <c r="T24" i="1"/>
  <c r="T16" i="1"/>
  <c r="T8" i="1"/>
  <c r="T55" i="1"/>
  <c r="T39" i="1"/>
  <c r="T15" i="1"/>
  <c r="T13" i="1"/>
  <c r="T60" i="1"/>
  <c r="T44" i="1"/>
  <c r="T28" i="1"/>
  <c r="T12" i="1"/>
  <c r="T35" i="1"/>
  <c r="T58" i="1"/>
  <c r="T10" i="1"/>
  <c r="T62" i="1"/>
  <c r="T54" i="1"/>
  <c r="T46" i="1"/>
  <c r="T38" i="1"/>
  <c r="T30" i="1"/>
  <c r="T22" i="1"/>
  <c r="T14" i="1"/>
  <c r="T69" i="1"/>
  <c r="T61" i="1"/>
  <c r="T45" i="1"/>
  <c r="T29" i="1"/>
  <c r="T11" i="1"/>
  <c r="T34" i="1"/>
  <c r="T24" i="2"/>
  <c r="T18" i="2"/>
  <c r="T12" i="2"/>
  <c r="T6" i="2"/>
  <c r="AF44" i="2" l="1"/>
  <c r="AF47" i="2"/>
  <c r="AF46" i="2"/>
  <c r="AF45" i="2"/>
  <c r="AF39" i="2"/>
  <c r="AF37" i="2"/>
  <c r="AF40" i="2"/>
  <c r="AF38" i="2"/>
  <c r="BC65" i="1" l="1"/>
  <c r="BC64" i="1" s="1"/>
  <c r="S178" i="14" l="1"/>
  <c r="S175" i="14"/>
  <c r="S67" i="14"/>
  <c r="S24" i="14" l="1"/>
  <c r="M73" i="13"/>
  <c r="S189" i="14" l="1"/>
  <c r="S185" i="14"/>
  <c r="S173" i="14"/>
  <c r="S163" i="14"/>
  <c r="S161" i="14"/>
  <c r="S158" i="14"/>
  <c r="S154" i="14"/>
  <c r="S135" i="14"/>
  <c r="S121" i="14"/>
  <c r="S56" i="14"/>
  <c r="S39" i="14"/>
  <c r="S16" i="14"/>
  <c r="S13" i="14"/>
  <c r="S11" i="14"/>
  <c r="S7" i="14"/>
  <c r="AC45" i="12"/>
  <c r="L5" i="12"/>
  <c r="O8" i="9"/>
  <c r="S8" i="9" s="1"/>
  <c r="F8" i="9"/>
  <c r="B24" i="8"/>
  <c r="AG47" i="8" s="1"/>
  <c r="B23" i="8"/>
  <c r="AF47" i="8" s="1"/>
  <c r="N22" i="8"/>
  <c r="M22" i="8"/>
  <c r="L22" i="8"/>
  <c r="K22" i="8"/>
  <c r="J22" i="8"/>
  <c r="I22" i="8"/>
  <c r="H22" i="8"/>
  <c r="G22" i="8"/>
  <c r="F22" i="8"/>
  <c r="E22" i="8"/>
  <c r="D22" i="8"/>
  <c r="C22" i="8"/>
  <c r="AC6" i="7"/>
  <c r="AE6" i="7"/>
  <c r="AD6" i="7"/>
  <c r="AB6" i="7"/>
  <c r="AA6" i="7"/>
  <c r="AC7" i="6"/>
  <c r="AE7" i="6"/>
  <c r="AD7" i="6"/>
  <c r="AB7" i="6"/>
  <c r="AA7" i="6"/>
  <c r="AC6" i="5"/>
  <c r="AE6" i="5"/>
  <c r="AD6" i="5"/>
  <c r="AB6" i="5"/>
  <c r="AA6" i="5"/>
  <c r="AE7" i="4"/>
  <c r="AD7" i="4"/>
  <c r="AC7" i="4"/>
  <c r="AB7" i="4"/>
  <c r="AA7" i="4"/>
  <c r="BO86" i="3"/>
  <c r="BO87" i="3"/>
  <c r="BO88" i="3"/>
  <c r="BO89" i="3"/>
  <c r="BO90" i="3"/>
  <c r="BO91" i="3"/>
  <c r="BO92" i="3"/>
  <c r="BO93" i="3"/>
  <c r="BO94" i="3"/>
  <c r="BO95" i="3"/>
  <c r="BO96" i="3"/>
  <c r="BO85" i="3"/>
  <c r="AL6" i="3"/>
  <c r="AK6" i="3"/>
  <c r="AJ6" i="3"/>
  <c r="AI6" i="3"/>
  <c r="AH6" i="3"/>
  <c r="AG6" i="3"/>
  <c r="AC67" i="1"/>
  <c r="AC66" i="1"/>
  <c r="AC65" i="1"/>
  <c r="AC64" i="1"/>
  <c r="AC63" i="1"/>
  <c r="AC61" i="1"/>
  <c r="AC60" i="1"/>
  <c r="AC59" i="1"/>
  <c r="AC57" i="1"/>
  <c r="AC56" i="1"/>
  <c r="AC55" i="1"/>
  <c r="AC54" i="1"/>
  <c r="AC52" i="1"/>
  <c r="AC51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I62" i="1"/>
  <c r="AD62" i="1" s="1"/>
  <c r="I58" i="1"/>
  <c r="AD58" i="1" s="1"/>
  <c r="I53" i="1"/>
  <c r="AD53" i="1" s="1"/>
  <c r="I50" i="1"/>
  <c r="AD50" i="1" s="1"/>
  <c r="I35" i="1"/>
  <c r="AD35" i="1" s="1"/>
  <c r="I8" i="1"/>
  <c r="AD8" i="1" s="1"/>
  <c r="I7" i="1" l="1"/>
  <c r="S6" i="14"/>
  <c r="B22" i="8"/>
  <c r="S63" i="1" l="1"/>
  <c r="S7" i="1"/>
  <c r="S9" i="1"/>
  <c r="S47" i="1"/>
  <c r="S29" i="1"/>
  <c r="S22" i="1"/>
  <c r="S25" i="1"/>
  <c r="S52" i="1"/>
  <c r="S19" i="1"/>
  <c r="S14" i="1"/>
  <c r="S13" i="1"/>
  <c r="S11" i="1"/>
  <c r="S16" i="1"/>
  <c r="S32" i="1"/>
  <c r="S50" i="1"/>
  <c r="S15" i="1"/>
  <c r="S54" i="1"/>
  <c r="S36" i="1"/>
  <c r="S61" i="1"/>
  <c r="S58" i="1"/>
  <c r="S51" i="1"/>
  <c r="S17" i="1"/>
  <c r="S24" i="1"/>
  <c r="S57" i="1"/>
  <c r="S48" i="1"/>
  <c r="S18" i="1"/>
  <c r="S49" i="1"/>
  <c r="S21" i="1"/>
  <c r="S67" i="1"/>
  <c r="S46" i="1"/>
  <c r="S12" i="1"/>
  <c r="S53" i="1"/>
  <c r="S34" i="1"/>
  <c r="S43" i="1"/>
  <c r="S40" i="1"/>
  <c r="S39" i="1"/>
  <c r="S56" i="1"/>
  <c r="S28" i="1"/>
  <c r="S38" i="1"/>
  <c r="S66" i="1"/>
  <c r="S45" i="1"/>
  <c r="S33" i="1"/>
  <c r="S35" i="1"/>
  <c r="S8" i="1"/>
  <c r="S55" i="1"/>
  <c r="S26" i="1"/>
  <c r="S30" i="1"/>
  <c r="S42" i="1"/>
  <c r="S37" i="1"/>
  <c r="S68" i="1"/>
  <c r="S27" i="1"/>
  <c r="S65" i="1"/>
  <c r="S31" i="1"/>
  <c r="S44" i="1"/>
  <c r="S41" i="1"/>
  <c r="S23" i="1"/>
  <c r="S62" i="1"/>
  <c r="S60" i="1"/>
  <c r="S69" i="1"/>
  <c r="S20" i="1"/>
  <c r="S59" i="1"/>
  <c r="S10" i="1"/>
  <c r="S64" i="1"/>
  <c r="Z45" i="12"/>
  <c r="AB45" i="12"/>
  <c r="R189" i="14" l="1"/>
  <c r="Q189" i="14"/>
  <c r="P189" i="14"/>
  <c r="O189" i="14"/>
  <c r="N189" i="14"/>
  <c r="M189" i="14"/>
  <c r="L189" i="14"/>
  <c r="K189" i="14"/>
  <c r="J189" i="14"/>
  <c r="I189" i="14"/>
  <c r="H189" i="14"/>
  <c r="G189" i="14"/>
  <c r="R185" i="14"/>
  <c r="Q185" i="14"/>
  <c r="P185" i="14"/>
  <c r="O185" i="14"/>
  <c r="N185" i="14"/>
  <c r="M185" i="14"/>
  <c r="L185" i="14"/>
  <c r="K185" i="14"/>
  <c r="R178" i="14"/>
  <c r="Q178" i="14"/>
  <c r="P178" i="14"/>
  <c r="O178" i="14"/>
  <c r="N178" i="14"/>
  <c r="M178" i="14"/>
  <c r="L178" i="14"/>
  <c r="K178" i="14"/>
  <c r="J178" i="14"/>
  <c r="I178" i="14"/>
  <c r="R175" i="14"/>
  <c r="Q175" i="14"/>
  <c r="P175" i="14"/>
  <c r="O175" i="14"/>
  <c r="N175" i="14"/>
  <c r="M175" i="14"/>
  <c r="L175" i="14"/>
  <c r="K175" i="14"/>
  <c r="R173" i="14"/>
  <c r="Q173" i="14"/>
  <c r="P173" i="14"/>
  <c r="O173" i="14"/>
  <c r="N173" i="14"/>
  <c r="M17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R161" i="14"/>
  <c r="Q161" i="14"/>
  <c r="P161" i="14"/>
  <c r="O161" i="14"/>
  <c r="N161" i="14"/>
  <c r="M161" i="14"/>
  <c r="L161" i="14"/>
  <c r="K161" i="14"/>
  <c r="J161" i="14"/>
  <c r="I161" i="14"/>
  <c r="H161" i="14"/>
  <c r="G161" i="14"/>
  <c r="R158" i="14"/>
  <c r="Q158" i="14"/>
  <c r="P158" i="14"/>
  <c r="O158" i="14"/>
  <c r="N158" i="14"/>
  <c r="M158" i="14"/>
  <c r="L158" i="14"/>
  <c r="K158" i="14"/>
  <c r="J158" i="14"/>
  <c r="I158" i="14"/>
  <c r="H158" i="14"/>
  <c r="G158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R11" i="14"/>
  <c r="R7" i="14"/>
  <c r="Q7" i="14"/>
  <c r="P7" i="14"/>
  <c r="O7" i="14"/>
  <c r="N7" i="14"/>
  <c r="M7" i="14"/>
  <c r="L7" i="14"/>
  <c r="K7" i="14"/>
  <c r="J7" i="14"/>
  <c r="I7" i="14"/>
  <c r="H7" i="14"/>
  <c r="G7" i="14"/>
  <c r="B101" i="13"/>
  <c r="B100" i="13"/>
  <c r="B99" i="13"/>
  <c r="B98" i="13"/>
  <c r="B97" i="13"/>
  <c r="B96" i="13"/>
  <c r="B95" i="13"/>
  <c r="B94" i="13"/>
  <c r="B93" i="13"/>
  <c r="B92" i="13"/>
  <c r="B91" i="13"/>
  <c r="B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8" i="13"/>
  <c r="B87" i="13"/>
  <c r="B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4" i="13"/>
  <c r="B83" i="13"/>
  <c r="B82" i="13"/>
  <c r="B81" i="13"/>
  <c r="B80" i="13"/>
  <c r="B79" i="13"/>
  <c r="N78" i="13"/>
  <c r="M78" i="13"/>
  <c r="M5" i="13" s="1"/>
  <c r="L78" i="13"/>
  <c r="K78" i="13"/>
  <c r="J78" i="13"/>
  <c r="I78" i="13"/>
  <c r="H78" i="13"/>
  <c r="G78" i="13"/>
  <c r="F78" i="13"/>
  <c r="E78" i="13"/>
  <c r="D78" i="13"/>
  <c r="C78" i="13"/>
  <c r="B77" i="13"/>
  <c r="B76" i="13"/>
  <c r="B75" i="13"/>
  <c r="B74" i="13"/>
  <c r="N73" i="13"/>
  <c r="N5" i="13" s="1"/>
  <c r="L73" i="13"/>
  <c r="L5" i="13" s="1"/>
  <c r="K73" i="13"/>
  <c r="K5" i="13" s="1"/>
  <c r="J73" i="13"/>
  <c r="J5" i="13" s="1"/>
  <c r="I73" i="13"/>
  <c r="H73" i="13"/>
  <c r="G73" i="13"/>
  <c r="F73" i="13"/>
  <c r="E73" i="13"/>
  <c r="D73" i="13"/>
  <c r="C73" i="13"/>
  <c r="B72" i="13"/>
  <c r="B71" i="13"/>
  <c r="B70" i="13"/>
  <c r="B69" i="13"/>
  <c r="B68" i="13"/>
  <c r="B67" i="13"/>
  <c r="D66" i="13"/>
  <c r="Y39" i="11" s="1"/>
  <c r="C66" i="13"/>
  <c r="X39" i="11" s="1"/>
  <c r="B65" i="13"/>
  <c r="B64" i="13"/>
  <c r="B63" i="13"/>
  <c r="B62" i="13"/>
  <c r="B61" i="13"/>
  <c r="B60" i="13"/>
  <c r="B59" i="13"/>
  <c r="B58" i="13"/>
  <c r="Y38" i="11"/>
  <c r="X38" i="11"/>
  <c r="B56" i="13"/>
  <c r="B55" i="13"/>
  <c r="B54" i="13"/>
  <c r="B53" i="13"/>
  <c r="B52" i="13"/>
  <c r="M11" i="11"/>
  <c r="E51" i="13"/>
  <c r="D51" i="13"/>
  <c r="Y37" i="11" s="1"/>
  <c r="C51" i="13"/>
  <c r="X37" i="11" s="1"/>
  <c r="B49" i="13"/>
  <c r="B48" i="13"/>
  <c r="B47" i="13"/>
  <c r="D46" i="13"/>
  <c r="Y32" i="11" s="1"/>
  <c r="C46" i="13"/>
  <c r="B45" i="13"/>
  <c r="B44" i="13"/>
  <c r="B43" i="13"/>
  <c r="B42" i="13"/>
  <c r="B41" i="13"/>
  <c r="B40" i="13"/>
  <c r="B39" i="13"/>
  <c r="D38" i="13"/>
  <c r="Y31" i="11" s="1"/>
  <c r="C38" i="13"/>
  <c r="B37" i="13"/>
  <c r="B36" i="13"/>
  <c r="B35" i="13"/>
  <c r="B34" i="13"/>
  <c r="B33" i="13"/>
  <c r="B32" i="13"/>
  <c r="B31" i="13"/>
  <c r="B30" i="13"/>
  <c r="X30" i="11"/>
  <c r="B28" i="13"/>
  <c r="B27" i="13"/>
  <c r="B26" i="13"/>
  <c r="B25" i="13"/>
  <c r="B24" i="13"/>
  <c r="B23" i="13"/>
  <c r="B22" i="13"/>
  <c r="D21" i="13"/>
  <c r="Y29" i="11" s="1"/>
  <c r="C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AF22" i="13"/>
  <c r="AD22" i="13"/>
  <c r="X22" i="13"/>
  <c r="AA45" i="12"/>
  <c r="K5" i="12"/>
  <c r="J5" i="12"/>
  <c r="I5" i="12"/>
  <c r="H5" i="12"/>
  <c r="G5" i="12"/>
  <c r="F5" i="12"/>
  <c r="E5" i="12"/>
  <c r="D5" i="12"/>
  <c r="C5" i="12"/>
  <c r="B5" i="12"/>
  <c r="AI39" i="11"/>
  <c r="AH39" i="11"/>
  <c r="AG39" i="11"/>
  <c r="AF39" i="11"/>
  <c r="AE39" i="11"/>
  <c r="AD39" i="11"/>
  <c r="AC39" i="11"/>
  <c r="AB39" i="11"/>
  <c r="AA39" i="11"/>
  <c r="AI38" i="11"/>
  <c r="AH38" i="11"/>
  <c r="AG38" i="11"/>
  <c r="AF38" i="11"/>
  <c r="AE38" i="11"/>
  <c r="AD38" i="11"/>
  <c r="AC38" i="11"/>
  <c r="AB38" i="11"/>
  <c r="AA38" i="11"/>
  <c r="AI37" i="11"/>
  <c r="AG37" i="11"/>
  <c r="AF37" i="11"/>
  <c r="AE37" i="11"/>
  <c r="AD37" i="11"/>
  <c r="AC37" i="11"/>
  <c r="AB37" i="11"/>
  <c r="AA37" i="11"/>
  <c r="AI32" i="11"/>
  <c r="AH32" i="11"/>
  <c r="AG32" i="11"/>
  <c r="AF32" i="11"/>
  <c r="AE32" i="11"/>
  <c r="AD32" i="11"/>
  <c r="AC32" i="11"/>
  <c r="AB32" i="11"/>
  <c r="AA32" i="11"/>
  <c r="Z32" i="11"/>
  <c r="X32" i="11"/>
  <c r="AI31" i="11"/>
  <c r="AH31" i="11"/>
  <c r="AG31" i="11"/>
  <c r="AF31" i="11"/>
  <c r="AE31" i="11"/>
  <c r="AD31" i="11"/>
  <c r="AC31" i="11"/>
  <c r="AB31" i="11"/>
  <c r="AA31" i="11"/>
  <c r="Z31" i="11"/>
  <c r="X31" i="11"/>
  <c r="AI30" i="11"/>
  <c r="AH30" i="11"/>
  <c r="AG30" i="11"/>
  <c r="AF30" i="11"/>
  <c r="AE30" i="11"/>
  <c r="AD30" i="11"/>
  <c r="AC30" i="11"/>
  <c r="AB30" i="11"/>
  <c r="AA30" i="11"/>
  <c r="Z30" i="11"/>
  <c r="AI29" i="11"/>
  <c r="AH29" i="11"/>
  <c r="AG29" i="11"/>
  <c r="AF29" i="11"/>
  <c r="AE29" i="11"/>
  <c r="AD29" i="11"/>
  <c r="AC29" i="11"/>
  <c r="AB29" i="11"/>
  <c r="AA29" i="11"/>
  <c r="Z29" i="11"/>
  <c r="X29" i="11"/>
  <c r="AI28" i="11"/>
  <c r="AH28" i="11"/>
  <c r="AG28" i="11"/>
  <c r="AF28" i="11"/>
  <c r="AE28" i="11"/>
  <c r="AD28" i="11"/>
  <c r="AC28" i="11"/>
  <c r="AB28" i="11"/>
  <c r="AA28" i="11"/>
  <c r="Z28" i="11"/>
  <c r="Y28" i="11"/>
  <c r="B20" i="11"/>
  <c r="B19" i="11"/>
  <c r="N11" i="11"/>
  <c r="L11" i="11"/>
  <c r="K11" i="11"/>
  <c r="J11" i="11"/>
  <c r="I11" i="11"/>
  <c r="H11" i="11"/>
  <c r="G11" i="11"/>
  <c r="F11" i="11"/>
  <c r="N5" i="11"/>
  <c r="M5" i="11"/>
  <c r="L5" i="11"/>
  <c r="K5" i="11"/>
  <c r="J5" i="11"/>
  <c r="I5" i="11"/>
  <c r="H5" i="11"/>
  <c r="G5" i="11"/>
  <c r="F5" i="11"/>
  <c r="E5" i="11"/>
  <c r="N8" i="9"/>
  <c r="M8" i="9"/>
  <c r="L8" i="9"/>
  <c r="K8" i="9"/>
  <c r="J8" i="9"/>
  <c r="G8" i="9"/>
  <c r="Q8" i="9" s="1"/>
  <c r="E8" i="9"/>
  <c r="D8" i="9"/>
  <c r="C8" i="9"/>
  <c r="B8" i="9"/>
  <c r="B20" i="8"/>
  <c r="AG46" i="8" s="1"/>
  <c r="B19" i="8"/>
  <c r="AF46" i="8" s="1"/>
  <c r="N18" i="8"/>
  <c r="M18" i="8"/>
  <c r="L18" i="8"/>
  <c r="K18" i="8"/>
  <c r="J18" i="8"/>
  <c r="I18" i="8"/>
  <c r="H18" i="8"/>
  <c r="G18" i="8"/>
  <c r="F18" i="8"/>
  <c r="E18" i="8"/>
  <c r="D18" i="8"/>
  <c r="C18" i="8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N6" i="8"/>
  <c r="M6" i="8"/>
  <c r="L6" i="8"/>
  <c r="K6" i="8"/>
  <c r="J6" i="8"/>
  <c r="I6" i="8"/>
  <c r="H6" i="8"/>
  <c r="G6" i="8"/>
  <c r="F6" i="8"/>
  <c r="E6" i="8"/>
  <c r="D6" i="8"/>
  <c r="C6" i="8"/>
  <c r="X18" i="7"/>
  <c r="S18" i="7"/>
  <c r="N18" i="7"/>
  <c r="I18" i="7"/>
  <c r="D18" i="7"/>
  <c r="X17" i="7"/>
  <c r="S17" i="7"/>
  <c r="N17" i="7"/>
  <c r="I17" i="7"/>
  <c r="D17" i="7"/>
  <c r="X16" i="7"/>
  <c r="S16" i="7"/>
  <c r="N16" i="7"/>
  <c r="I16" i="7"/>
  <c r="D16" i="7"/>
  <c r="X15" i="7"/>
  <c r="S15" i="7"/>
  <c r="N15" i="7"/>
  <c r="I15" i="7"/>
  <c r="D15" i="7"/>
  <c r="X14" i="7"/>
  <c r="S14" i="7"/>
  <c r="N14" i="7"/>
  <c r="I14" i="7"/>
  <c r="D14" i="7"/>
  <c r="X13" i="7"/>
  <c r="S13" i="7"/>
  <c r="N13" i="7"/>
  <c r="I13" i="7"/>
  <c r="D13" i="7"/>
  <c r="X12" i="7"/>
  <c r="S12" i="7"/>
  <c r="N12" i="7"/>
  <c r="I12" i="7"/>
  <c r="D12" i="7"/>
  <c r="X11" i="7"/>
  <c r="S11" i="7"/>
  <c r="N11" i="7"/>
  <c r="I11" i="7"/>
  <c r="D11" i="7"/>
  <c r="X10" i="7"/>
  <c r="S10" i="7"/>
  <c r="N10" i="7"/>
  <c r="I10" i="7"/>
  <c r="D10" i="7"/>
  <c r="X9" i="7"/>
  <c r="S9" i="7"/>
  <c r="N9" i="7"/>
  <c r="I9" i="7"/>
  <c r="D9" i="7"/>
  <c r="X8" i="7"/>
  <c r="S8" i="7"/>
  <c r="N8" i="7"/>
  <c r="I8" i="7"/>
  <c r="D8" i="7"/>
  <c r="X7" i="7"/>
  <c r="S7" i="7"/>
  <c r="N7" i="7"/>
  <c r="I7" i="7"/>
  <c r="D7" i="7"/>
  <c r="Z6" i="7"/>
  <c r="Y6" i="7"/>
  <c r="W6" i="7"/>
  <c r="V6" i="7"/>
  <c r="U6" i="7"/>
  <c r="T6" i="7"/>
  <c r="R6" i="7"/>
  <c r="Q6" i="7"/>
  <c r="P6" i="7"/>
  <c r="O6" i="7"/>
  <c r="M6" i="7"/>
  <c r="L6" i="7"/>
  <c r="K6" i="7"/>
  <c r="J6" i="7"/>
  <c r="H6" i="7"/>
  <c r="G6" i="7"/>
  <c r="F6" i="7"/>
  <c r="E6" i="7"/>
  <c r="C6" i="7"/>
  <c r="B6" i="7"/>
  <c r="X19" i="6"/>
  <c r="S19" i="6"/>
  <c r="N19" i="6"/>
  <c r="I19" i="6"/>
  <c r="D19" i="6"/>
  <c r="X18" i="6"/>
  <c r="S18" i="6"/>
  <c r="N18" i="6"/>
  <c r="I18" i="6"/>
  <c r="D18" i="6"/>
  <c r="X17" i="6"/>
  <c r="S17" i="6"/>
  <c r="N17" i="6"/>
  <c r="I17" i="6"/>
  <c r="D17" i="6"/>
  <c r="X16" i="6"/>
  <c r="S16" i="6"/>
  <c r="N16" i="6"/>
  <c r="I16" i="6"/>
  <c r="D16" i="6"/>
  <c r="X15" i="6"/>
  <c r="S15" i="6"/>
  <c r="N15" i="6"/>
  <c r="I15" i="6"/>
  <c r="D15" i="6"/>
  <c r="X14" i="6"/>
  <c r="S14" i="6"/>
  <c r="N14" i="6"/>
  <c r="I14" i="6"/>
  <c r="D14" i="6"/>
  <c r="X13" i="6"/>
  <c r="S13" i="6"/>
  <c r="N13" i="6"/>
  <c r="I13" i="6"/>
  <c r="D13" i="6"/>
  <c r="X12" i="6"/>
  <c r="S12" i="6"/>
  <c r="N12" i="6"/>
  <c r="I12" i="6"/>
  <c r="D12" i="6"/>
  <c r="X11" i="6"/>
  <c r="S11" i="6"/>
  <c r="N11" i="6"/>
  <c r="I11" i="6"/>
  <c r="D11" i="6"/>
  <c r="X10" i="6"/>
  <c r="S10" i="6"/>
  <c r="N10" i="6"/>
  <c r="I10" i="6"/>
  <c r="D10" i="6"/>
  <c r="X9" i="6"/>
  <c r="S9" i="6"/>
  <c r="N9" i="6"/>
  <c r="I9" i="6"/>
  <c r="D9" i="6"/>
  <c r="X8" i="6"/>
  <c r="S8" i="6"/>
  <c r="N8" i="6"/>
  <c r="I8" i="6"/>
  <c r="D8" i="6"/>
  <c r="Z7" i="6"/>
  <c r="Y7" i="6"/>
  <c r="W7" i="6"/>
  <c r="V7" i="6"/>
  <c r="U7" i="6"/>
  <c r="T7" i="6"/>
  <c r="R7" i="6"/>
  <c r="Q7" i="6"/>
  <c r="P7" i="6"/>
  <c r="O7" i="6"/>
  <c r="M7" i="6"/>
  <c r="L7" i="6"/>
  <c r="K7" i="6"/>
  <c r="J7" i="6"/>
  <c r="H7" i="6"/>
  <c r="G7" i="6"/>
  <c r="F7" i="6"/>
  <c r="E7" i="6"/>
  <c r="C7" i="6"/>
  <c r="B7" i="6"/>
  <c r="X18" i="5"/>
  <c r="S18" i="5"/>
  <c r="N18" i="5"/>
  <c r="I18" i="5"/>
  <c r="D18" i="5"/>
  <c r="X17" i="5"/>
  <c r="S17" i="5"/>
  <c r="N17" i="5"/>
  <c r="I17" i="5"/>
  <c r="D17" i="5"/>
  <c r="X16" i="5"/>
  <c r="S16" i="5"/>
  <c r="N16" i="5"/>
  <c r="I16" i="5"/>
  <c r="D16" i="5"/>
  <c r="X15" i="5"/>
  <c r="S15" i="5"/>
  <c r="N15" i="5"/>
  <c r="I15" i="5"/>
  <c r="D15" i="5"/>
  <c r="X14" i="5"/>
  <c r="S14" i="5"/>
  <c r="N14" i="5"/>
  <c r="I14" i="5"/>
  <c r="D14" i="5"/>
  <c r="X13" i="5"/>
  <c r="S13" i="5"/>
  <c r="N13" i="5"/>
  <c r="I13" i="5"/>
  <c r="D13" i="5"/>
  <c r="X12" i="5"/>
  <c r="S12" i="5"/>
  <c r="N12" i="5"/>
  <c r="I12" i="5"/>
  <c r="D12" i="5"/>
  <c r="X11" i="5"/>
  <c r="S11" i="5"/>
  <c r="N11" i="5"/>
  <c r="I11" i="5"/>
  <c r="D11" i="5"/>
  <c r="X10" i="5"/>
  <c r="S10" i="5"/>
  <c r="N10" i="5"/>
  <c r="I10" i="5"/>
  <c r="D10" i="5"/>
  <c r="X9" i="5"/>
  <c r="S9" i="5"/>
  <c r="N9" i="5"/>
  <c r="I9" i="5"/>
  <c r="D9" i="5"/>
  <c r="X8" i="5"/>
  <c r="S8" i="5"/>
  <c r="N8" i="5"/>
  <c r="I8" i="5"/>
  <c r="D8" i="5"/>
  <c r="X7" i="5"/>
  <c r="S7" i="5"/>
  <c r="N7" i="5"/>
  <c r="I7" i="5"/>
  <c r="D7" i="5"/>
  <c r="Z6" i="5"/>
  <c r="Y6" i="5"/>
  <c r="W6" i="5"/>
  <c r="V6" i="5"/>
  <c r="U6" i="5"/>
  <c r="T6" i="5"/>
  <c r="R6" i="5"/>
  <c r="Q6" i="5"/>
  <c r="P6" i="5"/>
  <c r="O6" i="5"/>
  <c r="M6" i="5"/>
  <c r="L6" i="5"/>
  <c r="K6" i="5"/>
  <c r="J6" i="5"/>
  <c r="H6" i="5"/>
  <c r="G6" i="5"/>
  <c r="F6" i="5"/>
  <c r="E6" i="5"/>
  <c r="C6" i="5"/>
  <c r="B6" i="5"/>
  <c r="X19" i="4"/>
  <c r="S19" i="4"/>
  <c r="N19" i="4"/>
  <c r="I19" i="4"/>
  <c r="D19" i="4"/>
  <c r="X18" i="4"/>
  <c r="S18" i="4"/>
  <c r="N18" i="4"/>
  <c r="I18" i="4"/>
  <c r="D18" i="4"/>
  <c r="X17" i="4"/>
  <c r="S17" i="4"/>
  <c r="N17" i="4"/>
  <c r="I17" i="4"/>
  <c r="D17" i="4"/>
  <c r="X16" i="4"/>
  <c r="S16" i="4"/>
  <c r="N16" i="4"/>
  <c r="I16" i="4"/>
  <c r="D16" i="4"/>
  <c r="X15" i="4"/>
  <c r="S15" i="4"/>
  <c r="N15" i="4"/>
  <c r="I15" i="4"/>
  <c r="D15" i="4"/>
  <c r="X14" i="4"/>
  <c r="S14" i="4"/>
  <c r="N14" i="4"/>
  <c r="I14" i="4"/>
  <c r="D14" i="4"/>
  <c r="X13" i="4"/>
  <c r="S13" i="4"/>
  <c r="N13" i="4"/>
  <c r="I13" i="4"/>
  <c r="D13" i="4"/>
  <c r="X12" i="4"/>
  <c r="S12" i="4"/>
  <c r="N12" i="4"/>
  <c r="I12" i="4"/>
  <c r="D12" i="4"/>
  <c r="X11" i="4"/>
  <c r="S11" i="4"/>
  <c r="N11" i="4"/>
  <c r="I11" i="4"/>
  <c r="D11" i="4"/>
  <c r="X10" i="4"/>
  <c r="S10" i="4"/>
  <c r="N10" i="4"/>
  <c r="I10" i="4"/>
  <c r="D10" i="4"/>
  <c r="X9" i="4"/>
  <c r="S9" i="4"/>
  <c r="N9" i="4"/>
  <c r="I9" i="4"/>
  <c r="D9" i="4"/>
  <c r="X8" i="4"/>
  <c r="S8" i="4"/>
  <c r="N8" i="4"/>
  <c r="I8" i="4"/>
  <c r="D8" i="4"/>
  <c r="Z7" i="4"/>
  <c r="Y7" i="4"/>
  <c r="W7" i="4"/>
  <c r="V7" i="4"/>
  <c r="U7" i="4"/>
  <c r="T7" i="4"/>
  <c r="R7" i="4"/>
  <c r="Q7" i="4"/>
  <c r="P7" i="4"/>
  <c r="O7" i="4"/>
  <c r="M7" i="4"/>
  <c r="L7" i="4"/>
  <c r="K7" i="4"/>
  <c r="J7" i="4"/>
  <c r="H7" i="4"/>
  <c r="G7" i="4"/>
  <c r="F7" i="4"/>
  <c r="E7" i="4"/>
  <c r="C7" i="4"/>
  <c r="B7" i="4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63" i="3"/>
  <c r="BO62" i="3"/>
  <c r="BO61" i="3"/>
  <c r="BO60" i="3"/>
  <c r="BO59" i="3"/>
  <c r="BO58" i="3"/>
  <c r="BO57" i="3"/>
  <c r="BO56" i="3"/>
  <c r="BO55" i="3"/>
  <c r="BO54" i="3"/>
  <c r="BO53" i="3"/>
  <c r="BO52" i="3"/>
  <c r="BO51" i="3"/>
  <c r="BO50" i="3"/>
  <c r="BO49" i="3"/>
  <c r="BO36" i="3"/>
  <c r="BO35" i="3"/>
  <c r="BO34" i="3"/>
  <c r="BO33" i="3"/>
  <c r="BO32" i="3"/>
  <c r="BO31" i="3"/>
  <c r="BO30" i="3"/>
  <c r="BO29" i="3"/>
  <c r="BO28" i="3"/>
  <c r="BO27" i="3"/>
  <c r="BO26" i="3"/>
  <c r="BO25" i="3"/>
  <c r="P18" i="3"/>
  <c r="J18" i="3"/>
  <c r="D18" i="3"/>
  <c r="P17" i="3"/>
  <c r="J17" i="3"/>
  <c r="D17" i="3"/>
  <c r="P16" i="3"/>
  <c r="J16" i="3"/>
  <c r="D16" i="3"/>
  <c r="P15" i="3"/>
  <c r="J15" i="3"/>
  <c r="D15" i="3"/>
  <c r="P14" i="3"/>
  <c r="J14" i="3"/>
  <c r="D14" i="3"/>
  <c r="P13" i="3"/>
  <c r="J13" i="3"/>
  <c r="D13" i="3"/>
  <c r="P12" i="3"/>
  <c r="J12" i="3"/>
  <c r="D12" i="3"/>
  <c r="P11" i="3"/>
  <c r="J11" i="3"/>
  <c r="D11" i="3"/>
  <c r="P10" i="3"/>
  <c r="J10" i="3"/>
  <c r="D10" i="3"/>
  <c r="P9" i="3"/>
  <c r="J9" i="3"/>
  <c r="D9" i="3"/>
  <c r="P8" i="3"/>
  <c r="J8" i="3"/>
  <c r="D8" i="3"/>
  <c r="P7" i="3"/>
  <c r="J7" i="3"/>
  <c r="D7" i="3"/>
  <c r="AE6" i="3"/>
  <c r="AD6" i="3"/>
  <c r="AC6" i="3"/>
  <c r="AB6" i="3"/>
  <c r="Z6" i="3"/>
  <c r="Y6" i="3"/>
  <c r="X6" i="3"/>
  <c r="W6" i="3"/>
  <c r="V6" i="3"/>
  <c r="U6" i="3"/>
  <c r="T6" i="3"/>
  <c r="S6" i="3"/>
  <c r="R6" i="3"/>
  <c r="Q6" i="3"/>
  <c r="O6" i="3"/>
  <c r="N6" i="3"/>
  <c r="M6" i="3"/>
  <c r="L6" i="3"/>
  <c r="K6" i="3"/>
  <c r="I6" i="3"/>
  <c r="H6" i="3"/>
  <c r="G6" i="3"/>
  <c r="F6" i="3"/>
  <c r="E6" i="3"/>
  <c r="C6" i="3"/>
  <c r="B6" i="3"/>
  <c r="S24" i="2"/>
  <c r="R24" i="2"/>
  <c r="Q24" i="2"/>
  <c r="P24" i="2"/>
  <c r="O24" i="2"/>
  <c r="N24" i="2"/>
  <c r="M24" i="2"/>
  <c r="F24" i="2"/>
  <c r="D24" i="2"/>
  <c r="C24" i="2"/>
  <c r="S18" i="2"/>
  <c r="R18" i="2"/>
  <c r="Q18" i="2"/>
  <c r="P18" i="2"/>
  <c r="O18" i="2"/>
  <c r="N18" i="2"/>
  <c r="M18" i="2"/>
  <c r="L18" i="2"/>
  <c r="K18" i="2"/>
  <c r="J18" i="2"/>
  <c r="I18" i="2"/>
  <c r="H18" i="2"/>
  <c r="F18" i="2"/>
  <c r="D18" i="2"/>
  <c r="C18" i="2"/>
  <c r="R12" i="2"/>
  <c r="Q12" i="2"/>
  <c r="P12" i="2"/>
  <c r="O12" i="2"/>
  <c r="N12" i="2"/>
  <c r="M12" i="2"/>
  <c r="F12" i="2"/>
  <c r="D12" i="2"/>
  <c r="C12" i="2"/>
  <c r="S6" i="2"/>
  <c r="R6" i="2"/>
  <c r="Q6" i="2"/>
  <c r="P6" i="2"/>
  <c r="O6" i="2"/>
  <c r="N6" i="2"/>
  <c r="M6" i="2"/>
  <c r="L6" i="2"/>
  <c r="K6" i="2"/>
  <c r="J6" i="2"/>
  <c r="H6" i="2"/>
  <c r="F6" i="2"/>
  <c r="D6" i="2"/>
  <c r="C6" i="2"/>
  <c r="H62" i="1"/>
  <c r="AC62" i="1" s="1"/>
  <c r="H50" i="1"/>
  <c r="AC50" i="1" s="1"/>
  <c r="H35" i="1"/>
  <c r="AC35" i="1" s="1"/>
  <c r="H8" i="1"/>
  <c r="AC8" i="1" s="1"/>
  <c r="AB67" i="1"/>
  <c r="AA67" i="1"/>
  <c r="Z67" i="1"/>
  <c r="Y67" i="1"/>
  <c r="X67" i="1"/>
  <c r="W67" i="1"/>
  <c r="AB66" i="1"/>
  <c r="AA66" i="1"/>
  <c r="Z66" i="1"/>
  <c r="Y66" i="1"/>
  <c r="X66" i="1"/>
  <c r="W66" i="1"/>
  <c r="BB65" i="1"/>
  <c r="BB64" i="1" s="1"/>
  <c r="AB65" i="1"/>
  <c r="AA65" i="1"/>
  <c r="Z65" i="1"/>
  <c r="Y65" i="1"/>
  <c r="X65" i="1"/>
  <c r="W65" i="1"/>
  <c r="BA64" i="1"/>
  <c r="AZ64" i="1"/>
  <c r="AY64" i="1"/>
  <c r="AX64" i="1"/>
  <c r="AW64" i="1"/>
  <c r="AV64" i="1"/>
  <c r="AU64" i="1"/>
  <c r="AT64" i="1"/>
  <c r="AS64" i="1"/>
  <c r="AR64" i="1"/>
  <c r="AB64" i="1"/>
  <c r="AA64" i="1"/>
  <c r="Z64" i="1"/>
  <c r="Y64" i="1"/>
  <c r="X64" i="1"/>
  <c r="W64" i="1"/>
  <c r="AB63" i="1"/>
  <c r="AA63" i="1"/>
  <c r="Z63" i="1"/>
  <c r="Y63" i="1"/>
  <c r="X63" i="1"/>
  <c r="W63" i="1"/>
  <c r="G62" i="1"/>
  <c r="F62" i="1"/>
  <c r="E62" i="1"/>
  <c r="D62" i="1"/>
  <c r="C62" i="1"/>
  <c r="B62" i="1"/>
  <c r="AB61" i="1"/>
  <c r="AA61" i="1"/>
  <c r="Z61" i="1"/>
  <c r="Y61" i="1"/>
  <c r="X61" i="1"/>
  <c r="W61" i="1"/>
  <c r="AB60" i="1"/>
  <c r="AA60" i="1"/>
  <c r="Z60" i="1"/>
  <c r="Y60" i="1"/>
  <c r="X60" i="1"/>
  <c r="W60" i="1"/>
  <c r="AB59" i="1"/>
  <c r="AA59" i="1"/>
  <c r="Z59" i="1"/>
  <c r="Y59" i="1"/>
  <c r="X59" i="1"/>
  <c r="W59" i="1"/>
  <c r="H58" i="1"/>
  <c r="AC58" i="1" s="1"/>
  <c r="G58" i="1"/>
  <c r="F58" i="1"/>
  <c r="E58" i="1"/>
  <c r="D58" i="1"/>
  <c r="C58" i="1"/>
  <c r="B58" i="1"/>
  <c r="AB57" i="1"/>
  <c r="AA57" i="1"/>
  <c r="Z57" i="1"/>
  <c r="Y57" i="1"/>
  <c r="X57" i="1"/>
  <c r="W57" i="1"/>
  <c r="AB56" i="1"/>
  <c r="AA56" i="1"/>
  <c r="Z56" i="1"/>
  <c r="Y56" i="1"/>
  <c r="X56" i="1"/>
  <c r="W56" i="1"/>
  <c r="AB55" i="1"/>
  <c r="AA55" i="1"/>
  <c r="Z55" i="1"/>
  <c r="Y55" i="1"/>
  <c r="X55" i="1"/>
  <c r="W55" i="1"/>
  <c r="AB54" i="1"/>
  <c r="AA54" i="1"/>
  <c r="Z54" i="1"/>
  <c r="Y54" i="1"/>
  <c r="X54" i="1"/>
  <c r="W54" i="1"/>
  <c r="H53" i="1"/>
  <c r="G53" i="1"/>
  <c r="F53" i="1"/>
  <c r="E53" i="1"/>
  <c r="D53" i="1"/>
  <c r="C53" i="1"/>
  <c r="B53" i="1"/>
  <c r="AB52" i="1"/>
  <c r="AA52" i="1"/>
  <c r="Z52" i="1"/>
  <c r="Y52" i="1"/>
  <c r="X52" i="1"/>
  <c r="W52" i="1"/>
  <c r="AB51" i="1"/>
  <c r="AA51" i="1"/>
  <c r="Z51" i="1"/>
  <c r="Y51" i="1"/>
  <c r="X51" i="1"/>
  <c r="W51" i="1"/>
  <c r="G50" i="1"/>
  <c r="F50" i="1"/>
  <c r="E50" i="1"/>
  <c r="D50" i="1"/>
  <c r="C50" i="1"/>
  <c r="B50" i="1"/>
  <c r="AB49" i="1"/>
  <c r="AA49" i="1"/>
  <c r="Z49" i="1"/>
  <c r="Y49" i="1"/>
  <c r="X49" i="1"/>
  <c r="W49" i="1"/>
  <c r="AB48" i="1"/>
  <c r="AA48" i="1"/>
  <c r="Z48" i="1"/>
  <c r="Y48" i="1"/>
  <c r="X48" i="1"/>
  <c r="W48" i="1"/>
  <c r="AB47" i="1"/>
  <c r="AA47" i="1"/>
  <c r="Z47" i="1"/>
  <c r="Y47" i="1"/>
  <c r="X47" i="1"/>
  <c r="W47" i="1"/>
  <c r="AB46" i="1"/>
  <c r="AA46" i="1"/>
  <c r="Z46" i="1"/>
  <c r="Y46" i="1"/>
  <c r="X46" i="1"/>
  <c r="W46" i="1"/>
  <c r="AB45" i="1"/>
  <c r="AA45" i="1"/>
  <c r="Z45" i="1"/>
  <c r="Y45" i="1"/>
  <c r="X45" i="1"/>
  <c r="W45" i="1"/>
  <c r="AB44" i="1"/>
  <c r="AA44" i="1"/>
  <c r="Z44" i="1"/>
  <c r="Y44" i="1"/>
  <c r="X44" i="1"/>
  <c r="W44" i="1"/>
  <c r="AB43" i="1"/>
  <c r="AA43" i="1"/>
  <c r="Z43" i="1"/>
  <c r="Y43" i="1"/>
  <c r="X43" i="1"/>
  <c r="W43" i="1"/>
  <c r="AB42" i="1"/>
  <c r="AA42" i="1"/>
  <c r="Z42" i="1"/>
  <c r="Y42" i="1"/>
  <c r="X42" i="1"/>
  <c r="W42" i="1"/>
  <c r="AB41" i="1"/>
  <c r="AA41" i="1"/>
  <c r="Z41" i="1"/>
  <c r="Y41" i="1"/>
  <c r="X41" i="1"/>
  <c r="W41" i="1"/>
  <c r="AB40" i="1"/>
  <c r="AA40" i="1"/>
  <c r="Z40" i="1"/>
  <c r="Y40" i="1"/>
  <c r="X40" i="1"/>
  <c r="W40" i="1"/>
  <c r="AB39" i="1"/>
  <c r="AA39" i="1"/>
  <c r="Z39" i="1"/>
  <c r="Y39" i="1"/>
  <c r="X39" i="1"/>
  <c r="W39" i="1"/>
  <c r="AB38" i="1"/>
  <c r="AA38" i="1"/>
  <c r="Z38" i="1"/>
  <c r="Y38" i="1"/>
  <c r="X38" i="1"/>
  <c r="W38" i="1"/>
  <c r="AB37" i="1"/>
  <c r="AA37" i="1"/>
  <c r="Z37" i="1"/>
  <c r="Y37" i="1"/>
  <c r="X37" i="1"/>
  <c r="W37" i="1"/>
  <c r="AB36" i="1"/>
  <c r="AA36" i="1"/>
  <c r="Z36" i="1"/>
  <c r="Y36" i="1"/>
  <c r="X36" i="1"/>
  <c r="W36" i="1"/>
  <c r="G35" i="1"/>
  <c r="F35" i="1"/>
  <c r="E35" i="1"/>
  <c r="D35" i="1"/>
  <c r="C35" i="1"/>
  <c r="B35" i="1"/>
  <c r="AB34" i="1"/>
  <c r="AA34" i="1"/>
  <c r="Z34" i="1"/>
  <c r="Y34" i="1"/>
  <c r="X34" i="1"/>
  <c r="W34" i="1"/>
  <c r="AB33" i="1"/>
  <c r="AA33" i="1"/>
  <c r="Z33" i="1"/>
  <c r="Y33" i="1"/>
  <c r="X33" i="1"/>
  <c r="W33" i="1"/>
  <c r="AB32" i="1"/>
  <c r="AA32" i="1"/>
  <c r="Z32" i="1"/>
  <c r="Y32" i="1"/>
  <c r="X32" i="1"/>
  <c r="W32" i="1"/>
  <c r="AB31" i="1"/>
  <c r="AA31" i="1"/>
  <c r="Z31" i="1"/>
  <c r="Y31" i="1"/>
  <c r="X31" i="1"/>
  <c r="W31" i="1"/>
  <c r="AB30" i="1"/>
  <c r="AA30" i="1"/>
  <c r="Z30" i="1"/>
  <c r="Y30" i="1"/>
  <c r="X30" i="1"/>
  <c r="W30" i="1"/>
  <c r="AB29" i="1"/>
  <c r="AA29" i="1"/>
  <c r="Z29" i="1"/>
  <c r="Y29" i="1"/>
  <c r="X29" i="1"/>
  <c r="W29" i="1"/>
  <c r="AB28" i="1"/>
  <c r="AA28" i="1"/>
  <c r="Z28" i="1"/>
  <c r="Y28" i="1"/>
  <c r="X28" i="1"/>
  <c r="W28" i="1"/>
  <c r="AB27" i="1"/>
  <c r="AA27" i="1"/>
  <c r="Z27" i="1"/>
  <c r="Y27" i="1"/>
  <c r="X27" i="1"/>
  <c r="W27" i="1"/>
  <c r="AB26" i="1"/>
  <c r="AA26" i="1"/>
  <c r="Z26" i="1"/>
  <c r="Y26" i="1"/>
  <c r="X26" i="1"/>
  <c r="W26" i="1"/>
  <c r="AB25" i="1"/>
  <c r="AA25" i="1"/>
  <c r="Z25" i="1"/>
  <c r="Y25" i="1"/>
  <c r="X25" i="1"/>
  <c r="W25" i="1"/>
  <c r="AB24" i="1"/>
  <c r="AA24" i="1"/>
  <c r="Z24" i="1"/>
  <c r="Y24" i="1"/>
  <c r="X24" i="1"/>
  <c r="W24" i="1"/>
  <c r="AB23" i="1"/>
  <c r="AA23" i="1"/>
  <c r="Z23" i="1"/>
  <c r="Y23" i="1"/>
  <c r="X23" i="1"/>
  <c r="W23" i="1"/>
  <c r="AB22" i="1"/>
  <c r="AA22" i="1"/>
  <c r="Z22" i="1"/>
  <c r="Y22" i="1"/>
  <c r="X22" i="1"/>
  <c r="W22" i="1"/>
  <c r="AB21" i="1"/>
  <c r="AA21" i="1"/>
  <c r="Z21" i="1"/>
  <c r="Y21" i="1"/>
  <c r="X21" i="1"/>
  <c r="W21" i="1"/>
  <c r="AB20" i="1"/>
  <c r="AA20" i="1"/>
  <c r="Z20" i="1"/>
  <c r="Y20" i="1"/>
  <c r="X20" i="1"/>
  <c r="W20" i="1"/>
  <c r="AB19" i="1"/>
  <c r="AA19" i="1"/>
  <c r="Z19" i="1"/>
  <c r="Y19" i="1"/>
  <c r="X19" i="1"/>
  <c r="W19" i="1"/>
  <c r="AB18" i="1"/>
  <c r="AA18" i="1"/>
  <c r="Z18" i="1"/>
  <c r="Y18" i="1"/>
  <c r="X18" i="1"/>
  <c r="W18" i="1"/>
  <c r="AB17" i="1"/>
  <c r="AA17" i="1"/>
  <c r="Z17" i="1"/>
  <c r="Y17" i="1"/>
  <c r="X17" i="1"/>
  <c r="W17" i="1"/>
  <c r="AB16" i="1"/>
  <c r="AA16" i="1"/>
  <c r="Z16" i="1"/>
  <c r="Y16" i="1"/>
  <c r="X16" i="1"/>
  <c r="W16" i="1"/>
  <c r="AB15" i="1"/>
  <c r="AA15" i="1"/>
  <c r="Z15" i="1"/>
  <c r="Y15" i="1"/>
  <c r="X15" i="1"/>
  <c r="W15" i="1"/>
  <c r="AB14" i="1"/>
  <c r="AA14" i="1"/>
  <c r="Z14" i="1"/>
  <c r="Y14" i="1"/>
  <c r="X14" i="1"/>
  <c r="W14" i="1"/>
  <c r="AB13" i="1"/>
  <c r="AA13" i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X11" i="1"/>
  <c r="W11" i="1"/>
  <c r="AB10" i="1"/>
  <c r="AA10" i="1"/>
  <c r="Z10" i="1"/>
  <c r="Y10" i="1"/>
  <c r="X10" i="1"/>
  <c r="W10" i="1"/>
  <c r="AB9" i="1"/>
  <c r="AA9" i="1"/>
  <c r="Z9" i="1"/>
  <c r="Y9" i="1"/>
  <c r="X9" i="1"/>
  <c r="W9" i="1"/>
  <c r="G8" i="1"/>
  <c r="F8" i="1"/>
  <c r="E8" i="1"/>
  <c r="D8" i="1"/>
  <c r="C8" i="1"/>
  <c r="B8" i="1"/>
  <c r="H5" i="13" l="1"/>
  <c r="AA21" i="13" s="1"/>
  <c r="F5" i="13"/>
  <c r="G5" i="13"/>
  <c r="Z21" i="13" s="1"/>
  <c r="Z37" i="11"/>
  <c r="E50" i="13"/>
  <c r="E5" i="13" s="1"/>
  <c r="I7" i="6"/>
  <c r="I5" i="13"/>
  <c r="W8" i="1"/>
  <c r="D6" i="3"/>
  <c r="C5" i="11"/>
  <c r="B6" i="11"/>
  <c r="I6" i="7"/>
  <c r="B6" i="8"/>
  <c r="D6" i="7"/>
  <c r="N6" i="7"/>
  <c r="B7" i="11"/>
  <c r="X7" i="6"/>
  <c r="B14" i="11"/>
  <c r="J6" i="3"/>
  <c r="J6" i="14"/>
  <c r="K6" i="14"/>
  <c r="B13" i="11"/>
  <c r="X7" i="4"/>
  <c r="D7" i="6"/>
  <c r="B10" i="11"/>
  <c r="Z38" i="11"/>
  <c r="B8" i="11"/>
  <c r="M6" i="14"/>
  <c r="R6" i="14"/>
  <c r="C11" i="11"/>
  <c r="D7" i="4"/>
  <c r="S6" i="7"/>
  <c r="Z39" i="11"/>
  <c r="X6" i="7"/>
  <c r="X50" i="1"/>
  <c r="AA58" i="1"/>
  <c r="Z35" i="1"/>
  <c r="Y58" i="1"/>
  <c r="X62" i="1"/>
  <c r="AH37" i="11"/>
  <c r="B17" i="11"/>
  <c r="B15" i="11"/>
  <c r="B16" i="11"/>
  <c r="B18" i="11"/>
  <c r="E11" i="11"/>
  <c r="E4" i="11" s="1"/>
  <c r="D11" i="11"/>
  <c r="B12" i="11"/>
  <c r="B9" i="11"/>
  <c r="Y30" i="11"/>
  <c r="D5" i="11"/>
  <c r="I4" i="11"/>
  <c r="V22" i="13"/>
  <c r="Y35" i="1"/>
  <c r="W50" i="1"/>
  <c r="G6" i="14"/>
  <c r="O6" i="14"/>
  <c r="I7" i="4"/>
  <c r="N7" i="4"/>
  <c r="N6" i="5"/>
  <c r="N7" i="6"/>
  <c r="B18" i="8"/>
  <c r="N6" i="14"/>
  <c r="B10" i="8"/>
  <c r="L4" i="11"/>
  <c r="W22" i="13"/>
  <c r="AE22" i="13"/>
  <c r="S7" i="4"/>
  <c r="S7" i="6"/>
  <c r="L6" i="14"/>
  <c r="H6" i="14"/>
  <c r="P6" i="14"/>
  <c r="X8" i="1"/>
  <c r="Y8" i="1"/>
  <c r="W35" i="1"/>
  <c r="P6" i="3"/>
  <c r="D6" i="5"/>
  <c r="S6" i="5"/>
  <c r="F4" i="11"/>
  <c r="I6" i="14"/>
  <c r="Q6" i="14"/>
  <c r="I6" i="5"/>
  <c r="D50" i="13"/>
  <c r="W23" i="13" s="1"/>
  <c r="AE23" i="13"/>
  <c r="AB23" i="13"/>
  <c r="C50" i="13"/>
  <c r="V23" i="13" s="1"/>
  <c r="AD23" i="13"/>
  <c r="AC23" i="13"/>
  <c r="Z22" i="13"/>
  <c r="N4" i="11"/>
  <c r="G4" i="11"/>
  <c r="J4" i="11"/>
  <c r="H4" i="11"/>
  <c r="AA35" i="1"/>
  <c r="Y50" i="1"/>
  <c r="W62" i="1"/>
  <c r="Y53" i="1"/>
  <c r="Z58" i="1"/>
  <c r="X35" i="1"/>
  <c r="H7" i="1"/>
  <c r="AC53" i="1"/>
  <c r="AA53" i="1"/>
  <c r="Z62" i="1"/>
  <c r="X58" i="1"/>
  <c r="Z53" i="1"/>
  <c r="X53" i="1"/>
  <c r="AA50" i="1"/>
  <c r="C7" i="1"/>
  <c r="M50" i="1" s="1"/>
  <c r="AA8" i="1"/>
  <c r="D7" i="1"/>
  <c r="N49" i="1" s="1"/>
  <c r="E7" i="1"/>
  <c r="O50" i="1" s="1"/>
  <c r="X6" i="5"/>
  <c r="M4" i="11"/>
  <c r="K4" i="11"/>
  <c r="Y22" i="13"/>
  <c r="AG22" i="13"/>
  <c r="B46" i="13"/>
  <c r="B66" i="13"/>
  <c r="B21" i="13"/>
  <c r="AA22" i="13"/>
  <c r="B73" i="13"/>
  <c r="B78" i="13"/>
  <c r="AB22" i="13"/>
  <c r="B51" i="13"/>
  <c r="B89" i="13"/>
  <c r="AC22" i="13"/>
  <c r="B57" i="13"/>
  <c r="B85" i="13"/>
  <c r="B29" i="13"/>
  <c r="B38" i="13"/>
  <c r="B7" i="13"/>
  <c r="D6" i="13"/>
  <c r="Y23" i="13"/>
  <c r="AG23" i="13"/>
  <c r="AF23" i="13"/>
  <c r="B14" i="8"/>
  <c r="Z23" i="13"/>
  <c r="C6" i="13"/>
  <c r="G7" i="1"/>
  <c r="Z8" i="1"/>
  <c r="AB35" i="1"/>
  <c r="Z50" i="1"/>
  <c r="AB53" i="1"/>
  <c r="AB58" i="1"/>
  <c r="Y62" i="1"/>
  <c r="F7" i="1"/>
  <c r="AB8" i="1"/>
  <c r="AB50" i="1"/>
  <c r="AA62" i="1"/>
  <c r="B7" i="1"/>
  <c r="L35" i="1" s="1"/>
  <c r="W53" i="1"/>
  <c r="W58" i="1"/>
  <c r="AB62" i="1"/>
  <c r="O44" i="1" l="1"/>
  <c r="C5" i="13"/>
  <c r="X23" i="13"/>
  <c r="C4" i="11"/>
  <c r="N21" i="1"/>
  <c r="D5" i="13"/>
  <c r="W21" i="13" s="1"/>
  <c r="W24" i="13" s="1"/>
  <c r="N44" i="1"/>
  <c r="N51" i="1"/>
  <c r="N25" i="1"/>
  <c r="N20" i="1"/>
  <c r="N57" i="1"/>
  <c r="N59" i="1"/>
  <c r="N34" i="1"/>
  <c r="P50" i="1"/>
  <c r="Z7" i="1"/>
  <c r="Q58" i="1"/>
  <c r="AA7" i="1"/>
  <c r="R7" i="1"/>
  <c r="AB7" i="1"/>
  <c r="AC7" i="1"/>
  <c r="B5" i="11"/>
  <c r="AD21" i="13"/>
  <c r="AD24" i="13" s="1"/>
  <c r="AA24" i="13"/>
  <c r="O55" i="1"/>
  <c r="M13" i="1"/>
  <c r="O18" i="1"/>
  <c r="O32" i="1"/>
  <c r="N45" i="1"/>
  <c r="M45" i="1"/>
  <c r="M33" i="1"/>
  <c r="O68" i="1"/>
  <c r="M31" i="1"/>
  <c r="X7" i="1"/>
  <c r="M52" i="1"/>
  <c r="M42" i="1"/>
  <c r="O30" i="1"/>
  <c r="O51" i="1"/>
  <c r="N28" i="1"/>
  <c r="N65" i="1"/>
  <c r="O39" i="1"/>
  <c r="N68" i="1"/>
  <c r="O42" i="1"/>
  <c r="N26" i="1"/>
  <c r="N61" i="1"/>
  <c r="M47" i="1"/>
  <c r="M18" i="1"/>
  <c r="N69" i="1"/>
  <c r="N37" i="1"/>
  <c r="N27" i="1"/>
  <c r="N30" i="1"/>
  <c r="O23" i="1"/>
  <c r="N64" i="1"/>
  <c r="O57" i="1"/>
  <c r="O34" i="1"/>
  <c r="N39" i="1"/>
  <c r="O21" i="1"/>
  <c r="N9" i="1"/>
  <c r="N42" i="1"/>
  <c r="R53" i="1"/>
  <c r="M66" i="1"/>
  <c r="N33" i="1"/>
  <c r="N19" i="1"/>
  <c r="N22" i="1"/>
  <c r="M62" i="1"/>
  <c r="AC21" i="13"/>
  <c r="AC24" i="13" s="1"/>
  <c r="B11" i="11"/>
  <c r="D4" i="11"/>
  <c r="N36" i="1"/>
  <c r="N46" i="1"/>
  <c r="N29" i="1"/>
  <c r="N56" i="1"/>
  <c r="AE21" i="13"/>
  <c r="AE24" i="13" s="1"/>
  <c r="N12" i="1"/>
  <c r="N31" i="1"/>
  <c r="N52" i="1"/>
  <c r="N66" i="1"/>
  <c r="N60" i="1"/>
  <c r="N48" i="1"/>
  <c r="N67" i="1"/>
  <c r="N63" i="1"/>
  <c r="N13" i="1"/>
  <c r="N55" i="1"/>
  <c r="N24" i="1"/>
  <c r="N40" i="1"/>
  <c r="N7" i="1"/>
  <c r="N23" i="1"/>
  <c r="N18" i="1"/>
  <c r="N32" i="1"/>
  <c r="N38" i="1"/>
  <c r="N54" i="1"/>
  <c r="N47" i="1"/>
  <c r="N10" i="1"/>
  <c r="N41" i="1"/>
  <c r="N15" i="1"/>
  <c r="N16" i="1"/>
  <c r="N43" i="1"/>
  <c r="X21" i="13"/>
  <c r="X24" i="13" s="1"/>
  <c r="AB21" i="13"/>
  <c r="AB24" i="13" s="1"/>
  <c r="AG21" i="13"/>
  <c r="AG24" i="13" s="1"/>
  <c r="Y21" i="13"/>
  <c r="Y24" i="13" s="1"/>
  <c r="AF21" i="13"/>
  <c r="AF24" i="13" s="1"/>
  <c r="B50" i="13"/>
  <c r="M27" i="1"/>
  <c r="P35" i="1"/>
  <c r="M56" i="1"/>
  <c r="M25" i="1"/>
  <c r="M28" i="1"/>
  <c r="M65" i="1"/>
  <c r="M23" i="1"/>
  <c r="M19" i="1"/>
  <c r="M51" i="1"/>
  <c r="M49" i="1"/>
  <c r="M64" i="1"/>
  <c r="M44" i="1"/>
  <c r="M39" i="1"/>
  <c r="M10" i="1"/>
  <c r="L50" i="1"/>
  <c r="M68" i="1"/>
  <c r="M34" i="1"/>
  <c r="M48" i="1"/>
  <c r="M46" i="1"/>
  <c r="M15" i="1"/>
  <c r="M8" i="1"/>
  <c r="M29" i="1"/>
  <c r="M69" i="1"/>
  <c r="M24" i="1"/>
  <c r="P58" i="1"/>
  <c r="M20" i="1"/>
  <c r="M17" i="1"/>
  <c r="M41" i="1"/>
  <c r="M36" i="1"/>
  <c r="M57" i="1"/>
  <c r="M60" i="1"/>
  <c r="M40" i="1"/>
  <c r="M59" i="1"/>
  <c r="M38" i="1"/>
  <c r="M9" i="1"/>
  <c r="M12" i="1"/>
  <c r="M54" i="1"/>
  <c r="M26" i="1"/>
  <c r="M21" i="1"/>
  <c r="N62" i="1"/>
  <c r="O40" i="1"/>
  <c r="O67" i="1"/>
  <c r="O25" i="1"/>
  <c r="O8" i="1"/>
  <c r="O52" i="1"/>
  <c r="O10" i="1"/>
  <c r="O63" i="1"/>
  <c r="O43" i="1"/>
  <c r="O22" i="1"/>
  <c r="P8" i="1"/>
  <c r="M61" i="1"/>
  <c r="M67" i="1"/>
  <c r="M7" i="1"/>
  <c r="M30" i="1"/>
  <c r="M11" i="1"/>
  <c r="M22" i="1"/>
  <c r="M53" i="1"/>
  <c r="M43" i="1"/>
  <c r="M63" i="1"/>
  <c r="M14" i="1"/>
  <c r="Y7" i="1"/>
  <c r="O69" i="1"/>
  <c r="O45" i="1"/>
  <c r="O24" i="1"/>
  <c r="O61" i="1"/>
  <c r="O65" i="1"/>
  <c r="O49" i="1"/>
  <c r="O20" i="1"/>
  <c r="O7" i="1"/>
  <c r="O12" i="1"/>
  <c r="O28" i="1"/>
  <c r="O41" i="1"/>
  <c r="O26" i="1"/>
  <c r="O13" i="1"/>
  <c r="O9" i="1"/>
  <c r="O11" i="1"/>
  <c r="O58" i="1"/>
  <c r="M37" i="1"/>
  <c r="M16" i="1"/>
  <c r="N58" i="1"/>
  <c r="O38" i="1"/>
  <c r="O17" i="1"/>
  <c r="N50" i="1"/>
  <c r="M35" i="1"/>
  <c r="O46" i="1"/>
  <c r="M55" i="1"/>
  <c r="O35" i="1"/>
  <c r="O14" i="1"/>
  <c r="O56" i="1"/>
  <c r="N35" i="1"/>
  <c r="N14" i="1"/>
  <c r="O62" i="1"/>
  <c r="N8" i="1"/>
  <c r="O19" i="1"/>
  <c r="O64" i="1"/>
  <c r="O59" i="1"/>
  <c r="O36" i="1"/>
  <c r="O15" i="1"/>
  <c r="O47" i="1"/>
  <c r="O54" i="1"/>
  <c r="O31" i="1"/>
  <c r="O66" i="1"/>
  <c r="O29" i="1"/>
  <c r="O60" i="1"/>
  <c r="O37" i="1"/>
  <c r="O16" i="1"/>
  <c r="O48" i="1"/>
  <c r="O27" i="1"/>
  <c r="O53" i="1"/>
  <c r="M32" i="1"/>
  <c r="N11" i="1"/>
  <c r="N53" i="1"/>
  <c r="O33" i="1"/>
  <c r="N17" i="1"/>
  <c r="M58" i="1"/>
  <c r="AH22" i="13"/>
  <c r="Z24" i="13"/>
  <c r="B6" i="13"/>
  <c r="V21" i="13"/>
  <c r="AH23" i="13"/>
  <c r="R69" i="1"/>
  <c r="R60" i="1"/>
  <c r="R55" i="1"/>
  <c r="R45" i="1"/>
  <c r="R37" i="1"/>
  <c r="R32" i="1"/>
  <c r="R24" i="1"/>
  <c r="R16" i="1"/>
  <c r="R48" i="1"/>
  <c r="R40" i="1"/>
  <c r="R27" i="1"/>
  <c r="R19" i="1"/>
  <c r="R11" i="1"/>
  <c r="R42" i="1"/>
  <c r="R67" i="1"/>
  <c r="R63" i="1"/>
  <c r="R43" i="1"/>
  <c r="R30" i="1"/>
  <c r="R22" i="1"/>
  <c r="R14" i="1"/>
  <c r="R66" i="1"/>
  <c r="R61" i="1"/>
  <c r="R56" i="1"/>
  <c r="R51" i="1"/>
  <c r="R46" i="1"/>
  <c r="R38" i="1"/>
  <c r="R33" i="1"/>
  <c r="R25" i="1"/>
  <c r="R17" i="1"/>
  <c r="R9" i="1"/>
  <c r="R62" i="1"/>
  <c r="R29" i="1"/>
  <c r="R21" i="1"/>
  <c r="R49" i="1"/>
  <c r="R41" i="1"/>
  <c r="R28" i="1"/>
  <c r="R20" i="1"/>
  <c r="R12" i="1"/>
  <c r="R65" i="1"/>
  <c r="R64" i="1"/>
  <c r="R59" i="1"/>
  <c r="R54" i="1"/>
  <c r="R44" i="1"/>
  <c r="R36" i="1"/>
  <c r="R31" i="1"/>
  <c r="R23" i="1"/>
  <c r="R15" i="1"/>
  <c r="R10" i="1"/>
  <c r="R13" i="1"/>
  <c r="R68" i="1"/>
  <c r="R57" i="1"/>
  <c r="R52" i="1"/>
  <c r="R47" i="1"/>
  <c r="R39" i="1"/>
  <c r="R34" i="1"/>
  <c r="R26" i="1"/>
  <c r="R18" i="1"/>
  <c r="R58" i="1"/>
  <c r="L53" i="1"/>
  <c r="R35" i="1"/>
  <c r="Q66" i="1"/>
  <c r="Q42" i="1"/>
  <c r="Q29" i="1"/>
  <c r="Q21" i="1"/>
  <c r="Q13" i="1"/>
  <c r="Q47" i="1"/>
  <c r="Q39" i="1"/>
  <c r="Q69" i="1"/>
  <c r="Q60" i="1"/>
  <c r="Q55" i="1"/>
  <c r="Q50" i="1"/>
  <c r="Q45" i="1"/>
  <c r="Q37" i="1"/>
  <c r="Q32" i="1"/>
  <c r="Q24" i="1"/>
  <c r="Q16" i="1"/>
  <c r="Q8" i="1"/>
  <c r="Q57" i="1"/>
  <c r="Q52" i="1"/>
  <c r="Q34" i="1"/>
  <c r="Q48" i="1"/>
  <c r="Q40" i="1"/>
  <c r="Q27" i="1"/>
  <c r="Q19" i="1"/>
  <c r="Q11" i="1"/>
  <c r="Q18" i="1"/>
  <c r="Q67" i="1"/>
  <c r="Q63" i="1"/>
  <c r="Q43" i="1"/>
  <c r="Q30" i="1"/>
  <c r="Q22" i="1"/>
  <c r="Q14" i="1"/>
  <c r="Q61" i="1"/>
  <c r="Q56" i="1"/>
  <c r="Q51" i="1"/>
  <c r="Q46" i="1"/>
  <c r="Q38" i="1"/>
  <c r="Q33" i="1"/>
  <c r="Q25" i="1"/>
  <c r="Q17" i="1"/>
  <c r="Q9" i="1"/>
  <c r="Q7" i="1"/>
  <c r="Q26" i="1"/>
  <c r="Q49" i="1"/>
  <c r="Q41" i="1"/>
  <c r="Q28" i="1"/>
  <c r="Q20" i="1"/>
  <c r="Q12" i="1"/>
  <c r="Q68" i="1"/>
  <c r="Q10" i="1"/>
  <c r="Q65" i="1"/>
  <c r="Q64" i="1"/>
  <c r="Q59" i="1"/>
  <c r="Q54" i="1"/>
  <c r="Q44" i="1"/>
  <c r="Q36" i="1"/>
  <c r="Q31" i="1"/>
  <c r="Q23" i="1"/>
  <c r="Q15" i="1"/>
  <c r="R50" i="1"/>
  <c r="Q62" i="1"/>
  <c r="L58" i="1"/>
  <c r="Q53" i="1"/>
  <c r="L67" i="1"/>
  <c r="L63" i="1"/>
  <c r="L43" i="1"/>
  <c r="L30" i="1"/>
  <c r="L22" i="1"/>
  <c r="L14" i="1"/>
  <c r="L9" i="1"/>
  <c r="L11" i="1"/>
  <c r="L61" i="1"/>
  <c r="L56" i="1"/>
  <c r="L51" i="1"/>
  <c r="L46" i="1"/>
  <c r="L38" i="1"/>
  <c r="L33" i="1"/>
  <c r="L25" i="1"/>
  <c r="L17" i="1"/>
  <c r="L19" i="1"/>
  <c r="L49" i="1"/>
  <c r="L41" i="1"/>
  <c r="L28" i="1"/>
  <c r="L20" i="1"/>
  <c r="L12" i="1"/>
  <c r="L7" i="1"/>
  <c r="L27" i="1"/>
  <c r="L65" i="1"/>
  <c r="L64" i="1"/>
  <c r="L59" i="1"/>
  <c r="L54" i="1"/>
  <c r="L44" i="1"/>
  <c r="L36" i="1"/>
  <c r="L31" i="1"/>
  <c r="L23" i="1"/>
  <c r="L15" i="1"/>
  <c r="L40" i="1"/>
  <c r="L57" i="1"/>
  <c r="L52" i="1"/>
  <c r="L47" i="1"/>
  <c r="L39" i="1"/>
  <c r="L34" i="1"/>
  <c r="L26" i="1"/>
  <c r="L18" i="1"/>
  <c r="L10" i="1"/>
  <c r="L8" i="1"/>
  <c r="L66" i="1"/>
  <c r="L62" i="1"/>
  <c r="L42" i="1"/>
  <c r="L29" i="1"/>
  <c r="L21" i="1"/>
  <c r="L13" i="1"/>
  <c r="L60" i="1"/>
  <c r="L55" i="1"/>
  <c r="L45" i="1"/>
  <c r="L37" i="1"/>
  <c r="L32" i="1"/>
  <c r="L24" i="1"/>
  <c r="L16" i="1"/>
  <c r="L48" i="1"/>
  <c r="P68" i="1"/>
  <c r="P57" i="1"/>
  <c r="P52" i="1"/>
  <c r="P47" i="1"/>
  <c r="P39" i="1"/>
  <c r="P34" i="1"/>
  <c r="P26" i="1"/>
  <c r="P18" i="1"/>
  <c r="P10" i="1"/>
  <c r="P66" i="1"/>
  <c r="P62" i="1"/>
  <c r="P42" i="1"/>
  <c r="P29" i="1"/>
  <c r="P21" i="1"/>
  <c r="P13" i="1"/>
  <c r="P59" i="1"/>
  <c r="P54" i="1"/>
  <c r="P31" i="1"/>
  <c r="P23" i="1"/>
  <c r="P69" i="1"/>
  <c r="P60" i="1"/>
  <c r="P55" i="1"/>
  <c r="P45" i="1"/>
  <c r="P37" i="1"/>
  <c r="P32" i="1"/>
  <c r="P24" i="1"/>
  <c r="P16" i="1"/>
  <c r="P48" i="1"/>
  <c r="P40" i="1"/>
  <c r="P27" i="1"/>
  <c r="P19" i="1"/>
  <c r="P11" i="1"/>
  <c r="P12" i="1"/>
  <c r="P36" i="1"/>
  <c r="P67" i="1"/>
  <c r="P63" i="1"/>
  <c r="P43" i="1"/>
  <c r="P30" i="1"/>
  <c r="P22" i="1"/>
  <c r="P14" i="1"/>
  <c r="P9" i="1"/>
  <c r="P65" i="1"/>
  <c r="P44" i="1"/>
  <c r="P61" i="1"/>
  <c r="P56" i="1"/>
  <c r="P51" i="1"/>
  <c r="P46" i="1"/>
  <c r="P38" i="1"/>
  <c r="P33" i="1"/>
  <c r="P25" i="1"/>
  <c r="P17" i="1"/>
  <c r="P7" i="1"/>
  <c r="P64" i="1"/>
  <c r="P15" i="1"/>
  <c r="P49" i="1"/>
  <c r="P41" i="1"/>
  <c r="P28" i="1"/>
  <c r="P20" i="1"/>
  <c r="W7" i="1"/>
  <c r="R8" i="1"/>
  <c r="P53" i="1"/>
  <c r="Q35" i="1"/>
  <c r="B4" i="11" l="1"/>
  <c r="B5" i="13"/>
  <c r="AH21" i="13" l="1"/>
  <c r="V24" i="13"/>
  <c r="AH24" i="13" s="1"/>
</calcChain>
</file>

<file path=xl/comments1.xml><?xml version="1.0" encoding="utf-8"?>
<comments xmlns="http://schemas.openxmlformats.org/spreadsheetml/2006/main">
  <authors>
    <author>Fathimath Shifaza</author>
    <author>Aminath Manal</author>
  </authors>
  <commentList>
    <comment ref="U6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shouldn’t this be end year figure.. Here it is annual average figure</t>
        </r>
      </text>
    </comment>
    <comment ref="T15" authorId="1" shapeId="0">
      <text>
        <r>
          <rPr>
            <b/>
            <sz val="9"/>
            <color indexed="81"/>
            <rFont val="Tahoma"/>
          </rPr>
          <t>Aminath Manal:</t>
        </r>
        <r>
          <rPr>
            <sz val="9"/>
            <color indexed="81"/>
            <rFont val="Tahoma"/>
          </rPr>
          <t xml:space="preserve">
Revised on 12 Jul 2020</t>
        </r>
      </text>
    </comment>
    <comment ref="T21" authorId="1" shapeId="0">
      <text>
        <r>
          <rPr>
            <b/>
            <sz val="9"/>
            <color indexed="81"/>
            <rFont val="Tahoma"/>
          </rPr>
          <t>Aminath Manal:</t>
        </r>
        <r>
          <rPr>
            <sz val="9"/>
            <color indexed="81"/>
            <rFont val="Tahoma"/>
          </rPr>
          <t xml:space="preserve">
Revised on 12 Jul 2020</t>
        </r>
      </text>
    </comment>
    <comment ref="T27" authorId="1" shapeId="0">
      <text>
        <r>
          <rPr>
            <b/>
            <sz val="9"/>
            <color indexed="81"/>
            <rFont val="Tahoma"/>
          </rPr>
          <t>Aminath Manal:</t>
        </r>
        <r>
          <rPr>
            <sz val="9"/>
            <color indexed="81"/>
            <rFont val="Tahoma"/>
          </rPr>
          <t xml:space="preserve">
Revised on 12 Jul 2020</t>
        </r>
      </text>
    </comment>
  </commentList>
</comments>
</file>

<file path=xl/comments2.xml><?xml version="1.0" encoding="utf-8"?>
<comments xmlns="http://schemas.openxmlformats.org/spreadsheetml/2006/main">
  <authors>
    <author>Mariyam Sharmeela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Mariyam Sharmeela:</t>
        </r>
        <r>
          <rPr>
            <sz val="9"/>
            <color indexed="81"/>
            <rFont val="Tahoma"/>
            <family val="2"/>
          </rPr>
          <t xml:space="preserve">
revised</t>
        </r>
      </text>
    </comment>
  </commentList>
</comments>
</file>

<file path=xl/comments3.xml><?xml version="1.0" encoding="utf-8"?>
<comments xmlns="http://schemas.openxmlformats.org/spreadsheetml/2006/main">
  <authors>
    <author>Fathimath Shifaza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corrected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corrected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corrected</t>
        </r>
      </text>
    </comment>
  </commentList>
</comments>
</file>

<file path=xl/comments4.xml><?xml version="1.0" encoding="utf-8"?>
<comments xmlns="http://schemas.openxmlformats.org/spreadsheetml/2006/main">
  <authors>
    <author>Sharmeela</author>
  </authors>
  <commentList>
    <comment ref="T8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36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73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83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85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129" authorId="0" shapeId="0">
      <text>
        <r>
          <rPr>
            <sz val="9"/>
            <color indexed="81"/>
            <rFont val="Tahoma"/>
            <family val="2"/>
          </rPr>
          <t xml:space="preserve">
License cancelled/expiredLicense </t>
        </r>
      </text>
    </comment>
    <comment ref="T132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150" authorId="0" shapeId="0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</commentList>
</comments>
</file>

<file path=xl/comments5.xml><?xml version="1.0" encoding="utf-8"?>
<comments xmlns="http://schemas.openxmlformats.org/spreadsheetml/2006/main">
  <authors>
    <author>Fathimath Shifaza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638 in table 10.2</t>
        </r>
      </text>
    </comment>
  </commentList>
</comments>
</file>

<file path=xl/sharedStrings.xml><?xml version="1.0" encoding="utf-8"?>
<sst xmlns="http://schemas.openxmlformats.org/spreadsheetml/2006/main" count="4036" uniqueCount="1118">
  <si>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</si>
  <si>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</si>
  <si>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</si>
  <si>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</si>
  <si>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</si>
  <si>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</si>
  <si>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</si>
  <si>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</si>
  <si>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</si>
  <si>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2012</t>
  </si>
  <si>
    <t>2013</t>
  </si>
  <si>
    <t>2014</t>
  </si>
  <si>
    <t>2015</t>
  </si>
  <si>
    <t>2016</t>
  </si>
  <si>
    <t>2017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</si>
  <si>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</si>
  <si>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</si>
  <si>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</si>
  <si>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</si>
  <si>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</si>
  <si>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</si>
  <si>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</si>
  <si>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</si>
  <si>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</si>
  <si>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</si>
  <si>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</si>
  <si>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</si>
  <si>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</si>
  <si>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</si>
  <si>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</si>
  <si>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</si>
  <si>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</si>
  <si>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</si>
  <si>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</si>
  <si>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</si>
  <si>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</si>
  <si>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</si>
  <si>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</si>
  <si>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</si>
  <si>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</si>
  <si>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</si>
  <si>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</si>
  <si>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</si>
  <si>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</si>
  <si>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</si>
  <si>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</si>
  <si>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</si>
  <si>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</si>
  <si>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</si>
  <si>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</si>
  <si>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</si>
  <si>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</si>
  <si>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</si>
  <si>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</si>
  <si>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</si>
  <si>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</si>
  <si>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</si>
  <si>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</si>
  <si>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</si>
  <si>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</si>
  <si>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</si>
  <si>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</si>
  <si>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</si>
  <si>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</si>
  <si>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</si>
  <si>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</si>
  <si>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</si>
  <si>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</si>
  <si>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</si>
  <si>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</si>
  <si>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</si>
  <si>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</si>
  <si>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</si>
  <si>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</si>
  <si>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</si>
  <si>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</si>
  <si>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</si>
  <si>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</si>
  <si>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</si>
  <si>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</si>
  <si>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</si>
  <si>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</si>
  <si>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</si>
  <si>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</si>
  <si>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</si>
  <si>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</si>
  <si>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</si>
  <si>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</si>
  <si>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</si>
  <si>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</si>
  <si>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</si>
  <si>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</si>
  <si>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</si>
  <si>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</si>
  <si>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</si>
  <si>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</si>
  <si>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</si>
  <si>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</si>
  <si>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</si>
  <si>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</si>
  <si>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</si>
  <si>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</si>
  <si>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</si>
  <si>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</si>
  <si>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</si>
  <si>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</si>
  <si>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</si>
  <si>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</si>
  <si>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</si>
  <si>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</si>
  <si>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</si>
  <si>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</si>
  <si>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</si>
  <si>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</si>
  <si>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</si>
  <si>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</si>
  <si>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</si>
  <si>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</si>
  <si>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</si>
  <si>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</si>
  <si>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</si>
  <si>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</si>
  <si>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</si>
  <si>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</si>
  <si>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</si>
  <si>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</si>
  <si>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>2008</t>
  </si>
  <si>
    <t>2009</t>
  </si>
  <si>
    <t>2010</t>
  </si>
  <si>
    <t>2011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</si>
  <si>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</si>
  <si>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</si>
  <si>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</si>
  <si>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</si>
  <si>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</si>
  <si>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</si>
  <si>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</si>
  <si>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</si>
  <si>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-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</si>
  <si>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</si>
  <si>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</si>
  <si>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</si>
  <si>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</si>
  <si>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</si>
  <si>
    <t>Type</t>
  </si>
  <si>
    <t>ctwvWbegunwt</t>
  </si>
  <si>
    <t>Number of Beds (Registered)</t>
  </si>
  <si>
    <t>wgWj egudnea WviawfcSok IrcTcsijwr</t>
  </si>
  <si>
    <t>wlcmuj</t>
  </si>
  <si>
    <t>Resorts (including Marinas)</t>
  </si>
  <si>
    <t>ރިސޯޓްތައް (މެރީނާއާއި އެކު)</t>
  </si>
  <si>
    <t>Hotels</t>
  </si>
  <si>
    <t xml:space="preserve"> cawtWToh</t>
  </si>
  <si>
    <t>Guest Houses</t>
  </si>
  <si>
    <t>cawtegIluk</t>
  </si>
  <si>
    <t>Safari Vessels</t>
  </si>
  <si>
    <t>cawtudnwLua</t>
  </si>
  <si>
    <t>ބޭނުންކުރެވުނު އެނދުގެ އަދަދު</t>
  </si>
  <si>
    <t>No. of Establishments (Registered)</t>
  </si>
  <si>
    <t>ރެޖިސްޓްރީ ކުރެވިފައިވާ ތަންތަނުގެ އަދަދު</t>
  </si>
  <si>
    <t>cawtWToh</t>
  </si>
  <si>
    <t>No. Establishmentss in operation</t>
  </si>
  <si>
    <t>ބޭނުންކުރެވުނު ތަންތަނުގެ އަދަދު</t>
  </si>
  <si>
    <t>އެނދުގެ ޖާގައިން  ބޭނުންކުރެވުނު މިންވަރު %</t>
  </si>
  <si>
    <t>Month</t>
  </si>
  <si>
    <r>
      <t xml:space="preserve">2014 </t>
    </r>
    <r>
      <rPr>
        <b/>
        <vertAlign val="superscript"/>
        <sz val="10"/>
        <color theme="1"/>
        <rFont val="Arial"/>
        <family val="2"/>
      </rPr>
      <t>1_/</t>
    </r>
  </si>
  <si>
    <r>
      <t xml:space="preserve">2015 </t>
    </r>
    <r>
      <rPr>
        <b/>
        <vertAlign val="superscript"/>
        <sz val="10"/>
        <color theme="1"/>
        <rFont val="Arial"/>
        <family val="2"/>
      </rPr>
      <t>1_/</t>
    </r>
  </si>
  <si>
    <r>
      <t>2016</t>
    </r>
    <r>
      <rPr>
        <b/>
        <vertAlign val="superscript"/>
        <sz val="10"/>
        <color theme="1"/>
        <rFont val="Arial"/>
        <family val="2"/>
      </rPr>
      <t>1_/</t>
    </r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</si>
  <si>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</si>
  <si>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</si>
  <si>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</si>
  <si>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</si>
  <si>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</si>
  <si>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 xml:space="preserve">Registered Bed Capacity * 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</si>
  <si>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</si>
  <si>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</si>
  <si>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</si>
  <si>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</si>
  <si>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</si>
  <si>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</si>
  <si>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</si>
  <si>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</si>
  <si>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</si>
  <si>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</si>
  <si>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</si>
  <si>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</si>
  <si>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</si>
  <si>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</si>
  <si>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</si>
  <si>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</si>
  <si>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</si>
  <si>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</si>
  <si>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</si>
  <si>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</si>
  <si>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</si>
  <si>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</si>
  <si>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</si>
  <si>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</si>
  <si>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</si>
  <si>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</si>
  <si>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</si>
  <si>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</si>
  <si>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</si>
  <si>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</si>
  <si>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</si>
  <si>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</si>
  <si>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Registered Bed Capacity  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</si>
  <si>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</si>
  <si>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</si>
  <si>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</si>
  <si>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</si>
  <si>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</si>
  <si>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</si>
  <si>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</si>
  <si>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</si>
  <si>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</si>
  <si>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</si>
  <si>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</si>
  <si>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</si>
  <si>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</si>
  <si>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Male</t>
  </si>
  <si>
    <t>ފިރިހެން</t>
  </si>
  <si>
    <t>Female</t>
  </si>
  <si>
    <t>އަންހެން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</si>
  <si>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</si>
  <si>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</si>
  <si>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</si>
  <si>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</si>
  <si>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</si>
  <si>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</si>
  <si>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</si>
  <si>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</si>
  <si>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</si>
  <si>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</si>
  <si>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</si>
  <si>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</si>
  <si>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</si>
  <si>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</si>
  <si>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</si>
  <si>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</si>
  <si>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</si>
  <si>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</si>
  <si>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</si>
  <si>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</si>
  <si>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</si>
  <si>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</si>
  <si>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</si>
  <si>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</si>
  <si>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</si>
  <si>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</si>
  <si>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</si>
  <si>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</si>
  <si>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</si>
  <si>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</si>
  <si>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</si>
  <si>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</si>
  <si>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</si>
  <si>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</si>
  <si>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</si>
  <si>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</si>
  <si>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</si>
  <si>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</si>
  <si>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</si>
  <si>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</si>
  <si>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</si>
  <si>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</si>
  <si>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</si>
  <si>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</si>
  <si>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</si>
  <si>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</si>
  <si>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</si>
  <si>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</si>
  <si>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</si>
  <si>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</si>
  <si>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</si>
  <si>
    <t>Resorts</t>
  </si>
  <si>
    <t>Bed Capacity</t>
  </si>
  <si>
    <t xml:space="preserve">% Share 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</si>
  <si>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</si>
  <si>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</si>
  <si>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</si>
  <si>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</si>
  <si>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</si>
  <si>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</si>
  <si>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</si>
  <si>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</si>
  <si>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</si>
  <si>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</si>
  <si>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</si>
  <si>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</si>
  <si>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</si>
  <si>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</si>
  <si>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</si>
  <si>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</si>
  <si>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</si>
  <si>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</si>
  <si>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</si>
  <si>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</si>
  <si>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</si>
  <si>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</si>
  <si>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</si>
  <si>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</si>
  <si>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</si>
  <si>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</si>
  <si>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</si>
  <si>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</si>
  <si>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</si>
  <si>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</si>
  <si>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</si>
  <si>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</si>
  <si>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</si>
  <si>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</si>
  <si>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</si>
  <si>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</si>
  <si>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</si>
  <si>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</si>
  <si>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</si>
  <si>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</si>
  <si>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</si>
  <si>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</si>
  <si>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</si>
  <si>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</si>
  <si>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</si>
  <si>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</si>
  <si>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</si>
  <si>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</si>
  <si>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</si>
  <si>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</si>
  <si>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</si>
  <si>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</si>
  <si>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</si>
  <si>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</si>
  <si>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</si>
  <si>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</si>
  <si>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</si>
  <si>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 xml:space="preserve">   Total</t>
  </si>
  <si>
    <t>ވަޒަންވެރިވެފައިވާ ޤައުމު</t>
  </si>
  <si>
    <t>މެދު އިރުމަތީ ޔޫރަޕް</t>
  </si>
  <si>
    <t>Belarus</t>
  </si>
  <si>
    <t>ބެލަރުސް</t>
  </si>
  <si>
    <t>Bulgaria</t>
  </si>
  <si>
    <t>ބަލްގޭރިއާ</t>
  </si>
  <si>
    <t>Czech Republic</t>
  </si>
  <si>
    <t>ޗެކް ރިޕަބްލިކް</t>
  </si>
  <si>
    <t>Hungary</t>
  </si>
  <si>
    <t>ހަންގޭރީ</t>
  </si>
  <si>
    <t>Kazakhstan</t>
  </si>
  <si>
    <t>ކަޒަކިސްތާން</t>
  </si>
  <si>
    <t>Latvia</t>
  </si>
  <si>
    <t>ލެޓްވިއާ</t>
  </si>
  <si>
    <t>Lithuania</t>
  </si>
  <si>
    <t>ލިތުއާނާ</t>
  </si>
  <si>
    <t>Poland</t>
  </si>
  <si>
    <t>ޕޮލަންޑް</t>
  </si>
  <si>
    <t>Romania</t>
  </si>
  <si>
    <t>ރޮމޭނިއާ</t>
  </si>
  <si>
    <t>Russia</t>
  </si>
  <si>
    <t>Slovakia</t>
  </si>
  <si>
    <t>Ukraine</t>
  </si>
  <si>
    <t>ޔޫކްރެއިން</t>
  </si>
  <si>
    <t>Others</t>
  </si>
  <si>
    <t>އުތުރު ޔޫރަޕް</t>
  </si>
  <si>
    <t>Denmark</t>
  </si>
  <si>
    <t>ޑެންމާކް</t>
  </si>
  <si>
    <t>Finland</t>
  </si>
  <si>
    <t>Ireland</t>
  </si>
  <si>
    <t>އަޔަލެންޑް</t>
  </si>
  <si>
    <t>Other continents</t>
  </si>
  <si>
    <t>Norway</t>
  </si>
  <si>
    <t>ނޯވޭ</t>
  </si>
  <si>
    <t>Sweden</t>
  </si>
  <si>
    <t>ސްވިޑެން</t>
  </si>
  <si>
    <t>United Kingdom</t>
  </si>
  <si>
    <t>ދެކުނު ޔޫރަޕް</t>
  </si>
  <si>
    <t>Croatia</t>
  </si>
  <si>
    <t>ކްރޮއޭޝިއާ</t>
  </si>
  <si>
    <t>Greece</t>
  </si>
  <si>
    <t>Italy</t>
  </si>
  <si>
    <t>Portugal</t>
  </si>
  <si>
    <t>Serbia</t>
  </si>
  <si>
    <t>ސަރބިއާ</t>
  </si>
  <si>
    <t>Slovenia</t>
  </si>
  <si>
    <t>ސްލޮވޭނިއާ</t>
  </si>
  <si>
    <t>Spain</t>
  </si>
  <si>
    <t>ހުޅަނގު ޔޫރަޕް</t>
  </si>
  <si>
    <t>Austria</t>
  </si>
  <si>
    <t>Belgium</t>
  </si>
  <si>
    <t>France</t>
  </si>
  <si>
    <t>Germany</t>
  </si>
  <si>
    <t>ޖަރުމަނީ</t>
  </si>
  <si>
    <t xml:space="preserve">Netherlands </t>
  </si>
  <si>
    <t>ނެދަލެންޑްސް</t>
  </si>
  <si>
    <t>Switzerland</t>
  </si>
  <si>
    <t>ސްވިޓްޒަލެންޑް</t>
  </si>
  <si>
    <t>..</t>
  </si>
  <si>
    <t>އިރުމަތީ ޔޫރަޕް</t>
  </si>
  <si>
    <t>Israel</t>
  </si>
  <si>
    <t>އިސްރާއީލް</t>
  </si>
  <si>
    <t>Turkey</t>
  </si>
  <si>
    <t>ތުރުކީ</t>
  </si>
  <si>
    <t>އިރު އުތުރު އޭޝިއާ</t>
  </si>
  <si>
    <t>China</t>
  </si>
  <si>
    <t>Japan</t>
  </si>
  <si>
    <t>Korea</t>
  </si>
  <si>
    <t>Taiwan</t>
  </si>
  <si>
    <t>އިރު ދެކުނު އޭޝިއާ</t>
  </si>
  <si>
    <t>Indonesia</t>
  </si>
  <si>
    <t>Malaysia</t>
  </si>
  <si>
    <t>Myanmar</t>
  </si>
  <si>
    <t>މިޔަންމާ</t>
  </si>
  <si>
    <t>Philippines</t>
  </si>
  <si>
    <t>ފިލިޕިންސް</t>
  </si>
  <si>
    <t>Singapore</t>
  </si>
  <si>
    <t>ސިންގަޕޯ</t>
  </si>
  <si>
    <t>Thailand</t>
  </si>
  <si>
    <t>ތައިލެންޑް</t>
  </si>
  <si>
    <t>Vietnam</t>
  </si>
  <si>
    <t>ވިއެޓްނާމް</t>
  </si>
  <si>
    <t>ދެކުނު އޭޝިއާ</t>
  </si>
  <si>
    <t>Bangladesh</t>
  </si>
  <si>
    <t>ބަންގްލަދެޝް</t>
  </si>
  <si>
    <t>India</t>
  </si>
  <si>
    <t>Iran</t>
  </si>
  <si>
    <t>އިރާން</t>
  </si>
  <si>
    <t>Pakistan</t>
  </si>
  <si>
    <t>Sri Lanka</t>
  </si>
  <si>
    <t>ސްރީ ލަންކާ</t>
  </si>
  <si>
    <t>Algeria</t>
  </si>
  <si>
    <t>އަލްޖީރިއާ</t>
  </si>
  <si>
    <t>Morocco</t>
  </si>
  <si>
    <t>މޮރޮކޯ</t>
  </si>
  <si>
    <t>South Africa</t>
  </si>
  <si>
    <t>ދެކުނު އެފްރިކާ</t>
  </si>
  <si>
    <t>Argentina</t>
  </si>
  <si>
    <t>އަރޖެންޓީނާ</t>
  </si>
  <si>
    <t>Brazil</t>
  </si>
  <si>
    <t>ބްރެޒިލް</t>
  </si>
  <si>
    <t>Canada</t>
  </si>
  <si>
    <t>Mexico</t>
  </si>
  <si>
    <t>މެކްސިކޯ</t>
  </si>
  <si>
    <t>United States</t>
  </si>
  <si>
    <t>ޔުނައިޓެޑް ސްޓޭޓްސް</t>
  </si>
  <si>
    <t>އޯޝިއާނާ</t>
  </si>
  <si>
    <t>Australia</t>
  </si>
  <si>
    <t>New Zealand</t>
  </si>
  <si>
    <t>ނިއުޒިލެންޑް</t>
  </si>
  <si>
    <t>މެދު އިރުމަތީ</t>
  </si>
  <si>
    <t>Egypt</t>
  </si>
  <si>
    <t>އިޖިޕްޓް</t>
  </si>
  <si>
    <t>Jordan</t>
  </si>
  <si>
    <t>ޖޯޑްން</t>
  </si>
  <si>
    <t>Kuwait</t>
  </si>
  <si>
    <t>Lebanon</t>
  </si>
  <si>
    <t>ލެބަނާން</t>
  </si>
  <si>
    <t>Oman</t>
  </si>
  <si>
    <t>އޮމާން</t>
  </si>
  <si>
    <t>Qatar</t>
  </si>
  <si>
    <t>ޤަތަރު</t>
  </si>
  <si>
    <t>Saudi Arabia</t>
  </si>
  <si>
    <t>ސައުދީ އަރަބިއްޔާ</t>
  </si>
  <si>
    <t>Syrian Arab Republic</t>
  </si>
  <si>
    <t>ސީރިއަން އަރަބް ރިޕަބްލިކް</t>
  </si>
  <si>
    <t>United Arab Emirates</t>
  </si>
  <si>
    <t>ޔުނައިޓެޑް އަރަބް އެމަރެޓްސް</t>
  </si>
  <si>
    <t>UN Passpoert holders</t>
  </si>
  <si>
    <t xml:space="preserve">ޔޫ އެން ޕާސްޕޯޓު ހޯލްޑަރސް </t>
  </si>
  <si>
    <t xml:space="preserve">Others Not Stated </t>
  </si>
  <si>
    <t>Maldives Immigration</t>
  </si>
  <si>
    <t>މޯލްޑިވްސް އިމިގްރޭޝަން</t>
  </si>
  <si>
    <t xml:space="preserve">Year of Initial </t>
  </si>
  <si>
    <t>Initial Bed</t>
  </si>
  <si>
    <t>Distance from</t>
  </si>
  <si>
    <t>Bed Capacity  (end year)*</t>
  </si>
  <si>
    <t>Operation</t>
  </si>
  <si>
    <t>Capacity</t>
  </si>
  <si>
    <t>Airport (in Km)</t>
  </si>
  <si>
    <t>All Resorts</t>
  </si>
  <si>
    <t>Hideaway Beach Resort and Spa at Dhonakulhi Island Maldives</t>
  </si>
  <si>
    <t>North Thiladhunmathi Atoll (H.Dh)</t>
  </si>
  <si>
    <t>na</t>
  </si>
  <si>
    <t xml:space="preserve">Mövenpick Resort Kuredhivaru Maldives </t>
  </si>
  <si>
    <t>Dhigali Maldives</t>
  </si>
  <si>
    <t>Furaveri Island Resort &amp; Spa</t>
  </si>
  <si>
    <t>Joali Muravandhoo (Muravandhoo)</t>
  </si>
  <si>
    <t>Four Seasons Resort Maldives at Landaa Giraavaru</t>
  </si>
  <si>
    <t>2006</t>
  </si>
  <si>
    <t>1999</t>
  </si>
  <si>
    <t>Reethi Beach Resort</t>
  </si>
  <si>
    <t>Royal Island Resort &amp; Spa</t>
  </si>
  <si>
    <t>Soneva Fushi By Six Senses</t>
  </si>
  <si>
    <t xml:space="preserve">     1983</t>
  </si>
  <si>
    <t>Komandoo Maldive Island Resort</t>
  </si>
  <si>
    <t xml:space="preserve">     1978</t>
  </si>
  <si>
    <t xml:space="preserve">     1979</t>
  </si>
  <si>
    <t xml:space="preserve">     1980</t>
  </si>
  <si>
    <t>Asdhu Sun Island</t>
  </si>
  <si>
    <t xml:space="preserve">     1981</t>
  </si>
  <si>
    <t xml:space="preserve">     1972</t>
  </si>
  <si>
    <t>Banyan Tree Maldives Vabbinfaru</t>
  </si>
  <si>
    <t xml:space="preserve">     1977</t>
  </si>
  <si>
    <t xml:space="preserve">     1973</t>
  </si>
  <si>
    <t xml:space="preserve">     1982</t>
  </si>
  <si>
    <t>Cinnamon Dhonveli Maldives</t>
  </si>
  <si>
    <t>Club Med Kanifinolhu</t>
  </si>
  <si>
    <t>Coco Palm Boduhithi</t>
  </si>
  <si>
    <t xml:space="preserve">Coco Privé Kuda Hithi Island </t>
  </si>
  <si>
    <t>1984</t>
  </si>
  <si>
    <t>Cocoa Island</t>
  </si>
  <si>
    <t>Dream Island Maldives</t>
  </si>
  <si>
    <t>Four Seasons Resort Maldives at Kuda Huraa</t>
  </si>
  <si>
    <t>1977</t>
  </si>
  <si>
    <t>Fun Island Resort</t>
  </si>
  <si>
    <t xml:space="preserve">     1985</t>
  </si>
  <si>
    <t>Huvafenfushi</t>
  </si>
  <si>
    <t>Kurumba Maldives</t>
  </si>
  <si>
    <t>Meeru Island Resort</t>
  </si>
  <si>
    <t>Naladhu (Palm Tree Island)</t>
  </si>
  <si>
    <t>Oblu By Atmosphere at Helengeli</t>
  </si>
  <si>
    <t>Olhuveli Beach &amp; Spa Resort</t>
  </si>
  <si>
    <t>Paradise Island Resort &amp; Spa</t>
  </si>
  <si>
    <t>Gili Lankanfushi</t>
  </si>
  <si>
    <t>Summer Island Maldives</t>
  </si>
  <si>
    <t>Taj Exortica Resort &amp; Spa Maldives</t>
  </si>
  <si>
    <t>Thulhaagiri Island Resort</t>
  </si>
  <si>
    <t xml:space="preserve">     1974</t>
  </si>
  <si>
    <t>Vivanta by Taj - Coral Reef, Maldives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</si>
  <si>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</si>
  <si>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</si>
  <si>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</si>
  <si>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</si>
  <si>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</si>
  <si>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Kuramathi Maldives</t>
  </si>
  <si>
    <t>Maayafushi Tourist Resort</t>
  </si>
  <si>
    <t>Madoogali Resort</t>
  </si>
  <si>
    <t xml:space="preserve">     1989</t>
  </si>
  <si>
    <t>Nika Island Resort</t>
  </si>
  <si>
    <t>Veligandu Island</t>
  </si>
  <si>
    <t xml:space="preserve">     1984</t>
  </si>
  <si>
    <t>Angaaga Island Resort and Spa</t>
  </si>
  <si>
    <t xml:space="preserve">     1990</t>
  </si>
  <si>
    <t>Centara Grand Island Resort &amp; Spa Maldives</t>
  </si>
  <si>
    <t xml:space="preserve">  1992</t>
  </si>
  <si>
    <t>Constance Moofushi Resort</t>
  </si>
  <si>
    <t>Holiday Island</t>
  </si>
  <si>
    <t>Lily Beach Resort</t>
  </si>
  <si>
    <t>Mirihi Island Resort</t>
  </si>
  <si>
    <t xml:space="preserve">     1991</t>
  </si>
  <si>
    <t>Vakarufalhi Island Resort</t>
  </si>
  <si>
    <t>Vilamendhoo Island Resort</t>
  </si>
  <si>
    <t>Alimatha Aquatic Resort</t>
  </si>
  <si>
    <t xml:space="preserve">     1975</t>
  </si>
  <si>
    <t>Dhiggiri Tourist Resort</t>
  </si>
  <si>
    <t>Cinnamon Hakuraa Huraa Maldives</t>
  </si>
  <si>
    <t>Medhufushi Island Resort</t>
  </si>
  <si>
    <t xml:space="preserve">Filitheyo Island Resort </t>
  </si>
  <si>
    <t>* Resorts beds include marinas</t>
  </si>
  <si>
    <t xml:space="preserve">                                    </t>
  </si>
  <si>
    <t>Note: * Tourist Bed night figures include resorts/hotels/safaris &amp; guesthouses</t>
  </si>
  <si>
    <t>HDh</t>
  </si>
  <si>
    <r>
      <t>Bed capacity utilization rate (%)</t>
    </r>
    <r>
      <rPr>
        <b/>
        <vertAlign val="superscript"/>
        <sz val="10"/>
        <rFont val="Calibri"/>
        <family val="2"/>
        <scheme val="minor"/>
      </rPr>
      <t xml:space="preserve"> </t>
    </r>
  </si>
  <si>
    <t>2019</t>
  </si>
  <si>
    <t>ތިލަދުންމަތި ދެކުނުބުރި (ހދ)</t>
  </si>
  <si>
    <t>number of resorts</t>
  </si>
  <si>
    <t>Table 10.13 :   MONTHLY DISTRIBUTION OF TOURIST ARRIVALS BY NATIONALITY, 2019</t>
  </si>
  <si>
    <t>ތާވަލު 10.13: ޤައުމުތަކުގެ ގޮތުން ރާއްޖެއައި ފަތުރުވެރިންގެ ޢަދަދު، މަސްމަހުގެ ގޮތުން، 2019</t>
  </si>
  <si>
    <t>Atoll / Island</t>
  </si>
  <si>
    <t>Nos.</t>
  </si>
  <si>
    <t>Beds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</si>
  <si>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</si>
  <si>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</si>
  <si>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</si>
  <si>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</si>
  <si>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</si>
  <si>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</si>
  <si>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</si>
  <si>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</si>
  <si>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</si>
  <si>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</si>
  <si>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</si>
  <si>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</si>
  <si>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</si>
  <si>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</si>
  <si>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</si>
  <si>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</si>
  <si>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</si>
  <si>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</si>
  <si>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</si>
  <si>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</si>
  <si>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</si>
  <si>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</si>
  <si>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</si>
  <si>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</si>
  <si>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</si>
  <si>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</si>
  <si>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</si>
  <si>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</si>
  <si>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</si>
  <si>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</si>
  <si>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</si>
  <si>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</si>
  <si>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</si>
  <si>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</si>
  <si>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</si>
  <si>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</si>
  <si>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</si>
  <si>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</si>
  <si>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</si>
  <si>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</si>
  <si>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</si>
  <si>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</si>
  <si>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</si>
  <si>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</si>
  <si>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</si>
  <si>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</si>
  <si>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</si>
  <si>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</si>
  <si>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</si>
  <si>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</si>
  <si>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</si>
  <si>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</si>
  <si>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</si>
  <si>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</si>
  <si>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</si>
  <si>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</si>
  <si>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</si>
  <si>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</si>
  <si>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</si>
  <si>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</si>
  <si>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Alifushi</t>
  </si>
  <si>
    <t>Vaadhoo</t>
  </si>
  <si>
    <t>Rasgetheemu</t>
  </si>
  <si>
    <t>An'golhitheemu</t>
  </si>
  <si>
    <t>Un'goofaaru</t>
  </si>
  <si>
    <t xml:space="preserve"> Dhuvaafaru   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</si>
  <si>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</si>
  <si>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</si>
  <si>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</si>
  <si>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</si>
  <si>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</si>
  <si>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</si>
  <si>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</si>
  <si>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</si>
  <si>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</si>
  <si>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</si>
  <si>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</si>
  <si>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</si>
  <si>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</si>
  <si>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</si>
  <si>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</si>
  <si>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</si>
  <si>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</si>
  <si>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</si>
  <si>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</si>
  <si>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</si>
  <si>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</si>
  <si>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Hinnavaru</t>
  </si>
  <si>
    <t>Naifaru</t>
  </si>
  <si>
    <t>Kurendhoo</t>
  </si>
  <si>
    <t>Olhuvelifushi</t>
  </si>
  <si>
    <t>Maafilaafushi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</si>
  <si>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</si>
  <si>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</si>
  <si>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</si>
  <si>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</si>
  <si>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</si>
  <si>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</si>
  <si>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</si>
  <si>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</si>
  <si>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</si>
  <si>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Thoddoo</t>
  </si>
  <si>
    <t>Rasdhoo</t>
  </si>
  <si>
    <t>Ukulhas</t>
  </si>
  <si>
    <t>Mathiveri</t>
  </si>
  <si>
    <t>Bodufolhudhoo</t>
  </si>
  <si>
    <t>Feridhoo</t>
  </si>
  <si>
    <t>Himandhoo</t>
  </si>
  <si>
    <t>Hangn'aameedhoo</t>
  </si>
  <si>
    <t>Omadhoo</t>
  </si>
  <si>
    <t>Kun'burudhoo</t>
  </si>
  <si>
    <t>Mahibadhoo</t>
  </si>
  <si>
    <t>Mandhoo</t>
  </si>
  <si>
    <t>Dhigurah</t>
  </si>
  <si>
    <t>Fenfushi</t>
  </si>
  <si>
    <t>Maamigili</t>
  </si>
  <si>
    <t>Fulidhoo</t>
  </si>
  <si>
    <t>Thinadhoo</t>
  </si>
  <si>
    <t>Felidhoo</t>
  </si>
  <si>
    <t>Keyodhoo</t>
  </si>
  <si>
    <t>Rakeedhoo</t>
  </si>
  <si>
    <t>Raiymandhoo</t>
  </si>
  <si>
    <t>Veyvah</t>
  </si>
  <si>
    <t>Mulah</t>
  </si>
  <si>
    <t>Muli</t>
  </si>
  <si>
    <t>Naalaafushi</t>
  </si>
  <si>
    <t>Kolhufushi</t>
  </si>
  <si>
    <t>Dhiggaru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</si>
  <si>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</si>
  <si>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</si>
  <si>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</si>
  <si>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</si>
  <si>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</si>
  <si>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</si>
  <si>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</si>
  <si>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</si>
  <si>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</si>
  <si>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</si>
  <si>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</si>
  <si>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</si>
  <si>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 xml:space="preserve">Vilufushi 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</si>
  <si>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</si>
  <si>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</si>
  <si>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</si>
  <si>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</si>
  <si>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</si>
  <si>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</si>
  <si>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</si>
  <si>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</si>
  <si>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</si>
  <si>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</si>
  <si>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</si>
  <si>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</si>
  <si>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</si>
  <si>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</si>
  <si>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</si>
  <si>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</si>
  <si>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</si>
  <si>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</si>
  <si>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</si>
  <si>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</si>
  <si>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</si>
  <si>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Kalaidhoo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</si>
  <si>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</si>
  <si>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</si>
  <si>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</si>
  <si>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</si>
  <si>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</si>
  <si>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</si>
  <si>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</si>
  <si>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</si>
  <si>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</si>
  <si>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</si>
  <si>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</si>
  <si>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</si>
  <si>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</si>
  <si>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</si>
  <si>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Maathodaa</t>
  </si>
  <si>
    <t>Fares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</si>
  <si>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</si>
  <si>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</si>
  <si>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</si>
  <si>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</si>
  <si>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</si>
  <si>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</si>
  <si>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</si>
  <si>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Hulhumale'</t>
  </si>
  <si>
    <t>Villingili</t>
  </si>
  <si>
    <t>Total Atoll</t>
  </si>
  <si>
    <t>Emerald Maldives Resort &amp; Spa Fasmendhoo</t>
  </si>
  <si>
    <t>Inter Continental Maldives Maamunagau</t>
  </si>
  <si>
    <t xml:space="preserve">JW Marriott Maldives Resort &amp; Spa </t>
  </si>
  <si>
    <t xml:space="preserve">Pullman Maldives Maamutaa Resort </t>
  </si>
  <si>
    <t xml:space="preserve">Rahaa Resort  </t>
  </si>
  <si>
    <t xml:space="preserve">South Palm Resort Maldives </t>
  </si>
  <si>
    <t>The Marina at Crossroads Maldives</t>
  </si>
  <si>
    <t xml:space="preserve">The Residence Maldives At Dhigurah </t>
  </si>
  <si>
    <t xml:space="preserve">Waldorf Astoria Maldives Ithaafushi </t>
  </si>
  <si>
    <t>Dhangethi</t>
  </si>
  <si>
    <t>Hulhule</t>
  </si>
  <si>
    <t>Alidhoo Island Resort</t>
  </si>
  <si>
    <t>JA Manafaru</t>
  </si>
  <si>
    <t xml:space="preserve">Hondaafushi Island Resort </t>
  </si>
  <si>
    <t xml:space="preserve">Sirru Fen Fushi </t>
  </si>
  <si>
    <t>Cheval Blanc Randheli</t>
  </si>
  <si>
    <t>Noku Maldives</t>
  </si>
  <si>
    <t xml:space="preserve">Robinson Club Noonu </t>
  </si>
  <si>
    <t>Soneva Jani</t>
  </si>
  <si>
    <t>The Sun Siyam Iru Fushi Maldives</t>
  </si>
  <si>
    <t>Velaa Private Island</t>
  </si>
  <si>
    <t>Adhaaran Select Meedhupparu</t>
  </si>
  <si>
    <t xml:space="preserve">Carpe Diem Beach Resort and Spa Maldives </t>
  </si>
  <si>
    <t xml:space="preserve">Faarufushi Maldives </t>
  </si>
  <si>
    <t>Heritance Aarah</t>
  </si>
  <si>
    <t xml:space="preserve">Kudafushi Resort &amp; Spa </t>
  </si>
  <si>
    <t xml:space="preserve">Loama Resort Maldives at Maamigili </t>
  </si>
  <si>
    <t xml:space="preserve">Reethi Faru Resort </t>
  </si>
  <si>
    <t>You &amp; Me By Cocoon</t>
  </si>
  <si>
    <t>Anantara Kihavah Villas</t>
  </si>
  <si>
    <t>Coco Palm Dhunikolhu</t>
  </si>
  <si>
    <t>Dhigufaru Island Resort</t>
  </si>
  <si>
    <t>Hirundhoo</t>
  </si>
  <si>
    <t>Dusit Thani Maldives</t>
  </si>
  <si>
    <t>Finolhu Baa Atoll Maldives</t>
  </si>
  <si>
    <t>Four Seasons Private Island Maldives at Voavah</t>
  </si>
  <si>
    <t xml:space="preserve">Kihaad Resort </t>
  </si>
  <si>
    <t>Milaidhoo Island Maldives</t>
  </si>
  <si>
    <t>The Nautilus Maldives</t>
  </si>
  <si>
    <t xml:space="preserve">The Westin Maldives Miriandhoo Resort </t>
  </si>
  <si>
    <t xml:space="preserve">Vakkaru Maldives </t>
  </si>
  <si>
    <t>Atmosphere Kanifushi Maldives</t>
  </si>
  <si>
    <t>Cocoon Maldives</t>
  </si>
  <si>
    <t xml:space="preserve">Fushifaru Maldives </t>
  </si>
  <si>
    <t>Hurawalhi Island Resort</t>
  </si>
  <si>
    <t>Innahura Maldives Resort</t>
  </si>
  <si>
    <t>Kanuhura</t>
  </si>
  <si>
    <t>Lh. Kanuhuraa</t>
  </si>
  <si>
    <t>Lh. Komandoo</t>
  </si>
  <si>
    <t xml:space="preserve">Kudadoo Maldives Private island </t>
  </si>
  <si>
    <t>Lh. Kudadhoo</t>
  </si>
  <si>
    <t>Kuredhdhu Island Resort</t>
  </si>
  <si>
    <t>Lh. Kuredhdhu</t>
  </si>
  <si>
    <t>Palm Beach Resort &amp; Spa Maldives</t>
  </si>
  <si>
    <t>Lh. Madhiriguraidhoo</t>
  </si>
  <si>
    <t>Adhaaran Club Rannaalhi</t>
  </si>
  <si>
    <t>K. Rannalhi</t>
  </si>
  <si>
    <t>Adhaaran Prestige Vaadhu</t>
  </si>
  <si>
    <t>K. Vaadhu</t>
  </si>
  <si>
    <t>Adhaaran Select Hudhuranfushi</t>
  </si>
  <si>
    <t>K. Lhohifushi</t>
  </si>
  <si>
    <t xml:space="preserve">Anantara Resort &amp; Spa Maldives </t>
  </si>
  <si>
    <t>K. Dhigufinolhu</t>
  </si>
  <si>
    <t xml:space="preserve">Angsana Resort &amp; Spa Maldives - Ihuru </t>
  </si>
  <si>
    <t>K. Ihuru</t>
  </si>
  <si>
    <t>K. Asdhu</t>
  </si>
  <si>
    <t xml:space="preserve">Bandos Maldives </t>
  </si>
  <si>
    <t>K. Bandos</t>
  </si>
  <si>
    <t>K. Vabbinfaru</t>
  </si>
  <si>
    <t>Baros Maldives</t>
  </si>
  <si>
    <t>K. Baros</t>
  </si>
  <si>
    <t>Biyaadhu Island Resort</t>
  </si>
  <si>
    <t>K. Biyaadhoo</t>
  </si>
  <si>
    <t>Centara Ras Fushi Resort &amp; Spa</t>
  </si>
  <si>
    <t>K. Giraavaru</t>
  </si>
  <si>
    <t>K. Kanuoiy Huraa</t>
  </si>
  <si>
    <t>Club Med Finolhu Villas</t>
  </si>
  <si>
    <t>K. Gasfinolhu</t>
  </si>
  <si>
    <t>K. Kanifinolhu</t>
  </si>
  <si>
    <t>K. Boduhithi</t>
  </si>
  <si>
    <t>K. Kudahithi</t>
  </si>
  <si>
    <t>K. Makunufushi</t>
  </si>
  <si>
    <t>K. Villivaru</t>
  </si>
  <si>
    <t xml:space="preserve">Emboodhu Village </t>
  </si>
  <si>
    <t>K. Emboodhu</t>
  </si>
  <si>
    <t>Eriyadhu Island Resort</t>
  </si>
  <si>
    <t>K. Eriyadhu</t>
  </si>
  <si>
    <t>Fihalhohi Island Resort</t>
  </si>
  <si>
    <t>K. Fihaalhohi</t>
  </si>
  <si>
    <t>K. Kuda Huraa</t>
  </si>
  <si>
    <t>K. Bodufinolhu</t>
  </si>
  <si>
    <t>K. Lankanfushi</t>
  </si>
  <si>
    <t>Grand Park Kohdhipparu Maldives</t>
  </si>
  <si>
    <t>K. Kohdhipparu</t>
  </si>
  <si>
    <t>Hard Rock Hotel Maldives</t>
  </si>
  <si>
    <t>Holiday Inn Resort Kandooma Maldives</t>
  </si>
  <si>
    <t>K. Kandoomafushi</t>
  </si>
  <si>
    <t>K. Nakatchafushi</t>
  </si>
  <si>
    <t>K. Bolifushi</t>
  </si>
  <si>
    <t>K. Vihamanaafushi</t>
  </si>
  <si>
    <t xml:space="preserve">Lux North Male’ Atoll </t>
  </si>
  <si>
    <t>K. Olhahali</t>
  </si>
  <si>
    <t>Makunudhoo Island</t>
  </si>
  <si>
    <t>K. Makunudhu</t>
  </si>
  <si>
    <t>Malahini Kuda Bandos</t>
  </si>
  <si>
    <t>K. Kuda Bandos</t>
  </si>
  <si>
    <t>K. Meerufenfushi</t>
  </si>
  <si>
    <t>K. Veligandu Huraa</t>
  </si>
  <si>
    <t>K. Helengeli</t>
  </si>
  <si>
    <t xml:space="preserve">Oblu Select by Atmosphere at Sangeli </t>
  </si>
  <si>
    <t>K. Akirifushi</t>
  </si>
  <si>
    <t>K. Olhuveli</t>
  </si>
  <si>
    <t>One &amp; Only Reethi Rah, Maldives</t>
  </si>
  <si>
    <t>K. Medhufinolhu</t>
  </si>
  <si>
    <t>Ozen by Atmosphere at Maadhoo</t>
  </si>
  <si>
    <t>K. Maadhoo Finolhu</t>
  </si>
  <si>
    <t>K. Lankanfinolhu</t>
  </si>
  <si>
    <t>Rihiveli</t>
  </si>
  <si>
    <t>K. Mahaanaelhi Huraa</t>
  </si>
  <si>
    <t>Saii Lagoon Maldives</t>
  </si>
  <si>
    <t>Sheraton Maldives Full Moon Reosort &amp; Spa</t>
  </si>
  <si>
    <t>K. Furanafushi</t>
  </si>
  <si>
    <t>K. Ziyaaraifushi</t>
  </si>
  <si>
    <t>K. Embudhu Finolhu</t>
  </si>
  <si>
    <t>K. Emboodhoofalhu</t>
  </si>
  <si>
    <t>K. Thulhaagiri</t>
  </si>
  <si>
    <t>K. Madivaru</t>
  </si>
  <si>
    <t>Velassaru Maldives</t>
  </si>
  <si>
    <t>K. Velassaru</t>
  </si>
  <si>
    <t>K. Hembadhoo</t>
  </si>
  <si>
    <t>K. Ithaafushi</t>
  </si>
  <si>
    <t>Bathala Island Resort</t>
  </si>
  <si>
    <t>A.A. Bathala</t>
  </si>
  <si>
    <t>A.A. Halaveli</t>
  </si>
  <si>
    <t>A.A. Ellaidhoo</t>
  </si>
  <si>
    <t>A.A. Gangehi</t>
  </si>
  <si>
    <t>A.A. Kandholhudhoo</t>
  </si>
  <si>
    <t>A.A. Kuramathi</t>
  </si>
  <si>
    <t>A.A. Maayafushi</t>
  </si>
  <si>
    <t>A.A. Madoogali</t>
  </si>
  <si>
    <t>A.A. Kudafolhudhu</t>
  </si>
  <si>
    <t>Safari Island</t>
  </si>
  <si>
    <t>A.A. Mushimasmingili</t>
  </si>
  <si>
    <t>Velidhoo Island Resort</t>
  </si>
  <si>
    <t>A.A. Velidhoo</t>
  </si>
  <si>
    <t>A.A. Veligandu</t>
  </si>
  <si>
    <t>A.A. Fesdhu</t>
  </si>
  <si>
    <t>A.Dh. Angaga</t>
  </si>
  <si>
    <t xml:space="preserve">Diamonds Athuruga Beach and Water Villas </t>
  </si>
  <si>
    <t>A.Dh. Athurugau</t>
  </si>
  <si>
    <t>A.Dh. Machchafushi</t>
  </si>
  <si>
    <t>Conrad Maldives Rangali Island</t>
  </si>
  <si>
    <t>A.Dh. Rangalifinolhu</t>
  </si>
  <si>
    <t>A.Dh. Moofushi</t>
  </si>
  <si>
    <t>Drift Thelu Veliga Retreat</t>
  </si>
  <si>
    <t>A.Dh. Theluveliga</t>
  </si>
  <si>
    <t>A.Dh. Dhiffushi</t>
  </si>
  <si>
    <t>Amaya Kuda Rah Maldives (Kudarah Island Resort)</t>
  </si>
  <si>
    <t>A.Dh. Kudarah</t>
  </si>
  <si>
    <t>A.Dh. Huvahendhoo</t>
  </si>
  <si>
    <t>Lux South Ari Atoll, Maldives</t>
  </si>
  <si>
    <t>A.Dh. Dhidhdhufinolhu</t>
  </si>
  <si>
    <t>A.Dh. Mirihi</t>
  </si>
  <si>
    <t>Ranveli Island Resort</t>
  </si>
  <si>
    <t>A.Dh. Villingilivaru</t>
  </si>
  <si>
    <t xml:space="preserve">Sun Island Resort &amp; Spa </t>
  </si>
  <si>
    <t>A.Dh. Nalaguraidhoo</t>
  </si>
  <si>
    <t>Diamonds Thudufushi Beach &amp; Water Villas</t>
  </si>
  <si>
    <t>A.Dh. Thundufushi</t>
  </si>
  <si>
    <t>A.Dh. Maafushivaru</t>
  </si>
  <si>
    <t>A.Dh. Vakarufalhi</t>
  </si>
  <si>
    <t>A.Dh. Vilamendhoo</t>
  </si>
  <si>
    <t>V. Alimatha</t>
  </si>
  <si>
    <t>Cinnamon Velifushi Maldives</t>
  </si>
  <si>
    <t>V. Aarah</t>
  </si>
  <si>
    <t>V. Dhiggiri</t>
  </si>
  <si>
    <t>M. Hakuraa Huraa</t>
  </si>
  <si>
    <t>M. Medhufushi</t>
  </si>
  <si>
    <t>F. Filitheyo</t>
  </si>
  <si>
    <t xml:space="preserve">AaaVeee Nature's Paradise </t>
  </si>
  <si>
    <t>Dh. Dhoores</t>
  </si>
  <si>
    <t>Angsana Resort and Spa Maldives - Velavaru</t>
  </si>
  <si>
    <t>Dh. Velavaru</t>
  </si>
  <si>
    <t xml:space="preserve">Baglioni Resort Maldives </t>
  </si>
  <si>
    <t>D. Maagau</t>
  </si>
  <si>
    <t xml:space="preserve">Kandima Maldives </t>
  </si>
  <si>
    <t>Dh. Kandinma</t>
  </si>
  <si>
    <t>Niyama Maldives</t>
  </si>
  <si>
    <t>Dh. Olhuveli &amp; Embudhufushi</t>
  </si>
  <si>
    <t xml:space="preserve">Riu Atoll and Riu Palace Maldivas </t>
  </si>
  <si>
    <t>Dh. Maafushi and Kedhigandu</t>
  </si>
  <si>
    <t>Sun Aqua Iru Veli Maldives (Aluvifushi)</t>
  </si>
  <si>
    <t>Dh. Aluvifushi</t>
  </si>
  <si>
    <t>Sun Aqua Vilu Reef Maldives</t>
  </si>
  <si>
    <t>Dh. Meedhuffushi</t>
  </si>
  <si>
    <t xml:space="preserve">The St. Regis Vommuli Resort, Maldives </t>
  </si>
  <si>
    <t>Dh. Vommuli</t>
  </si>
  <si>
    <t xml:space="preserve">Maalifushi By Como </t>
  </si>
  <si>
    <t>Th. Male'fushi</t>
  </si>
  <si>
    <t>Six Senses Laamu</t>
  </si>
  <si>
    <t>L. Olhuveli</t>
  </si>
  <si>
    <t>L. Kuda Fares &amp; Fares</t>
  </si>
  <si>
    <t>G.A. Meradhoo</t>
  </si>
  <si>
    <t xml:space="preserve">Park Hyatt Maldives, Hadaha </t>
  </si>
  <si>
    <t>G.A. Hadahaa</t>
  </si>
  <si>
    <t>G.A. Maamutaa</t>
  </si>
  <si>
    <t>Robinson Club Maldives</t>
  </si>
  <si>
    <t>G.A. Funamauddua</t>
  </si>
  <si>
    <t>The Residence Maldives</t>
  </si>
  <si>
    <t>G.A. Falhumafushi</t>
  </si>
  <si>
    <t>G.A. Dhigurah</t>
  </si>
  <si>
    <t xml:space="preserve">Amari Havodda Maldives </t>
  </si>
  <si>
    <t>G.Dh. Havodda</t>
  </si>
  <si>
    <t>Ayada Maldives</t>
  </si>
  <si>
    <t>G.Dh. Magudhdhuva</t>
  </si>
  <si>
    <t xml:space="preserve">Outrigger Konotta Maldives Resort </t>
  </si>
  <si>
    <t>G.Dh. Konotta</t>
  </si>
  <si>
    <t>Canareef Resort Maldives</t>
  </si>
  <si>
    <t>S. Herethere</t>
  </si>
  <si>
    <t xml:space="preserve">Shangri - La's Villingili Resort &amp; Spa, Maldives </t>
  </si>
  <si>
    <t>S. Villingili</t>
  </si>
  <si>
    <t>S. Ismehelahera and Kedevaahera</t>
  </si>
  <si>
    <t>Manafaru</t>
  </si>
  <si>
    <t>Dhonakulhi</t>
  </si>
  <si>
    <t>Alidhoo</t>
  </si>
  <si>
    <t>Hondaafushi</t>
  </si>
  <si>
    <t>Gaakoshibee</t>
  </si>
  <si>
    <t>Vagaru</t>
  </si>
  <si>
    <t xml:space="preserve"> Island Name</t>
  </si>
  <si>
    <t>Randheli</t>
  </si>
  <si>
    <t>Kuredhivaru</t>
  </si>
  <si>
    <t>Kudafunafaru</t>
  </si>
  <si>
    <t>Orivaru</t>
  </si>
  <si>
    <t>Medhufaru</t>
  </si>
  <si>
    <t>Medhafushi</t>
  </si>
  <si>
    <t>Fushivelavaru</t>
  </si>
  <si>
    <t>Meedhupparu</t>
  </si>
  <si>
    <t>Huruvalhi</t>
  </si>
  <si>
    <t>Dhigali</t>
  </si>
  <si>
    <t>Fasmendhoo</t>
  </si>
  <si>
    <t>Faarufushi</t>
  </si>
  <si>
    <t>Furaveri</t>
  </si>
  <si>
    <t>Aarah</t>
  </si>
  <si>
    <t>Maamunagau</t>
  </si>
  <si>
    <t>Muravandhoo</t>
  </si>
  <si>
    <t>Kudafushi</t>
  </si>
  <si>
    <t>Filaidhoo</t>
  </si>
  <si>
    <t>Uthurumaafaru</t>
  </si>
  <si>
    <t>Kihavah Haruvalhi</t>
  </si>
  <si>
    <t>Dhunikolhu</t>
  </si>
  <si>
    <t>Dhigufaruvinagandu</t>
  </si>
  <si>
    <t xml:space="preserve">Dreamland - The Unique Sea &amp; Lake Resort / Spa </t>
  </si>
  <si>
    <t>Mudhdhoo</t>
  </si>
  <si>
    <t>Kanufushi</t>
  </si>
  <si>
    <t>Voavah</t>
  </si>
  <si>
    <t>Landaa Giraavaru</t>
  </si>
  <si>
    <t>Kihaadhuffaru</t>
  </si>
  <si>
    <t>Milaidhoo</t>
  </si>
  <si>
    <t>Fonimagoodhoo</t>
  </si>
  <si>
    <t>Horubadhoo</t>
  </si>
  <si>
    <t>Kunfunadhoo</t>
  </si>
  <si>
    <t>Thiladhoo</t>
  </si>
  <si>
    <t>Miriandhoo</t>
  </si>
  <si>
    <t>Vakkaru</t>
  </si>
  <si>
    <t>Kanifushi</t>
  </si>
  <si>
    <t>Ookolhu Finolhu</t>
  </si>
  <si>
    <t>Fushifaru</t>
  </si>
  <si>
    <t>Hurawalhi</t>
  </si>
  <si>
    <r>
      <t xml:space="preserve">No. of Beds in operation </t>
    </r>
    <r>
      <rPr>
        <b/>
        <vertAlign val="superscript"/>
        <sz val="10"/>
        <rFont val="Calibri"/>
        <family val="2"/>
        <scheme val="minor"/>
      </rPr>
      <t>1_/</t>
    </r>
  </si>
  <si>
    <t>Note:1_/: 2018 data revised</t>
  </si>
  <si>
    <t>ނޯޓް: /_1: 2018 ގެ މަޢުލޫމާތު އިސްލާޙުކުރެވިފައި</t>
  </si>
  <si>
    <r>
      <t xml:space="preserve">Registered Bed Capacity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</si>
  <si>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>Beds in
 operation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</si>
  <si>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2020</t>
  </si>
  <si>
    <t>Table 10.1 :   FLOW OF TOURISTS BY NATIONALITY, 2016 -  2020</t>
  </si>
  <si>
    <t>2020 - 2016 ,udwdwA egcnirevurutwf iawaejcaWr cnutogegukwtumuawq : 10.1 ulwvWt</t>
  </si>
  <si>
    <t>Table  10.2 :  TOTAL REGISTERED BED CAPACITY AND NUMBER OF ACCOMMODATION ESTABLISHMENTS, BY TYPE, 2012 - 2020 (end year)</t>
  </si>
  <si>
    <t>2020- 2012 ,udwdwA egunwt iaWawlcmuj egiawgWj egudnea WviawfcSokIrwTcsijwr cnutwvWb egunwtcnwt Wviawfihejwmwh cmWzitcnia egumubit cnirevurutwf : 10.2 ulwvWt</t>
  </si>
  <si>
    <t>Table  10.3: BED CAPACITY AND UTILIZATION BY MONTH,  2019 - 2020</t>
  </si>
  <si>
    <t>2020 - 2019  ,urwvcnim unuverukcnunEb wgWjegudnea iaWa wgWj egudnea uhwmcswmikea : 10.3 ulwvWt</t>
  </si>
  <si>
    <t>Table  10.4: BED CAPACITY AND UTILIZATION OF RESORTS BY MONTH,  2019 - 2020</t>
  </si>
  <si>
    <t>2020 - 2019  ,urwvcnim unuverukcnunEb wgWjegudnea iaWa wgWj egudnea egukwtuTOsir uhwmcswmikea : 10.4 ulwvWt</t>
  </si>
  <si>
    <t>2020 - 2019  ,urwvcnim unuverukcnunEb wgWjegudnea iaWa wgWj egudnea egukwtWToh uhwmcswmikea : 10.5 ulwvWt</t>
  </si>
  <si>
    <t>Table  10.5: BED CAPACITY AND UTILIZATION OF HOTELS BY MONTH,  2019 - 2020</t>
  </si>
  <si>
    <t>2020 - 2019  ,urwvcnim unuverukcnunEb wgWjegudnea iaWa wgWj egudnea egukwtcsuawhcTcseg uhwmcswmikea : 10.6 ulwvWt</t>
  </si>
  <si>
    <t>Table  10.6: BED CAPACITY AND UTILIZATION OF GUEST HOUSES BY MONTH,  2019 - 2020</t>
  </si>
  <si>
    <t>Table  10.7: BED CAPACITY AND UTILIZATION OF SAFARI VESSELS BY MONTH,  2019 - 2020</t>
  </si>
  <si>
    <t>2020 - 2019  ,urwvcnim unuverukcnunEb wgWj egudnea iaWa wgWj eg udnea egukwtudnwLua IrWfws uhwmcswmikea : 10.7 ulwvWt</t>
  </si>
  <si>
    <t>TABLE 10.8: MONTHLY ARRIVAL OF TOURISTS  BY SEX, 2015 - 2020</t>
  </si>
  <si>
    <t>ތާވަލު 10.8: ޖިންސުގެ ގޮތުން އެކިމަސްމަހު ރާއްޖެއައި ފަތުރުވެރިންގެ އަދަދު،  2015 - 2020</t>
  </si>
  <si>
    <t>2019-2020</t>
  </si>
  <si>
    <t xml:space="preserve">Table 10.9: TOURIST ARRIVALS,AND TOURIST BED-NIGHTS BY MONTH,  2017 - 2020
</t>
  </si>
  <si>
    <t>2020 - 2017 , udwdwA egEr irukwdEh cnirevurutwf iaWrwviawa cnirevurutwf iawguhwmcswmikea : 10.9 ulwvWt</t>
  </si>
  <si>
    <t>Table 10.11 :   MONTHLY DISTRIBUTION OF TOURIST ARRIVALS BY NATIONALITY, 2020</t>
  </si>
  <si>
    <t>2020 udwdwA egcnirevurutwf iawaejcaWr cnutogegukwtumuawq uhwmcswmikea : 10.11 ulwvWt</t>
  </si>
  <si>
    <t>in 2020</t>
  </si>
  <si>
    <t>Table 10.12 :   BED CAPACITY OF TOURIST RESORTS BY ATOLL, 2013 - 2020</t>
  </si>
  <si>
    <t>ތާވަލު 10.12: ރިސޯޓުތަކުގެ އެނދުގެ ޖާގަ އަތޮޅުތަކަށް ބެހިފައިވާ ގޮތް، 2013 - 2020</t>
  </si>
  <si>
    <t>Table 10.13 :   MONTHLY DISTRIBUTION OF TOURIST ARRIVALS BY NATIONALITY, 2020</t>
  </si>
  <si>
    <t>ތާވަލު 10.13: ޤައުމުތަކުގެ ގޮތުން ރާއްޖެއައި ފަތުރުވެރިންގެ ޢަދަދު، މަސްމަހުގެ ގޮތުން، 2020</t>
  </si>
  <si>
    <t>ތާވަލު 10.14: ރިސޯޓްތަކުގެ އެނދުގެ ޖާގައާއި ބައިނަލްއަޤަވާމީ ވައިގެ ބަނދަރާއިހުރި ދުރުމިން،  2013 - 2020</t>
  </si>
  <si>
    <t>Table 10.14   BED CAPACITY OF TOURIST RESORTS AND THE DISTANCE FROM MALE' INTERNATIONAL AIRPORT, 2013 - 2020</t>
  </si>
  <si>
    <r>
      <t>Milandhoo</t>
    </r>
    <r>
      <rPr>
        <vertAlign val="superscript"/>
        <sz val="10"/>
        <color indexed="8"/>
        <rFont val="Calibri"/>
        <family val="2"/>
      </rPr>
      <t/>
    </r>
  </si>
  <si>
    <r>
      <t>Finolhas</t>
    </r>
    <r>
      <rPr>
        <vertAlign val="superscript"/>
        <sz val="9"/>
        <rFont val="Calibri"/>
        <family val="2"/>
      </rPr>
      <t>1_/</t>
    </r>
  </si>
  <si>
    <r>
      <t>Koodoo</t>
    </r>
    <r>
      <rPr>
        <vertAlign val="superscript"/>
        <sz val="9"/>
        <rFont val="Calibri"/>
        <family val="2"/>
      </rPr>
      <t>1_/</t>
    </r>
  </si>
  <si>
    <r>
      <t>Gan</t>
    </r>
    <r>
      <rPr>
        <vertAlign val="superscript"/>
        <sz val="9"/>
        <rFont val="Calibri"/>
        <family val="2"/>
      </rPr>
      <t>1_/</t>
    </r>
  </si>
  <si>
    <t>Note: 1_/: Uninhabited islands</t>
  </si>
  <si>
    <t xml:space="preserve">Table 10.15: Tourist Establishments  Distribution by Island, Dec 2020 end </t>
  </si>
  <si>
    <t xml:space="preserve">Brennia Kottefaru  </t>
  </si>
  <si>
    <t>Kottefaru</t>
  </si>
  <si>
    <t xml:space="preserve">Bolifushi Island Resort </t>
  </si>
  <si>
    <t>Kagi Maldives Spa Island</t>
  </si>
  <si>
    <t>K. Kagi</t>
  </si>
  <si>
    <t>Innahuraa</t>
  </si>
  <si>
    <t>Varu Island Resort</t>
  </si>
  <si>
    <t xml:space="preserve">W Maldives </t>
  </si>
  <si>
    <t xml:space="preserve">Radisson Blu Resort Maldives </t>
  </si>
  <si>
    <t>A.Dh. Huruelhi</t>
  </si>
  <si>
    <t xml:space="preserve">Maafushivaru Maldives </t>
  </si>
  <si>
    <t>Raffles Maldives Meradhoo Resort</t>
  </si>
  <si>
    <t>May, June and July 2020, Average Duration of Stay is based on estimated number of tourists in the Maldives.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</si>
  <si>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</si>
  <si>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</si>
  <si>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2023 - 2010 ,ctwbcsin egInwdcmWa iaWdwrwK egWriaWd egumwkirevurutwf cniaeret eguTejwb egurWkurws : 10.10 ulwvWt</t>
  </si>
  <si>
    <t xml:space="preserve">     (In Million MVR)</t>
  </si>
  <si>
    <t>Particulars</t>
  </si>
  <si>
    <t>Actual</t>
  </si>
  <si>
    <t>Revised</t>
  </si>
  <si>
    <t>Estimate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</si>
  <si>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</si>
  <si>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</si>
  <si>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</si>
  <si>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</si>
  <si>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</si>
  <si>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</si>
  <si>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</si>
  <si>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</si>
  <si>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</si>
  <si>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</si>
  <si>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</si>
  <si>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</si>
  <si>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</si>
  <si>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</si>
  <si>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</si>
  <si>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</si>
  <si>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</si>
  <si>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</si>
  <si>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</si>
  <si>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</si>
  <si>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Note: </t>
  </si>
  <si>
    <t xml:space="preserve"> * Tourism Revenue: 2010 onwards the figures include Tourism tax, and Resort lease rent (Resort kuli) </t>
  </si>
  <si>
    <t xml:space="preserve"> * 2011 onwards Tourism Goods and Services tax has been included in Total Revenue</t>
  </si>
  <si>
    <t>* 2012 onwards lease period Extension fee has been included in Total Revenue</t>
  </si>
  <si>
    <t>* Tourism Tax was abolished in Nov 2014</t>
  </si>
  <si>
    <t>* Green tax introduced in Nov 2015</t>
  </si>
  <si>
    <t>* TGST rate was increased from 8% to 12% starting Nov 2014</t>
  </si>
  <si>
    <t>* lease period extension fee (consession fee for upto 50 years) was started in mid 2014 after a court ruling. LPEF will be paid in 6 installments, most of which fall for 2015. The last payment will be in March 2016.</t>
  </si>
  <si>
    <t>* Resort lease rent for 2015 - 2017 includes the amount for new revenue measures in budget 2015</t>
  </si>
  <si>
    <t>* Resort lease rent for 2016 - 2018 includes the amount for new revenue measures in budget 2016</t>
  </si>
  <si>
    <t>Source: Ministry of Finance and Treasury</t>
  </si>
  <si>
    <t xml:space="preserve">Table  10.10 : PROPORTION OF TOURISM REVENUE AND EXPENDITURE TO CENTRAL GOVERNMENT BUDGET, 2010 - 2020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</si>
</sst>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_(* #,##0.00_);_(* \(#,##0.00\);_(* &quot;-&quot;??_);_(@_)"/>
    <numFmt numFmtId="165" formatCode="0.0"/>
    <numFmt numFmtId="166" formatCode="#,##0;[Red]#,##0"/>
    <numFmt numFmtId="167" formatCode="_(* #,##0_);_(* \(#,##0\);_(* &quot;-&quot;??_);_(@_)"/>
    <numFmt numFmtId="168" formatCode="#,##0.0"/>
    <numFmt numFmtId="169" formatCode="[$-409]mmm\-yy;@"/>
    <numFmt numFmtId="170" formatCode="General_)"/>
    <numFmt numFmtId="171" formatCode="#,##0.0_);\(#,##0.0\)"/>
    <numFmt numFmtId="172" formatCode="0.00_)"/>
    <numFmt numFmtId="173" formatCode="_(* #,##0.0_);_(* \(#,##0.0\);_(* &quot;-&quot;??_);_(@_)"/>
    <numFmt numFmtId="174" formatCode="0_);\(0\)"/>
    <numFmt numFmtId="175" formatCode="0.0%"/>
    <numFmt numFmtId="176" formatCode="_(* #,##0.0_);_(* \(#,##0.0\);_(* &quot;-&quot;?_);_(@_)"/>
  </numFmts>
  <fonts count="1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b/>
      <sz val="11"/>
      <name val="A_Utheem"/>
    </font>
    <font>
      <b/>
      <sz val="12"/>
      <name val="A_Utheem"/>
    </font>
    <font>
      <b/>
      <sz val="9.5"/>
      <name val="A_Randhoo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9.5"/>
      <name val="Faruma"/>
    </font>
    <font>
      <sz val="9.5"/>
      <name val="A_Randhoo"/>
    </font>
    <font>
      <b/>
      <vertAlign val="superscript"/>
      <sz val="10"/>
      <name val="Calibri"/>
      <family val="2"/>
      <scheme val="minor"/>
    </font>
    <font>
      <b/>
      <sz val="10"/>
      <color theme="1"/>
      <name val="Faruma"/>
    </font>
    <font>
      <b/>
      <sz val="9.5"/>
      <name val="Faruma"/>
    </font>
    <font>
      <sz val="10"/>
      <name val="A_Randhoo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  <font>
      <i/>
      <sz val="9"/>
      <name val="Arial"/>
      <family val="2"/>
    </font>
    <font>
      <sz val="9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_Randho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Faruma"/>
    </font>
    <font>
      <sz val="9"/>
      <color theme="1"/>
      <name val="A_Randhoo"/>
    </font>
    <font>
      <sz val="10"/>
      <name val="Courier"/>
      <family val="3"/>
    </font>
    <font>
      <b/>
      <sz val="11"/>
      <name val="A_Randhoo"/>
    </font>
    <font>
      <b/>
      <sz val="12"/>
      <color theme="1"/>
      <name val="A_Utheem"/>
    </font>
    <font>
      <b/>
      <sz val="9.5"/>
      <color theme="1"/>
      <name val="Faruma"/>
    </font>
    <font>
      <sz val="9"/>
      <color theme="1"/>
      <name val="Faruma"/>
    </font>
    <font>
      <i/>
      <sz val="9"/>
      <color theme="1"/>
      <name val="Arial"/>
      <family val="2"/>
    </font>
    <font>
      <b/>
      <sz val="9"/>
      <name val="Arial"/>
      <family val="2"/>
    </font>
    <font>
      <sz val="9"/>
      <name val="Faruma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b/>
      <sz val="11"/>
      <name val="Faruma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u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0"/>
      <color indexed="8"/>
      <name val="Calibri"/>
      <family val="2"/>
    </font>
    <font>
      <b/>
      <sz val="8"/>
      <name val="Calibri"/>
      <family val="2"/>
      <scheme val="minor"/>
    </font>
    <font>
      <b/>
      <sz val="9"/>
      <name val="A_Faseyha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  <font>
      <b/>
      <sz val="11"/>
      <name val="A_Faseyha"/>
    </font>
    <font>
      <b/>
      <sz val="9.5"/>
      <name val="A_Faseyha"/>
    </font>
    <font>
      <sz val="9.5"/>
      <name val="A_Faseyha"/>
    </font>
    <font>
      <b/>
      <sz val="10"/>
      <color theme="1"/>
      <name val="A_Faseyha"/>
    </font>
    <font>
      <b/>
      <sz val="12"/>
      <color theme="1"/>
      <name val="A_Faseyha"/>
    </font>
    <font>
      <sz val="9"/>
      <color theme="1"/>
      <name val="A_Faseyha"/>
    </font>
    <font>
      <sz val="8"/>
      <color theme="1"/>
      <name val="A_Faseyha"/>
    </font>
    <font>
      <sz val="8"/>
      <name val="A_Faseyha"/>
    </font>
    <font>
      <b/>
      <sz val="9"/>
      <color theme="1"/>
      <name val="A_Faseyha"/>
    </font>
    <font>
      <sz val="10"/>
      <color theme="1"/>
      <name val="A_Faseyha"/>
    </font>
    <font>
      <i/>
      <sz val="9"/>
      <name val="A_Faseyha"/>
    </font>
    <font>
      <sz val="11"/>
      <color rgb="FFFF0000"/>
      <name val="Calibri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b/>
      <vertAlign val="superscript"/>
      <sz val="10"/>
      <color theme="1"/>
      <name val="Calibri"/>
      <family val="2"/>
      <scheme val="minor"/>
    </font>
    <font>
      <sz val="9"/>
      <color rgb="FFFF0000"/>
      <name val="Arial"/>
      <family val="2"/>
    </font>
    <font>
      <sz val="9"/>
      <color rgb="FFFF0000"/>
      <name val="A_Randhoo"/>
    </font>
    <font>
      <sz val="9"/>
      <color rgb="FFFF0000"/>
      <name val="Faruma"/>
    </font>
    <font>
      <sz val="9"/>
      <color rgb="FFFF0000"/>
      <name val="A_Faseyha"/>
    </font>
    <font>
      <sz val="11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Roboto Condensed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FFFFFF"/>
      </left>
      <right/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/>
      <bottom style="thin">
        <color rgb="FFFFFFFF"/>
      </bottom>
      <diagonal/>
    </border>
    <border>
      <left style="hair">
        <color rgb="FFFFFFFF"/>
      </left>
      <right/>
      <top style="thin">
        <color rgb="FFFFFFFF"/>
      </top>
      <bottom/>
      <diagonal/>
    </border>
    <border>
      <left style="hair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theme="0"/>
      </top>
      <bottom/>
      <diagonal/>
    </border>
  </borders>
  <cellStyleXfs count="2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0" fontId="7" fillId="0" borderId="0"/>
    <xf numFmtId="9" fontId="7" fillId="0" borderId="0" applyFont="0" applyFill="0" applyBorder="0" applyAlignment="0" applyProtection="0"/>
    <xf numFmtId="0" fontId="57" fillId="0" borderId="0"/>
    <xf numFmtId="0" fontId="57" fillId="0" borderId="0"/>
    <xf numFmtId="0" fontId="7" fillId="0" borderId="0"/>
    <xf numFmtId="0" fontId="70" fillId="0" borderId="0"/>
    <xf numFmtId="0" fontId="7" fillId="0" borderId="0"/>
    <xf numFmtId="164" fontId="7" fillId="0" borderId="0" applyFont="0" applyFill="0" applyBorder="0" applyAlignment="0" applyProtection="0"/>
    <xf numFmtId="172" fontId="71" fillId="0" borderId="0"/>
    <xf numFmtId="1" fontId="72" fillId="0" borderId="62" applyNumberFormat="0"/>
    <xf numFmtId="0" fontId="7" fillId="0" borderId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70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6" fillId="0" borderId="0"/>
    <xf numFmtId="40" fontId="16" fillId="0" borderId="0" applyFont="0" applyFill="0" applyBorder="0" applyAlignment="0" applyProtection="0"/>
    <xf numFmtId="0" fontId="16" fillId="0" borderId="0"/>
    <xf numFmtId="0" fontId="73" fillId="0" borderId="0"/>
    <xf numFmtId="0" fontId="7" fillId="0" borderId="0"/>
    <xf numFmtId="0" fontId="57" fillId="0" borderId="0"/>
  </cellStyleXfs>
  <cellXfs count="924">
    <xf numFmtId="0" fontId="0" fillId="0" borderId="0" xfId="0"/>
    <xf numFmtId="0" fontId="4" fillId="2" borderId="0" xfId="0" applyFont="1" applyFill="1"/>
    <xf numFmtId="0" fontId="0" fillId="2" borderId="0" xfId="0" applyFill="1"/>
    <xf numFmtId="0" fontId="6" fillId="2" borderId="0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>
      <alignment vertical="center"/>
    </xf>
    <xf numFmtId="0" fontId="7" fillId="2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49" fontId="10" fillId="2" borderId="13" xfId="0" applyNumberFormat="1" applyFont="1" applyFill="1" applyBorder="1" applyAlignment="1" applyProtection="1">
      <alignment horizontal="right" vertical="center"/>
    </xf>
    <xf numFmtId="0" fontId="10" fillId="2" borderId="12" xfId="0" applyFont="1" applyFill="1" applyBorder="1" applyAlignment="1" applyProtection="1">
      <alignment horizontal="right" vertical="center"/>
    </xf>
    <xf numFmtId="0" fontId="10" fillId="2" borderId="7" xfId="0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0" fontId="6" fillId="2" borderId="0" xfId="0" applyFont="1" applyFill="1"/>
    <xf numFmtId="0" fontId="11" fillId="2" borderId="0" xfId="0" applyFont="1" applyFill="1" applyBorder="1" applyAlignment="1" applyProtection="1">
      <alignment horizontal="left" vertical="center"/>
    </xf>
    <xf numFmtId="3" fontId="11" fillId="2" borderId="0" xfId="0" applyNumberFormat="1" applyFont="1" applyFill="1" applyBorder="1" applyAlignment="1" applyProtection="1">
      <alignment vertical="center"/>
    </xf>
    <xf numFmtId="3" fontId="11" fillId="2" borderId="14" xfId="0" applyNumberFormat="1" applyFont="1" applyFill="1" applyBorder="1" applyAlignment="1" applyProtection="1">
      <alignment vertical="center"/>
    </xf>
    <xf numFmtId="3" fontId="11" fillId="2" borderId="0" xfId="0" applyNumberFormat="1" applyFont="1" applyFill="1" applyBorder="1" applyAlignment="1">
      <alignment vertical="center"/>
    </xf>
    <xf numFmtId="3" fontId="11" fillId="2" borderId="14" xfId="0" applyNumberFormat="1" applyFont="1" applyFill="1" applyBorder="1" applyAlignment="1">
      <alignment vertical="center"/>
    </xf>
    <xf numFmtId="165" fontId="11" fillId="2" borderId="0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166" fontId="6" fillId="2" borderId="0" xfId="0" applyNumberFormat="1" applyFont="1" applyFill="1"/>
    <xf numFmtId="165" fontId="11" fillId="2" borderId="14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horizontal="right" vertical="center"/>
    </xf>
    <xf numFmtId="167" fontId="13" fillId="2" borderId="15" xfId="1" applyNumberFormat="1" applyFont="1" applyFill="1" applyBorder="1" applyAlignment="1" applyProtection="1">
      <alignment horizontal="left" vertical="center"/>
    </xf>
    <xf numFmtId="166" fontId="13" fillId="2" borderId="0" xfId="1" applyNumberFormat="1" applyFont="1" applyFill="1" applyBorder="1" applyAlignment="1">
      <alignment vertical="center"/>
    </xf>
    <xf numFmtId="166" fontId="13" fillId="2" borderId="14" xfId="1" applyNumberFormat="1" applyFont="1" applyFill="1" applyBorder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13" fillId="2" borderId="14" xfId="0" applyNumberFormat="1" applyFont="1" applyFill="1" applyBorder="1" applyAlignment="1">
      <alignment vertical="center"/>
    </xf>
    <xf numFmtId="167" fontId="11" fillId="2" borderId="16" xfId="1" applyNumberFormat="1" applyFont="1" applyFill="1" applyBorder="1" applyAlignment="1" applyProtection="1">
      <alignment horizontal="left" vertical="center"/>
    </xf>
    <xf numFmtId="166" fontId="11" fillId="2" borderId="0" xfId="1" applyNumberFormat="1" applyFont="1" applyFill="1" applyBorder="1" applyAlignment="1" applyProtection="1">
      <alignment horizontal="right" vertical="center"/>
    </xf>
    <xf numFmtId="166" fontId="11" fillId="2" borderId="14" xfId="1" applyNumberFormat="1" applyFont="1" applyFill="1" applyBorder="1" applyAlignment="1" applyProtection="1">
      <alignment horizontal="right" vertical="center"/>
    </xf>
    <xf numFmtId="165" fontId="13" fillId="2" borderId="17" xfId="0" applyNumberFormat="1" applyFont="1" applyFill="1" applyBorder="1" applyAlignment="1">
      <alignment vertical="center"/>
    </xf>
    <xf numFmtId="166" fontId="15" fillId="2" borderId="18" xfId="1" applyNumberFormat="1" applyFont="1" applyFill="1" applyBorder="1" applyAlignment="1">
      <alignment vertical="center"/>
    </xf>
    <xf numFmtId="167" fontId="15" fillId="2" borderId="15" xfId="1" applyNumberFormat="1" applyFont="1" applyFill="1" applyBorder="1" applyAlignment="1" applyProtection="1">
      <alignment horizontal="left" vertical="center"/>
    </xf>
    <xf numFmtId="166" fontId="0" fillId="2" borderId="0" xfId="0" applyNumberFormat="1" applyFill="1"/>
    <xf numFmtId="167" fontId="13" fillId="2" borderId="19" xfId="1" applyNumberFormat="1" applyFont="1" applyFill="1" applyBorder="1" applyAlignment="1" applyProtection="1">
      <alignment horizontal="left" vertical="center"/>
    </xf>
    <xf numFmtId="167" fontId="13" fillId="2" borderId="0" xfId="1" applyNumberFormat="1" applyFont="1" applyFill="1" applyBorder="1" applyAlignment="1" applyProtection="1">
      <alignment horizontal="left" vertical="center"/>
    </xf>
    <xf numFmtId="0" fontId="14" fillId="2" borderId="0" xfId="3" applyFont="1" applyFill="1" applyBorder="1" applyAlignment="1">
      <alignment vertical="center"/>
    </xf>
    <xf numFmtId="0" fontId="0" fillId="2" borderId="0" xfId="0" applyFill="1" applyBorder="1"/>
    <xf numFmtId="0" fontId="6" fillId="2" borderId="0" xfId="0" applyFont="1" applyFill="1" applyBorder="1"/>
    <xf numFmtId="166" fontId="13" fillId="2" borderId="20" xfId="1" applyNumberFormat="1" applyFont="1" applyFill="1" applyBorder="1" applyAlignment="1" applyProtection="1">
      <alignment horizontal="right" vertical="center"/>
    </xf>
    <xf numFmtId="166" fontId="13" fillId="2" borderId="21" xfId="1" applyNumberFormat="1" applyFont="1" applyFill="1" applyBorder="1" applyAlignment="1" applyProtection="1">
      <alignment horizontal="right" vertical="center"/>
    </xf>
    <xf numFmtId="166" fontId="13" fillId="2" borderId="16" xfId="1" applyNumberFormat="1" applyFont="1" applyFill="1" applyBorder="1" applyAlignment="1" applyProtection="1">
      <alignment horizontal="right" vertical="center"/>
    </xf>
    <xf numFmtId="167" fontId="11" fillId="2" borderId="11" xfId="1" applyNumberFormat="1" applyFont="1" applyFill="1" applyBorder="1" applyAlignment="1" applyProtection="1">
      <alignment horizontal="left" vertical="center"/>
    </xf>
    <xf numFmtId="166" fontId="13" fillId="2" borderId="22" xfId="1" applyNumberFormat="1" applyFont="1" applyFill="1" applyBorder="1" applyAlignment="1" applyProtection="1">
      <alignment horizontal="right" vertical="center"/>
    </xf>
    <xf numFmtId="166" fontId="13" fillId="2" borderId="11" xfId="1" applyNumberFormat="1" applyFont="1" applyFill="1" applyBorder="1" applyAlignment="1">
      <alignment vertical="center"/>
    </xf>
    <xf numFmtId="166" fontId="13" fillId="2" borderId="7" xfId="1" applyNumberFormat="1" applyFont="1" applyFill="1" applyBorder="1" applyAlignment="1">
      <alignment vertical="center"/>
    </xf>
    <xf numFmtId="166" fontId="13" fillId="2" borderId="23" xfId="1" applyNumberFormat="1" applyFont="1" applyFill="1" applyBorder="1" applyAlignment="1" applyProtection="1">
      <alignment horizontal="right" vertical="center"/>
    </xf>
    <xf numFmtId="165" fontId="13" fillId="2" borderId="11" xfId="0" applyNumberFormat="1" applyFont="1" applyFill="1" applyBorder="1" applyAlignment="1">
      <alignment vertical="center"/>
    </xf>
    <xf numFmtId="165" fontId="13" fillId="2" borderId="7" xfId="0" applyNumberFormat="1" applyFont="1" applyFill="1" applyBorder="1" applyAlignment="1">
      <alignment vertical="center"/>
    </xf>
    <xf numFmtId="166" fontId="13" fillId="2" borderId="11" xfId="1" applyNumberFormat="1" applyFont="1" applyFill="1" applyBorder="1" applyAlignment="1" applyProtection="1">
      <alignment horizontal="right" vertical="center"/>
    </xf>
    <xf numFmtId="0" fontId="17" fillId="2" borderId="0" xfId="0" applyFont="1" applyFill="1" applyAlignment="1" applyProtection="1">
      <alignment horizontal="left" vertical="center"/>
    </xf>
    <xf numFmtId="37" fontId="18" fillId="2" borderId="0" xfId="0" applyNumberFormat="1" applyFont="1" applyFill="1" applyAlignment="1" applyProtection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66" fontId="15" fillId="2" borderId="0" xfId="1" applyNumberFormat="1" applyFont="1" applyFill="1" applyBorder="1" applyAlignment="1">
      <alignment vertical="center"/>
    </xf>
    <xf numFmtId="0" fontId="22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center"/>
    </xf>
    <xf numFmtId="0" fontId="10" fillId="2" borderId="12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0" fontId="15" fillId="2" borderId="0" xfId="0" applyFont="1" applyFill="1"/>
    <xf numFmtId="0" fontId="10" fillId="2" borderId="0" xfId="0" applyFont="1" applyFill="1" applyBorder="1" applyAlignment="1">
      <alignment vertical="center" wrapText="1"/>
    </xf>
    <xf numFmtId="3" fontId="10" fillId="2" borderId="0" xfId="0" applyNumberFormat="1" applyFont="1" applyFill="1" applyBorder="1" applyAlignment="1">
      <alignment vertical="center" wrapText="1"/>
    </xf>
    <xf numFmtId="0" fontId="23" fillId="2" borderId="0" xfId="0" applyFont="1" applyFill="1" applyBorder="1" applyAlignment="1">
      <alignment horizontal="right" vertical="center" wrapText="1"/>
    </xf>
    <xf numFmtId="0" fontId="18" fillId="2" borderId="0" xfId="0" applyFont="1" applyFill="1"/>
    <xf numFmtId="3" fontId="8" fillId="2" borderId="0" xfId="0" applyNumberFormat="1" applyFont="1" applyFill="1" applyBorder="1" applyAlignment="1" applyProtection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3" fontId="24" fillId="2" borderId="0" xfId="0" applyNumberFormat="1" applyFont="1" applyFill="1"/>
    <xf numFmtId="3" fontId="25" fillId="2" borderId="0" xfId="0" applyNumberFormat="1" applyFont="1" applyFill="1" applyBorder="1" applyAlignment="1" applyProtection="1">
      <alignment horizontal="right" vertical="center"/>
    </xf>
    <xf numFmtId="0" fontId="23" fillId="2" borderId="0" xfId="0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 indent="1"/>
    </xf>
    <xf numFmtId="3" fontId="15" fillId="2" borderId="0" xfId="0" applyNumberFormat="1" applyFont="1" applyFill="1" applyBorder="1" applyAlignment="1" applyProtection="1">
      <alignment vertical="center"/>
      <protection locked="0"/>
    </xf>
    <xf numFmtId="3" fontId="24" fillId="2" borderId="0" xfId="0" applyNumberFormat="1" applyFont="1" applyFill="1" applyBorder="1" applyAlignment="1" applyProtection="1">
      <alignment vertical="center"/>
      <protection locked="0"/>
    </xf>
    <xf numFmtId="3" fontId="26" fillId="2" borderId="0" xfId="0" applyNumberFormat="1" applyFont="1" applyFill="1" applyBorder="1" applyAlignment="1" applyProtection="1">
      <alignment vertical="center"/>
      <protection locked="0"/>
    </xf>
    <xf numFmtId="3" fontId="27" fillId="2" borderId="0" xfId="0" applyNumberFormat="1" applyFont="1" applyFill="1" applyBorder="1" applyAlignment="1" applyProtection="1">
      <alignment vertical="center"/>
      <protection locked="0"/>
    </xf>
    <xf numFmtId="3" fontId="28" fillId="2" borderId="0" xfId="0" applyNumberFormat="1" applyFont="1" applyFill="1" applyBorder="1" applyAlignment="1" applyProtection="1">
      <alignment vertical="center"/>
      <protection locked="0"/>
    </xf>
    <xf numFmtId="3" fontId="27" fillId="2" borderId="0" xfId="0" applyNumberFormat="1" applyFont="1" applyFill="1" applyAlignment="1">
      <alignment vertical="center"/>
    </xf>
    <xf numFmtId="0" fontId="29" fillId="2" borderId="0" xfId="0" applyFont="1" applyFill="1" applyBorder="1" applyAlignment="1">
      <alignment horizontal="right" vertical="center" indent="1"/>
    </xf>
    <xf numFmtId="9" fontId="30" fillId="2" borderId="0" xfId="2" applyFont="1" applyFill="1" applyBorder="1" applyAlignment="1">
      <alignment horizontal="right" vertical="center"/>
    </xf>
    <xf numFmtId="3" fontId="30" fillId="2" borderId="0" xfId="0" applyNumberFormat="1" applyFont="1" applyFill="1" applyBorder="1" applyAlignment="1">
      <alignment horizontal="right" vertical="center"/>
    </xf>
    <xf numFmtId="0" fontId="30" fillId="2" borderId="0" xfId="0" applyFont="1" applyFill="1" applyBorder="1" applyAlignment="1">
      <alignment horizontal="right" vertical="center"/>
    </xf>
    <xf numFmtId="2" fontId="18" fillId="2" borderId="0" xfId="0" applyNumberFormat="1" applyFont="1" applyFill="1"/>
    <xf numFmtId="3" fontId="24" fillId="2" borderId="0" xfId="0" applyNumberFormat="1" applyFont="1" applyFill="1" applyBorder="1" applyAlignment="1" applyProtection="1">
      <alignment horizontal="right" vertical="center"/>
      <protection locked="0"/>
    </xf>
    <xf numFmtId="3" fontId="27" fillId="2" borderId="0" xfId="0" applyNumberFormat="1" applyFont="1" applyFill="1"/>
    <xf numFmtId="0" fontId="30" fillId="2" borderId="0" xfId="0" applyFont="1" applyFill="1" applyBorder="1" applyAlignment="1">
      <alignment horizontal="right" vertical="center" indent="1"/>
    </xf>
    <xf numFmtId="3" fontId="15" fillId="2" borderId="0" xfId="0" applyNumberFormat="1" applyFont="1" applyFill="1" applyBorder="1" applyAlignment="1" applyProtection="1">
      <alignment horizontal="right" vertical="center"/>
      <protection locked="0"/>
    </xf>
    <xf numFmtId="3" fontId="27" fillId="2" borderId="0" xfId="0" applyNumberFormat="1" applyFont="1" applyFill="1" applyBorder="1" applyAlignment="1" applyProtection="1">
      <alignment horizontal="right" vertical="center"/>
      <protection locked="0"/>
    </xf>
    <xf numFmtId="0" fontId="24" fillId="2" borderId="24" xfId="0" applyFont="1" applyFill="1" applyBorder="1" applyAlignment="1" applyProtection="1">
      <alignment horizontal="left" vertical="center" indent="1"/>
    </xf>
    <xf numFmtId="3" fontId="15" fillId="2" borderId="24" xfId="0" applyNumberFormat="1" applyFont="1" applyFill="1" applyBorder="1" applyAlignment="1" applyProtection="1">
      <alignment horizontal="right" vertical="center"/>
      <protection locked="0"/>
    </xf>
    <xf numFmtId="3" fontId="24" fillId="2" borderId="24" xfId="0" applyNumberFormat="1" applyFont="1" applyFill="1" applyBorder="1" applyAlignment="1" applyProtection="1">
      <alignment horizontal="right" vertical="center"/>
      <protection locked="0"/>
    </xf>
    <xf numFmtId="3" fontId="24" fillId="2" borderId="24" xfId="0" applyNumberFormat="1" applyFont="1" applyFill="1" applyBorder="1"/>
    <xf numFmtId="3" fontId="24" fillId="2" borderId="24" xfId="0" applyNumberFormat="1" applyFont="1" applyFill="1" applyBorder="1" applyAlignment="1" applyProtection="1">
      <alignment vertical="center"/>
      <protection locked="0"/>
    </xf>
    <xf numFmtId="3" fontId="27" fillId="2" borderId="24" xfId="0" applyNumberFormat="1" applyFont="1" applyFill="1" applyBorder="1" applyAlignment="1" applyProtection="1">
      <alignment vertical="center"/>
      <protection locked="0"/>
    </xf>
    <xf numFmtId="3" fontId="27" fillId="2" borderId="24" xfId="0" applyNumberFormat="1" applyFont="1" applyFill="1" applyBorder="1" applyAlignment="1" applyProtection="1">
      <alignment horizontal="right" vertical="center"/>
      <protection locked="0"/>
    </xf>
    <xf numFmtId="3" fontId="27" fillId="2" borderId="24" xfId="0" applyNumberFormat="1" applyFont="1" applyFill="1" applyBorder="1" applyAlignment="1">
      <alignment vertical="center"/>
    </xf>
    <xf numFmtId="0" fontId="18" fillId="2" borderId="0" xfId="0" applyFont="1" applyFill="1" applyBorder="1"/>
    <xf numFmtId="37" fontId="32" fillId="2" borderId="0" xfId="0" applyNumberFormat="1" applyFont="1" applyFill="1" applyBorder="1" applyAlignment="1" applyProtection="1">
      <alignment horizontal="right" vertical="center" wrapText="1"/>
    </xf>
    <xf numFmtId="3" fontId="27" fillId="2" borderId="0" xfId="4" applyNumberFormat="1" applyFont="1" applyFill="1" applyBorder="1" applyAlignment="1" applyProtection="1">
      <alignment horizontal="right" vertical="center"/>
      <protection locked="0"/>
    </xf>
    <xf numFmtId="0" fontId="24" fillId="2" borderId="11" xfId="0" applyFont="1" applyFill="1" applyBorder="1" applyAlignment="1" applyProtection="1">
      <alignment horizontal="left" vertical="center" indent="1"/>
    </xf>
    <xf numFmtId="3" fontId="15" fillId="2" borderId="11" xfId="0" applyNumberFormat="1" applyFont="1" applyFill="1" applyBorder="1" applyAlignment="1" applyProtection="1">
      <alignment horizontal="right" vertical="center"/>
      <protection locked="0"/>
    </xf>
    <xf numFmtId="3" fontId="24" fillId="2" borderId="11" xfId="0" applyNumberFormat="1" applyFont="1" applyFill="1" applyBorder="1" applyAlignment="1" applyProtection="1">
      <alignment horizontal="right" vertical="center"/>
      <protection locked="0"/>
    </xf>
    <xf numFmtId="3" fontId="24" fillId="2" borderId="11" xfId="0" applyNumberFormat="1" applyFont="1" applyFill="1" applyBorder="1"/>
    <xf numFmtId="3" fontId="24" fillId="2" borderId="11" xfId="0" applyNumberFormat="1" applyFont="1" applyFill="1" applyBorder="1" applyAlignment="1" applyProtection="1">
      <alignment vertical="center"/>
      <protection locked="0"/>
    </xf>
    <xf numFmtId="3" fontId="27" fillId="2" borderId="11" xfId="4" applyNumberFormat="1" applyFont="1" applyFill="1" applyBorder="1" applyAlignment="1" applyProtection="1">
      <alignment horizontal="right" vertical="center"/>
      <protection locked="0"/>
    </xf>
    <xf numFmtId="3" fontId="27" fillId="2" borderId="11" xfId="0" applyNumberFormat="1" applyFont="1" applyFill="1" applyBorder="1" applyAlignment="1">
      <alignment vertical="center"/>
    </xf>
    <xf numFmtId="0" fontId="24" fillId="2" borderId="0" xfId="0" applyFont="1" applyFill="1" applyBorder="1"/>
    <xf numFmtId="3" fontId="24" fillId="2" borderId="0" xfId="0" applyNumberFormat="1" applyFont="1" applyFill="1" applyBorder="1" applyAlignment="1">
      <alignment horizontal="right"/>
    </xf>
    <xf numFmtId="3" fontId="24" fillId="2" borderId="0" xfId="0" applyNumberFormat="1" applyFont="1" applyFill="1" applyBorder="1" applyAlignment="1">
      <alignment horizontal="center"/>
    </xf>
    <xf numFmtId="3" fontId="27" fillId="2" borderId="0" xfId="0" applyNumberFormat="1" applyFont="1" applyFill="1" applyBorder="1" applyAlignment="1">
      <alignment horizontal="center"/>
    </xf>
    <xf numFmtId="3" fontId="27" fillId="2" borderId="0" xfId="0" applyNumberFormat="1" applyFont="1" applyFill="1" applyBorder="1" applyAlignment="1">
      <alignment horizontal="right"/>
    </xf>
    <xf numFmtId="0" fontId="33" fillId="2" borderId="0" xfId="0" applyFont="1" applyFill="1" applyBorder="1" applyAlignment="1">
      <alignment horizontal="right" vertical="center"/>
    </xf>
    <xf numFmtId="3" fontId="8" fillId="2" borderId="0" xfId="0" applyNumberFormat="1" applyFont="1" applyFill="1" applyBorder="1"/>
    <xf numFmtId="3" fontId="10" fillId="2" borderId="0" xfId="0" applyNumberFormat="1" applyFont="1" applyFill="1" applyBorder="1"/>
    <xf numFmtId="3" fontId="10" fillId="2" borderId="0" xfId="0" applyNumberFormat="1" applyFont="1" applyFill="1" applyBorder="1" applyAlignment="1">
      <alignment horizontal="right"/>
    </xf>
    <xf numFmtId="3" fontId="25" fillId="2" borderId="0" xfId="0" applyNumberFormat="1" applyFont="1" applyFill="1" applyBorder="1" applyAlignment="1">
      <alignment vertical="center"/>
    </xf>
    <xf numFmtId="3" fontId="15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3" fontId="24" fillId="2" borderId="0" xfId="0" applyNumberFormat="1" applyFont="1" applyFill="1" applyAlignment="1"/>
    <xf numFmtId="3" fontId="27" fillId="2" borderId="0" xfId="0" applyNumberFormat="1" applyFont="1" applyFill="1" applyAlignment="1">
      <alignment horizontal="right" vertical="center"/>
    </xf>
    <xf numFmtId="2" fontId="30" fillId="2" borderId="0" xfId="0" applyNumberFormat="1" applyFont="1" applyFill="1" applyBorder="1" applyAlignment="1">
      <alignment horizontal="right" vertical="center"/>
    </xf>
    <xf numFmtId="1" fontId="30" fillId="2" borderId="0" xfId="0" applyNumberFormat="1" applyFont="1" applyFill="1" applyBorder="1" applyAlignment="1">
      <alignment horizontal="right" vertical="center"/>
    </xf>
    <xf numFmtId="0" fontId="15" fillId="2" borderId="24" xfId="0" applyFont="1" applyFill="1" applyBorder="1"/>
    <xf numFmtId="3" fontId="24" fillId="2" borderId="24" xfId="0" applyNumberFormat="1" applyFont="1" applyFill="1" applyBorder="1" applyAlignment="1"/>
    <xf numFmtId="3" fontId="24" fillId="2" borderId="24" xfId="0" applyNumberFormat="1" applyFont="1" applyFill="1" applyBorder="1" applyAlignment="1">
      <alignment horizontal="right"/>
    </xf>
    <xf numFmtId="3" fontId="27" fillId="2" borderId="24" xfId="0" applyNumberFormat="1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indent="1"/>
    </xf>
    <xf numFmtId="0" fontId="34" fillId="2" borderId="0" xfId="0" applyFont="1" applyFill="1" applyBorder="1" applyAlignment="1">
      <alignment horizontal="right"/>
    </xf>
    <xf numFmtId="3" fontId="35" fillId="2" borderId="0" xfId="0" applyNumberFormat="1" applyFont="1" applyFill="1" applyBorder="1" applyAlignment="1" applyProtection="1">
      <alignment vertical="center"/>
      <protection locked="0"/>
    </xf>
    <xf numFmtId="3" fontId="36" fillId="2" borderId="0" xfId="0" applyNumberFormat="1" applyFont="1" applyFill="1" applyBorder="1" applyAlignment="1" applyProtection="1">
      <alignment vertical="center"/>
      <protection locked="0"/>
    </xf>
    <xf numFmtId="3" fontId="36" fillId="2" borderId="0" xfId="0" applyNumberFormat="1" applyFont="1" applyFill="1"/>
    <xf numFmtId="3" fontId="36" fillId="2" borderId="0" xfId="0" applyNumberFormat="1" applyFont="1" applyFill="1" applyBorder="1" applyAlignment="1" applyProtection="1">
      <alignment horizontal="right" vertical="center"/>
      <protection locked="0"/>
    </xf>
    <xf numFmtId="3" fontId="37" fillId="2" borderId="0" xfId="0" applyNumberFormat="1" applyFont="1" applyFill="1" applyBorder="1" applyAlignment="1" applyProtection="1">
      <alignment vertical="center"/>
      <protection locked="0"/>
    </xf>
    <xf numFmtId="3" fontId="35" fillId="2" borderId="0" xfId="0" applyNumberFormat="1" applyFont="1" applyFill="1" applyBorder="1" applyAlignment="1" applyProtection="1">
      <alignment horizontal="right" vertical="center"/>
      <protection locked="0"/>
    </xf>
    <xf numFmtId="3" fontId="35" fillId="2" borderId="11" xfId="0" applyNumberFormat="1" applyFont="1" applyFill="1" applyBorder="1" applyAlignment="1" applyProtection="1">
      <alignment horizontal="right" vertical="center"/>
      <protection locked="0"/>
    </xf>
    <xf numFmtId="3" fontId="36" fillId="2" borderId="11" xfId="0" applyNumberFormat="1" applyFont="1" applyFill="1" applyBorder="1" applyAlignment="1" applyProtection="1">
      <alignment horizontal="right" vertical="center"/>
      <protection locked="0"/>
    </xf>
    <xf numFmtId="3" fontId="36" fillId="2" borderId="11" xfId="0" applyNumberFormat="1" applyFont="1" applyFill="1" applyBorder="1"/>
    <xf numFmtId="3" fontId="36" fillId="2" borderId="11" xfId="0" applyNumberFormat="1" applyFont="1" applyFill="1" applyBorder="1" applyAlignment="1" applyProtection="1">
      <alignment vertical="center"/>
      <protection locked="0"/>
    </xf>
    <xf numFmtId="0" fontId="15" fillId="2" borderId="11" xfId="0" applyFont="1" applyFill="1" applyBorder="1"/>
    <xf numFmtId="3" fontId="24" fillId="2" borderId="11" xfId="0" applyNumberFormat="1" applyFont="1" applyFill="1" applyBorder="1" applyAlignment="1"/>
    <xf numFmtId="3" fontId="24" fillId="2" borderId="11" xfId="0" applyNumberFormat="1" applyFont="1" applyFill="1" applyBorder="1" applyAlignment="1">
      <alignment horizontal="right"/>
    </xf>
    <xf numFmtId="3" fontId="27" fillId="2" borderId="11" xfId="0" applyNumberFormat="1" applyFont="1" applyFill="1" applyBorder="1" applyAlignment="1">
      <alignment horizontal="right" vertical="center"/>
    </xf>
    <xf numFmtId="0" fontId="15" fillId="2" borderId="0" xfId="0" applyFont="1" applyFill="1" applyBorder="1"/>
    <xf numFmtId="3" fontId="24" fillId="2" borderId="0" xfId="0" applyNumberFormat="1" applyFont="1" applyFill="1" applyBorder="1" applyAlignment="1"/>
    <xf numFmtId="3" fontId="27" fillId="2" borderId="0" xfId="0" applyNumberFormat="1" applyFont="1" applyFill="1" applyBorder="1" applyAlignment="1">
      <alignment horizontal="right" vertical="center"/>
    </xf>
    <xf numFmtId="0" fontId="38" fillId="2" borderId="0" xfId="0" applyFont="1" applyFill="1" applyAlignment="1" applyProtection="1">
      <alignment horizontal="left" vertical="center"/>
    </xf>
    <xf numFmtId="165" fontId="38" fillId="2" borderId="0" xfId="0" applyNumberFormat="1" applyFont="1" applyFill="1" applyAlignment="1" applyProtection="1">
      <alignment horizontal="left" vertical="center"/>
    </xf>
    <xf numFmtId="0" fontId="39" fillId="2" borderId="0" xfId="0" applyFont="1" applyFill="1" applyBorder="1" applyAlignment="1" applyProtection="1">
      <alignment horizontal="left" vertical="center"/>
    </xf>
    <xf numFmtId="1" fontId="18" fillId="2" borderId="0" xfId="5" applyNumberFormat="1" applyFont="1" applyFill="1"/>
    <xf numFmtId="165" fontId="18" fillId="2" borderId="0" xfId="0" applyNumberFormat="1" applyFont="1" applyFill="1"/>
    <xf numFmtId="165" fontId="0" fillId="2" borderId="0" xfId="0" applyNumberFormat="1" applyFill="1"/>
    <xf numFmtId="9" fontId="18" fillId="2" borderId="0" xfId="5" applyFont="1" applyFill="1"/>
    <xf numFmtId="0" fontId="10" fillId="2" borderId="0" xfId="0" applyFont="1" applyFill="1" applyBorder="1" applyAlignment="1" applyProtection="1">
      <alignment horizontal="right" vertical="center"/>
    </xf>
    <xf numFmtId="0" fontId="17" fillId="2" borderId="0" xfId="0" applyFont="1" applyFill="1" applyBorder="1" applyAlignment="1" applyProtection="1">
      <alignment horizontal="left" vertical="center"/>
    </xf>
    <xf numFmtId="0" fontId="38" fillId="2" borderId="0" xfId="0" applyFont="1" applyFill="1" applyBorder="1" applyAlignment="1" applyProtection="1">
      <alignment horizontal="left" vertical="center"/>
    </xf>
    <xf numFmtId="3" fontId="38" fillId="2" borderId="0" xfId="0" applyNumberFormat="1" applyFont="1" applyFill="1" applyBorder="1" applyAlignment="1" applyProtection="1">
      <alignment horizontal="left" vertical="center"/>
    </xf>
    <xf numFmtId="0" fontId="43" fillId="2" borderId="0" xfId="0" applyFont="1" applyFill="1"/>
    <xf numFmtId="0" fontId="46" fillId="2" borderId="0" xfId="0" applyFont="1" applyFill="1"/>
    <xf numFmtId="37" fontId="32" fillId="2" borderId="29" xfId="0" applyNumberFormat="1" applyFont="1" applyFill="1" applyBorder="1" applyAlignment="1" applyProtection="1">
      <alignment horizontal="center" vertical="center" wrapText="1"/>
    </xf>
    <xf numFmtId="37" fontId="32" fillId="2" borderId="30" xfId="0" applyNumberFormat="1" applyFont="1" applyFill="1" applyBorder="1" applyAlignment="1" applyProtection="1">
      <alignment horizontal="center" vertical="center" wrapText="1"/>
    </xf>
    <xf numFmtId="0" fontId="25" fillId="2" borderId="0" xfId="0" applyFont="1" applyFill="1" applyAlignment="1" applyProtection="1">
      <alignment horizontal="left" vertical="center" wrapText="1"/>
    </xf>
    <xf numFmtId="3" fontId="25" fillId="2" borderId="33" xfId="0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/>
    </xf>
    <xf numFmtId="168" fontId="25" fillId="2" borderId="0" xfId="0" applyNumberFormat="1" applyFont="1" applyFill="1" applyAlignment="1">
      <alignment horizontal="center"/>
    </xf>
    <xf numFmtId="3" fontId="25" fillId="2" borderId="0" xfId="0" applyNumberFormat="1" applyFont="1" applyFill="1" applyAlignment="1">
      <alignment horizontal="right" vertical="center"/>
    </xf>
    <xf numFmtId="0" fontId="27" fillId="2" borderId="0" xfId="0" applyFont="1" applyFill="1" applyAlignment="1" applyProtection="1">
      <alignment horizontal="left" vertical="center"/>
    </xf>
    <xf numFmtId="3" fontId="27" fillId="2" borderId="34" xfId="0" applyNumberFormat="1" applyFont="1" applyFill="1" applyBorder="1" applyAlignment="1">
      <alignment horizontal="center"/>
    </xf>
    <xf numFmtId="165" fontId="27" fillId="2" borderId="0" xfId="0" applyNumberFormat="1" applyFont="1" applyFill="1" applyAlignment="1">
      <alignment horizontal="center"/>
    </xf>
    <xf numFmtId="3" fontId="24" fillId="2" borderId="0" xfId="0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 applyProtection="1">
      <alignment horizontal="left" vertical="center"/>
    </xf>
    <xf numFmtId="0" fontId="27" fillId="2" borderId="11" xfId="0" applyFont="1" applyFill="1" applyBorder="1" applyAlignment="1" applyProtection="1">
      <alignment horizontal="left" vertical="center"/>
    </xf>
    <xf numFmtId="3" fontId="27" fillId="2" borderId="32" xfId="0" applyNumberFormat="1" applyFont="1" applyFill="1" applyBorder="1" applyAlignment="1">
      <alignment horizontal="center"/>
    </xf>
    <xf numFmtId="3" fontId="27" fillId="2" borderId="11" xfId="0" applyNumberFormat="1" applyFont="1" applyFill="1" applyBorder="1" applyAlignment="1">
      <alignment horizontal="center"/>
    </xf>
    <xf numFmtId="165" fontId="27" fillId="2" borderId="11" xfId="0" applyNumberFormat="1" applyFont="1" applyFill="1" applyBorder="1" applyAlignment="1">
      <alignment horizontal="center"/>
    </xf>
    <xf numFmtId="168" fontId="43" fillId="2" borderId="0" xfId="0" applyNumberFormat="1" applyFont="1" applyFill="1"/>
    <xf numFmtId="165" fontId="43" fillId="2" borderId="0" xfId="0" applyNumberFormat="1" applyFont="1" applyFill="1"/>
    <xf numFmtId="0" fontId="47" fillId="2" borderId="11" xfId="0" applyFont="1" applyFill="1" applyBorder="1" applyAlignment="1" applyProtection="1">
      <alignment horizontal="center" vertical="center" wrapText="1"/>
    </xf>
    <xf numFmtId="3" fontId="43" fillId="2" borderId="0" xfId="0" applyNumberFormat="1" applyFont="1" applyFill="1"/>
    <xf numFmtId="0" fontId="43" fillId="2" borderId="0" xfId="0" applyFont="1" applyFill="1" applyAlignment="1" applyProtection="1">
      <alignment horizontal="left" vertical="center"/>
    </xf>
    <xf numFmtId="3" fontId="48" fillId="2" borderId="0" xfId="0" applyNumberFormat="1" applyFont="1" applyFill="1" applyAlignment="1">
      <alignment horizontal="center"/>
    </xf>
    <xf numFmtId="0" fontId="43" fillId="2" borderId="0" xfId="0" applyFont="1" applyFill="1" applyBorder="1" applyAlignment="1" applyProtection="1">
      <alignment horizontal="left" vertical="center"/>
    </xf>
    <xf numFmtId="169" fontId="48" fillId="2" borderId="0" xfId="0" applyNumberFormat="1" applyFont="1" applyFill="1" applyAlignment="1" applyProtection="1">
      <alignment horizontal="left" vertical="center"/>
    </xf>
    <xf numFmtId="165" fontId="43" fillId="2" borderId="0" xfId="0" applyNumberFormat="1" applyFont="1" applyFill="1" applyAlignment="1">
      <alignment horizontal="center" vertical="center"/>
    </xf>
    <xf numFmtId="0" fontId="48" fillId="2" borderId="0" xfId="0" applyFont="1" applyFill="1" applyAlignment="1" applyProtection="1">
      <alignment horizontal="left" vertical="center"/>
    </xf>
    <xf numFmtId="168" fontId="43" fillId="2" borderId="0" xfId="0" applyNumberFormat="1" applyFont="1" applyFill="1" applyBorder="1"/>
    <xf numFmtId="3" fontId="43" fillId="2" borderId="0" xfId="0" applyNumberFormat="1" applyFont="1" applyFill="1" applyBorder="1"/>
    <xf numFmtId="0" fontId="47" fillId="2" borderId="0" xfId="0" applyFont="1" applyFill="1" applyBorder="1" applyAlignment="1" applyProtection="1">
      <alignment horizontal="center" vertical="center" wrapText="1"/>
    </xf>
    <xf numFmtId="0" fontId="43" fillId="2" borderId="0" xfId="0" applyFont="1" applyFill="1" applyBorder="1"/>
    <xf numFmtId="3" fontId="43" fillId="2" borderId="0" xfId="0" applyNumberFormat="1" applyFont="1" applyFill="1" applyBorder="1" applyAlignment="1">
      <alignment horizontal="center"/>
    </xf>
    <xf numFmtId="0" fontId="49" fillId="2" borderId="0" xfId="0" applyFont="1" applyFill="1" applyBorder="1" applyAlignment="1" applyProtection="1">
      <alignment horizontal="center" vertical="center" wrapText="1"/>
    </xf>
    <xf numFmtId="0" fontId="48" fillId="2" borderId="0" xfId="0" applyFont="1" applyFill="1" applyBorder="1" applyAlignment="1" applyProtection="1">
      <alignment horizontal="left" vertical="center"/>
    </xf>
    <xf numFmtId="0" fontId="48" fillId="2" borderId="11" xfId="0" applyFont="1" applyFill="1" applyBorder="1" applyAlignment="1" applyProtection="1">
      <alignment horizontal="left" vertical="center"/>
    </xf>
    <xf numFmtId="165" fontId="43" fillId="2" borderId="0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Border="1" applyAlignment="1">
      <alignment horizontal="center"/>
    </xf>
    <xf numFmtId="168" fontId="25" fillId="2" borderId="0" xfId="0" applyNumberFormat="1" applyFont="1" applyFill="1" applyBorder="1" applyAlignment="1">
      <alignment horizontal="center"/>
    </xf>
    <xf numFmtId="3" fontId="25" fillId="2" borderId="0" xfId="0" applyNumberFormat="1" applyFont="1" applyFill="1" applyBorder="1" applyAlignment="1">
      <alignment horizontal="right" vertical="center"/>
    </xf>
    <xf numFmtId="165" fontId="27" fillId="2" borderId="0" xfId="0" applyNumberFormat="1" applyFont="1" applyFill="1" applyBorder="1" applyAlignment="1">
      <alignment horizontal="center"/>
    </xf>
    <xf numFmtId="168" fontId="43" fillId="2" borderId="0" xfId="0" applyNumberFormat="1" applyFont="1" applyFill="1" applyBorder="1" applyAlignment="1">
      <alignment horizontal="center" vertical="center"/>
    </xf>
    <xf numFmtId="168" fontId="43" fillId="2" borderId="11" xfId="0" applyNumberFormat="1" applyFont="1" applyFill="1" applyBorder="1" applyAlignment="1">
      <alignment horizontal="center" vertical="center"/>
    </xf>
    <xf numFmtId="169" fontId="48" fillId="2" borderId="0" xfId="0" applyNumberFormat="1" applyFont="1" applyFill="1" applyBorder="1" applyAlignment="1" applyProtection="1">
      <alignment horizontal="left" vertical="center"/>
    </xf>
    <xf numFmtId="165" fontId="43" fillId="2" borderId="0" xfId="0" applyNumberFormat="1" applyFont="1" applyFill="1" applyBorder="1" applyAlignment="1">
      <alignment horizontal="center"/>
    </xf>
    <xf numFmtId="0" fontId="25" fillId="2" borderId="11" xfId="0" applyFont="1" applyFill="1" applyBorder="1" applyAlignment="1" applyProtection="1">
      <alignment horizontal="right" vertical="center" wrapText="1"/>
    </xf>
    <xf numFmtId="167" fontId="25" fillId="2" borderId="0" xfId="1" applyNumberFormat="1" applyFont="1" applyFill="1" applyAlignment="1">
      <alignment horizontal="center"/>
    </xf>
    <xf numFmtId="167" fontId="25" fillId="2" borderId="0" xfId="1" applyNumberFormat="1" applyFont="1" applyFill="1" applyAlignment="1">
      <alignment horizontal="right" vertical="center"/>
    </xf>
    <xf numFmtId="167" fontId="27" fillId="2" borderId="0" xfId="1" applyNumberFormat="1" applyFont="1" applyFill="1" applyBorder="1" applyAlignment="1">
      <alignment horizontal="center"/>
    </xf>
    <xf numFmtId="167" fontId="27" fillId="2" borderId="0" xfId="1" applyNumberFormat="1" applyFont="1" applyFill="1" applyBorder="1" applyAlignment="1">
      <alignment horizontal="right" vertical="center"/>
    </xf>
    <xf numFmtId="167" fontId="27" fillId="2" borderId="11" xfId="1" applyNumberFormat="1" applyFont="1" applyFill="1" applyBorder="1" applyAlignment="1">
      <alignment horizontal="center"/>
    </xf>
    <xf numFmtId="167" fontId="27" fillId="2" borderId="11" xfId="1" applyNumberFormat="1" applyFont="1" applyFill="1" applyBorder="1" applyAlignment="1">
      <alignment horizontal="right" vertical="center"/>
    </xf>
    <xf numFmtId="168" fontId="43" fillId="2" borderId="0" xfId="0" applyNumberFormat="1" applyFont="1" applyFill="1" applyAlignment="1">
      <alignment horizontal="center" vertical="center"/>
    </xf>
    <xf numFmtId="0" fontId="24" fillId="2" borderId="0" xfId="0" applyFont="1" applyFill="1"/>
    <xf numFmtId="0" fontId="2" fillId="2" borderId="12" xfId="0" applyFont="1" applyFill="1" applyBorder="1"/>
    <xf numFmtId="0" fontId="8" fillId="2" borderId="35" xfId="4" applyFont="1" applyFill="1" applyBorder="1" applyAlignment="1" applyProtection="1">
      <alignment horizontal="right" vertical="center" wrapText="1"/>
    </xf>
    <xf numFmtId="0" fontId="2" fillId="2" borderId="36" xfId="0" applyFont="1" applyFill="1" applyBorder="1"/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vertical="center"/>
    </xf>
    <xf numFmtId="0" fontId="24" fillId="2" borderId="0" xfId="0" applyFont="1" applyFill="1" applyBorder="1" applyAlignment="1">
      <alignment horizontal="left" vertical="center"/>
    </xf>
    <xf numFmtId="3" fontId="54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55" fillId="2" borderId="0" xfId="0" applyFont="1" applyFill="1" applyAlignment="1">
      <alignment vertical="center"/>
    </xf>
    <xf numFmtId="0" fontId="24" fillId="2" borderId="24" xfId="0" applyFont="1" applyFill="1" applyBorder="1" applyAlignment="1">
      <alignment horizontal="left" vertical="center"/>
    </xf>
    <xf numFmtId="3" fontId="2" fillId="2" borderId="24" xfId="0" applyNumberFormat="1" applyFont="1" applyFill="1" applyBorder="1" applyAlignment="1">
      <alignment horizontal="right" vertical="center"/>
    </xf>
    <xf numFmtId="3" fontId="54" fillId="2" borderId="24" xfId="0" applyNumberFormat="1" applyFont="1" applyFill="1" applyBorder="1" applyAlignment="1">
      <alignment horizontal="right" vertical="center"/>
    </xf>
    <xf numFmtId="3" fontId="1" fillId="2" borderId="24" xfId="0" applyNumberFormat="1" applyFont="1" applyFill="1" applyBorder="1" applyAlignment="1">
      <alignment horizontal="right" vertical="center"/>
    </xf>
    <xf numFmtId="0" fontId="55" fillId="2" borderId="24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left" vertical="center"/>
    </xf>
    <xf numFmtId="3" fontId="2" fillId="2" borderId="11" xfId="0" applyNumberFormat="1" applyFont="1" applyFill="1" applyBorder="1" applyAlignment="1">
      <alignment horizontal="right" vertical="center"/>
    </xf>
    <xf numFmtId="3" fontId="54" fillId="2" borderId="11" xfId="0" applyNumberFormat="1" applyFont="1" applyFill="1" applyBorder="1" applyAlignment="1">
      <alignment horizontal="right" vertical="center"/>
    </xf>
    <xf numFmtId="0" fontId="55" fillId="2" borderId="11" xfId="0" applyFont="1" applyFill="1" applyBorder="1" applyAlignment="1">
      <alignment vertical="center"/>
    </xf>
    <xf numFmtId="0" fontId="17" fillId="2" borderId="37" xfId="4" applyFont="1" applyFill="1" applyBorder="1" applyAlignment="1" applyProtection="1">
      <alignment horizontal="left" vertical="center"/>
    </xf>
    <xf numFmtId="0" fontId="51" fillId="2" borderId="0" xfId="0" applyFont="1" applyFill="1" applyAlignment="1"/>
    <xf numFmtId="0" fontId="56" fillId="2" borderId="0" xfId="0" applyFont="1" applyFill="1" applyBorder="1" applyAlignment="1">
      <alignment horizontal="right" vertical="center"/>
    </xf>
    <xf numFmtId="167" fontId="0" fillId="2" borderId="0" xfId="1" applyNumberFormat="1" applyFont="1" applyFill="1"/>
    <xf numFmtId="3" fontId="0" fillId="2" borderId="0" xfId="0" applyNumberFormat="1" applyFill="1"/>
    <xf numFmtId="0" fontId="59" fillId="2" borderId="0" xfId="0" applyFont="1" applyFill="1" applyAlignment="1">
      <alignment vertical="center"/>
    </xf>
    <xf numFmtId="0" fontId="25" fillId="2" borderId="11" xfId="0" applyFont="1" applyFill="1" applyBorder="1" applyAlignment="1" applyProtection="1">
      <alignment vertical="center" wrapText="1"/>
    </xf>
    <xf numFmtId="0" fontId="32" fillId="2" borderId="0" xfId="0" applyFont="1" applyFill="1" applyBorder="1" applyAlignment="1" applyProtection="1">
      <alignment horizontal="center" vertical="center" wrapText="1"/>
    </xf>
    <xf numFmtId="0" fontId="25" fillId="2" borderId="40" xfId="0" applyFont="1" applyFill="1" applyBorder="1" applyAlignment="1" applyProtection="1">
      <alignment horizontal="center" vertical="top" wrapText="1"/>
    </xf>
    <xf numFmtId="0" fontId="25" fillId="2" borderId="27" xfId="0" applyFont="1" applyFill="1" applyBorder="1" applyAlignment="1" applyProtection="1">
      <alignment horizontal="center" vertical="top" wrapText="1"/>
    </xf>
    <xf numFmtId="0" fontId="32" fillId="2" borderId="45" xfId="0" applyFont="1" applyFill="1" applyBorder="1" applyAlignment="1" applyProtection="1">
      <alignment horizontal="right" vertical="center" wrapText="1" indent="2"/>
    </xf>
    <xf numFmtId="0" fontId="32" fillId="2" borderId="46" xfId="0" applyFont="1" applyFill="1" applyBorder="1" applyAlignment="1" applyProtection="1">
      <alignment horizontal="center" vertical="center" wrapText="1"/>
    </xf>
    <xf numFmtId="0" fontId="32" fillId="2" borderId="47" xfId="0" applyFont="1" applyFill="1" applyBorder="1" applyAlignment="1" applyProtection="1">
      <alignment horizontal="center" vertical="center" wrapText="1"/>
    </xf>
    <xf numFmtId="0" fontId="32" fillId="2" borderId="45" xfId="0" applyFont="1" applyFill="1" applyBorder="1" applyAlignment="1" applyProtection="1">
      <alignment horizontal="right" vertical="top" wrapText="1"/>
    </xf>
    <xf numFmtId="0" fontId="32" fillId="2" borderId="46" xfId="0" applyFont="1" applyFill="1" applyBorder="1" applyAlignment="1" applyProtection="1">
      <alignment vertical="top" wrapText="1"/>
    </xf>
    <xf numFmtId="0" fontId="25" fillId="2" borderId="9" xfId="0" applyFont="1" applyFill="1" applyBorder="1" applyAlignment="1" applyProtection="1">
      <alignment horizontal="right" vertical="center" wrapText="1"/>
    </xf>
    <xf numFmtId="0" fontId="25" fillId="2" borderId="10" xfId="0" applyFont="1" applyFill="1" applyBorder="1" applyAlignment="1" applyProtection="1">
      <alignment horizontal="right" vertical="center" wrapText="1"/>
    </xf>
    <xf numFmtId="0" fontId="25" fillId="2" borderId="42" xfId="0" applyFont="1" applyFill="1" applyBorder="1" applyAlignment="1" applyProtection="1">
      <alignment horizontal="right" vertical="center" wrapText="1"/>
    </xf>
    <xf numFmtId="0" fontId="43" fillId="2" borderId="0" xfId="0" applyFont="1" applyFill="1" applyAlignment="1">
      <alignment horizontal="right" vertical="center"/>
    </xf>
    <xf numFmtId="0" fontId="25" fillId="2" borderId="0" xfId="0" applyFont="1" applyFill="1" applyAlignment="1" applyProtection="1">
      <alignment horizontal="left" vertical="center"/>
    </xf>
    <xf numFmtId="3" fontId="25" fillId="2" borderId="0" xfId="0" applyNumberFormat="1" applyFont="1" applyFill="1" applyAlignment="1" applyProtection="1">
      <alignment horizontal="right" vertical="center"/>
    </xf>
    <xf numFmtId="3" fontId="25" fillId="2" borderId="17" xfId="0" applyNumberFormat="1" applyFont="1" applyFill="1" applyBorder="1" applyAlignment="1" applyProtection="1">
      <alignment horizontal="right" vertical="center"/>
    </xf>
    <xf numFmtId="3" fontId="25" fillId="2" borderId="14" xfId="0" applyNumberFormat="1" applyFont="1" applyFill="1" applyBorder="1" applyAlignment="1" applyProtection="1">
      <alignment horizontal="right" vertical="center"/>
    </xf>
    <xf numFmtId="3" fontId="25" fillId="2" borderId="17" xfId="0" applyNumberFormat="1" applyFont="1" applyFill="1" applyBorder="1" applyAlignment="1" applyProtection="1">
      <alignment horizontal="center" vertical="center"/>
    </xf>
    <xf numFmtId="3" fontId="25" fillId="2" borderId="0" xfId="0" applyNumberFormat="1" applyFont="1" applyFill="1" applyBorder="1" applyAlignment="1" applyProtection="1">
      <alignment horizontal="center" vertical="center"/>
    </xf>
    <xf numFmtId="0" fontId="27" fillId="2" borderId="0" xfId="0" applyFont="1" applyFill="1" applyAlignment="1" applyProtection="1">
      <alignment horizontal="left" vertical="center" indent="1"/>
    </xf>
    <xf numFmtId="3" fontId="27" fillId="2" borderId="0" xfId="0" applyNumberFormat="1" applyFont="1" applyFill="1" applyBorder="1" applyAlignment="1" applyProtection="1">
      <alignment horizontal="right" vertical="center"/>
    </xf>
    <xf numFmtId="3" fontId="24" fillId="2" borderId="0" xfId="0" applyNumberFormat="1" applyFont="1" applyFill="1" applyBorder="1" applyAlignment="1" applyProtection="1">
      <alignment horizontal="right" vertical="center"/>
    </xf>
    <xf numFmtId="3" fontId="27" fillId="2" borderId="17" xfId="0" applyNumberFormat="1" applyFont="1" applyFill="1" applyBorder="1" applyAlignment="1">
      <alignment horizontal="right" vertical="center"/>
    </xf>
    <xf numFmtId="0" fontId="27" fillId="2" borderId="11" xfId="0" applyFont="1" applyFill="1" applyBorder="1" applyAlignment="1" applyProtection="1">
      <alignment horizontal="left" vertical="center" indent="1"/>
    </xf>
    <xf numFmtId="3" fontId="27" fillId="2" borderId="11" xfId="0" applyNumberFormat="1" applyFont="1" applyFill="1" applyBorder="1" applyAlignment="1" applyProtection="1">
      <alignment horizontal="right" vertical="center"/>
    </xf>
    <xf numFmtId="3" fontId="24" fillId="2" borderId="11" xfId="0" applyNumberFormat="1" applyFont="1" applyFill="1" applyBorder="1" applyAlignment="1" applyProtection="1">
      <alignment horizontal="right" vertical="center"/>
    </xf>
    <xf numFmtId="3" fontId="27" fillId="2" borderId="23" xfId="0" applyNumberFormat="1" applyFont="1" applyFill="1" applyBorder="1" applyAlignment="1">
      <alignment horizontal="right" vertical="center"/>
    </xf>
    <xf numFmtId="37" fontId="43" fillId="2" borderId="0" xfId="0" applyNumberFormat="1" applyFont="1" applyFill="1" applyAlignment="1" applyProtection="1">
      <alignment horizontal="right" vertical="center"/>
    </xf>
    <xf numFmtId="0" fontId="17" fillId="2" borderId="0" xfId="0" applyFont="1" applyFill="1" applyAlignment="1" applyProtection="1">
      <alignment horizontal="left" vertical="center" indent="1"/>
    </xf>
    <xf numFmtId="0" fontId="61" fillId="2" borderId="0" xfId="0" applyFont="1" applyFill="1" applyAlignment="1">
      <alignment horizontal="right" vertical="center"/>
    </xf>
    <xf numFmtId="170" fontId="7" fillId="2" borderId="38" xfId="7" applyNumberFormat="1" applyFont="1" applyFill="1" applyBorder="1" applyAlignment="1">
      <alignment vertical="center"/>
    </xf>
    <xf numFmtId="0" fontId="7" fillId="2" borderId="38" xfId="4" applyFont="1" applyFill="1" applyBorder="1"/>
    <xf numFmtId="0" fontId="8" fillId="2" borderId="35" xfId="4" applyFont="1" applyFill="1" applyBorder="1" applyAlignment="1" applyProtection="1">
      <alignment horizontal="left" vertical="center"/>
    </xf>
    <xf numFmtId="0" fontId="18" fillId="2" borderId="38" xfId="4" applyFont="1" applyFill="1" applyBorder="1" applyAlignment="1">
      <alignment vertical="center"/>
    </xf>
    <xf numFmtId="0" fontId="10" fillId="2" borderId="49" xfId="4" applyFont="1" applyFill="1" applyBorder="1" applyAlignment="1" applyProtection="1">
      <alignment vertical="center"/>
    </xf>
    <xf numFmtId="167" fontId="10" fillId="2" borderId="49" xfId="1" applyNumberFormat="1" applyFont="1" applyFill="1" applyBorder="1" applyAlignment="1" applyProtection="1">
      <alignment horizontal="right" vertical="center"/>
    </xf>
    <xf numFmtId="168" fontId="9" fillId="2" borderId="49" xfId="4" applyNumberFormat="1" applyFont="1" applyFill="1" applyBorder="1" applyAlignment="1">
      <alignment horizontal="right"/>
    </xf>
    <xf numFmtId="0" fontId="63" fillId="2" borderId="48" xfId="4" applyFont="1" applyFill="1" applyBorder="1"/>
    <xf numFmtId="0" fontId="10" fillId="2" borderId="0" xfId="4" applyFont="1" applyFill="1" applyBorder="1" applyAlignment="1" applyProtection="1">
      <alignment vertical="center"/>
    </xf>
    <xf numFmtId="167" fontId="10" fillId="2" borderId="0" xfId="1" applyNumberFormat="1" applyFont="1" applyFill="1" applyBorder="1" applyAlignment="1" applyProtection="1">
      <alignment horizontal="right" vertical="center"/>
    </xf>
    <xf numFmtId="168" fontId="9" fillId="2" borderId="0" xfId="4" applyNumberFormat="1" applyFont="1" applyFill="1" applyBorder="1" applyAlignment="1">
      <alignment horizontal="right"/>
    </xf>
    <xf numFmtId="167" fontId="63" fillId="2" borderId="0" xfId="4" applyNumberFormat="1" applyFont="1" applyFill="1" applyBorder="1" applyAlignment="1">
      <alignment vertical="center"/>
    </xf>
    <xf numFmtId="0" fontId="63" fillId="2" borderId="0" xfId="4" applyFont="1" applyFill="1" applyBorder="1"/>
    <xf numFmtId="17" fontId="24" fillId="2" borderId="0" xfId="8" applyNumberFormat="1" applyFont="1" applyFill="1" applyBorder="1" applyAlignment="1">
      <alignment horizontal="left" vertical="center" indent="1"/>
    </xf>
    <xf numFmtId="167" fontId="24" fillId="2" borderId="0" xfId="1" applyNumberFormat="1" applyFont="1" applyFill="1" applyBorder="1" applyAlignment="1" applyProtection="1">
      <alignment horizontal="right" vertical="center"/>
    </xf>
    <xf numFmtId="168" fontId="55" fillId="2" borderId="0" xfId="4" applyNumberFormat="1" applyFont="1" applyFill="1" applyBorder="1" applyAlignment="1">
      <alignment horizontal="right"/>
    </xf>
    <xf numFmtId="0" fontId="18" fillId="2" borderId="0" xfId="4" applyFont="1" applyFill="1" applyBorder="1"/>
    <xf numFmtId="0" fontId="18" fillId="2" borderId="0" xfId="4" applyFont="1" applyFill="1" applyBorder="1" applyAlignment="1">
      <alignment vertical="center"/>
    </xf>
    <xf numFmtId="17" fontId="24" fillId="2" borderId="0" xfId="8" applyNumberFormat="1" applyFont="1" applyFill="1" applyBorder="1" applyAlignment="1">
      <alignment horizontal="left" vertical="center" wrapText="1" indent="1"/>
    </xf>
    <xf numFmtId="0" fontId="63" fillId="2" borderId="0" xfId="4" applyFont="1" applyFill="1" applyBorder="1" applyAlignment="1">
      <alignment vertical="center"/>
    </xf>
    <xf numFmtId="0" fontId="10" fillId="2" borderId="11" xfId="4" applyFont="1" applyFill="1" applyBorder="1" applyAlignment="1" applyProtection="1">
      <alignment vertical="center"/>
    </xf>
    <xf numFmtId="167" fontId="10" fillId="2" borderId="11" xfId="1" applyNumberFormat="1" applyFont="1" applyFill="1" applyBorder="1" applyAlignment="1" applyProtection="1">
      <alignment horizontal="right" vertical="center"/>
    </xf>
    <xf numFmtId="0" fontId="52" fillId="2" borderId="11" xfId="4" applyFont="1" applyFill="1" applyBorder="1"/>
    <xf numFmtId="0" fontId="38" fillId="2" borderId="37" xfId="4" applyFont="1" applyFill="1" applyBorder="1" applyAlignment="1" applyProtection="1">
      <alignment horizontal="left" vertical="center"/>
    </xf>
    <xf numFmtId="167" fontId="38" fillId="2" borderId="37" xfId="4" applyNumberFormat="1" applyFont="1" applyFill="1" applyBorder="1" applyAlignment="1" applyProtection="1">
      <alignment horizontal="left" vertical="center"/>
    </xf>
    <xf numFmtId="0" fontId="18" fillId="2" borderId="37" xfId="4" applyFont="1" applyFill="1" applyBorder="1" applyAlignment="1">
      <alignment vertical="center"/>
    </xf>
    <xf numFmtId="0" fontId="18" fillId="2" borderId="37" xfId="4" applyFont="1" applyFill="1" applyBorder="1"/>
    <xf numFmtId="0" fontId="20" fillId="2" borderId="38" xfId="4" applyFont="1" applyFill="1" applyBorder="1" applyAlignment="1" applyProtection="1">
      <alignment horizontal="left" vertical="center"/>
    </xf>
    <xf numFmtId="0" fontId="38" fillId="2" borderId="38" xfId="4" applyFont="1" applyFill="1" applyBorder="1" applyAlignment="1" applyProtection="1">
      <alignment horizontal="left" vertical="center"/>
    </xf>
    <xf numFmtId="167" fontId="38" fillId="2" borderId="38" xfId="4" applyNumberFormat="1" applyFont="1" applyFill="1" applyBorder="1" applyAlignment="1" applyProtection="1">
      <alignment horizontal="left" vertical="center"/>
    </xf>
    <xf numFmtId="0" fontId="18" fillId="2" borderId="38" xfId="4" applyFont="1" applyFill="1" applyBorder="1"/>
    <xf numFmtId="3" fontId="7" fillId="2" borderId="38" xfId="4" applyNumberFormat="1" applyFont="1" applyFill="1" applyBorder="1"/>
    <xf numFmtId="0" fontId="46" fillId="2" borderId="38" xfId="4" applyFont="1" applyFill="1" applyBorder="1"/>
    <xf numFmtId="0" fontId="46" fillId="2" borderId="48" xfId="4" applyFont="1" applyFill="1" applyBorder="1"/>
    <xf numFmtId="0" fontId="25" fillId="2" borderId="57" xfId="4" applyFont="1" applyFill="1" applyBorder="1" applyAlignment="1">
      <alignment horizontal="center" vertical="center"/>
    </xf>
    <xf numFmtId="0" fontId="27" fillId="2" borderId="57" xfId="4" applyFont="1" applyFill="1" applyBorder="1" applyAlignment="1">
      <alignment horizontal="right"/>
    </xf>
    <xf numFmtId="0" fontId="46" fillId="2" borderId="53" xfId="4" applyFont="1" applyFill="1" applyBorder="1"/>
    <xf numFmtId="0" fontId="46" fillId="2" borderId="0" xfId="4" applyFont="1" applyFill="1" applyBorder="1"/>
    <xf numFmtId="0" fontId="46" fillId="2" borderId="55" xfId="4" applyFont="1" applyFill="1" applyBorder="1"/>
    <xf numFmtId="1" fontId="25" fillId="2" borderId="58" xfId="4" applyNumberFormat="1" applyFont="1" applyFill="1" applyBorder="1" applyAlignment="1">
      <alignment vertical="center"/>
    </xf>
    <xf numFmtId="1" fontId="25" fillId="2" borderId="58" xfId="4" applyNumberFormat="1" applyFont="1" applyFill="1" applyBorder="1" applyAlignment="1">
      <alignment horizontal="right" vertical="center"/>
    </xf>
    <xf numFmtId="0" fontId="25" fillId="2" borderId="59" xfId="4" applyFont="1" applyFill="1" applyBorder="1" applyAlignment="1">
      <alignment horizontal="center" vertical="center"/>
    </xf>
    <xf numFmtId="0" fontId="32" fillId="2" borderId="59" xfId="4" applyFont="1" applyFill="1" applyBorder="1" applyAlignment="1" applyProtection="1">
      <alignment horizontal="right" vertical="center"/>
    </xf>
    <xf numFmtId="0" fontId="25" fillId="2" borderId="37" xfId="4" applyFont="1" applyFill="1" applyBorder="1" applyAlignment="1" applyProtection="1">
      <alignment horizontal="left" vertical="center"/>
    </xf>
    <xf numFmtId="3" fontId="25" fillId="2" borderId="37" xfId="4" applyNumberFormat="1" applyFont="1" applyFill="1" applyBorder="1" applyAlignment="1">
      <alignment horizontal="right" vertical="center"/>
    </xf>
    <xf numFmtId="3" fontId="25" fillId="2" borderId="37" xfId="4" applyNumberFormat="1" applyFont="1" applyFill="1" applyBorder="1" applyAlignment="1">
      <alignment horizontal="center" vertical="center"/>
    </xf>
    <xf numFmtId="0" fontId="32" fillId="2" borderId="37" xfId="4" applyFont="1" applyFill="1" applyBorder="1" applyAlignment="1" applyProtection="1">
      <alignment horizontal="right" vertical="center"/>
    </xf>
    <xf numFmtId="0" fontId="46" fillId="2" borderId="38" xfId="4" applyFont="1" applyFill="1" applyBorder="1" applyAlignment="1">
      <alignment vertical="center"/>
    </xf>
    <xf numFmtId="0" fontId="46" fillId="2" borderId="53" xfId="4" applyFont="1" applyFill="1" applyBorder="1" applyAlignment="1">
      <alignment vertical="center"/>
    </xf>
    <xf numFmtId="0" fontId="46" fillId="2" borderId="0" xfId="4" applyFont="1" applyFill="1" applyBorder="1" applyAlignment="1">
      <alignment vertical="center"/>
    </xf>
    <xf numFmtId="0" fontId="27" fillId="2" borderId="38" xfId="4" applyFont="1" applyFill="1" applyBorder="1" applyAlignment="1">
      <alignment horizontal="left" vertical="center"/>
    </xf>
    <xf numFmtId="3" fontId="27" fillId="2" borderId="38" xfId="4" applyNumberFormat="1" applyFont="1" applyFill="1" applyBorder="1" applyAlignment="1">
      <alignment horizontal="right" vertical="center"/>
    </xf>
    <xf numFmtId="0" fontId="65" fillId="2" borderId="38" xfId="4" applyFont="1" applyFill="1" applyBorder="1" applyAlignment="1">
      <alignment horizontal="right" vertical="center"/>
    </xf>
    <xf numFmtId="3" fontId="46" fillId="2" borderId="0" xfId="4" applyNumberFormat="1" applyFont="1" applyFill="1" applyBorder="1" applyAlignment="1">
      <alignment vertical="center"/>
    </xf>
    <xf numFmtId="0" fontId="27" fillId="2" borderId="0" xfId="4" applyFont="1" applyFill="1" applyBorder="1" applyAlignment="1">
      <alignment vertical="center"/>
    </xf>
    <xf numFmtId="3" fontId="27" fillId="2" borderId="0" xfId="4" applyNumberFormat="1" applyFont="1" applyFill="1" applyBorder="1" applyAlignment="1">
      <alignment horizontal="right" vertical="center"/>
    </xf>
    <xf numFmtId="1" fontId="46" fillId="2" borderId="55" xfId="4" applyNumberFormat="1" applyFont="1" applyFill="1" applyBorder="1"/>
    <xf numFmtId="0" fontId="65" fillId="2" borderId="38" xfId="4" applyFont="1" applyFill="1" applyBorder="1" applyAlignment="1" applyProtection="1">
      <alignment horizontal="right" vertical="center"/>
    </xf>
    <xf numFmtId="0" fontId="27" fillId="2" borderId="38" xfId="4" applyFont="1" applyFill="1" applyBorder="1" applyAlignment="1" applyProtection="1">
      <alignment horizontal="left" vertical="center"/>
    </xf>
    <xf numFmtId="0" fontId="43" fillId="2" borderId="38" xfId="4" applyFont="1" applyFill="1" applyBorder="1" applyAlignment="1">
      <alignment vertical="center"/>
    </xf>
    <xf numFmtId="0" fontId="43" fillId="2" borderId="53" xfId="4" applyFont="1" applyFill="1" applyBorder="1" applyAlignment="1">
      <alignment vertical="center"/>
    </xf>
    <xf numFmtId="0" fontId="43" fillId="2" borderId="0" xfId="4" applyFont="1" applyFill="1" applyBorder="1" applyAlignment="1">
      <alignment vertical="center"/>
    </xf>
    <xf numFmtId="0" fontId="27" fillId="2" borderId="0" xfId="4" applyFont="1" applyFill="1" applyBorder="1" applyAlignment="1" applyProtection="1">
      <alignment horizontal="left" vertical="center"/>
    </xf>
    <xf numFmtId="3" fontId="27" fillId="2" borderId="38" xfId="4" applyNumberFormat="1" applyFont="1" applyFill="1" applyBorder="1" applyAlignment="1" applyProtection="1">
      <alignment horizontal="right" vertical="center"/>
      <protection locked="0"/>
    </xf>
    <xf numFmtId="0" fontId="27" fillId="2" borderId="48" xfId="4" applyFont="1" applyFill="1" applyBorder="1" applyAlignment="1">
      <alignment horizontal="left" vertical="center"/>
    </xf>
    <xf numFmtId="3" fontId="27" fillId="2" borderId="48" xfId="4" applyNumberFormat="1" applyFont="1" applyFill="1" applyBorder="1" applyAlignment="1">
      <alignment horizontal="right" vertical="center"/>
    </xf>
    <xf numFmtId="0" fontId="65" fillId="2" borderId="48" xfId="4" applyFont="1" applyFill="1" applyBorder="1" applyAlignment="1" applyProtection="1">
      <alignment horizontal="right" vertical="center"/>
    </xf>
    <xf numFmtId="0" fontId="46" fillId="2" borderId="48" xfId="4" applyFont="1" applyFill="1" applyBorder="1" applyAlignment="1">
      <alignment vertical="center"/>
    </xf>
    <xf numFmtId="0" fontId="46" fillId="2" borderId="60" xfId="4" applyFont="1" applyFill="1" applyBorder="1" applyAlignment="1">
      <alignment vertical="center"/>
    </xf>
    <xf numFmtId="0" fontId="27" fillId="2" borderId="0" xfId="4" applyFont="1" applyFill="1" applyBorder="1" applyAlignment="1">
      <alignment horizontal="left" vertical="center"/>
    </xf>
    <xf numFmtId="0" fontId="65" fillId="2" borderId="37" xfId="4" applyFont="1" applyFill="1" applyBorder="1" applyAlignment="1" applyProtection="1">
      <alignment horizontal="right" vertical="center"/>
    </xf>
    <xf numFmtId="0" fontId="65" fillId="2" borderId="0" xfId="4" applyFont="1" applyFill="1" applyBorder="1" applyAlignment="1" applyProtection="1">
      <alignment horizontal="right" vertical="center"/>
    </xf>
    <xf numFmtId="0" fontId="27" fillId="2" borderId="37" xfId="4" applyFont="1" applyFill="1" applyBorder="1" applyAlignment="1">
      <alignment horizontal="left" vertical="center"/>
    </xf>
    <xf numFmtId="3" fontId="27" fillId="2" borderId="37" xfId="4" applyNumberFormat="1" applyFont="1" applyFill="1" applyBorder="1" applyAlignment="1">
      <alignment horizontal="right" vertical="center"/>
    </xf>
    <xf numFmtId="0" fontId="46" fillId="2" borderId="37" xfId="4" applyFont="1" applyFill="1" applyBorder="1" applyAlignment="1">
      <alignment vertical="center"/>
    </xf>
    <xf numFmtId="0" fontId="46" fillId="2" borderId="50" xfId="4" applyFont="1" applyFill="1" applyBorder="1" applyAlignment="1">
      <alignment vertical="center"/>
    </xf>
    <xf numFmtId="0" fontId="27" fillId="2" borderId="59" xfId="4" applyFont="1" applyFill="1" applyBorder="1" applyAlignment="1">
      <alignment horizontal="left" vertical="center"/>
    </xf>
    <xf numFmtId="3" fontId="27" fillId="2" borderId="59" xfId="4" applyNumberFormat="1" applyFont="1" applyFill="1" applyBorder="1" applyAlignment="1">
      <alignment horizontal="right" vertical="center"/>
    </xf>
    <xf numFmtId="0" fontId="65" fillId="2" borderId="59" xfId="4" applyFont="1" applyFill="1" applyBorder="1" applyAlignment="1">
      <alignment horizontal="right" vertical="center"/>
    </xf>
    <xf numFmtId="0" fontId="17" fillId="2" borderId="38" xfId="4" applyFont="1" applyFill="1" applyBorder="1" applyAlignment="1" applyProtection="1">
      <alignment horizontal="left" vertical="center"/>
    </xf>
    <xf numFmtId="0" fontId="62" fillId="2" borderId="38" xfId="4" applyFont="1" applyFill="1" applyBorder="1" applyAlignment="1" applyProtection="1">
      <alignment horizontal="left" vertical="center"/>
    </xf>
    <xf numFmtId="0" fontId="62" fillId="2" borderId="37" xfId="4" applyFont="1" applyFill="1" applyBorder="1" applyAlignment="1" applyProtection="1">
      <alignment horizontal="left" vertical="center"/>
    </xf>
    <xf numFmtId="0" fontId="27" fillId="2" borderId="38" xfId="4" applyFont="1" applyFill="1" applyBorder="1" applyAlignment="1">
      <alignment vertical="center"/>
    </xf>
    <xf numFmtId="167" fontId="46" fillId="2" borderId="0" xfId="1" applyNumberFormat="1" applyFont="1" applyFill="1"/>
    <xf numFmtId="0" fontId="66" fillId="2" borderId="38" xfId="4" applyFont="1" applyFill="1" applyBorder="1"/>
    <xf numFmtId="3" fontId="46" fillId="2" borderId="38" xfId="4" applyNumberFormat="1" applyFont="1" applyFill="1" applyBorder="1"/>
    <xf numFmtId="0" fontId="27" fillId="2" borderId="48" xfId="4" applyFont="1" applyFill="1" applyBorder="1" applyAlignment="1">
      <alignment vertical="center"/>
    </xf>
    <xf numFmtId="3" fontId="43" fillId="2" borderId="0" xfId="4" applyNumberFormat="1" applyFont="1" applyFill="1" applyBorder="1" applyAlignment="1">
      <alignment horizontal="right" vertical="center"/>
    </xf>
    <xf numFmtId="0" fontId="27" fillId="2" borderId="37" xfId="4" applyFont="1" applyFill="1" applyBorder="1" applyAlignment="1">
      <alignment vertical="center"/>
    </xf>
    <xf numFmtId="0" fontId="27" fillId="2" borderId="59" xfId="4" applyFont="1" applyFill="1" applyBorder="1" applyAlignment="1">
      <alignment vertical="center"/>
    </xf>
    <xf numFmtId="0" fontId="24" fillId="2" borderId="0" xfId="4" applyFont="1" applyFill="1" applyAlignment="1">
      <alignment vertical="center"/>
    </xf>
    <xf numFmtId="0" fontId="24" fillId="2" borderId="0" xfId="4" applyFont="1" applyFill="1"/>
    <xf numFmtId="0" fontId="10" fillId="2" borderId="11" xfId="4" applyFont="1" applyFill="1" applyBorder="1" applyAlignment="1" applyProtection="1">
      <alignment horizontal="center" vertical="center"/>
    </xf>
    <xf numFmtId="167" fontId="10" fillId="2" borderId="11" xfId="4" applyNumberFormat="1" applyFont="1" applyFill="1" applyBorder="1" applyAlignment="1" applyProtection="1">
      <alignment horizontal="center" vertical="center"/>
    </xf>
    <xf numFmtId="0" fontId="24" fillId="2" borderId="0" xfId="4" applyFont="1" applyFill="1" applyBorder="1"/>
    <xf numFmtId="0" fontId="10" fillId="2" borderId="11" xfId="4" applyFont="1" applyFill="1" applyBorder="1" applyAlignment="1" applyProtection="1">
      <alignment horizontal="left" vertical="center"/>
    </xf>
    <xf numFmtId="0" fontId="10" fillId="2" borderId="11" xfId="4" applyFont="1" applyFill="1" applyBorder="1" applyAlignment="1" applyProtection="1">
      <alignment horizontal="right" vertical="center"/>
    </xf>
    <xf numFmtId="0" fontId="10" fillId="2" borderId="12" xfId="4" applyFont="1" applyFill="1" applyBorder="1" applyAlignment="1" applyProtection="1">
      <alignment horizontal="right" vertical="center"/>
    </xf>
    <xf numFmtId="0" fontId="52" fillId="2" borderId="12" xfId="4" applyFont="1" applyFill="1" applyBorder="1" applyAlignment="1">
      <alignment vertical="center"/>
    </xf>
    <xf numFmtId="0" fontId="15" fillId="2" borderId="0" xfId="4" applyFont="1" applyFill="1" applyAlignment="1">
      <alignment vertical="center"/>
    </xf>
    <xf numFmtId="0" fontId="10" fillId="2" borderId="1" xfId="4" applyFont="1" applyFill="1" applyBorder="1" applyAlignment="1" applyProtection="1">
      <alignment horizontal="left" vertical="center"/>
    </xf>
    <xf numFmtId="167" fontId="10" fillId="2" borderId="1" xfId="1" applyNumberFormat="1" applyFont="1" applyFill="1" applyBorder="1" applyAlignment="1" applyProtection="1">
      <alignment horizontal="right" vertical="center"/>
    </xf>
    <xf numFmtId="0" fontId="52" fillId="2" borderId="1" xfId="4" applyFont="1" applyFill="1" applyBorder="1"/>
    <xf numFmtId="0" fontId="15" fillId="2" borderId="0" xfId="4" applyFont="1" applyFill="1"/>
    <xf numFmtId="167" fontId="15" fillId="2" borderId="0" xfId="4" applyNumberFormat="1" applyFont="1" applyFill="1"/>
    <xf numFmtId="0" fontId="10" fillId="2" borderId="0" xfId="4" applyFont="1" applyFill="1" applyBorder="1" applyAlignment="1" applyProtection="1">
      <alignment horizontal="left" vertical="center"/>
    </xf>
    <xf numFmtId="0" fontId="52" fillId="2" borderId="0" xfId="4" applyFont="1" applyFill="1"/>
    <xf numFmtId="167" fontId="15" fillId="2" borderId="0" xfId="4" applyNumberFormat="1" applyFont="1" applyFill="1" applyAlignment="1">
      <alignment vertical="center"/>
    </xf>
    <xf numFmtId="17" fontId="10" fillId="2" borderId="0" xfId="8" applyNumberFormat="1" applyFont="1" applyFill="1" applyBorder="1" applyAlignment="1">
      <alignment horizontal="left" vertical="center" indent="1"/>
    </xf>
    <xf numFmtId="0" fontId="9" fillId="2" borderId="0" xfId="4" applyFont="1" applyFill="1" applyBorder="1" applyAlignment="1">
      <alignment horizontal="right" vertical="center" indent="1"/>
    </xf>
    <xf numFmtId="0" fontId="24" fillId="2" borderId="0" xfId="8" applyFont="1" applyFill="1" applyBorder="1" applyAlignment="1">
      <alignment horizontal="left" vertical="center" indent="2"/>
    </xf>
    <xf numFmtId="167" fontId="10" fillId="2" borderId="0" xfId="1" applyNumberFormat="1" applyFont="1" applyFill="1" applyBorder="1" applyAlignment="1">
      <alignment vertical="center"/>
    </xf>
    <xf numFmtId="167" fontId="24" fillId="2" borderId="0" xfId="1" applyNumberFormat="1" applyFont="1" applyFill="1" applyBorder="1" applyAlignment="1">
      <alignment vertical="center"/>
    </xf>
    <xf numFmtId="0" fontId="64" fillId="2" borderId="0" xfId="4" applyFont="1" applyFill="1" applyAlignment="1">
      <alignment horizontal="right" indent="2"/>
    </xf>
    <xf numFmtId="0" fontId="24" fillId="2" borderId="0" xfId="8" quotePrefix="1" applyFont="1" applyFill="1" applyBorder="1" applyAlignment="1">
      <alignment horizontal="left" vertical="center" indent="2"/>
    </xf>
    <xf numFmtId="167" fontId="10" fillId="2" borderId="0" xfId="1" applyNumberFormat="1" applyFont="1" applyFill="1" applyBorder="1" applyAlignment="1">
      <alignment horizontal="right" vertical="center"/>
    </xf>
    <xf numFmtId="0" fontId="52" fillId="2" borderId="0" xfId="4" applyFont="1" applyFill="1" applyAlignment="1">
      <alignment horizontal="right" indent="1"/>
    </xf>
    <xf numFmtId="17" fontId="10" fillId="2" borderId="0" xfId="8" applyNumberFormat="1" applyFont="1" applyFill="1" applyBorder="1" applyAlignment="1">
      <alignment horizontal="left" vertical="center" wrapText="1" indent="1"/>
    </xf>
    <xf numFmtId="0" fontId="24" fillId="2" borderId="11" xfId="8" applyFont="1" applyFill="1" applyBorder="1" applyAlignment="1">
      <alignment horizontal="left" vertical="center" indent="2"/>
    </xf>
    <xf numFmtId="167" fontId="10" fillId="2" borderId="11" xfId="1" applyNumberFormat="1" applyFont="1" applyFill="1" applyBorder="1" applyAlignment="1">
      <alignment vertical="center"/>
    </xf>
    <xf numFmtId="167" fontId="24" fillId="2" borderId="11" xfId="1" applyNumberFormat="1" applyFont="1" applyFill="1" applyBorder="1" applyAlignment="1">
      <alignment vertical="center"/>
    </xf>
    <xf numFmtId="0" fontId="64" fillId="2" borderId="11" xfId="4" applyFont="1" applyFill="1" applyBorder="1" applyAlignment="1">
      <alignment horizontal="right" indent="2"/>
    </xf>
    <xf numFmtId="0" fontId="52" fillId="2" borderId="0" xfId="4" applyFont="1" applyFill="1" applyBorder="1"/>
    <xf numFmtId="0" fontId="52" fillId="2" borderId="0" xfId="4" applyFont="1" applyFill="1" applyAlignment="1">
      <alignment horizontal="right" indent="1" readingOrder="1"/>
    </xf>
    <xf numFmtId="0" fontId="64" fillId="2" borderId="0" xfId="4" applyFont="1" applyFill="1" applyBorder="1" applyAlignment="1">
      <alignment horizontal="right" indent="2"/>
    </xf>
    <xf numFmtId="0" fontId="24" fillId="2" borderId="0" xfId="8" applyFont="1" applyFill="1" applyBorder="1" applyAlignment="1">
      <alignment horizontal="left" vertical="center" indent="1"/>
    </xf>
    <xf numFmtId="0" fontId="64" fillId="2" borderId="0" xfId="4" applyFont="1" applyFill="1" applyAlignment="1">
      <alignment horizontal="right" indent="1"/>
    </xf>
    <xf numFmtId="0" fontId="24" fillId="2" borderId="11" xfId="8" applyFont="1" applyFill="1" applyBorder="1" applyAlignment="1">
      <alignment horizontal="left" vertical="center" indent="1"/>
    </xf>
    <xf numFmtId="0" fontId="64" fillId="2" borderId="11" xfId="4" applyFont="1" applyFill="1" applyBorder="1" applyAlignment="1">
      <alignment horizontal="right" indent="1"/>
    </xf>
    <xf numFmtId="167" fontId="24" fillId="2" borderId="0" xfId="1" applyNumberFormat="1" applyFont="1" applyFill="1" applyBorder="1" applyAlignment="1">
      <alignment horizontal="right" vertical="center"/>
    </xf>
    <xf numFmtId="167" fontId="24" fillId="2" borderId="11" xfId="1" applyNumberFormat="1" applyFont="1" applyFill="1" applyBorder="1" applyAlignment="1">
      <alignment horizontal="right" vertical="center"/>
    </xf>
    <xf numFmtId="0" fontId="20" fillId="2" borderId="0" xfId="4" applyFont="1" applyFill="1" applyAlignment="1" applyProtection="1">
      <alignment horizontal="left" vertical="center"/>
    </xf>
    <xf numFmtId="0" fontId="20" fillId="2" borderId="1" xfId="4" applyFont="1" applyFill="1" applyBorder="1" applyAlignment="1" applyProtection="1">
      <alignment horizontal="left" vertical="center"/>
    </xf>
    <xf numFmtId="0" fontId="17" fillId="2" borderId="0" xfId="0" applyFont="1" applyFill="1" applyAlignment="1" applyProtection="1">
      <alignment horizontal="left" vertical="center" indent="3"/>
    </xf>
    <xf numFmtId="3" fontId="24" fillId="2" borderId="0" xfId="4" applyNumberFormat="1" applyFont="1" applyFill="1"/>
    <xf numFmtId="0" fontId="7" fillId="2" borderId="0" xfId="4" applyFont="1" applyFill="1" applyBorder="1" applyAlignment="1">
      <alignment horizontal="center" vertical="center"/>
    </xf>
    <xf numFmtId="0" fontId="44" fillId="2" borderId="0" xfId="4" applyFont="1" applyFill="1" applyBorder="1" applyAlignment="1" applyProtection="1">
      <alignment horizontal="center" vertical="center"/>
    </xf>
    <xf numFmtId="0" fontId="7" fillId="2" borderId="0" xfId="4" applyFont="1" applyFill="1" applyAlignment="1">
      <alignment horizontal="center" vertical="center"/>
    </xf>
    <xf numFmtId="0" fontId="46" fillId="2" borderId="0" xfId="4" applyFont="1" applyFill="1"/>
    <xf numFmtId="0" fontId="46" fillId="2" borderId="0" xfId="4" applyFont="1" applyFill="1" applyAlignment="1">
      <alignment wrapText="1"/>
    </xf>
    <xf numFmtId="0" fontId="46" fillId="2" borderId="0" xfId="4" applyFont="1" applyFill="1" applyAlignment="1">
      <alignment horizontal="right" vertical="center"/>
    </xf>
    <xf numFmtId="0" fontId="46" fillId="2" borderId="0" xfId="4" applyFont="1" applyFill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0" fontId="25" fillId="2" borderId="1" xfId="4" applyFont="1" applyFill="1" applyBorder="1" applyAlignment="1" applyProtection="1">
      <alignment horizontal="right" vertical="center"/>
    </xf>
    <xf numFmtId="0" fontId="46" fillId="2" borderId="1" xfId="4" applyFont="1" applyFill="1" applyBorder="1" applyAlignment="1">
      <alignment horizontal="right" vertical="center"/>
    </xf>
    <xf numFmtId="0" fontId="25" fillId="2" borderId="27" xfId="4" applyFont="1" applyFill="1" applyBorder="1" applyAlignment="1">
      <alignment vertical="center"/>
    </xf>
    <xf numFmtId="0" fontId="49" fillId="2" borderId="1" xfId="4" applyFont="1" applyFill="1" applyBorder="1" applyAlignment="1">
      <alignment horizontal="center" vertical="center"/>
    </xf>
    <xf numFmtId="0" fontId="47" fillId="2" borderId="0" xfId="4" applyFont="1" applyFill="1" applyBorder="1" applyAlignment="1">
      <alignment horizontal="right" vertical="center"/>
    </xf>
    <xf numFmtId="0" fontId="7" fillId="2" borderId="11" xfId="4" applyFont="1" applyFill="1" applyBorder="1" applyAlignment="1">
      <alignment horizontal="center" vertical="center"/>
    </xf>
    <xf numFmtId="0" fontId="25" fillId="2" borderId="11" xfId="4" applyFont="1" applyFill="1" applyBorder="1" applyAlignment="1" applyProtection="1">
      <alignment horizontal="right" vertical="center"/>
    </xf>
    <xf numFmtId="1" fontId="25" fillId="2" borderId="11" xfId="4" applyNumberFormat="1" applyFont="1" applyFill="1" applyBorder="1" applyAlignment="1">
      <alignment horizontal="right" vertical="center"/>
    </xf>
    <xf numFmtId="0" fontId="25" fillId="2" borderId="11" xfId="4" applyFont="1" applyFill="1" applyBorder="1" applyAlignment="1">
      <alignment horizontal="center" vertical="center"/>
    </xf>
    <xf numFmtId="0" fontId="25" fillId="2" borderId="0" xfId="4" applyFont="1" applyFill="1" applyBorder="1" applyAlignment="1" applyProtection="1">
      <alignment horizontal="left" vertical="center" wrapText="1"/>
    </xf>
    <xf numFmtId="3" fontId="25" fillId="2" borderId="0" xfId="4" applyNumberFormat="1" applyFont="1" applyFill="1" applyBorder="1" applyAlignment="1" applyProtection="1">
      <alignment horizontal="right" vertical="center"/>
      <protection locked="0"/>
    </xf>
    <xf numFmtId="3" fontId="25" fillId="2" borderId="0" xfId="4" applyNumberFormat="1" applyFont="1" applyFill="1" applyBorder="1" applyAlignment="1">
      <alignment horizontal="right" vertical="center"/>
    </xf>
    <xf numFmtId="3" fontId="25" fillId="2" borderId="0" xfId="4" applyNumberFormat="1" applyFont="1" applyFill="1" applyBorder="1" applyAlignment="1">
      <alignment horizontal="center" vertical="center"/>
    </xf>
    <xf numFmtId="3" fontId="47" fillId="2" borderId="0" xfId="4" applyNumberFormat="1" applyFont="1" applyFill="1" applyBorder="1" applyAlignment="1">
      <alignment horizontal="right" vertical="center"/>
    </xf>
    <xf numFmtId="0" fontId="25" fillId="2" borderId="0" xfId="4" applyFont="1" applyFill="1" applyBorder="1" applyAlignment="1">
      <alignment horizontal="left" vertical="center" wrapText="1"/>
    </xf>
    <xf numFmtId="0" fontId="15" fillId="2" borderId="0" xfId="4" applyFont="1" applyFill="1" applyBorder="1" applyAlignment="1">
      <alignment horizontal="center" vertical="center"/>
    </xf>
    <xf numFmtId="0" fontId="27" fillId="2" borderId="0" xfId="4" applyFont="1" applyFill="1" applyBorder="1" applyAlignment="1" applyProtection="1">
      <alignment horizontal="left" vertical="center" wrapText="1"/>
    </xf>
    <xf numFmtId="49" fontId="27" fillId="2" borderId="0" xfId="4" applyNumberFormat="1" applyFont="1" applyFill="1" applyBorder="1" applyAlignment="1" applyProtection="1">
      <alignment horizontal="right" vertical="center"/>
    </xf>
    <xf numFmtId="3" fontId="47" fillId="2" borderId="0" xfId="4" applyNumberFormat="1" applyFont="1" applyFill="1" applyBorder="1" applyAlignment="1" applyProtection="1">
      <alignment horizontal="right" vertical="center"/>
      <protection locked="0"/>
    </xf>
    <xf numFmtId="0" fontId="43" fillId="2" borderId="0" xfId="4" applyFont="1" applyFill="1" applyBorder="1"/>
    <xf numFmtId="0" fontId="43" fillId="2" borderId="0" xfId="4" applyFont="1" applyFill="1"/>
    <xf numFmtId="0" fontId="15" fillId="2" borderId="24" xfId="4" applyFont="1" applyFill="1" applyBorder="1" applyAlignment="1">
      <alignment horizontal="center" vertical="center"/>
    </xf>
    <xf numFmtId="0" fontId="27" fillId="2" borderId="61" xfId="4" applyFont="1" applyFill="1" applyBorder="1" applyAlignment="1" applyProtection="1">
      <alignment horizontal="left" vertical="center" wrapText="1"/>
    </xf>
    <xf numFmtId="49" fontId="27" fillId="2" borderId="61" xfId="4" applyNumberFormat="1" applyFont="1" applyFill="1" applyBorder="1" applyAlignment="1" applyProtection="1">
      <alignment horizontal="right" vertical="center"/>
    </xf>
    <xf numFmtId="3" fontId="27" fillId="2" borderId="61" xfId="4" applyNumberFormat="1" applyFont="1" applyFill="1" applyBorder="1" applyAlignment="1" applyProtection="1">
      <alignment horizontal="right" vertical="center"/>
      <protection locked="0"/>
    </xf>
    <xf numFmtId="3" fontId="27" fillId="2" borderId="24" xfId="4" applyNumberFormat="1" applyFont="1" applyFill="1" applyBorder="1" applyAlignment="1" applyProtection="1">
      <alignment horizontal="right" vertical="center"/>
      <protection locked="0"/>
    </xf>
    <xf numFmtId="0" fontId="27" fillId="2" borderId="0" xfId="4" applyFont="1" applyFill="1" applyBorder="1" applyAlignment="1">
      <alignment horizontal="left" vertical="center" wrapText="1"/>
    </xf>
    <xf numFmtId="1" fontId="27" fillId="2" borderId="0" xfId="4" applyNumberFormat="1" applyFont="1" applyFill="1" applyBorder="1" applyAlignment="1" applyProtection="1">
      <alignment horizontal="right" vertical="center"/>
    </xf>
    <xf numFmtId="1" fontId="27" fillId="2" borderId="61" xfId="4" applyNumberFormat="1" applyFont="1" applyFill="1" applyBorder="1" applyAlignment="1" applyProtection="1">
      <alignment horizontal="right" vertical="center"/>
    </xf>
    <xf numFmtId="1" fontId="27" fillId="2" borderId="61" xfId="4" applyNumberFormat="1" applyFont="1" applyFill="1" applyBorder="1" applyAlignment="1" applyProtection="1">
      <alignment horizontal="right" vertical="center"/>
      <protection locked="0"/>
    </xf>
    <xf numFmtId="3" fontId="27" fillId="2" borderId="61" xfId="4" applyNumberFormat="1" applyFont="1" applyFill="1" applyBorder="1" applyAlignment="1" applyProtection="1">
      <alignment horizontal="right" vertical="center"/>
    </xf>
    <xf numFmtId="1" fontId="27" fillId="2" borderId="0" xfId="4" applyNumberFormat="1" applyFont="1" applyFill="1" applyBorder="1" applyAlignment="1" applyProtection="1">
      <alignment horizontal="right" vertical="center"/>
      <protection locked="0"/>
    </xf>
    <xf numFmtId="1" fontId="27" fillId="2" borderId="24" xfId="4" applyNumberFormat="1" applyFont="1" applyFill="1" applyBorder="1" applyAlignment="1" applyProtection="1">
      <alignment horizontal="right" vertical="center"/>
      <protection locked="0"/>
    </xf>
    <xf numFmtId="0" fontId="15" fillId="2" borderId="30" xfId="4" applyFont="1" applyFill="1" applyBorder="1" applyAlignment="1">
      <alignment horizontal="center" vertical="center"/>
    </xf>
    <xf numFmtId="0" fontId="25" fillId="2" borderId="30" xfId="4" applyFont="1" applyFill="1" applyBorder="1" applyAlignment="1" applyProtection="1">
      <alignment horizontal="left" vertical="center" wrapText="1"/>
    </xf>
    <xf numFmtId="3" fontId="25" fillId="2" borderId="30" xfId="4" applyNumberFormat="1" applyFont="1" applyFill="1" applyBorder="1" applyAlignment="1">
      <alignment horizontal="right" vertical="center"/>
    </xf>
    <xf numFmtId="3" fontId="27" fillId="2" borderId="0" xfId="4" applyNumberFormat="1" applyFont="1" applyFill="1" applyBorder="1" applyAlignment="1" applyProtection="1">
      <alignment horizontal="right" vertical="center"/>
    </xf>
    <xf numFmtId="49" fontId="27" fillId="2" borderId="0" xfId="1" applyNumberFormat="1" applyFont="1" applyFill="1" applyBorder="1" applyAlignment="1" applyProtection="1">
      <alignment horizontal="right" vertical="center"/>
    </xf>
    <xf numFmtId="0" fontId="68" fillId="2" borderId="0" xfId="0" applyNumberFormat="1" applyFont="1" applyFill="1" applyBorder="1" applyAlignment="1" applyProtection="1"/>
    <xf numFmtId="0" fontId="68" fillId="2" borderId="61" xfId="0" applyNumberFormat="1" applyFont="1" applyFill="1" applyBorder="1" applyAlignment="1" applyProtection="1"/>
    <xf numFmtId="3" fontId="25" fillId="2" borderId="61" xfId="4" applyNumberFormat="1" applyFont="1" applyFill="1" applyBorder="1" applyAlignment="1" applyProtection="1">
      <alignment horizontal="right" vertical="center"/>
      <protection locked="0"/>
    </xf>
    <xf numFmtId="3" fontId="27" fillId="2" borderId="61" xfId="4" applyNumberFormat="1" applyFont="1" applyFill="1" applyBorder="1" applyAlignment="1">
      <alignment horizontal="right" vertical="center"/>
    </xf>
    <xf numFmtId="0" fontId="18" fillId="2" borderId="0" xfId="4" applyFont="1" applyFill="1" applyBorder="1" applyAlignment="1">
      <alignment horizontal="center" vertical="center"/>
    </xf>
    <xf numFmtId="3" fontId="27" fillId="2" borderId="24" xfId="4" applyNumberFormat="1" applyFont="1" applyFill="1" applyBorder="1" applyAlignment="1">
      <alignment horizontal="right" vertical="center"/>
    </xf>
    <xf numFmtId="3" fontId="43" fillId="2" borderId="0" xfId="4" applyNumberFormat="1" applyFont="1" applyFill="1" applyBorder="1" applyAlignment="1" applyProtection="1">
      <alignment horizontal="right" vertical="center"/>
      <protection locked="0"/>
    </xf>
    <xf numFmtId="49" fontId="27" fillId="2" borderId="61" xfId="1" applyNumberFormat="1" applyFont="1" applyFill="1" applyBorder="1" applyAlignment="1" applyProtection="1">
      <alignment horizontal="right" vertical="center"/>
    </xf>
    <xf numFmtId="0" fontId="27" fillId="2" borderId="61" xfId="4" applyFont="1" applyFill="1" applyBorder="1" applyAlignment="1">
      <alignment horizontal="left" vertical="center" wrapText="1"/>
    </xf>
    <xf numFmtId="0" fontId="27" fillId="2" borderId="61" xfId="4" applyFont="1" applyFill="1" applyBorder="1" applyAlignment="1">
      <alignment horizontal="right" vertical="center"/>
    </xf>
    <xf numFmtId="0" fontId="47" fillId="2" borderId="0" xfId="4" applyFont="1" applyFill="1"/>
    <xf numFmtId="0" fontId="27" fillId="2" borderId="0" xfId="4" applyFont="1" applyFill="1" applyBorder="1" applyAlignment="1" applyProtection="1">
      <alignment horizontal="right" vertical="center"/>
    </xf>
    <xf numFmtId="0" fontId="44" fillId="2" borderId="0" xfId="4" applyFont="1" applyFill="1"/>
    <xf numFmtId="0" fontId="27" fillId="2" borderId="0" xfId="0" applyFont="1" applyFill="1" applyBorder="1" applyAlignment="1" applyProtection="1">
      <alignment horizontal="left"/>
    </xf>
    <xf numFmtId="0" fontId="27" fillId="2" borderId="0" xfId="4" applyFont="1" applyFill="1" applyBorder="1" applyAlignment="1">
      <alignment horizontal="right" vertical="center"/>
    </xf>
    <xf numFmtId="0" fontId="27" fillId="2" borderId="24" xfId="0" applyFont="1" applyFill="1" applyBorder="1" applyAlignment="1" applyProtection="1">
      <alignment horizontal="left"/>
    </xf>
    <xf numFmtId="0" fontId="27" fillId="2" borderId="24" xfId="4" applyFont="1" applyFill="1" applyBorder="1" applyAlignment="1">
      <alignment horizontal="right" vertical="center"/>
    </xf>
    <xf numFmtId="0" fontId="15" fillId="2" borderId="11" xfId="4" applyFont="1" applyFill="1" applyBorder="1" applyAlignment="1">
      <alignment horizontal="center" vertical="center"/>
    </xf>
    <xf numFmtId="0" fontId="27" fillId="2" borderId="11" xfId="4" applyFont="1" applyFill="1" applyBorder="1" applyAlignment="1" applyProtection="1">
      <alignment horizontal="left" vertical="center" wrapText="1"/>
    </xf>
    <xf numFmtId="49" fontId="27" fillId="2" borderId="11" xfId="4" applyNumberFormat="1" applyFont="1" applyFill="1" applyBorder="1" applyAlignment="1" applyProtection="1">
      <alignment horizontal="right" vertical="center"/>
    </xf>
    <xf numFmtId="0" fontId="17" fillId="2" borderId="0" xfId="4" applyFont="1" applyFill="1" applyBorder="1" applyAlignment="1" applyProtection="1">
      <alignment horizontal="left" vertical="center" wrapText="1"/>
    </xf>
    <xf numFmtId="1" fontId="43" fillId="2" borderId="0" xfId="4" applyNumberFormat="1" applyFont="1" applyFill="1" applyBorder="1" applyAlignment="1" applyProtection="1">
      <alignment horizontal="right" vertical="center"/>
    </xf>
    <xf numFmtId="168" fontId="43" fillId="2" borderId="0" xfId="4" applyNumberFormat="1" applyFont="1" applyFill="1" applyBorder="1" applyAlignment="1" applyProtection="1">
      <alignment horizontal="right" vertical="center"/>
      <protection locked="0"/>
    </xf>
    <xf numFmtId="0" fontId="62" fillId="2" borderId="0" xfId="4" applyFont="1" applyFill="1" applyBorder="1" applyAlignment="1" applyProtection="1">
      <alignment horizontal="right" vertical="center"/>
    </xf>
    <xf numFmtId="0" fontId="62" fillId="2" borderId="0" xfId="4" applyFont="1" applyFill="1" applyBorder="1" applyAlignment="1" applyProtection="1">
      <alignment horizontal="left" vertical="center"/>
    </xf>
    <xf numFmtId="0" fontId="27" fillId="2" borderId="0" xfId="4" applyFont="1" applyFill="1" applyAlignment="1">
      <alignment wrapText="1"/>
    </xf>
    <xf numFmtId="168" fontId="27" fillId="2" borderId="0" xfId="4" applyNumberFormat="1" applyFont="1" applyFill="1" applyBorder="1" applyAlignment="1" applyProtection="1">
      <alignment horizontal="right" vertical="center" wrapText="1"/>
      <protection locked="0"/>
    </xf>
    <xf numFmtId="0" fontId="43" fillId="2" borderId="0" xfId="4" applyFont="1" applyFill="1" applyBorder="1" applyAlignment="1" applyProtection="1">
      <alignment horizontal="left" vertical="center" wrapText="1"/>
    </xf>
    <xf numFmtId="171" fontId="43" fillId="2" borderId="0" xfId="4" applyNumberFormat="1" applyFont="1" applyFill="1" applyBorder="1" applyAlignment="1" applyProtection="1">
      <alignment horizontal="right" vertical="center"/>
    </xf>
    <xf numFmtId="3" fontId="25" fillId="2" borderId="0" xfId="0" applyNumberFormat="1" applyFont="1" applyFill="1" applyAlignment="1">
      <alignment horizontal="right" vertical="center" indent="3"/>
    </xf>
    <xf numFmtId="3" fontId="27" fillId="2" borderId="0" xfId="0" applyNumberFormat="1" applyFont="1" applyFill="1" applyBorder="1" applyAlignment="1">
      <alignment horizontal="right" vertical="center" indent="3"/>
    </xf>
    <xf numFmtId="3" fontId="27" fillId="2" borderId="11" xfId="0" applyNumberFormat="1" applyFont="1" applyFill="1" applyBorder="1" applyAlignment="1">
      <alignment horizontal="right" vertical="center" indent="3"/>
    </xf>
    <xf numFmtId="0" fontId="43" fillId="2" borderId="0" xfId="0" applyFont="1" applyFill="1" applyAlignment="1">
      <alignment horizontal="right" indent="1"/>
    </xf>
    <xf numFmtId="167" fontId="0" fillId="2" borderId="0" xfId="0" applyNumberFormat="1" applyFill="1"/>
    <xf numFmtId="168" fontId="27" fillId="2" borderId="0" xfId="0" applyNumberFormat="1" applyFont="1" applyFill="1" applyBorder="1" applyAlignment="1" applyProtection="1">
      <alignment horizontal="right" vertical="center" indent="5"/>
    </xf>
    <xf numFmtId="168" fontId="27" fillId="2" borderId="11" xfId="0" applyNumberFormat="1" applyFont="1" applyFill="1" applyBorder="1" applyAlignment="1" applyProtection="1">
      <alignment horizontal="right" vertical="center" indent="5"/>
    </xf>
    <xf numFmtId="168" fontId="25" fillId="2" borderId="0" xfId="0" applyNumberFormat="1" applyFont="1" applyFill="1" applyBorder="1" applyAlignment="1" applyProtection="1">
      <alignment horizontal="right" vertical="center" indent="5"/>
    </xf>
    <xf numFmtId="168" fontId="25" fillId="2" borderId="14" xfId="0" applyNumberFormat="1" applyFont="1" applyFill="1" applyBorder="1" applyAlignment="1" applyProtection="1">
      <alignment horizontal="right" vertical="center" indent="5"/>
    </xf>
    <xf numFmtId="0" fontId="25" fillId="2" borderId="1" xfId="0" applyFont="1" applyFill="1" applyBorder="1" applyAlignment="1" applyProtection="1">
      <alignment vertical="center" wrapText="1"/>
    </xf>
    <xf numFmtId="0" fontId="25" fillId="2" borderId="23" xfId="0" applyFont="1" applyFill="1" applyBorder="1" applyAlignment="1" applyProtection="1">
      <alignment vertical="center" wrapText="1"/>
    </xf>
    <xf numFmtId="0" fontId="32" fillId="2" borderId="1" xfId="0" applyFont="1" applyFill="1" applyBorder="1" applyAlignment="1" applyProtection="1">
      <alignment vertical="center" wrapText="1"/>
    </xf>
    <xf numFmtId="0" fontId="32" fillId="2" borderId="24" xfId="0" applyFont="1" applyFill="1" applyBorder="1" applyAlignment="1" applyProtection="1">
      <alignment vertical="center" wrapText="1"/>
    </xf>
    <xf numFmtId="0" fontId="32" fillId="2" borderId="43" xfId="0" applyFont="1" applyFill="1" applyBorder="1" applyAlignment="1" applyProtection="1">
      <alignment vertical="center" wrapText="1"/>
    </xf>
    <xf numFmtId="0" fontId="46" fillId="2" borderId="0" xfId="0" applyFont="1" applyFill="1" applyAlignment="1">
      <alignment horizontal="center"/>
    </xf>
    <xf numFmtId="168" fontId="27" fillId="2" borderId="17" xfId="0" applyNumberFormat="1" applyFont="1" applyFill="1" applyBorder="1" applyAlignment="1" applyProtection="1">
      <alignment horizontal="right" vertical="center" indent="5"/>
    </xf>
    <xf numFmtId="168" fontId="27" fillId="2" borderId="14" xfId="0" applyNumberFormat="1" applyFont="1" applyFill="1" applyBorder="1" applyAlignment="1" applyProtection="1">
      <alignment horizontal="right" vertical="center" indent="5"/>
    </xf>
    <xf numFmtId="168" fontId="27" fillId="2" borderId="7" xfId="0" applyNumberFormat="1" applyFont="1" applyFill="1" applyBorder="1" applyAlignment="1" applyProtection="1">
      <alignment horizontal="right" vertical="center" indent="5"/>
    </xf>
    <xf numFmtId="168" fontId="27" fillId="2" borderId="23" xfId="0" applyNumberFormat="1" applyFont="1" applyFill="1" applyBorder="1" applyAlignment="1" applyProtection="1">
      <alignment horizontal="right" vertical="center" indent="5"/>
    </xf>
    <xf numFmtId="3" fontId="25" fillId="2" borderId="39" xfId="0" applyNumberFormat="1" applyFont="1" applyFill="1" applyBorder="1" applyAlignment="1" applyProtection="1">
      <alignment horizontal="center" vertical="center"/>
    </xf>
    <xf numFmtId="0" fontId="52" fillId="2" borderId="35" xfId="4" applyFont="1" applyFill="1" applyBorder="1" applyAlignment="1" applyProtection="1">
      <alignment horizontal="right" vertical="center" wrapText="1" indent="1"/>
    </xf>
    <xf numFmtId="0" fontId="51" fillId="2" borderId="0" xfId="0" applyFont="1" applyFill="1" applyAlignment="1" applyProtection="1">
      <alignment horizontal="left" vertical="center" wrapText="1"/>
    </xf>
    <xf numFmtId="3" fontId="51" fillId="2" borderId="33" xfId="0" applyNumberFormat="1" applyFont="1" applyFill="1" applyBorder="1" applyAlignment="1">
      <alignment horizontal="center"/>
    </xf>
    <xf numFmtId="3" fontId="51" fillId="2" borderId="0" xfId="0" applyNumberFormat="1" applyFont="1" applyFill="1" applyAlignment="1">
      <alignment horizontal="center"/>
    </xf>
    <xf numFmtId="168" fontId="51" fillId="2" borderId="0" xfId="0" applyNumberFormat="1" applyFont="1" applyFill="1" applyAlignment="1">
      <alignment horizontal="center"/>
    </xf>
    <xf numFmtId="3" fontId="51" fillId="2" borderId="0" xfId="0" applyNumberFormat="1" applyFont="1" applyFill="1" applyAlignment="1">
      <alignment horizontal="right" vertical="center"/>
    </xf>
    <xf numFmtId="0" fontId="69" fillId="2" borderId="0" xfId="0" applyFont="1" applyFill="1" applyAlignment="1" applyProtection="1">
      <alignment horizontal="left" vertical="center"/>
    </xf>
    <xf numFmtId="3" fontId="69" fillId="2" borderId="34" xfId="0" applyNumberFormat="1" applyFont="1" applyFill="1" applyBorder="1" applyAlignment="1">
      <alignment horizontal="center"/>
    </xf>
    <xf numFmtId="3" fontId="69" fillId="2" borderId="0" xfId="0" applyNumberFormat="1" applyFont="1" applyFill="1" applyBorder="1" applyAlignment="1">
      <alignment horizontal="center"/>
    </xf>
    <xf numFmtId="165" fontId="69" fillId="2" borderId="0" xfId="0" applyNumberFormat="1" applyFont="1" applyFill="1" applyAlignment="1">
      <alignment horizontal="center"/>
    </xf>
    <xf numFmtId="3" fontId="69" fillId="2" borderId="0" xfId="0" applyNumberFormat="1" applyFont="1" applyFill="1" applyBorder="1" applyAlignment="1">
      <alignment horizontal="right" vertical="center"/>
    </xf>
    <xf numFmtId="0" fontId="69" fillId="2" borderId="0" xfId="0" applyFont="1" applyFill="1" applyBorder="1" applyAlignment="1" applyProtection="1">
      <alignment horizontal="left" vertical="center"/>
    </xf>
    <xf numFmtId="0" fontId="69" fillId="2" borderId="11" xfId="0" applyFont="1" applyFill="1" applyBorder="1" applyAlignment="1" applyProtection="1">
      <alignment horizontal="left" vertical="center"/>
    </xf>
    <xf numFmtId="3" fontId="69" fillId="2" borderId="32" xfId="0" applyNumberFormat="1" applyFont="1" applyFill="1" applyBorder="1" applyAlignment="1">
      <alignment horizontal="center"/>
    </xf>
    <xf numFmtId="3" fontId="69" fillId="2" borderId="11" xfId="0" applyNumberFormat="1" applyFont="1" applyFill="1" applyBorder="1" applyAlignment="1">
      <alignment horizontal="center"/>
    </xf>
    <xf numFmtId="165" fontId="69" fillId="2" borderId="11" xfId="0" applyNumberFormat="1" applyFont="1" applyFill="1" applyBorder="1" applyAlignment="1">
      <alignment horizontal="center"/>
    </xf>
    <xf numFmtId="3" fontId="69" fillId="2" borderId="11" xfId="0" applyNumberFormat="1" applyFont="1" applyFill="1" applyBorder="1" applyAlignment="1">
      <alignment horizontal="right" vertical="center"/>
    </xf>
    <xf numFmtId="165" fontId="46" fillId="2" borderId="0" xfId="0" applyNumberFormat="1" applyFont="1" applyFill="1"/>
    <xf numFmtId="0" fontId="9" fillId="2" borderId="5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7" fillId="2" borderId="0" xfId="0" applyFont="1" applyFill="1" applyBorder="1"/>
    <xf numFmtId="0" fontId="3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/>
    </xf>
    <xf numFmtId="0" fontId="25" fillId="2" borderId="64" xfId="0" applyFont="1" applyFill="1" applyBorder="1" applyAlignment="1" applyProtection="1">
      <alignment horizontal="right" vertical="center" wrapText="1"/>
    </xf>
    <xf numFmtId="3" fontId="25" fillId="2" borderId="34" xfId="0" applyNumberFormat="1" applyFont="1" applyFill="1" applyBorder="1" applyAlignment="1" applyProtection="1">
      <alignment horizontal="right" vertical="center"/>
    </xf>
    <xf numFmtId="3" fontId="27" fillId="2" borderId="34" xfId="0" applyNumberFormat="1" applyFont="1" applyFill="1" applyBorder="1" applyAlignment="1">
      <alignment horizontal="right" vertical="center"/>
    </xf>
    <xf numFmtId="3" fontId="27" fillId="2" borderId="32" xfId="0" applyNumberFormat="1" applyFont="1" applyFill="1" applyBorder="1" applyAlignment="1">
      <alignment horizontal="right" vertical="center"/>
    </xf>
    <xf numFmtId="3" fontId="27" fillId="2" borderId="37" xfId="4" applyNumberFormat="1" applyFont="1" applyFill="1" applyBorder="1" applyAlignment="1">
      <alignment horizontal="center" vertical="center"/>
    </xf>
    <xf numFmtId="0" fontId="75" fillId="2" borderId="0" xfId="26" applyFont="1" applyFill="1" applyAlignment="1">
      <alignment horizontal="center" vertical="center"/>
    </xf>
    <xf numFmtId="0" fontId="75" fillId="2" borderId="0" xfId="26" applyFont="1" applyFill="1" applyAlignment="1">
      <alignment vertical="center"/>
    </xf>
    <xf numFmtId="0" fontId="5" fillId="2" borderId="0" xfId="26" applyFont="1" applyFill="1" applyBorder="1" applyAlignment="1">
      <alignment horizontal="left" vertical="center"/>
    </xf>
    <xf numFmtId="0" fontId="5" fillId="2" borderId="24" xfId="26" applyFont="1" applyFill="1" applyBorder="1" applyAlignment="1">
      <alignment horizontal="left" vertical="center"/>
    </xf>
    <xf numFmtId="0" fontId="77" fillId="2" borderId="0" xfId="26" applyFont="1" applyFill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1" fillId="2" borderId="0" xfId="0" applyNumberFormat="1" applyFont="1" applyFill="1" applyBorder="1" applyAlignment="1">
      <alignment horizontal="center" vertical="center"/>
    </xf>
    <xf numFmtId="0" fontId="78" fillId="2" borderId="1" xfId="0" applyFont="1" applyFill="1" applyBorder="1" applyAlignment="1">
      <alignment horizontal="right" vertical="top" wrapText="1"/>
    </xf>
    <xf numFmtId="0" fontId="78" fillId="2" borderId="0" xfId="0" applyFont="1" applyFill="1" applyBorder="1" applyAlignment="1">
      <alignment horizontal="right" vertical="center"/>
    </xf>
    <xf numFmtId="0" fontId="78" fillId="2" borderId="11" xfId="0" applyFont="1" applyFill="1" applyBorder="1" applyAlignment="1">
      <alignment vertical="center" wrapText="1"/>
    </xf>
    <xf numFmtId="0" fontId="80" fillId="2" borderId="3" xfId="0" applyFont="1" applyFill="1" applyBorder="1"/>
    <xf numFmtId="0" fontId="81" fillId="2" borderId="0" xfId="0" applyFont="1" applyFill="1"/>
    <xf numFmtId="0" fontId="79" fillId="2" borderId="2" xfId="0" applyFont="1" applyFill="1" applyBorder="1" applyAlignment="1">
      <alignment vertical="center" wrapText="1"/>
    </xf>
    <xf numFmtId="0" fontId="79" fillId="2" borderId="4" xfId="0" applyFont="1" applyFill="1" applyBorder="1" applyAlignment="1">
      <alignment vertical="center" wrapText="1"/>
    </xf>
    <xf numFmtId="167" fontId="11" fillId="2" borderId="15" xfId="1" applyNumberFormat="1" applyFont="1" applyFill="1" applyBorder="1" applyAlignment="1" applyProtection="1">
      <alignment horizontal="left" vertical="center"/>
    </xf>
    <xf numFmtId="167" fontId="13" fillId="2" borderId="16" xfId="1" applyNumberFormat="1" applyFont="1" applyFill="1" applyBorder="1" applyAlignment="1" applyProtection="1">
      <alignment horizontal="left" vertical="center"/>
    </xf>
    <xf numFmtId="0" fontId="14" fillId="2" borderId="0" xfId="0" applyFont="1" applyFill="1" applyBorder="1" applyAlignment="1">
      <alignment horizontal="right" vertical="center" indent="2"/>
    </xf>
    <xf numFmtId="0" fontId="12" fillId="2" borderId="0" xfId="0" applyFont="1" applyFill="1" applyBorder="1" applyAlignment="1">
      <alignment horizontal="right" vertical="center" indent="2"/>
    </xf>
    <xf numFmtId="0" fontId="14" fillId="2" borderId="0" xfId="3" applyFont="1" applyFill="1" applyBorder="1" applyAlignment="1">
      <alignment horizontal="right" vertical="center" indent="2"/>
    </xf>
    <xf numFmtId="0" fontId="12" fillId="2" borderId="11" xfId="0" applyFont="1" applyFill="1" applyBorder="1" applyAlignment="1">
      <alignment horizontal="right" vertical="center"/>
    </xf>
    <xf numFmtId="0" fontId="82" fillId="2" borderId="0" xfId="0" applyFont="1" applyFill="1" applyBorder="1" applyAlignment="1">
      <alignment horizontal="right" vertical="center"/>
    </xf>
    <xf numFmtId="0" fontId="79" fillId="2" borderId="12" xfId="0" applyFont="1" applyFill="1" applyBorder="1" applyAlignment="1">
      <alignment horizontal="right" vertical="center"/>
    </xf>
    <xf numFmtId="0" fontId="79" fillId="2" borderId="1" xfId="0" applyFont="1" applyFill="1" applyBorder="1" applyAlignment="1">
      <alignment horizontal="right" vertical="center"/>
    </xf>
    <xf numFmtId="0" fontId="84" fillId="2" borderId="0" xfId="0" applyFont="1" applyFill="1" applyBorder="1" applyAlignment="1">
      <alignment horizontal="right" vertical="center" wrapText="1"/>
    </xf>
    <xf numFmtId="0" fontId="84" fillId="2" borderId="0" xfId="0" applyFont="1" applyFill="1" applyBorder="1" applyAlignment="1">
      <alignment horizontal="right" vertical="center"/>
    </xf>
    <xf numFmtId="0" fontId="85" fillId="2" borderId="0" xfId="0" applyFont="1" applyFill="1" applyBorder="1" applyAlignment="1">
      <alignment horizontal="right" vertical="center" indent="1"/>
    </xf>
    <xf numFmtId="0" fontId="85" fillId="2" borderId="24" xfId="0" applyFont="1" applyFill="1" applyBorder="1" applyAlignment="1">
      <alignment horizontal="right" vertical="center" indent="1"/>
    </xf>
    <xf numFmtId="0" fontId="85" fillId="2" borderId="11" xfId="0" applyFont="1" applyFill="1" applyBorder="1" applyAlignment="1">
      <alignment horizontal="right" vertical="center" indent="1"/>
    </xf>
    <xf numFmtId="0" fontId="81" fillId="2" borderId="24" xfId="0" applyFont="1" applyFill="1" applyBorder="1" applyAlignment="1">
      <alignment horizontal="right" indent="1"/>
    </xf>
    <xf numFmtId="0" fontId="81" fillId="2" borderId="11" xfId="0" applyFont="1" applyFill="1" applyBorder="1" applyAlignment="1">
      <alignment horizontal="right" indent="1"/>
    </xf>
    <xf numFmtId="0" fontId="82" fillId="2" borderId="0" xfId="0" applyFont="1" applyFill="1" applyAlignment="1">
      <alignment horizontal="right" vertical="center"/>
    </xf>
    <xf numFmtId="0" fontId="82" fillId="2" borderId="0" xfId="0" applyFont="1" applyFill="1"/>
    <xf numFmtId="0" fontId="80" fillId="2" borderId="0" xfId="0" applyFont="1" applyFill="1"/>
    <xf numFmtId="0" fontId="80" fillId="2" borderId="0" xfId="0" applyFont="1" applyFill="1" applyBorder="1"/>
    <xf numFmtId="0" fontId="79" fillId="2" borderId="0" xfId="0" applyFont="1" applyFill="1" applyBorder="1" applyAlignment="1">
      <alignment horizontal="right" vertical="center"/>
    </xf>
    <xf numFmtId="0" fontId="32" fillId="2" borderId="0" xfId="0" applyFont="1" applyFill="1" applyBorder="1" applyAlignment="1">
      <alignment horizontal="right" vertical="center"/>
    </xf>
    <xf numFmtId="37" fontId="32" fillId="2" borderId="0" xfId="0" applyNumberFormat="1" applyFont="1" applyFill="1" applyBorder="1" applyAlignment="1" applyProtection="1">
      <alignment horizontal="center" vertical="center" wrapText="1"/>
    </xf>
    <xf numFmtId="0" fontId="25" fillId="2" borderId="0" xfId="0" applyFont="1" applyFill="1" applyBorder="1" applyAlignment="1" applyProtection="1">
      <alignment horizontal="center" vertical="center" wrapText="1"/>
    </xf>
    <xf numFmtId="0" fontId="25" fillId="2" borderId="32" xfId="0" applyFont="1" applyFill="1" applyBorder="1" applyAlignment="1" applyProtection="1">
      <alignment horizontal="right" vertical="center" wrapText="1"/>
    </xf>
    <xf numFmtId="37" fontId="32" fillId="2" borderId="30" xfId="0" applyNumberFormat="1" applyFont="1" applyFill="1" applyBorder="1" applyAlignment="1" applyProtection="1">
      <alignment horizontal="right" vertical="center" wrapText="1"/>
    </xf>
    <xf numFmtId="165" fontId="89" fillId="2" borderId="0" xfId="0" applyNumberFormat="1" applyFont="1" applyFill="1" applyBorder="1" applyAlignment="1">
      <alignment horizontal="center"/>
    </xf>
    <xf numFmtId="0" fontId="90" fillId="2" borderId="0" xfId="0" applyFont="1" applyFill="1" applyBorder="1" applyAlignment="1">
      <alignment horizontal="right" vertical="center"/>
    </xf>
    <xf numFmtId="0" fontId="91" fillId="2" borderId="0" xfId="0" applyFont="1" applyFill="1" applyAlignment="1">
      <alignment horizontal="right" vertical="center" indent="1"/>
    </xf>
    <xf numFmtId="0" fontId="88" fillId="2" borderId="0" xfId="0" applyFont="1" applyFill="1" applyAlignment="1">
      <alignment horizontal="right" vertical="center" indent="2"/>
    </xf>
    <xf numFmtId="0" fontId="88" fillId="2" borderId="11" xfId="0" applyFont="1" applyFill="1" applyBorder="1" applyAlignment="1">
      <alignment horizontal="right" vertical="center" indent="2"/>
    </xf>
    <xf numFmtId="0" fontId="88" fillId="2" borderId="0" xfId="0" applyFont="1" applyFill="1" applyBorder="1" applyAlignment="1">
      <alignment horizontal="right" vertical="center"/>
    </xf>
    <xf numFmtId="0" fontId="88" fillId="2" borderId="0" xfId="0" applyFont="1" applyFill="1" applyAlignment="1">
      <alignment horizontal="right" vertical="center"/>
    </xf>
    <xf numFmtId="0" fontId="88" fillId="2" borderId="0" xfId="0" applyFont="1" applyFill="1"/>
    <xf numFmtId="0" fontId="92" fillId="2" borderId="0" xfId="0" applyFont="1" applyFill="1"/>
    <xf numFmtId="0" fontId="93" fillId="2" borderId="37" xfId="4" applyFont="1" applyFill="1" applyBorder="1" applyAlignment="1" applyProtection="1">
      <alignment horizontal="left" vertical="center"/>
    </xf>
    <xf numFmtId="0" fontId="48" fillId="2" borderId="0" xfId="0" applyFont="1" applyFill="1"/>
    <xf numFmtId="165" fontId="25" fillId="2" borderId="0" xfId="4" applyNumberFormat="1" applyFont="1" applyFill="1" applyBorder="1" applyAlignment="1">
      <alignment horizontal="right" vertical="center" indent="3"/>
    </xf>
    <xf numFmtId="165" fontId="27" fillId="2" borderId="0" xfId="4" applyNumberFormat="1" applyFont="1" applyFill="1" applyBorder="1" applyAlignment="1" applyProtection="1">
      <alignment horizontal="right" vertical="center" indent="3"/>
      <protection locked="0"/>
    </xf>
    <xf numFmtId="165" fontId="27" fillId="2" borderId="24" xfId="4" applyNumberFormat="1" applyFont="1" applyFill="1" applyBorder="1" applyAlignment="1" applyProtection="1">
      <alignment horizontal="right" vertical="center" indent="3"/>
      <protection locked="0"/>
    </xf>
    <xf numFmtId="165" fontId="27" fillId="2" borderId="0" xfId="4" applyNumberFormat="1" applyFont="1" applyFill="1" applyBorder="1" applyAlignment="1">
      <alignment horizontal="right" vertical="center" indent="3"/>
    </xf>
    <xf numFmtId="165" fontId="25" fillId="2" borderId="30" xfId="4" applyNumberFormat="1" applyFont="1" applyFill="1" applyBorder="1" applyAlignment="1">
      <alignment horizontal="right" vertical="center" indent="3"/>
    </xf>
    <xf numFmtId="165" fontId="27" fillId="2" borderId="0" xfId="4" applyNumberFormat="1" applyFont="1" applyFill="1" applyBorder="1" applyAlignment="1" applyProtection="1">
      <alignment horizontal="right" vertical="center" indent="3"/>
    </xf>
    <xf numFmtId="165" fontId="48" fillId="2" borderId="0" xfId="0" applyNumberFormat="1" applyFont="1" applyFill="1" applyAlignment="1">
      <alignment horizontal="right" indent="3"/>
    </xf>
    <xf numFmtId="165" fontId="27" fillId="2" borderId="61" xfId="4" applyNumberFormat="1" applyFont="1" applyFill="1" applyBorder="1" applyAlignment="1">
      <alignment horizontal="right" vertical="center" indent="3"/>
    </xf>
    <xf numFmtId="165" fontId="25" fillId="2" borderId="0" xfId="4" applyNumberFormat="1" applyFont="1" applyFill="1" applyBorder="1" applyAlignment="1" applyProtection="1">
      <alignment horizontal="right" vertical="center" indent="3"/>
      <protection locked="0"/>
    </xf>
    <xf numFmtId="165" fontId="27" fillId="2" borderId="24" xfId="4" applyNumberFormat="1" applyFont="1" applyFill="1" applyBorder="1" applyAlignment="1">
      <alignment horizontal="right" vertical="center" indent="3"/>
    </xf>
    <xf numFmtId="165" fontId="27" fillId="2" borderId="61" xfId="4" applyNumberFormat="1" applyFont="1" applyFill="1" applyBorder="1" applyAlignment="1" applyProtection="1">
      <alignment horizontal="right" vertical="center" indent="3"/>
      <protection locked="0"/>
    </xf>
    <xf numFmtId="165" fontId="27" fillId="2" borderId="11" xfId="4" applyNumberFormat="1" applyFont="1" applyFill="1" applyBorder="1" applyAlignment="1" applyProtection="1">
      <alignment horizontal="right" vertical="center" indent="3"/>
      <protection locked="0"/>
    </xf>
    <xf numFmtId="165" fontId="43" fillId="2" borderId="0" xfId="4" applyNumberFormat="1" applyFont="1" applyFill="1" applyBorder="1" applyAlignment="1" applyProtection="1">
      <alignment horizontal="right" vertical="center" indent="3"/>
      <protection locked="0"/>
    </xf>
    <xf numFmtId="3" fontId="25" fillId="2" borderId="24" xfId="4" applyNumberFormat="1" applyFont="1" applyFill="1" applyBorder="1" applyAlignment="1">
      <alignment horizontal="right" vertical="center"/>
    </xf>
    <xf numFmtId="3" fontId="25" fillId="2" borderId="11" xfId="4" applyNumberFormat="1" applyFont="1" applyFill="1" applyBorder="1" applyAlignment="1">
      <alignment horizontal="right" vertical="center"/>
    </xf>
    <xf numFmtId="0" fontId="5" fillId="3" borderId="66" xfId="26" applyFont="1" applyFill="1" applyBorder="1" applyAlignment="1">
      <alignment horizontal="right" vertical="center"/>
    </xf>
    <xf numFmtId="0" fontId="5" fillId="3" borderId="12" xfId="26" applyFont="1" applyFill="1" applyBorder="1" applyAlignment="1">
      <alignment horizontal="right" vertical="center"/>
    </xf>
    <xf numFmtId="0" fontId="74" fillId="2" borderId="0" xfId="26" applyFont="1" applyFill="1" applyAlignment="1">
      <alignment horizontal="left" vertical="center"/>
    </xf>
    <xf numFmtId="0" fontId="15" fillId="2" borderId="0" xfId="26" applyFont="1" applyFill="1" applyAlignment="1">
      <alignment vertical="center"/>
    </xf>
    <xf numFmtId="0" fontId="54" fillId="2" borderId="0" xfId="26" applyFont="1" applyFill="1" applyAlignment="1">
      <alignment vertical="center"/>
    </xf>
    <xf numFmtId="0" fontId="54" fillId="2" borderId="0" xfId="26" applyFont="1" applyFill="1" applyAlignment="1">
      <alignment horizontal="centerContinuous" vertical="center"/>
    </xf>
    <xf numFmtId="0" fontId="8" fillId="2" borderId="0" xfId="26" applyFont="1" applyFill="1" applyAlignment="1">
      <alignment vertical="center"/>
    </xf>
    <xf numFmtId="0" fontId="25" fillId="2" borderId="0" xfId="4" applyFont="1" applyFill="1" applyBorder="1" applyAlignment="1">
      <alignment horizontal="left" vertical="center"/>
    </xf>
    <xf numFmtId="0" fontId="46" fillId="2" borderId="0" xfId="4" applyFont="1" applyFill="1" applyAlignment="1"/>
    <xf numFmtId="0" fontId="25" fillId="2" borderId="0" xfId="4" applyFont="1" applyFill="1" applyBorder="1" applyAlignment="1" applyProtection="1">
      <alignment horizontal="left" vertical="center"/>
    </xf>
    <xf numFmtId="0" fontId="27" fillId="2" borderId="61" xfId="4" applyFont="1" applyFill="1" applyBorder="1" applyAlignment="1" applyProtection="1">
      <alignment horizontal="left" vertical="center"/>
    </xf>
    <xf numFmtId="0" fontId="25" fillId="2" borderId="30" xfId="4" applyFont="1" applyFill="1" applyBorder="1" applyAlignment="1" applyProtection="1">
      <alignment horizontal="left" vertical="center"/>
    </xf>
    <xf numFmtId="0" fontId="27" fillId="2" borderId="61" xfId="4" applyFont="1" applyFill="1" applyBorder="1" applyAlignment="1">
      <alignment horizontal="left" vertical="center"/>
    </xf>
    <xf numFmtId="0" fontId="27" fillId="2" borderId="11" xfId="4" applyFont="1" applyFill="1" applyBorder="1" applyAlignment="1" applyProtection="1">
      <alignment horizontal="left" vertical="center"/>
    </xf>
    <xf numFmtId="0" fontId="17" fillId="2" borderId="0" xfId="4" applyFont="1" applyFill="1" applyBorder="1" applyAlignment="1" applyProtection="1">
      <alignment horizontal="left" vertical="center"/>
    </xf>
    <xf numFmtId="0" fontId="27" fillId="2" borderId="0" xfId="4" applyFont="1" applyFill="1" applyAlignment="1"/>
    <xf numFmtId="168" fontId="27" fillId="2" borderId="0" xfId="4" applyNumberFormat="1" applyFont="1" applyFill="1" applyBorder="1" applyAlignment="1" applyProtection="1">
      <alignment horizontal="right" vertical="center"/>
      <protection locked="0"/>
    </xf>
    <xf numFmtId="0" fontId="43" fillId="2" borderId="0" xfId="4" applyFont="1" applyFill="1" applyBorder="1" applyAlignment="1" applyProtection="1">
      <alignment horizontal="left" vertical="center"/>
    </xf>
    <xf numFmtId="0" fontId="7" fillId="2" borderId="6" xfId="0" applyFont="1" applyFill="1" applyBorder="1"/>
    <xf numFmtId="1" fontId="0" fillId="2" borderId="0" xfId="0" applyNumberFormat="1" applyFill="1"/>
    <xf numFmtId="1" fontId="94" fillId="2" borderId="0" xfId="0" applyNumberFormat="1" applyFont="1" applyFill="1"/>
    <xf numFmtId="0" fontId="64" fillId="2" borderId="0" xfId="0" applyFont="1" applyFill="1"/>
    <xf numFmtId="0" fontId="38" fillId="2" borderId="0" xfId="0" applyFont="1" applyFill="1" applyAlignment="1">
      <alignment vertical="center"/>
    </xf>
    <xf numFmtId="0" fontId="7" fillId="2" borderId="70" xfId="0" applyFont="1" applyFill="1" applyBorder="1" applyAlignment="1">
      <alignment horizontal="center" vertical="center"/>
    </xf>
    <xf numFmtId="3" fontId="27" fillId="4" borderId="0" xfId="0" applyNumberFormat="1" applyFont="1" applyFill="1" applyAlignment="1">
      <alignment vertical="center"/>
    </xf>
    <xf numFmtId="3" fontId="27" fillId="4" borderId="11" xfId="0" applyNumberFormat="1" applyFont="1" applyFill="1" applyBorder="1" applyAlignment="1">
      <alignment vertical="center"/>
    </xf>
    <xf numFmtId="3" fontId="27" fillId="4" borderId="24" xfId="0" applyNumberFormat="1" applyFont="1" applyFill="1" applyBorder="1" applyAlignment="1">
      <alignment horizontal="right" vertical="center"/>
    </xf>
    <xf numFmtId="3" fontId="27" fillId="4" borderId="11" xfId="0" applyNumberFormat="1" applyFont="1" applyFill="1" applyBorder="1" applyAlignment="1">
      <alignment horizontal="right" vertical="center"/>
    </xf>
    <xf numFmtId="168" fontId="98" fillId="2" borderId="0" xfId="0" applyNumberFormat="1" applyFont="1" applyFill="1"/>
    <xf numFmtId="165" fontId="98" fillId="2" borderId="0" xfId="0" applyNumberFormat="1" applyFont="1" applyFill="1"/>
    <xf numFmtId="0" fontId="98" fillId="2" borderId="0" xfId="0" applyFont="1" applyFill="1"/>
    <xf numFmtId="0" fontId="99" fillId="2" borderId="0" xfId="0" applyFont="1" applyFill="1" applyBorder="1" applyAlignment="1">
      <alignment horizontal="right" vertical="center"/>
    </xf>
    <xf numFmtId="0" fontId="100" fillId="2" borderId="0" xfId="0" applyFont="1" applyFill="1"/>
    <xf numFmtId="0" fontId="101" fillId="2" borderId="0" xfId="0" applyFont="1" applyFill="1" applyBorder="1" applyAlignment="1">
      <alignment horizontal="right" vertical="center"/>
    </xf>
    <xf numFmtId="0" fontId="98" fillId="2" borderId="0" xfId="0" applyFont="1" applyFill="1" applyAlignment="1" applyProtection="1">
      <alignment horizontal="left" vertical="center"/>
    </xf>
    <xf numFmtId="0" fontId="61" fillId="2" borderId="0" xfId="0" applyFont="1" applyFill="1" applyAlignment="1">
      <alignment vertical="center"/>
    </xf>
    <xf numFmtId="3" fontId="27" fillId="2" borderId="38" xfId="4" applyNumberFormat="1" applyFont="1" applyFill="1" applyBorder="1" applyAlignment="1">
      <alignment horizontal="center" vertical="center"/>
    </xf>
    <xf numFmtId="3" fontId="27" fillId="2" borderId="58" xfId="4" applyNumberFormat="1" applyFont="1" applyFill="1" applyBorder="1" applyAlignment="1">
      <alignment horizontal="center" vertical="center"/>
    </xf>
    <xf numFmtId="0" fontId="25" fillId="2" borderId="1" xfId="4" applyFont="1" applyFill="1" applyBorder="1" applyAlignment="1">
      <alignment horizontal="center" vertical="center"/>
    </xf>
    <xf numFmtId="0" fontId="15" fillId="2" borderId="0" xfId="26" applyFont="1" applyFill="1" applyBorder="1" applyAlignment="1">
      <alignment vertical="center"/>
    </xf>
    <xf numFmtId="0" fontId="54" fillId="2" borderId="0" xfId="26" applyFont="1" applyFill="1" applyBorder="1" applyAlignment="1">
      <alignment vertical="center"/>
    </xf>
    <xf numFmtId="0" fontId="102" fillId="2" borderId="0" xfId="0" applyFont="1" applyFill="1" applyAlignment="1">
      <alignment vertical="center"/>
    </xf>
    <xf numFmtId="0" fontId="103" fillId="2" borderId="0" xfId="0" applyFont="1" applyFill="1" applyBorder="1" applyAlignment="1">
      <alignment horizontal="center" vertical="center"/>
    </xf>
    <xf numFmtId="0" fontId="103" fillId="2" borderId="0" xfId="0" applyFont="1" applyFill="1" applyBorder="1" applyAlignment="1">
      <alignment vertical="center"/>
    </xf>
    <xf numFmtId="0" fontId="75" fillId="2" borderId="0" xfId="26" applyFont="1" applyFill="1" applyBorder="1" applyAlignment="1">
      <alignment horizontal="center" vertical="center"/>
    </xf>
    <xf numFmtId="0" fontId="5" fillId="3" borderId="74" xfId="26" applyFont="1" applyFill="1" applyBorder="1" applyAlignment="1">
      <alignment horizontal="right" vertical="center"/>
    </xf>
    <xf numFmtId="3" fontId="5" fillId="3" borderId="68" xfId="26" applyNumberFormat="1" applyFont="1" applyFill="1" applyBorder="1" applyAlignment="1">
      <alignment horizontal="right" vertical="center"/>
    </xf>
    <xf numFmtId="3" fontId="5" fillId="3" borderId="17" xfId="26" applyNumberFormat="1" applyFont="1" applyFill="1" applyBorder="1" applyAlignment="1">
      <alignment horizontal="right" vertical="center"/>
    </xf>
    <xf numFmtId="3" fontId="5" fillId="3" borderId="0" xfId="26" applyNumberFormat="1" applyFont="1" applyFill="1" applyBorder="1" applyAlignment="1">
      <alignment horizontal="right" vertical="center"/>
    </xf>
    <xf numFmtId="0" fontId="104" fillId="2" borderId="75" xfId="0" applyFont="1" applyFill="1" applyBorder="1" applyAlignment="1">
      <alignment horizontal="right" vertical="center" wrapText="1"/>
    </xf>
    <xf numFmtId="0" fontId="104" fillId="2" borderId="0" xfId="0" applyFont="1" applyFill="1" applyBorder="1" applyAlignment="1">
      <alignment horizontal="right" vertical="center"/>
    </xf>
    <xf numFmtId="0" fontId="104" fillId="2" borderId="0" xfId="0" applyFont="1" applyFill="1" applyBorder="1" applyAlignment="1">
      <alignment horizontal="right" vertical="center" wrapText="1"/>
    </xf>
    <xf numFmtId="0" fontId="75" fillId="2" borderId="0" xfId="26" applyFont="1" applyFill="1" applyBorder="1" applyAlignment="1">
      <alignment vertical="center"/>
    </xf>
    <xf numFmtId="167" fontId="54" fillId="2" borderId="0" xfId="1" applyNumberFormat="1" applyFont="1" applyFill="1" applyBorder="1" applyAlignment="1" applyProtection="1">
      <alignment horizontal="right" vertical="center"/>
      <protection locked="0"/>
    </xf>
    <xf numFmtId="165" fontId="105" fillId="2" borderId="76" xfId="0" applyNumberFormat="1" applyFont="1" applyFill="1" applyBorder="1" applyAlignment="1">
      <alignment horizontal="right" vertical="center"/>
    </xf>
    <xf numFmtId="3" fontId="105" fillId="2" borderId="0" xfId="0" applyNumberFormat="1" applyFont="1" applyFill="1" applyBorder="1" applyAlignment="1">
      <alignment horizontal="right" vertical="center"/>
    </xf>
    <xf numFmtId="165" fontId="105" fillId="2" borderId="0" xfId="0" applyNumberFormat="1" applyFont="1" applyFill="1" applyBorder="1" applyAlignment="1">
      <alignment horizontal="right" vertical="center"/>
    </xf>
    <xf numFmtId="167" fontId="54" fillId="2" borderId="17" xfId="1" applyNumberFormat="1" applyFont="1" applyFill="1" applyBorder="1" applyAlignment="1" applyProtection="1">
      <alignment horizontal="right" vertical="center"/>
      <protection locked="0"/>
    </xf>
    <xf numFmtId="165" fontId="105" fillId="2" borderId="69" xfId="0" applyNumberFormat="1" applyFont="1" applyFill="1" applyBorder="1" applyAlignment="1">
      <alignment horizontal="right" vertical="center"/>
    </xf>
    <xf numFmtId="167" fontId="54" fillId="2" borderId="24" xfId="1" applyNumberFormat="1" applyFont="1" applyFill="1" applyBorder="1" applyAlignment="1" applyProtection="1">
      <alignment horizontal="right" vertical="center"/>
      <protection locked="0"/>
    </xf>
    <xf numFmtId="167" fontId="54" fillId="2" borderId="43" xfId="1" applyNumberFormat="1" applyFont="1" applyFill="1" applyBorder="1" applyAlignment="1" applyProtection="1">
      <alignment horizontal="right" vertical="center"/>
      <protection locked="0"/>
    </xf>
    <xf numFmtId="165" fontId="104" fillId="2" borderId="69" xfId="0" applyNumberFormat="1" applyFont="1" applyFill="1" applyBorder="1" applyAlignment="1">
      <alignment horizontal="right" vertical="center"/>
    </xf>
    <xf numFmtId="3" fontId="104" fillId="2" borderId="0" xfId="0" applyNumberFormat="1" applyFont="1" applyFill="1" applyBorder="1" applyAlignment="1">
      <alignment horizontal="right" vertical="center"/>
    </xf>
    <xf numFmtId="165" fontId="104" fillId="2" borderId="0" xfId="0" applyNumberFormat="1" applyFont="1" applyFill="1" applyBorder="1" applyAlignment="1">
      <alignment horizontal="right" vertical="center"/>
    </xf>
    <xf numFmtId="0" fontId="77" fillId="2" borderId="0" xfId="26" applyFont="1" applyFill="1" applyBorder="1" applyAlignment="1">
      <alignment vertical="center"/>
    </xf>
    <xf numFmtId="3" fontId="53" fillId="2" borderId="0" xfId="27" applyNumberFormat="1" applyFont="1" applyFill="1" applyBorder="1" applyAlignment="1">
      <alignment horizontal="left" vertical="center"/>
    </xf>
    <xf numFmtId="3" fontId="5" fillId="2" borderId="69" xfId="0" applyNumberFormat="1" applyFont="1" applyFill="1" applyBorder="1" applyAlignment="1">
      <alignment horizontal="right" vertical="center"/>
    </xf>
    <xf numFmtId="3" fontId="5" fillId="2" borderId="53" xfId="4" applyNumberFormat="1" applyFont="1" applyFill="1" applyBorder="1" applyAlignment="1">
      <alignment horizontal="right" vertical="center"/>
    </xf>
    <xf numFmtId="165" fontId="104" fillId="2" borderId="76" xfId="0" applyNumberFormat="1" applyFont="1" applyFill="1" applyBorder="1" applyAlignment="1">
      <alignment horizontal="right" vertical="center"/>
    </xf>
    <xf numFmtId="3" fontId="106" fillId="2" borderId="0" xfId="27" applyNumberFormat="1" applyFont="1" applyFill="1" applyBorder="1" applyAlignment="1">
      <alignment horizontal="left" vertical="center" indent="1"/>
    </xf>
    <xf numFmtId="3" fontId="54" fillId="2" borderId="0" xfId="4" applyNumberFormat="1" applyFont="1" applyFill="1" applyBorder="1" applyAlignment="1" applyProtection="1">
      <alignment horizontal="right" vertical="center"/>
      <protection locked="0"/>
    </xf>
    <xf numFmtId="3" fontId="54" fillId="2" borderId="17" xfId="4" applyNumberFormat="1" applyFont="1" applyFill="1" applyBorder="1" applyAlignment="1" applyProtection="1">
      <alignment horizontal="right" vertical="center"/>
      <protection locked="0"/>
    </xf>
    <xf numFmtId="3" fontId="54" fillId="2" borderId="21" xfId="26" applyNumberFormat="1" applyFont="1" applyFill="1" applyBorder="1" applyAlignment="1">
      <alignment horizontal="right" vertical="center"/>
    </xf>
    <xf numFmtId="3" fontId="54" fillId="2" borderId="16" xfId="26" applyNumberFormat="1" applyFont="1" applyFill="1" applyBorder="1" applyAlignment="1">
      <alignment horizontal="right" vertical="center"/>
    </xf>
    <xf numFmtId="3" fontId="106" fillId="2" borderId="24" xfId="27" applyNumberFormat="1" applyFont="1" applyFill="1" applyBorder="1" applyAlignment="1">
      <alignment horizontal="left" vertical="center" indent="1"/>
    </xf>
    <xf numFmtId="3" fontId="54" fillId="2" borderId="24" xfId="4" applyNumberFormat="1" applyFont="1" applyFill="1" applyBorder="1" applyAlignment="1" applyProtection="1">
      <alignment horizontal="right" vertical="center"/>
      <protection locked="0"/>
    </xf>
    <xf numFmtId="3" fontId="54" fillId="2" borderId="43" xfId="4" applyNumberFormat="1" applyFont="1" applyFill="1" applyBorder="1" applyAlignment="1" applyProtection="1">
      <alignment horizontal="right" vertical="center"/>
      <protection locked="0"/>
    </xf>
    <xf numFmtId="3" fontId="18" fillId="2" borderId="0" xfId="27" applyNumberFormat="1" applyFont="1" applyFill="1" applyAlignment="1">
      <alignment vertical="center"/>
    </xf>
    <xf numFmtId="3" fontId="54" fillId="2" borderId="20" xfId="26" applyNumberFormat="1" applyFont="1" applyFill="1" applyBorder="1" applyAlignment="1">
      <alignment horizontal="right" vertical="center"/>
    </xf>
    <xf numFmtId="1" fontId="104" fillId="2" borderId="77" xfId="0" applyNumberFormat="1" applyFont="1" applyFill="1" applyBorder="1" applyAlignment="1">
      <alignment horizontal="right" vertical="center"/>
    </xf>
    <xf numFmtId="3" fontId="104" fillId="2" borderId="0" xfId="0" applyNumberFormat="1" applyFont="1" applyFill="1" applyBorder="1" applyAlignment="1">
      <alignment vertical="center"/>
    </xf>
    <xf numFmtId="1" fontId="104" fillId="2" borderId="0" xfId="0" applyNumberFormat="1" applyFont="1" applyFill="1" applyBorder="1" applyAlignment="1">
      <alignment horizontal="right" vertical="center"/>
    </xf>
    <xf numFmtId="0" fontId="106" fillId="2" borderId="0" xfId="0" applyFont="1" applyFill="1" applyAlignment="1">
      <alignment vertical="center"/>
    </xf>
    <xf numFmtId="0" fontId="53" fillId="2" borderId="0" xfId="0" applyFont="1" applyFill="1" applyBorder="1" applyAlignment="1">
      <alignment vertical="center"/>
    </xf>
    <xf numFmtId="3" fontId="106" fillId="2" borderId="0" xfId="27" applyNumberFormat="1" applyFont="1" applyFill="1" applyBorder="1" applyAlignment="1">
      <alignment vertical="center"/>
    </xf>
    <xf numFmtId="0" fontId="8" fillId="2" borderId="0" xfId="26" applyFont="1" applyFill="1" applyBorder="1" applyAlignment="1">
      <alignment vertical="center"/>
    </xf>
    <xf numFmtId="3" fontId="5" fillId="2" borderId="53" xfId="4" applyNumberFormat="1" applyFont="1" applyFill="1" applyBorder="1" applyAlignment="1" applyProtection="1">
      <alignment horizontal="right" vertical="center"/>
      <protection locked="0"/>
    </xf>
    <xf numFmtId="3" fontId="53" fillId="2" borderId="0" xfId="27" applyNumberFormat="1" applyFont="1" applyFill="1" applyBorder="1" applyAlignment="1">
      <alignment vertical="center"/>
    </xf>
    <xf numFmtId="3" fontId="106" fillId="2" borderId="0" xfId="27" applyNumberFormat="1" applyFont="1" applyFill="1" applyBorder="1" applyAlignment="1">
      <alignment horizontal="left" vertical="center"/>
    </xf>
    <xf numFmtId="3" fontId="53" fillId="2" borderId="0" xfId="27" applyNumberFormat="1" applyFont="1" applyFill="1" applyBorder="1" applyAlignment="1" applyProtection="1">
      <alignment horizontal="right" vertical="center"/>
    </xf>
    <xf numFmtId="3" fontId="5" fillId="2" borderId="60" xfId="4" applyNumberFormat="1" applyFont="1" applyFill="1" applyBorder="1" applyAlignment="1">
      <alignment horizontal="right" vertical="center"/>
    </xf>
    <xf numFmtId="3" fontId="5" fillId="2" borderId="0" xfId="4" applyNumberFormat="1" applyFont="1" applyFill="1" applyBorder="1" applyAlignment="1">
      <alignment horizontal="right" vertical="center"/>
    </xf>
    <xf numFmtId="3" fontId="106" fillId="2" borderId="24" xfId="27" applyNumberFormat="1" applyFont="1" applyFill="1" applyBorder="1" applyAlignment="1" applyProtection="1">
      <alignment horizontal="left" vertical="center" indent="1"/>
    </xf>
    <xf numFmtId="3" fontId="5" fillId="2" borderId="50" xfId="4" applyNumberFormat="1" applyFont="1" applyFill="1" applyBorder="1" applyAlignment="1">
      <alignment horizontal="right" vertical="center"/>
    </xf>
    <xf numFmtId="3" fontId="54" fillId="2" borderId="0" xfId="27" applyNumberFormat="1" applyFont="1" applyFill="1" applyBorder="1" applyAlignment="1">
      <alignment horizontal="right" vertical="center"/>
    </xf>
    <xf numFmtId="3" fontId="24" fillId="2" borderId="0" xfId="4" applyNumberFormat="1" applyFont="1" applyFill="1" applyBorder="1" applyAlignment="1" applyProtection="1">
      <alignment horizontal="right" vertical="center"/>
      <protection locked="0"/>
    </xf>
    <xf numFmtId="3" fontId="5" fillId="2" borderId="0" xfId="27" applyNumberFormat="1" applyFont="1" applyFill="1" applyBorder="1" applyAlignment="1">
      <alignment horizontal="right" vertical="center"/>
    </xf>
    <xf numFmtId="3" fontId="106" fillId="2" borderId="0" xfId="27" applyNumberFormat="1" applyFont="1" applyFill="1" applyAlignment="1">
      <alignment horizontal="left" vertical="center" indent="1"/>
    </xf>
    <xf numFmtId="3" fontId="106" fillId="2" borderId="11" xfId="27" applyNumberFormat="1" applyFont="1" applyFill="1" applyBorder="1" applyAlignment="1">
      <alignment horizontal="left" vertical="center" indent="1"/>
    </xf>
    <xf numFmtId="3" fontId="54" fillId="2" borderId="11" xfId="4" applyNumberFormat="1" applyFont="1" applyFill="1" applyBorder="1" applyAlignment="1" applyProtection="1">
      <alignment horizontal="right" vertical="center"/>
      <protection locked="0"/>
    </xf>
    <xf numFmtId="3" fontId="54" fillId="2" borderId="23" xfId="4" applyNumberFormat="1" applyFont="1" applyFill="1" applyBorder="1" applyAlignment="1" applyProtection="1">
      <alignment horizontal="right" vertical="center"/>
      <protection locked="0"/>
    </xf>
    <xf numFmtId="0" fontId="20" fillId="2" borderId="0" xfId="26" applyFont="1" applyFill="1" applyAlignment="1">
      <alignment vertical="center"/>
    </xf>
    <xf numFmtId="0" fontId="20" fillId="2" borderId="0" xfId="4" applyFont="1" applyFill="1" applyBorder="1" applyAlignment="1" applyProtection="1">
      <alignment horizontal="left" vertical="center" wrapText="1"/>
    </xf>
    <xf numFmtId="3" fontId="43" fillId="2" borderId="0" xfId="4" applyNumberFormat="1" applyFont="1" applyFill="1" applyBorder="1" applyAlignment="1">
      <alignment horizontal="left" vertical="center"/>
    </xf>
    <xf numFmtId="0" fontId="43" fillId="2" borderId="0" xfId="4" applyFont="1" applyFill="1" applyAlignment="1">
      <alignment horizontal="left"/>
    </xf>
    <xf numFmtId="0" fontId="46" fillId="2" borderId="0" xfId="4" applyFont="1" applyFill="1" applyAlignment="1">
      <alignment horizontal="left"/>
    </xf>
    <xf numFmtId="3" fontId="43" fillId="2" borderId="0" xfId="4" applyNumberFormat="1" applyFont="1" applyFill="1"/>
    <xf numFmtId="3" fontId="36" fillId="2" borderId="0" xfId="4" applyNumberFormat="1" applyFont="1" applyFill="1" applyBorder="1" applyAlignment="1" applyProtection="1">
      <alignment horizontal="right" vertical="center"/>
      <protection locked="0"/>
    </xf>
    <xf numFmtId="3" fontId="46" fillId="2" borderId="0" xfId="4" applyNumberFormat="1" applyFont="1" applyFill="1"/>
    <xf numFmtId="3" fontId="43" fillId="2" borderId="0" xfId="4" applyNumberFormat="1" applyFont="1" applyFill="1" applyBorder="1"/>
    <xf numFmtId="0" fontId="79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/>
    <xf numFmtId="0" fontId="0" fillId="2" borderId="11" xfId="0" applyFill="1" applyBorder="1" applyAlignment="1">
      <alignment horizontal="left" vertical="center"/>
    </xf>
    <xf numFmtId="0" fontId="0" fillId="2" borderId="11" xfId="0" applyFill="1" applyBorder="1"/>
    <xf numFmtId="0" fontId="10" fillId="2" borderId="0" xfId="0" applyFont="1" applyFill="1" applyBorder="1" applyAlignment="1">
      <alignment horizontal="center" vertical="center" wrapText="1"/>
    </xf>
    <xf numFmtId="0" fontId="44" fillId="2" borderId="0" xfId="0" applyFont="1" applyFill="1" applyBorder="1" applyAlignment="1" applyProtection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25" fillId="2" borderId="1" xfId="0" applyFont="1" applyFill="1" applyBorder="1" applyAlignment="1" applyProtection="1">
      <alignment horizontal="center" vertical="center" wrapText="1"/>
    </xf>
    <xf numFmtId="0" fontId="25" fillId="2" borderId="11" xfId="0" applyFont="1" applyFill="1" applyBorder="1" applyAlignment="1" applyProtection="1">
      <alignment horizontal="center" vertical="center" wrapText="1"/>
    </xf>
    <xf numFmtId="0" fontId="25" fillId="2" borderId="32" xfId="0" applyFont="1" applyFill="1" applyBorder="1" applyAlignment="1" applyProtection="1">
      <alignment horizontal="center" vertical="center" wrapText="1"/>
    </xf>
    <xf numFmtId="0" fontId="32" fillId="2" borderId="24" xfId="0" applyFont="1" applyFill="1" applyBorder="1" applyAlignment="1" applyProtection="1">
      <alignment horizontal="center" vertical="center" wrapText="1"/>
    </xf>
    <xf numFmtId="0" fontId="25" fillId="2" borderId="40" xfId="0" applyFont="1" applyFill="1" applyBorder="1" applyAlignment="1" applyProtection="1">
      <alignment horizontal="center" vertical="center" wrapText="1"/>
    </xf>
    <xf numFmtId="0" fontId="25" fillId="2" borderId="27" xfId="0" applyFont="1" applyFill="1" applyBorder="1" applyAlignment="1" applyProtection="1">
      <alignment horizontal="center" vertical="center" wrapText="1"/>
    </xf>
    <xf numFmtId="0" fontId="25" fillId="2" borderId="41" xfId="0" applyFont="1" applyFill="1" applyBorder="1" applyAlignment="1" applyProtection="1">
      <alignment horizontal="center" vertical="center" wrapText="1"/>
    </xf>
    <xf numFmtId="3" fontId="36" fillId="4" borderId="0" xfId="0" applyNumberFormat="1" applyFont="1" applyFill="1" applyAlignment="1">
      <alignment vertical="center"/>
    </xf>
    <xf numFmtId="3" fontId="36" fillId="4" borderId="24" xfId="0" applyNumberFormat="1" applyFont="1" applyFill="1" applyBorder="1" applyAlignment="1">
      <alignment vertical="center"/>
    </xf>
    <xf numFmtId="3" fontId="108" fillId="2" borderId="0" xfId="0" applyNumberFormat="1" applyFont="1" applyFill="1" applyBorder="1" applyAlignment="1" applyProtection="1">
      <alignment horizontal="right" vertical="center"/>
    </xf>
    <xf numFmtId="3" fontId="0" fillId="2" borderId="0" xfId="0" applyNumberFormat="1" applyFill="1" applyBorder="1"/>
    <xf numFmtId="0" fontId="20" fillId="2" borderId="0" xfId="0" applyFont="1" applyFill="1" applyAlignment="1" applyProtection="1">
      <alignment horizontal="left" vertical="center"/>
    </xf>
    <xf numFmtId="0" fontId="20" fillId="2" borderId="0" xfId="0" applyFont="1" applyFill="1" applyAlignment="1" applyProtection="1">
      <alignment horizontal="left" vertical="center" indent="3"/>
    </xf>
    <xf numFmtId="165" fontId="27" fillId="2" borderId="11" xfId="0" applyNumberFormat="1" applyFont="1" applyFill="1" applyBorder="1" applyAlignment="1">
      <alignment horizontal="center" vertical="center"/>
    </xf>
    <xf numFmtId="3" fontId="25" fillId="2" borderId="33" xfId="0" applyNumberFormat="1" applyFont="1" applyFill="1" applyBorder="1" applyAlignment="1">
      <alignment horizontal="center" vertical="center"/>
    </xf>
    <xf numFmtId="3" fontId="25" fillId="2" borderId="0" xfId="0" applyNumberFormat="1" applyFont="1" applyFill="1" applyAlignment="1">
      <alignment horizontal="center" vertical="center"/>
    </xf>
    <xf numFmtId="168" fontId="25" fillId="2" borderId="0" xfId="0" applyNumberFormat="1" applyFont="1" applyFill="1" applyAlignment="1">
      <alignment horizontal="center" vertical="center"/>
    </xf>
    <xf numFmtId="3" fontId="27" fillId="2" borderId="34" xfId="0" applyNumberFormat="1" applyFont="1" applyFill="1" applyBorder="1" applyAlignment="1">
      <alignment horizontal="center" vertical="center"/>
    </xf>
    <xf numFmtId="3" fontId="27" fillId="2" borderId="0" xfId="0" applyNumberFormat="1" applyFont="1" applyFill="1" applyBorder="1" applyAlignment="1">
      <alignment horizontal="center" vertical="center"/>
    </xf>
    <xf numFmtId="165" fontId="27" fillId="2" borderId="0" xfId="0" applyNumberFormat="1" applyFont="1" applyFill="1" applyAlignment="1">
      <alignment horizontal="center" vertical="center"/>
    </xf>
    <xf numFmtId="3" fontId="27" fillId="2" borderId="32" xfId="0" applyNumberFormat="1" applyFont="1" applyFill="1" applyBorder="1" applyAlignment="1">
      <alignment horizontal="center" vertical="center"/>
    </xf>
    <xf numFmtId="3" fontId="27" fillId="2" borderId="11" xfId="0" applyNumberFormat="1" applyFont="1" applyFill="1" applyBorder="1" applyAlignment="1">
      <alignment horizontal="center" vertical="center"/>
    </xf>
    <xf numFmtId="3" fontId="69" fillId="2" borderId="34" xfId="0" applyNumberFormat="1" applyFont="1" applyFill="1" applyBorder="1" applyAlignment="1">
      <alignment horizontal="right" vertical="center" indent="3"/>
    </xf>
    <xf numFmtId="3" fontId="69" fillId="2" borderId="32" xfId="0" applyNumberFormat="1" applyFont="1" applyFill="1" applyBorder="1" applyAlignment="1">
      <alignment horizontal="right" vertical="center" indent="3"/>
    </xf>
    <xf numFmtId="3" fontId="69" fillId="2" borderId="0" xfId="0" applyNumberFormat="1" applyFont="1" applyFill="1" applyBorder="1" applyAlignment="1">
      <alignment horizontal="right" vertical="center" indent="3"/>
    </xf>
    <xf numFmtId="3" fontId="69" fillId="2" borderId="11" xfId="0" applyNumberFormat="1" applyFont="1" applyFill="1" applyBorder="1" applyAlignment="1">
      <alignment horizontal="right" vertical="center" indent="3"/>
    </xf>
    <xf numFmtId="165" fontId="69" fillId="2" borderId="0" xfId="0" applyNumberFormat="1" applyFont="1" applyFill="1" applyAlignment="1">
      <alignment horizontal="right" vertical="center" indent="3"/>
    </xf>
    <xf numFmtId="165" fontId="69" fillId="2" borderId="11" xfId="0" applyNumberFormat="1" applyFont="1" applyFill="1" applyBorder="1" applyAlignment="1">
      <alignment horizontal="right" vertical="center" indent="3"/>
    </xf>
    <xf numFmtId="3" fontId="27" fillId="2" borderId="14" xfId="0" applyNumberFormat="1" applyFont="1" applyFill="1" applyBorder="1" applyAlignment="1">
      <alignment horizontal="right" vertical="center"/>
    </xf>
    <xf numFmtId="3" fontId="27" fillId="2" borderId="7" xfId="0" applyNumberFormat="1" applyFont="1" applyFill="1" applyBorder="1" applyAlignment="1">
      <alignment horizontal="right" vertical="center"/>
    </xf>
    <xf numFmtId="0" fontId="25" fillId="2" borderId="1" xfId="4" applyFont="1" applyFill="1" applyBorder="1" applyAlignment="1" applyProtection="1">
      <alignment horizontal="right" vertical="center" wrapText="1"/>
    </xf>
    <xf numFmtId="3" fontId="5" fillId="2" borderId="78" xfId="0" applyNumberFormat="1" applyFont="1" applyFill="1" applyBorder="1" applyAlignment="1">
      <alignment horizontal="right" vertical="center"/>
    </xf>
    <xf numFmtId="3" fontId="5" fillId="2" borderId="54" xfId="4" applyNumberFormat="1" applyFont="1" applyFill="1" applyBorder="1" applyAlignment="1">
      <alignment horizontal="right" vertical="center"/>
    </xf>
    <xf numFmtId="0" fontId="77" fillId="2" borderId="17" xfId="26" applyFont="1" applyFill="1" applyBorder="1" applyAlignment="1">
      <alignment vertical="center"/>
    </xf>
    <xf numFmtId="3" fontId="5" fillId="2" borderId="79" xfId="0" applyNumberFormat="1" applyFont="1" applyFill="1" applyBorder="1" applyAlignment="1">
      <alignment horizontal="right" vertical="center"/>
    </xf>
    <xf numFmtId="0" fontId="54" fillId="2" borderId="17" xfId="26" applyFont="1" applyFill="1" applyBorder="1" applyAlignment="1">
      <alignment vertical="center"/>
    </xf>
    <xf numFmtId="3" fontId="5" fillId="2" borderId="54" xfId="4" applyNumberFormat="1" applyFont="1" applyFill="1" applyBorder="1" applyAlignment="1" applyProtection="1">
      <alignment horizontal="right" vertical="center"/>
      <protection locked="0"/>
    </xf>
    <xf numFmtId="3" fontId="5" fillId="2" borderId="80" xfId="4" applyNumberFormat="1" applyFont="1" applyFill="1" applyBorder="1" applyAlignment="1">
      <alignment horizontal="right" vertical="center"/>
    </xf>
    <xf numFmtId="3" fontId="5" fillId="2" borderId="51" xfId="4" applyNumberFormat="1" applyFont="1" applyFill="1" applyBorder="1" applyAlignment="1">
      <alignment horizontal="right" vertical="center"/>
    </xf>
    <xf numFmtId="3" fontId="54" fillId="2" borderId="17" xfId="27" applyNumberFormat="1" applyFont="1" applyFill="1" applyBorder="1" applyAlignment="1">
      <alignment horizontal="right" vertical="center"/>
    </xf>
    <xf numFmtId="3" fontId="5" fillId="2" borderId="17" xfId="27" applyNumberFormat="1" applyFont="1" applyFill="1" applyBorder="1" applyAlignment="1">
      <alignment horizontal="right" vertical="center"/>
    </xf>
    <xf numFmtId="3" fontId="109" fillId="3" borderId="68" xfId="26" applyNumberFormat="1" applyFont="1" applyFill="1" applyBorder="1" applyAlignment="1">
      <alignment horizontal="right" vertical="center"/>
    </xf>
    <xf numFmtId="170" fontId="46" fillId="2" borderId="0" xfId="7" applyNumberFormat="1" applyFont="1" applyFill="1" applyAlignment="1">
      <alignment vertical="center"/>
    </xf>
    <xf numFmtId="170" fontId="25" fillId="2" borderId="0" xfId="7" applyNumberFormat="1" applyFont="1" applyFill="1" applyBorder="1" applyAlignment="1">
      <alignment horizontal="center" vertical="center"/>
    </xf>
    <xf numFmtId="170" fontId="46" fillId="2" borderId="0" xfId="7" applyNumberFormat="1" applyFont="1" applyFill="1" applyAlignment="1">
      <alignment horizontal="right" vertical="center"/>
    </xf>
    <xf numFmtId="170" fontId="25" fillId="2" borderId="0" xfId="7" applyNumberFormat="1" applyFont="1" applyFill="1" applyBorder="1" applyAlignment="1">
      <alignment horizontal="right" vertical="center"/>
    </xf>
    <xf numFmtId="170" fontId="25" fillId="2" borderId="1" xfId="7" applyNumberFormat="1" applyFont="1" applyFill="1" applyBorder="1" applyAlignment="1">
      <alignment horizontal="right" vertical="center"/>
    </xf>
    <xf numFmtId="174" fontId="25" fillId="2" borderId="11" xfId="7" applyNumberFormat="1" applyFont="1" applyFill="1" applyBorder="1" applyAlignment="1" applyProtection="1">
      <alignment horizontal="right" vertical="center"/>
    </xf>
    <xf numFmtId="174" fontId="25" fillId="2" borderId="11" xfId="6" applyNumberFormat="1" applyFont="1" applyFill="1" applyBorder="1" applyAlignment="1" applyProtection="1">
      <alignment horizontal="right" vertical="center"/>
    </xf>
    <xf numFmtId="0" fontId="92" fillId="2" borderId="11" xfId="0" applyFont="1" applyFill="1" applyBorder="1"/>
    <xf numFmtId="170" fontId="46" fillId="2" borderId="0" xfId="7" applyNumberFormat="1" applyFont="1" applyFill="1" applyBorder="1" applyAlignment="1">
      <alignment vertical="center"/>
    </xf>
    <xf numFmtId="170" fontId="25" fillId="2" borderId="0" xfId="7" applyNumberFormat="1" applyFont="1" applyFill="1" applyBorder="1" applyAlignment="1">
      <alignment horizontal="left" vertical="center"/>
    </xf>
    <xf numFmtId="171" fontId="27" fillId="2" borderId="0" xfId="7" applyNumberFormat="1" applyFont="1" applyFill="1" applyBorder="1" applyAlignment="1" applyProtection="1">
      <alignment horizontal="right" vertical="center"/>
    </xf>
    <xf numFmtId="171" fontId="27" fillId="2" borderId="0" xfId="6" applyNumberFormat="1" applyFont="1" applyFill="1" applyBorder="1" applyAlignment="1" applyProtection="1">
      <alignment horizontal="right" vertical="center"/>
    </xf>
    <xf numFmtId="170" fontId="27" fillId="2" borderId="1" xfId="6" applyNumberFormat="1" applyFont="1" applyFill="1" applyBorder="1" applyAlignment="1">
      <alignment horizontal="right" vertical="center"/>
    </xf>
    <xf numFmtId="170" fontId="27" fillId="2" borderId="0" xfId="6" applyNumberFormat="1" applyFont="1" applyFill="1" applyBorder="1" applyAlignment="1">
      <alignment horizontal="right" vertical="center"/>
    </xf>
    <xf numFmtId="0" fontId="86" fillId="2" borderId="0" xfId="0" applyFont="1" applyFill="1" applyAlignment="1">
      <alignment horizontal="right" vertical="center"/>
    </xf>
    <xf numFmtId="170" fontId="43" fillId="2" borderId="0" xfId="7" applyNumberFormat="1" applyFont="1" applyFill="1" applyAlignment="1">
      <alignment vertical="center"/>
    </xf>
    <xf numFmtId="168" fontId="25" fillId="2" borderId="0" xfId="7" applyNumberFormat="1" applyFont="1" applyFill="1" applyBorder="1" applyAlignment="1">
      <alignment horizontal="right" vertical="center"/>
    </xf>
    <xf numFmtId="168" fontId="25" fillId="2" borderId="0" xfId="28" applyNumberFormat="1" applyFont="1" applyFill="1" applyBorder="1" applyAlignment="1">
      <alignment horizontal="right" vertical="center"/>
    </xf>
    <xf numFmtId="173" fontId="25" fillId="2" borderId="0" xfId="11" applyNumberFormat="1" applyFont="1" applyFill="1" applyBorder="1" applyAlignment="1">
      <alignment horizontal="right" vertical="center"/>
    </xf>
    <xf numFmtId="170" fontId="47" fillId="2" borderId="0" xfId="7" applyNumberFormat="1" applyFont="1" applyFill="1" applyAlignment="1">
      <alignment vertical="center"/>
    </xf>
    <xf numFmtId="170" fontId="27" fillId="2" borderId="0" xfId="7" applyNumberFormat="1" applyFont="1" applyFill="1" applyBorder="1" applyAlignment="1">
      <alignment horizontal="left" vertical="center"/>
    </xf>
    <xf numFmtId="168" fontId="27" fillId="2" borderId="0" xfId="7" applyNumberFormat="1" applyFont="1" applyFill="1" applyBorder="1" applyAlignment="1">
      <alignment horizontal="right" vertical="center"/>
    </xf>
    <xf numFmtId="168" fontId="27" fillId="2" borderId="0" xfId="28" applyNumberFormat="1" applyFont="1" applyFill="1" applyBorder="1" applyAlignment="1">
      <alignment horizontal="right" vertical="center"/>
    </xf>
    <xf numFmtId="173" fontId="27" fillId="2" borderId="0" xfId="11" applyNumberFormat="1" applyFont="1" applyFill="1" applyBorder="1" applyAlignment="1">
      <alignment horizontal="right" vertical="center"/>
    </xf>
    <xf numFmtId="0" fontId="92" fillId="2" borderId="0" xfId="0" applyFont="1" applyFill="1" applyAlignment="1">
      <alignment horizontal="right" vertical="center"/>
    </xf>
    <xf numFmtId="175" fontId="27" fillId="2" borderId="0" xfId="5" applyNumberFormat="1" applyFont="1" applyFill="1" applyBorder="1" applyAlignment="1">
      <alignment horizontal="right" vertical="center"/>
    </xf>
    <xf numFmtId="0" fontId="65" fillId="2" borderId="0" xfId="0" applyFont="1" applyFill="1" applyAlignment="1">
      <alignment horizontal="right" vertical="center"/>
    </xf>
    <xf numFmtId="170" fontId="25" fillId="2" borderId="0" xfId="7" applyNumberFormat="1" applyFont="1" applyFill="1" applyAlignment="1">
      <alignment horizontal="left" vertical="center"/>
    </xf>
    <xf numFmtId="168" fontId="25" fillId="2" borderId="0" xfId="7" applyNumberFormat="1" applyFont="1" applyFill="1" applyAlignment="1">
      <alignment horizontal="right" vertical="center"/>
    </xf>
    <xf numFmtId="168" fontId="25" fillId="2" borderId="0" xfId="28" applyNumberFormat="1" applyFont="1" applyFill="1" applyAlignment="1">
      <alignment horizontal="right" vertical="center"/>
    </xf>
    <xf numFmtId="173" fontId="25" fillId="2" borderId="0" xfId="11" applyNumberFormat="1" applyFont="1" applyFill="1" applyAlignment="1">
      <alignment horizontal="right" vertical="center"/>
    </xf>
    <xf numFmtId="168" fontId="27" fillId="2" borderId="0" xfId="7" applyNumberFormat="1" applyFont="1" applyFill="1" applyAlignment="1">
      <alignment horizontal="right" vertical="center"/>
    </xf>
    <xf numFmtId="168" fontId="27" fillId="2" borderId="0" xfId="28" applyNumberFormat="1" applyFont="1" applyFill="1" applyAlignment="1">
      <alignment horizontal="right" vertical="center"/>
    </xf>
    <xf numFmtId="173" fontId="27" fillId="2" borderId="0" xfId="11" applyNumberFormat="1" applyFont="1" applyFill="1" applyAlignment="1">
      <alignment horizontal="right" vertical="center"/>
    </xf>
    <xf numFmtId="170" fontId="27" fillId="2" borderId="11" xfId="7" applyNumberFormat="1" applyFont="1" applyFill="1" applyBorder="1" applyAlignment="1">
      <alignment horizontal="left" vertical="center"/>
    </xf>
    <xf numFmtId="168" fontId="27" fillId="2" borderId="11" xfId="7" applyNumberFormat="1" applyFont="1" applyFill="1" applyBorder="1" applyAlignment="1">
      <alignment horizontal="right" vertical="center"/>
    </xf>
    <xf numFmtId="168" fontId="27" fillId="2" borderId="11" xfId="28" applyNumberFormat="1" applyFont="1" applyFill="1" applyBorder="1" applyAlignment="1">
      <alignment horizontal="right" vertical="center"/>
    </xf>
    <xf numFmtId="173" fontId="27" fillId="2" borderId="11" xfId="11" applyNumberFormat="1" applyFont="1" applyFill="1" applyBorder="1" applyAlignment="1">
      <alignment horizontal="right" vertical="center"/>
    </xf>
    <xf numFmtId="0" fontId="65" fillId="2" borderId="11" xfId="0" applyFont="1" applyFill="1" applyBorder="1" applyAlignment="1">
      <alignment horizontal="right" vertical="center"/>
    </xf>
    <xf numFmtId="170" fontId="66" fillId="2" borderId="0" xfId="7" applyNumberFormat="1" applyFont="1" applyFill="1" applyAlignment="1">
      <alignment horizontal="right" vertical="center"/>
    </xf>
    <xf numFmtId="170" fontId="66" fillId="2" borderId="0" xfId="7" applyNumberFormat="1" applyFont="1" applyFill="1" applyAlignment="1">
      <alignment vertical="center"/>
    </xf>
    <xf numFmtId="170" fontId="66" fillId="2" borderId="0" xfId="7" applyNumberFormat="1" applyFont="1" applyFill="1" applyBorder="1" applyAlignment="1">
      <alignment vertical="center"/>
    </xf>
    <xf numFmtId="0" fontId="56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left" indent="2"/>
    </xf>
    <xf numFmtId="170" fontId="43" fillId="2" borderId="0" xfId="7" applyNumberFormat="1" applyFont="1" applyFill="1" applyAlignment="1">
      <alignment horizontal="right" vertical="center"/>
    </xf>
    <xf numFmtId="170" fontId="43" fillId="2" borderId="0" xfId="7" applyNumberFormat="1" applyFont="1" applyFill="1" applyBorder="1" applyAlignment="1">
      <alignment vertical="center"/>
    </xf>
    <xf numFmtId="170" fontId="17" fillId="2" borderId="0" xfId="7" applyNumberFormat="1" applyFont="1" applyFill="1" applyBorder="1" applyAlignment="1">
      <alignment vertical="center"/>
    </xf>
    <xf numFmtId="170" fontId="43" fillId="2" borderId="0" xfId="7" applyNumberFormat="1" applyFont="1" applyFill="1" applyBorder="1" applyAlignment="1">
      <alignment horizontal="right" vertical="center"/>
    </xf>
    <xf numFmtId="170" fontId="43" fillId="2" borderId="0" xfId="7" applyNumberFormat="1" applyFont="1" applyFill="1" applyAlignment="1">
      <alignment horizontal="left" vertical="center"/>
    </xf>
    <xf numFmtId="0" fontId="46" fillId="2" borderId="0" xfId="0" applyFont="1" applyFill="1" applyBorder="1"/>
    <xf numFmtId="170" fontId="17" fillId="2" borderId="0" xfId="7" applyNumberFormat="1" applyFont="1" applyFill="1" applyAlignment="1">
      <alignment horizontal="left" vertical="center"/>
    </xf>
    <xf numFmtId="170" fontId="17" fillId="2" borderId="0" xfId="7" applyNumberFormat="1" applyFont="1" applyFill="1" applyAlignment="1">
      <alignment horizontal="left" vertical="center" indent="2"/>
    </xf>
    <xf numFmtId="176" fontId="110" fillId="2" borderId="0" xfId="11" applyNumberFormat="1" applyFont="1" applyFill="1" applyBorder="1" applyAlignment="1">
      <alignment vertical="center"/>
    </xf>
    <xf numFmtId="0" fontId="79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left" vertical="center" wrapText="1"/>
    </xf>
    <xf numFmtId="0" fontId="8" fillId="2" borderId="0" xfId="0" applyFont="1" applyFill="1" applyBorder="1" applyAlignment="1" applyProtection="1">
      <alignment horizontal="left" vertical="center"/>
    </xf>
    <xf numFmtId="0" fontId="8" fillId="2" borderId="11" xfId="0" applyFont="1" applyFill="1" applyBorder="1" applyAlignment="1" applyProtection="1">
      <alignment horizontal="left" vertical="center"/>
    </xf>
    <xf numFmtId="0" fontId="79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79" fillId="2" borderId="4" xfId="0" applyFont="1" applyFill="1" applyBorder="1" applyAlignment="1">
      <alignment horizontal="center" vertical="center" wrapText="1"/>
    </xf>
    <xf numFmtId="0" fontId="79" fillId="2" borderId="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3" fillId="2" borderId="0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 applyProtection="1">
      <alignment horizontal="center" vertical="center"/>
    </xf>
    <xf numFmtId="0" fontId="44" fillId="2" borderId="0" xfId="0" applyFont="1" applyFill="1" applyBorder="1" applyAlignment="1" applyProtection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wrapText="1"/>
    </xf>
    <xf numFmtId="0" fontId="25" fillId="2" borderId="25" xfId="0" applyFont="1" applyFill="1" applyBorder="1" applyAlignment="1" applyProtection="1">
      <alignment horizontal="center" vertical="center" wrapText="1"/>
    </xf>
    <xf numFmtId="0" fontId="25" fillId="2" borderId="28" xfId="0" applyFont="1" applyFill="1" applyBorder="1" applyAlignment="1" applyProtection="1">
      <alignment horizontal="center" vertical="center" wrapText="1"/>
    </xf>
    <xf numFmtId="0" fontId="25" fillId="2" borderId="31" xfId="0" applyFont="1" applyFill="1" applyBorder="1" applyAlignment="1" applyProtection="1">
      <alignment horizontal="center" vertical="center" wrapText="1"/>
    </xf>
    <xf numFmtId="0" fontId="44" fillId="2" borderId="26" xfId="0" applyFont="1" applyFill="1" applyBorder="1" applyAlignment="1" applyProtection="1">
      <alignment horizontal="center" vertical="center"/>
    </xf>
    <xf numFmtId="0" fontId="44" fillId="2" borderId="27" xfId="0" applyFont="1" applyFill="1" applyBorder="1" applyAlignment="1" applyProtection="1">
      <alignment horizontal="center" vertical="center"/>
    </xf>
    <xf numFmtId="0" fontId="44" fillId="2" borderId="11" xfId="0" applyFont="1" applyFill="1" applyBorder="1" applyAlignment="1" applyProtection="1">
      <alignment horizontal="center" vertical="center"/>
    </xf>
    <xf numFmtId="0" fontId="87" fillId="2" borderId="0" xfId="0" applyFont="1" applyFill="1" applyAlignment="1">
      <alignment horizontal="center" vertical="center"/>
    </xf>
    <xf numFmtId="0" fontId="50" fillId="2" borderId="0" xfId="4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/>
    </xf>
    <xf numFmtId="0" fontId="51" fillId="2" borderId="0" xfId="0" applyFont="1" applyFill="1" applyAlignment="1">
      <alignment horizontal="left" vertical="center"/>
    </xf>
    <xf numFmtId="170" fontId="58" fillId="2" borderId="38" xfId="6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 applyProtection="1">
      <alignment horizontal="center" vertical="center" wrapText="1"/>
    </xf>
    <xf numFmtId="0" fontId="25" fillId="2" borderId="11" xfId="0" applyFont="1" applyFill="1" applyBorder="1" applyAlignment="1" applyProtection="1">
      <alignment horizontal="center" vertical="center" wrapText="1"/>
    </xf>
    <xf numFmtId="0" fontId="25" fillId="2" borderId="33" xfId="0" applyFont="1" applyFill="1" applyBorder="1" applyAlignment="1" applyProtection="1">
      <alignment horizontal="center" vertical="center" wrapText="1"/>
    </xf>
    <xf numFmtId="0" fontId="25" fillId="2" borderId="39" xfId="0" applyFont="1" applyFill="1" applyBorder="1" applyAlignment="1" applyProtection="1">
      <alignment horizontal="center" vertical="center" wrapText="1"/>
    </xf>
    <xf numFmtId="0" fontId="25" fillId="2" borderId="32" xfId="0" applyFont="1" applyFill="1" applyBorder="1" applyAlignment="1" applyProtection="1">
      <alignment horizontal="center" vertical="center" wrapText="1"/>
    </xf>
    <xf numFmtId="0" fontId="25" fillId="2" borderId="7" xfId="0" applyFont="1" applyFill="1" applyBorder="1" applyAlignment="1" applyProtection="1">
      <alignment horizontal="center" vertical="center" wrapText="1"/>
    </xf>
    <xf numFmtId="0" fontId="32" fillId="2" borderId="1" xfId="0" applyFont="1" applyFill="1" applyBorder="1" applyAlignment="1" applyProtection="1">
      <alignment horizontal="center" vertical="center" wrapText="1"/>
    </xf>
    <xf numFmtId="0" fontId="32" fillId="2" borderId="24" xfId="0" applyFont="1" applyFill="1" applyBorder="1" applyAlignment="1" applyProtection="1">
      <alignment horizontal="center" vertical="center" wrapText="1"/>
    </xf>
    <xf numFmtId="0" fontId="32" fillId="2" borderId="33" xfId="0" applyFont="1" applyFill="1" applyBorder="1" applyAlignment="1" applyProtection="1">
      <alignment horizontal="center" vertical="center" wrapText="1"/>
    </xf>
    <xf numFmtId="0" fontId="32" fillId="2" borderId="39" xfId="0" applyFont="1" applyFill="1" applyBorder="1" applyAlignment="1" applyProtection="1">
      <alignment horizontal="center" vertical="center" wrapText="1"/>
    </xf>
    <xf numFmtId="0" fontId="32" fillId="2" borderId="63" xfId="0" applyFont="1" applyFill="1" applyBorder="1" applyAlignment="1" applyProtection="1">
      <alignment horizontal="center" vertical="center" wrapText="1"/>
    </xf>
    <xf numFmtId="0" fontId="32" fillId="2" borderId="44" xfId="0" applyFont="1" applyFill="1" applyBorder="1" applyAlignment="1" applyProtection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5" fillId="2" borderId="1" xfId="0" applyFont="1" applyFill="1" applyBorder="1" applyAlignment="1" applyProtection="1">
      <alignment horizontal="left" vertical="center"/>
    </xf>
    <xf numFmtId="0" fontId="25" fillId="2" borderId="0" xfId="0" applyFont="1" applyFill="1" applyBorder="1" applyAlignment="1" applyProtection="1">
      <alignment horizontal="left" vertical="center"/>
    </xf>
    <xf numFmtId="0" fontId="25" fillId="2" borderId="11" xfId="0" applyFont="1" applyFill="1" applyBorder="1" applyAlignment="1" applyProtection="1">
      <alignment horizontal="left" vertical="center"/>
    </xf>
    <xf numFmtId="0" fontId="86" fillId="2" borderId="1" xfId="0" applyFont="1" applyFill="1" applyBorder="1" applyAlignment="1">
      <alignment horizontal="right" vertical="center" indent="1"/>
    </xf>
    <xf numFmtId="0" fontId="86" fillId="2" borderId="0" xfId="0" applyFont="1" applyFill="1" applyBorder="1" applyAlignment="1">
      <alignment horizontal="right" vertical="center" indent="1"/>
    </xf>
    <xf numFmtId="0" fontId="86" fillId="2" borderId="11" xfId="0" applyFont="1" applyFill="1" applyBorder="1" applyAlignment="1">
      <alignment horizontal="right" vertical="center" indent="1"/>
    </xf>
    <xf numFmtId="0" fontId="25" fillId="2" borderId="40" xfId="0" applyFont="1" applyFill="1" applyBorder="1" applyAlignment="1" applyProtection="1">
      <alignment horizontal="center" vertical="center" wrapText="1"/>
    </xf>
    <xf numFmtId="0" fontId="25" fillId="2" borderId="27" xfId="0" applyFont="1" applyFill="1" applyBorder="1" applyAlignment="1" applyProtection="1">
      <alignment horizontal="center" vertical="center" wrapText="1"/>
    </xf>
    <xf numFmtId="0" fontId="25" fillId="2" borderId="41" xfId="0" applyFont="1" applyFill="1" applyBorder="1" applyAlignment="1" applyProtection="1">
      <alignment horizontal="center" vertical="center" wrapText="1"/>
    </xf>
    <xf numFmtId="0" fontId="60" fillId="2" borderId="9" xfId="0" applyFont="1" applyFill="1" applyBorder="1" applyAlignment="1" applyProtection="1">
      <alignment horizontal="center" vertical="top" wrapText="1"/>
    </xf>
    <xf numFmtId="0" fontId="60" fillId="2" borderId="10" xfId="0" applyFont="1" applyFill="1" applyBorder="1" applyAlignment="1" applyProtection="1">
      <alignment horizontal="center" vertical="top" wrapText="1"/>
    </xf>
    <xf numFmtId="0" fontId="25" fillId="2" borderId="9" xfId="0" applyFont="1" applyFill="1" applyBorder="1" applyAlignment="1" applyProtection="1">
      <alignment horizontal="center" vertical="center" wrapText="1"/>
    </xf>
    <xf numFmtId="0" fontId="25" fillId="2" borderId="10" xfId="0" applyFont="1" applyFill="1" applyBorder="1" applyAlignment="1" applyProtection="1">
      <alignment horizontal="center" vertical="center" wrapText="1"/>
    </xf>
    <xf numFmtId="0" fontId="25" fillId="2" borderId="42" xfId="0" applyFont="1" applyFill="1" applyBorder="1" applyAlignment="1" applyProtection="1">
      <alignment horizontal="center" vertical="center" wrapText="1"/>
    </xf>
    <xf numFmtId="0" fontId="25" fillId="2" borderId="23" xfId="0" applyFont="1" applyFill="1" applyBorder="1" applyAlignment="1" applyProtection="1">
      <alignment horizontal="center" vertical="center" wrapText="1"/>
    </xf>
    <xf numFmtId="0" fontId="60" fillId="2" borderId="9" xfId="0" applyFont="1" applyFill="1" applyBorder="1" applyAlignment="1" applyProtection="1">
      <alignment horizontal="center" vertical="top"/>
    </xf>
    <xf numFmtId="0" fontId="60" fillId="2" borderId="10" xfId="0" applyFont="1" applyFill="1" applyBorder="1" applyAlignment="1" applyProtection="1">
      <alignment horizontal="center" vertical="top"/>
    </xf>
    <xf numFmtId="0" fontId="60" fillId="2" borderId="42" xfId="0" applyFont="1" applyFill="1" applyBorder="1" applyAlignment="1" applyProtection="1">
      <alignment horizontal="center" vertical="top"/>
    </xf>
    <xf numFmtId="170" fontId="87" fillId="2" borderId="0" xfId="6" applyNumberFormat="1" applyFont="1" applyFill="1" applyAlignment="1">
      <alignment horizontal="center" vertical="center"/>
    </xf>
    <xf numFmtId="170" fontId="44" fillId="2" borderId="0" xfId="7" applyNumberFormat="1" applyFont="1" applyFill="1" applyBorder="1" applyAlignment="1" applyProtection="1">
      <alignment horizontal="center" vertical="center" wrapText="1"/>
    </xf>
    <xf numFmtId="170" fontId="44" fillId="2" borderId="0" xfId="7" applyNumberFormat="1" applyFont="1" applyFill="1" applyBorder="1" applyAlignment="1" applyProtection="1">
      <alignment horizontal="center" vertical="center"/>
    </xf>
    <xf numFmtId="170" fontId="25" fillId="2" borderId="11" xfId="7" applyNumberFormat="1" applyFont="1" applyFill="1" applyBorder="1" applyAlignment="1">
      <alignment horizontal="center" vertical="top"/>
    </xf>
    <xf numFmtId="170" fontId="25" fillId="2" borderId="0" xfId="7" applyNumberFormat="1" applyFont="1" applyFill="1" applyBorder="1" applyAlignment="1">
      <alignment horizontal="center" vertical="top"/>
    </xf>
    <xf numFmtId="0" fontId="25" fillId="2" borderId="1" xfId="13" applyNumberFormat="1" applyFont="1" applyFill="1" applyBorder="1" applyAlignment="1">
      <alignment horizontal="left" vertical="center"/>
    </xf>
    <xf numFmtId="0" fontId="25" fillId="2" borderId="11" xfId="13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 wrapText="1" indent="2"/>
    </xf>
    <xf numFmtId="170" fontId="83" fillId="2" borderId="38" xfId="6" applyNumberFormat="1" applyFont="1" applyFill="1" applyBorder="1" applyAlignment="1">
      <alignment horizontal="center" vertical="center"/>
    </xf>
    <xf numFmtId="0" fontId="5" fillId="2" borderId="48" xfId="4" applyFont="1" applyFill="1" applyBorder="1" applyAlignment="1" applyProtection="1">
      <alignment horizontal="center" vertical="center"/>
    </xf>
    <xf numFmtId="0" fontId="64" fillId="2" borderId="50" xfId="4" applyFont="1" applyFill="1" applyBorder="1" applyAlignment="1">
      <alignment horizontal="right" vertical="center"/>
    </xf>
    <xf numFmtId="0" fontId="64" fillId="2" borderId="51" xfId="4" applyFont="1" applyFill="1" applyBorder="1" applyAlignment="1">
      <alignment horizontal="right" vertical="center"/>
    </xf>
    <xf numFmtId="0" fontId="64" fillId="2" borderId="52" xfId="4" applyFont="1" applyFill="1" applyBorder="1" applyAlignment="1">
      <alignment horizontal="right" vertical="center"/>
    </xf>
    <xf numFmtId="1" fontId="46" fillId="2" borderId="54" xfId="4" applyNumberFormat="1" applyFont="1" applyFill="1" applyBorder="1" applyAlignment="1">
      <alignment horizontal="center"/>
    </xf>
    <xf numFmtId="1" fontId="46" fillId="2" borderId="55" xfId="4" applyNumberFormat="1" applyFont="1" applyFill="1" applyBorder="1" applyAlignment="1">
      <alignment horizontal="center"/>
    </xf>
    <xf numFmtId="0" fontId="50" fillId="2" borderId="53" xfId="4" applyFont="1" applyFill="1" applyBorder="1" applyAlignment="1">
      <alignment horizontal="center"/>
    </xf>
    <xf numFmtId="0" fontId="50" fillId="2" borderId="54" xfId="4" applyFont="1" applyFill="1" applyBorder="1" applyAlignment="1">
      <alignment horizontal="center"/>
    </xf>
    <xf numFmtId="0" fontId="50" fillId="2" borderId="55" xfId="4" applyFont="1" applyFill="1" applyBorder="1" applyAlignment="1">
      <alignment horizontal="center"/>
    </xf>
    <xf numFmtId="0" fontId="51" fillId="2" borderId="48" xfId="4" applyFont="1" applyFill="1" applyBorder="1" applyAlignment="1" applyProtection="1">
      <alignment horizontal="center" vertical="center" wrapText="1"/>
    </xf>
    <xf numFmtId="0" fontId="25" fillId="2" borderId="56" xfId="4" applyFont="1" applyFill="1" applyBorder="1" applyAlignment="1" applyProtection="1">
      <alignment horizontal="center" vertical="center"/>
    </xf>
    <xf numFmtId="0" fontId="25" fillId="2" borderId="58" xfId="4" applyFont="1" applyFill="1" applyBorder="1" applyAlignment="1" applyProtection="1">
      <alignment horizontal="center" vertical="center"/>
    </xf>
    <xf numFmtId="0" fontId="46" fillId="2" borderId="53" xfId="4" applyFont="1" applyFill="1" applyBorder="1" applyAlignment="1">
      <alignment horizontal="center"/>
    </xf>
    <xf numFmtId="0" fontId="46" fillId="2" borderId="54" xfId="4" applyFont="1" applyFill="1" applyBorder="1" applyAlignment="1">
      <alignment horizontal="center"/>
    </xf>
    <xf numFmtId="0" fontId="46" fillId="2" borderId="55" xfId="4" applyFont="1" applyFill="1" applyBorder="1" applyAlignment="1">
      <alignment horizontal="center"/>
    </xf>
    <xf numFmtId="0" fontId="25" fillId="2" borderId="71" xfId="4" applyFont="1" applyFill="1" applyBorder="1" applyAlignment="1">
      <alignment horizontal="center" vertical="center" wrapText="1"/>
    </xf>
    <xf numFmtId="0" fontId="25" fillId="2" borderId="72" xfId="4" applyFont="1" applyFill="1" applyBorder="1" applyAlignment="1">
      <alignment horizontal="center" vertical="center" wrapText="1"/>
    </xf>
    <xf numFmtId="0" fontId="25" fillId="2" borderId="73" xfId="4" applyFont="1" applyFill="1" applyBorder="1" applyAlignment="1">
      <alignment horizontal="center" vertical="center" wrapText="1"/>
    </xf>
    <xf numFmtId="0" fontId="67" fillId="2" borderId="0" xfId="4" applyFont="1" applyFill="1" applyAlignment="1">
      <alignment horizontal="center" vertical="center"/>
    </xf>
    <xf numFmtId="0" fontId="5" fillId="2" borderId="0" xfId="4" applyFont="1" applyFill="1" applyBorder="1" applyAlignment="1" applyProtection="1">
      <alignment horizontal="center" vertical="center"/>
    </xf>
    <xf numFmtId="0" fontId="25" fillId="2" borderId="1" xfId="4" applyFont="1" applyFill="1" applyBorder="1" applyAlignment="1" applyProtection="1">
      <alignment horizontal="left" vertical="center" wrapText="1"/>
    </xf>
    <xf numFmtId="0" fontId="25" fillId="2" borderId="11" xfId="4" applyFont="1" applyFill="1" applyBorder="1" applyAlignment="1" applyProtection="1">
      <alignment horizontal="left" vertical="center" wrapText="1"/>
    </xf>
    <xf numFmtId="0" fontId="25" fillId="2" borderId="27" xfId="4" applyFont="1" applyFill="1" applyBorder="1" applyAlignment="1">
      <alignment horizontal="center" vertical="center"/>
    </xf>
    <xf numFmtId="0" fontId="25" fillId="2" borderId="1" xfId="4" applyFont="1" applyFill="1" applyBorder="1" applyAlignment="1" applyProtection="1">
      <alignment horizontal="center" vertical="center"/>
    </xf>
    <xf numFmtId="0" fontId="25" fillId="2" borderId="11" xfId="4" applyFont="1" applyFill="1" applyBorder="1" applyAlignment="1" applyProtection="1">
      <alignment horizontal="center" vertical="center"/>
    </xf>
    <xf numFmtId="0" fontId="2" fillId="2" borderId="0" xfId="4" applyFont="1" applyFill="1" applyBorder="1" applyAlignment="1" applyProtection="1">
      <alignment horizontal="center" vertical="center"/>
    </xf>
    <xf numFmtId="0" fontId="104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2" borderId="0" xfId="26" applyFont="1" applyFill="1" applyAlignment="1">
      <alignment horizontal="center" vertical="center"/>
    </xf>
    <xf numFmtId="0" fontId="5" fillId="2" borderId="65" xfId="26" applyFont="1" applyFill="1" applyBorder="1" applyAlignment="1">
      <alignment horizontal="left" vertical="center"/>
    </xf>
    <xf numFmtId="0" fontId="5" fillId="2" borderId="67" xfId="26" applyFont="1" applyFill="1" applyBorder="1" applyAlignment="1">
      <alignment horizontal="left" vertical="center"/>
    </xf>
    <xf numFmtId="0" fontId="5" fillId="3" borderId="66" xfId="26" applyFont="1" applyFill="1" applyBorder="1" applyAlignment="1">
      <alignment horizontal="center" vertical="center"/>
    </xf>
    <xf numFmtId="0" fontId="5" fillId="3" borderId="12" xfId="26" applyFont="1" applyFill="1" applyBorder="1" applyAlignment="1">
      <alignment horizontal="center" vertical="center"/>
    </xf>
    <xf numFmtId="0" fontId="5" fillId="3" borderId="74" xfId="26" applyFont="1" applyFill="1" applyBorder="1" applyAlignment="1">
      <alignment horizontal="center" vertical="center"/>
    </xf>
    <xf numFmtId="0" fontId="5" fillId="3" borderId="13" xfId="26" applyFont="1" applyFill="1" applyBorder="1" applyAlignment="1">
      <alignment horizontal="center" vertical="center"/>
    </xf>
  </cellXfs>
  <cellStyles count="29">
    <cellStyle name="1" xfId="10"/>
    <cellStyle name="Comma" xfId="1" builtinId="3"/>
    <cellStyle name="Comma 2" xfId="24"/>
    <cellStyle name="Comma 3" xfId="11"/>
    <cellStyle name="Normal" xfId="0" builtinId="0"/>
    <cellStyle name="Normal - Style1" xfId="12"/>
    <cellStyle name="Normal 10" xfId="18"/>
    <cellStyle name="Normal 2" xfId="4"/>
    <cellStyle name="Normal 2 2" xfId="13"/>
    <cellStyle name="Normal 2 2 2" xfId="25"/>
    <cellStyle name="Normal 3" xfId="14"/>
    <cellStyle name="Normal 4" xfId="19"/>
    <cellStyle name="Normal 4 2" xfId="15"/>
    <cellStyle name="Normal 4 2 2" xfId="20"/>
    <cellStyle name="Normal 5" xfId="16"/>
    <cellStyle name="Normal 5 2" xfId="8"/>
    <cellStyle name="Normal 6" xfId="21"/>
    <cellStyle name="Normal 7" xfId="22"/>
    <cellStyle name="Normal 8" xfId="23"/>
    <cellStyle name="Normal 9" xfId="9"/>
    <cellStyle name="Normal_II-15(Population) 2" xfId="27"/>
    <cellStyle name="Normal_TABLE29" xfId="26"/>
    <cellStyle name="Normal_TABLE456" xfId="3"/>
    <cellStyle name="Normal_VIII-8 (Tourism) 2" xfId="6"/>
    <cellStyle name="Normal_VIII-8 (Tourism) 2 3" xfId="7"/>
    <cellStyle name="Normal_VIII-8 (Tourism) 2 4" xfId="28"/>
    <cellStyle name="Percent" xfId="2" builtinId="5"/>
    <cellStyle name="Percent 2" xfId="17"/>
    <cellStyle name="Percent 2 2" xfId="5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2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200" baseline="0">
                <a:latin typeface="Consolas" panose="020B0609020204030204" pitchFamily="49" charset="0"/>
                <a:cs typeface="Calibri" panose="020F0502020204030204" pitchFamily="34" charset="0"/>
              </a:rPr>
              <a:t> 2020</a:t>
            </a:r>
            <a:endParaRPr lang="en-US" sz="12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3428611039418321"/>
          <c:y val="6.0121464657590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'10.1'!$AZ$10:$AZ$19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'10.1'!$BE$10:$BE$19</c:f>
              <c:numCache>
                <c:formatCode>#,##0</c:formatCode>
                <c:ptCount val="10"/>
                <c:pt idx="0">
                  <c:v>62960</c:v>
                </c:pt>
                <c:pt idx="1">
                  <c:v>61387</c:v>
                </c:pt>
                <c:pt idx="2">
                  <c:v>52720</c:v>
                </c:pt>
                <c:pt idx="3">
                  <c:v>46690</c:v>
                </c:pt>
                <c:pt idx="4">
                  <c:v>36435</c:v>
                </c:pt>
                <c:pt idx="5">
                  <c:v>34245</c:v>
                </c:pt>
                <c:pt idx="6">
                  <c:v>28031</c:v>
                </c:pt>
                <c:pt idx="7">
                  <c:v>19759</c:v>
                </c:pt>
                <c:pt idx="8">
                  <c:v>12517</c:v>
                </c:pt>
                <c:pt idx="9">
                  <c:v>10343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11603464"/>
        <c:axId val="411605816"/>
      </c:barChart>
      <c:catAx>
        <c:axId val="411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/>
            </a:pPr>
            <a:endParaRPr lang="en-US"/>
          </a:p>
        </c:txPr>
        <c:crossAx val="411605816"/>
        <c:crosses val="autoZero"/>
        <c:auto val="1"/>
        <c:lblAlgn val="ctr"/>
        <c:lblOffset val="100"/>
        <c:noMultiLvlLbl val="0"/>
      </c:catAx>
      <c:valAx>
        <c:axId val="411605816"/>
        <c:scaling>
          <c:orientation val="minMax"/>
        </c:scaling>
        <c:delete val="0"/>
        <c:axPos val="l"/>
        <c:majorGridlines>
          <c:spPr>
            <a:ln>
              <a:solidFill>
                <a:srgbClr val="C0F2F0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1603464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10.3: Top tourist arrival market, 2016 - 2020 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37940081311628987"/>
          <c:y val="3.0603074010648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83058448017698E-2"/>
          <c:y val="9.9837537659841227E-2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'10.1'!$BA$9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196563"/>
            </a:solidFill>
            <a:ln>
              <a:noFill/>
            </a:ln>
            <a:effectLst/>
          </c:spPr>
          <c:invertIfNegative val="0"/>
          <c:cat>
            <c:strRef>
              <c:f>'10.1'!$AZ$10:$AZ$19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'10.1'!$BA$10:$BA$19</c:f>
              <c:numCache>
                <c:formatCode>#,##0</c:formatCode>
                <c:ptCount val="10"/>
                <c:pt idx="0">
                  <c:v>66955</c:v>
                </c:pt>
                <c:pt idx="1">
                  <c:v>46522</c:v>
                </c:pt>
                <c:pt idx="2">
                  <c:v>101843</c:v>
                </c:pt>
                <c:pt idx="3">
                  <c:v>71202</c:v>
                </c:pt>
                <c:pt idx="4">
                  <c:v>106381</c:v>
                </c:pt>
                <c:pt idx="5">
                  <c:v>324326</c:v>
                </c:pt>
                <c:pt idx="6">
                  <c:v>40487</c:v>
                </c:pt>
                <c:pt idx="7">
                  <c:v>32589</c:v>
                </c:pt>
                <c:pt idx="8">
                  <c:v>31678</c:v>
                </c:pt>
                <c:pt idx="9">
                  <c:v>7599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43-47F8-8B5E-FBAEA9601FA6}"/>
            </c:ext>
          </c:extLst>
        </c:ser>
        <c:ser>
          <c:idx val="1"/>
          <c:order val="1"/>
          <c:tx>
            <c:strRef>
              <c:f>'10.1'!$BB$9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'10.1'!$AZ$10:$AZ$19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'10.1'!$BB$10:$BB$19</c:f>
              <c:numCache>
                <c:formatCode>#,##0</c:formatCode>
                <c:ptCount val="10"/>
                <c:pt idx="0">
                  <c:v>83019</c:v>
                </c:pt>
                <c:pt idx="1">
                  <c:v>61931</c:v>
                </c:pt>
                <c:pt idx="2">
                  <c:v>103977</c:v>
                </c:pt>
                <c:pt idx="3">
                  <c:v>88848</c:v>
                </c:pt>
                <c:pt idx="4">
                  <c:v>112109</c:v>
                </c:pt>
                <c:pt idx="5">
                  <c:v>306530</c:v>
                </c:pt>
                <c:pt idx="6">
                  <c:v>42365</c:v>
                </c:pt>
                <c:pt idx="7">
                  <c:v>39180</c:v>
                </c:pt>
                <c:pt idx="8">
                  <c:v>32651</c:v>
                </c:pt>
                <c:pt idx="9">
                  <c:v>9722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C43-47F8-8B5E-FBAEA9601FA6}"/>
            </c:ext>
          </c:extLst>
        </c:ser>
        <c:ser>
          <c:idx val="2"/>
          <c:order val="2"/>
          <c:tx>
            <c:strRef>
              <c:f>'10.1'!$BC$9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'10.1'!$AZ$10:$AZ$19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'10.1'!$BC$10:$BC$19</c:f>
              <c:numCache>
                <c:formatCode>#,##0</c:formatCode>
                <c:ptCount val="10"/>
                <c:pt idx="0">
                  <c:v>90474</c:v>
                </c:pt>
                <c:pt idx="1">
                  <c:v>70935</c:v>
                </c:pt>
                <c:pt idx="2">
                  <c:v>114602</c:v>
                </c:pt>
                <c:pt idx="3">
                  <c:v>105297</c:v>
                </c:pt>
                <c:pt idx="4">
                  <c:v>117532</c:v>
                </c:pt>
                <c:pt idx="5">
                  <c:v>283116</c:v>
                </c:pt>
                <c:pt idx="6">
                  <c:v>50476</c:v>
                </c:pt>
                <c:pt idx="7">
                  <c:v>42901</c:v>
                </c:pt>
                <c:pt idx="8">
                  <c:v>32984</c:v>
                </c:pt>
                <c:pt idx="9">
                  <c:v>11430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C43-47F8-8B5E-FBAEA9601FA6}"/>
            </c:ext>
          </c:extLst>
        </c:ser>
        <c:ser>
          <c:idx val="3"/>
          <c:order val="3"/>
          <c:tx>
            <c:strRef>
              <c:f>'10.1'!$BD$9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'10.1'!$AZ$10:$AZ$19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'10.1'!$BD$10:$BD$19</c:f>
              <c:numCache>
                <c:formatCode>#,##0</c:formatCode>
                <c:ptCount val="10"/>
                <c:pt idx="0">
                  <c:v>166030</c:v>
                </c:pt>
                <c:pt idx="1">
                  <c:v>83369</c:v>
                </c:pt>
                <c:pt idx="2">
                  <c:v>126199</c:v>
                </c:pt>
                <c:pt idx="3">
                  <c:v>136343</c:v>
                </c:pt>
                <c:pt idx="4">
                  <c:v>131561</c:v>
                </c:pt>
                <c:pt idx="5">
                  <c:v>284029</c:v>
                </c:pt>
                <c:pt idx="6">
                  <c:v>59738</c:v>
                </c:pt>
                <c:pt idx="7">
                  <c:v>54474</c:v>
                </c:pt>
                <c:pt idx="8">
                  <c:v>33829</c:v>
                </c:pt>
                <c:pt idx="9">
                  <c:v>13253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C43-47F8-8B5E-FBAEA9601FA6}"/>
            </c:ext>
          </c:extLst>
        </c:ser>
        <c:ser>
          <c:idx val="4"/>
          <c:order val="4"/>
          <c:tx>
            <c:strRef>
              <c:f>'10.1'!$BE$9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'10.1'!$AZ$10:$AZ$19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'10.1'!$BE$10:$BE$19</c:f>
              <c:numCache>
                <c:formatCode>#,##0</c:formatCode>
                <c:ptCount val="10"/>
                <c:pt idx="0">
                  <c:v>62960</c:v>
                </c:pt>
                <c:pt idx="1">
                  <c:v>61387</c:v>
                </c:pt>
                <c:pt idx="2">
                  <c:v>52720</c:v>
                </c:pt>
                <c:pt idx="3">
                  <c:v>46690</c:v>
                </c:pt>
                <c:pt idx="4">
                  <c:v>36435</c:v>
                </c:pt>
                <c:pt idx="5">
                  <c:v>34245</c:v>
                </c:pt>
                <c:pt idx="6">
                  <c:v>28031</c:v>
                </c:pt>
                <c:pt idx="7">
                  <c:v>19759</c:v>
                </c:pt>
                <c:pt idx="8">
                  <c:v>12517</c:v>
                </c:pt>
                <c:pt idx="9">
                  <c:v>10343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2E-45A9-9008-299CEE48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07776"/>
        <c:axId val="411608560"/>
      </c:barChart>
      <c:catAx>
        <c:axId val="4116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8560"/>
        <c:crosses val="autoZero"/>
        <c:auto val="1"/>
        <c:lblAlgn val="ctr"/>
        <c:lblOffset val="100"/>
        <c:noMultiLvlLbl val="0"/>
      </c:catAx>
      <c:valAx>
        <c:axId val="4116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7776"/>
        <c:crosses val="autoZero"/>
        <c:crossBetween val="between"/>
      </c:valAx>
      <c:spPr>
        <a:solidFill>
          <a:srgbClr val="EAFAFA"/>
        </a:solidFill>
        <a:ln>
          <a:solidFill>
            <a:srgbClr val="C0F2F0"/>
          </a:solidFill>
        </a:ln>
        <a:effectLst/>
      </c:spPr>
    </c:plotArea>
    <c:legend>
      <c:legendPos val="b"/>
      <c:layout>
        <c:manualLayout>
          <c:xMode val="edge"/>
          <c:yMode val="edge"/>
          <c:x val="0.66189294672943222"/>
          <c:y val="0.24389771963578122"/>
          <c:w val="0.26650507858255695"/>
          <c:h val="5.5321539251534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  <c:spPr>
              <a:solidFill>
                <a:srgbClr val="CA945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2DC-47B9-AB0C-61A032FFEB2E}"/>
              </c:ext>
            </c:extLst>
          </c:dPt>
          <c:dPt>
            <c:idx val="1"/>
            <c:bubble3D val="0"/>
            <c:spPr>
              <a:solidFill>
                <a:srgbClr val="6633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2DC-47B9-AB0C-61A032FFEB2E}"/>
              </c:ext>
            </c:extLst>
          </c:dPt>
          <c:dPt>
            <c:idx val="2"/>
            <c:bubble3D val="0"/>
            <c:spPr>
              <a:solidFill>
                <a:srgbClr val="B058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2DC-47B9-AB0C-61A032FFEB2E}"/>
              </c:ext>
            </c:extLst>
          </c:dPt>
          <c:dPt>
            <c:idx val="3"/>
            <c:bubble3D val="0"/>
            <c:spPr>
              <a:solidFill>
                <a:srgbClr val="D6AD8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2DC-47B9-AB0C-61A032FFEB2E}"/>
              </c:ext>
            </c:extLst>
          </c:dPt>
          <c:dLbls>
            <c:dLbl>
              <c:idx val="0"/>
              <c:layout>
                <c:manualLayout>
                  <c:x val="-0.10976014148336465"/>
                  <c:y val="0.2022433423652410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2DC-47B9-AB0C-61A032FFEB2E}"/>
                </c:ext>
                <c:ext xmlns:c15="http://schemas.microsoft.com/office/drawing/2012/chart" uri="{CE6537A1-D6FC-4f65-9D91-7224C49458BB}">
                  <c15:layout>
                    <c:manualLayout>
                      <c:w val="0.14789704543213994"/>
                      <c:h val="0.141794136684243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6.872790171120983E-3"/>
                  <c:y val="3.24311963787430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F2DC-47B9-AB0C-61A032FFEB2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2.0454606560498016E-2"/>
                  <c:y val="-0.230795469482904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F2DC-47B9-AB0C-61A032FFEB2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8.4388135233719408E-2"/>
                  <c:y val="0.171090986149780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F2DC-47B9-AB0C-61A032FFEB2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'10.2'!$AE$44:$AE$47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'10.2'!$AF$44:$AF$47</c:f>
              <c:numCache>
                <c:formatCode>0%</c:formatCode>
                <c:ptCount val="4"/>
                <c:pt idx="0">
                  <c:v>0.17484008528784648</c:v>
                </c:pt>
                <c:pt idx="1">
                  <c:v>1.279317697228145E-2</c:v>
                </c:pt>
                <c:pt idx="2">
                  <c:v>0.64498933901918976</c:v>
                </c:pt>
                <c:pt idx="3">
                  <c:v>0.1673773987206823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2DC-47B9-AB0C-61A032FFE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603857851101942"/>
          <c:y val="0.16566514711976793"/>
          <c:w val="0.47040674587644854"/>
          <c:h val="0.8215784485272674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5"/>
          <c:dPt>
            <c:idx val="0"/>
            <c:bubble3D val="0"/>
            <c:spPr>
              <a:solidFill>
                <a:srgbClr val="CA945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223-4735-9FBB-BC19C7D85A39}"/>
              </c:ext>
            </c:extLst>
          </c:dPt>
          <c:dPt>
            <c:idx val="1"/>
            <c:bubble3D val="0"/>
            <c:spPr>
              <a:solidFill>
                <a:srgbClr val="6633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223-4735-9FBB-BC19C7D85A39}"/>
              </c:ext>
            </c:extLst>
          </c:dPt>
          <c:dPt>
            <c:idx val="2"/>
            <c:bubble3D val="0"/>
            <c:spPr>
              <a:solidFill>
                <a:srgbClr val="B058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223-4735-9FBB-BC19C7D85A39}"/>
              </c:ext>
            </c:extLst>
          </c:dPt>
          <c:dPt>
            <c:idx val="3"/>
            <c:bubble3D val="0"/>
            <c:spPr>
              <a:solidFill>
                <a:srgbClr val="D6AD8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223-4735-9FBB-BC19C7D85A39}"/>
              </c:ext>
            </c:extLst>
          </c:dPt>
          <c:dLbls>
            <c:dLbl>
              <c:idx val="0"/>
              <c:layout>
                <c:manualLayout>
                  <c:x val="0.20480906553347497"/>
                  <c:y val="-0.197443845835060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0223-4735-9FBB-BC19C7D85A39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0223-4735-9FBB-BC19C7D85A39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13052687246378111"/>
                  <c:y val="0.108116876956645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0223-4735-9FBB-BC19C7D85A39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2690848224606744E-2"/>
                  <c:y val="3.85696900102678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0223-4735-9FBB-BC19C7D85A3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'10.2'!$AE$37:$AE$40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'10.2'!$AF$37:$AF$40</c:f>
              <c:numCache>
                <c:formatCode>0</c:formatCode>
                <c:ptCount val="4"/>
                <c:pt idx="0">
                  <c:v>72.045481094972942</c:v>
                </c:pt>
                <c:pt idx="1">
                  <c:v>3.1969160079436163</c:v>
                </c:pt>
                <c:pt idx="2">
                  <c:v>18.988746544137687</c:v>
                </c:pt>
                <c:pt idx="3">
                  <c:v>5.7688563529457575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223-4735-9FBB-BC19C7D8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10.5:  Bed capacity and beds in operation in resorts /hotels/guest houses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&amp; safari vessels, </a:t>
            </a:r>
            <a:r>
              <a:rPr lang="en-US" sz="1000">
                <a:latin typeface="Consolas" pitchFamily="49" charset="0"/>
                <a:cs typeface="Consolas" pitchFamily="49" charset="0"/>
              </a:rPr>
              <a:t>2017</a:t>
            </a:r>
          </a:p>
        </c:rich>
      </c:tx>
      <c:layout>
        <c:manualLayout>
          <c:xMode val="edge"/>
          <c:yMode val="edge"/>
          <c:x val="0.17898760789229715"/>
          <c:y val="4.4427948847713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412587412587006E-2"/>
          <c:y val="0.20324691120926971"/>
          <c:w val="0.87223743261397779"/>
          <c:h val="0.692090472162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'[1]10.3'!$AI$19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25400">
              <a:noFill/>
            </a:ln>
          </c:spPr>
          <c:invertIfNegative val="0"/>
          <c:cat>
            <c:strRef>
              <c:f>'[1]10.3'!$AH$20:$AH$31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'[1]10.3'!$AI$20:$AI$31</c:f>
              <c:numCache>
                <c:formatCode>General</c:formatCode>
                <c:ptCount val="12"/>
                <c:pt idx="0">
                  <c:v>41602</c:v>
                </c:pt>
                <c:pt idx="1">
                  <c:v>41710</c:v>
                </c:pt>
                <c:pt idx="2">
                  <c:v>42050</c:v>
                </c:pt>
                <c:pt idx="3">
                  <c:v>42688</c:v>
                </c:pt>
                <c:pt idx="4">
                  <c:v>42736</c:v>
                </c:pt>
                <c:pt idx="5">
                  <c:v>42822</c:v>
                </c:pt>
                <c:pt idx="6">
                  <c:v>42929</c:v>
                </c:pt>
                <c:pt idx="7">
                  <c:v>43099</c:v>
                </c:pt>
                <c:pt idx="8">
                  <c:v>43660</c:v>
                </c:pt>
                <c:pt idx="9">
                  <c:v>43806</c:v>
                </c:pt>
                <c:pt idx="10">
                  <c:v>44345</c:v>
                </c:pt>
                <c:pt idx="11">
                  <c:v>44860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DD-456F-8221-4D55EFC40F7B}"/>
            </c:ext>
          </c:extLst>
        </c:ser>
        <c:ser>
          <c:idx val="1"/>
          <c:order val="1"/>
          <c:tx>
            <c:strRef>
              <c:f>'[1]10.3'!$AJ$19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'[1]10.3'!$AH$20:$AH$31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'[1]10.3'!$AJ$20:$AJ$31</c:f>
              <c:numCache>
                <c:formatCode>General</c:formatCode>
                <c:ptCount val="12"/>
                <c:pt idx="0">
                  <c:v>40943</c:v>
                </c:pt>
                <c:pt idx="1">
                  <c:v>40807</c:v>
                </c:pt>
                <c:pt idx="2">
                  <c:v>41137</c:v>
                </c:pt>
                <c:pt idx="3">
                  <c:v>41835</c:v>
                </c:pt>
                <c:pt idx="4">
                  <c:v>41513</c:v>
                </c:pt>
                <c:pt idx="5">
                  <c:v>41503</c:v>
                </c:pt>
                <c:pt idx="6">
                  <c:v>41534</c:v>
                </c:pt>
                <c:pt idx="7">
                  <c:v>41780</c:v>
                </c:pt>
                <c:pt idx="8">
                  <c:v>42355</c:v>
                </c:pt>
                <c:pt idx="9">
                  <c:v>42501</c:v>
                </c:pt>
                <c:pt idx="10">
                  <c:v>42960</c:v>
                </c:pt>
                <c:pt idx="11">
                  <c:v>43448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9DD-456F-8221-4D55EFC40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-1"/>
        <c:axId val="400019032"/>
        <c:axId val="400021384"/>
      </c:barChart>
      <c:catAx>
        <c:axId val="400019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0213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002138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8655015684015563E-3"/>
              <c:y val="8.812353001329405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rgbClr val="33CCCC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001903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1459565688617289"/>
          <c:y val="0.21806299880337102"/>
          <c:w val="0.43930845229712207"/>
          <c:h val="6.292031677858446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2" l="2" r="2" t="2" header="0.5" footer="0.5"/>
    <c:pageSetup paperSize="9"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10.7: Average duration of stay of tourists, 2019- 2020</a:t>
            </a:r>
          </a:p>
        </c:rich>
      </c:tx>
      <c:layout>
        <c:manualLayout>
          <c:xMode val="edge"/>
          <c:yMode val="edge"/>
          <c:x val="0.20004409457667005"/>
          <c:y val="4.5386795248124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249390"/>
              </a:solidFill>
            </a:ln>
          </c:spPr>
          <c:marker>
            <c:symbol val="square"/>
            <c:size val="6"/>
            <c:spPr>
              <a:solidFill>
                <a:srgbClr val="33CCCC"/>
              </a:solidFill>
              <a:ln>
                <a:solidFill>
                  <a:srgbClr val="196563"/>
                </a:solidFill>
              </a:ln>
            </c:spPr>
          </c:marker>
          <c:cat>
            <c:strRef>
              <c:f>'10.3'!$BN$85:$BN$108</c:f>
              <c:strCache>
                <c:ptCount val="24"/>
                <c:pt idx="0">
                  <c:v>Jan-19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Jan-20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'10.3'!$BO$85:$BO$108</c:f>
              <c:numCache>
                <c:formatCode>#,##0.0</c:formatCode>
                <c:ptCount val="24"/>
                <c:pt idx="0">
                  <c:v>6.5882149816969973</c:v>
                </c:pt>
                <c:pt idx="1">
                  <c:v>6.0482804911572279</c:v>
                </c:pt>
                <c:pt idx="2">
                  <c:v>6.1824598176503818</c:v>
                </c:pt>
                <c:pt idx="3">
                  <c:v>6.0189152035866762</c:v>
                </c:pt>
                <c:pt idx="4">
                  <c:v>6.9693063559966193</c:v>
                </c:pt>
                <c:pt idx="5">
                  <c:v>6.2974838531525128</c:v>
                </c:pt>
                <c:pt idx="6">
                  <c:v>5.8777392231348422</c:v>
                </c:pt>
                <c:pt idx="7">
                  <c:v>6.5354937125120207</c:v>
                </c:pt>
                <c:pt idx="8">
                  <c:v>6.0265945053859173</c:v>
                </c:pt>
                <c:pt idx="9">
                  <c:v>6.4568748581424016</c:v>
                </c:pt>
                <c:pt idx="10">
                  <c:v>6.431551764903114</c:v>
                </c:pt>
                <c:pt idx="11">
                  <c:v>6.1300122010911764</c:v>
                </c:pt>
                <c:pt idx="12">
                  <c:v>6.5920863312702735</c:v>
                </c:pt>
                <c:pt idx="13">
                  <c:v>6.8118280755823273</c:v>
                </c:pt>
                <c:pt idx="14">
                  <c:v>9.4298541854713473</c:v>
                </c:pt>
                <c:pt idx="15">
                  <c:v>9.4285930300820073</c:v>
                </c:pt>
                <c:pt idx="16">
                  <c:v>86.847657368887681</c:v>
                </c:pt>
                <c:pt idx="17">
                  <c:v>42.28729376191415</c:v>
                </c:pt>
                <c:pt idx="18">
                  <c:v>14.083004941514982</c:v>
                </c:pt>
                <c:pt idx="19">
                  <c:v>9.3485538100132146</c:v>
                </c:pt>
                <c:pt idx="20">
                  <c:v>9.4824196160074017</c:v>
                </c:pt>
                <c:pt idx="21">
                  <c:v>9.6159959503923051</c:v>
                </c:pt>
                <c:pt idx="22">
                  <c:v>8.877098540145985</c:v>
                </c:pt>
                <c:pt idx="23">
                  <c:v>9.1055876952922024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16680"/>
        <c:axId val="400021776"/>
      </c:lineChart>
      <c:catAx>
        <c:axId val="4000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800">
                <a:latin typeface="+mn-lt"/>
              </a:defRPr>
            </a:pPr>
            <a:endParaRPr lang="en-US"/>
          </a:p>
        </c:txPr>
        <c:crossAx val="400021776"/>
        <c:crosses val="autoZero"/>
        <c:auto val="1"/>
        <c:lblAlgn val="ctr"/>
        <c:lblOffset val="100"/>
        <c:noMultiLvlLbl val="0"/>
      </c:catAx>
      <c:valAx>
        <c:axId val="400021776"/>
        <c:scaling>
          <c:orientation val="minMax"/>
          <c:max val="90"/>
          <c:min val="0"/>
        </c:scaling>
        <c:delete val="0"/>
        <c:axPos val="l"/>
        <c:majorGridlines>
          <c:spPr>
            <a:ln w="12700">
              <a:solidFill>
                <a:srgbClr val="DDF8F7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Average Number of days</a:t>
                </a:r>
              </a:p>
            </c:rich>
          </c:tx>
          <c:layout>
            <c:manualLayout>
              <c:xMode val="edge"/>
              <c:yMode val="edge"/>
              <c:x val="4.0054180419253783E-3"/>
              <c:y val="8.7282570480811436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0016680"/>
        <c:crosses val="autoZero"/>
        <c:crossBetween val="between"/>
        <c:majorUnit val="5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2020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5036451437118789"/>
          <c:y val="6.872001098392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'10.3'!$CB$15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'10.3'!$CA$16:$CA$27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'10.3'!$CB$16:$CB$27</c:f>
              <c:numCache>
                <c:formatCode>#,##0</c:formatCode>
                <c:ptCount val="12"/>
                <c:pt idx="0">
                  <c:v>52016</c:v>
                </c:pt>
                <c:pt idx="1">
                  <c:v>52263</c:v>
                </c:pt>
                <c:pt idx="2">
                  <c:v>52319</c:v>
                </c:pt>
                <c:pt idx="3">
                  <c:v>52319</c:v>
                </c:pt>
                <c:pt idx="4">
                  <c:v>52319</c:v>
                </c:pt>
                <c:pt idx="5">
                  <c:v>52287</c:v>
                </c:pt>
                <c:pt idx="6">
                  <c:v>52236</c:v>
                </c:pt>
                <c:pt idx="7">
                  <c:v>52361</c:v>
                </c:pt>
                <c:pt idx="8">
                  <c:v>52311</c:v>
                </c:pt>
                <c:pt idx="9">
                  <c:v>52867</c:v>
                </c:pt>
                <c:pt idx="10">
                  <c:v>52968</c:v>
                </c:pt>
                <c:pt idx="11">
                  <c:v>51827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85-49BA-9436-E2340D30CC13}"/>
            </c:ext>
          </c:extLst>
        </c:ser>
        <c:ser>
          <c:idx val="1"/>
          <c:order val="1"/>
          <c:tx>
            <c:strRef>
              <c:f>'10.3'!$CC$15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'10.3'!$CA$16:$CA$27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'10.3'!$CC$16:$CC$27</c:f>
              <c:numCache>
                <c:formatCode>#,##0</c:formatCode>
                <c:ptCount val="12"/>
                <c:pt idx="0">
                  <c:v>50679</c:v>
                </c:pt>
                <c:pt idx="1">
                  <c:v>50926</c:v>
                </c:pt>
                <c:pt idx="2">
                  <c:v>51001</c:v>
                </c:pt>
                <c:pt idx="3">
                  <c:v>7690</c:v>
                </c:pt>
                <c:pt idx="4">
                  <c:v>2978</c:v>
                </c:pt>
                <c:pt idx="5">
                  <c:v>3078</c:v>
                </c:pt>
                <c:pt idx="6">
                  <c:v>9821</c:v>
                </c:pt>
                <c:pt idx="7">
                  <c:v>19263</c:v>
                </c:pt>
                <c:pt idx="8">
                  <c:v>25328</c:v>
                </c:pt>
                <c:pt idx="9">
                  <c:v>32600</c:v>
                </c:pt>
                <c:pt idx="10">
                  <c:v>37378</c:v>
                </c:pt>
                <c:pt idx="11">
                  <c:v>42194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D85-49BA-9436-E2340D30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00019424"/>
        <c:axId val="400015112"/>
      </c:barChart>
      <c:catAx>
        <c:axId val="4000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112"/>
        <c:crosses val="autoZero"/>
        <c:auto val="1"/>
        <c:lblAlgn val="ctr"/>
        <c:lblOffset val="100"/>
        <c:noMultiLvlLbl val="0"/>
      </c:catAx>
      <c:valAx>
        <c:axId val="400015112"/>
        <c:scaling>
          <c:orientation val="minMax"/>
          <c:max val="6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94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6.3895584534217689E-2"/>
          <c:y val="0.1988835414498786"/>
          <c:w val="0.36621896210650873"/>
          <c:h val="7.7168591014461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resorts 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9376625060904604"/>
          <c:y val="4.768695948404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'10.4'!$AP$20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'10.4'!$AO$21:$AO$32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'10.4'!$AP$21:$AP$32</c:f>
              <c:numCache>
                <c:formatCode>#,##0</c:formatCode>
                <c:ptCount val="12"/>
                <c:pt idx="0">
                  <c:v>37394</c:v>
                </c:pt>
                <c:pt idx="1">
                  <c:v>37522</c:v>
                </c:pt>
                <c:pt idx="2">
                  <c:v>37522</c:v>
                </c:pt>
                <c:pt idx="3">
                  <c:v>37522</c:v>
                </c:pt>
                <c:pt idx="4">
                  <c:v>37522</c:v>
                </c:pt>
                <c:pt idx="5">
                  <c:v>37522</c:v>
                </c:pt>
                <c:pt idx="6">
                  <c:v>37522</c:v>
                </c:pt>
                <c:pt idx="7">
                  <c:v>37614</c:v>
                </c:pt>
                <c:pt idx="8">
                  <c:v>37622</c:v>
                </c:pt>
                <c:pt idx="9">
                  <c:v>37900</c:v>
                </c:pt>
                <c:pt idx="10">
                  <c:v>38000</c:v>
                </c:pt>
                <c:pt idx="11">
                  <c:v>37134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6A-4B78-BFEE-5F455A783DF5}"/>
            </c:ext>
          </c:extLst>
        </c:ser>
        <c:ser>
          <c:idx val="1"/>
          <c:order val="1"/>
          <c:tx>
            <c:strRef>
              <c:f>'10.4'!$AQ$20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'10.4'!$AO$21:$AO$32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'10.4'!$AQ$21:$AQ$32</c:f>
              <c:numCache>
                <c:formatCode>#,##0</c:formatCode>
                <c:ptCount val="12"/>
                <c:pt idx="0">
                  <c:v>36094</c:v>
                </c:pt>
                <c:pt idx="1">
                  <c:v>36222</c:v>
                </c:pt>
                <c:pt idx="2">
                  <c:v>36222</c:v>
                </c:pt>
                <c:pt idx="3">
                  <c:v>7064</c:v>
                </c:pt>
                <c:pt idx="4">
                  <c:v>2904</c:v>
                </c:pt>
                <c:pt idx="5">
                  <c:v>3004</c:v>
                </c:pt>
                <c:pt idx="6">
                  <c:v>9180</c:v>
                </c:pt>
                <c:pt idx="7">
                  <c:v>16222</c:v>
                </c:pt>
                <c:pt idx="8">
                  <c:v>20922</c:v>
                </c:pt>
                <c:pt idx="9">
                  <c:v>26580</c:v>
                </c:pt>
                <c:pt idx="10">
                  <c:v>30136</c:v>
                </c:pt>
                <c:pt idx="11">
                  <c:v>32798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6A-4B78-BFEE-5F455A7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8640"/>
        <c:axId val="400020992"/>
      </c:barChart>
      <c:catAx>
        <c:axId val="4000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0992"/>
        <c:crosses val="autoZero"/>
        <c:auto val="1"/>
        <c:lblAlgn val="ctr"/>
        <c:lblOffset val="100"/>
        <c:noMultiLvlLbl val="0"/>
      </c:catAx>
      <c:valAx>
        <c:axId val="400020992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86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119767171960651"/>
          <c:y val="0.90526962890700591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hotels , 2018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'[1]10.5'!$AF$21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'[1]10.5'!$AE$22:$AE$33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'[1]10.5'!$AF$22:$AF$33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5C-4FB0-8C0F-3F6A01168458}"/>
            </c:ext>
          </c:extLst>
        </c:ser>
        <c:ser>
          <c:idx val="1"/>
          <c:order val="1"/>
          <c:tx>
            <c:strRef>
              <c:f>'[1]10.5'!$AG$21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'[1]10.5'!$AE$22:$AE$33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'[1]10.5'!$AG$22:$AG$33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15C-4FB0-8C0F-3F6A01168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5504"/>
        <c:axId val="400016288"/>
      </c:barChart>
      <c:catAx>
        <c:axId val="4000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6288"/>
        <c:crosses val="autoZero"/>
        <c:auto val="1"/>
        <c:lblAlgn val="ctr"/>
        <c:lblOffset val="100"/>
        <c:noMultiLvlLbl val="0"/>
      </c:catAx>
      <c:valAx>
        <c:axId val="4000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5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8425165773132745"/>
          <c:y val="0.22560608515356928"/>
          <c:w val="0.4630421072886805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10.9:  Bed capacity and beds in operation in </a:t>
            </a:r>
            <a:r>
              <a:rPr lang="en-US" sz="1200" b="1" i="0" u="none" strike="noStrike" baseline="0">
                <a:effectLst/>
              </a:rPr>
              <a:t>hotels</a:t>
            </a:r>
            <a:r>
              <a:rPr lang="en-US" sz="1200" b="1" i="0" baseline="0">
                <a:effectLst/>
              </a:rPr>
              <a:t>, 2020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335898448050194"/>
          <c:y val="3.1908664478164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0754032938865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'10.5'!$AP$21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'10.5'!$AO$22:$AO$33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'10.5'!$AP$22:$AP$33</c:f>
              <c:numCache>
                <c:formatCode>#,##0</c:formatCode>
                <c:ptCount val="12"/>
                <c:pt idx="0">
                  <c:v>1698</c:v>
                </c:pt>
                <c:pt idx="1">
                  <c:v>1698</c:v>
                </c:pt>
                <c:pt idx="2">
                  <c:v>1698</c:v>
                </c:pt>
                <c:pt idx="3">
                  <c:v>1698</c:v>
                </c:pt>
                <c:pt idx="4">
                  <c:v>1698</c:v>
                </c:pt>
                <c:pt idx="5">
                  <c:v>1698</c:v>
                </c:pt>
                <c:pt idx="6">
                  <c:v>1698</c:v>
                </c:pt>
                <c:pt idx="7">
                  <c:v>1698</c:v>
                </c:pt>
                <c:pt idx="8">
                  <c:v>1698</c:v>
                </c:pt>
                <c:pt idx="9">
                  <c:v>1698</c:v>
                </c:pt>
                <c:pt idx="10">
                  <c:v>1698</c:v>
                </c:pt>
                <c:pt idx="11">
                  <c:v>1698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7C-44CF-B7BF-D4DBEC0B3BE6}"/>
            </c:ext>
          </c:extLst>
        </c:ser>
        <c:ser>
          <c:idx val="1"/>
          <c:order val="1"/>
          <c:tx>
            <c:strRef>
              <c:f>'10.5'!$AQ$21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'10.5'!$AO$22:$AO$33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'10.5'!$AQ$22:$AQ$33</c:f>
              <c:numCache>
                <c:formatCode>#,##0</c:formatCode>
                <c:ptCount val="12"/>
                <c:pt idx="0">
                  <c:v>1698</c:v>
                </c:pt>
                <c:pt idx="1">
                  <c:v>1698</c:v>
                </c:pt>
                <c:pt idx="2">
                  <c:v>1698</c:v>
                </c:pt>
                <c:pt idx="3">
                  <c:v>336</c:v>
                </c:pt>
                <c:pt idx="4">
                  <c:v>0</c:v>
                </c:pt>
                <c:pt idx="5">
                  <c:v>0</c:v>
                </c:pt>
                <c:pt idx="6">
                  <c:v>252</c:v>
                </c:pt>
                <c:pt idx="7">
                  <c:v>956</c:v>
                </c:pt>
                <c:pt idx="8">
                  <c:v>1318</c:v>
                </c:pt>
                <c:pt idx="9">
                  <c:v>1478</c:v>
                </c:pt>
                <c:pt idx="10">
                  <c:v>1478</c:v>
                </c:pt>
                <c:pt idx="11">
                  <c:v>1478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7C-44CF-B7BF-D4DBEC0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3104"/>
        <c:axId val="404764672"/>
      </c:barChart>
      <c:catAx>
        <c:axId val="40476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672"/>
        <c:crosses val="autoZero"/>
        <c:auto val="1"/>
        <c:lblAlgn val="ctr"/>
        <c:lblOffset val="100"/>
        <c:noMultiLvlLbl val="0"/>
      </c:catAx>
      <c:valAx>
        <c:axId val="404764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542659597631621"/>
          <c:y val="0.92567819373455529"/>
          <c:w val="0.3626495480369788"/>
          <c:h val="7.2624825405596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10.9:  Bed capacity and beds in operation in Guest Houses , 2017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'[1]10.6'!$AE$19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'[1]10.6'!$AD$20:$AD$31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'[1]10.6'!$AE$20:$AE$31</c:f>
              <c:numCache>
                <c:formatCode>General</c:formatCode>
                <c:ptCount val="12"/>
                <c:pt idx="0">
                  <c:v>7464</c:v>
                </c:pt>
                <c:pt idx="1">
                  <c:v>7528</c:v>
                </c:pt>
                <c:pt idx="2">
                  <c:v>7750</c:v>
                </c:pt>
                <c:pt idx="3">
                  <c:v>7922</c:v>
                </c:pt>
                <c:pt idx="4">
                  <c:v>7948</c:v>
                </c:pt>
                <c:pt idx="5">
                  <c:v>8006</c:v>
                </c:pt>
                <c:pt idx="6">
                  <c:v>8098</c:v>
                </c:pt>
                <c:pt idx="7">
                  <c:v>8134</c:v>
                </c:pt>
                <c:pt idx="8">
                  <c:v>8208</c:v>
                </c:pt>
                <c:pt idx="9">
                  <c:v>8294</c:v>
                </c:pt>
                <c:pt idx="10">
                  <c:v>8292</c:v>
                </c:pt>
                <c:pt idx="11">
                  <c:v>8563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F8C-4817-B820-F02354DC7DD6}"/>
            </c:ext>
          </c:extLst>
        </c:ser>
        <c:ser>
          <c:idx val="1"/>
          <c:order val="1"/>
          <c:tx>
            <c:strRef>
              <c:f>'[1]10.6'!$AF$19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'[1]10.6'!$AD$20:$AD$31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'[1]10.6'!$AF$20:$AF$31</c:f>
              <c:numCache>
                <c:formatCode>General</c:formatCode>
                <c:ptCount val="12"/>
                <c:pt idx="0">
                  <c:v>7464</c:v>
                </c:pt>
                <c:pt idx="1">
                  <c:v>7528</c:v>
                </c:pt>
                <c:pt idx="2">
                  <c:v>7750</c:v>
                </c:pt>
                <c:pt idx="3">
                  <c:v>7922</c:v>
                </c:pt>
                <c:pt idx="4">
                  <c:v>7948</c:v>
                </c:pt>
                <c:pt idx="5">
                  <c:v>7998</c:v>
                </c:pt>
                <c:pt idx="6">
                  <c:v>8090</c:v>
                </c:pt>
                <c:pt idx="7">
                  <c:v>8112</c:v>
                </c:pt>
                <c:pt idx="8">
                  <c:v>8200</c:v>
                </c:pt>
                <c:pt idx="9">
                  <c:v>8286</c:v>
                </c:pt>
                <c:pt idx="10">
                  <c:v>8248</c:v>
                </c:pt>
                <c:pt idx="11">
                  <c:v>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F8C-4817-B820-F02354DC7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6632"/>
        <c:axId val="404767416"/>
      </c:barChart>
      <c:catAx>
        <c:axId val="40476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7416"/>
        <c:crosses val="autoZero"/>
        <c:auto val="1"/>
        <c:lblAlgn val="ctr"/>
        <c:lblOffset val="100"/>
        <c:noMultiLvlLbl val="0"/>
      </c:catAx>
      <c:valAx>
        <c:axId val="404767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663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1817738743509181E-2"/>
          <c:y val="0.16155714571196761"/>
          <c:w val="0.50406928972831611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10.10:  Bed capacity and beds in operation in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400" b="1" i="0" baseline="0">
                <a:effectLst/>
              </a:rPr>
              <a:t>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5480342734935912"/>
          <c:y val="4.0359734444959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'10.6'!$AO$20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'10.6'!$AN$21:$AN$32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'10.6'!$AO$21:$AO$32</c:f>
              <c:numCache>
                <c:formatCode>#,##0</c:formatCode>
                <c:ptCount val="12"/>
                <c:pt idx="0">
                  <c:v>9927</c:v>
                </c:pt>
                <c:pt idx="1">
                  <c:v>10037</c:v>
                </c:pt>
                <c:pt idx="2">
                  <c:v>10093</c:v>
                </c:pt>
                <c:pt idx="3">
                  <c:v>10093</c:v>
                </c:pt>
                <c:pt idx="4">
                  <c:v>10093</c:v>
                </c:pt>
                <c:pt idx="5">
                  <c:v>10085</c:v>
                </c:pt>
                <c:pt idx="6">
                  <c:v>10111</c:v>
                </c:pt>
                <c:pt idx="7">
                  <c:v>10133</c:v>
                </c:pt>
                <c:pt idx="8">
                  <c:v>10115</c:v>
                </c:pt>
                <c:pt idx="9">
                  <c:v>10411</c:v>
                </c:pt>
                <c:pt idx="10">
                  <c:v>10411</c:v>
                </c:pt>
                <c:pt idx="11">
                  <c:v>10343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B8-441E-B04C-71F893D65C4D}"/>
            </c:ext>
          </c:extLst>
        </c:ser>
        <c:ser>
          <c:idx val="1"/>
          <c:order val="1"/>
          <c:tx>
            <c:strRef>
              <c:f>'10.6'!$AP$20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'10.6'!$AN$21:$AN$32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'10.6'!$AP$21:$AP$32</c:f>
              <c:numCache>
                <c:formatCode>#,##0</c:formatCode>
                <c:ptCount val="12"/>
                <c:pt idx="0">
                  <c:v>9917</c:v>
                </c:pt>
                <c:pt idx="1">
                  <c:v>10027</c:v>
                </c:pt>
                <c:pt idx="2">
                  <c:v>10075</c:v>
                </c:pt>
                <c:pt idx="3">
                  <c:v>266</c:v>
                </c:pt>
                <c:pt idx="4">
                  <c:v>74</c:v>
                </c:pt>
                <c:pt idx="5">
                  <c:v>74</c:v>
                </c:pt>
                <c:pt idx="6">
                  <c:v>192</c:v>
                </c:pt>
                <c:pt idx="7">
                  <c:v>676</c:v>
                </c:pt>
                <c:pt idx="8">
                  <c:v>1002</c:v>
                </c:pt>
                <c:pt idx="9">
                  <c:v>2256</c:v>
                </c:pt>
                <c:pt idx="10">
                  <c:v>3434</c:v>
                </c:pt>
                <c:pt idx="11">
                  <c:v>5388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B8-441E-B04C-71F893D6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8200"/>
        <c:axId val="404768592"/>
      </c:barChart>
      <c:catAx>
        <c:axId val="4047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592"/>
        <c:crosses val="autoZero"/>
        <c:auto val="1"/>
        <c:lblAlgn val="ctr"/>
        <c:lblOffset val="100"/>
        <c:noMultiLvlLbl val="0"/>
      </c:catAx>
      <c:valAx>
        <c:axId val="404768592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5902587773345312E-2"/>
          <c:y val="0.16155719864285259"/>
          <c:w val="0.44580324011222733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10.10:  Bed capacity and beds in operation in safari vessels , 2017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5230354777679303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'[1]10.7'!$AF$20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'[1]10.7'!$AE$21:$AE$32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'[1]10.7'!$AF$21:$AF$32</c:f>
              <c:numCache>
                <c:formatCode>General</c:formatCode>
                <c:ptCount val="12"/>
                <c:pt idx="0">
                  <c:v>2619</c:v>
                </c:pt>
                <c:pt idx="1">
                  <c:v>2663</c:v>
                </c:pt>
                <c:pt idx="2">
                  <c:v>2663</c:v>
                </c:pt>
                <c:pt idx="3">
                  <c:v>2719</c:v>
                </c:pt>
                <c:pt idx="4">
                  <c:v>2741</c:v>
                </c:pt>
                <c:pt idx="5">
                  <c:v>2749</c:v>
                </c:pt>
                <c:pt idx="6">
                  <c:v>2764</c:v>
                </c:pt>
                <c:pt idx="7">
                  <c:v>2764</c:v>
                </c:pt>
                <c:pt idx="8">
                  <c:v>2769</c:v>
                </c:pt>
                <c:pt idx="9">
                  <c:v>2769</c:v>
                </c:pt>
                <c:pt idx="10">
                  <c:v>2772</c:v>
                </c:pt>
                <c:pt idx="11">
                  <c:v>2758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AA-4668-8626-C5B7251DE422}"/>
            </c:ext>
          </c:extLst>
        </c:ser>
        <c:ser>
          <c:idx val="1"/>
          <c:order val="1"/>
          <c:tx>
            <c:strRef>
              <c:f>'[1]10.7'!$AG$20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'[1]10.7'!$AE$21:$AE$32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'[1]10.7'!$AG$21:$AG$32</c:f>
              <c:numCache>
                <c:formatCode>General</c:formatCode>
                <c:ptCount val="12"/>
                <c:pt idx="0">
                  <c:v>2619</c:v>
                </c:pt>
                <c:pt idx="1">
                  <c:v>2663</c:v>
                </c:pt>
                <c:pt idx="2">
                  <c:v>2663</c:v>
                </c:pt>
                <c:pt idx="3">
                  <c:v>2719</c:v>
                </c:pt>
                <c:pt idx="4">
                  <c:v>2741</c:v>
                </c:pt>
                <c:pt idx="5">
                  <c:v>2735</c:v>
                </c:pt>
                <c:pt idx="6">
                  <c:v>2764</c:v>
                </c:pt>
                <c:pt idx="7">
                  <c:v>2764</c:v>
                </c:pt>
                <c:pt idx="8">
                  <c:v>2769</c:v>
                </c:pt>
                <c:pt idx="9">
                  <c:v>2769</c:v>
                </c:pt>
                <c:pt idx="10">
                  <c:v>2772</c:v>
                </c:pt>
                <c:pt idx="11">
                  <c:v>2758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3AA-4668-8626-C5B7251D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30560"/>
        <c:axId val="157930952"/>
      </c:barChart>
      <c:catAx>
        <c:axId val="1579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0952"/>
        <c:crosses val="autoZero"/>
        <c:auto val="1"/>
        <c:lblAlgn val="ctr"/>
        <c:lblOffset val="100"/>
        <c:noMultiLvlLbl val="0"/>
      </c:catAx>
      <c:valAx>
        <c:axId val="157930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056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462871172399846"/>
          <c:y val="0.17356632185726792"/>
          <c:w val="0.50406928972831611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10.11:  Bed capacity and beds in operation in safari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400" b="1" i="0" baseline="0">
                <a:effectLst/>
              </a:rPr>
              <a:t> 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9912007157421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'10.7'!$AP$20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'10.7'!$AO$21:$AO$32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'10.7'!$AP$21:$AP$32</c:f>
              <c:numCache>
                <c:formatCode>#,##0</c:formatCode>
                <c:ptCount val="12"/>
                <c:pt idx="0">
                  <c:v>2997</c:v>
                </c:pt>
                <c:pt idx="1">
                  <c:v>3006</c:v>
                </c:pt>
                <c:pt idx="2">
                  <c:v>3006</c:v>
                </c:pt>
                <c:pt idx="3">
                  <c:v>3006</c:v>
                </c:pt>
                <c:pt idx="4">
                  <c:v>3006</c:v>
                </c:pt>
                <c:pt idx="5">
                  <c:v>2982</c:v>
                </c:pt>
                <c:pt idx="6">
                  <c:v>2905</c:v>
                </c:pt>
                <c:pt idx="7">
                  <c:v>2916</c:v>
                </c:pt>
                <c:pt idx="8">
                  <c:v>2876</c:v>
                </c:pt>
                <c:pt idx="9">
                  <c:v>2858</c:v>
                </c:pt>
                <c:pt idx="10">
                  <c:v>2859</c:v>
                </c:pt>
                <c:pt idx="11">
                  <c:v>2652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49-46A5-969C-EA5E831585B5}"/>
            </c:ext>
          </c:extLst>
        </c:ser>
        <c:ser>
          <c:idx val="1"/>
          <c:order val="1"/>
          <c:tx>
            <c:strRef>
              <c:f>'10.7'!$AQ$20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'10.7'!$AO$21:$AO$32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'10.7'!$AQ$21:$AQ$32</c:f>
              <c:numCache>
                <c:formatCode>#,##0</c:formatCode>
                <c:ptCount val="12"/>
                <c:pt idx="0">
                  <c:v>2970</c:v>
                </c:pt>
                <c:pt idx="1">
                  <c:v>2979</c:v>
                </c:pt>
                <c:pt idx="2">
                  <c:v>3006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197</c:v>
                </c:pt>
                <c:pt idx="7">
                  <c:v>1409</c:v>
                </c:pt>
                <c:pt idx="8">
                  <c:v>2086</c:v>
                </c:pt>
                <c:pt idx="9">
                  <c:v>2286</c:v>
                </c:pt>
                <c:pt idx="10">
                  <c:v>2330</c:v>
                </c:pt>
                <c:pt idx="11">
                  <c:v>2530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49-46A5-969C-EA5E8315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28600"/>
        <c:axId val="157928208"/>
      </c:barChart>
      <c:catAx>
        <c:axId val="1579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208"/>
        <c:crosses val="autoZero"/>
        <c:auto val="1"/>
        <c:lblAlgn val="ctr"/>
        <c:lblOffset val="100"/>
        <c:noMultiLvlLbl val="0"/>
      </c:catAx>
      <c:valAx>
        <c:axId val="157928208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0188944210707291"/>
          <c:y val="0.16496038561810514"/>
          <c:w val="0.37889986285826799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Figure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10.12: </a:t>
            </a: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Monthly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arrival of tourists by sex, 2020</a:t>
            </a:r>
            <a:endParaRPr lang="en-US" sz="1200">
              <a:solidFill>
                <a:schemeClr val="tx1"/>
              </a:solidFill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9757646365632867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60717410323705E-2"/>
          <c:y val="0.16069105691056912"/>
          <c:w val="0.9116420603674541"/>
          <c:h val="0.7251894885090582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'10.8'!$A$23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'10.8'!$Z$29:$AK$29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'10.8'!$C$27:$N$27</c:f>
              <c:numCache>
                <c:formatCode>#,##0</c:formatCode>
                <c:ptCount val="12"/>
                <c:pt idx="0">
                  <c:v>82485</c:v>
                </c:pt>
                <c:pt idx="1">
                  <c:v>71772</c:v>
                </c:pt>
                <c:pt idx="2">
                  <c:v>28412</c:v>
                </c:pt>
                <c:pt idx="3">
                  <c:v>12</c:v>
                </c:pt>
                <c:pt idx="4">
                  <c:v>27</c:v>
                </c:pt>
                <c:pt idx="5">
                  <c:v>1</c:v>
                </c:pt>
                <c:pt idx="6">
                  <c:v>862</c:v>
                </c:pt>
                <c:pt idx="7">
                  <c:v>3794</c:v>
                </c:pt>
                <c:pt idx="8">
                  <c:v>4869</c:v>
                </c:pt>
                <c:pt idx="9">
                  <c:v>10646</c:v>
                </c:pt>
                <c:pt idx="10">
                  <c:v>17220</c:v>
                </c:pt>
                <c:pt idx="11">
                  <c:v>46711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C0-44DB-8EE1-A9E6C4BF8A09}"/>
            </c:ext>
          </c:extLst>
        </c:ser>
        <c:ser>
          <c:idx val="0"/>
          <c:order val="1"/>
          <c:tx>
            <c:strRef>
              <c:f>'10.8'!$A$24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'10.8'!$Z$29:$AK$29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'10.8'!$C$28:$N$28</c:f>
              <c:numCache>
                <c:formatCode>#,##0</c:formatCode>
                <c:ptCount val="12"/>
                <c:pt idx="0">
                  <c:v>90862</c:v>
                </c:pt>
                <c:pt idx="1">
                  <c:v>78013</c:v>
                </c:pt>
                <c:pt idx="2">
                  <c:v>31218</c:v>
                </c:pt>
                <c:pt idx="3">
                  <c:v>1</c:v>
                </c:pt>
                <c:pt idx="4">
                  <c:v>14</c:v>
                </c:pt>
                <c:pt idx="5">
                  <c:v>0</c:v>
                </c:pt>
                <c:pt idx="6">
                  <c:v>890</c:v>
                </c:pt>
                <c:pt idx="7">
                  <c:v>3842</c:v>
                </c:pt>
                <c:pt idx="8">
                  <c:v>4736</c:v>
                </c:pt>
                <c:pt idx="9">
                  <c:v>10869</c:v>
                </c:pt>
                <c:pt idx="10">
                  <c:v>18537</c:v>
                </c:pt>
                <c:pt idx="11">
                  <c:v>49701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BC0-44DB-8EE1-A9E6C4BF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"/>
        <c:axId val="157931344"/>
        <c:axId val="414979120"/>
      </c:barChart>
      <c:catAx>
        <c:axId val="1579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9120"/>
        <c:crosses val="autoZero"/>
        <c:auto val="1"/>
        <c:lblAlgn val="ctr"/>
        <c:lblOffset val="100"/>
        <c:noMultiLvlLbl val="0"/>
      </c:catAx>
      <c:valAx>
        <c:axId val="4149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1344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6626052602799652"/>
          <c:y val="0.210597398151318"/>
          <c:w val="0.20981516612469656"/>
          <c:h val="6.1141732283464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>
          <a:lumMod val="6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10.13: Percentage of tourist arrival by sex,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5B9-434D-8708-6E02DCFD0988}"/>
              </c:ext>
            </c:extLst>
          </c:dPt>
          <c:dLbls>
            <c:dLbl>
              <c:idx val="0"/>
              <c:layout>
                <c:manualLayout>
                  <c:x val="-0.10167714800923754"/>
                  <c:y val="-1.778189844252710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5B9-434D-8708-6E02DCFD0988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3251717916408037"/>
                  <c:y val="-3.54425245028787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5B9-434D-8708-6E02DCFD0988}"/>
                </c:ext>
                <c:ext xmlns:c15="http://schemas.microsoft.com/office/drawing/2012/chart" uri="{CE6537A1-D6FC-4f65-9D91-7224C49458BB}">
                  <c15:layout>
                    <c:manualLayout>
                      <c:w val="7.2001855180319305E-2"/>
                      <c:h val="0.1206285117991419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'10.8'!$A$27:$A$28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'10.8'!$B$27:$B$28</c:f>
              <c:numCache>
                <c:formatCode>#,##0</c:formatCode>
                <c:ptCount val="2"/>
                <c:pt idx="0">
                  <c:v>266811</c:v>
                </c:pt>
                <c:pt idx="1">
                  <c:v>288683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10.14: Tourist arrival</a:t>
            </a:r>
            <a:r>
              <a:rPr lang="en-US" sz="1200" b="1" baseline="0">
                <a:solidFill>
                  <a:schemeClr val="tx1"/>
                </a:solidFill>
                <a:latin typeface="Consolas" panose="020B0609020204030204" pitchFamily="49" charset="0"/>
              </a:rPr>
              <a:t> by sex, 2015 - 2020</a:t>
            </a:r>
            <a:endParaRPr lang="en-US" sz="1200" b="1">
              <a:solidFill>
                <a:schemeClr val="tx1"/>
              </a:solidFill>
              <a:latin typeface="Consolas" panose="020B0609020204030204" pitchFamily="49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2906618325774E-2"/>
          <c:y val="0.13906613363832585"/>
          <c:w val="0.90612607509055587"/>
          <c:h val="0.7677166923467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'10.8'!$AF$42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286539611128241E-2"/>
                  <c:y val="1.2647898350183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18E-40D2-AD96-9DF93495FE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8567471755043842E-2"/>
                  <c:y val="1.3117101496846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18E-40D2-AD96-9DF93495FE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1.8550358021949685E-2"/>
                  <c:y val="1.2647898350183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18E-40D2-AD96-9DF93495FEE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0160398287612874E-2"/>
                  <c:y val="3.16197345983882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18E-40D2-AD96-9DF93495FEE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1779217603326435E-2"/>
                  <c:y val="1.4543133700621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DBF-4E9E-80C7-64B599F98239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3452337085379044E-2"/>
                  <c:y val="1.80243700837466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DBF-4E9E-80C7-64B599F98239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'10.8'!$AE$43:$AE$48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'10.8'!$AF$43:$AF$48</c:f>
              <c:numCache>
                <c:formatCode>_(* #,##0_);_(* \(#,##0\);_(* "-"??_);_(@_)</c:formatCode>
                <c:ptCount val="6"/>
                <c:pt idx="0">
                  <c:v>598458</c:v>
                </c:pt>
                <c:pt idx="1">
                  <c:v>623657</c:v>
                </c:pt>
                <c:pt idx="2">
                  <c:v>667286</c:v>
                </c:pt>
                <c:pt idx="3" formatCode="#,##0">
                  <c:v>710256</c:v>
                </c:pt>
                <c:pt idx="4" formatCode="#,##0">
                  <c:v>816083</c:v>
                </c:pt>
                <c:pt idx="5" formatCode="#,##0">
                  <c:v>266811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03-4931-A496-BB556552B691}"/>
            </c:ext>
          </c:extLst>
        </c:ser>
        <c:ser>
          <c:idx val="1"/>
          <c:order val="1"/>
          <c:tx>
            <c:strRef>
              <c:f>'10.8'!$AG$42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478723119167566E-2"/>
                  <c:y val="2.1787495292957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DBF-4E9E-80C7-64B599F98239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1.5163563509063451E-2"/>
                  <c:y val="1.08937476464787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CDBF-4E9E-80C7-64B599F98239}"/>
                </c:ext>
                <c:ext xmlns:c15="http://schemas.microsoft.com/office/drawing/2012/chart" uri="{CE6537A1-D6FC-4f65-9D91-7224C49458BB}">
                  <c15:layout>
                    <c:manualLayout>
                      <c:w val="6.9373236721666759E-2"/>
                      <c:h val="5.5213287284137248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1.5163563509063513E-2"/>
                  <c:y val="1.8156246077464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CDBF-4E9E-80C7-64B599F98239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5163582282890152E-2"/>
                  <c:y val="1.8119648590026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CDBF-4E9E-80C7-64B599F98239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5207488417428536E-2"/>
                  <c:y val="7.29900997837883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CDBF-4E9E-80C7-64B599F98239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1.6028790613479824E-2"/>
                  <c:y val="1.62416062304801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DBF-4E9E-80C7-64B599F98239}"/>
                </c:ext>
                <c:ext xmlns:c15="http://schemas.microsoft.com/office/drawing/2012/chart" uri="{CE6537A1-D6FC-4f65-9D91-7224C49458BB}">
                  <c15:layout>
                    <c:manualLayout>
                      <c:w val="7.3973116315277948E-2"/>
                      <c:h val="5.8361608946483109E-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'10.8'!$AE$43:$AE$48</c:f>
              <c:numCache>
                <c:formatCode>General</c:formatCod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numCache>
            </c:numRef>
          </c:cat>
          <c:val>
            <c:numRef>
              <c:f>'10.8'!$AG$43:$AG$48</c:f>
              <c:numCache>
                <c:formatCode>_(* #,##0_);_(* \(#,##0\);_(* "-"??_);_(@_)</c:formatCode>
                <c:ptCount val="6"/>
                <c:pt idx="0">
                  <c:v>635790</c:v>
                </c:pt>
                <c:pt idx="1">
                  <c:v>662478</c:v>
                </c:pt>
                <c:pt idx="2">
                  <c:v>722256</c:v>
                </c:pt>
                <c:pt idx="3" formatCode="#,##0">
                  <c:v>774018</c:v>
                </c:pt>
                <c:pt idx="4" formatCode="#,##0">
                  <c:v>886804</c:v>
                </c:pt>
                <c:pt idx="5" formatCode="#,##0">
                  <c:v>288683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903-4931-A496-BB556552B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axId val="414981080"/>
        <c:axId val="414981864"/>
      </c:barChart>
      <c:catAx>
        <c:axId val="41498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81864"/>
        <c:crosses val="autoZero"/>
        <c:auto val="1"/>
        <c:lblAlgn val="ctr"/>
        <c:lblOffset val="100"/>
        <c:noMultiLvlLbl val="0"/>
      </c:catAx>
      <c:valAx>
        <c:axId val="414981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8108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8799606277899438E-2"/>
          <c:y val="0.23735291532708122"/>
          <c:w val="0.15163407738916698"/>
          <c:h val="5.3506600152855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10.16: Percentage change of tourist arrivals and bed-nights compared to previous month, 2020</a:t>
            </a:r>
          </a:p>
        </c:rich>
      </c:tx>
      <c:layout>
        <c:manualLayout>
          <c:xMode val="edge"/>
          <c:yMode val="edge"/>
          <c:x val="0.15623847276667729"/>
          <c:y val="5.19631141916405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895721997878728E-2"/>
          <c:y val="0.17897647925182064"/>
          <c:w val="0.87594382271054516"/>
          <c:h val="0.71984321279656682"/>
        </c:manualLayout>
      </c:layout>
      <c:lineChart>
        <c:grouping val="standard"/>
        <c:varyColors val="0"/>
        <c:ser>
          <c:idx val="0"/>
          <c:order val="0"/>
          <c:tx>
            <c:strRef>
              <c:f>'10.9'!$T$5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>
              <a:solidFill>
                <a:srgbClr val="CA945E"/>
              </a:solidFill>
            </a:ln>
          </c:spPr>
          <c:marker>
            <c:symbol val="none"/>
          </c:marker>
          <c:cat>
            <c:strRef>
              <c:f>'10.9'!$AO$50:$AO$61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'10.9'!$T$9:$T$20</c:f>
              <c:numCache>
                <c:formatCode>#,##0.0</c:formatCode>
                <c:ptCount val="12"/>
                <c:pt idx="0">
                  <c:v>8.8817367752484842</c:v>
                </c:pt>
                <c:pt idx="1">
                  <c:v>-10.712063629619195</c:v>
                </c:pt>
                <c:pt idx="2">
                  <c:v>-44.889064315548751</c:v>
                </c:pt>
                <c:pt idx="3">
                  <c:v>-98.427176670779005</c:v>
                </c:pt>
                <c:pt idx="4">
                  <c:v>-45.990386570061169</c:v>
                </c:pt>
                <c:pt idx="5">
                  <c:v>-51.308653516930491</c:v>
                </c:pt>
                <c:pt idx="6">
                  <c:v>960.85701197108438</c:v>
                </c:pt>
                <c:pt idx="7">
                  <c:v>189.2614048436582</c:v>
                </c:pt>
                <c:pt idx="8">
                  <c:v>5.6005722329620422</c:v>
                </c:pt>
                <c:pt idx="9">
                  <c:v>125.17433297101741</c:v>
                </c:pt>
                <c:pt idx="10">
                  <c:v>64.41682483096001</c:v>
                </c:pt>
                <c:pt idx="11">
                  <c:v>123.37518081928498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2-481F-8432-BDDC3A80E60E}"/>
            </c:ext>
          </c:extLst>
        </c:ser>
        <c:ser>
          <c:idx val="1"/>
          <c:order val="1"/>
          <c:tx>
            <c:strRef>
              <c:f>'10.9'!$V$5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rgbClr val="B05800"/>
              </a:solidFill>
            </a:ln>
          </c:spPr>
          <c:marker>
            <c:symbol val="none"/>
          </c:marker>
          <c:cat>
            <c:strRef>
              <c:f>'10.9'!$AO$50:$AO$61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'10.9'!$V$9:$V$20</c:f>
              <c:numCache>
                <c:formatCode>#,##0.0</c:formatCode>
                <c:ptCount val="12"/>
                <c:pt idx="0">
                  <c:v>1.166631650208938</c:v>
                </c:pt>
                <c:pt idx="1">
                  <c:v>-13.5923898308018</c:v>
                </c:pt>
                <c:pt idx="2">
                  <c:v>-60.189605100644258</c:v>
                </c:pt>
                <c:pt idx="3">
                  <c:v>-99.978198893174579</c:v>
                </c:pt>
                <c:pt idx="4">
                  <c:v>215.38461538461539</c:v>
                </c:pt>
                <c:pt idx="5">
                  <c:v>-97.560975609756099</c:v>
                </c:pt>
                <c:pt idx="6">
                  <c:v>175100</c:v>
                </c:pt>
                <c:pt idx="7">
                  <c:v>335.84474885844753</c:v>
                </c:pt>
                <c:pt idx="8">
                  <c:v>25.785751702462022</c:v>
                </c:pt>
                <c:pt idx="9">
                  <c:v>123.99791775117129</c:v>
                </c:pt>
                <c:pt idx="10">
                  <c:v>66.195677434348127</c:v>
                </c:pt>
                <c:pt idx="11">
                  <c:v>169.63112117906985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B7-49DB-A88D-428132FD0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15768"/>
        <c:axId val="404918120"/>
      </c:lineChart>
      <c:catAx>
        <c:axId val="404915768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ln w="31750">
            <a:solidFill>
              <a:srgbClr val="663300"/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404918120"/>
        <c:crosses val="autoZero"/>
        <c:auto val="1"/>
        <c:lblAlgn val="ctr"/>
        <c:lblOffset val="100"/>
        <c:noMultiLvlLbl val="0"/>
      </c:catAx>
      <c:valAx>
        <c:axId val="404918120"/>
        <c:scaling>
          <c:orientation val="minMax"/>
          <c:max val="1000"/>
          <c:min val="-1000"/>
        </c:scaling>
        <c:delete val="0"/>
        <c:axPos val="l"/>
        <c:majorGridlines>
          <c:spPr>
            <a:ln>
              <a:solidFill>
                <a:srgbClr val="DDF8F7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40491576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2289984937664521"/>
          <c:y val="0.21369461851698324"/>
          <c:w val="0.47349488327322165"/>
          <c:h val="3.8073199873204747E-2"/>
        </c:manualLayout>
      </c:layout>
      <c:overlay val="0"/>
      <c:spPr>
        <a:noFill/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Figure 10.15: Percentage change of tourist arrivals and bed-nights compared to same month of previous year, 2019 - 2020</a:t>
            </a:r>
          </a:p>
        </c:rich>
      </c:tx>
      <c:layout>
        <c:manualLayout>
          <c:xMode val="edge"/>
          <c:yMode val="edge"/>
          <c:x val="0.15969080427083063"/>
          <c:y val="1.6218441721903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810993416211781E-2"/>
          <c:y val="0.14211051240712064"/>
          <c:w val="0.89575573747088033"/>
          <c:h val="0.75039979961153014"/>
        </c:manualLayout>
      </c:layout>
      <c:lineChart>
        <c:grouping val="standard"/>
        <c:varyColors val="0"/>
        <c:ser>
          <c:idx val="0"/>
          <c:order val="0"/>
          <c:tx>
            <c:strRef>
              <c:f>'10.9'!$Q$5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strRef>
              <c:f>'10.9'!$AN$50:$AO$61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'10.9'!$Q$9:$Q$20</c:f>
              <c:numCache>
                <c:formatCode>#,##0.0</c:formatCode>
                <c:ptCount val="12"/>
                <c:pt idx="0">
                  <c:v>14.448414873160708</c:v>
                </c:pt>
                <c:pt idx="1">
                  <c:v>6.5944849222021595E-2</c:v>
                </c:pt>
                <c:pt idx="2">
                  <c:v>-44.147915090687448</c:v>
                </c:pt>
                <c:pt idx="3">
                  <c:v>-99.099175340757569</c:v>
                </c:pt>
                <c:pt idx="4">
                  <c:v>-99.334724905352587</c:v>
                </c:pt>
                <c:pt idx="5">
                  <c:v>-99.674534223534224</c:v>
                </c:pt>
                <c:pt idx="6">
                  <c:v>-96.823333150924626</c:v>
                </c:pt>
                <c:pt idx="7">
                  <c:v>-92.162601113591265</c:v>
                </c:pt>
                <c:pt idx="8">
                  <c:v>-89.367466929405154</c:v>
                </c:pt>
                <c:pt idx="9">
                  <c:v>-81.481123780753578</c:v>
                </c:pt>
                <c:pt idx="10">
                  <c:v>-68.543878670539527</c:v>
                </c:pt>
                <c:pt idx="11">
                  <c:v>-40.611537984358883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5DE-431C-B417-85C814120BDD}"/>
            </c:ext>
          </c:extLst>
        </c:ser>
        <c:ser>
          <c:idx val="1"/>
          <c:order val="1"/>
          <c:tx>
            <c:strRef>
              <c:f>'10.9'!$S$5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 w="28575" cap="rnd">
              <a:solidFill>
                <a:srgbClr val="249390"/>
              </a:solidFill>
              <a:round/>
            </a:ln>
            <a:effectLst/>
          </c:spPr>
          <c:marker>
            <c:symbol val="none"/>
          </c:marker>
          <c:cat>
            <c:strRef>
              <c:f>'10.9'!$AN$50:$AO$61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'10.9'!$S$9:$S$20</c:f>
              <c:numCache>
                <c:formatCode>#,##0.0</c:formatCode>
                <c:ptCount val="12"/>
                <c:pt idx="0">
                  <c:v>14.381202491554056</c:v>
                </c:pt>
                <c:pt idx="1">
                  <c:v>-11.15059051031243</c:v>
                </c:pt>
                <c:pt idx="2">
                  <c:v>-63.381907727074548</c:v>
                </c:pt>
                <c:pt idx="3">
                  <c:v>-99.992030113908058</c:v>
                </c:pt>
                <c:pt idx="4">
                  <c:v>-99.960202675156765</c:v>
                </c:pt>
                <c:pt idx="5">
                  <c:v>-99.999118748623033</c:v>
                </c:pt>
                <c:pt idx="6">
                  <c:v>-98.674173628768614</c:v>
                </c:pt>
                <c:pt idx="7">
                  <c:v>-94.519800772222936</c:v>
                </c:pt>
                <c:pt idx="8">
                  <c:v>-91.833802361863306</c:v>
                </c:pt>
                <c:pt idx="9">
                  <c:v>-84.840905247731243</c:v>
                </c:pt>
                <c:pt idx="10">
                  <c:v>-74.0742889045178</c:v>
                </c:pt>
                <c:pt idx="11">
                  <c:v>-43.73322128066858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5DE-431C-B417-85C814120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21648"/>
        <c:axId val="404914984"/>
      </c:lineChart>
      <c:catAx>
        <c:axId val="4049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rgbClr val="196563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4984"/>
        <c:crosses val="autoZero"/>
        <c:auto val="1"/>
        <c:lblAlgn val="ctr"/>
        <c:lblOffset val="100"/>
        <c:noMultiLvlLbl val="0"/>
      </c:catAx>
      <c:valAx>
        <c:axId val="40491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164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692045371079609"/>
          <c:y val="0.16316461347265293"/>
          <c:w val="0.45703767333895823"/>
          <c:h val="5.2662747484000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10.17: Monthly tourist arrivals by European Market, 2020 </a:t>
            </a:r>
          </a:p>
        </c:rich>
      </c:tx>
      <c:layout>
        <c:manualLayout>
          <c:xMode val="edge"/>
          <c:yMode val="edge"/>
          <c:x val="0.12215975586255923"/>
          <c:y val="1.9766518075423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64618374825347"/>
          <c:y val="0.12103060151902054"/>
          <c:w val="0.87957552340085354"/>
          <c:h val="0.78856609237787967"/>
        </c:manualLayout>
      </c:layout>
      <c:lineChart>
        <c:grouping val="standard"/>
        <c:varyColors val="0"/>
        <c:ser>
          <c:idx val="0"/>
          <c:order val="0"/>
          <c:tx>
            <c:strRef>
              <c:f>'10.11'!$W$28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4925" cap="rnd">
              <a:solidFill>
                <a:srgbClr val="33CCC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'10.11'!$X$28:$AI$28</c:f>
              <c:numCache>
                <c:formatCode>_(* #,##0_);_(* \(#,##0\);_(* "-"??_);_(@_)</c:formatCode>
                <c:ptCount val="12"/>
                <c:pt idx="0">
                  <c:v>28280</c:v>
                </c:pt>
                <c:pt idx="1">
                  <c:v>23141</c:v>
                </c:pt>
                <c:pt idx="2">
                  <c:v>12233</c:v>
                </c:pt>
                <c:pt idx="3">
                  <c:v>0</c:v>
                </c:pt>
                <c:pt idx="4">
                  <c:v>23</c:v>
                </c:pt>
                <c:pt idx="5">
                  <c:v>0</c:v>
                </c:pt>
                <c:pt idx="6">
                  <c:v>240</c:v>
                </c:pt>
                <c:pt idx="7">
                  <c:v>1197</c:v>
                </c:pt>
                <c:pt idx="8">
                  <c:v>2929</c:v>
                </c:pt>
                <c:pt idx="9">
                  <c:v>8581</c:v>
                </c:pt>
                <c:pt idx="10">
                  <c:v>12697</c:v>
                </c:pt>
                <c:pt idx="11">
                  <c:v>31062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0AF-489F-AC73-381DC72CD132}"/>
            </c:ext>
          </c:extLst>
        </c:ser>
        <c:ser>
          <c:idx val="1"/>
          <c:order val="1"/>
          <c:tx>
            <c:strRef>
              <c:f>'10.11'!$W$29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4925" cap="rnd">
              <a:solidFill>
                <a:srgbClr val="19656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'10.11'!$X$29:$AI$29</c:f>
              <c:numCache>
                <c:formatCode>_(* #,##0_);_(* \(#,##0\);_(* "-"??_);_(@_)</c:formatCode>
                <c:ptCount val="12"/>
                <c:pt idx="0">
                  <c:v>15264</c:v>
                </c:pt>
                <c:pt idx="1">
                  <c:v>21059</c:v>
                </c:pt>
                <c:pt idx="2">
                  <c:v>8978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307</c:v>
                </c:pt>
                <c:pt idx="7">
                  <c:v>795</c:v>
                </c:pt>
                <c:pt idx="8">
                  <c:v>728</c:v>
                </c:pt>
                <c:pt idx="9">
                  <c:v>2216</c:v>
                </c:pt>
                <c:pt idx="10">
                  <c:v>2469</c:v>
                </c:pt>
                <c:pt idx="11">
                  <c:v>16005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0AF-489F-AC73-381DC72CD132}"/>
            </c:ext>
          </c:extLst>
        </c:ser>
        <c:ser>
          <c:idx val="3"/>
          <c:order val="2"/>
          <c:tx>
            <c:strRef>
              <c:f>'10.11'!$W$30</c:f>
              <c:strCache>
                <c:ptCount val="1"/>
                <c:pt idx="0">
                  <c:v>Southern Europe</c:v>
                </c:pt>
              </c:strCache>
            </c:strRef>
          </c:tx>
          <c:spPr>
            <a:ln w="34925" cap="rnd">
              <a:solidFill>
                <a:schemeClr val="accent4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'10.11'!$X$30:$AI$30</c:f>
              <c:numCache>
                <c:formatCode>_(* #,##0_);_(* \(#,##0\);_(* "-"??_);_(@_)</c:formatCode>
                <c:ptCount val="12"/>
                <c:pt idx="0">
                  <c:v>24902</c:v>
                </c:pt>
                <c:pt idx="1">
                  <c:v>24809</c:v>
                </c:pt>
                <c:pt idx="2">
                  <c:v>5700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153</c:v>
                </c:pt>
                <c:pt idx="7">
                  <c:v>939</c:v>
                </c:pt>
                <c:pt idx="8">
                  <c:v>786</c:v>
                </c:pt>
                <c:pt idx="9">
                  <c:v>1219</c:v>
                </c:pt>
                <c:pt idx="10">
                  <c:v>1209</c:v>
                </c:pt>
                <c:pt idx="11">
                  <c:v>3432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E0AF-489F-AC73-381DC72CD132}"/>
            </c:ext>
          </c:extLst>
        </c:ser>
        <c:ser>
          <c:idx val="4"/>
          <c:order val="3"/>
          <c:tx>
            <c:strRef>
              <c:f>'10.11'!$W$31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4925" cap="rnd">
              <a:solidFill>
                <a:srgbClr val="24939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'10.11'!$X$31:$AI$31</c:f>
              <c:numCache>
                <c:formatCode>_(* #,##0_);_(* \(#,##0\);_(* "-"??_);_(@_)</c:formatCode>
                <c:ptCount val="12"/>
                <c:pt idx="0">
                  <c:v>24416</c:v>
                </c:pt>
                <c:pt idx="1">
                  <c:v>32016</c:v>
                </c:pt>
                <c:pt idx="2">
                  <c:v>14672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298</c:v>
                </c:pt>
                <c:pt idx="7">
                  <c:v>771</c:v>
                </c:pt>
                <c:pt idx="8">
                  <c:v>831</c:v>
                </c:pt>
                <c:pt idx="9">
                  <c:v>2490</c:v>
                </c:pt>
                <c:pt idx="10">
                  <c:v>3907</c:v>
                </c:pt>
                <c:pt idx="11">
                  <c:v>12282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E0AF-489F-AC73-381DC72CD132}"/>
            </c:ext>
          </c:extLst>
        </c:ser>
        <c:ser>
          <c:idx val="2"/>
          <c:order val="4"/>
          <c:tx>
            <c:strRef>
              <c:f>'10.11'!$W$32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'10.11'!$X$27:$AI$27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'10.11'!$X$32:$AI$32</c:f>
              <c:numCache>
                <c:formatCode>_(* #,##0_);_(* \(#,##0\);_(* "-"??_);_(@_)</c:formatCode>
                <c:ptCount val="12"/>
                <c:pt idx="0">
                  <c:v>1863</c:v>
                </c:pt>
                <c:pt idx="1">
                  <c:v>1323</c:v>
                </c:pt>
                <c:pt idx="2">
                  <c:v>432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126</c:v>
                </c:pt>
                <c:pt idx="8">
                  <c:v>245</c:v>
                </c:pt>
                <c:pt idx="9">
                  <c:v>317</c:v>
                </c:pt>
                <c:pt idx="10">
                  <c:v>240</c:v>
                </c:pt>
                <c:pt idx="11">
                  <c:v>706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E0AF-489F-AC73-381DC72CD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830560"/>
        <c:axId val="528824280"/>
      </c:lineChart>
      <c:catAx>
        <c:axId val="4108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4280"/>
        <c:crosses val="autoZero"/>
        <c:auto val="1"/>
        <c:lblAlgn val="ctr"/>
        <c:lblOffset val="100"/>
        <c:noMultiLvlLbl val="0"/>
      </c:catAx>
      <c:valAx>
        <c:axId val="528824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2004699827419154E-3"/>
              <c:y val="0.4099761663459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0560"/>
        <c:crosses val="autoZero"/>
        <c:crossBetween val="between"/>
      </c:valAx>
      <c:spPr>
        <a:solidFill>
          <a:srgbClr val="EAFAFA"/>
        </a:solidFill>
        <a:ln>
          <a:solidFill>
            <a:srgbClr val="C0F2F0"/>
          </a:solidFill>
        </a:ln>
        <a:effectLst/>
      </c:spPr>
    </c:plotArea>
    <c:legend>
      <c:legendPos val="b"/>
      <c:layout>
        <c:manualLayout>
          <c:xMode val="edge"/>
          <c:yMode val="edge"/>
          <c:x val="0.30409283610133125"/>
          <c:y val="0.22988172611444893"/>
          <c:w val="0.61652393251301019"/>
          <c:h val="0.17021808910392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10.18: Monthly tourist arrivals by Asian Market, 2020 </a:t>
            </a:r>
          </a:p>
        </c:rich>
      </c:tx>
      <c:layout>
        <c:manualLayout>
          <c:xMode val="edge"/>
          <c:yMode val="edge"/>
          <c:x val="0.17351425367412587"/>
          <c:y val="4.37471646600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6545986632074"/>
          <c:y val="0.15014656490773748"/>
          <c:w val="0.86420778143168298"/>
          <c:h val="0.74491601350388115"/>
        </c:manualLayout>
      </c:layout>
      <c:lineChart>
        <c:grouping val="standard"/>
        <c:varyColors val="0"/>
        <c:ser>
          <c:idx val="0"/>
          <c:order val="0"/>
          <c:tx>
            <c:strRef>
              <c:f>'10.11'!$W$37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4925" cap="rnd">
              <a:solidFill>
                <a:srgbClr val="FF99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'10.11'!$X$37:$AI$37</c:f>
              <c:numCache>
                <c:formatCode>_(* #,##0_);_(* \(#,##0\);_(* "-"??_);_(@_)</c:formatCode>
                <c:ptCount val="12"/>
                <c:pt idx="0">
                  <c:v>38543</c:v>
                </c:pt>
                <c:pt idx="1">
                  <c:v>9652</c:v>
                </c:pt>
                <c:pt idx="2">
                  <c:v>2383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56</c:v>
                </c:pt>
                <c:pt idx="8">
                  <c:v>63</c:v>
                </c:pt>
                <c:pt idx="9">
                  <c:v>90</c:v>
                </c:pt>
                <c:pt idx="10">
                  <c:v>133</c:v>
                </c:pt>
                <c:pt idx="11">
                  <c:v>372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972-40F7-B71E-05A7C82D9A47}"/>
            </c:ext>
          </c:extLst>
        </c:ser>
        <c:ser>
          <c:idx val="1"/>
          <c:order val="1"/>
          <c:tx>
            <c:strRef>
              <c:f>'10.11'!$W$38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4925" cap="rnd">
              <a:solidFill>
                <a:srgbClr val="FFCC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'10.11'!$X$38:$AI$38</c:f>
              <c:numCache>
                <c:formatCode>_(* #,##0_);_(* \(#,##0\);_(* "-"??_);_(@_)</c:formatCode>
                <c:ptCount val="12"/>
                <c:pt idx="0">
                  <c:v>4198</c:v>
                </c:pt>
                <c:pt idx="1">
                  <c:v>4901</c:v>
                </c:pt>
                <c:pt idx="2">
                  <c:v>2482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</c:v>
                </c:pt>
                <c:pt idx="7">
                  <c:v>117</c:v>
                </c:pt>
                <c:pt idx="8">
                  <c:v>74</c:v>
                </c:pt>
                <c:pt idx="9">
                  <c:v>150</c:v>
                </c:pt>
                <c:pt idx="10">
                  <c:v>260</c:v>
                </c:pt>
                <c:pt idx="11">
                  <c:v>531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72-40F7-B71E-05A7C82D9A47}"/>
            </c:ext>
          </c:extLst>
        </c:ser>
        <c:ser>
          <c:idx val="2"/>
          <c:order val="2"/>
          <c:tx>
            <c:strRef>
              <c:f>'10.11'!$W$39</c:f>
              <c:strCache>
                <c:ptCount val="1"/>
                <c:pt idx="0">
                  <c:v>South Asia</c:v>
                </c:pt>
              </c:strCache>
            </c:strRef>
          </c:tx>
          <c:spPr>
            <a:ln w="34925" cap="rnd">
              <a:solidFill>
                <a:srgbClr val="33CCC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'10.11'!$X$36:$AI$36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'10.11'!$X$39:$AI$39</c:f>
              <c:numCache>
                <c:formatCode>_(* #,##0_);_(* \(#,##0\);_(* "-"??_);_(@_)</c:formatCode>
                <c:ptCount val="12"/>
                <c:pt idx="0">
                  <c:v>16021</c:v>
                </c:pt>
                <c:pt idx="1">
                  <c:v>17232</c:v>
                </c:pt>
                <c:pt idx="2">
                  <c:v>6088</c:v>
                </c:pt>
                <c:pt idx="3">
                  <c:v>12</c:v>
                </c:pt>
                <c:pt idx="4">
                  <c:v>4</c:v>
                </c:pt>
                <c:pt idx="5">
                  <c:v>0</c:v>
                </c:pt>
                <c:pt idx="6">
                  <c:v>62</c:v>
                </c:pt>
                <c:pt idx="7">
                  <c:v>372</c:v>
                </c:pt>
                <c:pt idx="8">
                  <c:v>575</c:v>
                </c:pt>
                <c:pt idx="9">
                  <c:v>1887</c:v>
                </c:pt>
                <c:pt idx="10">
                  <c:v>8165</c:v>
                </c:pt>
                <c:pt idx="11">
                  <c:v>19796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72-40F7-B71E-05A7C82D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6955272"/>
        <c:axId val="158431488"/>
      </c:lineChart>
      <c:catAx>
        <c:axId val="406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1488"/>
        <c:crosses val="autoZero"/>
        <c:auto val="1"/>
        <c:lblAlgn val="ctr"/>
        <c:lblOffset val="100"/>
        <c:noMultiLvlLbl val="0"/>
      </c:catAx>
      <c:valAx>
        <c:axId val="15843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919833505218243E-3"/>
              <c:y val="0.4412810501734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5272"/>
        <c:crosses val="autoZero"/>
        <c:crossBetween val="between"/>
      </c:valAx>
      <c:spPr>
        <a:solidFill>
          <a:srgbClr val="EAFAFA"/>
        </a:solidFill>
        <a:ln>
          <a:solidFill>
            <a:srgbClr val="C0F2F0"/>
          </a:solidFill>
        </a:ln>
        <a:effectLst/>
      </c:spPr>
    </c:plotArea>
    <c:legend>
      <c:legendPos val="b"/>
      <c:layout>
        <c:manualLayout>
          <c:xMode val="edge"/>
          <c:yMode val="edge"/>
          <c:x val="0.24980504609487453"/>
          <c:y val="0.40599789749722515"/>
          <c:w val="0.58274616063943152"/>
          <c:h val="6.9307644719170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10.20: Number of registered beds of tourist resorts by Atolls, 201</a:t>
            </a:r>
            <a:r>
              <a:rPr lang="dv-MV" sz="1100" b="1" i="0" baseline="0">
                <a:latin typeface="Consolas" panose="020B0609020204030204" pitchFamily="49" charset="0"/>
                <a:cs typeface="Consolas" pitchFamily="49" charset="0"/>
              </a:rPr>
              <a:t>9</a:t>
            </a: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89229683863952"/>
          <c:y val="4.5856134216005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88201474815648"/>
          <c:y val="0.1600313294171562"/>
          <c:w val="0.85448928258967627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cat>
            <c:strRef>
              <c:f>'10.12'!$Y$26:$Y$44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'10.12'!$Z$26:$Z$44</c:f>
              <c:numCache>
                <c:formatCode>_(* #,##0_);_(* \(#,##0\);_(* "-"??_);_(@_)</c:formatCode>
                <c:ptCount val="19"/>
                <c:pt idx="0">
                  <c:v>394</c:v>
                </c:pt>
                <c:pt idx="1">
                  <c:v>118</c:v>
                </c:pt>
                <c:pt idx="2">
                  <c:v>457</c:v>
                </c:pt>
                <c:pt idx="3">
                  <c:v>1436</c:v>
                </c:pt>
                <c:pt idx="4">
                  <c:v>3288</c:v>
                </c:pt>
                <c:pt idx="5">
                  <c:v>3104</c:v>
                </c:pt>
                <c:pt idx="6">
                  <c:v>2468</c:v>
                </c:pt>
                <c:pt idx="7">
                  <c:v>12048</c:v>
                </c:pt>
                <c:pt idx="8">
                  <c:v>2224</c:v>
                </c:pt>
                <c:pt idx="9">
                  <c:v>4350</c:v>
                </c:pt>
                <c:pt idx="10">
                  <c:v>614</c:v>
                </c:pt>
                <c:pt idx="11">
                  <c:v>440</c:v>
                </c:pt>
                <c:pt idx="12">
                  <c:v>250</c:v>
                </c:pt>
                <c:pt idx="13">
                  <c:v>2806</c:v>
                </c:pt>
                <c:pt idx="14">
                  <c:v>152</c:v>
                </c:pt>
                <c:pt idx="15">
                  <c:v>242</c:v>
                </c:pt>
                <c:pt idx="16">
                  <c:v>1267</c:v>
                </c:pt>
                <c:pt idx="17">
                  <c:v>550</c:v>
                </c:pt>
                <c:pt idx="18">
                  <c:v>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FF7-4497-9288-AE950A10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58427960"/>
        <c:axId val="158432272"/>
      </c:barChart>
      <c:catAx>
        <c:axId val="1584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2272"/>
        <c:crosses val="autoZero"/>
        <c:auto val="1"/>
        <c:lblAlgn val="ctr"/>
        <c:lblOffset val="100"/>
        <c:noMultiLvlLbl val="0"/>
      </c:catAx>
      <c:valAx>
        <c:axId val="15843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8427960"/>
        <c:crosses val="autoZero"/>
        <c:crossBetween val="between"/>
      </c:valAx>
      <c:spPr>
        <a:solidFill>
          <a:srgbClr val="EAFAFA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10.19: Number of resorts by Atolls, 2018 - 2020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89024373666111E-2"/>
          <c:y val="0.16041666666666668"/>
          <c:w val="0.94195085531083245"/>
          <c:h val="0.75533209390492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'10.12'!$AB$25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'10.12'!$Y$26:$Y$44</c15:sqref>
                  </c15:fullRef>
                </c:ext>
              </c:extLst>
              <c:f>'10.12'!$Y$27:$Y$44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'10.12'!$AB$26:$AB$44</c15:sqref>
                  </c15:fullRef>
                </c:ext>
              </c:extLst>
              <c:f>'10.12'!$AB$27:$AB$44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47</c:v>
                </c:pt>
                <c:pt idx="7">
                  <c:v>13</c:v>
                </c:pt>
                <c:pt idx="8">
                  <c:v>17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6A-4EB2-9A8D-E6B9EDC79472}"/>
            </c:ext>
          </c:extLst>
        </c:ser>
        <c:ser>
          <c:idx val="1"/>
          <c:order val="1"/>
          <c:tx>
            <c:strRef>
              <c:f>'10.12'!$AC$25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'10.12'!$Y$26:$Y$44</c15:sqref>
                  </c15:fullRef>
                </c:ext>
              </c:extLst>
              <c:f>'10.12'!$Y$27:$Y$44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'10.12'!$AC$26:$AC$44</c15:sqref>
                  </c15:fullRef>
                </c:ext>
              </c:extLst>
              <c:f>'10.12'!$AC$27:$AC$44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16</c:v>
                </c:pt>
                <c:pt idx="5">
                  <c:v>10</c:v>
                </c:pt>
                <c:pt idx="6">
                  <c:v>52</c:v>
                </c:pt>
                <c:pt idx="7">
                  <c:v>13</c:v>
                </c:pt>
                <c:pt idx="8">
                  <c:v>17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36A-4EB2-9A8D-E6B9EDC79472}"/>
            </c:ext>
          </c:extLst>
        </c:ser>
        <c:ser>
          <c:idx val="2"/>
          <c:order val="2"/>
          <c:tx>
            <c:strRef>
              <c:f>'10.12'!$AD$25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'10.12'!$Y$26:$Y$44</c15:sqref>
                  </c15:fullRef>
                </c:ext>
              </c:extLst>
              <c:f>'10.12'!$Y$27:$Y$44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'10.12'!$AD$26:$AD$44</c15:sqref>
                  </c15:fullRef>
                </c:ext>
              </c:extLst>
              <c:f>'10.12'!$AD$27:$AD$44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16</c:v>
                </c:pt>
                <c:pt idx="5">
                  <c:v>10</c:v>
                </c:pt>
                <c:pt idx="6">
                  <c:v>50</c:v>
                </c:pt>
                <c:pt idx="7">
                  <c:v>11</c:v>
                </c:pt>
                <c:pt idx="8">
                  <c:v>17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36A-4EB2-9A8D-E6B9EDC7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58432664"/>
        <c:axId val="158433056"/>
      </c:barChart>
      <c:catAx>
        <c:axId val="158432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3056"/>
        <c:crosses val="autoZero"/>
        <c:auto val="1"/>
        <c:lblAlgn val="ctr"/>
        <c:lblOffset val="100"/>
        <c:noMultiLvlLbl val="0"/>
      </c:catAx>
      <c:valAx>
        <c:axId val="1584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2664"/>
        <c:crosses val="autoZero"/>
        <c:crossBetween val="between"/>
      </c:valAx>
      <c:spPr>
        <a:solidFill>
          <a:srgbClr val="EAFAFA"/>
        </a:solidFill>
        <a:ln>
          <a:solidFill>
            <a:srgbClr val="DDF8F7"/>
          </a:solidFill>
        </a:ln>
        <a:effectLst/>
      </c:spPr>
    </c:plotArea>
    <c:legend>
      <c:legendPos val="b"/>
      <c:layout>
        <c:manualLayout>
          <c:xMode val="edge"/>
          <c:yMode val="edge"/>
          <c:x val="0.56770056867891516"/>
          <c:y val="0.29687445319335076"/>
          <c:w val="0.16818605154848301"/>
          <c:h val="7.678073635188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10.21: Monthly tourist arrivals by continent, 2020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1"/>
          <c:order val="1"/>
          <c:tx>
            <c:strRef>
              <c:f>'10.13'!$U$22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rgbClr val="196563"/>
              </a:solidFill>
            </a:ln>
          </c:spPr>
          <c:marker>
            <c:symbol val="diamond"/>
            <c:size val="6"/>
            <c:spPr>
              <a:solidFill>
                <a:srgbClr val="663300"/>
              </a:solidFill>
              <a:ln>
                <a:noFill/>
              </a:ln>
            </c:spPr>
          </c:marker>
          <c:cat>
            <c:strRef>
              <c:f>'10.13'!$V$20:$AG$20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'10.13'!$V$22:$AG$22</c:f>
              <c:numCache>
                <c:formatCode>_(* #,##0_);_(* \(#,##0\);_(* "-"??_);_(@_)</c:formatCode>
                <c:ptCount val="12"/>
                <c:pt idx="0">
                  <c:v>94725</c:v>
                </c:pt>
                <c:pt idx="1">
                  <c:v>102348</c:v>
                </c:pt>
                <c:pt idx="2">
                  <c:v>42015</c:v>
                </c:pt>
                <c:pt idx="3">
                  <c:v>0</c:v>
                </c:pt>
                <c:pt idx="4">
                  <c:v>37</c:v>
                </c:pt>
                <c:pt idx="5">
                  <c:v>1</c:v>
                </c:pt>
                <c:pt idx="6">
                  <c:v>1044</c:v>
                </c:pt>
                <c:pt idx="7">
                  <c:v>3828</c:v>
                </c:pt>
                <c:pt idx="8">
                  <c:v>5519</c:v>
                </c:pt>
                <c:pt idx="9">
                  <c:v>14823</c:v>
                </c:pt>
                <c:pt idx="10">
                  <c:v>20522</c:v>
                </c:pt>
                <c:pt idx="11">
                  <c:v>63487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26B-41EC-A07D-C41172FBA7F0}"/>
            </c:ext>
          </c:extLst>
        </c:ser>
        <c:ser>
          <c:idx val="2"/>
          <c:order val="2"/>
          <c:tx>
            <c:strRef>
              <c:f>'10.13'!$U$23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square"/>
            <c:size val="5"/>
            <c:spPr>
              <a:solidFill>
                <a:srgbClr val="CA945E"/>
              </a:solidFill>
              <a:ln>
                <a:solidFill>
                  <a:srgbClr val="CA945E"/>
                </a:solidFill>
              </a:ln>
            </c:spPr>
          </c:marker>
          <c:cat>
            <c:strRef>
              <c:f>'10.13'!$V$20:$AG$20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'10.13'!$V$23:$AG$23</c:f>
              <c:numCache>
                <c:formatCode>_(* #,##0_);_(* \(#,##0\);_(* "-"??_);_(@_)</c:formatCode>
                <c:ptCount val="12"/>
                <c:pt idx="0">
                  <c:v>58762</c:v>
                </c:pt>
                <c:pt idx="1">
                  <c:v>31785</c:v>
                </c:pt>
                <c:pt idx="2">
                  <c:v>10953</c:v>
                </c:pt>
                <c:pt idx="3">
                  <c:v>12</c:v>
                </c:pt>
                <c:pt idx="4">
                  <c:v>4</c:v>
                </c:pt>
                <c:pt idx="5">
                  <c:v>0</c:v>
                </c:pt>
                <c:pt idx="6">
                  <c:v>122</c:v>
                </c:pt>
                <c:pt idx="7">
                  <c:v>545</c:v>
                </c:pt>
                <c:pt idx="8">
                  <c:v>712</c:v>
                </c:pt>
                <c:pt idx="9">
                  <c:v>2127</c:v>
                </c:pt>
                <c:pt idx="10">
                  <c:v>8558</c:v>
                </c:pt>
                <c:pt idx="11">
                  <c:v>20699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26B-41EC-A07D-C41172FBA7F0}"/>
            </c:ext>
          </c:extLst>
        </c:ser>
        <c:ser>
          <c:idx val="3"/>
          <c:order val="3"/>
          <c:tx>
            <c:strRef>
              <c:f>'10.13'!$U$24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FF9900"/>
              </a:solidFill>
            </a:ln>
          </c:spPr>
          <c:marker>
            <c:spPr>
              <a:solidFill>
                <a:srgbClr val="996633"/>
              </a:solidFill>
              <a:ln>
                <a:noFill/>
              </a:ln>
            </c:spPr>
          </c:marker>
          <c:cat>
            <c:strRef>
              <c:f>'10.13'!$V$20:$AG$20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'10.13'!$V$24:$AG$24</c:f>
              <c:numCache>
                <c:formatCode>General</c:formatCode>
                <c:ptCount val="12"/>
                <c:pt idx="0" formatCode="_(* #,##0_);_(* \(#,##0\);_(* &quot;-&quot;??_);_(@_)">
                  <c:v>19860</c:v>
                </c:pt>
                <c:pt idx="1">
                  <c:v>15652</c:v>
                </c:pt>
                <c:pt idx="2">
                  <c:v>6662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586</c:v>
                </c:pt>
                <c:pt idx="7">
                  <c:v>3263</c:v>
                </c:pt>
                <c:pt idx="8">
                  <c:v>3374</c:v>
                </c:pt>
                <c:pt idx="9">
                  <c:v>4565</c:v>
                </c:pt>
                <c:pt idx="10">
                  <c:v>6677</c:v>
                </c:pt>
                <c:pt idx="11">
                  <c:v>12226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26B-41EC-A07D-C41172FB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31880"/>
        <c:axId val="158430312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'10.13'!$U$21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</c:spPr>
                </c:marker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'10.13'!$V$20:$AG$20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'10.13'!$V$21:$AG$21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173347</c:v>
                      </c:pt>
                      <c:pt idx="1">
                        <c:v>149785</c:v>
                      </c:pt>
                      <c:pt idx="2">
                        <c:v>59630</c:v>
                      </c:pt>
                      <c:pt idx="3">
                        <c:v>13</c:v>
                      </c:pt>
                      <c:pt idx="4">
                        <c:v>41</c:v>
                      </c:pt>
                      <c:pt idx="5">
                        <c:v>1</c:v>
                      </c:pt>
                      <c:pt idx="6">
                        <c:v>1752</c:v>
                      </c:pt>
                      <c:pt idx="7">
                        <c:v>7636</c:v>
                      </c:pt>
                      <c:pt idx="8">
                        <c:v>9605</c:v>
                      </c:pt>
                      <c:pt idx="9">
                        <c:v>21515</c:v>
                      </c:pt>
                      <c:pt idx="10">
                        <c:v>35757</c:v>
                      </c:pt>
                      <c:pt idx="11">
                        <c:v>96412</c:v>
                      </c:pt>
                    </c:numCache>
                  </c:numRef>
                </c:val>
                <c:smooth val="1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026B-41EC-A07D-C41172FBA7F0}"/>
                  </c:ext>
                </c:extLst>
              </c15:ser>
            </c15:filteredLineSeries>
          </c:ext>
        </c:extLst>
      </c:lineChart>
      <c:catAx>
        <c:axId val="15843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0312"/>
        <c:crosses val="autoZero"/>
        <c:auto val="1"/>
        <c:lblAlgn val="ctr"/>
        <c:lblOffset val="100"/>
        <c:noMultiLvlLbl val="0"/>
      </c:catAx>
      <c:valAx>
        <c:axId val="158430312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5843188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903887541885747"/>
          <c:y val="0.19905870461844444"/>
          <c:w val="0.39546927859429248"/>
          <c:h val="0.11279426212434579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zero"/>
    <c:showDLblsOverMax val="0"/>
  </c:chart>
  <c:spPr>
    <a:solidFill>
      <a:srgbClr val="EAFAFA"/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542989</xdr:colOff>
      <xdr:row>72</xdr:row>
      <xdr:rowOff>180900</xdr:rowOff>
    </xdr:from>
    <xdr:to>
      <xdr:col>30</xdr:col>
      <xdr:colOff>603349</xdr:colOff>
      <xdr:row>92</xdr:row>
      <xdr:rowOff>62803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542586</xdr:colOff>
      <xdr:row>93</xdr:row>
      <xdr:rowOff>174586</xdr:rowOff>
    </xdr:from>
    <xdr:to>
      <xdr:col>30</xdr:col>
      <xdr:colOff>612321</xdr:colOff>
      <xdr:row>118</xdr:row>
      <xdr:rowOff>43699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82550</xdr:colOff>
      <xdr:row>35</xdr:row>
      <xdr:rowOff>125729</xdr:rowOff>
    </xdr:from>
    <xdr:to>
      <xdr:col>21</xdr:col>
      <xdr:colOff>1816100</xdr:colOff>
      <xdr:row>55</xdr:row>
      <xdr:rowOff>12699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82550</xdr:colOff>
      <xdr:row>56</xdr:row>
      <xdr:rowOff>73025</xdr:rowOff>
    </xdr:from>
    <xdr:to>
      <xdr:col>21</xdr:col>
      <xdr:colOff>1816100</xdr:colOff>
      <xdr:row>75</xdr:row>
      <xdr:rowOff>53975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168276</xdr:colOff>
      <xdr:row>57</xdr:row>
      <xdr:rowOff>15834</xdr:rowOff>
    </xdr:from>
    <xdr:to>
      <xdr:col>21</xdr:col>
      <xdr:colOff>1739900</xdr:colOff>
      <xdr:row>59</xdr:row>
      <xdr:rowOff>92074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2152651" y="12303084"/>
          <a:ext cx="5794374" cy="45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10.5: Percentage share of bed capacity by type of establishment, 2018  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0.07143</cdr:x>
      <cdr:y>0.02696</cdr:y>
    </cdr:from>
    <cdr:to>
      <cdr:x>1</cdr:x>
      <cdr:y>0.10712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8626" y="86747"/>
          <a:ext cx="5572124" cy="2579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10.4: Percentage share of Establishments by type, 2019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6061</xdr:colOff>
      <xdr:row>19</xdr:row>
      <xdr:rowOff>119598</xdr:rowOff>
    </xdr:from>
    <xdr:to>
      <xdr:col>10</xdr:col>
      <xdr:colOff>381000</xdr:colOff>
      <xdr:row>32</xdr:row>
      <xdr:rowOff>200025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489778</xdr:colOff>
      <xdr:row>21</xdr:row>
      <xdr:rowOff>127072</xdr:rowOff>
    </xdr:from>
    <xdr:to>
      <xdr:col>10</xdr:col>
      <xdr:colOff>1081</xdr:colOff>
      <xdr:row>21</xdr:row>
      <xdr:rowOff>127072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914400" y="5842072"/>
          <a:ext cx="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33</xdr:col>
      <xdr:colOff>34846</xdr:colOff>
      <xdr:row>38</xdr:row>
      <xdr:rowOff>13674</xdr:rowOff>
    </xdr:from>
    <xdr:to>
      <xdr:col>42</xdr:col>
      <xdr:colOff>35944</xdr:colOff>
      <xdr:row>58</xdr:row>
      <xdr:rowOff>70184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740858</xdr:colOff>
      <xdr:row>22</xdr:row>
      <xdr:rowOff>238472</xdr:rowOff>
    </xdr:from>
    <xdr:to>
      <xdr:col>42</xdr:col>
      <xdr:colOff>104670</xdr:colOff>
      <xdr:row>35</xdr:row>
      <xdr:rowOff>86072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133349</xdr:colOff>
      <xdr:row>23</xdr:row>
      <xdr:rowOff>57150</xdr:rowOff>
    </xdr:from>
    <xdr:to>
      <xdr:col>35</xdr:col>
      <xdr:colOff>19050</xdr:colOff>
      <xdr:row>43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19</xdr:row>
      <xdr:rowOff>180975</xdr:rowOff>
    </xdr:from>
    <xdr:to>
      <xdr:col>12</xdr:col>
      <xdr:colOff>80695</xdr:colOff>
      <xdr:row>33</xdr:row>
      <xdr:rowOff>134099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447675</xdr:colOff>
      <xdr:row>21</xdr:row>
      <xdr:rowOff>38100</xdr:rowOff>
    </xdr:from>
    <xdr:to>
      <xdr:col>10</xdr:col>
      <xdr:colOff>546799</xdr:colOff>
      <xdr:row>21</xdr:row>
      <xdr:rowOff>38100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914400" y="5743575"/>
          <a:ext cx="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533397</xdr:colOff>
      <xdr:row>21</xdr:row>
      <xdr:rowOff>152400</xdr:rowOff>
    </xdr:from>
    <xdr:to>
      <xdr:col>34</xdr:col>
      <xdr:colOff>828674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20</xdr:row>
      <xdr:rowOff>142875</xdr:rowOff>
    </xdr:from>
    <xdr:to>
      <xdr:col>13</xdr:col>
      <xdr:colOff>947470</xdr:colOff>
      <xdr:row>34</xdr:row>
      <xdr:rowOff>95999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638175</xdr:colOff>
      <xdr:row>22</xdr:row>
      <xdr:rowOff>19050</xdr:rowOff>
    </xdr:from>
    <xdr:to>
      <xdr:col>13</xdr:col>
      <xdr:colOff>361950</xdr:colOff>
      <xdr:row>22</xdr:row>
      <xdr:rowOff>19050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>
          <a:spLocks noChangeShapeType="1"/>
        </xdr:cNvSpPr>
      </xdr:nvSpPr>
      <xdr:spPr bwMode="auto">
        <a:xfrm flipV="1">
          <a:off x="914400" y="5734050"/>
          <a:ext cx="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26</xdr:col>
      <xdr:colOff>266700</xdr:colOff>
      <xdr:row>22</xdr:row>
      <xdr:rowOff>85725</xdr:rowOff>
    </xdr:from>
    <xdr:to>
      <xdr:col>34</xdr:col>
      <xdr:colOff>457200</xdr:colOff>
      <xdr:row>42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20</xdr:row>
      <xdr:rowOff>28575</xdr:rowOff>
    </xdr:from>
    <xdr:to>
      <xdr:col>14</xdr:col>
      <xdr:colOff>452170</xdr:colOff>
      <xdr:row>34</xdr:row>
      <xdr:rowOff>57899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21</xdr:row>
      <xdr:rowOff>114300</xdr:rowOff>
    </xdr:from>
    <xdr:to>
      <xdr:col>13</xdr:col>
      <xdr:colOff>771525</xdr:colOff>
      <xdr:row>21</xdr:row>
      <xdr:rowOff>123825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>
          <a:spLocks noChangeShapeType="1"/>
        </xdr:cNvSpPr>
      </xdr:nvSpPr>
      <xdr:spPr bwMode="auto">
        <a:xfrm flipV="1">
          <a:off x="914400" y="5829300"/>
          <a:ext cx="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26</xdr:col>
      <xdr:colOff>385535</xdr:colOff>
      <xdr:row>21</xdr:row>
      <xdr:rowOff>9071</xdr:rowOff>
    </xdr:from>
    <xdr:to>
      <xdr:col>34</xdr:col>
      <xdr:colOff>646339</xdr:colOff>
      <xdr:row>39</xdr:row>
      <xdr:rowOff>48374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286752</xdr:colOff>
      <xdr:row>32</xdr:row>
      <xdr:rowOff>63667</xdr:rowOff>
    </xdr:from>
    <xdr:to>
      <xdr:col>13</xdr:col>
      <xdr:colOff>286752</xdr:colOff>
      <xdr:row>51</xdr:row>
      <xdr:rowOff>44617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264452</xdr:colOff>
      <xdr:row>53</xdr:row>
      <xdr:rowOff>120293</xdr:rowOff>
    </xdr:from>
    <xdr:to>
      <xdr:col>13</xdr:col>
      <xdr:colOff>264452</xdr:colOff>
      <xdr:row>70</xdr:row>
      <xdr:rowOff>25043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246152</xdr:colOff>
      <xdr:row>71</xdr:row>
      <xdr:rowOff>26830</xdr:rowOff>
    </xdr:from>
    <xdr:to>
      <xdr:col>13</xdr:col>
      <xdr:colOff>278258</xdr:colOff>
      <xdr:row>89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258305</xdr:colOff>
      <xdr:row>72</xdr:row>
      <xdr:rowOff>48432</xdr:rowOff>
    </xdr:from>
    <xdr:to>
      <xdr:col>3</xdr:col>
      <xdr:colOff>32288</xdr:colOff>
      <xdr:row>73</xdr:row>
      <xdr:rowOff>80720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SpPr txBox="1"/>
      </xdr:nvSpPr>
      <xdr:spPr>
        <a:xfrm>
          <a:off x="867905" y="11792757"/>
          <a:ext cx="1145583" cy="194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/>
            <a:t>Arrivals</a:t>
          </a:r>
          <a:r>
            <a:rPr lang="en-US" sz="900" b="1" i="0" baseline="0"/>
            <a:t> in Numbers</a:t>
          </a:r>
          <a:endParaRPr lang="en-US" sz="900" b="1" i="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662633</xdr:colOff>
      <xdr:row>24</xdr:row>
      <xdr:rowOff>161135</xdr:rowOff>
    </xdr:from>
    <xdr:to>
      <xdr:col>22</xdr:col>
      <xdr:colOff>573444</xdr:colOff>
      <xdr:row>45</xdr:row>
      <xdr:rowOff>118415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699351</xdr:colOff>
      <xdr:row>44</xdr:row>
      <xdr:rowOff>41892</xdr:rowOff>
    </xdr:from>
    <xdr:to>
      <xdr:col>19</xdr:col>
      <xdr:colOff>904703</xdr:colOff>
      <xdr:row>45</xdr:row>
      <xdr:rowOff>70792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 txBox="1"/>
      </xdr:nvSpPr>
      <xdr:spPr>
        <a:xfrm>
          <a:off x="6540703" y="9868193"/>
          <a:ext cx="4131985" cy="233007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 i="1"/>
            <a:t>* Tourist Bed night figures include resorts/hotels/safaris &amp; guesthouses</a:t>
          </a:r>
        </a:p>
      </xdr:txBody>
    </xdr:sp>
    <xdr:clientData/>
  </xdr:twoCellAnchor>
  <xdr:twoCellAnchor>
    <xdr:from>
      <xdr:col>0</xdr:col>
      <xdr:colOff>294579</xdr:colOff>
      <xdr:row>24</xdr:row>
      <xdr:rowOff>146880</xdr:rowOff>
    </xdr:from>
    <xdr:to>
      <xdr:col>14</xdr:col>
      <xdr:colOff>362013</xdr:colOff>
      <xdr:row>45</xdr:row>
      <xdr:rowOff>72616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311657</xdr:colOff>
      <xdr:row>43</xdr:row>
      <xdr:rowOff>110885</xdr:rowOff>
    </xdr:from>
    <xdr:to>
      <xdr:col>6</xdr:col>
      <xdr:colOff>709514</xdr:colOff>
      <xdr:row>45</xdr:row>
      <xdr:rowOff>10353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 txBox="1"/>
      </xdr:nvSpPr>
      <xdr:spPr>
        <a:xfrm>
          <a:off x="311657" y="9733079"/>
          <a:ext cx="3070689" cy="30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 include resorts/hotels/safaris &amp; guesthouses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0.00268</cdr:x>
      <cdr:y>0.38852</cdr:y>
    </cdr:from>
    <cdr:to>
      <cdr:x>0.04289</cdr:x>
      <cdr:y>0.59806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2465" y="1330265"/>
          <a:ext cx="337582" cy="717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0.01308</cdr:x>
      <cdr:y>0.105</cdr:y>
    </cdr:from>
    <cdr:to>
      <cdr:x>0.08107</cdr:x>
      <cdr:y>0.13418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xmlns="" id="{796C34AC-0846-46F7-A9E9-3CF134BE2E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6764" y="427291"/>
          <a:ext cx="347173" cy="118770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64943</xdr:colOff>
      <xdr:row>24</xdr:row>
      <xdr:rowOff>146159</xdr:rowOff>
    </xdr:from>
    <xdr:to>
      <xdr:col>6</xdr:col>
      <xdr:colOff>324478</xdr:colOff>
      <xdr:row>43</xdr:row>
      <xdr:rowOff>73269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460551</xdr:colOff>
      <xdr:row>24</xdr:row>
      <xdr:rowOff>121165</xdr:rowOff>
    </xdr:from>
    <xdr:to>
      <xdr:col>14</xdr:col>
      <xdr:colOff>1370889</xdr:colOff>
      <xdr:row>43</xdr:row>
      <xdr:rowOff>62801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42</xdr:row>
      <xdr:rowOff>95249</xdr:rowOff>
    </xdr:from>
    <xdr:to>
      <xdr:col>14</xdr:col>
      <xdr:colOff>771525</xdr:colOff>
      <xdr:row>61</xdr:row>
      <xdr:rowOff>19049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373380</xdr:colOff>
      <xdr:row>43</xdr:row>
      <xdr:rowOff>99060</xdr:rowOff>
    </xdr:from>
    <xdr:to>
      <xdr:col>5</xdr:col>
      <xdr:colOff>144780</xdr:colOff>
      <xdr:row>44</xdr:row>
      <xdr:rowOff>15240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903976</xdr:colOff>
      <xdr:row>25</xdr:row>
      <xdr:rowOff>61643</xdr:rowOff>
    </xdr:from>
    <xdr:to>
      <xdr:col>14</xdr:col>
      <xdr:colOff>871627</xdr:colOff>
      <xdr:row>41</xdr:row>
      <xdr:rowOff>73145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474245</xdr:colOff>
      <xdr:row>105</xdr:row>
      <xdr:rowOff>26570</xdr:rowOff>
    </xdr:from>
    <xdr:to>
      <xdr:col>12</xdr:col>
      <xdr:colOff>607251</xdr:colOff>
      <xdr:row>124</xdr:row>
      <xdr:rowOff>3022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overnment%20Annual%20Budget%202014\Government%20Annual%20Budget%202020\2020%20Approved%20Budgets\S29%20-%20Ministry%20of%20Tourism\1204Bgt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ftstorage\Data\Government%20Annual%20Budget%202014\Government%20Annual%20Budget%202021\2021%20Approved%20Budgets\S29%20-%20Ministry%20of%20Tourism\1204Bgt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_Budget"/>
      <sheetName val="NPI-Activities"/>
      <sheetName val="PSIP-Domestic"/>
    </sheetNames>
    <sheetDataSet>
      <sheetData sheetId="0" refreshError="1">
        <row r="10">
          <cell r="B10">
            <v>47095927</v>
          </cell>
          <cell r="F10">
            <v>62316150</v>
          </cell>
        </row>
        <row r="11">
          <cell r="F11">
            <v>826800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_Budget"/>
    </sheetNames>
    <sheetDataSet>
      <sheetData sheetId="0" refreshError="1">
        <row r="14">
          <cell r="B14">
            <v>28539116</v>
          </cell>
          <cell r="E14">
            <v>38354809</v>
          </cell>
          <cell r="F14">
            <v>43368542</v>
          </cell>
        </row>
        <row r="27">
          <cell r="E27">
            <v>3615153</v>
          </cell>
          <cell r="F27">
            <v>811887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K125"/>
  <sheetViews>
    <sheetView zoomScale="98" zoomScaleNormal="98" workbookViewId="0">
      <selection activeCell="AI82" sqref="AI82"/>
    </sheetView>
  </sheetViews>
  <sheetFormatPr defaultColWidth="9.140625" defaultRowHeight="15"/>
  <cols>
    <col min="1" max="1" width="21" style="2" customWidth="1"/>
    <col min="2" max="2" width="9.140625" style="2" hidden="1" customWidth="1"/>
    <col min="3" max="5" width="9.85546875" style="2" hidden="1" customWidth="1"/>
    <col min="6" max="10" width="9.85546875" style="2" customWidth="1"/>
    <col min="11" max="11" width="1.28515625" style="2" customWidth="1"/>
    <col min="12" max="13" width="7.85546875" style="6" hidden="1" customWidth="1"/>
    <col min="14" max="15" width="8.7109375" style="6" hidden="1" customWidth="1"/>
    <col min="16" max="20" width="8.7109375" style="6" customWidth="1"/>
    <col min="21" max="21" width="1.42578125" style="6" customWidth="1"/>
    <col min="22" max="25" width="7.85546875" style="6" hidden="1" customWidth="1"/>
    <col min="26" max="30" width="7.85546875" style="6" customWidth="1"/>
    <col min="31" max="31" width="23" style="2" customWidth="1"/>
    <col min="32" max="32" width="1.42578125" style="2" customWidth="1"/>
    <col min="33" max="33" width="9.140625" style="2"/>
    <col min="34" max="34" width="5.28515625" style="2" customWidth="1"/>
    <col min="35" max="35" width="11.5703125" style="2" customWidth="1"/>
    <col min="36" max="38" width="10" style="2" customWidth="1"/>
    <col min="39" max="41" width="9.140625" style="2"/>
    <col min="42" max="42" width="16.85546875" style="2" customWidth="1"/>
    <col min="43" max="47" width="8.140625" style="2" customWidth="1"/>
    <col min="48" max="48" width="15.5703125" style="2" customWidth="1"/>
    <col min="49" max="51" width="8.140625" style="2" customWidth="1"/>
    <col min="52" max="52" width="18.140625" style="2" customWidth="1"/>
    <col min="53" max="53" width="8.140625" style="2" customWidth="1"/>
    <col min="54" max="57" width="9.140625" style="2"/>
    <col min="58" max="58" width="12.42578125" style="713" customWidth="1"/>
    <col min="59" max="59" width="9.140625" style="2" customWidth="1"/>
    <col min="60" max="16384" width="9.140625" style="2"/>
  </cols>
  <sheetData>
    <row r="1" spans="1:61" s="1" customFormat="1" ht="15.75" customHeight="1">
      <c r="A1" s="819" t="s">
        <v>1032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19"/>
      <c r="Q1" s="819"/>
      <c r="R1" s="819"/>
      <c r="S1" s="819"/>
      <c r="T1" s="819"/>
      <c r="U1" s="819"/>
      <c r="V1" s="819"/>
      <c r="W1" s="819"/>
      <c r="X1" s="819"/>
      <c r="Y1" s="819"/>
      <c r="Z1" s="819"/>
      <c r="AA1" s="819"/>
      <c r="AB1" s="819"/>
      <c r="AC1" s="819"/>
      <c r="AD1" s="819"/>
      <c r="AE1" s="819"/>
      <c r="BF1" s="712"/>
    </row>
    <row r="2" spans="1:61" ht="15.75" customHeight="1">
      <c r="A2" s="820" t="s">
        <v>1031</v>
      </c>
      <c r="B2" s="820"/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  <c r="O2" s="820"/>
      <c r="P2" s="820"/>
      <c r="Q2" s="820"/>
      <c r="R2" s="820"/>
      <c r="S2" s="820"/>
      <c r="T2" s="820"/>
      <c r="U2" s="820"/>
      <c r="V2" s="820"/>
      <c r="W2" s="820"/>
      <c r="X2" s="820"/>
      <c r="Y2" s="820"/>
      <c r="Z2" s="820"/>
      <c r="AA2" s="820"/>
      <c r="AB2" s="820"/>
      <c r="AC2" s="820"/>
      <c r="AD2" s="820"/>
      <c r="AE2" s="820"/>
    </row>
    <row r="3" spans="1:61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3"/>
    </row>
    <row r="4" spans="1:61" ht="25.5" customHeight="1">
      <c r="A4" s="821" t="s">
        <v>0</v>
      </c>
      <c r="C4" s="5"/>
      <c r="D4" s="5"/>
      <c r="E4" s="5"/>
      <c r="F4" s="824" t="s">
        <v>1</v>
      </c>
      <c r="G4" s="824"/>
      <c r="H4" s="824"/>
      <c r="I4" s="824"/>
      <c r="J4" s="711"/>
      <c r="K4" s="545"/>
      <c r="L4" s="546"/>
      <c r="M4" s="547"/>
      <c r="N4" s="548"/>
      <c r="O4" s="547"/>
      <c r="P4" s="826" t="s">
        <v>2</v>
      </c>
      <c r="Q4" s="827"/>
      <c r="R4" s="827"/>
      <c r="S4" s="827"/>
      <c r="T4" s="827"/>
      <c r="U4" s="7"/>
      <c r="W4" s="8"/>
      <c r="X4" s="523"/>
      <c r="Y4" s="524"/>
      <c r="Z4" s="829" t="s">
        <v>3</v>
      </c>
      <c r="AA4" s="830"/>
      <c r="AB4" s="830"/>
      <c r="AC4" s="830"/>
      <c r="AD4" s="830"/>
      <c r="AE4" s="542" t="s">
        <v>4</v>
      </c>
    </row>
    <row r="5" spans="1:61" ht="13.5" customHeight="1">
      <c r="A5" s="822"/>
      <c r="C5" s="9"/>
      <c r="F5" s="825" t="s">
        <v>5</v>
      </c>
      <c r="G5" s="825"/>
      <c r="H5" s="825"/>
      <c r="I5" s="825"/>
      <c r="J5" s="539"/>
      <c r="P5" s="828" t="s">
        <v>6</v>
      </c>
      <c r="Q5" s="825"/>
      <c r="R5" s="825"/>
      <c r="S5" s="825"/>
      <c r="T5" s="825"/>
      <c r="U5" s="619"/>
      <c r="Z5" s="828" t="s">
        <v>7</v>
      </c>
      <c r="AA5" s="825"/>
      <c r="AB5" s="825"/>
      <c r="AC5" s="825"/>
      <c r="AD5" s="825"/>
      <c r="AE5" s="543" t="s">
        <v>8</v>
      </c>
    </row>
    <row r="6" spans="1:61" s="15" customFormat="1" ht="15" customHeight="1">
      <c r="A6" s="823"/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560</v>
      </c>
      <c r="J6" s="10" t="s">
        <v>1030</v>
      </c>
      <c r="K6" s="11"/>
      <c r="L6" s="12">
        <v>2012</v>
      </c>
      <c r="M6" s="12">
        <v>2013</v>
      </c>
      <c r="N6" s="12">
        <v>2014</v>
      </c>
      <c r="O6" s="12">
        <v>2015</v>
      </c>
      <c r="P6" s="12">
        <v>2016</v>
      </c>
      <c r="Q6" s="12">
        <v>2017</v>
      </c>
      <c r="R6" s="12">
        <v>2018</v>
      </c>
      <c r="S6" s="12">
        <v>2019</v>
      </c>
      <c r="T6" s="12">
        <v>2020</v>
      </c>
      <c r="U6" s="13"/>
      <c r="V6" s="14">
        <v>2012</v>
      </c>
      <c r="W6" s="14">
        <v>2013</v>
      </c>
      <c r="X6" s="14">
        <v>2014</v>
      </c>
      <c r="Y6" s="14">
        <v>2015</v>
      </c>
      <c r="Z6" s="14">
        <v>2016</v>
      </c>
      <c r="AA6" s="14">
        <v>2017</v>
      </c>
      <c r="AB6" s="14">
        <v>2018</v>
      </c>
      <c r="AC6" s="14">
        <v>2019</v>
      </c>
      <c r="AD6" s="14">
        <v>2020</v>
      </c>
      <c r="AE6" s="544"/>
      <c r="BF6" s="714"/>
    </row>
    <row r="7" spans="1:61" s="15" customFormat="1" ht="18" customHeight="1">
      <c r="A7" s="16" t="s">
        <v>16</v>
      </c>
      <c r="B7" s="17">
        <f>B8+B35+B50+B53+B58+B62</f>
        <v>958025</v>
      </c>
      <c r="C7" s="17">
        <f t="shared" ref="C7:J7" si="0">C8+C35+C50+C53+C58+C62+C68+C69</f>
        <v>1125202</v>
      </c>
      <c r="D7" s="17">
        <f t="shared" si="0"/>
        <v>1204857</v>
      </c>
      <c r="E7" s="17">
        <f t="shared" si="0"/>
        <v>1234248</v>
      </c>
      <c r="F7" s="17">
        <f t="shared" si="0"/>
        <v>1286135</v>
      </c>
      <c r="G7" s="17">
        <f t="shared" si="0"/>
        <v>1389542</v>
      </c>
      <c r="H7" s="17">
        <f t="shared" si="0"/>
        <v>1484274</v>
      </c>
      <c r="I7" s="17">
        <f t="shared" si="0"/>
        <v>1702887</v>
      </c>
      <c r="J7" s="17">
        <f t="shared" si="0"/>
        <v>555494</v>
      </c>
      <c r="K7" s="18"/>
      <c r="L7" s="19">
        <f t="shared" ref="L7:L38" si="1">B7/B$7*100</f>
        <v>100</v>
      </c>
      <c r="M7" s="19">
        <f t="shared" ref="M7:M38" si="2">C7/C$7*100</f>
        <v>100</v>
      </c>
      <c r="N7" s="19">
        <f t="shared" ref="N7:N38" si="3">D7/D$7*100</f>
        <v>100</v>
      </c>
      <c r="O7" s="19">
        <f t="shared" ref="O7:O38" si="4">E7/E$7*100</f>
        <v>100</v>
      </c>
      <c r="P7" s="19">
        <f t="shared" ref="P7:P38" si="5">F7/F$7*100</f>
        <v>100</v>
      </c>
      <c r="Q7" s="19">
        <f t="shared" ref="Q7:Q38" si="6">G7/G$7*100</f>
        <v>100</v>
      </c>
      <c r="R7" s="19">
        <f>H7/H$7*100</f>
        <v>100</v>
      </c>
      <c r="S7" s="19">
        <f>I7/I$7*100</f>
        <v>100</v>
      </c>
      <c r="T7" s="19">
        <f>J7/J$7*100</f>
        <v>100</v>
      </c>
      <c r="U7" s="20"/>
      <c r="V7" s="21">
        <v>2.8659995941301339</v>
      </c>
      <c r="W7" s="21">
        <f t="shared" ref="W7:W38" si="7">(C7-B7)/B7*100</f>
        <v>17.450170924558336</v>
      </c>
      <c r="X7" s="21">
        <f t="shared" ref="X7:X38" si="8">(D7-C7)/C7*100</f>
        <v>7.0791733395425886</v>
      </c>
      <c r="Y7" s="21">
        <f t="shared" ref="Y7:Y38" si="9">(E7-D7)/D7*100</f>
        <v>2.4393766231179304</v>
      </c>
      <c r="Z7" s="21">
        <f>(F7-E7)/E7*100</f>
        <v>4.2039363239802698</v>
      </c>
      <c r="AA7" s="21">
        <f>(G7-F7)/F7*100</f>
        <v>8.0401357555777579</v>
      </c>
      <c r="AB7" s="21">
        <f>(H7-G7)/G7*100</f>
        <v>6.8174981396747993</v>
      </c>
      <c r="AC7" s="21">
        <f>(I7-H7)/H7*100</f>
        <v>14.728614797537382</v>
      </c>
      <c r="AD7" s="21">
        <f>(J7-I7)/I7*100</f>
        <v>-67.379280010946118</v>
      </c>
      <c r="AE7" s="22" t="s">
        <v>17</v>
      </c>
      <c r="AF7" s="23"/>
      <c r="AI7" s="16"/>
      <c r="BF7" s="714"/>
    </row>
    <row r="8" spans="1:61" s="15" customFormat="1" ht="18" customHeight="1">
      <c r="A8" s="16" t="s">
        <v>18</v>
      </c>
      <c r="B8" s="17">
        <f t="shared" ref="B8:J8" si="10">SUM(B9:B34)</f>
        <v>517807</v>
      </c>
      <c r="C8" s="17">
        <f t="shared" si="10"/>
        <v>527274</v>
      </c>
      <c r="D8" s="17">
        <f t="shared" si="10"/>
        <v>529291</v>
      </c>
      <c r="E8" s="17">
        <f t="shared" si="10"/>
        <v>535962</v>
      </c>
      <c r="F8" s="17">
        <f t="shared" si="10"/>
        <v>575176</v>
      </c>
      <c r="G8" s="17">
        <f t="shared" si="10"/>
        <v>646343</v>
      </c>
      <c r="H8" s="17">
        <f t="shared" si="10"/>
        <v>726420</v>
      </c>
      <c r="I8" s="17">
        <f t="shared" si="10"/>
        <v>833939</v>
      </c>
      <c r="J8" s="17">
        <f t="shared" si="10"/>
        <v>348349</v>
      </c>
      <c r="K8" s="18"/>
      <c r="L8" s="21">
        <f t="shared" si="1"/>
        <v>54.049424597479188</v>
      </c>
      <c r="M8" s="21">
        <f t="shared" si="2"/>
        <v>46.860385957365878</v>
      </c>
      <c r="N8" s="21">
        <f t="shared" si="3"/>
        <v>43.92977755866464</v>
      </c>
      <c r="O8" s="21">
        <f t="shared" si="4"/>
        <v>43.424174071985533</v>
      </c>
      <c r="P8" s="21">
        <f t="shared" si="5"/>
        <v>44.72127731536736</v>
      </c>
      <c r="Q8" s="21">
        <f t="shared" si="6"/>
        <v>46.514822869693759</v>
      </c>
      <c r="R8" s="21">
        <f t="shared" ref="R8:R38" si="11">H8/H$7*100</f>
        <v>48.941098476426859</v>
      </c>
      <c r="S8" s="21">
        <f t="shared" ref="S8:T38" si="12">I8/I$7*100</f>
        <v>48.972069197780002</v>
      </c>
      <c r="T8" s="21">
        <f t="shared" si="12"/>
        <v>62.709768242321253</v>
      </c>
      <c r="U8" s="24"/>
      <c r="V8" s="21">
        <v>-3.70985407907289</v>
      </c>
      <c r="W8" s="21">
        <f t="shared" si="7"/>
        <v>1.8282873734808529</v>
      </c>
      <c r="X8" s="21">
        <f t="shared" si="8"/>
        <v>0.38253355940175315</v>
      </c>
      <c r="Y8" s="21">
        <f t="shared" si="9"/>
        <v>1.2603652811024559</v>
      </c>
      <c r="Z8" s="21">
        <f t="shared" ref="Z8:Z38" si="13">(F8-E8)/E8*100</f>
        <v>7.3165634877099501</v>
      </c>
      <c r="AA8" s="21">
        <f t="shared" ref="AA8:AA38" si="14">(G8-F8)/F8*100</f>
        <v>12.373082326105401</v>
      </c>
      <c r="AB8" s="21">
        <f t="shared" ref="AB8:AB38" si="15">(H8-G8)/G8*100</f>
        <v>12.389242244442967</v>
      </c>
      <c r="AC8" s="21">
        <f t="shared" ref="AC8:AD38" si="16">(I8-H8)/H8*100</f>
        <v>14.801216926846728</v>
      </c>
      <c r="AD8" s="21">
        <f t="shared" si="16"/>
        <v>-58.228479541069554</v>
      </c>
      <c r="AE8" s="25" t="s">
        <v>19</v>
      </c>
      <c r="AI8" s="16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715"/>
      <c r="BG8" s="42"/>
      <c r="BH8" s="42"/>
      <c r="BI8" s="42"/>
    </row>
    <row r="9" spans="1:61" ht="17.25" customHeight="1">
      <c r="A9" s="26" t="s">
        <v>20</v>
      </c>
      <c r="B9" s="27">
        <v>18164</v>
      </c>
      <c r="C9" s="27">
        <v>18140</v>
      </c>
      <c r="D9" s="27">
        <v>18726</v>
      </c>
      <c r="E9" s="27">
        <v>18981</v>
      </c>
      <c r="F9" s="27">
        <v>17654</v>
      </c>
      <c r="G9" s="27">
        <v>19709</v>
      </c>
      <c r="H9" s="27">
        <v>20391</v>
      </c>
      <c r="I9" s="27">
        <v>21839</v>
      </c>
      <c r="J9" s="27">
        <v>8103</v>
      </c>
      <c r="K9" s="28"/>
      <c r="L9" s="29">
        <f t="shared" si="1"/>
        <v>1.8959839252629107</v>
      </c>
      <c r="M9" s="29">
        <f t="shared" si="2"/>
        <v>1.6121549730626146</v>
      </c>
      <c r="N9" s="29">
        <f t="shared" si="3"/>
        <v>1.5542093377056365</v>
      </c>
      <c r="O9" s="29">
        <f t="shared" si="4"/>
        <v>1.5378594901510878</v>
      </c>
      <c r="P9" s="29">
        <f t="shared" si="5"/>
        <v>1.3726397306659099</v>
      </c>
      <c r="Q9" s="29">
        <f t="shared" si="6"/>
        <v>1.418381020508916</v>
      </c>
      <c r="R9" s="29">
        <f t="shared" si="11"/>
        <v>1.373802950129154</v>
      </c>
      <c r="S9" s="29">
        <f t="shared" si="12"/>
        <v>1.2824691244926998</v>
      </c>
      <c r="T9" s="29">
        <f t="shared" si="12"/>
        <v>1.4587016241399549</v>
      </c>
      <c r="U9" s="30"/>
      <c r="V9" s="29">
        <v>9.0603422395676976</v>
      </c>
      <c r="W9" s="29">
        <f t="shared" si="7"/>
        <v>-0.13212948689715923</v>
      </c>
      <c r="X9" s="29">
        <f t="shared" si="8"/>
        <v>3.2304299889746417</v>
      </c>
      <c r="Y9" s="29">
        <f t="shared" si="9"/>
        <v>1.3617430310797822</v>
      </c>
      <c r="Z9" s="29">
        <f t="shared" si="13"/>
        <v>-6.9912017280438334</v>
      </c>
      <c r="AA9" s="29">
        <f t="shared" si="14"/>
        <v>11.640421434235867</v>
      </c>
      <c r="AB9" s="29">
        <f t="shared" si="15"/>
        <v>3.46034806433609</v>
      </c>
      <c r="AC9" s="29">
        <f t="shared" si="16"/>
        <v>7.1011720857240945</v>
      </c>
      <c r="AD9" s="29">
        <f>(J9-I9)/I9*100</f>
        <v>-62.896652777141817</v>
      </c>
      <c r="AE9" s="551" t="s">
        <v>21</v>
      </c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Z9" s="549"/>
      <c r="BA9" s="15">
        <v>2016</v>
      </c>
      <c r="BB9" s="15">
        <v>2017</v>
      </c>
      <c r="BC9" s="15">
        <v>2018</v>
      </c>
      <c r="BD9" s="15">
        <v>2019</v>
      </c>
      <c r="BE9" s="15">
        <v>2020</v>
      </c>
      <c r="BF9" s="716"/>
      <c r="BG9" s="41"/>
      <c r="BH9" s="41"/>
      <c r="BI9" s="41"/>
    </row>
    <row r="10" spans="1:61" ht="17.25" customHeight="1">
      <c r="A10" s="26" t="s">
        <v>22</v>
      </c>
      <c r="B10" s="27">
        <v>1509</v>
      </c>
      <c r="C10" s="27">
        <v>5130</v>
      </c>
      <c r="D10" s="27">
        <v>5195</v>
      </c>
      <c r="E10" s="27">
        <v>5250</v>
      </c>
      <c r="F10" s="27">
        <v>5571</v>
      </c>
      <c r="G10" s="27">
        <v>5854</v>
      </c>
      <c r="H10" s="27">
        <v>6492</v>
      </c>
      <c r="I10" s="27">
        <v>7305</v>
      </c>
      <c r="J10" s="27">
        <v>2921</v>
      </c>
      <c r="K10" s="28"/>
      <c r="L10" s="29">
        <f t="shared" si="1"/>
        <v>0.15751154719344485</v>
      </c>
      <c r="M10" s="29">
        <f t="shared" si="2"/>
        <v>0.45591813736555753</v>
      </c>
      <c r="N10" s="29">
        <f t="shared" si="3"/>
        <v>0.43117150002033433</v>
      </c>
      <c r="O10" s="29">
        <f t="shared" si="4"/>
        <v>0.42536021934003543</v>
      </c>
      <c r="P10" s="29">
        <f t="shared" si="5"/>
        <v>0.43315826099126453</v>
      </c>
      <c r="Q10" s="29">
        <f t="shared" si="6"/>
        <v>0.42128989264088451</v>
      </c>
      <c r="R10" s="29">
        <f t="shared" si="11"/>
        <v>0.43738555010732516</v>
      </c>
      <c r="S10" s="29">
        <f t="shared" si="12"/>
        <v>0.42897737782953305</v>
      </c>
      <c r="T10" s="29">
        <f t="shared" si="12"/>
        <v>0.52583826287952706</v>
      </c>
      <c r="U10" s="30"/>
      <c r="V10" s="29">
        <v>-73.701638201463922</v>
      </c>
      <c r="W10" s="29">
        <f t="shared" si="7"/>
        <v>239.96023856858847</v>
      </c>
      <c r="X10" s="29">
        <f t="shared" si="8"/>
        <v>1.267056530214425</v>
      </c>
      <c r="Y10" s="29">
        <f t="shared" si="9"/>
        <v>1.0587102983638113</v>
      </c>
      <c r="Z10" s="29">
        <f t="shared" si="13"/>
        <v>6.1142857142857148</v>
      </c>
      <c r="AA10" s="29">
        <f t="shared" si="14"/>
        <v>5.0798779393286662</v>
      </c>
      <c r="AB10" s="29">
        <f t="shared" si="15"/>
        <v>10.898530919029724</v>
      </c>
      <c r="AC10" s="29">
        <f t="shared" si="16"/>
        <v>12.523105360443623</v>
      </c>
      <c r="AD10" s="29">
        <f t="shared" si="16"/>
        <v>-60.013689253935667</v>
      </c>
      <c r="AE10" s="551" t="s">
        <v>23</v>
      </c>
      <c r="AG10" s="15"/>
      <c r="AN10" s="41"/>
      <c r="AO10" s="41"/>
      <c r="AP10" s="41"/>
      <c r="AQ10" s="41"/>
      <c r="AR10" s="41"/>
      <c r="AS10" s="41"/>
      <c r="AT10" s="41"/>
      <c r="AU10" s="41"/>
      <c r="AV10" s="41"/>
      <c r="AX10" s="41"/>
      <c r="AY10" s="42">
        <v>1</v>
      </c>
      <c r="AZ10" s="26" t="s">
        <v>78</v>
      </c>
      <c r="BA10" s="243">
        <v>66955</v>
      </c>
      <c r="BB10" s="734">
        <v>83019</v>
      </c>
      <c r="BC10" s="734">
        <v>90474</v>
      </c>
      <c r="BD10" s="734">
        <v>166030</v>
      </c>
      <c r="BE10" s="734">
        <v>62960</v>
      </c>
      <c r="BF10" s="716"/>
      <c r="BG10" s="41"/>
      <c r="BH10" s="41"/>
      <c r="BI10" s="41"/>
    </row>
    <row r="11" spans="1:61" ht="17.25" customHeight="1">
      <c r="A11" s="26" t="s">
        <v>24</v>
      </c>
      <c r="B11" s="27">
        <v>5588</v>
      </c>
      <c r="C11" s="27">
        <v>6421</v>
      </c>
      <c r="D11" s="27">
        <v>6450</v>
      </c>
      <c r="E11" s="27">
        <v>8105</v>
      </c>
      <c r="F11" s="27">
        <v>10338</v>
      </c>
      <c r="G11" s="27">
        <v>11459</v>
      </c>
      <c r="H11" s="27">
        <v>13229</v>
      </c>
      <c r="I11" s="27">
        <v>13423</v>
      </c>
      <c r="J11" s="27">
        <v>7282</v>
      </c>
      <c r="K11" s="28"/>
      <c r="L11" s="29">
        <f t="shared" si="1"/>
        <v>0.58328331724119931</v>
      </c>
      <c r="M11" s="29">
        <f t="shared" si="2"/>
        <v>0.57065309162265976</v>
      </c>
      <c r="N11" s="29">
        <f t="shared" si="3"/>
        <v>0.53533323871629579</v>
      </c>
      <c r="O11" s="29">
        <f t="shared" si="4"/>
        <v>0.65667515766685458</v>
      </c>
      <c r="P11" s="29">
        <f t="shared" si="5"/>
        <v>0.80380364425196427</v>
      </c>
      <c r="Q11" s="29">
        <f t="shared" si="6"/>
        <v>0.82466021178201165</v>
      </c>
      <c r="R11" s="29">
        <f t="shared" si="11"/>
        <v>0.89127748650181837</v>
      </c>
      <c r="S11" s="29">
        <f t="shared" si="12"/>
        <v>0.78824960199942795</v>
      </c>
      <c r="T11" s="29">
        <f t="shared" si="12"/>
        <v>1.3109052483015118</v>
      </c>
      <c r="U11" s="30"/>
      <c r="V11" s="29">
        <v>-13.645495286663575</v>
      </c>
      <c r="W11" s="29">
        <f t="shared" si="7"/>
        <v>14.906943450250537</v>
      </c>
      <c r="X11" s="29">
        <f t="shared" si="8"/>
        <v>0.45164304625447749</v>
      </c>
      <c r="Y11" s="29">
        <f t="shared" si="9"/>
        <v>25.65891472868217</v>
      </c>
      <c r="Z11" s="29">
        <f t="shared" si="13"/>
        <v>27.550894509561996</v>
      </c>
      <c r="AA11" s="29">
        <f t="shared" si="14"/>
        <v>10.843490036757593</v>
      </c>
      <c r="AB11" s="29">
        <f t="shared" si="15"/>
        <v>15.446374029147394</v>
      </c>
      <c r="AC11" s="29">
        <f t="shared" si="16"/>
        <v>1.4664751681910952</v>
      </c>
      <c r="AD11" s="29">
        <f t="shared" si="16"/>
        <v>-45.749832377262905</v>
      </c>
      <c r="AE11" s="551" t="s">
        <v>25</v>
      </c>
      <c r="AN11" s="41"/>
      <c r="AO11" s="41"/>
      <c r="AP11" s="41"/>
      <c r="AQ11" s="41"/>
      <c r="AR11" s="41"/>
      <c r="AS11" s="41"/>
      <c r="AT11" s="41"/>
      <c r="AU11" s="41"/>
      <c r="AV11" s="41"/>
      <c r="AX11" s="41"/>
      <c r="AY11" s="2">
        <v>2</v>
      </c>
      <c r="AZ11" s="26" t="s">
        <v>52</v>
      </c>
      <c r="BA11" s="243">
        <v>46522</v>
      </c>
      <c r="BB11" s="734">
        <v>61931</v>
      </c>
      <c r="BC11" s="734">
        <v>70935</v>
      </c>
      <c r="BD11" s="734">
        <v>83369</v>
      </c>
      <c r="BE11" s="734">
        <v>61387</v>
      </c>
      <c r="BF11" s="716"/>
      <c r="BG11" s="41"/>
      <c r="BH11" s="41"/>
      <c r="BI11" s="41"/>
    </row>
    <row r="12" spans="1:61" ht="17.25" customHeight="1">
      <c r="A12" s="26" t="s">
        <v>26</v>
      </c>
      <c r="B12" s="27">
        <v>3493</v>
      </c>
      <c r="C12" s="27">
        <v>4055</v>
      </c>
      <c r="D12" s="27">
        <v>5008</v>
      </c>
      <c r="E12" s="27">
        <v>8418</v>
      </c>
      <c r="F12" s="27">
        <v>9747</v>
      </c>
      <c r="G12" s="27">
        <v>10629</v>
      </c>
      <c r="H12" s="27">
        <v>11133</v>
      </c>
      <c r="I12" s="27">
        <v>10621</v>
      </c>
      <c r="J12" s="27">
        <v>3938</v>
      </c>
      <c r="K12" s="28"/>
      <c r="L12" s="29">
        <f t="shared" si="1"/>
        <v>0.36460426398058504</v>
      </c>
      <c r="M12" s="29">
        <f t="shared" si="2"/>
        <v>0.3603797362606892</v>
      </c>
      <c r="N12" s="29">
        <f t="shared" si="3"/>
        <v>0.41565098596762939</v>
      </c>
      <c r="O12" s="29">
        <f t="shared" si="4"/>
        <v>0.68203472883893668</v>
      </c>
      <c r="P12" s="29">
        <f t="shared" si="5"/>
        <v>0.75785201397987001</v>
      </c>
      <c r="Q12" s="29">
        <f t="shared" si="6"/>
        <v>0.76492830011615343</v>
      </c>
      <c r="R12" s="29">
        <f t="shared" si="11"/>
        <v>0.75006366748996478</v>
      </c>
      <c r="S12" s="29">
        <f t="shared" si="12"/>
        <v>0.62370550717692952</v>
      </c>
      <c r="T12" s="29">
        <f t="shared" si="12"/>
        <v>0.70891854817513777</v>
      </c>
      <c r="U12" s="30"/>
      <c r="V12" s="29">
        <v>10.085092971950834</v>
      </c>
      <c r="W12" s="29">
        <f t="shared" si="7"/>
        <v>16.089321500143143</v>
      </c>
      <c r="X12" s="29">
        <f t="shared" si="8"/>
        <v>23.501849568434032</v>
      </c>
      <c r="Y12" s="29">
        <f t="shared" si="9"/>
        <v>68.091054313099036</v>
      </c>
      <c r="Z12" s="29">
        <f t="shared" si="13"/>
        <v>15.787598004276552</v>
      </c>
      <c r="AA12" s="29">
        <f t="shared" si="14"/>
        <v>9.0489381348107099</v>
      </c>
      <c r="AB12" s="29">
        <f t="shared" si="15"/>
        <v>4.7417442845046569</v>
      </c>
      <c r="AC12" s="29">
        <f t="shared" si="16"/>
        <v>-4.5989400880265876</v>
      </c>
      <c r="AD12" s="29">
        <f t="shared" si="16"/>
        <v>-62.922512004519348</v>
      </c>
      <c r="AE12" s="551" t="s">
        <v>27</v>
      </c>
      <c r="AN12" s="41"/>
      <c r="AO12" s="526"/>
      <c r="AP12" s="527"/>
      <c r="AQ12" s="41"/>
      <c r="AR12" s="527"/>
      <c r="AS12" s="527"/>
      <c r="AT12" s="527"/>
      <c r="AU12" s="527"/>
      <c r="AV12" s="721"/>
      <c r="AX12" s="526"/>
      <c r="AY12" s="42">
        <v>3</v>
      </c>
      <c r="AZ12" s="26" t="s">
        <v>68</v>
      </c>
      <c r="BA12" s="243">
        <v>101843</v>
      </c>
      <c r="BB12" s="734">
        <v>103977</v>
      </c>
      <c r="BC12" s="734">
        <v>114602</v>
      </c>
      <c r="BD12" s="734">
        <v>126199</v>
      </c>
      <c r="BE12" s="734">
        <v>52720</v>
      </c>
      <c r="BF12" s="716"/>
      <c r="BG12" s="41"/>
      <c r="BH12" s="41"/>
      <c r="BI12" s="41"/>
    </row>
    <row r="13" spans="1:61" ht="17.25" customHeight="1">
      <c r="A13" s="26" t="s">
        <v>28</v>
      </c>
      <c r="B13" s="27">
        <v>1402</v>
      </c>
      <c r="C13" s="27">
        <v>1549</v>
      </c>
      <c r="D13" s="27">
        <v>5627</v>
      </c>
      <c r="E13" s="27">
        <v>2109</v>
      </c>
      <c r="F13" s="27">
        <v>2589</v>
      </c>
      <c r="G13" s="27">
        <v>3705</v>
      </c>
      <c r="H13" s="27">
        <v>5682</v>
      </c>
      <c r="I13" s="27">
        <v>5315</v>
      </c>
      <c r="J13" s="27">
        <v>2128</v>
      </c>
      <c r="K13" s="28"/>
      <c r="L13" s="29">
        <f t="shared" si="1"/>
        <v>0.14634273635865452</v>
      </c>
      <c r="M13" s="29">
        <f t="shared" si="2"/>
        <v>0.13766417052227067</v>
      </c>
      <c r="N13" s="29">
        <f t="shared" si="3"/>
        <v>0.46702637740412345</v>
      </c>
      <c r="O13" s="29">
        <f t="shared" si="4"/>
        <v>0.17087327668345423</v>
      </c>
      <c r="P13" s="29">
        <f t="shared" si="5"/>
        <v>0.20130079657267705</v>
      </c>
      <c r="Q13" s="29">
        <f t="shared" si="6"/>
        <v>0.2666346177373552</v>
      </c>
      <c r="R13" s="29">
        <f t="shared" si="11"/>
        <v>0.38281341585179018</v>
      </c>
      <c r="S13" s="29">
        <f t="shared" si="12"/>
        <v>0.31211701070006403</v>
      </c>
      <c r="T13" s="29">
        <f t="shared" si="12"/>
        <v>0.38308244553496523</v>
      </c>
      <c r="U13" s="30"/>
      <c r="V13" s="29">
        <v>-8.664495114006515</v>
      </c>
      <c r="W13" s="29">
        <f t="shared" si="7"/>
        <v>10.485021398002853</v>
      </c>
      <c r="X13" s="29">
        <f t="shared" si="8"/>
        <v>263.26662362814722</v>
      </c>
      <c r="Y13" s="29">
        <f t="shared" si="9"/>
        <v>-62.519992891416386</v>
      </c>
      <c r="Z13" s="29">
        <f t="shared" si="13"/>
        <v>22.759601706970127</v>
      </c>
      <c r="AA13" s="29">
        <f t="shared" si="14"/>
        <v>43.105446118192354</v>
      </c>
      <c r="AB13" s="29">
        <f t="shared" si="15"/>
        <v>53.360323886639669</v>
      </c>
      <c r="AC13" s="29">
        <f t="shared" si="16"/>
        <v>-6.4589933122140089</v>
      </c>
      <c r="AD13" s="29">
        <f t="shared" si="16"/>
        <v>-59.962370649106298</v>
      </c>
      <c r="AE13" s="551" t="s">
        <v>29</v>
      </c>
      <c r="AN13" s="41"/>
      <c r="AO13" s="41"/>
      <c r="AP13" s="41"/>
      <c r="AQ13" s="41"/>
      <c r="AR13" s="41"/>
      <c r="AS13" s="41"/>
      <c r="AT13" s="41"/>
      <c r="AU13" s="41"/>
      <c r="AV13" s="41"/>
      <c r="AX13" s="41"/>
      <c r="AY13" s="42">
        <v>4</v>
      </c>
      <c r="AZ13" s="26" t="s">
        <v>42</v>
      </c>
      <c r="BA13" s="243">
        <v>71202</v>
      </c>
      <c r="BB13" s="734">
        <v>88848</v>
      </c>
      <c r="BC13" s="734">
        <v>105297</v>
      </c>
      <c r="BD13" s="734">
        <v>136343</v>
      </c>
      <c r="BE13" s="734">
        <v>46690</v>
      </c>
      <c r="BF13" s="716"/>
      <c r="BG13" s="41"/>
      <c r="BH13" s="41"/>
      <c r="BI13" s="41"/>
    </row>
    <row r="14" spans="1:61" ht="18" customHeight="1">
      <c r="A14" s="26" t="s">
        <v>30</v>
      </c>
      <c r="B14" s="27">
        <v>56775</v>
      </c>
      <c r="C14" s="27">
        <v>54328</v>
      </c>
      <c r="D14" s="27">
        <v>50656</v>
      </c>
      <c r="E14" s="27">
        <v>42024</v>
      </c>
      <c r="F14" s="27">
        <v>40487</v>
      </c>
      <c r="G14" s="27">
        <v>42365</v>
      </c>
      <c r="H14" s="27">
        <v>50476</v>
      </c>
      <c r="I14" s="27">
        <v>59738</v>
      </c>
      <c r="J14" s="27">
        <v>28031</v>
      </c>
      <c r="K14" s="28"/>
      <c r="L14" s="29">
        <f t="shared" si="1"/>
        <v>5.9262545340674828</v>
      </c>
      <c r="M14" s="29">
        <f t="shared" si="2"/>
        <v>4.8282886095118922</v>
      </c>
      <c r="N14" s="29">
        <f t="shared" si="3"/>
        <v>4.2043163628546791</v>
      </c>
      <c r="O14" s="29">
        <f t="shared" si="4"/>
        <v>3.404826258580123</v>
      </c>
      <c r="P14" s="29">
        <f t="shared" si="5"/>
        <v>3.1479588068126598</v>
      </c>
      <c r="Q14" s="29">
        <f t="shared" si="6"/>
        <v>3.0488463105109451</v>
      </c>
      <c r="R14" s="29">
        <f t="shared" si="11"/>
        <v>3.4007198131881307</v>
      </c>
      <c r="S14" s="29">
        <f t="shared" si="12"/>
        <v>3.5080425183820179</v>
      </c>
      <c r="T14" s="29">
        <f t="shared" si="12"/>
        <v>5.0461391122136332</v>
      </c>
      <c r="U14" s="30"/>
      <c r="V14" s="29">
        <v>-4.889938687305257</v>
      </c>
      <c r="W14" s="29">
        <f t="shared" si="7"/>
        <v>-4.3099955966534562</v>
      </c>
      <c r="X14" s="29">
        <f t="shared" si="8"/>
        <v>-6.7589456633780003</v>
      </c>
      <c r="Y14" s="29">
        <f t="shared" si="9"/>
        <v>-17.04042956411876</v>
      </c>
      <c r="Z14" s="29">
        <f t="shared" si="13"/>
        <v>-3.657433847325338</v>
      </c>
      <c r="AA14" s="29">
        <f t="shared" si="14"/>
        <v>4.6385259466001427</v>
      </c>
      <c r="AB14" s="29">
        <f t="shared" si="15"/>
        <v>19.145521066918448</v>
      </c>
      <c r="AC14" s="29">
        <f t="shared" si="16"/>
        <v>18.34931452571519</v>
      </c>
      <c r="AD14" s="29">
        <f t="shared" si="16"/>
        <v>-53.076768556027986</v>
      </c>
      <c r="AE14" s="551" t="s">
        <v>31</v>
      </c>
      <c r="AN14" s="539"/>
      <c r="AO14" s="539"/>
      <c r="AP14" s="526"/>
      <c r="AQ14" s="528"/>
      <c r="AR14" s="41"/>
      <c r="AS14" s="528"/>
      <c r="AT14" s="528"/>
      <c r="AU14" s="528"/>
      <c r="AV14" s="528"/>
      <c r="AX14" s="539"/>
      <c r="AY14" s="2">
        <v>5</v>
      </c>
      <c r="AZ14" s="26" t="s">
        <v>32</v>
      </c>
      <c r="BA14" s="243">
        <v>106381</v>
      </c>
      <c r="BB14" s="734">
        <v>112109</v>
      </c>
      <c r="BC14" s="734">
        <v>117532</v>
      </c>
      <c r="BD14" s="734">
        <v>131561</v>
      </c>
      <c r="BE14" s="734">
        <v>36435</v>
      </c>
      <c r="BF14" s="716"/>
      <c r="BG14" s="41"/>
      <c r="BH14" s="41"/>
      <c r="BI14" s="41"/>
    </row>
    <row r="15" spans="1:61" ht="18" customHeight="1">
      <c r="A15" s="26" t="s">
        <v>32</v>
      </c>
      <c r="B15" s="27">
        <v>98351</v>
      </c>
      <c r="C15" s="27">
        <v>93598</v>
      </c>
      <c r="D15" s="27">
        <v>98328</v>
      </c>
      <c r="E15" s="27">
        <v>105132</v>
      </c>
      <c r="F15" s="27">
        <v>106381</v>
      </c>
      <c r="G15" s="27">
        <v>112109</v>
      </c>
      <c r="H15" s="27">
        <v>117532</v>
      </c>
      <c r="I15" s="27">
        <v>131561</v>
      </c>
      <c r="J15" s="27">
        <v>36435</v>
      </c>
      <c r="K15" s="28"/>
      <c r="L15" s="29">
        <f t="shared" si="1"/>
        <v>10.266016022546385</v>
      </c>
      <c r="M15" s="29">
        <f t="shared" si="2"/>
        <v>8.3183286201055466</v>
      </c>
      <c r="N15" s="29">
        <f t="shared" si="3"/>
        <v>8.1609684800768889</v>
      </c>
      <c r="O15" s="29">
        <f t="shared" si="4"/>
        <v>8.5178991580298291</v>
      </c>
      <c r="P15" s="29">
        <f t="shared" si="5"/>
        <v>8.2713712013124585</v>
      </c>
      <c r="Q15" s="29">
        <f t="shared" si="6"/>
        <v>8.0680540782502437</v>
      </c>
      <c r="R15" s="29">
        <f t="shared" si="11"/>
        <v>7.918484053483386</v>
      </c>
      <c r="S15" s="29">
        <f t="shared" si="12"/>
        <v>7.7257621909146064</v>
      </c>
      <c r="T15" s="29">
        <f t="shared" si="12"/>
        <v>6.5590267401628104</v>
      </c>
      <c r="U15" s="30"/>
      <c r="V15" s="29">
        <v>8.654727841179005</v>
      </c>
      <c r="W15" s="29">
        <f t="shared" si="7"/>
        <v>-4.8326910758406116</v>
      </c>
      <c r="X15" s="29">
        <f t="shared" si="8"/>
        <v>5.0535267847603578</v>
      </c>
      <c r="Y15" s="29">
        <f t="shared" si="9"/>
        <v>6.9196973395167198</v>
      </c>
      <c r="Z15" s="29">
        <f t="shared" si="13"/>
        <v>1.188030285736027</v>
      </c>
      <c r="AA15" s="29">
        <f t="shared" si="14"/>
        <v>5.3844201502147939</v>
      </c>
      <c r="AB15" s="29">
        <f t="shared" si="15"/>
        <v>4.8372565984889704</v>
      </c>
      <c r="AC15" s="29">
        <f t="shared" si="16"/>
        <v>11.936323724602662</v>
      </c>
      <c r="AD15" s="29">
        <f t="shared" si="16"/>
        <v>-72.305622486907211</v>
      </c>
      <c r="AE15" s="551" t="s">
        <v>33</v>
      </c>
      <c r="AN15" s="41"/>
      <c r="AO15" s="41"/>
      <c r="AP15" s="41"/>
      <c r="AQ15" s="41"/>
      <c r="AR15" s="41"/>
      <c r="AS15" s="41"/>
      <c r="AT15" s="41"/>
      <c r="AU15" s="41"/>
      <c r="AV15" s="41"/>
      <c r="AX15" s="41"/>
      <c r="AY15" s="42">
        <v>6</v>
      </c>
      <c r="AZ15" s="26" t="s">
        <v>76</v>
      </c>
      <c r="BA15" s="734">
        <v>324326</v>
      </c>
      <c r="BB15" s="734">
        <v>306530</v>
      </c>
      <c r="BC15" s="734">
        <v>283116</v>
      </c>
      <c r="BD15" s="734">
        <v>284029</v>
      </c>
      <c r="BE15" s="734">
        <v>34245</v>
      </c>
      <c r="BF15" s="716"/>
      <c r="BG15" s="41"/>
      <c r="BH15" s="41"/>
      <c r="BI15" s="41"/>
    </row>
    <row r="16" spans="1:61" ht="18" customHeight="1">
      <c r="A16" s="26" t="s">
        <v>34</v>
      </c>
      <c r="B16" s="27">
        <v>2058</v>
      </c>
      <c r="C16" s="27">
        <v>1841</v>
      </c>
      <c r="D16" s="27">
        <v>1981</v>
      </c>
      <c r="E16" s="27">
        <v>1700</v>
      </c>
      <c r="F16" s="27">
        <v>2077</v>
      </c>
      <c r="G16" s="27">
        <v>2470</v>
      </c>
      <c r="H16" s="27">
        <v>2398</v>
      </c>
      <c r="I16" s="27">
        <v>2805</v>
      </c>
      <c r="J16" s="27">
        <v>871</v>
      </c>
      <c r="K16" s="28"/>
      <c r="L16" s="29">
        <f t="shared" si="1"/>
        <v>0.21481694110278959</v>
      </c>
      <c r="M16" s="29">
        <f t="shared" si="2"/>
        <v>0.1636150664502907</v>
      </c>
      <c r="N16" s="29">
        <f t="shared" si="3"/>
        <v>0.16441785207705145</v>
      </c>
      <c r="O16" s="29">
        <f t="shared" si="4"/>
        <v>0.13773569007201145</v>
      </c>
      <c r="P16" s="29">
        <f t="shared" si="5"/>
        <v>0.16149160080395913</v>
      </c>
      <c r="Q16" s="29">
        <f t="shared" si="6"/>
        <v>0.17775641182490345</v>
      </c>
      <c r="R16" s="29">
        <f t="shared" si="11"/>
        <v>0.16156046659848516</v>
      </c>
      <c r="S16" s="29">
        <f t="shared" si="12"/>
        <v>0.16472026623023137</v>
      </c>
      <c r="T16" s="29">
        <f t="shared" si="12"/>
        <v>0.1567973731489449</v>
      </c>
      <c r="U16" s="30"/>
      <c r="V16" s="29">
        <v>-31.605184446660019</v>
      </c>
      <c r="W16" s="29">
        <f t="shared" si="7"/>
        <v>-10.544217687074831</v>
      </c>
      <c r="X16" s="29">
        <f t="shared" si="8"/>
        <v>7.6045627376425857</v>
      </c>
      <c r="Y16" s="29">
        <f t="shared" si="9"/>
        <v>-14.184755174154468</v>
      </c>
      <c r="Z16" s="29">
        <f t="shared" si="13"/>
        <v>22.176470588235293</v>
      </c>
      <c r="AA16" s="29">
        <f t="shared" si="14"/>
        <v>18.921521425132404</v>
      </c>
      <c r="AB16" s="29">
        <f t="shared" si="15"/>
        <v>-2.9149797570850202</v>
      </c>
      <c r="AC16" s="29">
        <f t="shared" si="16"/>
        <v>16.972477064220186</v>
      </c>
      <c r="AD16" s="29">
        <f t="shared" si="16"/>
        <v>-68.948306595365409</v>
      </c>
      <c r="AE16" s="551" t="s">
        <v>35</v>
      </c>
      <c r="AN16" s="41"/>
      <c r="AO16" s="41"/>
      <c r="AP16" s="41"/>
      <c r="AQ16" s="41"/>
      <c r="AR16" s="41"/>
      <c r="AS16" s="41"/>
      <c r="AT16" s="41"/>
      <c r="AU16" s="41"/>
      <c r="AV16" s="41"/>
      <c r="AX16" s="41"/>
      <c r="AY16" s="42">
        <v>7</v>
      </c>
      <c r="AZ16" s="26" t="s">
        <v>30</v>
      </c>
      <c r="BA16" s="243">
        <v>40487</v>
      </c>
      <c r="BB16" s="734">
        <v>42365</v>
      </c>
      <c r="BC16" s="734">
        <v>50476</v>
      </c>
      <c r="BD16" s="734">
        <v>59738</v>
      </c>
      <c r="BE16" s="734">
        <v>28031</v>
      </c>
      <c r="BF16" s="716"/>
      <c r="BG16" s="41"/>
      <c r="BH16" s="41"/>
      <c r="BI16" s="41"/>
    </row>
    <row r="17" spans="1:61" ht="18" customHeight="1">
      <c r="A17" s="26" t="s">
        <v>36</v>
      </c>
      <c r="B17" s="27">
        <v>2408</v>
      </c>
      <c r="C17" s="27">
        <v>2796</v>
      </c>
      <c r="D17" s="27">
        <v>3589</v>
      </c>
      <c r="E17" s="27">
        <v>4436</v>
      </c>
      <c r="F17" s="27">
        <v>5539</v>
      </c>
      <c r="G17" s="27">
        <v>6375</v>
      </c>
      <c r="H17" s="27">
        <v>7782</v>
      </c>
      <c r="I17" s="27">
        <v>10025</v>
      </c>
      <c r="J17" s="27">
        <v>5813</v>
      </c>
      <c r="K17" s="28"/>
      <c r="L17" s="29">
        <f t="shared" si="1"/>
        <v>0.25135043448761779</v>
      </c>
      <c r="M17" s="29">
        <f t="shared" si="2"/>
        <v>0.24848871580391788</v>
      </c>
      <c r="N17" s="29">
        <f t="shared" si="3"/>
        <v>0.29787767345004429</v>
      </c>
      <c r="O17" s="29">
        <f t="shared" si="4"/>
        <v>0.35940913009378989</v>
      </c>
      <c r="P17" s="29">
        <f t="shared" si="5"/>
        <v>0.43067018625571962</v>
      </c>
      <c r="Q17" s="29">
        <f t="shared" si="6"/>
        <v>0.45878426128897148</v>
      </c>
      <c r="R17" s="29">
        <f t="shared" si="11"/>
        <v>0.52429672688465878</v>
      </c>
      <c r="S17" s="29">
        <f t="shared" si="12"/>
        <v>0.58870612084066654</v>
      </c>
      <c r="T17" s="29">
        <f t="shared" si="12"/>
        <v>1.046455947318963</v>
      </c>
      <c r="U17" s="30"/>
      <c r="V17" s="29">
        <v>-7.2419106317411401</v>
      </c>
      <c r="W17" s="29">
        <f t="shared" si="7"/>
        <v>16.112956810631228</v>
      </c>
      <c r="X17" s="29">
        <f t="shared" si="8"/>
        <v>28.361945636623748</v>
      </c>
      <c r="Y17" s="29">
        <f t="shared" si="9"/>
        <v>23.599888548342157</v>
      </c>
      <c r="Z17" s="29">
        <f t="shared" si="13"/>
        <v>24.864743011722272</v>
      </c>
      <c r="AA17" s="29">
        <f t="shared" si="14"/>
        <v>15.092977071673589</v>
      </c>
      <c r="AB17" s="29">
        <f t="shared" si="15"/>
        <v>22.070588235294117</v>
      </c>
      <c r="AC17" s="29">
        <f t="shared" si="16"/>
        <v>28.822924698021072</v>
      </c>
      <c r="AD17" s="29">
        <f t="shared" si="16"/>
        <v>-42.014962593516209</v>
      </c>
      <c r="AE17" s="551" t="s">
        <v>37</v>
      </c>
      <c r="AN17" s="41"/>
      <c r="AO17" s="41"/>
      <c r="AP17" s="41"/>
      <c r="AQ17" s="41"/>
      <c r="AR17" s="41"/>
      <c r="AS17" s="41"/>
      <c r="AT17" s="41"/>
      <c r="AU17" s="41"/>
      <c r="AV17" s="41"/>
      <c r="AX17" s="41"/>
      <c r="AY17" s="2">
        <v>8</v>
      </c>
      <c r="AZ17" s="26" t="s">
        <v>112</v>
      </c>
      <c r="BA17" s="243">
        <v>32589</v>
      </c>
      <c r="BB17" s="734">
        <v>39180</v>
      </c>
      <c r="BC17" s="734">
        <v>42901</v>
      </c>
      <c r="BD17" s="734">
        <v>54474</v>
      </c>
      <c r="BE17" s="734">
        <v>19759</v>
      </c>
      <c r="BF17" s="716"/>
      <c r="BG17" s="41"/>
      <c r="BH17" s="41"/>
      <c r="BI17" s="41"/>
    </row>
    <row r="18" spans="1:61" ht="18" customHeight="1">
      <c r="A18" s="26" t="s">
        <v>38</v>
      </c>
      <c r="B18" s="27">
        <v>2483</v>
      </c>
      <c r="C18" s="27">
        <v>2590</v>
      </c>
      <c r="D18" s="27">
        <v>2759</v>
      </c>
      <c r="E18" s="27">
        <v>2856</v>
      </c>
      <c r="F18" s="27">
        <v>3449</v>
      </c>
      <c r="G18" s="27">
        <v>3892</v>
      </c>
      <c r="H18" s="27">
        <v>4236</v>
      </c>
      <c r="I18" s="27">
        <v>4287</v>
      </c>
      <c r="J18" s="27">
        <v>1688</v>
      </c>
      <c r="K18" s="28"/>
      <c r="L18" s="29">
        <f t="shared" si="1"/>
        <v>0.25917904021293808</v>
      </c>
      <c r="M18" s="29">
        <f t="shared" si="2"/>
        <v>0.23018089196428729</v>
      </c>
      <c r="N18" s="29">
        <f t="shared" si="3"/>
        <v>0.22898983032841241</v>
      </c>
      <c r="O18" s="29">
        <f t="shared" si="4"/>
        <v>0.23139595932097926</v>
      </c>
      <c r="P18" s="29">
        <f t="shared" si="5"/>
        <v>0.26816780509044541</v>
      </c>
      <c r="Q18" s="29">
        <f t="shared" si="6"/>
        <v>0.28009228940183167</v>
      </c>
      <c r="R18" s="29">
        <f t="shared" si="11"/>
        <v>0.28539205025487208</v>
      </c>
      <c r="S18" s="29">
        <f t="shared" si="12"/>
        <v>0.25174894165026801</v>
      </c>
      <c r="T18" s="29">
        <f t="shared" si="12"/>
        <v>0.30387366920254766</v>
      </c>
      <c r="U18" s="30"/>
      <c r="V18" s="29">
        <v>1.5957446808510638</v>
      </c>
      <c r="W18" s="29">
        <f t="shared" si="7"/>
        <v>4.3093032621828433</v>
      </c>
      <c r="X18" s="29">
        <f t="shared" si="8"/>
        <v>6.5250965250965258</v>
      </c>
      <c r="Y18" s="29">
        <f t="shared" si="9"/>
        <v>3.5157665820949617</v>
      </c>
      <c r="Z18" s="29">
        <f t="shared" si="13"/>
        <v>20.763305322128854</v>
      </c>
      <c r="AA18" s="29">
        <f t="shared" si="14"/>
        <v>12.844302696433749</v>
      </c>
      <c r="AB18" s="29">
        <f t="shared" si="15"/>
        <v>8.8386433710174703</v>
      </c>
      <c r="AC18" s="29">
        <f t="shared" si="16"/>
        <v>1.2039660056657222</v>
      </c>
      <c r="AD18" s="29">
        <f t="shared" si="16"/>
        <v>-60.625145789596459</v>
      </c>
      <c r="AE18" s="551" t="s">
        <v>39</v>
      </c>
      <c r="AY18" s="42">
        <v>9</v>
      </c>
      <c r="AZ18" s="2" t="s">
        <v>62</v>
      </c>
      <c r="BA18" s="243">
        <v>31678</v>
      </c>
      <c r="BB18" s="734">
        <v>32651</v>
      </c>
      <c r="BC18" s="734">
        <v>32984</v>
      </c>
      <c r="BD18" s="734">
        <v>33829</v>
      </c>
      <c r="BE18" s="734">
        <v>12517</v>
      </c>
    </row>
    <row r="19" spans="1:61" ht="18" customHeight="1">
      <c r="A19" s="26" t="s">
        <v>40</v>
      </c>
      <c r="B19" s="27">
        <v>2569</v>
      </c>
      <c r="C19" s="27">
        <v>3253</v>
      </c>
      <c r="D19" s="27">
        <v>3299</v>
      </c>
      <c r="E19" s="27">
        <v>3567</v>
      </c>
      <c r="F19" s="27">
        <v>5072</v>
      </c>
      <c r="G19" s="27">
        <v>5949</v>
      </c>
      <c r="H19" s="27">
        <v>7748</v>
      </c>
      <c r="I19" s="27">
        <v>10424</v>
      </c>
      <c r="J19" s="27">
        <v>1782</v>
      </c>
      <c r="K19" s="28"/>
      <c r="L19" s="29">
        <f t="shared" si="1"/>
        <v>0.26815584144463872</v>
      </c>
      <c r="M19" s="29">
        <f t="shared" si="2"/>
        <v>0.28910364538989447</v>
      </c>
      <c r="N19" s="29">
        <f t="shared" si="3"/>
        <v>0.27380842705814884</v>
      </c>
      <c r="O19" s="29">
        <f t="shared" si="4"/>
        <v>0.28900188616874406</v>
      </c>
      <c r="P19" s="29">
        <f t="shared" si="5"/>
        <v>0.39435984558386172</v>
      </c>
      <c r="Q19" s="29">
        <f t="shared" si="6"/>
        <v>0.42812667771107316</v>
      </c>
      <c r="R19" s="29">
        <f t="shared" si="11"/>
        <v>0.5220060447060314</v>
      </c>
      <c r="S19" s="29">
        <f t="shared" si="12"/>
        <v>0.61213691806913795</v>
      </c>
      <c r="T19" s="29">
        <f t="shared" si="12"/>
        <v>0.32079554414629141</v>
      </c>
      <c r="U19" s="30"/>
      <c r="V19" s="29">
        <v>5.589806822852446</v>
      </c>
      <c r="W19" s="29">
        <f t="shared" si="7"/>
        <v>26.625145971195018</v>
      </c>
      <c r="X19" s="29">
        <f t="shared" si="8"/>
        <v>1.4140793114048571</v>
      </c>
      <c r="Y19" s="29">
        <f t="shared" si="9"/>
        <v>8.1236738405577444</v>
      </c>
      <c r="Z19" s="29">
        <f t="shared" si="13"/>
        <v>42.192318474908888</v>
      </c>
      <c r="AA19" s="29">
        <f t="shared" si="14"/>
        <v>17.2910094637224</v>
      </c>
      <c r="AB19" s="29">
        <f t="shared" si="15"/>
        <v>30.240376533871238</v>
      </c>
      <c r="AC19" s="29">
        <f t="shared" si="16"/>
        <v>34.537945276200311</v>
      </c>
      <c r="AD19" s="29">
        <f t="shared" si="16"/>
        <v>-82.904834996162705</v>
      </c>
      <c r="AE19" s="551" t="s">
        <v>41</v>
      </c>
      <c r="AL19" s="549"/>
      <c r="AY19" s="42">
        <v>10</v>
      </c>
      <c r="AZ19" s="2" t="s">
        <v>66</v>
      </c>
      <c r="BA19" s="243">
        <v>7599</v>
      </c>
      <c r="BB19" s="734">
        <v>9722</v>
      </c>
      <c r="BC19" s="734">
        <v>11430</v>
      </c>
      <c r="BD19" s="734">
        <v>13253</v>
      </c>
      <c r="BE19" s="734">
        <v>10343</v>
      </c>
    </row>
    <row r="20" spans="1:61" ht="18" customHeight="1">
      <c r="A20" s="26" t="s">
        <v>42</v>
      </c>
      <c r="B20" s="27">
        <v>62782</v>
      </c>
      <c r="C20" s="27">
        <v>57854</v>
      </c>
      <c r="D20" s="27">
        <v>57862</v>
      </c>
      <c r="E20" s="27">
        <v>65616</v>
      </c>
      <c r="F20" s="27">
        <v>71202</v>
      </c>
      <c r="G20" s="27">
        <v>88848</v>
      </c>
      <c r="H20" s="27">
        <v>105297</v>
      </c>
      <c r="I20" s="27">
        <v>136343</v>
      </c>
      <c r="J20" s="27">
        <v>46690</v>
      </c>
      <c r="K20" s="28"/>
      <c r="L20" s="29">
        <f t="shared" si="1"/>
        <v>6.5532736619608052</v>
      </c>
      <c r="M20" s="29">
        <f t="shared" si="2"/>
        <v>5.1416545651358598</v>
      </c>
      <c r="N20" s="29">
        <f t="shared" si="3"/>
        <v>4.8023956369926051</v>
      </c>
      <c r="O20" s="29">
        <f t="shared" si="4"/>
        <v>5.3162735528030023</v>
      </c>
      <c r="P20" s="29">
        <f t="shared" si="5"/>
        <v>5.5361217912583047</v>
      </c>
      <c r="Q20" s="29">
        <f t="shared" si="6"/>
        <v>6.3940492622749074</v>
      </c>
      <c r="R20" s="29">
        <f t="shared" si="11"/>
        <v>7.0941753342037925</v>
      </c>
      <c r="S20" s="29">
        <f t="shared" si="12"/>
        <v>8.0065794148407967</v>
      </c>
      <c r="T20" s="29">
        <f t="shared" si="12"/>
        <v>8.4051312885467713</v>
      </c>
      <c r="U20" s="30"/>
      <c r="V20" s="29">
        <v>-24.439148854226843</v>
      </c>
      <c r="W20" s="29">
        <f t="shared" si="7"/>
        <v>-7.8493835812812591</v>
      </c>
      <c r="X20" s="29">
        <f t="shared" si="8"/>
        <v>1.3827911639644622E-2</v>
      </c>
      <c r="Y20" s="29">
        <f t="shared" si="9"/>
        <v>13.400850298987246</v>
      </c>
      <c r="Z20" s="29">
        <f t="shared" si="13"/>
        <v>8.5131675201170438</v>
      </c>
      <c r="AA20" s="29">
        <f t="shared" si="14"/>
        <v>24.783011713154124</v>
      </c>
      <c r="AB20" s="29">
        <f t="shared" si="15"/>
        <v>18.513641274986494</v>
      </c>
      <c r="AC20" s="29">
        <f t="shared" si="16"/>
        <v>29.484220823005401</v>
      </c>
      <c r="AD20" s="29">
        <f t="shared" si="16"/>
        <v>-65.755484329961931</v>
      </c>
      <c r="AE20" s="551" t="s">
        <v>43</v>
      </c>
      <c r="AL20" s="26"/>
    </row>
    <row r="21" spans="1:61" ht="18" customHeight="1">
      <c r="A21" s="26" t="s">
        <v>44</v>
      </c>
      <c r="B21" s="27">
        <v>6077</v>
      </c>
      <c r="C21" s="27">
        <v>6453</v>
      </c>
      <c r="D21" s="27">
        <v>7936</v>
      </c>
      <c r="E21" s="27">
        <v>9640</v>
      </c>
      <c r="F21" s="27">
        <v>10372</v>
      </c>
      <c r="G21" s="27">
        <v>12438</v>
      </c>
      <c r="H21" s="27">
        <v>13845</v>
      </c>
      <c r="I21" s="27">
        <v>12261</v>
      </c>
      <c r="J21" s="27">
        <v>3258</v>
      </c>
      <c r="K21" s="28"/>
      <c r="L21" s="29">
        <f t="shared" si="1"/>
        <v>0.6343258265702878</v>
      </c>
      <c r="M21" s="29">
        <f t="shared" si="2"/>
        <v>0.57349702542299075</v>
      </c>
      <c r="N21" s="29">
        <f t="shared" si="3"/>
        <v>0.65866737712442225</v>
      </c>
      <c r="O21" s="29">
        <f t="shared" si="4"/>
        <v>0.78104238370246493</v>
      </c>
      <c r="P21" s="29">
        <f t="shared" si="5"/>
        <v>0.80644722365848065</v>
      </c>
      <c r="Q21" s="29">
        <f t="shared" si="6"/>
        <v>0.89511508108427085</v>
      </c>
      <c r="R21" s="29">
        <f t="shared" si="11"/>
        <v>0.93277925773812653</v>
      </c>
      <c r="S21" s="29">
        <f t="shared" si="12"/>
        <v>0.7200125434042306</v>
      </c>
      <c r="T21" s="29">
        <f t="shared" si="12"/>
        <v>0.5865049847523105</v>
      </c>
      <c r="U21" s="30"/>
      <c r="V21" s="29">
        <v>6.745125592833304</v>
      </c>
      <c r="W21" s="29">
        <f t="shared" si="7"/>
        <v>6.1872634523613623</v>
      </c>
      <c r="X21" s="29">
        <f t="shared" si="8"/>
        <v>22.981558964822561</v>
      </c>
      <c r="Y21" s="29">
        <f t="shared" si="9"/>
        <v>21.471774193548388</v>
      </c>
      <c r="Z21" s="29">
        <f t="shared" si="13"/>
        <v>7.5933609958506221</v>
      </c>
      <c r="AA21" s="29">
        <f t="shared" si="14"/>
        <v>19.919012726571538</v>
      </c>
      <c r="AB21" s="29">
        <f t="shared" si="15"/>
        <v>11.31210805595755</v>
      </c>
      <c r="AC21" s="29">
        <f t="shared" si="16"/>
        <v>-11.440953412784399</v>
      </c>
      <c r="AD21" s="29">
        <f t="shared" si="16"/>
        <v>-73.427942255933445</v>
      </c>
      <c r="AE21" s="551" t="s">
        <v>45</v>
      </c>
      <c r="AI21" s="549"/>
    </row>
    <row r="22" spans="1:61" ht="18" customHeight="1">
      <c r="A22" s="26" t="s">
        <v>46</v>
      </c>
      <c r="B22" s="27">
        <v>2902</v>
      </c>
      <c r="C22" s="27">
        <v>3281</v>
      </c>
      <c r="D22" s="27">
        <v>3882</v>
      </c>
      <c r="E22" s="27">
        <v>4153</v>
      </c>
      <c r="F22" s="27">
        <v>3971</v>
      </c>
      <c r="G22" s="27">
        <v>5006</v>
      </c>
      <c r="H22" s="27">
        <v>5585</v>
      </c>
      <c r="I22" s="27">
        <v>5641</v>
      </c>
      <c r="J22" s="27">
        <v>1624</v>
      </c>
      <c r="K22" s="28"/>
      <c r="L22" s="29">
        <f t="shared" si="1"/>
        <v>0.30291485086506093</v>
      </c>
      <c r="M22" s="29">
        <f t="shared" si="2"/>
        <v>0.29159208746518406</v>
      </c>
      <c r="N22" s="29">
        <f t="shared" si="3"/>
        <v>0.32219591204599385</v>
      </c>
      <c r="O22" s="29">
        <f t="shared" si="4"/>
        <v>0.33648018874650798</v>
      </c>
      <c r="P22" s="29">
        <f t="shared" si="5"/>
        <v>0.30875452421402105</v>
      </c>
      <c r="Q22" s="29">
        <f t="shared" si="6"/>
        <v>0.36026259011962214</v>
      </c>
      <c r="R22" s="29">
        <f t="shared" si="11"/>
        <v>0.37627823434217672</v>
      </c>
      <c r="S22" s="29">
        <f t="shared" si="12"/>
        <v>0.331260970340369</v>
      </c>
      <c r="T22" s="29">
        <f t="shared" si="12"/>
        <v>0.2923523926451051</v>
      </c>
      <c r="U22" s="30"/>
      <c r="V22" s="29">
        <v>4.576576576576576</v>
      </c>
      <c r="W22" s="29">
        <f t="shared" si="7"/>
        <v>13.059958649207443</v>
      </c>
      <c r="X22" s="29">
        <f t="shared" si="8"/>
        <v>18.317586101798234</v>
      </c>
      <c r="Y22" s="29">
        <f t="shared" si="9"/>
        <v>6.9809376609994853</v>
      </c>
      <c r="Z22" s="29">
        <f t="shared" si="13"/>
        <v>-4.3823741873344568</v>
      </c>
      <c r="AA22" s="29">
        <f t="shared" si="14"/>
        <v>26.063963737093932</v>
      </c>
      <c r="AB22" s="29">
        <f t="shared" si="15"/>
        <v>11.566120655213744</v>
      </c>
      <c r="AC22" s="29">
        <f t="shared" si="16"/>
        <v>1.0026857654431514</v>
      </c>
      <c r="AD22" s="29">
        <f t="shared" si="16"/>
        <v>-71.210778230810149</v>
      </c>
      <c r="AE22" s="551" t="s">
        <v>47</v>
      </c>
      <c r="AH22" s="42"/>
    </row>
    <row r="23" spans="1:61" ht="18" customHeight="1">
      <c r="A23" s="26" t="s">
        <v>48</v>
      </c>
      <c r="B23" s="27">
        <v>3918</v>
      </c>
      <c r="C23" s="27">
        <v>6668</v>
      </c>
      <c r="D23" s="27">
        <v>6182</v>
      </c>
      <c r="E23" s="27">
        <v>6879</v>
      </c>
      <c r="F23" s="27">
        <v>8976</v>
      </c>
      <c r="G23" s="27">
        <v>8699</v>
      </c>
      <c r="H23" s="27">
        <v>12025</v>
      </c>
      <c r="I23" s="27">
        <v>20961</v>
      </c>
      <c r="J23" s="27">
        <v>7108</v>
      </c>
      <c r="K23" s="28"/>
      <c r="L23" s="29">
        <f t="shared" si="1"/>
        <v>0.40896636309073353</v>
      </c>
      <c r="M23" s="29">
        <f t="shared" si="2"/>
        <v>0.59260470564396439</v>
      </c>
      <c r="N23" s="29">
        <f t="shared" si="3"/>
        <v>0.51308993515413037</v>
      </c>
      <c r="O23" s="29">
        <f t="shared" si="4"/>
        <v>0.55734341882668637</v>
      </c>
      <c r="P23" s="29">
        <f t="shared" si="5"/>
        <v>0.69790496332033569</v>
      </c>
      <c r="Q23" s="29">
        <f t="shared" si="6"/>
        <v>0.62603361395337453</v>
      </c>
      <c r="R23" s="29">
        <f t="shared" si="11"/>
        <v>0.81016038817630709</v>
      </c>
      <c r="S23" s="29">
        <f t="shared" si="12"/>
        <v>1.2309096258295471</v>
      </c>
      <c r="T23" s="29">
        <f t="shared" si="12"/>
        <v>1.2795817776609648</v>
      </c>
      <c r="U23" s="30"/>
      <c r="V23" s="29">
        <v>-5.7720057720057723</v>
      </c>
      <c r="W23" s="29">
        <f t="shared" si="7"/>
        <v>70.188871873404807</v>
      </c>
      <c r="X23" s="29">
        <f t="shared" si="8"/>
        <v>-7.2885422915416918</v>
      </c>
      <c r="Y23" s="29">
        <f t="shared" si="9"/>
        <v>11.274668392106115</v>
      </c>
      <c r="Z23" s="29">
        <f t="shared" si="13"/>
        <v>30.484081988661142</v>
      </c>
      <c r="AA23" s="29">
        <f t="shared" si="14"/>
        <v>-3.0860071301247771</v>
      </c>
      <c r="AB23" s="29">
        <f t="shared" si="15"/>
        <v>38.23427980227612</v>
      </c>
      <c r="AC23" s="29">
        <f t="shared" si="16"/>
        <v>74.311850311850307</v>
      </c>
      <c r="AD23" s="29">
        <f t="shared" si="16"/>
        <v>-66.089404131482283</v>
      </c>
      <c r="AE23" s="551" t="s">
        <v>49</v>
      </c>
      <c r="AI23" s="549"/>
    </row>
    <row r="24" spans="1:61" ht="18" customHeight="1">
      <c r="A24" s="26" t="s">
        <v>50</v>
      </c>
      <c r="B24" s="27">
        <v>3660</v>
      </c>
      <c r="C24" s="27">
        <v>4617</v>
      </c>
      <c r="D24" s="27">
        <v>4916</v>
      </c>
      <c r="E24" s="27">
        <v>5057</v>
      </c>
      <c r="F24" s="27">
        <v>6259</v>
      </c>
      <c r="G24" s="27">
        <v>6882</v>
      </c>
      <c r="H24" s="27">
        <v>8342</v>
      </c>
      <c r="I24" s="27">
        <v>11428</v>
      </c>
      <c r="J24" s="27">
        <v>3206</v>
      </c>
      <c r="K24" s="28"/>
      <c r="L24" s="29">
        <f t="shared" si="1"/>
        <v>0.38203595939563167</v>
      </c>
      <c r="M24" s="29">
        <f t="shared" si="2"/>
        <v>0.41032632362900173</v>
      </c>
      <c r="N24" s="29">
        <f t="shared" si="3"/>
        <v>0.4080152250433039</v>
      </c>
      <c r="O24" s="29">
        <f t="shared" si="4"/>
        <v>0.40972316746715409</v>
      </c>
      <c r="P24" s="29">
        <f t="shared" si="5"/>
        <v>0.4866518678054792</v>
      </c>
      <c r="Q24" s="29">
        <f t="shared" si="6"/>
        <v>0.49527110371618849</v>
      </c>
      <c r="R24" s="29">
        <f t="shared" si="11"/>
        <v>0.56202560982675709</v>
      </c>
      <c r="S24" s="29">
        <f t="shared" si="12"/>
        <v>0.67109561585707089</v>
      </c>
      <c r="T24" s="29">
        <f t="shared" si="12"/>
        <v>0.57714394754938847</v>
      </c>
      <c r="U24" s="30"/>
      <c r="V24" s="29">
        <v>-17.456021650879567</v>
      </c>
      <c r="W24" s="29">
        <f t="shared" si="7"/>
        <v>26.147540983606561</v>
      </c>
      <c r="X24" s="29">
        <f t="shared" si="8"/>
        <v>6.4760667099848384</v>
      </c>
      <c r="Y24" s="29">
        <f t="shared" si="9"/>
        <v>2.8681855166802279</v>
      </c>
      <c r="Z24" s="29">
        <f t="shared" si="13"/>
        <v>23.769033023531737</v>
      </c>
      <c r="AA24" s="29">
        <f t="shared" si="14"/>
        <v>9.9536667199233104</v>
      </c>
      <c r="AB24" s="29">
        <f t="shared" si="15"/>
        <v>21.21476315024702</v>
      </c>
      <c r="AC24" s="29">
        <f t="shared" si="16"/>
        <v>36.993526732198511</v>
      </c>
      <c r="AD24" s="29">
        <f t="shared" si="16"/>
        <v>-71.946097304865248</v>
      </c>
      <c r="AE24" s="551" t="s">
        <v>51</v>
      </c>
      <c r="AH24" s="42"/>
    </row>
    <row r="25" spans="1:61" ht="18" customHeight="1">
      <c r="A25" s="26" t="s">
        <v>52</v>
      </c>
      <c r="B25" s="27">
        <v>66378</v>
      </c>
      <c r="C25" s="27">
        <v>76479</v>
      </c>
      <c r="D25" s="27">
        <v>66308</v>
      </c>
      <c r="E25" s="27">
        <v>44323</v>
      </c>
      <c r="F25" s="27">
        <v>46522</v>
      </c>
      <c r="G25" s="27">
        <v>61931</v>
      </c>
      <c r="H25" s="27">
        <v>70935</v>
      </c>
      <c r="I25" s="27">
        <v>83369</v>
      </c>
      <c r="J25" s="27">
        <v>61387</v>
      </c>
      <c r="K25" s="28"/>
      <c r="L25" s="29">
        <f t="shared" si="1"/>
        <v>6.9286292111374967</v>
      </c>
      <c r="M25" s="29">
        <f t="shared" si="2"/>
        <v>6.7969129098597412</v>
      </c>
      <c r="N25" s="29">
        <f t="shared" si="3"/>
        <v>5.5033916888062233</v>
      </c>
      <c r="O25" s="29">
        <f t="shared" si="4"/>
        <v>3.5910935241539788</v>
      </c>
      <c r="P25" s="29">
        <f t="shared" si="5"/>
        <v>3.6171941514693247</v>
      </c>
      <c r="Q25" s="29">
        <f t="shared" si="6"/>
        <v>4.4569361703352612</v>
      </c>
      <c r="R25" s="29">
        <f t="shared" si="11"/>
        <v>4.7791041276745396</v>
      </c>
      <c r="S25" s="29">
        <f t="shared" si="12"/>
        <v>4.8957446970938179</v>
      </c>
      <c r="T25" s="29">
        <f t="shared" si="12"/>
        <v>11.05088443799573</v>
      </c>
      <c r="U25" s="30"/>
      <c r="V25" s="29">
        <v>3.8194444444444446</v>
      </c>
      <c r="W25" s="29">
        <f t="shared" si="7"/>
        <v>15.217391304347828</v>
      </c>
      <c r="X25" s="29">
        <f t="shared" si="8"/>
        <v>-13.299075563226506</v>
      </c>
      <c r="Y25" s="29">
        <f t="shared" si="9"/>
        <v>-33.15587862701333</v>
      </c>
      <c r="Z25" s="29">
        <f t="shared" si="13"/>
        <v>4.9613067707510776</v>
      </c>
      <c r="AA25" s="29">
        <f t="shared" si="14"/>
        <v>33.121963802072138</v>
      </c>
      <c r="AB25" s="29">
        <f t="shared" si="15"/>
        <v>14.538760879042806</v>
      </c>
      <c r="AC25" s="29">
        <f t="shared" si="16"/>
        <v>17.52872347924156</v>
      </c>
      <c r="AD25" s="29">
        <f t="shared" si="16"/>
        <v>-26.367114874833568</v>
      </c>
      <c r="AE25" s="551" t="s">
        <v>53</v>
      </c>
      <c r="AH25" s="42"/>
    </row>
    <row r="26" spans="1:61" ht="18" customHeight="1">
      <c r="A26" s="26" t="s">
        <v>54</v>
      </c>
      <c r="B26" s="27">
        <v>2636</v>
      </c>
      <c r="C26" s="27">
        <v>2758</v>
      </c>
      <c r="D26" s="27">
        <v>3262</v>
      </c>
      <c r="E26" s="27">
        <v>4286</v>
      </c>
      <c r="F26" s="27">
        <v>4957</v>
      </c>
      <c r="G26" s="27">
        <v>6079</v>
      </c>
      <c r="H26" s="27">
        <v>6584</v>
      </c>
      <c r="I26" s="27">
        <v>6910</v>
      </c>
      <c r="J26" s="27">
        <v>4498</v>
      </c>
      <c r="K26" s="28"/>
      <c r="L26" s="29">
        <f t="shared" si="1"/>
        <v>0.27514939589259158</v>
      </c>
      <c r="M26" s="29">
        <f t="shared" si="2"/>
        <v>0.24511154441602487</v>
      </c>
      <c r="N26" s="29">
        <f t="shared" si="3"/>
        <v>0.27073752320814837</v>
      </c>
      <c r="O26" s="29">
        <f t="shared" si="4"/>
        <v>0.34725598096978894</v>
      </c>
      <c r="P26" s="29">
        <f t="shared" si="5"/>
        <v>0.38541832700299733</v>
      </c>
      <c r="Q26" s="29">
        <f t="shared" si="6"/>
        <v>0.4374822783334365</v>
      </c>
      <c r="R26" s="29">
        <f t="shared" si="11"/>
        <v>0.4435838665906699</v>
      </c>
      <c r="S26" s="29">
        <f t="shared" si="12"/>
        <v>0.40578147581137208</v>
      </c>
      <c r="T26" s="29">
        <f t="shared" si="12"/>
        <v>0.80972971805276028</v>
      </c>
      <c r="U26" s="30"/>
      <c r="V26" s="29">
        <v>-6.5910701630049608</v>
      </c>
      <c r="W26" s="29">
        <f t="shared" si="7"/>
        <v>4.628224582701062</v>
      </c>
      <c r="X26" s="29">
        <f t="shared" si="8"/>
        <v>18.274111675126903</v>
      </c>
      <c r="Y26" s="29">
        <f t="shared" si="9"/>
        <v>31.39178418148375</v>
      </c>
      <c r="Z26" s="29">
        <f t="shared" si="13"/>
        <v>15.655622958469436</v>
      </c>
      <c r="AA26" s="29">
        <f t="shared" si="14"/>
        <v>22.634658059310066</v>
      </c>
      <c r="AB26" s="29">
        <f t="shared" si="15"/>
        <v>8.3072873827932234</v>
      </c>
      <c r="AC26" s="29">
        <f t="shared" si="16"/>
        <v>4.9513973268529767</v>
      </c>
      <c r="AD26" s="29">
        <f t="shared" si="16"/>
        <v>-34.905933429811867</v>
      </c>
      <c r="AE26" s="551" t="s">
        <v>55</v>
      </c>
      <c r="AH26" s="42"/>
      <c r="AI26" s="26"/>
    </row>
    <row r="27" spans="1:61" ht="18" customHeight="1">
      <c r="A27" s="26" t="s">
        <v>56</v>
      </c>
      <c r="B27" s="27">
        <v>1295</v>
      </c>
      <c r="C27" s="27">
        <v>1243</v>
      </c>
      <c r="D27" s="27">
        <v>1319</v>
      </c>
      <c r="E27" s="27">
        <v>1470</v>
      </c>
      <c r="F27" s="27">
        <v>1548</v>
      </c>
      <c r="G27" s="27">
        <v>2100</v>
      </c>
      <c r="H27" s="27">
        <v>3167</v>
      </c>
      <c r="I27" s="27">
        <v>3693</v>
      </c>
      <c r="J27" s="27">
        <v>1561</v>
      </c>
      <c r="K27" s="28"/>
      <c r="L27" s="29">
        <f t="shared" si="1"/>
        <v>0.1351739255238642</v>
      </c>
      <c r="M27" s="29">
        <f t="shared" si="2"/>
        <v>0.11046905355660583</v>
      </c>
      <c r="N27" s="29">
        <f t="shared" si="3"/>
        <v>0.1094735723824487</v>
      </c>
      <c r="O27" s="29">
        <f t="shared" si="4"/>
        <v>0.11910086141520991</v>
      </c>
      <c r="P27" s="29">
        <f t="shared" si="5"/>
        <v>0.12036061533198304</v>
      </c>
      <c r="Q27" s="29">
        <f t="shared" si="6"/>
        <v>0.1511289331304847</v>
      </c>
      <c r="R27" s="29">
        <f t="shared" si="11"/>
        <v>0.21337030763861659</v>
      </c>
      <c r="S27" s="29">
        <f t="shared" si="12"/>
        <v>0.21686700291916025</v>
      </c>
      <c r="T27" s="29">
        <f t="shared" si="12"/>
        <v>0.28101113603387257</v>
      </c>
      <c r="U27" s="30"/>
      <c r="V27" s="29">
        <v>-19.515226848974518</v>
      </c>
      <c r="W27" s="29">
        <f t="shared" si="7"/>
        <v>-4.0154440154440154</v>
      </c>
      <c r="X27" s="29">
        <f t="shared" si="8"/>
        <v>6.1142397425583264</v>
      </c>
      <c r="Y27" s="29">
        <f t="shared" si="9"/>
        <v>11.448066717210008</v>
      </c>
      <c r="Z27" s="29">
        <f t="shared" si="13"/>
        <v>5.3061224489795915</v>
      </c>
      <c r="AA27" s="29">
        <f t="shared" si="14"/>
        <v>35.65891472868217</v>
      </c>
      <c r="AB27" s="29">
        <f t="shared" si="15"/>
        <v>50.809523809523803</v>
      </c>
      <c r="AC27" s="29">
        <f t="shared" si="16"/>
        <v>16.608778023365961</v>
      </c>
      <c r="AD27" s="29">
        <f t="shared" si="16"/>
        <v>-57.730842133766579</v>
      </c>
      <c r="AE27" s="551" t="s">
        <v>57</v>
      </c>
      <c r="AI27" s="15"/>
      <c r="AK27" s="15"/>
      <c r="AL27" s="15"/>
      <c r="AM27" s="15"/>
    </row>
    <row r="28" spans="1:61" ht="18" customHeight="1">
      <c r="A28" s="26" t="s">
        <v>58</v>
      </c>
      <c r="B28" s="27">
        <v>8824</v>
      </c>
      <c r="C28" s="27">
        <v>11040</v>
      </c>
      <c r="D28" s="27">
        <v>15230</v>
      </c>
      <c r="E28" s="27">
        <v>17816</v>
      </c>
      <c r="F28" s="27">
        <v>23393</v>
      </c>
      <c r="G28" s="27">
        <v>25843</v>
      </c>
      <c r="H28" s="27">
        <v>31780</v>
      </c>
      <c r="I28" s="27">
        <v>36064</v>
      </c>
      <c r="J28" s="27">
        <v>6778</v>
      </c>
      <c r="K28" s="28"/>
      <c r="L28" s="29">
        <f t="shared" si="1"/>
        <v>0.92106155893635333</v>
      </c>
      <c r="M28" s="29">
        <f t="shared" si="2"/>
        <v>0.98115716111418205</v>
      </c>
      <c r="N28" s="29">
        <f t="shared" si="3"/>
        <v>1.264050422581269</v>
      </c>
      <c r="O28" s="29">
        <f t="shared" si="4"/>
        <v>1.44347003195468</v>
      </c>
      <c r="P28" s="29">
        <f t="shared" si="5"/>
        <v>1.8188603840187851</v>
      </c>
      <c r="Q28" s="29">
        <f t="shared" si="6"/>
        <v>1.8598214375671984</v>
      </c>
      <c r="R28" s="29">
        <f t="shared" si="11"/>
        <v>2.141114106964078</v>
      </c>
      <c r="S28" s="29">
        <f t="shared" si="12"/>
        <v>2.1178152161593808</v>
      </c>
      <c r="T28" s="29">
        <f t="shared" si="12"/>
        <v>1.2201751954116518</v>
      </c>
      <c r="U28" s="30"/>
      <c r="V28" s="29">
        <v>-9.1246138002059727</v>
      </c>
      <c r="W28" s="29">
        <f t="shared" si="7"/>
        <v>25.113327289211242</v>
      </c>
      <c r="X28" s="29">
        <f t="shared" si="8"/>
        <v>37.95289855072464</v>
      </c>
      <c r="Y28" s="29">
        <f t="shared" si="9"/>
        <v>16.979645436638215</v>
      </c>
      <c r="Z28" s="29">
        <f t="shared" si="13"/>
        <v>31.3033228558599</v>
      </c>
      <c r="AA28" s="29">
        <f t="shared" si="14"/>
        <v>10.473218484161929</v>
      </c>
      <c r="AB28" s="29">
        <f t="shared" si="15"/>
        <v>22.973339008629029</v>
      </c>
      <c r="AC28" s="29">
        <f t="shared" si="16"/>
        <v>13.480176211453745</v>
      </c>
      <c r="AD28" s="29">
        <f t="shared" si="16"/>
        <v>-81.205634427684117</v>
      </c>
      <c r="AE28" s="551" t="s">
        <v>59</v>
      </c>
      <c r="AH28" s="42"/>
      <c r="AI28" s="26"/>
    </row>
    <row r="29" spans="1:61" ht="18" customHeight="1">
      <c r="A29" s="26" t="s">
        <v>60</v>
      </c>
      <c r="B29" s="27">
        <v>5230</v>
      </c>
      <c r="C29" s="27">
        <v>5694</v>
      </c>
      <c r="D29" s="27">
        <v>7163</v>
      </c>
      <c r="E29" s="27">
        <v>9138</v>
      </c>
      <c r="F29" s="27">
        <v>10918</v>
      </c>
      <c r="G29" s="27">
        <v>13127</v>
      </c>
      <c r="H29" s="27">
        <v>14988</v>
      </c>
      <c r="I29" s="27">
        <v>13245</v>
      </c>
      <c r="J29" s="27">
        <v>5613</v>
      </c>
      <c r="K29" s="28"/>
      <c r="L29" s="29">
        <f t="shared" si="1"/>
        <v>0.54591477257900367</v>
      </c>
      <c r="M29" s="29">
        <f t="shared" si="2"/>
        <v>0.50604247059639074</v>
      </c>
      <c r="N29" s="29">
        <f t="shared" si="3"/>
        <v>0.59451038587981808</v>
      </c>
      <c r="O29" s="29">
        <f t="shared" si="4"/>
        <v>0.74036984463414168</v>
      </c>
      <c r="P29" s="29">
        <f t="shared" si="5"/>
        <v>0.84889999883371503</v>
      </c>
      <c r="Q29" s="29">
        <f t="shared" si="6"/>
        <v>0.94469976438279668</v>
      </c>
      <c r="R29" s="29">
        <f t="shared" si="11"/>
        <v>1.0097866027431592</v>
      </c>
      <c r="S29" s="29">
        <f t="shared" si="12"/>
        <v>0.77779676514061125</v>
      </c>
      <c r="T29" s="29">
        <f t="shared" si="12"/>
        <v>1.0104519580769549</v>
      </c>
      <c r="U29" s="30"/>
      <c r="V29" s="29">
        <v>6.8218954248366011</v>
      </c>
      <c r="W29" s="29">
        <f t="shared" si="7"/>
        <v>8.8718929254302115</v>
      </c>
      <c r="X29" s="29">
        <f t="shared" si="8"/>
        <v>25.799086757990867</v>
      </c>
      <c r="Y29" s="29">
        <f t="shared" si="9"/>
        <v>27.572246265531202</v>
      </c>
      <c r="Z29" s="29">
        <f t="shared" si="13"/>
        <v>19.479098270956445</v>
      </c>
      <c r="AA29" s="29">
        <f t="shared" si="14"/>
        <v>20.232643341271295</v>
      </c>
      <c r="AB29" s="29">
        <f t="shared" si="15"/>
        <v>14.176887331454255</v>
      </c>
      <c r="AC29" s="29">
        <f t="shared" si="16"/>
        <v>-11.629303442754203</v>
      </c>
      <c r="AD29" s="29">
        <f t="shared" si="16"/>
        <v>-57.621744054360136</v>
      </c>
      <c r="AE29" s="551" t="s">
        <v>61</v>
      </c>
      <c r="AI29" s="26"/>
      <c r="AK29" s="15"/>
      <c r="AL29" s="15"/>
      <c r="AM29" s="15"/>
    </row>
    <row r="30" spans="1:61" ht="18" customHeight="1">
      <c r="A30" s="26" t="s">
        <v>62</v>
      </c>
      <c r="B30" s="27">
        <v>35457</v>
      </c>
      <c r="C30" s="27">
        <v>34102</v>
      </c>
      <c r="D30" s="27">
        <v>31497</v>
      </c>
      <c r="E30" s="27">
        <v>31923</v>
      </c>
      <c r="F30" s="27">
        <v>31678</v>
      </c>
      <c r="G30" s="27">
        <v>32651</v>
      </c>
      <c r="H30" s="27">
        <v>32984</v>
      </c>
      <c r="I30" s="27">
        <v>33829</v>
      </c>
      <c r="J30" s="27">
        <v>12517</v>
      </c>
      <c r="K30" s="28"/>
      <c r="L30" s="29">
        <f t="shared" si="1"/>
        <v>3.7010516427024345</v>
      </c>
      <c r="M30" s="29">
        <f t="shared" si="2"/>
        <v>3.0307447018402027</v>
      </c>
      <c r="N30" s="29">
        <f t="shared" si="3"/>
        <v>2.6141691503639022</v>
      </c>
      <c r="O30" s="29">
        <f t="shared" si="4"/>
        <v>2.586433196569895</v>
      </c>
      <c r="P30" s="29">
        <f t="shared" si="5"/>
        <v>2.4630384835184485</v>
      </c>
      <c r="Q30" s="29">
        <f t="shared" si="6"/>
        <v>2.3497670455445032</v>
      </c>
      <c r="R30" s="29">
        <f t="shared" si="11"/>
        <v>2.2222312052895892</v>
      </c>
      <c r="S30" s="29">
        <f t="shared" si="12"/>
        <v>1.9865675173983945</v>
      </c>
      <c r="T30" s="29">
        <f t="shared" si="12"/>
        <v>2.2533096667110715</v>
      </c>
      <c r="U30" s="30"/>
      <c r="V30" s="29">
        <v>9.0850356879153349</v>
      </c>
      <c r="W30" s="29">
        <f t="shared" si="7"/>
        <v>-3.8215303043122657</v>
      </c>
      <c r="X30" s="29">
        <f t="shared" si="8"/>
        <v>-7.6388481613981583</v>
      </c>
      <c r="Y30" s="29">
        <f t="shared" si="9"/>
        <v>1.3525097628345555</v>
      </c>
      <c r="Z30" s="29">
        <f t="shared" si="13"/>
        <v>-0.76747172884753945</v>
      </c>
      <c r="AA30" s="29">
        <f t="shared" si="14"/>
        <v>3.0715322937054106</v>
      </c>
      <c r="AB30" s="29">
        <f t="shared" si="15"/>
        <v>1.0198768797280329</v>
      </c>
      <c r="AC30" s="29">
        <f t="shared" si="16"/>
        <v>2.5618481688091199</v>
      </c>
      <c r="AD30" s="29">
        <f t="shared" si="16"/>
        <v>-62.999201868219579</v>
      </c>
      <c r="AE30" s="551" t="s">
        <v>63</v>
      </c>
      <c r="AH30" s="42"/>
      <c r="AI30" s="26"/>
    </row>
    <row r="31" spans="1:61" ht="18" customHeight="1">
      <c r="A31" s="26" t="s">
        <v>64</v>
      </c>
      <c r="B31" s="27">
        <v>5416</v>
      </c>
      <c r="C31" s="27">
        <v>9117</v>
      </c>
      <c r="D31" s="27">
        <v>8668</v>
      </c>
      <c r="E31" s="27">
        <v>10200</v>
      </c>
      <c r="F31" s="27">
        <v>10091</v>
      </c>
      <c r="G31" s="27">
        <v>11168</v>
      </c>
      <c r="H31" s="27">
        <v>10129</v>
      </c>
      <c r="I31" s="27">
        <v>9976</v>
      </c>
      <c r="J31" s="27">
        <v>3164</v>
      </c>
      <c r="K31" s="28"/>
      <c r="L31" s="29">
        <f t="shared" si="1"/>
        <v>0.56532971477779803</v>
      </c>
      <c r="M31" s="29">
        <f t="shared" si="2"/>
        <v>0.81025451430054329</v>
      </c>
      <c r="N31" s="29">
        <f t="shared" si="3"/>
        <v>0.71942147491362041</v>
      </c>
      <c r="O31" s="29">
        <f t="shared" si="4"/>
        <v>0.82641414043206873</v>
      </c>
      <c r="P31" s="29">
        <f t="shared" si="5"/>
        <v>0.78459881738697723</v>
      </c>
      <c r="Q31" s="29">
        <f t="shared" si="6"/>
        <v>0.80371805961964449</v>
      </c>
      <c r="R31" s="29">
        <f t="shared" si="11"/>
        <v>0.68242117021520288</v>
      </c>
      <c r="S31" s="29">
        <f t="shared" si="12"/>
        <v>0.58582865451436295</v>
      </c>
      <c r="T31" s="29">
        <f t="shared" si="12"/>
        <v>0.56958310980856686</v>
      </c>
      <c r="U31" s="30"/>
      <c r="V31" s="29">
        <v>19.242624394539849</v>
      </c>
      <c r="W31" s="29">
        <f t="shared" si="7"/>
        <v>68.33456425406203</v>
      </c>
      <c r="X31" s="29">
        <f t="shared" si="8"/>
        <v>-4.9248656356257543</v>
      </c>
      <c r="Y31" s="29">
        <f t="shared" si="9"/>
        <v>17.674203968620212</v>
      </c>
      <c r="Z31" s="29">
        <f t="shared" si="13"/>
        <v>-1.0686274509803921</v>
      </c>
      <c r="AA31" s="29">
        <f t="shared" si="14"/>
        <v>10.672876820929542</v>
      </c>
      <c r="AB31" s="29">
        <f t="shared" si="15"/>
        <v>-9.3033667621776512</v>
      </c>
      <c r="AC31" s="29">
        <f t="shared" si="16"/>
        <v>-1.5105143646954291</v>
      </c>
      <c r="AD31" s="29">
        <f t="shared" si="16"/>
        <v>-68.283881315156378</v>
      </c>
      <c r="AE31" s="551" t="s">
        <v>65</v>
      </c>
      <c r="AI31" s="26"/>
    </row>
    <row r="32" spans="1:61" ht="18" customHeight="1">
      <c r="A32" s="26" t="s">
        <v>66</v>
      </c>
      <c r="B32" s="27">
        <v>8044</v>
      </c>
      <c r="C32" s="27">
        <v>10362</v>
      </c>
      <c r="D32" s="27">
        <v>8057</v>
      </c>
      <c r="E32" s="27">
        <v>6747</v>
      </c>
      <c r="F32" s="27">
        <v>7599</v>
      </c>
      <c r="G32" s="27">
        <v>9722</v>
      </c>
      <c r="H32" s="27">
        <v>11430</v>
      </c>
      <c r="I32" s="27">
        <v>13253</v>
      </c>
      <c r="J32" s="27">
        <v>10343</v>
      </c>
      <c r="K32" s="28"/>
      <c r="L32" s="29">
        <f t="shared" si="1"/>
        <v>0.83964405939302211</v>
      </c>
      <c r="M32" s="29">
        <f t="shared" si="2"/>
        <v>0.92090131371966988</v>
      </c>
      <c r="N32" s="29">
        <f t="shared" si="3"/>
        <v>0.66871006268793731</v>
      </c>
      <c r="O32" s="29">
        <f t="shared" si="4"/>
        <v>0.54664864759756548</v>
      </c>
      <c r="P32" s="29">
        <f t="shared" si="5"/>
        <v>0.59083999735642057</v>
      </c>
      <c r="Q32" s="29">
        <f t="shared" si="6"/>
        <v>0.6996549942355107</v>
      </c>
      <c r="R32" s="29">
        <f t="shared" si="11"/>
        <v>0.77007345005032768</v>
      </c>
      <c r="S32" s="29">
        <f t="shared" si="12"/>
        <v>0.77826655556123225</v>
      </c>
      <c r="T32" s="29">
        <f t="shared" si="12"/>
        <v>1.8619463036504444</v>
      </c>
      <c r="U32" s="30"/>
      <c r="V32" s="29">
        <v>19.542279684945758</v>
      </c>
      <c r="W32" s="29">
        <f t="shared" si="7"/>
        <v>28.816509199403285</v>
      </c>
      <c r="X32" s="29">
        <f t="shared" si="8"/>
        <v>-22.244740397606641</v>
      </c>
      <c r="Y32" s="29">
        <f t="shared" si="9"/>
        <v>-16.259153531090977</v>
      </c>
      <c r="Z32" s="29">
        <f t="shared" si="13"/>
        <v>12.627834593152512</v>
      </c>
      <c r="AA32" s="29">
        <f t="shared" si="14"/>
        <v>27.937886564021579</v>
      </c>
      <c r="AB32" s="29">
        <f t="shared" si="15"/>
        <v>17.56840156346431</v>
      </c>
      <c r="AC32" s="29">
        <f t="shared" si="16"/>
        <v>15.949256342957129</v>
      </c>
      <c r="AD32" s="29">
        <f t="shared" si="16"/>
        <v>-21.9572926884479</v>
      </c>
      <c r="AE32" s="551" t="s">
        <v>67</v>
      </c>
      <c r="AH32" s="42"/>
      <c r="AI32" s="26"/>
    </row>
    <row r="33" spans="1:58" ht="18" customHeight="1">
      <c r="A33" s="26" t="s">
        <v>68</v>
      </c>
      <c r="B33" s="27">
        <v>91776</v>
      </c>
      <c r="C33" s="27">
        <v>85869</v>
      </c>
      <c r="D33" s="27">
        <v>88347</v>
      </c>
      <c r="E33" s="27">
        <v>92775</v>
      </c>
      <c r="F33" s="27">
        <v>101843</v>
      </c>
      <c r="G33" s="27">
        <v>103977</v>
      </c>
      <c r="H33" s="27">
        <v>114602</v>
      </c>
      <c r="I33" s="27">
        <v>126199</v>
      </c>
      <c r="J33" s="27">
        <v>52720</v>
      </c>
      <c r="K33" s="28"/>
      <c r="L33" s="29">
        <f t="shared" si="1"/>
        <v>9.5797082539599696</v>
      </c>
      <c r="M33" s="29">
        <f t="shared" si="2"/>
        <v>7.6314297343943576</v>
      </c>
      <c r="N33" s="29">
        <f t="shared" si="3"/>
        <v>7.3325714171889285</v>
      </c>
      <c r="O33" s="29">
        <f t="shared" si="4"/>
        <v>7.5167227331946247</v>
      </c>
      <c r="P33" s="29">
        <f t="shared" si="5"/>
        <v>7.9185311028780028</v>
      </c>
      <c r="Q33" s="29">
        <f t="shared" si="6"/>
        <v>7.4828252762420995</v>
      </c>
      <c r="R33" s="29">
        <f t="shared" si="11"/>
        <v>7.7210811480899073</v>
      </c>
      <c r="S33" s="29">
        <f t="shared" si="12"/>
        <v>7.4108851614933924</v>
      </c>
      <c r="T33" s="29">
        <f t="shared" si="12"/>
        <v>9.4906515641933122</v>
      </c>
      <c r="U33" s="30"/>
      <c r="V33" s="29">
        <v>-12.182799402916524</v>
      </c>
      <c r="W33" s="29">
        <f t="shared" si="7"/>
        <v>-6.4363232217573216</v>
      </c>
      <c r="X33" s="29">
        <f t="shared" si="8"/>
        <v>2.8857911469797015</v>
      </c>
      <c r="Y33" s="29">
        <f t="shared" si="9"/>
        <v>5.0120547387008045</v>
      </c>
      <c r="Z33" s="29">
        <f t="shared" si="13"/>
        <v>9.7741848558340081</v>
      </c>
      <c r="AA33" s="29">
        <f t="shared" si="14"/>
        <v>2.0953821077540922</v>
      </c>
      <c r="AB33" s="29">
        <f t="shared" si="15"/>
        <v>10.21860603787376</v>
      </c>
      <c r="AC33" s="29">
        <f t="shared" si="16"/>
        <v>10.119369644508822</v>
      </c>
      <c r="AD33" s="29">
        <f t="shared" si="16"/>
        <v>-58.224708595155271</v>
      </c>
      <c r="AE33" s="551" t="s">
        <v>69</v>
      </c>
      <c r="AI33" s="26"/>
      <c r="AK33" s="15"/>
      <c r="AL33" s="15"/>
      <c r="AM33" s="15"/>
    </row>
    <row r="34" spans="1:58" ht="18" customHeight="1">
      <c r="A34" s="26" t="s">
        <v>70</v>
      </c>
      <c r="B34" s="27">
        <v>18612</v>
      </c>
      <c r="C34" s="27">
        <v>18036</v>
      </c>
      <c r="D34" s="27">
        <v>17044</v>
      </c>
      <c r="E34" s="27">
        <v>23361</v>
      </c>
      <c r="F34" s="27">
        <v>26943</v>
      </c>
      <c r="G34" s="27">
        <v>33356</v>
      </c>
      <c r="H34" s="27">
        <v>37628</v>
      </c>
      <c r="I34" s="27">
        <v>43424</v>
      </c>
      <c r="J34" s="27">
        <v>28890</v>
      </c>
      <c r="K34" s="28"/>
      <c r="L34" s="29">
        <f t="shared" si="1"/>
        <v>1.9427467967954908</v>
      </c>
      <c r="M34" s="29">
        <f t="shared" si="2"/>
        <v>1.6029121882115387</v>
      </c>
      <c r="N34" s="29">
        <f t="shared" si="3"/>
        <v>1.4146077086326427</v>
      </c>
      <c r="O34" s="29">
        <f t="shared" si="4"/>
        <v>1.8927314445719174</v>
      </c>
      <c r="P34" s="29">
        <f t="shared" si="5"/>
        <v>2.0948811749932941</v>
      </c>
      <c r="Q34" s="29">
        <f t="shared" si="6"/>
        <v>2.4005031873811657</v>
      </c>
      <c r="R34" s="29">
        <f t="shared" si="11"/>
        <v>2.5351114416879903</v>
      </c>
      <c r="S34" s="29">
        <f t="shared" si="12"/>
        <v>2.5500224031306833</v>
      </c>
      <c r="T34" s="29">
        <f t="shared" si="12"/>
        <v>5.2007762460080578</v>
      </c>
      <c r="U34" s="30"/>
      <c r="V34" s="29">
        <v>53.970880211780283</v>
      </c>
      <c r="W34" s="29">
        <f t="shared" si="7"/>
        <v>-3.0947775628626695</v>
      </c>
      <c r="X34" s="29">
        <f t="shared" si="8"/>
        <v>-5.5001108893324462</v>
      </c>
      <c r="Y34" s="29">
        <f t="shared" si="9"/>
        <v>37.062896033794885</v>
      </c>
      <c r="Z34" s="29">
        <f t="shared" si="13"/>
        <v>15.333247720559909</v>
      </c>
      <c r="AA34" s="29">
        <f t="shared" si="14"/>
        <v>23.802100731173219</v>
      </c>
      <c r="AB34" s="29">
        <f t="shared" si="15"/>
        <v>12.807291042091379</v>
      </c>
      <c r="AC34" s="29">
        <f t="shared" si="16"/>
        <v>15.403422982885084</v>
      </c>
      <c r="AD34" s="29">
        <f t="shared" si="16"/>
        <v>-33.469970523212972</v>
      </c>
      <c r="AE34" s="551" t="s">
        <v>71</v>
      </c>
      <c r="AH34" s="42"/>
    </row>
    <row r="35" spans="1:58" s="15" customFormat="1" ht="18" customHeight="1">
      <c r="A35" s="31" t="s">
        <v>72</v>
      </c>
      <c r="B35" s="32">
        <f t="shared" ref="B35:J35" si="17">SUM(B36:B49)</f>
        <v>367680</v>
      </c>
      <c r="C35" s="32">
        <f t="shared" si="17"/>
        <v>505753</v>
      </c>
      <c r="D35" s="32">
        <f t="shared" si="17"/>
        <v>568031</v>
      </c>
      <c r="E35" s="32">
        <f t="shared" si="17"/>
        <v>578322</v>
      </c>
      <c r="F35" s="32">
        <f t="shared" si="17"/>
        <v>572336</v>
      </c>
      <c r="G35" s="32">
        <f t="shared" si="17"/>
        <v>586791</v>
      </c>
      <c r="H35" s="32">
        <f t="shared" si="17"/>
        <v>580928</v>
      </c>
      <c r="I35" s="32">
        <f t="shared" si="17"/>
        <v>661000</v>
      </c>
      <c r="J35" s="32">
        <f t="shared" si="17"/>
        <v>134279</v>
      </c>
      <c r="K35" s="33"/>
      <c r="L35" s="21">
        <f t="shared" si="1"/>
        <v>38.378956707810339</v>
      </c>
      <c r="M35" s="21">
        <f t="shared" si="2"/>
        <v>44.947751603712042</v>
      </c>
      <c r="N35" s="21">
        <f t="shared" si="3"/>
        <v>47.145096887016471</v>
      </c>
      <c r="O35" s="21">
        <f t="shared" si="4"/>
        <v>46.856223384603418</v>
      </c>
      <c r="P35" s="21">
        <f t="shared" si="5"/>
        <v>44.500460682587757</v>
      </c>
      <c r="Q35" s="21">
        <f t="shared" si="6"/>
        <v>42.229094190747738</v>
      </c>
      <c r="R35" s="21">
        <f t="shared" si="11"/>
        <v>39.138865196048705</v>
      </c>
      <c r="S35" s="21">
        <f t="shared" si="12"/>
        <v>38.816433503808533</v>
      </c>
      <c r="T35" s="21">
        <f t="shared" si="12"/>
        <v>24.172898357137971</v>
      </c>
      <c r="U35" s="24"/>
      <c r="V35" s="21">
        <v>9.856226022731347</v>
      </c>
      <c r="W35" s="21">
        <f t="shared" si="7"/>
        <v>37.552491296779813</v>
      </c>
      <c r="X35" s="21">
        <f t="shared" si="8"/>
        <v>12.313916081565507</v>
      </c>
      <c r="Y35" s="21">
        <f t="shared" si="9"/>
        <v>1.811696896824293</v>
      </c>
      <c r="Z35" s="21">
        <f t="shared" si="13"/>
        <v>-1.0350635113310578</v>
      </c>
      <c r="AA35" s="21">
        <f t="shared" si="14"/>
        <v>2.5256143244527691</v>
      </c>
      <c r="AB35" s="21">
        <f t="shared" si="15"/>
        <v>-0.9991632455167172</v>
      </c>
      <c r="AC35" s="21">
        <f t="shared" si="16"/>
        <v>13.783463699460174</v>
      </c>
      <c r="AD35" s="21">
        <f t="shared" si="16"/>
        <v>-79.685476550680789</v>
      </c>
      <c r="AE35" s="552" t="s">
        <v>73</v>
      </c>
      <c r="AG35" s="2"/>
      <c r="BF35" s="714"/>
    </row>
    <row r="36" spans="1:58" ht="18" customHeight="1">
      <c r="A36" s="26" t="s">
        <v>74</v>
      </c>
      <c r="B36" s="27">
        <v>1221</v>
      </c>
      <c r="C36" s="27">
        <v>1906</v>
      </c>
      <c r="D36" s="27">
        <v>2231</v>
      </c>
      <c r="E36" s="27">
        <v>4431</v>
      </c>
      <c r="F36" s="27">
        <v>6018</v>
      </c>
      <c r="G36" s="27">
        <v>4714</v>
      </c>
      <c r="H36" s="27">
        <v>3644</v>
      </c>
      <c r="I36" s="27">
        <v>3918</v>
      </c>
      <c r="J36" s="27">
        <v>1108</v>
      </c>
      <c r="K36" s="28"/>
      <c r="L36" s="29">
        <f t="shared" si="1"/>
        <v>0.12744970120821481</v>
      </c>
      <c r="M36" s="29">
        <f t="shared" si="2"/>
        <v>0.16939180698221296</v>
      </c>
      <c r="N36" s="29">
        <f t="shared" si="3"/>
        <v>0.1851672024148924</v>
      </c>
      <c r="O36" s="29">
        <f t="shared" si="4"/>
        <v>0.35900402512298984</v>
      </c>
      <c r="P36" s="29">
        <f t="shared" si="5"/>
        <v>0.46791355495340692</v>
      </c>
      <c r="Q36" s="29">
        <f t="shared" si="6"/>
        <v>0.33924847179862144</v>
      </c>
      <c r="R36" s="29">
        <f t="shared" si="11"/>
        <v>0.24550723114465386</v>
      </c>
      <c r="S36" s="29">
        <f t="shared" si="12"/>
        <v>0.23007985849912532</v>
      </c>
      <c r="T36" s="29">
        <f t="shared" si="12"/>
        <v>0.1994621004007244</v>
      </c>
      <c r="U36" s="30"/>
      <c r="V36" s="29">
        <v>-18.382352941176471</v>
      </c>
      <c r="W36" s="29">
        <f t="shared" si="7"/>
        <v>56.101556101556106</v>
      </c>
      <c r="X36" s="29">
        <f t="shared" si="8"/>
        <v>17.051416579223506</v>
      </c>
      <c r="Y36" s="29">
        <f t="shared" si="9"/>
        <v>98.610488570147908</v>
      </c>
      <c r="Z36" s="29">
        <f t="shared" si="13"/>
        <v>35.815842924847665</v>
      </c>
      <c r="AA36" s="29">
        <f t="shared" si="14"/>
        <v>-21.668328348288469</v>
      </c>
      <c r="AB36" s="29">
        <f t="shared" si="15"/>
        <v>-22.698345354263893</v>
      </c>
      <c r="AC36" s="29">
        <f t="shared" si="16"/>
        <v>7.5192096597146003</v>
      </c>
      <c r="AD36" s="29">
        <f t="shared" si="16"/>
        <v>-71.720265441551817</v>
      </c>
      <c r="AE36" s="551" t="s">
        <v>75</v>
      </c>
    </row>
    <row r="37" spans="1:58" ht="18" customHeight="1">
      <c r="A37" s="26" t="s">
        <v>76</v>
      </c>
      <c r="B37" s="27">
        <v>229551</v>
      </c>
      <c r="C37" s="27">
        <v>331719</v>
      </c>
      <c r="D37" s="27">
        <v>363626</v>
      </c>
      <c r="E37" s="27">
        <v>359514</v>
      </c>
      <c r="F37" s="27">
        <v>324326</v>
      </c>
      <c r="G37" s="27">
        <v>306530</v>
      </c>
      <c r="H37" s="27">
        <v>283116</v>
      </c>
      <c r="I37" s="27">
        <v>284029</v>
      </c>
      <c r="J37" s="27">
        <v>34245</v>
      </c>
      <c r="K37" s="28"/>
      <c r="L37" s="29">
        <f t="shared" si="1"/>
        <v>23.960856971373399</v>
      </c>
      <c r="M37" s="29">
        <f t="shared" si="2"/>
        <v>29.480839884749582</v>
      </c>
      <c r="N37" s="29">
        <f t="shared" si="3"/>
        <v>30.180013063790973</v>
      </c>
      <c r="O37" s="29">
        <f t="shared" si="4"/>
        <v>29.128181694440663</v>
      </c>
      <c r="P37" s="29">
        <f t="shared" si="5"/>
        <v>25.217103958760163</v>
      </c>
      <c r="Q37" s="29">
        <f t="shared" si="6"/>
        <v>22.059786605946417</v>
      </c>
      <c r="R37" s="29">
        <f t="shared" si="11"/>
        <v>19.074375755419819</v>
      </c>
      <c r="S37" s="29">
        <f t="shared" si="12"/>
        <v>16.679262922319566</v>
      </c>
      <c r="T37" s="29">
        <f t="shared" si="12"/>
        <v>6.164783057962822</v>
      </c>
      <c r="U37" s="30"/>
      <c r="V37" s="29">
        <v>15.552591175656289</v>
      </c>
      <c r="W37" s="29">
        <f t="shared" si="7"/>
        <v>44.507756446279913</v>
      </c>
      <c r="X37" s="29">
        <f t="shared" si="8"/>
        <v>9.618683283140248</v>
      </c>
      <c r="Y37" s="29">
        <f t="shared" si="9"/>
        <v>-1.1308322287185184</v>
      </c>
      <c r="Z37" s="29">
        <f t="shared" si="13"/>
        <v>-9.7876577824507525</v>
      </c>
      <c r="AA37" s="29">
        <f t="shared" si="14"/>
        <v>-5.487071650129808</v>
      </c>
      <c r="AB37" s="29">
        <f t="shared" si="15"/>
        <v>-7.6384040713796368</v>
      </c>
      <c r="AC37" s="29">
        <f t="shared" si="16"/>
        <v>0.32248265728535297</v>
      </c>
      <c r="AD37" s="29">
        <f t="shared" si="16"/>
        <v>-87.943132567449098</v>
      </c>
      <c r="AE37" s="551" t="s">
        <v>77</v>
      </c>
    </row>
    <row r="38" spans="1:58" ht="18" customHeight="1">
      <c r="A38" s="26" t="s">
        <v>78</v>
      </c>
      <c r="B38" s="27">
        <v>31721</v>
      </c>
      <c r="C38" s="27">
        <v>38014</v>
      </c>
      <c r="D38" s="27">
        <v>45587</v>
      </c>
      <c r="E38" s="27">
        <v>52368</v>
      </c>
      <c r="F38" s="27">
        <v>66955</v>
      </c>
      <c r="G38" s="27">
        <v>83019</v>
      </c>
      <c r="H38" s="27">
        <v>90474</v>
      </c>
      <c r="I38" s="27">
        <v>166030</v>
      </c>
      <c r="J38" s="27">
        <v>62960</v>
      </c>
      <c r="K38" s="28"/>
      <c r="L38" s="29">
        <f t="shared" si="1"/>
        <v>3.3110826961718116</v>
      </c>
      <c r="M38" s="29">
        <f t="shared" si="2"/>
        <v>3.3784156089306636</v>
      </c>
      <c r="N38" s="29">
        <f t="shared" si="3"/>
        <v>3.7836025354046163</v>
      </c>
      <c r="O38" s="29">
        <f t="shared" si="4"/>
        <v>4.2429074221712337</v>
      </c>
      <c r="P38" s="29">
        <f t="shared" si="5"/>
        <v>5.2059076224502094</v>
      </c>
      <c r="Q38" s="29">
        <f t="shared" si="6"/>
        <v>5.9745585235998631</v>
      </c>
      <c r="R38" s="29">
        <f t="shared" si="11"/>
        <v>6.0955052773275016</v>
      </c>
      <c r="S38" s="29">
        <f t="shared" si="12"/>
        <v>9.7499129419626787</v>
      </c>
      <c r="T38" s="29">
        <f t="shared" si="12"/>
        <v>11.334055813384122</v>
      </c>
      <c r="U38" s="30"/>
      <c r="V38" s="29">
        <v>2.3984763380463554</v>
      </c>
      <c r="W38" s="29">
        <f t="shared" si="7"/>
        <v>19.838592730367896</v>
      </c>
      <c r="X38" s="29">
        <f t="shared" si="8"/>
        <v>19.92160782869469</v>
      </c>
      <c r="Y38" s="29">
        <f t="shared" si="9"/>
        <v>14.874854673481474</v>
      </c>
      <c r="Z38" s="29">
        <f t="shared" si="13"/>
        <v>27.854796822487017</v>
      </c>
      <c r="AA38" s="29">
        <f t="shared" si="14"/>
        <v>23.992233589724439</v>
      </c>
      <c r="AB38" s="29">
        <f t="shared" si="15"/>
        <v>8.9798720774762408</v>
      </c>
      <c r="AC38" s="29">
        <f t="shared" si="16"/>
        <v>83.511285010058131</v>
      </c>
      <c r="AD38" s="29">
        <f t="shared" si="16"/>
        <v>-62.079142323676436</v>
      </c>
      <c r="AE38" s="551" t="s">
        <v>79</v>
      </c>
      <c r="AG38" s="15"/>
    </row>
    <row r="39" spans="1:58" ht="18" customHeight="1">
      <c r="A39" s="26" t="s">
        <v>80</v>
      </c>
      <c r="B39" s="27">
        <v>1772</v>
      </c>
      <c r="C39" s="27">
        <v>2511</v>
      </c>
      <c r="D39" s="27">
        <v>3333</v>
      </c>
      <c r="E39" s="27">
        <v>3452</v>
      </c>
      <c r="F39" s="27">
        <v>4886</v>
      </c>
      <c r="G39" s="27">
        <v>5375</v>
      </c>
      <c r="H39" s="27">
        <v>5885</v>
      </c>
      <c r="I39" s="27">
        <v>4646</v>
      </c>
      <c r="J39" s="27">
        <v>857</v>
      </c>
      <c r="K39" s="28"/>
      <c r="L39" s="29">
        <f t="shared" ref="L39:L67" si="18">B39/B$7*100</f>
        <v>0.18496385793690143</v>
      </c>
      <c r="M39" s="29">
        <f t="shared" ref="M39:M67" si="19">C39/C$7*100</f>
        <v>0.22315993039472024</v>
      </c>
      <c r="N39" s="29">
        <f t="shared" ref="N39:N67" si="20">D39/D$7*100</f>
        <v>0.27663033870409515</v>
      </c>
      <c r="O39" s="29">
        <f t="shared" ref="O39:O67" si="21">E39/E$7*100</f>
        <v>0.27968447184034329</v>
      </c>
      <c r="P39" s="29">
        <f t="shared" ref="P39:P67" si="22">F39/F$7*100</f>
        <v>0.37989791118350719</v>
      </c>
      <c r="Q39" s="29">
        <f t="shared" ref="Q39:Q67" si="23">G39/G$7*100</f>
        <v>0.38681810265540734</v>
      </c>
      <c r="R39" s="29">
        <f t="shared" ref="R39:R67" si="24">H39/H$7*100</f>
        <v>0.39649013591830079</v>
      </c>
      <c r="S39" s="29">
        <f t="shared" ref="S39:T67" si="25">I39/I$7*100</f>
        <v>0.27283078677563455</v>
      </c>
      <c r="T39" s="29">
        <f t="shared" si="25"/>
        <v>0.15427709390200436</v>
      </c>
      <c r="U39" s="30"/>
      <c r="V39" s="29">
        <v>38.113795791114576</v>
      </c>
      <c r="W39" s="29">
        <f t="shared" ref="W39:W67" si="26">(C39-B39)/B39*100</f>
        <v>41.704288939051921</v>
      </c>
      <c r="X39" s="29">
        <f t="shared" ref="X39:X67" si="27">(D39-C39)/C39*100</f>
        <v>32.735961768219838</v>
      </c>
      <c r="Y39" s="29">
        <f t="shared" ref="Y39:Y67" si="28">(E39-D39)/D39*100</f>
        <v>3.5703570357035703</v>
      </c>
      <c r="Z39" s="29">
        <f t="shared" ref="Z39:Z67" si="29">(F39-E39)/E39*100</f>
        <v>41.541135573580533</v>
      </c>
      <c r="AA39" s="29">
        <f t="shared" ref="AA39:AA67" si="30">(G39-F39)/F39*100</f>
        <v>10.008186655751125</v>
      </c>
      <c r="AB39" s="29">
        <f t="shared" ref="AB39:AB67" si="31">(H39-G39)/G39*100</f>
        <v>9.4883720930232567</v>
      </c>
      <c r="AC39" s="29">
        <f t="shared" ref="AC39:AD67" si="32">(I39-H39)/H39*100</f>
        <v>-21.053525913338998</v>
      </c>
      <c r="AD39" s="29">
        <f t="shared" si="32"/>
        <v>-81.55402496771417</v>
      </c>
      <c r="AE39" s="551" t="s">
        <v>81</v>
      </c>
    </row>
    <row r="40" spans="1:58" ht="18" customHeight="1">
      <c r="A40" s="26" t="s">
        <v>82</v>
      </c>
      <c r="B40" s="27">
        <v>36438</v>
      </c>
      <c r="C40" s="27">
        <v>39463</v>
      </c>
      <c r="D40" s="27">
        <v>38817</v>
      </c>
      <c r="E40" s="27">
        <v>39244</v>
      </c>
      <c r="F40" s="27">
        <v>39894</v>
      </c>
      <c r="G40" s="27">
        <v>41133</v>
      </c>
      <c r="H40" s="27">
        <v>42304</v>
      </c>
      <c r="I40" s="27">
        <v>44251</v>
      </c>
      <c r="J40" s="27">
        <v>8479</v>
      </c>
      <c r="K40" s="28"/>
      <c r="L40" s="29">
        <f t="shared" si="18"/>
        <v>3.8034498055896244</v>
      </c>
      <c r="M40" s="29">
        <f t="shared" si="19"/>
        <v>3.5071924863268995</v>
      </c>
      <c r="N40" s="29">
        <f t="shared" si="20"/>
        <v>3.2217101282558844</v>
      </c>
      <c r="O40" s="29">
        <f t="shared" si="21"/>
        <v>3.1795878948153047</v>
      </c>
      <c r="P40" s="29">
        <f t="shared" si="22"/>
        <v>3.1018516718695941</v>
      </c>
      <c r="Q40" s="29">
        <f t="shared" si="23"/>
        <v>2.9601840030743944</v>
      </c>
      <c r="R40" s="29">
        <f t="shared" si="24"/>
        <v>2.850147614254511</v>
      </c>
      <c r="S40" s="29">
        <f t="shared" si="25"/>
        <v>2.5985869878623773</v>
      </c>
      <c r="T40" s="29">
        <f t="shared" si="25"/>
        <v>1.5263891239149296</v>
      </c>
      <c r="U40" s="30"/>
      <c r="V40" s="29">
        <v>1.8333240176625119</v>
      </c>
      <c r="W40" s="29">
        <f t="shared" si="26"/>
        <v>8.3017728744717054</v>
      </c>
      <c r="X40" s="29">
        <f t="shared" si="27"/>
        <v>-1.6369764082811749</v>
      </c>
      <c r="Y40" s="29">
        <f t="shared" si="28"/>
        <v>1.1000334904809748</v>
      </c>
      <c r="Z40" s="29">
        <f t="shared" si="29"/>
        <v>1.6563041484048517</v>
      </c>
      <c r="AA40" s="29">
        <f t="shared" si="30"/>
        <v>3.1057301849902244</v>
      </c>
      <c r="AB40" s="29">
        <f t="shared" si="31"/>
        <v>2.8468626163907325</v>
      </c>
      <c r="AC40" s="29">
        <f t="shared" si="32"/>
        <v>4.6024016641452343</v>
      </c>
      <c r="AD40" s="29">
        <f t="shared" si="32"/>
        <v>-80.838851099410178</v>
      </c>
      <c r="AE40" s="551" t="s">
        <v>83</v>
      </c>
      <c r="AJ40" s="41"/>
    </row>
    <row r="41" spans="1:58" ht="18" customHeight="1">
      <c r="A41" s="26" t="s">
        <v>84</v>
      </c>
      <c r="B41" s="27">
        <v>23933</v>
      </c>
      <c r="C41" s="27">
        <v>30306</v>
      </c>
      <c r="D41" s="27">
        <v>34896</v>
      </c>
      <c r="E41" s="27">
        <v>33001</v>
      </c>
      <c r="F41" s="27">
        <v>29580</v>
      </c>
      <c r="G41" s="27">
        <v>34808</v>
      </c>
      <c r="H41" s="27">
        <v>34400</v>
      </c>
      <c r="I41" s="27">
        <v>37073</v>
      </c>
      <c r="J41" s="27">
        <v>5895</v>
      </c>
      <c r="K41" s="28"/>
      <c r="L41" s="29">
        <f t="shared" si="18"/>
        <v>2.4981602776545495</v>
      </c>
      <c r="M41" s="29">
        <f t="shared" si="19"/>
        <v>2.6933830547759423</v>
      </c>
      <c r="N41" s="29">
        <f t="shared" si="20"/>
        <v>2.8962773175571872</v>
      </c>
      <c r="O41" s="29">
        <f t="shared" si="21"/>
        <v>2.6737738282743826</v>
      </c>
      <c r="P41" s="29">
        <f t="shared" si="22"/>
        <v>2.2999140836692882</v>
      </c>
      <c r="Q41" s="29">
        <f t="shared" si="23"/>
        <v>2.5049980497171007</v>
      </c>
      <c r="R41" s="29">
        <f t="shared" si="24"/>
        <v>2.3176313807288951</v>
      </c>
      <c r="S41" s="29">
        <f t="shared" si="25"/>
        <v>2.1770675329602023</v>
      </c>
      <c r="T41" s="29">
        <f t="shared" si="25"/>
        <v>1.0612175829081862</v>
      </c>
      <c r="U41" s="30"/>
      <c r="V41" s="29">
        <v>-5.3470437017994854</v>
      </c>
      <c r="W41" s="29">
        <f t="shared" si="26"/>
        <v>26.628504575272636</v>
      </c>
      <c r="X41" s="29">
        <f t="shared" si="27"/>
        <v>15.145515739457533</v>
      </c>
      <c r="Y41" s="29">
        <f t="shared" si="28"/>
        <v>-5.4304218248509857</v>
      </c>
      <c r="Z41" s="29">
        <f t="shared" si="29"/>
        <v>-10.366352534771673</v>
      </c>
      <c r="AA41" s="29">
        <f t="shared" si="30"/>
        <v>17.674104124408384</v>
      </c>
      <c r="AB41" s="29">
        <f t="shared" si="31"/>
        <v>-1.1721443346357159</v>
      </c>
      <c r="AC41" s="29">
        <f t="shared" si="32"/>
        <v>7.7703488372093021</v>
      </c>
      <c r="AD41" s="29">
        <f t="shared" si="32"/>
        <v>-84.098939929328623</v>
      </c>
      <c r="AE41" s="551" t="s">
        <v>85</v>
      </c>
      <c r="AI41" s="26"/>
      <c r="AJ41" s="15"/>
      <c r="AM41" s="41"/>
    </row>
    <row r="42" spans="1:58" ht="18" customHeight="1">
      <c r="A42" s="26" t="s">
        <v>86</v>
      </c>
      <c r="B42" s="27">
        <v>6766</v>
      </c>
      <c r="C42" s="27">
        <v>10875</v>
      </c>
      <c r="D42" s="27">
        <v>13457</v>
      </c>
      <c r="E42" s="27">
        <v>12575</v>
      </c>
      <c r="F42" s="27">
        <v>16185</v>
      </c>
      <c r="G42" s="27">
        <v>19092</v>
      </c>
      <c r="H42" s="27">
        <v>22202</v>
      </c>
      <c r="I42" s="27">
        <v>21605</v>
      </c>
      <c r="J42" s="27">
        <v>2946</v>
      </c>
      <c r="K42" s="28"/>
      <c r="L42" s="29">
        <f t="shared" si="18"/>
        <v>0.70624461783356385</v>
      </c>
      <c r="M42" s="29">
        <f t="shared" si="19"/>
        <v>0.96649312745622562</v>
      </c>
      <c r="N42" s="29">
        <f t="shared" si="20"/>
        <v>1.116896029985301</v>
      </c>
      <c r="O42" s="29">
        <f t="shared" si="21"/>
        <v>1.0188390015620847</v>
      </c>
      <c r="P42" s="29">
        <f t="shared" si="22"/>
        <v>1.2584215498373033</v>
      </c>
      <c r="Q42" s="29">
        <f t="shared" si="23"/>
        <v>1.3739779006320068</v>
      </c>
      <c r="R42" s="29">
        <f t="shared" si="24"/>
        <v>1.4958154626436899</v>
      </c>
      <c r="S42" s="29">
        <f t="shared" si="25"/>
        <v>1.2687277546895361</v>
      </c>
      <c r="T42" s="29">
        <f t="shared" si="25"/>
        <v>0.53033876153477799</v>
      </c>
      <c r="U42" s="30"/>
      <c r="V42" s="29">
        <v>11.742361684558217</v>
      </c>
      <c r="W42" s="29">
        <f t="shared" si="26"/>
        <v>60.730121194206319</v>
      </c>
      <c r="X42" s="29">
        <f t="shared" si="27"/>
        <v>23.742528735632185</v>
      </c>
      <c r="Y42" s="29">
        <f t="shared" si="28"/>
        <v>-6.5542097049862527</v>
      </c>
      <c r="Z42" s="29">
        <f t="shared" si="29"/>
        <v>28.707753479125248</v>
      </c>
      <c r="AA42" s="29">
        <f t="shared" si="30"/>
        <v>17.961075069508805</v>
      </c>
      <c r="AB42" s="29">
        <f t="shared" si="31"/>
        <v>16.2895453593128</v>
      </c>
      <c r="AC42" s="29">
        <f t="shared" si="32"/>
        <v>-2.6889469417169622</v>
      </c>
      <c r="AD42" s="29">
        <f t="shared" si="32"/>
        <v>-86.364267530664193</v>
      </c>
      <c r="AE42" s="551" t="s">
        <v>87</v>
      </c>
      <c r="AG42" s="15"/>
      <c r="AH42" s="42"/>
      <c r="AI42" s="549"/>
      <c r="AL42" s="26"/>
    </row>
    <row r="43" spans="1:58" ht="18" customHeight="1">
      <c r="A43" s="26" t="s">
        <v>88</v>
      </c>
      <c r="B43" s="27">
        <v>1857</v>
      </c>
      <c r="C43" s="27">
        <v>2693</v>
      </c>
      <c r="D43" s="27">
        <v>3105</v>
      </c>
      <c r="E43" s="27">
        <v>3987</v>
      </c>
      <c r="F43" s="27">
        <v>6251</v>
      </c>
      <c r="G43" s="27">
        <v>6241</v>
      </c>
      <c r="H43" s="27">
        <v>5340</v>
      </c>
      <c r="I43" s="27">
        <v>6095</v>
      </c>
      <c r="J43" s="27">
        <v>2882</v>
      </c>
      <c r="K43" s="28"/>
      <c r="L43" s="29">
        <f t="shared" si="18"/>
        <v>0.19383627775893114</v>
      </c>
      <c r="M43" s="29">
        <f t="shared" si="19"/>
        <v>0.23933480388410258</v>
      </c>
      <c r="N43" s="29">
        <f t="shared" si="20"/>
        <v>0.25770693119598426</v>
      </c>
      <c r="O43" s="29">
        <f t="shared" si="21"/>
        <v>0.32303070371594689</v>
      </c>
      <c r="P43" s="29">
        <f t="shared" si="22"/>
        <v>0.48602984912159297</v>
      </c>
      <c r="Q43" s="29">
        <f t="shared" si="23"/>
        <v>0.44914079603207391</v>
      </c>
      <c r="R43" s="29">
        <f t="shared" si="24"/>
        <v>0.35977184805500872</v>
      </c>
      <c r="S43" s="29">
        <f t="shared" si="25"/>
        <v>0.35792157671060965</v>
      </c>
      <c r="T43" s="29">
        <f t="shared" si="25"/>
        <v>0.51881748497733549</v>
      </c>
      <c r="U43" s="30"/>
      <c r="V43" s="29">
        <v>0.81433224755700329</v>
      </c>
      <c r="W43" s="29">
        <f t="shared" si="26"/>
        <v>45.018847603661818</v>
      </c>
      <c r="X43" s="29">
        <f t="shared" si="27"/>
        <v>15.298923134051243</v>
      </c>
      <c r="Y43" s="29">
        <f t="shared" si="28"/>
        <v>28.405797101449277</v>
      </c>
      <c r="Z43" s="29">
        <f t="shared" si="29"/>
        <v>56.784549786807126</v>
      </c>
      <c r="AA43" s="29">
        <f t="shared" si="30"/>
        <v>-0.15997440409534475</v>
      </c>
      <c r="AB43" s="29">
        <f t="shared" si="31"/>
        <v>-14.436788976125619</v>
      </c>
      <c r="AC43" s="29">
        <f t="shared" si="32"/>
        <v>14.138576779026218</v>
      </c>
      <c r="AD43" s="29">
        <f t="shared" si="32"/>
        <v>-52.715340442986061</v>
      </c>
      <c r="AE43" s="551" t="s">
        <v>89</v>
      </c>
      <c r="AI43" s="550"/>
      <c r="AL43" s="26"/>
    </row>
    <row r="44" spans="1:58" ht="18" customHeight="1">
      <c r="A44" s="26" t="s">
        <v>90</v>
      </c>
      <c r="B44" s="27">
        <v>2265</v>
      </c>
      <c r="C44" s="27">
        <v>3040</v>
      </c>
      <c r="D44" s="27">
        <v>5406</v>
      </c>
      <c r="E44" s="27">
        <v>6907</v>
      </c>
      <c r="F44" s="27">
        <v>9551</v>
      </c>
      <c r="G44" s="27">
        <v>10532</v>
      </c>
      <c r="H44" s="27">
        <v>11035</v>
      </c>
      <c r="I44" s="27">
        <v>8461</v>
      </c>
      <c r="J44" s="27">
        <v>1756</v>
      </c>
      <c r="K44" s="28"/>
      <c r="L44" s="29">
        <f t="shared" si="18"/>
        <v>0.23642389290467369</v>
      </c>
      <c r="M44" s="29">
        <f t="shared" si="19"/>
        <v>0.2701737110314415</v>
      </c>
      <c r="N44" s="29">
        <f t="shared" si="20"/>
        <v>0.44868395170547215</v>
      </c>
      <c r="O44" s="29">
        <f t="shared" si="21"/>
        <v>0.55961200666316657</v>
      </c>
      <c r="P44" s="29">
        <f t="shared" si="22"/>
        <v>0.74261255622465761</v>
      </c>
      <c r="Q44" s="29">
        <f t="shared" si="23"/>
        <v>0.75794758272869767</v>
      </c>
      <c r="R44" s="29">
        <f t="shared" si="24"/>
        <v>0.74346111297509765</v>
      </c>
      <c r="S44" s="29">
        <f t="shared" si="25"/>
        <v>0.4968620936092647</v>
      </c>
      <c r="T44" s="29">
        <f t="shared" si="25"/>
        <v>0.3161150255448304</v>
      </c>
      <c r="U44" s="30"/>
      <c r="V44" s="29">
        <v>37.106537530266344</v>
      </c>
      <c r="W44" s="29">
        <f t="shared" si="26"/>
        <v>34.216335540838855</v>
      </c>
      <c r="X44" s="29">
        <f t="shared" si="27"/>
        <v>77.828947368421055</v>
      </c>
      <c r="Y44" s="29">
        <f t="shared" si="28"/>
        <v>27.765445800961896</v>
      </c>
      <c r="Z44" s="29">
        <f t="shared" si="29"/>
        <v>38.280005791226287</v>
      </c>
      <c r="AA44" s="29">
        <f t="shared" si="30"/>
        <v>10.27117579311067</v>
      </c>
      <c r="AB44" s="29">
        <f t="shared" si="31"/>
        <v>4.7759210026585643</v>
      </c>
      <c r="AC44" s="29">
        <f t="shared" si="32"/>
        <v>-23.325781603987313</v>
      </c>
      <c r="AD44" s="29">
        <f t="shared" si="32"/>
        <v>-79.245952015128239</v>
      </c>
      <c r="AE44" s="551" t="s">
        <v>91</v>
      </c>
      <c r="AH44" s="42"/>
      <c r="AI44" s="26"/>
      <c r="AK44" s="15"/>
      <c r="AL44" s="15"/>
      <c r="AM44" s="15"/>
    </row>
    <row r="45" spans="1:58" ht="18" customHeight="1">
      <c r="A45" s="26" t="s">
        <v>92</v>
      </c>
      <c r="B45" s="27">
        <v>9625</v>
      </c>
      <c r="C45" s="27">
        <v>11143</v>
      </c>
      <c r="D45" s="27">
        <v>18638</v>
      </c>
      <c r="E45" s="27">
        <v>15881</v>
      </c>
      <c r="F45" s="27">
        <v>14782</v>
      </c>
      <c r="G45" s="27">
        <v>14502</v>
      </c>
      <c r="H45" s="27">
        <v>13877</v>
      </c>
      <c r="I45" s="27">
        <v>14990</v>
      </c>
      <c r="J45" s="27">
        <v>2117</v>
      </c>
      <c r="K45" s="28"/>
      <c r="L45" s="29">
        <f t="shared" si="18"/>
        <v>1.0046710680827746</v>
      </c>
      <c r="M45" s="29">
        <f t="shared" si="19"/>
        <v>0.99031107303399735</v>
      </c>
      <c r="N45" s="29">
        <f t="shared" si="20"/>
        <v>1.5469055663867164</v>
      </c>
      <c r="O45" s="29">
        <f t="shared" si="21"/>
        <v>1.2866944082550671</v>
      </c>
      <c r="P45" s="29">
        <f t="shared" si="22"/>
        <v>1.1493350231507578</v>
      </c>
      <c r="Q45" s="29">
        <f t="shared" si="23"/>
        <v>1.0436532325039474</v>
      </c>
      <c r="R45" s="29">
        <f t="shared" si="24"/>
        <v>0.93493519390624635</v>
      </c>
      <c r="S45" s="29">
        <f t="shared" si="25"/>
        <v>0.88026980063856253</v>
      </c>
      <c r="T45" s="29">
        <f t="shared" si="25"/>
        <v>0.38110222612665484</v>
      </c>
      <c r="U45" s="30"/>
      <c r="V45" s="29">
        <v>20.463078848560702</v>
      </c>
      <c r="W45" s="29">
        <f t="shared" si="26"/>
        <v>15.771428571428572</v>
      </c>
      <c r="X45" s="29">
        <f t="shared" si="27"/>
        <v>67.261958180023328</v>
      </c>
      <c r="Y45" s="29">
        <f t="shared" si="28"/>
        <v>-14.792359695246271</v>
      </c>
      <c r="Z45" s="29">
        <f t="shared" si="29"/>
        <v>-6.9202191297777214</v>
      </c>
      <c r="AA45" s="29">
        <f t="shared" si="30"/>
        <v>-1.8941956433500204</v>
      </c>
      <c r="AB45" s="29">
        <f t="shared" si="31"/>
        <v>-4.3097503792580341</v>
      </c>
      <c r="AC45" s="29">
        <f t="shared" si="32"/>
        <v>8.0204655184838227</v>
      </c>
      <c r="AD45" s="29">
        <f t="shared" si="32"/>
        <v>-85.877251501000657</v>
      </c>
      <c r="AE45" s="551" t="s">
        <v>93</v>
      </c>
      <c r="AG45" s="15"/>
      <c r="AI45" s="26"/>
      <c r="AK45" s="41"/>
      <c r="AL45" s="41"/>
      <c r="AM45" s="41"/>
    </row>
    <row r="46" spans="1:58" ht="18" customHeight="1">
      <c r="A46" s="26" t="s">
        <v>94</v>
      </c>
      <c r="B46" s="27">
        <v>8860</v>
      </c>
      <c r="C46" s="27">
        <v>12400</v>
      </c>
      <c r="D46" s="27">
        <v>13753</v>
      </c>
      <c r="E46" s="27">
        <v>14153</v>
      </c>
      <c r="F46" s="27">
        <v>17927</v>
      </c>
      <c r="G46" s="27">
        <v>14070</v>
      </c>
      <c r="H46" s="27">
        <v>12792</v>
      </c>
      <c r="I46" s="27">
        <v>13623</v>
      </c>
      <c r="J46" s="27">
        <v>2271</v>
      </c>
      <c r="K46" s="28"/>
      <c r="L46" s="29">
        <f t="shared" si="18"/>
        <v>0.92481928968450733</v>
      </c>
      <c r="M46" s="29">
        <f t="shared" si="19"/>
        <v>1.1020243476282481</v>
      </c>
      <c r="N46" s="29">
        <f t="shared" si="20"/>
        <v>1.1414632607853048</v>
      </c>
      <c r="O46" s="29">
        <f t="shared" si="21"/>
        <v>1.1466901303465753</v>
      </c>
      <c r="P46" s="29">
        <f t="shared" si="22"/>
        <v>1.393866118253527</v>
      </c>
      <c r="Q46" s="29">
        <f t="shared" si="23"/>
        <v>1.0125638519742475</v>
      </c>
      <c r="R46" s="29">
        <f t="shared" si="24"/>
        <v>0.86183548320593106</v>
      </c>
      <c r="S46" s="29">
        <f t="shared" si="25"/>
        <v>0.79999436251495248</v>
      </c>
      <c r="T46" s="29">
        <f t="shared" si="25"/>
        <v>0.40882529784300103</v>
      </c>
      <c r="U46" s="30"/>
      <c r="V46" s="29">
        <v>-8.3764219234746644</v>
      </c>
      <c r="W46" s="29">
        <f t="shared" si="26"/>
        <v>39.954853273137694</v>
      </c>
      <c r="X46" s="29">
        <f t="shared" si="27"/>
        <v>10.911290322580646</v>
      </c>
      <c r="Y46" s="29">
        <f t="shared" si="28"/>
        <v>2.9084563367992438</v>
      </c>
      <c r="Z46" s="29">
        <f t="shared" si="29"/>
        <v>26.665724581360845</v>
      </c>
      <c r="AA46" s="29">
        <f t="shared" si="30"/>
        <v>-21.515033190160093</v>
      </c>
      <c r="AB46" s="29">
        <f t="shared" si="31"/>
        <v>-9.0831556503198296</v>
      </c>
      <c r="AC46" s="29">
        <f t="shared" si="32"/>
        <v>6.4962476547842405</v>
      </c>
      <c r="AD46" s="29">
        <f t="shared" si="32"/>
        <v>-83.329663069808419</v>
      </c>
      <c r="AE46" s="551" t="s">
        <v>95</v>
      </c>
      <c r="AH46" s="42"/>
      <c r="AI46" s="26"/>
    </row>
    <row r="47" spans="1:58" ht="18" customHeight="1">
      <c r="A47" s="26" t="s">
        <v>96</v>
      </c>
      <c r="B47" s="27">
        <v>4430</v>
      </c>
      <c r="C47" s="27">
        <v>6522</v>
      </c>
      <c r="D47" s="27">
        <v>7341</v>
      </c>
      <c r="E47" s="27">
        <v>9177</v>
      </c>
      <c r="F47" s="27">
        <v>9505</v>
      </c>
      <c r="G47" s="27">
        <v>10326</v>
      </c>
      <c r="H47" s="27">
        <v>12439</v>
      </c>
      <c r="I47" s="27">
        <v>14972</v>
      </c>
      <c r="J47" s="27">
        <v>2628</v>
      </c>
      <c r="K47" s="28"/>
      <c r="L47" s="29">
        <f t="shared" si="18"/>
        <v>0.46240964484225366</v>
      </c>
      <c r="M47" s="29">
        <f t="shared" si="19"/>
        <v>0.57962925767995432</v>
      </c>
      <c r="N47" s="29">
        <f t="shared" si="20"/>
        <v>0.60928392332036085</v>
      </c>
      <c r="O47" s="29">
        <f t="shared" si="21"/>
        <v>0.74352966340638194</v>
      </c>
      <c r="P47" s="29">
        <f t="shared" si="22"/>
        <v>0.73903594879231183</v>
      </c>
      <c r="Q47" s="29">
        <f t="shared" si="23"/>
        <v>0.74312255405018346</v>
      </c>
      <c r="R47" s="29">
        <f t="shared" si="24"/>
        <v>0.83805281235135831</v>
      </c>
      <c r="S47" s="29">
        <f t="shared" si="25"/>
        <v>0.87921277219216543</v>
      </c>
      <c r="T47" s="29">
        <f t="shared" si="25"/>
        <v>0.4730924186399853</v>
      </c>
      <c r="U47" s="30"/>
      <c r="V47" s="29">
        <v>-16.493873704052781</v>
      </c>
      <c r="W47" s="29">
        <f t="shared" si="26"/>
        <v>47.223476297968396</v>
      </c>
      <c r="X47" s="29">
        <f t="shared" si="27"/>
        <v>12.557497700091997</v>
      </c>
      <c r="Y47" s="29">
        <f t="shared" si="28"/>
        <v>25.010216591744992</v>
      </c>
      <c r="Z47" s="29">
        <f t="shared" si="29"/>
        <v>3.5741527732374414</v>
      </c>
      <c r="AA47" s="29">
        <f t="shared" si="30"/>
        <v>8.6375591793792736</v>
      </c>
      <c r="AB47" s="29">
        <f t="shared" si="31"/>
        <v>20.462909161340306</v>
      </c>
      <c r="AC47" s="29">
        <f t="shared" si="32"/>
        <v>20.363373261516198</v>
      </c>
      <c r="AD47" s="29">
        <f t="shared" si="32"/>
        <v>-82.447234838364949</v>
      </c>
      <c r="AE47" s="551" t="s">
        <v>97</v>
      </c>
      <c r="AI47" s="26"/>
      <c r="AJ47" s="41"/>
    </row>
    <row r="48" spans="1:58" ht="18" customHeight="1">
      <c r="A48" s="26" t="s">
        <v>98</v>
      </c>
      <c r="B48" s="27">
        <v>6896</v>
      </c>
      <c r="C48" s="27">
        <v>11705</v>
      </c>
      <c r="D48" s="27">
        <v>12281</v>
      </c>
      <c r="E48" s="27">
        <v>15910</v>
      </c>
      <c r="F48" s="27">
        <v>16451</v>
      </c>
      <c r="G48" s="27">
        <v>26037</v>
      </c>
      <c r="H48" s="27">
        <v>32436</v>
      </c>
      <c r="I48" s="27">
        <v>29211</v>
      </c>
      <c r="J48" s="27">
        <v>3468</v>
      </c>
      <c r="K48" s="28"/>
      <c r="L48" s="29">
        <f t="shared" si="18"/>
        <v>0.71981420109078575</v>
      </c>
      <c r="M48" s="29">
        <f t="shared" si="19"/>
        <v>1.0402576604023099</v>
      </c>
      <c r="N48" s="29">
        <f t="shared" si="20"/>
        <v>1.0192910859960975</v>
      </c>
      <c r="O48" s="29">
        <f t="shared" si="21"/>
        <v>1.2890440170857074</v>
      </c>
      <c r="P48" s="29">
        <f t="shared" si="22"/>
        <v>1.2791036710765198</v>
      </c>
      <c r="Q48" s="29">
        <f t="shared" si="23"/>
        <v>1.8737828723421099</v>
      </c>
      <c r="R48" s="29">
        <f t="shared" si="24"/>
        <v>2.1853107984105358</v>
      </c>
      <c r="S48" s="29">
        <f t="shared" si="25"/>
        <v>1.7153809970949334</v>
      </c>
      <c r="T48" s="29">
        <f t="shared" si="25"/>
        <v>0.62430917345641901</v>
      </c>
      <c r="U48" s="30"/>
      <c r="V48" s="29">
        <v>10.975217251367878</v>
      </c>
      <c r="W48" s="29">
        <f t="shared" si="26"/>
        <v>69.736078886310906</v>
      </c>
      <c r="X48" s="29">
        <f t="shared" si="27"/>
        <v>4.9209739427595043</v>
      </c>
      <c r="Y48" s="29">
        <f t="shared" si="28"/>
        <v>29.549710935591566</v>
      </c>
      <c r="Z48" s="29">
        <f t="shared" si="29"/>
        <v>3.4003771213073541</v>
      </c>
      <c r="AA48" s="29">
        <f t="shared" si="30"/>
        <v>58.270013980913014</v>
      </c>
      <c r="AB48" s="29">
        <f t="shared" si="31"/>
        <v>24.576564120290357</v>
      </c>
      <c r="AC48" s="29">
        <f t="shared" si="32"/>
        <v>-9.942656307806141</v>
      </c>
      <c r="AD48" s="29">
        <f t="shared" si="32"/>
        <v>-88.12776009037691</v>
      </c>
      <c r="AE48" s="551" t="s">
        <v>99</v>
      </c>
      <c r="AI48" s="26"/>
    </row>
    <row r="49" spans="1:62" ht="18" customHeight="1">
      <c r="A49" s="26" t="s">
        <v>100</v>
      </c>
      <c r="B49" s="27">
        <v>2345</v>
      </c>
      <c r="C49" s="27">
        <v>3456</v>
      </c>
      <c r="D49" s="27">
        <v>5560</v>
      </c>
      <c r="E49" s="27">
        <v>7722</v>
      </c>
      <c r="F49" s="27">
        <v>10025</v>
      </c>
      <c r="G49" s="27">
        <v>10412</v>
      </c>
      <c r="H49" s="27">
        <v>10984</v>
      </c>
      <c r="I49" s="27">
        <v>12096</v>
      </c>
      <c r="J49" s="27">
        <v>2667</v>
      </c>
      <c r="K49" s="28"/>
      <c r="L49" s="29">
        <f t="shared" si="18"/>
        <v>0.24477440567834868</v>
      </c>
      <c r="M49" s="29">
        <f t="shared" si="19"/>
        <v>0.30714485043574402</v>
      </c>
      <c r="N49" s="29">
        <f t="shared" si="20"/>
        <v>0.4614655515135821</v>
      </c>
      <c r="O49" s="29">
        <f t="shared" si="21"/>
        <v>0.62564411690357213</v>
      </c>
      <c r="P49" s="29">
        <f t="shared" si="22"/>
        <v>0.77946716324491594</v>
      </c>
      <c r="Q49" s="29">
        <f t="shared" si="23"/>
        <v>0.74931164369267</v>
      </c>
      <c r="R49" s="29">
        <f t="shared" si="24"/>
        <v>0.74002508970715652</v>
      </c>
      <c r="S49" s="29">
        <f t="shared" si="25"/>
        <v>0.71032311597892284</v>
      </c>
      <c r="T49" s="29">
        <f t="shared" si="25"/>
        <v>0.48011319654217688</v>
      </c>
      <c r="U49" s="30"/>
      <c r="V49" s="29">
        <v>-5.6338028169014089</v>
      </c>
      <c r="W49" s="29">
        <f t="shared" si="26"/>
        <v>47.377398720682301</v>
      </c>
      <c r="X49" s="29">
        <f t="shared" si="27"/>
        <v>60.879629629629626</v>
      </c>
      <c r="Y49" s="29">
        <f t="shared" si="28"/>
        <v>38.884892086330936</v>
      </c>
      <c r="Z49" s="29">
        <f t="shared" si="29"/>
        <v>29.823879823879825</v>
      </c>
      <c r="AA49" s="29">
        <f t="shared" si="30"/>
        <v>3.8603491271820451</v>
      </c>
      <c r="AB49" s="29">
        <f t="shared" si="31"/>
        <v>5.4936611601997694</v>
      </c>
      <c r="AC49" s="29">
        <f t="shared" si="32"/>
        <v>10.1238164603059</v>
      </c>
      <c r="AD49" s="29">
        <f t="shared" si="32"/>
        <v>-77.951388888888886</v>
      </c>
      <c r="AE49" s="551" t="s">
        <v>71</v>
      </c>
      <c r="AH49" s="15"/>
      <c r="AI49" s="41"/>
      <c r="AK49" s="41"/>
      <c r="AL49" s="41"/>
      <c r="AM49" s="41"/>
    </row>
    <row r="50" spans="1:62" s="15" customFormat="1" ht="18" customHeight="1">
      <c r="A50" s="31" t="s">
        <v>101</v>
      </c>
      <c r="B50" s="32">
        <f t="shared" ref="B50:J50" si="33">SUM(B51:B52)</f>
        <v>7095</v>
      </c>
      <c r="C50" s="32">
        <f t="shared" si="33"/>
        <v>8271</v>
      </c>
      <c r="D50" s="32">
        <f t="shared" si="33"/>
        <v>8149</v>
      </c>
      <c r="E50" s="32">
        <f t="shared" si="33"/>
        <v>9276</v>
      </c>
      <c r="F50" s="32">
        <f t="shared" si="33"/>
        <v>10752</v>
      </c>
      <c r="G50" s="32">
        <f t="shared" si="33"/>
        <v>14674</v>
      </c>
      <c r="H50" s="32">
        <f t="shared" si="33"/>
        <v>15354</v>
      </c>
      <c r="I50" s="32">
        <f t="shared" si="33"/>
        <v>18695</v>
      </c>
      <c r="J50" s="32">
        <f t="shared" si="33"/>
        <v>6458</v>
      </c>
      <c r="K50" s="33"/>
      <c r="L50" s="21">
        <f t="shared" si="18"/>
        <v>0.74058610161530236</v>
      </c>
      <c r="M50" s="21">
        <f t="shared" si="19"/>
        <v>0.73506801445429348</v>
      </c>
      <c r="N50" s="21">
        <f t="shared" si="20"/>
        <v>0.6763458236122627</v>
      </c>
      <c r="O50" s="21">
        <f t="shared" si="21"/>
        <v>0.75155074182822246</v>
      </c>
      <c r="P50" s="21">
        <f t="shared" si="22"/>
        <v>0.83599311114307595</v>
      </c>
      <c r="Q50" s="21">
        <f t="shared" si="23"/>
        <v>1.0560314117889202</v>
      </c>
      <c r="R50" s="21">
        <f t="shared" si="24"/>
        <v>1.0344451226660305</v>
      </c>
      <c r="S50" s="21">
        <f t="shared" si="25"/>
        <v>1.0978414891886543</v>
      </c>
      <c r="T50" s="21">
        <f t="shared" si="25"/>
        <v>1.1625688126244389</v>
      </c>
      <c r="U50" s="24"/>
      <c r="V50" s="21">
        <v>9.7447795823665881</v>
      </c>
      <c r="W50" s="21">
        <f t="shared" si="26"/>
        <v>16.575052854122621</v>
      </c>
      <c r="X50" s="21">
        <f t="shared" si="27"/>
        <v>-1.4750332487002782</v>
      </c>
      <c r="Y50" s="21">
        <f t="shared" si="28"/>
        <v>13.829917781322862</v>
      </c>
      <c r="Z50" s="21">
        <f t="shared" si="29"/>
        <v>15.91203104786546</v>
      </c>
      <c r="AA50" s="21">
        <f t="shared" si="30"/>
        <v>36.476934523809526</v>
      </c>
      <c r="AB50" s="21">
        <f t="shared" si="31"/>
        <v>4.6340466130571079</v>
      </c>
      <c r="AC50" s="21">
        <f t="shared" si="32"/>
        <v>21.759802005991922</v>
      </c>
      <c r="AD50" s="21">
        <f t="shared" si="32"/>
        <v>-65.456004279219044</v>
      </c>
      <c r="AE50" s="25" t="s">
        <v>102</v>
      </c>
      <c r="AJ50" s="2"/>
      <c r="AK50" s="2"/>
      <c r="AL50" s="2"/>
      <c r="AM50" s="2"/>
      <c r="AS50" s="2"/>
      <c r="AT50" s="2"/>
      <c r="AU50" s="2"/>
      <c r="AV50" s="2"/>
      <c r="BF50" s="714"/>
    </row>
    <row r="51" spans="1:62" ht="18" customHeight="1">
      <c r="A51" s="26" t="s">
        <v>103</v>
      </c>
      <c r="B51" s="27">
        <v>3967</v>
      </c>
      <c r="C51" s="27">
        <v>4503</v>
      </c>
      <c r="D51" s="27">
        <v>3699</v>
      </c>
      <c r="E51" s="27">
        <v>4170</v>
      </c>
      <c r="F51" s="27">
        <v>4656</v>
      </c>
      <c r="G51" s="27">
        <v>7050</v>
      </c>
      <c r="H51" s="27">
        <v>7751</v>
      </c>
      <c r="I51" s="27">
        <v>9545</v>
      </c>
      <c r="J51" s="27">
        <v>2685</v>
      </c>
      <c r="K51" s="28"/>
      <c r="L51" s="29">
        <f t="shared" si="18"/>
        <v>0.4140810521646095</v>
      </c>
      <c r="M51" s="29">
        <f t="shared" si="19"/>
        <v>0.40019480946532271</v>
      </c>
      <c r="N51" s="29">
        <f t="shared" si="20"/>
        <v>0.30700738759869428</v>
      </c>
      <c r="O51" s="29">
        <f t="shared" si="21"/>
        <v>0.33785754564722809</v>
      </c>
      <c r="P51" s="29">
        <f t="shared" si="22"/>
        <v>0.36201487402177845</v>
      </c>
      <c r="Q51" s="29">
        <f t="shared" si="23"/>
        <v>0.50736141836662729</v>
      </c>
      <c r="R51" s="29">
        <f t="shared" si="24"/>
        <v>0.52220816372179257</v>
      </c>
      <c r="S51" s="29">
        <f t="shared" si="25"/>
        <v>0.56051869560340761</v>
      </c>
      <c r="T51" s="29">
        <f t="shared" si="25"/>
        <v>0.48335355557395759</v>
      </c>
      <c r="U51" s="30"/>
      <c r="V51" s="29">
        <v>7.681867535287731</v>
      </c>
      <c r="W51" s="29">
        <f t="shared" si="26"/>
        <v>13.511469624401313</v>
      </c>
      <c r="X51" s="29">
        <f t="shared" si="27"/>
        <v>-17.854763491005997</v>
      </c>
      <c r="Y51" s="29">
        <f t="shared" si="28"/>
        <v>12.73317112733171</v>
      </c>
      <c r="Z51" s="29">
        <f t="shared" si="29"/>
        <v>11.654676258992806</v>
      </c>
      <c r="AA51" s="29">
        <f t="shared" si="30"/>
        <v>51.417525773195869</v>
      </c>
      <c r="AB51" s="29">
        <f t="shared" si="31"/>
        <v>9.9432624113475168</v>
      </c>
      <c r="AC51" s="29">
        <f t="shared" si="32"/>
        <v>23.145400593471809</v>
      </c>
      <c r="AD51" s="29">
        <f t="shared" si="32"/>
        <v>-71.870089051859608</v>
      </c>
      <c r="AE51" s="551" t="s">
        <v>104</v>
      </c>
      <c r="AG51" s="15"/>
      <c r="AH51" s="15"/>
      <c r="AI51" s="15"/>
      <c r="AJ51" s="41"/>
    </row>
    <row r="52" spans="1:62" ht="18" customHeight="1">
      <c r="A52" s="26" t="s">
        <v>105</v>
      </c>
      <c r="B52" s="27">
        <v>3128</v>
      </c>
      <c r="C52" s="27">
        <v>3768</v>
      </c>
      <c r="D52" s="27">
        <v>4450</v>
      </c>
      <c r="E52" s="27">
        <v>5106</v>
      </c>
      <c r="F52" s="27">
        <v>6096</v>
      </c>
      <c r="G52" s="27">
        <v>7624</v>
      </c>
      <c r="H52" s="27">
        <v>7603</v>
      </c>
      <c r="I52" s="27">
        <v>9150</v>
      </c>
      <c r="J52" s="27">
        <v>3773</v>
      </c>
      <c r="K52" s="28"/>
      <c r="L52" s="29">
        <f t="shared" si="18"/>
        <v>0.32650504945069281</v>
      </c>
      <c r="M52" s="29">
        <f t="shared" si="19"/>
        <v>0.33487320498897089</v>
      </c>
      <c r="N52" s="29">
        <f t="shared" si="20"/>
        <v>0.36933843601356842</v>
      </c>
      <c r="O52" s="29">
        <f t="shared" si="21"/>
        <v>0.41369319618099443</v>
      </c>
      <c r="P52" s="29">
        <f t="shared" si="22"/>
        <v>0.4739782371212975</v>
      </c>
      <c r="Q52" s="29">
        <f t="shared" si="23"/>
        <v>0.54866999342229306</v>
      </c>
      <c r="R52" s="29">
        <f t="shared" si="24"/>
        <v>0.51223695894423804</v>
      </c>
      <c r="S52" s="29">
        <f t="shared" si="25"/>
        <v>0.53732279358524671</v>
      </c>
      <c r="T52" s="29">
        <f t="shared" si="25"/>
        <v>0.67921525705048114</v>
      </c>
      <c r="U52" s="30"/>
      <c r="V52" s="29">
        <v>12.47752606975908</v>
      </c>
      <c r="W52" s="29">
        <f t="shared" si="26"/>
        <v>20.460358056265985</v>
      </c>
      <c r="X52" s="29">
        <f t="shared" si="27"/>
        <v>18.099787685774945</v>
      </c>
      <c r="Y52" s="29">
        <f t="shared" si="28"/>
        <v>14.741573033707866</v>
      </c>
      <c r="Z52" s="29">
        <f t="shared" si="29"/>
        <v>19.388954171562865</v>
      </c>
      <c r="AA52" s="29">
        <f t="shared" si="30"/>
        <v>25.065616797900265</v>
      </c>
      <c r="AB52" s="29">
        <f t="shared" si="31"/>
        <v>-0.27544596012591815</v>
      </c>
      <c r="AC52" s="29">
        <f t="shared" si="32"/>
        <v>20.347231356043665</v>
      </c>
      <c r="AD52" s="29">
        <f t="shared" si="32"/>
        <v>-58.765027322404372</v>
      </c>
      <c r="AE52" s="551" t="s">
        <v>71</v>
      </c>
      <c r="AJ52" s="15"/>
    </row>
    <row r="53" spans="1:62" s="15" customFormat="1" ht="18" customHeight="1">
      <c r="A53" s="31" t="s">
        <v>106</v>
      </c>
      <c r="B53" s="32">
        <f t="shared" ref="B53:H53" si="34">SUM(B54:B57)</f>
        <v>26774</v>
      </c>
      <c r="C53" s="32">
        <f t="shared" si="34"/>
        <v>32970</v>
      </c>
      <c r="D53" s="32">
        <f t="shared" si="34"/>
        <v>41044</v>
      </c>
      <c r="E53" s="32">
        <f t="shared" si="34"/>
        <v>46602</v>
      </c>
      <c r="F53" s="32">
        <f t="shared" si="34"/>
        <v>50458</v>
      </c>
      <c r="G53" s="32">
        <f t="shared" si="34"/>
        <v>61973</v>
      </c>
      <c r="H53" s="32">
        <f t="shared" si="34"/>
        <v>68764</v>
      </c>
      <c r="I53" s="32">
        <f>SUM(I54:I57)</f>
        <v>84794</v>
      </c>
      <c r="J53" s="32">
        <f>SUM(J54:J57)</f>
        <v>32060</v>
      </c>
      <c r="K53" s="33"/>
      <c r="L53" s="21">
        <f t="shared" si="18"/>
        <v>2.7947078625296835</v>
      </c>
      <c r="M53" s="21">
        <f t="shared" si="19"/>
        <v>2.9301405436534949</v>
      </c>
      <c r="N53" s="21">
        <f t="shared" si="20"/>
        <v>3.4065453410653714</v>
      </c>
      <c r="O53" s="21">
        <f t="shared" si="21"/>
        <v>3.7757403698446343</v>
      </c>
      <c r="P53" s="21">
        <f t="shared" si="22"/>
        <v>3.9232273439413436</v>
      </c>
      <c r="Q53" s="21">
        <f t="shared" si="23"/>
        <v>4.4599587489978711</v>
      </c>
      <c r="R53" s="21">
        <f t="shared" si="24"/>
        <v>4.6328373332686548</v>
      </c>
      <c r="S53" s="21">
        <f t="shared" si="25"/>
        <v>4.9794261157669304</v>
      </c>
      <c r="T53" s="21">
        <f t="shared" si="25"/>
        <v>5.7714394754938851</v>
      </c>
      <c r="U53" s="24"/>
      <c r="V53" s="21">
        <v>13.190158112792764</v>
      </c>
      <c r="W53" s="21">
        <f t="shared" si="26"/>
        <v>23.141854037499066</v>
      </c>
      <c r="X53" s="21">
        <f t="shared" si="27"/>
        <v>24.488929329693661</v>
      </c>
      <c r="Y53" s="21">
        <f t="shared" si="28"/>
        <v>13.541565149595556</v>
      </c>
      <c r="Z53" s="21">
        <f t="shared" si="29"/>
        <v>8.2743229904295958</v>
      </c>
      <c r="AA53" s="21">
        <f t="shared" si="30"/>
        <v>22.82096000634191</v>
      </c>
      <c r="AB53" s="21">
        <f t="shared" si="31"/>
        <v>10.95799783776806</v>
      </c>
      <c r="AC53" s="21">
        <f t="shared" si="32"/>
        <v>23.311616543540225</v>
      </c>
      <c r="AD53" s="21">
        <f t="shared" si="32"/>
        <v>-62.190721041583132</v>
      </c>
      <c r="AE53" s="25" t="s">
        <v>107</v>
      </c>
      <c r="AJ53" s="2"/>
      <c r="AK53" s="2"/>
      <c r="AL53" s="2"/>
      <c r="AM53" s="2"/>
      <c r="AS53" s="2"/>
      <c r="AT53" s="2"/>
      <c r="AU53" s="2"/>
      <c r="AV53" s="2"/>
      <c r="BF53" s="714"/>
    </row>
    <row r="54" spans="1:62" ht="18" customHeight="1">
      <c r="A54" s="26" t="s">
        <v>108</v>
      </c>
      <c r="B54" s="27">
        <v>3061</v>
      </c>
      <c r="C54" s="27">
        <v>3675</v>
      </c>
      <c r="D54" s="27">
        <v>4321</v>
      </c>
      <c r="E54" s="27">
        <v>5082</v>
      </c>
      <c r="F54" s="27">
        <v>5015</v>
      </c>
      <c r="G54" s="27">
        <v>7064</v>
      </c>
      <c r="H54" s="27">
        <v>7702</v>
      </c>
      <c r="I54" s="27">
        <v>9868</v>
      </c>
      <c r="J54" s="27">
        <v>5497</v>
      </c>
      <c r="K54" s="28"/>
      <c r="L54" s="29">
        <f t="shared" si="18"/>
        <v>0.31951149500274001</v>
      </c>
      <c r="M54" s="29">
        <f t="shared" si="19"/>
        <v>0.32660802238175901</v>
      </c>
      <c r="N54" s="29">
        <f t="shared" si="20"/>
        <v>0.3586317712392425</v>
      </c>
      <c r="O54" s="29">
        <f t="shared" si="21"/>
        <v>0.4117486923211543</v>
      </c>
      <c r="P54" s="29">
        <f t="shared" si="22"/>
        <v>0.38992796246117239</v>
      </c>
      <c r="Q54" s="29">
        <f t="shared" si="23"/>
        <v>0.50836894458749726</v>
      </c>
      <c r="R54" s="29">
        <f t="shared" si="24"/>
        <v>0.51890688646435901</v>
      </c>
      <c r="S54" s="29">
        <f t="shared" si="25"/>
        <v>0.57948648383597978</v>
      </c>
      <c r="T54" s="29">
        <f t="shared" si="25"/>
        <v>0.98956964431659022</v>
      </c>
      <c r="U54" s="30"/>
      <c r="V54" s="29">
        <v>30.700256191289498</v>
      </c>
      <c r="W54" s="29">
        <f t="shared" si="26"/>
        <v>20.058804312316237</v>
      </c>
      <c r="X54" s="29">
        <f t="shared" si="27"/>
        <v>17.578231292517007</v>
      </c>
      <c r="Y54" s="29">
        <f t="shared" si="28"/>
        <v>17.611663966674381</v>
      </c>
      <c r="Z54" s="29">
        <f t="shared" si="29"/>
        <v>-1.3183785911058639</v>
      </c>
      <c r="AA54" s="29">
        <f t="shared" si="30"/>
        <v>40.85742771684945</v>
      </c>
      <c r="AB54" s="29">
        <f t="shared" si="31"/>
        <v>9.0317100792751983</v>
      </c>
      <c r="AC54" s="29">
        <f t="shared" si="32"/>
        <v>28.122565567385095</v>
      </c>
      <c r="AD54" s="29">
        <f t="shared" si="32"/>
        <v>-44.294689906769356</v>
      </c>
      <c r="AE54" s="551" t="s">
        <v>109</v>
      </c>
      <c r="AH54" s="15"/>
      <c r="AI54" s="26"/>
    </row>
    <row r="55" spans="1:62" ht="18" customHeight="1">
      <c r="A55" s="26" t="s">
        <v>110</v>
      </c>
      <c r="B55" s="27">
        <v>5070</v>
      </c>
      <c r="C55" s="27">
        <v>6098</v>
      </c>
      <c r="D55" s="27">
        <v>7435</v>
      </c>
      <c r="E55" s="27">
        <v>7537</v>
      </c>
      <c r="F55" s="27">
        <v>7628</v>
      </c>
      <c r="G55" s="27">
        <v>8994</v>
      </c>
      <c r="H55" s="27">
        <v>9540</v>
      </c>
      <c r="I55" s="27">
        <v>11473</v>
      </c>
      <c r="J55" s="27">
        <v>3872</v>
      </c>
      <c r="K55" s="28"/>
      <c r="L55" s="29">
        <f t="shared" si="18"/>
        <v>0.52921374703165358</v>
      </c>
      <c r="M55" s="29">
        <f t="shared" si="19"/>
        <v>0.54194713482556911</v>
      </c>
      <c r="N55" s="29">
        <f t="shared" si="20"/>
        <v>0.61708567904738898</v>
      </c>
      <c r="O55" s="29">
        <f t="shared" si="21"/>
        <v>0.61065523298397084</v>
      </c>
      <c r="P55" s="29">
        <f t="shared" si="22"/>
        <v>0.5930948150855081</v>
      </c>
      <c r="Q55" s="29">
        <f t="shared" si="23"/>
        <v>0.64726363075027593</v>
      </c>
      <c r="R55" s="29">
        <f t="shared" si="24"/>
        <v>0.64273847012074592</v>
      </c>
      <c r="S55" s="29">
        <f t="shared" si="25"/>
        <v>0.67373818697306398</v>
      </c>
      <c r="T55" s="29">
        <f t="shared" si="25"/>
        <v>0.69703723172527521</v>
      </c>
      <c r="U55" s="30"/>
      <c r="V55" s="29">
        <v>8.1023454157782524</v>
      </c>
      <c r="W55" s="29">
        <f t="shared" si="26"/>
        <v>20.276134122287967</v>
      </c>
      <c r="X55" s="29">
        <f t="shared" si="27"/>
        <v>21.925221384060347</v>
      </c>
      <c r="Y55" s="29">
        <f t="shared" si="28"/>
        <v>1.3718897108271688</v>
      </c>
      <c r="Z55" s="29">
        <f t="shared" si="29"/>
        <v>1.2073769404272257</v>
      </c>
      <c r="AA55" s="29">
        <f t="shared" si="30"/>
        <v>17.90770844257997</v>
      </c>
      <c r="AB55" s="29">
        <f t="shared" si="31"/>
        <v>6.0707138092061372</v>
      </c>
      <c r="AC55" s="29">
        <f t="shared" si="32"/>
        <v>20.262054507337528</v>
      </c>
      <c r="AD55" s="29">
        <f t="shared" si="32"/>
        <v>-66.251198465963569</v>
      </c>
      <c r="AE55" s="551" t="s">
        <v>111</v>
      </c>
      <c r="AI55" s="26"/>
    </row>
    <row r="56" spans="1:62" ht="18" customHeight="1">
      <c r="A56" s="26" t="s">
        <v>112</v>
      </c>
      <c r="B56" s="27">
        <v>16049</v>
      </c>
      <c r="C56" s="27">
        <v>20034</v>
      </c>
      <c r="D56" s="27">
        <v>25641</v>
      </c>
      <c r="E56" s="27">
        <v>29308</v>
      </c>
      <c r="F56" s="27">
        <v>32589</v>
      </c>
      <c r="G56" s="27">
        <v>39180</v>
      </c>
      <c r="H56" s="27">
        <v>42901</v>
      </c>
      <c r="I56" s="27">
        <v>54474</v>
      </c>
      <c r="J56" s="27">
        <v>19759</v>
      </c>
      <c r="K56" s="28"/>
      <c r="L56" s="29">
        <f t="shared" si="18"/>
        <v>1.6752172438088777</v>
      </c>
      <c r="M56" s="29">
        <f t="shared" si="19"/>
        <v>1.7804803048697033</v>
      </c>
      <c r="N56" s="29">
        <f t="shared" si="20"/>
        <v>2.128136368050316</v>
      </c>
      <c r="O56" s="29">
        <f t="shared" si="21"/>
        <v>2.3745632968414774</v>
      </c>
      <c r="P56" s="29">
        <f t="shared" si="22"/>
        <v>2.5338708611459917</v>
      </c>
      <c r="Q56" s="29">
        <f t="shared" si="23"/>
        <v>2.8196340952630439</v>
      </c>
      <c r="R56" s="29">
        <f t="shared" si="24"/>
        <v>2.8903692983909979</v>
      </c>
      <c r="S56" s="29">
        <f t="shared" si="25"/>
        <v>3.1989204216134133</v>
      </c>
      <c r="T56" s="29">
        <f t="shared" si="25"/>
        <v>3.557014117164182</v>
      </c>
      <c r="U56" s="30"/>
      <c r="V56" s="29">
        <v>10.759144237405106</v>
      </c>
      <c r="W56" s="29">
        <f t="shared" si="26"/>
        <v>24.830207489563215</v>
      </c>
      <c r="X56" s="29">
        <f t="shared" si="27"/>
        <v>27.987421383647799</v>
      </c>
      <c r="Y56" s="29">
        <f t="shared" si="28"/>
        <v>14.301314301314303</v>
      </c>
      <c r="Z56" s="29">
        <f t="shared" si="29"/>
        <v>11.194895591647331</v>
      </c>
      <c r="AA56" s="29">
        <f t="shared" si="30"/>
        <v>20.224615667863389</v>
      </c>
      <c r="AB56" s="29">
        <f t="shared" si="31"/>
        <v>9.497192445125064</v>
      </c>
      <c r="AC56" s="29">
        <f t="shared" si="32"/>
        <v>26.976061164075432</v>
      </c>
      <c r="AD56" s="29">
        <f t="shared" si="32"/>
        <v>-63.727649888019975</v>
      </c>
      <c r="AE56" s="551" t="s">
        <v>113</v>
      </c>
      <c r="AI56" s="26"/>
      <c r="AK56" s="525"/>
      <c r="AL56" s="525"/>
      <c r="AM56" s="540"/>
    </row>
    <row r="57" spans="1:62" ht="18" customHeight="1">
      <c r="A57" s="26" t="s">
        <v>114</v>
      </c>
      <c r="B57" s="27">
        <v>2594</v>
      </c>
      <c r="C57" s="27">
        <v>3163</v>
      </c>
      <c r="D57" s="27">
        <v>3647</v>
      </c>
      <c r="E57" s="27">
        <v>4675</v>
      </c>
      <c r="F57" s="27">
        <v>5226</v>
      </c>
      <c r="G57" s="27">
        <v>6735</v>
      </c>
      <c r="H57" s="27">
        <v>8621</v>
      </c>
      <c r="I57" s="27">
        <v>8979</v>
      </c>
      <c r="J57" s="27">
        <v>2932</v>
      </c>
      <c r="K57" s="28"/>
      <c r="L57" s="29">
        <f t="shared" si="18"/>
        <v>0.27076537668641215</v>
      </c>
      <c r="M57" s="29">
        <f t="shared" si="19"/>
        <v>0.28110508157646363</v>
      </c>
      <c r="N57" s="29">
        <f t="shared" si="20"/>
        <v>0.30269152272842337</v>
      </c>
      <c r="O57" s="29">
        <f t="shared" si="21"/>
        <v>0.3787731476980315</v>
      </c>
      <c r="P57" s="29">
        <f t="shared" si="22"/>
        <v>0.40633370524867141</v>
      </c>
      <c r="Q57" s="29">
        <f t="shared" si="23"/>
        <v>0.48469207839705458</v>
      </c>
      <c r="R57" s="29">
        <f t="shared" si="24"/>
        <v>0.58082267829255241</v>
      </c>
      <c r="S57" s="29">
        <f t="shared" si="25"/>
        <v>0.52728102334447324</v>
      </c>
      <c r="T57" s="29">
        <f t="shared" si="25"/>
        <v>0.52781848228783745</v>
      </c>
      <c r="U57" s="30"/>
      <c r="V57" s="29">
        <v>21.669793621013135</v>
      </c>
      <c r="W57" s="29">
        <f t="shared" si="26"/>
        <v>21.935235158057054</v>
      </c>
      <c r="X57" s="29">
        <f t="shared" si="27"/>
        <v>15.301928548846034</v>
      </c>
      <c r="Y57" s="29">
        <f t="shared" si="28"/>
        <v>28.18755141211955</v>
      </c>
      <c r="Z57" s="29">
        <f t="shared" si="29"/>
        <v>11.786096256684491</v>
      </c>
      <c r="AA57" s="29">
        <f t="shared" si="30"/>
        <v>28.874856486796784</v>
      </c>
      <c r="AB57" s="29">
        <f t="shared" si="31"/>
        <v>28.002969561989605</v>
      </c>
      <c r="AC57" s="29">
        <f t="shared" si="32"/>
        <v>4.1526505045818345</v>
      </c>
      <c r="AD57" s="29">
        <f t="shared" si="32"/>
        <v>-67.346029624679801</v>
      </c>
      <c r="AE57" s="551" t="s">
        <v>71</v>
      </c>
      <c r="AK57" s="15"/>
      <c r="AL57" s="550"/>
    </row>
    <row r="58" spans="1:62" s="15" customFormat="1" ht="18" customHeight="1">
      <c r="A58" s="31" t="s">
        <v>115</v>
      </c>
      <c r="B58" s="32">
        <f t="shared" ref="B58:H58" si="35">SUM(B59:B61)</f>
        <v>16826</v>
      </c>
      <c r="C58" s="32">
        <f t="shared" si="35"/>
        <v>18761</v>
      </c>
      <c r="D58" s="32">
        <f t="shared" si="35"/>
        <v>20814</v>
      </c>
      <c r="E58" s="32">
        <f t="shared" si="35"/>
        <v>21777</v>
      </c>
      <c r="F58" s="32">
        <f t="shared" si="35"/>
        <v>25708</v>
      </c>
      <c r="G58" s="32">
        <f t="shared" si="35"/>
        <v>30332</v>
      </c>
      <c r="H58" s="32">
        <f t="shared" si="35"/>
        <v>40510</v>
      </c>
      <c r="I58" s="32">
        <f>SUM(I59:I61)</f>
        <v>44140</v>
      </c>
      <c r="J58" s="32">
        <f>SUM(J59:J61)</f>
        <v>7964</v>
      </c>
      <c r="K58" s="33"/>
      <c r="L58" s="21">
        <f t="shared" si="18"/>
        <v>1.7563215991231962</v>
      </c>
      <c r="M58" s="21">
        <f t="shared" si="19"/>
        <v>1.6673450633752873</v>
      </c>
      <c r="N58" s="21">
        <f t="shared" si="20"/>
        <v>1.727507911727284</v>
      </c>
      <c r="O58" s="21">
        <f t="shared" si="21"/>
        <v>1.7643941898224669</v>
      </c>
      <c r="P58" s="21">
        <f t="shared" si="22"/>
        <v>1.998857040668359</v>
      </c>
      <c r="Q58" s="21">
        <f t="shared" si="23"/>
        <v>2.1828775236732678</v>
      </c>
      <c r="R58" s="21">
        <f t="shared" si="24"/>
        <v>2.7292804428292889</v>
      </c>
      <c r="S58" s="21">
        <f t="shared" si="25"/>
        <v>2.5920686457762612</v>
      </c>
      <c r="T58" s="21">
        <f t="shared" si="25"/>
        <v>1.4336788516167591</v>
      </c>
      <c r="U58" s="24"/>
      <c r="V58" s="21">
        <v>18.534695315251849</v>
      </c>
      <c r="W58" s="21">
        <f t="shared" si="26"/>
        <v>11.500059431831689</v>
      </c>
      <c r="X58" s="21">
        <f t="shared" si="27"/>
        <v>10.942913490752092</v>
      </c>
      <c r="Y58" s="21">
        <f t="shared" si="28"/>
        <v>4.626693571634477</v>
      </c>
      <c r="Z58" s="21">
        <f t="shared" si="29"/>
        <v>18.051154888184779</v>
      </c>
      <c r="AA58" s="21">
        <f t="shared" si="30"/>
        <v>17.986618951299207</v>
      </c>
      <c r="AB58" s="21">
        <f t="shared" si="31"/>
        <v>33.555321113015957</v>
      </c>
      <c r="AC58" s="21">
        <f t="shared" si="32"/>
        <v>8.9607504319921016</v>
      </c>
      <c r="AD58" s="21">
        <f t="shared" si="32"/>
        <v>-81.957408246488455</v>
      </c>
      <c r="AE58" s="25" t="s">
        <v>116</v>
      </c>
      <c r="AH58" s="2"/>
      <c r="AI58" s="26"/>
      <c r="AJ58" s="2"/>
      <c r="AL58" s="550"/>
      <c r="AM58" s="2"/>
      <c r="AS58" s="2"/>
      <c r="AT58" s="2"/>
      <c r="AU58" s="2"/>
      <c r="AV58" s="2"/>
      <c r="BF58" s="714"/>
    </row>
    <row r="59" spans="1:62" ht="18" customHeight="1">
      <c r="A59" s="26" t="s">
        <v>117</v>
      </c>
      <c r="B59" s="27">
        <v>15208</v>
      </c>
      <c r="C59" s="27">
        <v>16915</v>
      </c>
      <c r="D59" s="27">
        <v>18872</v>
      </c>
      <c r="E59" s="27">
        <v>19733</v>
      </c>
      <c r="F59" s="27">
        <v>23584</v>
      </c>
      <c r="G59" s="27">
        <v>27360</v>
      </c>
      <c r="H59" s="27">
        <v>37254</v>
      </c>
      <c r="I59" s="27">
        <v>39928</v>
      </c>
      <c r="J59" s="27">
        <v>7220</v>
      </c>
      <c r="K59" s="28"/>
      <c r="L59" s="29">
        <f t="shared" si="18"/>
        <v>1.5874324782756193</v>
      </c>
      <c r="M59" s="29">
        <f t="shared" si="19"/>
        <v>1.5032856322686949</v>
      </c>
      <c r="N59" s="29">
        <f t="shared" si="20"/>
        <v>1.5663269583029353</v>
      </c>
      <c r="O59" s="29">
        <f t="shared" si="21"/>
        <v>1.5987872777594132</v>
      </c>
      <c r="P59" s="29">
        <f t="shared" si="22"/>
        <v>1.8337110800965684</v>
      </c>
      <c r="Q59" s="29">
        <f t="shared" si="23"/>
        <v>1.9689941002143152</v>
      </c>
      <c r="R59" s="29">
        <f t="shared" si="24"/>
        <v>2.509913937723089</v>
      </c>
      <c r="S59" s="29">
        <f t="shared" si="25"/>
        <v>2.344723989319315</v>
      </c>
      <c r="T59" s="29">
        <f t="shared" si="25"/>
        <v>1.2997440116364893</v>
      </c>
      <c r="U59" s="30"/>
      <c r="V59" s="29">
        <v>19.017060572859602</v>
      </c>
      <c r="W59" s="29">
        <f t="shared" si="26"/>
        <v>11.224355602314571</v>
      </c>
      <c r="X59" s="29">
        <f t="shared" si="27"/>
        <v>11.569612769731009</v>
      </c>
      <c r="Y59" s="29">
        <f t="shared" si="28"/>
        <v>4.5623145400593472</v>
      </c>
      <c r="Z59" s="29">
        <f t="shared" si="29"/>
        <v>19.51553235696549</v>
      </c>
      <c r="AA59" s="29">
        <f t="shared" si="30"/>
        <v>16.010854816824967</v>
      </c>
      <c r="AB59" s="29">
        <f t="shared" si="31"/>
        <v>36.162280701754383</v>
      </c>
      <c r="AC59" s="29">
        <f t="shared" si="32"/>
        <v>7.177752724539646</v>
      </c>
      <c r="AD59" s="29">
        <f t="shared" si="32"/>
        <v>-81.917451412542576</v>
      </c>
      <c r="AE59" s="551" t="s">
        <v>118</v>
      </c>
      <c r="AJ59" s="15"/>
      <c r="AK59" s="41"/>
      <c r="AL59" s="26"/>
      <c r="AM59" s="41"/>
    </row>
    <row r="60" spans="1:62" ht="18" customHeight="1">
      <c r="A60" s="26" t="s">
        <v>119</v>
      </c>
      <c r="B60" s="27">
        <v>1579</v>
      </c>
      <c r="C60" s="27">
        <v>1791</v>
      </c>
      <c r="D60" s="27">
        <v>1916</v>
      </c>
      <c r="E60" s="27">
        <v>1978</v>
      </c>
      <c r="F60" s="27">
        <v>2087</v>
      </c>
      <c r="G60" s="27">
        <v>2877</v>
      </c>
      <c r="H60" s="27">
        <v>3200</v>
      </c>
      <c r="I60" s="27">
        <v>4082</v>
      </c>
      <c r="J60" s="27">
        <v>719</v>
      </c>
      <c r="K60" s="28"/>
      <c r="L60" s="29">
        <f t="shared" si="18"/>
        <v>0.1648182458704105</v>
      </c>
      <c r="M60" s="29">
        <f t="shared" si="19"/>
        <v>0.15917141988727357</v>
      </c>
      <c r="N60" s="29">
        <f t="shared" si="20"/>
        <v>0.15902302098921281</v>
      </c>
      <c r="O60" s="29">
        <f t="shared" si="21"/>
        <v>0.16025952644849334</v>
      </c>
      <c r="P60" s="29">
        <f t="shared" si="22"/>
        <v>0.16226912415881692</v>
      </c>
      <c r="Q60" s="29">
        <f t="shared" si="23"/>
        <v>0.20704663838876408</v>
      </c>
      <c r="R60" s="29">
        <f t="shared" si="24"/>
        <v>0.21559361681199024</v>
      </c>
      <c r="S60" s="29">
        <f t="shared" si="25"/>
        <v>0.2397105621218554</v>
      </c>
      <c r="T60" s="29">
        <f t="shared" si="25"/>
        <v>0.1294343413250188</v>
      </c>
      <c r="U60" s="30"/>
      <c r="V60" s="29">
        <v>13.597122302158274</v>
      </c>
      <c r="W60" s="29">
        <f t="shared" si="26"/>
        <v>13.426219126029132</v>
      </c>
      <c r="X60" s="29">
        <f t="shared" si="27"/>
        <v>6.9793411501954212</v>
      </c>
      <c r="Y60" s="29">
        <f t="shared" si="28"/>
        <v>3.2359081419624216</v>
      </c>
      <c r="Z60" s="29">
        <f t="shared" si="29"/>
        <v>5.5106167846309404</v>
      </c>
      <c r="AA60" s="29">
        <f t="shared" si="30"/>
        <v>37.85337805462386</v>
      </c>
      <c r="AB60" s="29">
        <f t="shared" si="31"/>
        <v>11.226972540841155</v>
      </c>
      <c r="AC60" s="29">
        <f t="shared" si="32"/>
        <v>27.5625</v>
      </c>
      <c r="AD60" s="29">
        <f t="shared" si="32"/>
        <v>-82.386085252327291</v>
      </c>
      <c r="AE60" s="551" t="s">
        <v>120</v>
      </c>
      <c r="AH60" s="42"/>
      <c r="AI60" s="26"/>
      <c r="AL60" s="489"/>
    </row>
    <row r="61" spans="1:62" ht="18" customHeight="1">
      <c r="A61" s="26" t="s">
        <v>121</v>
      </c>
      <c r="B61" s="27">
        <v>39</v>
      </c>
      <c r="C61" s="27">
        <v>55</v>
      </c>
      <c r="D61" s="27">
        <v>26</v>
      </c>
      <c r="E61" s="27">
        <v>66</v>
      </c>
      <c r="F61" s="27">
        <v>37</v>
      </c>
      <c r="G61" s="27">
        <v>95</v>
      </c>
      <c r="H61" s="27">
        <v>56</v>
      </c>
      <c r="I61" s="27">
        <v>130</v>
      </c>
      <c r="J61" s="27">
        <v>25</v>
      </c>
      <c r="K61" s="28"/>
      <c r="L61" s="29">
        <f t="shared" si="18"/>
        <v>4.0708749771665668E-3</v>
      </c>
      <c r="M61" s="29">
        <f t="shared" si="19"/>
        <v>4.888011219318842E-3</v>
      </c>
      <c r="N61" s="29">
        <f t="shared" si="20"/>
        <v>2.1579324351354559E-3</v>
      </c>
      <c r="O61" s="29">
        <f t="shared" si="21"/>
        <v>5.3473856145604456E-3</v>
      </c>
      <c r="P61" s="29">
        <f t="shared" si="22"/>
        <v>2.8768364129737548E-3</v>
      </c>
      <c r="Q61" s="29">
        <f t="shared" si="23"/>
        <v>6.8367850701885943E-3</v>
      </c>
      <c r="R61" s="29">
        <f t="shared" si="24"/>
        <v>3.7728882942098287E-3</v>
      </c>
      <c r="S61" s="29">
        <f t="shared" si="25"/>
        <v>7.6340943350909369E-3</v>
      </c>
      <c r="T61" s="29">
        <f t="shared" si="25"/>
        <v>4.5004986552510022E-3</v>
      </c>
      <c r="U61" s="30"/>
      <c r="V61" s="29">
        <v>44.444444444444443</v>
      </c>
      <c r="W61" s="29">
        <f t="shared" si="26"/>
        <v>41.025641025641022</v>
      </c>
      <c r="X61" s="29">
        <f t="shared" si="27"/>
        <v>-52.72727272727272</v>
      </c>
      <c r="Y61" s="29">
        <f t="shared" si="28"/>
        <v>153.84615384615387</v>
      </c>
      <c r="Z61" s="29">
        <f t="shared" si="29"/>
        <v>-43.939393939393938</v>
      </c>
      <c r="AA61" s="29">
        <f t="shared" si="30"/>
        <v>156.75675675675674</v>
      </c>
      <c r="AB61" s="29">
        <f t="shared" si="31"/>
        <v>-41.05263157894737</v>
      </c>
      <c r="AC61" s="29">
        <f t="shared" si="32"/>
        <v>132.14285714285714</v>
      </c>
      <c r="AD61" s="29">
        <f t="shared" si="32"/>
        <v>-80.769230769230774</v>
      </c>
      <c r="AE61" s="551" t="s">
        <v>71</v>
      </c>
    </row>
    <row r="62" spans="1:62" s="15" customFormat="1" ht="18" customHeight="1">
      <c r="A62" s="31" t="s">
        <v>122</v>
      </c>
      <c r="B62" s="32">
        <f t="shared" ref="B62:G62" si="36">SUM(B63:B67)</f>
        <v>21843</v>
      </c>
      <c r="C62" s="32">
        <f t="shared" si="36"/>
        <v>32050</v>
      </c>
      <c r="D62" s="32">
        <f t="shared" si="36"/>
        <v>37201</v>
      </c>
      <c r="E62" s="32">
        <f t="shared" si="36"/>
        <v>41976</v>
      </c>
      <c r="F62" s="32">
        <f t="shared" si="36"/>
        <v>51330</v>
      </c>
      <c r="G62" s="32">
        <f t="shared" si="36"/>
        <v>49193</v>
      </c>
      <c r="H62" s="32">
        <f>SUM(H63:H67)</f>
        <v>52114</v>
      </c>
      <c r="I62" s="32">
        <f>SUM(I63:I67)</f>
        <v>60003</v>
      </c>
      <c r="J62" s="32">
        <f>SUM(J63:J67)</f>
        <v>26288</v>
      </c>
      <c r="K62" s="33"/>
      <c r="L62" s="21">
        <f t="shared" si="18"/>
        <v>2.2800031314422902</v>
      </c>
      <c r="M62" s="21">
        <f t="shared" si="19"/>
        <v>2.8483774468939802</v>
      </c>
      <c r="N62" s="21">
        <f t="shared" si="20"/>
        <v>3.0875863276720805</v>
      </c>
      <c r="O62" s="21">
        <f t="shared" si="21"/>
        <v>3.4009372508604434</v>
      </c>
      <c r="P62" s="21">
        <f t="shared" si="22"/>
        <v>3.9910273804849412</v>
      </c>
      <c r="Q62" s="21">
        <f t="shared" si="23"/>
        <v>3.540231241660921</v>
      </c>
      <c r="R62" s="21">
        <f t="shared" si="24"/>
        <v>3.5110767957937687</v>
      </c>
      <c r="S62" s="21">
        <f t="shared" si="25"/>
        <v>3.5236043260650884</v>
      </c>
      <c r="T62" s="21">
        <f t="shared" si="25"/>
        <v>4.7323643459695335</v>
      </c>
      <c r="U62" s="24"/>
      <c r="V62" s="21">
        <v>49.917638984214143</v>
      </c>
      <c r="W62" s="21">
        <f t="shared" si="26"/>
        <v>46.728929176395184</v>
      </c>
      <c r="X62" s="21">
        <f t="shared" si="27"/>
        <v>16.071762870514821</v>
      </c>
      <c r="Y62" s="21">
        <f t="shared" si="28"/>
        <v>12.835676460310207</v>
      </c>
      <c r="Z62" s="21">
        <f t="shared" si="29"/>
        <v>22.284162378502</v>
      </c>
      <c r="AA62" s="21">
        <f t="shared" si="30"/>
        <v>-4.16325735437366</v>
      </c>
      <c r="AB62" s="21">
        <f t="shared" si="31"/>
        <v>5.937836684081069</v>
      </c>
      <c r="AC62" s="21">
        <f t="shared" si="32"/>
        <v>15.13796676516867</v>
      </c>
      <c r="AD62" s="21">
        <f t="shared" si="32"/>
        <v>-56.188857223805478</v>
      </c>
      <c r="AE62" s="25" t="s">
        <v>123</v>
      </c>
      <c r="AG62" s="2"/>
      <c r="AJ62" s="2"/>
      <c r="AK62" s="2"/>
      <c r="AL62" s="2"/>
      <c r="AM62" s="2"/>
      <c r="BF62" s="714"/>
    </row>
    <row r="63" spans="1:62" ht="18" customHeight="1">
      <c r="A63" s="26" t="s">
        <v>124</v>
      </c>
      <c r="B63" s="27">
        <v>2987</v>
      </c>
      <c r="C63" s="27">
        <v>4622</v>
      </c>
      <c r="D63" s="27">
        <v>5248</v>
      </c>
      <c r="E63" s="27">
        <v>4491</v>
      </c>
      <c r="F63" s="27">
        <v>4215</v>
      </c>
      <c r="G63" s="27">
        <v>4576</v>
      </c>
      <c r="H63" s="27">
        <v>4559</v>
      </c>
      <c r="I63" s="27">
        <v>5420</v>
      </c>
      <c r="J63" s="27">
        <v>2816</v>
      </c>
      <c r="K63" s="28"/>
      <c r="L63" s="34">
        <f t="shared" si="18"/>
        <v>0.31178727068709061</v>
      </c>
      <c r="M63" s="29">
        <f t="shared" si="19"/>
        <v>0.41077068828530344</v>
      </c>
      <c r="N63" s="29">
        <f t="shared" si="20"/>
        <v>0.43557036229195667</v>
      </c>
      <c r="O63" s="29">
        <f t="shared" si="21"/>
        <v>0.36386528477259028</v>
      </c>
      <c r="P63" s="29">
        <f t="shared" si="22"/>
        <v>0.32772609407255071</v>
      </c>
      <c r="Q63" s="29">
        <f t="shared" si="23"/>
        <v>0.32931714190718958</v>
      </c>
      <c r="R63" s="29">
        <f t="shared" si="24"/>
        <v>0.30715353095183234</v>
      </c>
      <c r="S63" s="29">
        <f t="shared" si="25"/>
        <v>0.3182830099707144</v>
      </c>
      <c r="T63" s="29">
        <f t="shared" si="25"/>
        <v>0.50693616852747281</v>
      </c>
      <c r="U63" s="30"/>
      <c r="V63" s="29">
        <v>66.221480244852543</v>
      </c>
      <c r="W63" s="29">
        <f t="shared" si="26"/>
        <v>54.737194509541339</v>
      </c>
      <c r="X63" s="29">
        <f t="shared" si="27"/>
        <v>13.543920380787538</v>
      </c>
      <c r="Y63" s="29">
        <f t="shared" si="28"/>
        <v>-14.42454268292683</v>
      </c>
      <c r="Z63" s="29">
        <f t="shared" si="29"/>
        <v>-6.1456245824983293</v>
      </c>
      <c r="AA63" s="29">
        <f t="shared" si="30"/>
        <v>8.5646500593119796</v>
      </c>
      <c r="AB63" s="29">
        <f t="shared" si="31"/>
        <v>-0.37150349650349651</v>
      </c>
      <c r="AC63" s="29">
        <f t="shared" si="32"/>
        <v>18.885720552752797</v>
      </c>
      <c r="AD63" s="29">
        <f t="shared" si="32"/>
        <v>-48.044280442804428</v>
      </c>
      <c r="AE63" s="551" t="s">
        <v>125</v>
      </c>
      <c r="AJ63" s="41"/>
      <c r="AR63" s="35" t="s">
        <v>126</v>
      </c>
      <c r="AS63" s="35" t="s">
        <v>127</v>
      </c>
      <c r="AT63" s="35" t="s">
        <v>128</v>
      </c>
      <c r="AU63" s="35" t="s">
        <v>129</v>
      </c>
      <c r="AV63" s="35" t="s">
        <v>9</v>
      </c>
      <c r="AW63" s="35" t="s">
        <v>10</v>
      </c>
      <c r="AX63" s="35" t="s">
        <v>11</v>
      </c>
      <c r="AY63" s="35" t="s">
        <v>12</v>
      </c>
      <c r="AZ63" s="35" t="s">
        <v>13</v>
      </c>
      <c r="BA63" s="35" t="s">
        <v>14</v>
      </c>
      <c r="BB63" s="35">
        <v>2018</v>
      </c>
      <c r="BC63" s="2">
        <v>2019</v>
      </c>
      <c r="BF63" s="713" t="s">
        <v>16</v>
      </c>
      <c r="BG63" s="2">
        <v>555494</v>
      </c>
    </row>
    <row r="64" spans="1:62" ht="18" customHeight="1">
      <c r="A64" s="26" t="s">
        <v>130</v>
      </c>
      <c r="B64" s="27">
        <v>1666</v>
      </c>
      <c r="C64" s="27">
        <v>1817</v>
      </c>
      <c r="D64" s="27">
        <v>1949</v>
      </c>
      <c r="E64" s="27">
        <v>2185</v>
      </c>
      <c r="F64" s="27">
        <v>2258</v>
      </c>
      <c r="G64" s="27">
        <v>2444</v>
      </c>
      <c r="H64" s="27">
        <v>1898</v>
      </c>
      <c r="I64" s="27">
        <v>1940</v>
      </c>
      <c r="J64" s="27">
        <v>1049</v>
      </c>
      <c r="K64" s="28"/>
      <c r="L64" s="34">
        <f t="shared" si="18"/>
        <v>0.17389942851178203</v>
      </c>
      <c r="M64" s="29">
        <f t="shared" si="19"/>
        <v>0.16148211610004248</v>
      </c>
      <c r="N64" s="29">
        <f t="shared" si="20"/>
        <v>0.16176193523380783</v>
      </c>
      <c r="O64" s="29">
        <f t="shared" si="21"/>
        <v>0.17703087223961472</v>
      </c>
      <c r="P64" s="29">
        <f t="shared" si="22"/>
        <v>0.17556477352688482</v>
      </c>
      <c r="Q64" s="29">
        <f t="shared" si="23"/>
        <v>0.1758852917004308</v>
      </c>
      <c r="R64" s="29">
        <f t="shared" si="24"/>
        <v>0.12787396397161171</v>
      </c>
      <c r="S64" s="29">
        <f t="shared" si="25"/>
        <v>0.11392417700058784</v>
      </c>
      <c r="T64" s="29">
        <f t="shared" si="25"/>
        <v>0.18884092357433205</v>
      </c>
      <c r="U64" s="30"/>
      <c r="V64" s="29">
        <v>23.774145616641899</v>
      </c>
      <c r="W64" s="29">
        <f t="shared" si="26"/>
        <v>9.0636254501800728</v>
      </c>
      <c r="X64" s="29">
        <f t="shared" si="27"/>
        <v>7.2647220693450736</v>
      </c>
      <c r="Y64" s="29">
        <f t="shared" si="28"/>
        <v>12.10877373011801</v>
      </c>
      <c r="Z64" s="29">
        <f t="shared" si="29"/>
        <v>3.3409610983981692</v>
      </c>
      <c r="AA64" s="29">
        <f t="shared" si="30"/>
        <v>8.2373782108060229</v>
      </c>
      <c r="AB64" s="29">
        <f t="shared" si="31"/>
        <v>-22.340425531914892</v>
      </c>
      <c r="AC64" s="29">
        <f t="shared" si="32"/>
        <v>2.2128556375131718</v>
      </c>
      <c r="AD64" s="29">
        <f t="shared" si="32"/>
        <v>-45.927835051546388</v>
      </c>
      <c r="AE64" s="551" t="s">
        <v>131</v>
      </c>
      <c r="AQ64" s="36" t="s">
        <v>76</v>
      </c>
      <c r="AR64" s="35">
        <f t="shared" ref="AR64:AW64" si="37">AR65/1000</f>
        <v>41.511000000000003</v>
      </c>
      <c r="AS64" s="35">
        <f t="shared" si="37"/>
        <v>60.665999999999997</v>
      </c>
      <c r="AT64" s="35">
        <f t="shared" si="37"/>
        <v>118.961</v>
      </c>
      <c r="AU64" s="35">
        <f t="shared" si="37"/>
        <v>198.655</v>
      </c>
      <c r="AV64" s="35">
        <f t="shared" si="37"/>
        <v>229.55099999999999</v>
      </c>
      <c r="AW64" s="35">
        <f t="shared" si="37"/>
        <v>331.71899999999999</v>
      </c>
      <c r="AX64" s="35">
        <f t="shared" ref="AX64:BC64" si="38">AX65/1000</f>
        <v>363.62599999999998</v>
      </c>
      <c r="AY64" s="35">
        <f t="shared" si="38"/>
        <v>359.51400000000001</v>
      </c>
      <c r="AZ64" s="35">
        <f t="shared" si="38"/>
        <v>324.32600000000002</v>
      </c>
      <c r="BA64" s="35">
        <f t="shared" si="38"/>
        <v>306.52999999999997</v>
      </c>
      <c r="BB64" s="35">
        <f t="shared" si="38"/>
        <v>283.11599999999999</v>
      </c>
      <c r="BC64" s="35">
        <f t="shared" si="38"/>
        <v>284.029</v>
      </c>
      <c r="BI64" s="717" t="s">
        <v>18</v>
      </c>
      <c r="BJ64" s="718">
        <v>348349</v>
      </c>
    </row>
    <row r="65" spans="1:63" ht="18" customHeight="1">
      <c r="A65" s="26" t="s">
        <v>132</v>
      </c>
      <c r="B65" s="27">
        <v>7263</v>
      </c>
      <c r="C65" s="27">
        <v>10477</v>
      </c>
      <c r="D65" s="27">
        <v>12405</v>
      </c>
      <c r="E65" s="27">
        <v>15749</v>
      </c>
      <c r="F65" s="27">
        <v>21964</v>
      </c>
      <c r="G65" s="27">
        <v>19546</v>
      </c>
      <c r="H65" s="27">
        <v>23540</v>
      </c>
      <c r="I65" s="27">
        <v>25865</v>
      </c>
      <c r="J65" s="27">
        <v>7578</v>
      </c>
      <c r="K65" s="28"/>
      <c r="L65" s="34">
        <f t="shared" si="18"/>
        <v>0.75812217844001983</v>
      </c>
      <c r="M65" s="29">
        <f t="shared" si="19"/>
        <v>0.93112170081460932</v>
      </c>
      <c r="N65" s="29">
        <f t="shared" si="20"/>
        <v>1.0295827637636665</v>
      </c>
      <c r="O65" s="29">
        <f t="shared" si="21"/>
        <v>1.2759996370259461</v>
      </c>
      <c r="P65" s="29">
        <f t="shared" si="22"/>
        <v>1.7077522966096093</v>
      </c>
      <c r="Q65" s="29">
        <f t="shared" si="23"/>
        <v>1.4066505366516449</v>
      </c>
      <c r="R65" s="29">
        <f t="shared" si="24"/>
        <v>1.5859605436732032</v>
      </c>
      <c r="S65" s="29">
        <f t="shared" si="25"/>
        <v>1.5188911536702083</v>
      </c>
      <c r="T65" s="29">
        <f t="shared" si="25"/>
        <v>1.3641911523796837</v>
      </c>
      <c r="U65" s="30"/>
      <c r="V65" s="29">
        <v>45.114885114885119</v>
      </c>
      <c r="W65" s="29">
        <f t="shared" si="26"/>
        <v>44.25168663086879</v>
      </c>
      <c r="X65" s="29">
        <f t="shared" si="27"/>
        <v>18.402214374343799</v>
      </c>
      <c r="Y65" s="29">
        <f t="shared" si="28"/>
        <v>26.956872228939943</v>
      </c>
      <c r="Z65" s="29">
        <f t="shared" si="29"/>
        <v>39.462823036383263</v>
      </c>
      <c r="AA65" s="29">
        <f t="shared" si="30"/>
        <v>-11.008923693316335</v>
      </c>
      <c r="AB65" s="29">
        <f t="shared" si="31"/>
        <v>20.433848357720251</v>
      </c>
      <c r="AC65" s="29">
        <f t="shared" si="32"/>
        <v>9.8768054375531023</v>
      </c>
      <c r="AD65" s="29">
        <f t="shared" si="32"/>
        <v>-70.701720471679877</v>
      </c>
      <c r="AE65" s="551" t="s">
        <v>133</v>
      </c>
      <c r="AI65" s="26"/>
      <c r="AJ65" s="41"/>
      <c r="AK65" s="41"/>
      <c r="AL65" s="41"/>
      <c r="AQ65" s="36" t="s">
        <v>76</v>
      </c>
      <c r="AR65" s="35">
        <v>41511</v>
      </c>
      <c r="AS65" s="35">
        <v>60666</v>
      </c>
      <c r="AT65" s="35">
        <v>118961</v>
      </c>
      <c r="AU65" s="35">
        <v>198655</v>
      </c>
      <c r="AV65" s="35">
        <v>229551</v>
      </c>
      <c r="AW65" s="35">
        <v>331719</v>
      </c>
      <c r="AX65" s="35">
        <v>363626</v>
      </c>
      <c r="AY65" s="35">
        <v>359514</v>
      </c>
      <c r="AZ65" s="35">
        <v>324326</v>
      </c>
      <c r="BA65" s="35">
        <v>306530</v>
      </c>
      <c r="BB65" s="37">
        <f>H37</f>
        <v>283116</v>
      </c>
      <c r="BC65" s="37">
        <f>I37</f>
        <v>284029</v>
      </c>
      <c r="BI65" s="717" t="s">
        <v>72</v>
      </c>
      <c r="BJ65" s="718">
        <v>134279</v>
      </c>
    </row>
    <row r="66" spans="1:63" ht="18" customHeight="1">
      <c r="A66" s="38" t="s">
        <v>134</v>
      </c>
      <c r="B66" s="27">
        <v>4047</v>
      </c>
      <c r="C66" s="27">
        <v>5936</v>
      </c>
      <c r="D66" s="27">
        <v>7008</v>
      </c>
      <c r="E66" s="27">
        <v>7322</v>
      </c>
      <c r="F66" s="27">
        <v>8045</v>
      </c>
      <c r="G66" s="27">
        <v>10485</v>
      </c>
      <c r="H66" s="27">
        <v>9018</v>
      </c>
      <c r="I66" s="27">
        <v>10493</v>
      </c>
      <c r="J66" s="27">
        <v>7368</v>
      </c>
      <c r="K66" s="28"/>
      <c r="L66" s="34">
        <f t="shared" si="18"/>
        <v>0.42243156493828443</v>
      </c>
      <c r="M66" s="29">
        <f t="shared" si="19"/>
        <v>0.52754971996139366</v>
      </c>
      <c r="N66" s="29">
        <f t="shared" si="20"/>
        <v>0.58164578867035666</v>
      </c>
      <c r="O66" s="29">
        <f t="shared" si="21"/>
        <v>0.5932357192395693</v>
      </c>
      <c r="P66" s="29">
        <f t="shared" si="22"/>
        <v>0.62551753898307716</v>
      </c>
      <c r="Q66" s="29">
        <f t="shared" si="23"/>
        <v>0.75456517327292016</v>
      </c>
      <c r="R66" s="29">
        <f t="shared" si="24"/>
        <v>0.60756976137829</v>
      </c>
      <c r="S66" s="29">
        <f t="shared" si="25"/>
        <v>0.61618886044699384</v>
      </c>
      <c r="T66" s="29">
        <f t="shared" si="25"/>
        <v>1.3263869636755754</v>
      </c>
      <c r="U66" s="30"/>
      <c r="V66" s="29">
        <v>76.570680628272243</v>
      </c>
      <c r="W66" s="29">
        <f t="shared" si="26"/>
        <v>46.676550531257718</v>
      </c>
      <c r="X66" s="29">
        <f t="shared" si="27"/>
        <v>18.059299191374663</v>
      </c>
      <c r="Y66" s="29">
        <f t="shared" si="28"/>
        <v>4.480593607305936</v>
      </c>
      <c r="Z66" s="29">
        <f t="shared" si="29"/>
        <v>9.8743512701447695</v>
      </c>
      <c r="AA66" s="29">
        <f t="shared" si="30"/>
        <v>30.329397141081415</v>
      </c>
      <c r="AB66" s="29">
        <f t="shared" si="31"/>
        <v>-13.991416309012875</v>
      </c>
      <c r="AC66" s="29">
        <f t="shared" si="32"/>
        <v>16.356176535817255</v>
      </c>
      <c r="AD66" s="29">
        <f t="shared" si="32"/>
        <v>-29.781759268083484</v>
      </c>
      <c r="AE66" s="551" t="s">
        <v>135</v>
      </c>
      <c r="AI66" s="26"/>
      <c r="AJ66" s="15"/>
      <c r="AL66" s="26"/>
      <c r="AM66" s="41"/>
      <c r="AQ66" s="6"/>
      <c r="AT66" s="21"/>
      <c r="AU66" s="21"/>
      <c r="AV66" s="21"/>
      <c r="AW66" s="21"/>
      <c r="AX66" s="21"/>
      <c r="AY66" s="21"/>
      <c r="AZ66" s="21"/>
      <c r="BA66" s="21"/>
      <c r="BB66" s="21"/>
      <c r="BE66" s="2">
        <v>1</v>
      </c>
      <c r="BF66" s="713" t="s">
        <v>78</v>
      </c>
      <c r="BG66" s="2">
        <v>62960</v>
      </c>
      <c r="BI66" s="717" t="s">
        <v>106</v>
      </c>
      <c r="BJ66" s="718">
        <v>32060</v>
      </c>
    </row>
    <row r="67" spans="1:63" s="41" customFormat="1" ht="18" customHeight="1">
      <c r="A67" s="39" t="s">
        <v>136</v>
      </c>
      <c r="B67" s="27">
        <v>5880</v>
      </c>
      <c r="C67" s="27">
        <v>9198</v>
      </c>
      <c r="D67" s="27">
        <v>10591</v>
      </c>
      <c r="E67" s="27">
        <v>12229</v>
      </c>
      <c r="F67" s="27">
        <v>14848</v>
      </c>
      <c r="G67" s="27">
        <v>12142</v>
      </c>
      <c r="H67" s="27">
        <v>13099</v>
      </c>
      <c r="I67" s="27">
        <v>16285</v>
      </c>
      <c r="J67" s="27">
        <v>7477</v>
      </c>
      <c r="K67" s="28"/>
      <c r="L67" s="34">
        <f t="shared" si="18"/>
        <v>0.61376268886511309</v>
      </c>
      <c r="M67" s="29">
        <f t="shared" si="19"/>
        <v>0.81745322173263113</v>
      </c>
      <c r="N67" s="29">
        <f t="shared" si="20"/>
        <v>0.87902547771229278</v>
      </c>
      <c r="O67" s="29">
        <f t="shared" si="21"/>
        <v>0.9908057375827225</v>
      </c>
      <c r="P67" s="29">
        <f t="shared" si="22"/>
        <v>1.1544666772928192</v>
      </c>
      <c r="Q67" s="29">
        <f t="shared" si="23"/>
        <v>0.87381309812873587</v>
      </c>
      <c r="R67" s="29">
        <f t="shared" si="24"/>
        <v>0.8825189958188312</v>
      </c>
      <c r="S67" s="29">
        <f t="shared" si="25"/>
        <v>0.95631712497658383</v>
      </c>
      <c r="T67" s="29">
        <f t="shared" si="25"/>
        <v>1.3460091378124697</v>
      </c>
      <c r="U67" s="30"/>
      <c r="V67" s="29">
        <v>42.372881355932201</v>
      </c>
      <c r="W67" s="29">
        <f t="shared" si="26"/>
        <v>56.428571428571431</v>
      </c>
      <c r="X67" s="29">
        <f t="shared" si="27"/>
        <v>15.144596651445966</v>
      </c>
      <c r="Y67" s="29">
        <f t="shared" si="28"/>
        <v>15.465961665565104</v>
      </c>
      <c r="Z67" s="29">
        <f t="shared" si="29"/>
        <v>21.416305503311801</v>
      </c>
      <c r="AA67" s="29">
        <f t="shared" si="30"/>
        <v>-18.224676724137932</v>
      </c>
      <c r="AB67" s="29">
        <f t="shared" si="31"/>
        <v>7.8817328281996373</v>
      </c>
      <c r="AC67" s="29">
        <f t="shared" si="32"/>
        <v>24.322467363920911</v>
      </c>
      <c r="AD67" s="29">
        <f t="shared" si="32"/>
        <v>-54.086582744857225</v>
      </c>
      <c r="AE67" s="553" t="s">
        <v>71</v>
      </c>
      <c r="AH67" s="2"/>
      <c r="AI67" s="26"/>
      <c r="AJ67" s="2"/>
      <c r="AK67" s="15"/>
      <c r="AL67" s="550"/>
      <c r="AM67" s="2"/>
      <c r="AW67" s="42"/>
      <c r="AX67" s="42"/>
      <c r="AY67" s="42"/>
      <c r="AZ67" s="42"/>
      <c r="BE67" s="41">
        <v>2</v>
      </c>
      <c r="BF67" s="713" t="s">
        <v>52</v>
      </c>
      <c r="BG67" s="2">
        <v>61387</v>
      </c>
      <c r="BI67" s="717" t="s">
        <v>122</v>
      </c>
      <c r="BJ67" s="718">
        <v>26288</v>
      </c>
    </row>
    <row r="68" spans="1:63" ht="18" customHeight="1">
      <c r="A68" s="31" t="s">
        <v>137</v>
      </c>
      <c r="B68" s="43" t="s">
        <v>138</v>
      </c>
      <c r="C68" s="27">
        <v>90</v>
      </c>
      <c r="D68" s="27">
        <v>189</v>
      </c>
      <c r="E68" s="27">
        <v>181</v>
      </c>
      <c r="F68" s="27">
        <v>228</v>
      </c>
      <c r="G68" s="27">
        <v>95</v>
      </c>
      <c r="H68" s="27">
        <v>63</v>
      </c>
      <c r="I68" s="27">
        <v>138</v>
      </c>
      <c r="J68" s="27">
        <v>33</v>
      </c>
      <c r="K68" s="28"/>
      <c r="L68" s="44" t="s">
        <v>138</v>
      </c>
      <c r="M68" s="29">
        <f>C68/C$7*100</f>
        <v>7.9985638134308333E-3</v>
      </c>
      <c r="N68" s="29">
        <f>D68/D$7*100</f>
        <v>1.5686508855407739E-2</v>
      </c>
      <c r="O68" s="29">
        <f t="shared" ref="O68:T68" si="39">E68/E$7*100</f>
        <v>1.466479994296122E-2</v>
      </c>
      <c r="P68" s="29">
        <f t="shared" si="39"/>
        <v>1.7727532490757193E-2</v>
      </c>
      <c r="Q68" s="29">
        <f t="shared" si="39"/>
        <v>6.8367850701885943E-3</v>
      </c>
      <c r="R68" s="29">
        <f t="shared" si="39"/>
        <v>4.2444993309860585E-3</v>
      </c>
      <c r="S68" s="29">
        <f t="shared" si="39"/>
        <v>8.1038847557119188E-3</v>
      </c>
      <c r="T68" s="29">
        <f t="shared" si="39"/>
        <v>5.9406582249313224E-3</v>
      </c>
      <c r="U68" s="30"/>
      <c r="V68" s="45" t="s">
        <v>138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5" t="s">
        <v>139</v>
      </c>
      <c r="AW68" s="15"/>
      <c r="AX68" s="15"/>
      <c r="AY68" s="15"/>
      <c r="AZ68" s="15"/>
      <c r="BE68" s="2">
        <v>3</v>
      </c>
      <c r="BF68" s="713" t="s">
        <v>68</v>
      </c>
      <c r="BG68" s="2">
        <v>52720</v>
      </c>
      <c r="BJ68" s="717" t="s">
        <v>70</v>
      </c>
      <c r="BK68" s="718">
        <v>28890</v>
      </c>
    </row>
    <row r="69" spans="1:63" ht="18" customHeight="1">
      <c r="A69" s="46" t="s">
        <v>140</v>
      </c>
      <c r="B69" s="47" t="s">
        <v>138</v>
      </c>
      <c r="C69" s="48">
        <v>33</v>
      </c>
      <c r="D69" s="48">
        <v>138</v>
      </c>
      <c r="E69" s="48">
        <v>152</v>
      </c>
      <c r="F69" s="48">
        <v>147</v>
      </c>
      <c r="G69" s="48">
        <v>141</v>
      </c>
      <c r="H69" s="48">
        <v>121</v>
      </c>
      <c r="I69" s="48">
        <v>178</v>
      </c>
      <c r="J69" s="48">
        <v>63</v>
      </c>
      <c r="K69" s="49"/>
      <c r="L69" s="50" t="s">
        <v>138</v>
      </c>
      <c r="M69" s="51">
        <f t="shared" ref="M69:T69" si="40">C69/C$7*100</f>
        <v>2.9328067315913054E-3</v>
      </c>
      <c r="N69" s="51">
        <f t="shared" si="40"/>
        <v>1.1453641386488189E-2</v>
      </c>
      <c r="O69" s="51">
        <f t="shared" si="40"/>
        <v>1.2315191112321024E-2</v>
      </c>
      <c r="P69" s="51">
        <f t="shared" si="40"/>
        <v>1.1429593316409241E-2</v>
      </c>
      <c r="Q69" s="51">
        <f t="shared" si="40"/>
        <v>1.0147228367332546E-2</v>
      </c>
      <c r="R69" s="51">
        <f t="shared" si="40"/>
        <v>8.1521336357033812E-3</v>
      </c>
      <c r="S69" s="51">
        <f t="shared" si="40"/>
        <v>1.045283685881682E-2</v>
      </c>
      <c r="T69" s="51">
        <f t="shared" si="40"/>
        <v>1.1341256611232526E-2</v>
      </c>
      <c r="U69" s="52"/>
      <c r="V69" s="53" t="s">
        <v>138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54" t="s">
        <v>141</v>
      </c>
      <c r="AT69" s="41"/>
      <c r="AU69" s="41"/>
      <c r="AV69" s="41"/>
      <c r="AW69" s="15"/>
      <c r="AX69" s="15"/>
      <c r="AY69" s="15"/>
      <c r="AZ69" s="15"/>
      <c r="BE69" s="2">
        <v>4</v>
      </c>
      <c r="BF69" s="713" t="s">
        <v>42</v>
      </c>
      <c r="BG69" s="2">
        <v>46690</v>
      </c>
    </row>
    <row r="70" spans="1:63" ht="12" customHeight="1">
      <c r="A70" s="54" t="s">
        <v>142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6"/>
      <c r="W70" s="56"/>
      <c r="X70" s="56"/>
      <c r="Y70" s="56"/>
      <c r="Z70" s="56"/>
      <c r="AA70" s="56"/>
      <c r="AB70" s="56"/>
      <c r="AC70" s="56"/>
      <c r="AD70" s="56"/>
      <c r="AE70" s="555" t="s">
        <v>143</v>
      </c>
      <c r="AT70" s="41"/>
      <c r="AU70" s="41"/>
      <c r="AV70" s="41"/>
      <c r="BE70" s="2">
        <v>5</v>
      </c>
      <c r="BF70" s="713" t="s">
        <v>32</v>
      </c>
      <c r="BG70" s="2">
        <v>36435</v>
      </c>
    </row>
    <row r="71" spans="1:63">
      <c r="A71" s="735" t="s">
        <v>1078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6"/>
      <c r="W71" s="56"/>
      <c r="X71" s="56"/>
      <c r="Y71" s="56"/>
      <c r="Z71" s="56"/>
      <c r="AA71" s="56"/>
      <c r="AB71" s="56"/>
      <c r="AC71" s="56"/>
      <c r="AD71" s="56"/>
      <c r="AE71" s="58"/>
      <c r="AJ71" s="41"/>
      <c r="AK71" s="41"/>
      <c r="AL71" s="41"/>
      <c r="AM71" s="41"/>
      <c r="AS71" s="36"/>
      <c r="AT71" s="59"/>
      <c r="AU71" s="41"/>
      <c r="AV71" s="41"/>
      <c r="BE71" s="2">
        <v>6</v>
      </c>
      <c r="BF71" s="713" t="s">
        <v>76</v>
      </c>
      <c r="BG71" s="2">
        <v>34245</v>
      </c>
    </row>
    <row r="72" spans="1:63">
      <c r="A72" s="736" t="s">
        <v>1079</v>
      </c>
      <c r="AJ72" s="41"/>
      <c r="AS72" s="36"/>
      <c r="AT72" s="59"/>
      <c r="AU72" s="41"/>
      <c r="AV72" s="41"/>
      <c r="BE72" s="2">
        <v>7</v>
      </c>
      <c r="BF72" s="713" t="s">
        <v>30</v>
      </c>
      <c r="BG72" s="2">
        <v>28031</v>
      </c>
    </row>
    <row r="73" spans="1:63">
      <c r="AI73" s="26"/>
      <c r="AJ73" s="41"/>
      <c r="AS73" s="36"/>
      <c r="AT73" s="59"/>
      <c r="AU73" s="41"/>
      <c r="AV73" s="41"/>
    </row>
    <row r="74" spans="1:63">
      <c r="AI74" s="550"/>
      <c r="AJ74" s="41"/>
      <c r="AS74" s="36"/>
      <c r="AT74" s="59"/>
      <c r="AU74" s="41"/>
      <c r="AV74" s="41"/>
      <c r="BE74" s="2">
        <v>8</v>
      </c>
      <c r="BF74" s="713" t="s">
        <v>112</v>
      </c>
      <c r="BG74" s="2">
        <v>19759</v>
      </c>
    </row>
    <row r="75" spans="1:63">
      <c r="AI75" s="26"/>
      <c r="AJ75" s="41"/>
      <c r="AS75" s="36"/>
      <c r="AT75" s="59"/>
      <c r="AU75" s="41"/>
      <c r="AV75" s="41"/>
      <c r="BE75" s="2">
        <v>9</v>
      </c>
      <c r="BF75" s="713" t="s">
        <v>62</v>
      </c>
      <c r="BG75" s="2">
        <v>12517</v>
      </c>
    </row>
    <row r="76" spans="1:63">
      <c r="AI76" s="26"/>
      <c r="AJ76" s="41"/>
      <c r="AS76" s="36"/>
      <c r="AT76" s="59"/>
      <c r="AU76" s="41"/>
      <c r="AV76" s="41"/>
      <c r="BE76" s="2">
        <v>10</v>
      </c>
      <c r="BF76" s="719" t="s">
        <v>66</v>
      </c>
      <c r="BG76" s="720">
        <v>10343</v>
      </c>
    </row>
    <row r="77" spans="1:63">
      <c r="AI77" s="26"/>
      <c r="AJ77" s="41"/>
      <c r="AK77" s="41"/>
      <c r="AL77" s="41"/>
      <c r="AM77" s="41"/>
      <c r="AS77" s="36"/>
      <c r="AT77" s="59"/>
      <c r="AU77" s="41"/>
      <c r="AV77" s="41"/>
    </row>
    <row r="78" spans="1:63">
      <c r="AI78" s="26"/>
      <c r="AJ78" s="41"/>
      <c r="AS78" s="36"/>
      <c r="AT78" s="59"/>
      <c r="AU78" s="41"/>
      <c r="AV78" s="41"/>
      <c r="BH78" s="720"/>
    </row>
    <row r="79" spans="1:63">
      <c r="AH79" s="41"/>
      <c r="AI79" s="26"/>
      <c r="AJ79" s="41"/>
      <c r="AS79" s="36"/>
      <c r="AT79" s="59"/>
      <c r="AU79" s="41"/>
      <c r="AV79" s="41"/>
      <c r="BF79" s="713" t="s">
        <v>82</v>
      </c>
      <c r="BG79" s="2">
        <v>8479</v>
      </c>
    </row>
    <row r="80" spans="1:63">
      <c r="AI80" s="26"/>
      <c r="AJ80" s="41"/>
      <c r="AS80" s="36"/>
      <c r="AT80" s="59"/>
      <c r="AU80" s="41"/>
      <c r="AV80" s="41"/>
      <c r="BF80" s="713" t="s">
        <v>20</v>
      </c>
      <c r="BG80" s="2">
        <v>8103</v>
      </c>
    </row>
    <row r="81" spans="35:59">
      <c r="AI81" s="26"/>
      <c r="AT81" s="41"/>
      <c r="AU81" s="41"/>
      <c r="AV81" s="41"/>
      <c r="BF81" s="713" t="s">
        <v>115</v>
      </c>
      <c r="BG81" s="2">
        <v>7964</v>
      </c>
    </row>
    <row r="82" spans="35:59">
      <c r="AI82" s="26"/>
      <c r="AT82" s="41"/>
      <c r="AU82" s="41"/>
      <c r="AV82" s="41"/>
      <c r="BF82" s="713" t="s">
        <v>132</v>
      </c>
      <c r="BG82" s="2">
        <v>7578</v>
      </c>
    </row>
    <row r="83" spans="35:59">
      <c r="AI83" s="26"/>
      <c r="AS83" s="26"/>
      <c r="AT83" s="27"/>
      <c r="AU83" s="41"/>
      <c r="AV83" s="41"/>
      <c r="BF83" s="713" t="s">
        <v>136</v>
      </c>
      <c r="BG83" s="2">
        <v>7477</v>
      </c>
    </row>
    <row r="84" spans="35:59">
      <c r="AI84" s="26"/>
      <c r="AS84" s="26"/>
      <c r="AT84" s="27"/>
      <c r="BF84" s="713" t="s">
        <v>134</v>
      </c>
      <c r="BG84" s="2">
        <v>7368</v>
      </c>
    </row>
    <row r="85" spans="35:59">
      <c r="AI85" s="26"/>
      <c r="AS85" s="26"/>
      <c r="AT85" s="27"/>
      <c r="BF85" s="716" t="s">
        <v>24</v>
      </c>
      <c r="BG85" s="41">
        <v>7282</v>
      </c>
    </row>
    <row r="86" spans="35:59">
      <c r="AS86" s="26"/>
      <c r="AT86" s="27"/>
      <c r="BF86" s="713" t="s">
        <v>117</v>
      </c>
      <c r="BG86" s="2">
        <v>7220</v>
      </c>
    </row>
    <row r="87" spans="35:59">
      <c r="AS87" s="26"/>
      <c r="AT87" s="27"/>
      <c r="BF87" s="713" t="s">
        <v>48</v>
      </c>
      <c r="BG87" s="2">
        <v>7108</v>
      </c>
    </row>
    <row r="88" spans="35:59">
      <c r="AS88" s="26"/>
      <c r="AT88" s="27"/>
      <c r="BF88" s="713" t="s">
        <v>58</v>
      </c>
      <c r="BG88" s="2">
        <v>6778</v>
      </c>
    </row>
    <row r="89" spans="35:59">
      <c r="AS89" s="26"/>
      <c r="AT89" s="27"/>
      <c r="BF89" s="713" t="s">
        <v>101</v>
      </c>
      <c r="BG89" s="2">
        <v>6458</v>
      </c>
    </row>
    <row r="90" spans="35:59">
      <c r="AS90" s="26"/>
      <c r="AT90" s="27"/>
      <c r="BF90" s="713" t="s">
        <v>84</v>
      </c>
      <c r="BG90" s="2">
        <v>5895</v>
      </c>
    </row>
    <row r="91" spans="35:59">
      <c r="AS91" s="26"/>
      <c r="AT91" s="27"/>
      <c r="BF91" s="713" t="s">
        <v>36</v>
      </c>
      <c r="BG91" s="2">
        <v>5813</v>
      </c>
    </row>
    <row r="92" spans="35:59">
      <c r="AS92" s="38"/>
      <c r="AT92" s="27"/>
      <c r="BF92" s="713" t="s">
        <v>60</v>
      </c>
      <c r="BG92" s="2">
        <v>5613</v>
      </c>
    </row>
    <row r="93" spans="35:59">
      <c r="BF93" s="713" t="s">
        <v>108</v>
      </c>
      <c r="BG93" s="2">
        <v>5497</v>
      </c>
    </row>
    <row r="94" spans="35:59">
      <c r="BF94" s="713" t="s">
        <v>54</v>
      </c>
      <c r="BG94" s="2">
        <v>4498</v>
      </c>
    </row>
    <row r="95" spans="35:59">
      <c r="BF95" s="713" t="s">
        <v>26</v>
      </c>
      <c r="BG95" s="2">
        <v>3938</v>
      </c>
    </row>
    <row r="96" spans="35:59">
      <c r="BF96" s="713" t="s">
        <v>110</v>
      </c>
      <c r="BG96" s="2">
        <v>3872</v>
      </c>
    </row>
    <row r="97" spans="58:59">
      <c r="BF97" s="713" t="s">
        <v>105</v>
      </c>
      <c r="BG97" s="2">
        <v>3773</v>
      </c>
    </row>
    <row r="98" spans="58:59">
      <c r="BF98" s="713" t="s">
        <v>98</v>
      </c>
      <c r="BG98" s="2">
        <v>3468</v>
      </c>
    </row>
    <row r="99" spans="58:59">
      <c r="BF99" s="713" t="s">
        <v>44</v>
      </c>
      <c r="BG99" s="2">
        <v>3258</v>
      </c>
    </row>
    <row r="100" spans="58:59">
      <c r="BF100" s="713" t="s">
        <v>50</v>
      </c>
      <c r="BG100" s="2">
        <v>3206</v>
      </c>
    </row>
    <row r="101" spans="58:59">
      <c r="BF101" s="713" t="s">
        <v>64</v>
      </c>
      <c r="BG101" s="2">
        <v>3164</v>
      </c>
    </row>
    <row r="102" spans="58:59">
      <c r="BF102" s="713" t="s">
        <v>86</v>
      </c>
      <c r="BG102" s="2">
        <v>2946</v>
      </c>
    </row>
    <row r="103" spans="58:59">
      <c r="BF103" s="713" t="s">
        <v>114</v>
      </c>
      <c r="BG103" s="2">
        <v>2932</v>
      </c>
    </row>
    <row r="104" spans="58:59">
      <c r="BF104" s="713" t="s">
        <v>22</v>
      </c>
      <c r="BG104" s="2">
        <v>2921</v>
      </c>
    </row>
    <row r="105" spans="58:59">
      <c r="BF105" s="713" t="s">
        <v>88</v>
      </c>
      <c r="BG105" s="2">
        <v>2882</v>
      </c>
    </row>
    <row r="106" spans="58:59">
      <c r="BF106" s="713" t="s">
        <v>124</v>
      </c>
      <c r="BG106" s="2">
        <v>2816</v>
      </c>
    </row>
    <row r="107" spans="58:59">
      <c r="BF107" s="713" t="s">
        <v>103</v>
      </c>
      <c r="BG107" s="2">
        <v>2685</v>
      </c>
    </row>
    <row r="108" spans="58:59">
      <c r="BF108" s="713" t="s">
        <v>100</v>
      </c>
      <c r="BG108" s="2">
        <v>2667</v>
      </c>
    </row>
    <row r="109" spans="58:59">
      <c r="BF109" s="713" t="s">
        <v>96</v>
      </c>
      <c r="BG109" s="2">
        <v>2628</v>
      </c>
    </row>
    <row r="110" spans="58:59">
      <c r="BF110" s="713" t="s">
        <v>94</v>
      </c>
      <c r="BG110" s="2">
        <v>2271</v>
      </c>
    </row>
    <row r="111" spans="58:59">
      <c r="BF111" s="713" t="s">
        <v>28</v>
      </c>
      <c r="BG111" s="2">
        <v>2128</v>
      </c>
    </row>
    <row r="112" spans="58:59">
      <c r="BF112" s="713" t="s">
        <v>92</v>
      </c>
      <c r="BG112" s="2">
        <v>2117</v>
      </c>
    </row>
    <row r="113" spans="58:59">
      <c r="BF113" s="713" t="s">
        <v>40</v>
      </c>
      <c r="BG113" s="2">
        <v>1782</v>
      </c>
    </row>
    <row r="114" spans="58:59">
      <c r="BF114" s="713" t="s">
        <v>90</v>
      </c>
      <c r="BG114" s="2">
        <v>1756</v>
      </c>
    </row>
    <row r="115" spans="58:59">
      <c r="BF115" s="713" t="s">
        <v>38</v>
      </c>
      <c r="BG115" s="2">
        <v>1688</v>
      </c>
    </row>
    <row r="116" spans="58:59">
      <c r="BF116" s="713" t="s">
        <v>46</v>
      </c>
      <c r="BG116" s="2">
        <v>1624</v>
      </c>
    </row>
    <row r="117" spans="58:59">
      <c r="BF117" s="713" t="s">
        <v>56</v>
      </c>
      <c r="BG117" s="2">
        <v>1561</v>
      </c>
    </row>
    <row r="118" spans="58:59">
      <c r="BF118" s="713" t="s">
        <v>74</v>
      </c>
      <c r="BG118" s="2">
        <v>1108</v>
      </c>
    </row>
    <row r="119" spans="58:59">
      <c r="BF119" s="713" t="s">
        <v>130</v>
      </c>
      <c r="BG119" s="2">
        <v>1049</v>
      </c>
    </row>
    <row r="120" spans="58:59">
      <c r="BF120" s="713" t="s">
        <v>34</v>
      </c>
      <c r="BG120" s="2">
        <v>871</v>
      </c>
    </row>
    <row r="121" spans="58:59">
      <c r="BF121" s="713" t="s">
        <v>80</v>
      </c>
      <c r="BG121" s="2">
        <v>857</v>
      </c>
    </row>
    <row r="122" spans="58:59">
      <c r="BF122" s="713" t="s">
        <v>119</v>
      </c>
      <c r="BG122" s="2">
        <v>719</v>
      </c>
    </row>
    <row r="123" spans="58:59">
      <c r="BF123" s="713" t="s">
        <v>140</v>
      </c>
      <c r="BG123" s="2">
        <v>63</v>
      </c>
    </row>
    <row r="124" spans="58:59">
      <c r="BF124" s="713" t="s">
        <v>137</v>
      </c>
      <c r="BG124" s="2">
        <v>33</v>
      </c>
    </row>
    <row r="125" spans="58:59">
      <c r="BF125" s="713" t="s">
        <v>121</v>
      </c>
      <c r="BG125" s="2">
        <v>25</v>
      </c>
    </row>
  </sheetData>
  <sortState ref="AZ10:BE19">
    <sortCondition descending="1" ref="BE10:BE19"/>
  </sortState>
  <mergeCells count="9">
    <mergeCell ref="A1:AE1"/>
    <mergeCell ref="A2:AE2"/>
    <mergeCell ref="A4:A6"/>
    <mergeCell ref="F4:I4"/>
    <mergeCell ref="F5:I5"/>
    <mergeCell ref="P4:T4"/>
    <mergeCell ref="P5:T5"/>
    <mergeCell ref="Z4:AD4"/>
    <mergeCell ref="Z5:AD5"/>
  </mergeCells>
  <pageMargins left="0.7" right="0.7" top="0.75" bottom="0.75" header="0.3" footer="0.3"/>
  <pageSetup paperSize="9" scale="58" orientation="portrait" horizontalDpi="4294967295" verticalDpi="4294967295" r:id="rId1"/>
  <rowBreaks count="1" manualBreakCount="1">
    <brk id="70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L80"/>
  <sheetViews>
    <sheetView zoomScale="89" zoomScaleNormal="89" workbookViewId="0">
      <selection activeCell="A35" sqref="A35"/>
    </sheetView>
  </sheetViews>
  <sheetFormatPr defaultColWidth="8.85546875" defaultRowHeight="18"/>
  <cols>
    <col min="1" max="1" width="29.7109375" style="2" customWidth="1"/>
    <col min="2" max="2" width="6.140625" style="2" hidden="1" customWidth="1"/>
    <col min="3" max="4" width="7.28515625" style="2" hidden="1" customWidth="1"/>
    <col min="5" max="5" width="0.5703125" style="2" hidden="1" customWidth="1"/>
    <col min="6" max="6" width="7.28515625" style="2" hidden="1" customWidth="1"/>
    <col min="7" max="7" width="0.5703125" style="2" hidden="1" customWidth="1"/>
    <col min="8" max="8" width="8.5703125" style="2" hidden="1" customWidth="1"/>
    <col min="9" max="9" width="0.5703125" style="2" hidden="1" customWidth="1"/>
    <col min="10" max="12" width="8.5703125" style="2" hidden="1" customWidth="1"/>
    <col min="13" max="21" width="10.5703125" style="2" customWidth="1"/>
    <col min="22" max="22" width="37" style="567" customWidth="1"/>
    <col min="23" max="23" width="2.5703125" style="2" customWidth="1"/>
    <col min="24" max="24" width="31.7109375" style="2" customWidth="1"/>
    <col min="25" max="29" width="38.42578125" style="2" customWidth="1"/>
    <col min="30" max="30" width="12.85546875" style="2" customWidth="1"/>
    <col min="31" max="31" width="16.85546875" style="2" customWidth="1"/>
    <col min="32" max="32" width="10.5703125" style="2" customWidth="1"/>
    <col min="33" max="33" width="9.7109375" style="2" customWidth="1"/>
    <col min="34" max="37" width="46.42578125" style="2" customWidth="1"/>
    <col min="38" max="16384" width="8.85546875" style="2"/>
  </cols>
  <sheetData>
    <row r="1" spans="1:38" ht="21.75" customHeight="1">
      <c r="A1" s="831" t="s">
        <v>1034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541"/>
      <c r="X1" s="541"/>
      <c r="Y1" s="541"/>
      <c r="Z1" s="541"/>
      <c r="AA1" s="541"/>
      <c r="AB1" s="541"/>
      <c r="AC1" s="541"/>
      <c r="AD1" s="60"/>
      <c r="AE1" s="60"/>
      <c r="AF1" s="60"/>
      <c r="AG1" s="60"/>
      <c r="AH1" s="60"/>
      <c r="AI1" s="60"/>
      <c r="AJ1" s="60"/>
      <c r="AK1" s="60"/>
    </row>
    <row r="2" spans="1:38" ht="22.5" customHeight="1">
      <c r="A2" s="832" t="s">
        <v>1033</v>
      </c>
      <c r="B2" s="832"/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61"/>
      <c r="X2" s="61"/>
      <c r="Y2" s="61"/>
      <c r="Z2" s="61"/>
      <c r="AA2" s="61"/>
      <c r="AB2" s="61"/>
      <c r="AC2" s="61"/>
      <c r="AD2" s="62"/>
      <c r="AE2" s="62"/>
      <c r="AF2" s="62"/>
      <c r="AG2" s="62"/>
      <c r="AH2" s="62"/>
      <c r="AI2" s="62"/>
      <c r="AJ2" s="62"/>
      <c r="AK2" s="62"/>
    </row>
    <row r="3" spans="1:38" s="6" customFormat="1" ht="18.600000000000001" customHeight="1">
      <c r="A3" s="63" t="s">
        <v>144</v>
      </c>
      <c r="B3" s="12">
        <v>2002</v>
      </c>
      <c r="C3" s="12">
        <v>2005</v>
      </c>
      <c r="D3" s="12">
        <v>2006</v>
      </c>
      <c r="E3" s="12"/>
      <c r="F3" s="12">
        <v>2007</v>
      </c>
      <c r="G3" s="12"/>
      <c r="H3" s="12">
        <v>2008</v>
      </c>
      <c r="I3" s="12"/>
      <c r="J3" s="12">
        <v>2009</v>
      </c>
      <c r="K3" s="12">
        <v>2010</v>
      </c>
      <c r="L3" s="12">
        <v>2011</v>
      </c>
      <c r="M3" s="12">
        <v>2012</v>
      </c>
      <c r="N3" s="12">
        <v>2013</v>
      </c>
      <c r="O3" s="12">
        <v>2014</v>
      </c>
      <c r="P3" s="12">
        <v>2015</v>
      </c>
      <c r="Q3" s="12">
        <v>2016</v>
      </c>
      <c r="R3" s="12">
        <v>2017</v>
      </c>
      <c r="S3" s="12">
        <v>2018</v>
      </c>
      <c r="T3" s="12">
        <v>2019</v>
      </c>
      <c r="U3" s="12">
        <v>2020</v>
      </c>
      <c r="V3" s="556" t="s">
        <v>145</v>
      </c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</row>
    <row r="4" spans="1:38" s="6" customFormat="1" ht="7.9" customHeight="1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557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</row>
    <row r="5" spans="1:38" s="72" customFormat="1" ht="17.25" customHeight="1">
      <c r="A5" s="67" t="s">
        <v>146</v>
      </c>
      <c r="B5" s="68"/>
      <c r="C5" s="69"/>
      <c r="D5" s="69"/>
      <c r="E5" s="69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558" t="s">
        <v>147</v>
      </c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</row>
    <row r="6" spans="1:38" s="72" customFormat="1" ht="17.25" customHeight="1">
      <c r="A6" s="67" t="s">
        <v>16</v>
      </c>
      <c r="B6" s="73">
        <v>18827</v>
      </c>
      <c r="C6" s="74">
        <f>SUM(C7:C10)</f>
        <v>20198</v>
      </c>
      <c r="D6" s="74">
        <f>SUM(D7:D10)</f>
        <v>20505</v>
      </c>
      <c r="E6" s="75"/>
      <c r="F6" s="74">
        <f>SUM(F7:F10)</f>
        <v>22187</v>
      </c>
      <c r="G6" s="74"/>
      <c r="H6" s="76">
        <f>SUM(H7:H10)</f>
        <v>23464</v>
      </c>
      <c r="I6" s="76"/>
      <c r="J6" s="76">
        <f>SUM(J7:J10)</f>
        <v>24978</v>
      </c>
      <c r="K6" s="76">
        <f t="shared" ref="K6:Q6" si="0">SUM(K7:K10)</f>
        <v>25709</v>
      </c>
      <c r="L6" s="76">
        <f t="shared" si="0"/>
        <v>26896</v>
      </c>
      <c r="M6" s="76">
        <f t="shared" si="0"/>
        <v>28120</v>
      </c>
      <c r="N6" s="76">
        <f t="shared" si="0"/>
        <v>29829</v>
      </c>
      <c r="O6" s="76">
        <f t="shared" si="0"/>
        <v>31673</v>
      </c>
      <c r="P6" s="76">
        <f t="shared" si="0"/>
        <v>34085</v>
      </c>
      <c r="Q6" s="76">
        <f t="shared" si="0"/>
        <v>37374</v>
      </c>
      <c r="R6" s="76">
        <f>SUM(R7:R10)</f>
        <v>41255</v>
      </c>
      <c r="S6" s="76">
        <f>SUM(S7:S10)</f>
        <v>45154</v>
      </c>
      <c r="T6" s="76">
        <f>SUM(T7:T10)</f>
        <v>51362</v>
      </c>
      <c r="U6" s="733">
        <f>SUM(U7:U10)</f>
        <v>52341.083333333336</v>
      </c>
      <c r="V6" s="559" t="s">
        <v>148</v>
      </c>
      <c r="W6" s="77"/>
      <c r="Y6" s="77"/>
      <c r="Z6" s="77"/>
      <c r="AA6" s="77"/>
      <c r="AB6" s="77"/>
      <c r="AC6" s="77"/>
      <c r="AD6" s="77"/>
      <c r="AE6" s="71"/>
      <c r="AF6" s="77"/>
      <c r="AG6" s="77"/>
      <c r="AH6" s="77"/>
      <c r="AI6" s="77"/>
      <c r="AJ6" s="77"/>
      <c r="AK6" s="77"/>
    </row>
    <row r="7" spans="1:38" s="72" customFormat="1" ht="17.25" customHeight="1">
      <c r="A7" s="78" t="s">
        <v>149</v>
      </c>
      <c r="B7" s="79">
        <v>16400</v>
      </c>
      <c r="C7" s="80">
        <v>17348</v>
      </c>
      <c r="D7" s="80">
        <v>17802</v>
      </c>
      <c r="E7" s="75"/>
      <c r="F7" s="80">
        <v>19028</v>
      </c>
      <c r="G7" s="81"/>
      <c r="H7" s="82">
        <v>19860</v>
      </c>
      <c r="I7" s="83"/>
      <c r="J7" s="84">
        <v>20942</v>
      </c>
      <c r="K7" s="84">
        <v>21350</v>
      </c>
      <c r="L7" s="84">
        <v>22120</v>
      </c>
      <c r="M7" s="84">
        <v>22889</v>
      </c>
      <c r="N7" s="84">
        <v>23487</v>
      </c>
      <c r="O7" s="84">
        <v>24031</v>
      </c>
      <c r="P7" s="84">
        <v>24877</v>
      </c>
      <c r="Q7" s="84">
        <v>26933</v>
      </c>
      <c r="R7" s="84">
        <v>29977</v>
      </c>
      <c r="S7" s="84">
        <v>31971</v>
      </c>
      <c r="T7" s="84">
        <v>37004</v>
      </c>
      <c r="U7" s="731">
        <v>37566.333333333336</v>
      </c>
      <c r="V7" s="85" t="s">
        <v>150</v>
      </c>
      <c r="W7" s="85"/>
      <c r="Y7" s="85"/>
      <c r="Z7" s="85"/>
      <c r="AA7" s="85"/>
      <c r="AB7" s="85"/>
      <c r="AC7" s="85"/>
      <c r="AD7" s="86"/>
      <c r="AE7" s="71"/>
      <c r="AF7" s="87"/>
      <c r="AG7" s="88"/>
      <c r="AH7" s="88"/>
      <c r="AI7" s="88"/>
      <c r="AJ7" s="88"/>
      <c r="AK7" s="88"/>
      <c r="AL7" s="89"/>
    </row>
    <row r="8" spans="1:38" s="72" customFormat="1" ht="17.25" customHeight="1">
      <c r="A8" s="78" t="s">
        <v>151</v>
      </c>
      <c r="B8" s="79">
        <v>670</v>
      </c>
      <c r="C8" s="90">
        <v>636</v>
      </c>
      <c r="D8" s="80">
        <v>713</v>
      </c>
      <c r="E8" s="81"/>
      <c r="F8" s="80">
        <v>836</v>
      </c>
      <c r="G8" s="81"/>
      <c r="H8" s="82">
        <v>1110</v>
      </c>
      <c r="I8" s="91"/>
      <c r="J8" s="84">
        <v>1368</v>
      </c>
      <c r="K8" s="84">
        <v>1449</v>
      </c>
      <c r="L8" s="84">
        <v>1603</v>
      </c>
      <c r="M8" s="84">
        <v>1627</v>
      </c>
      <c r="N8" s="84">
        <v>1708</v>
      </c>
      <c r="O8" s="84">
        <v>1704</v>
      </c>
      <c r="P8" s="84">
        <v>1648</v>
      </c>
      <c r="Q8" s="84">
        <v>1713</v>
      </c>
      <c r="R8" s="84">
        <v>1456</v>
      </c>
      <c r="S8" s="84">
        <v>1862</v>
      </c>
      <c r="T8" s="84">
        <v>1642</v>
      </c>
      <c r="U8" s="731">
        <v>1698</v>
      </c>
      <c r="V8" s="560" t="s">
        <v>152</v>
      </c>
      <c r="W8" s="92"/>
      <c r="Y8" s="92"/>
      <c r="Z8" s="92"/>
      <c r="AA8" s="92"/>
      <c r="AB8" s="92"/>
      <c r="AC8" s="92"/>
      <c r="AD8" s="86"/>
      <c r="AE8" s="71"/>
      <c r="AF8" s="87"/>
      <c r="AG8" s="88"/>
      <c r="AH8" s="88"/>
      <c r="AI8" s="88"/>
      <c r="AJ8" s="88"/>
      <c r="AK8" s="88"/>
    </row>
    <row r="9" spans="1:38" s="72" customFormat="1" ht="17.25" customHeight="1">
      <c r="A9" s="78" t="s">
        <v>153</v>
      </c>
      <c r="B9" s="93">
        <v>282</v>
      </c>
      <c r="C9" s="90">
        <v>425</v>
      </c>
      <c r="D9" s="90">
        <v>391</v>
      </c>
      <c r="E9" s="75"/>
      <c r="F9" s="80">
        <v>400</v>
      </c>
      <c r="G9" s="90"/>
      <c r="H9" s="82">
        <v>400</v>
      </c>
      <c r="I9" s="94"/>
      <c r="J9" s="84">
        <v>462</v>
      </c>
      <c r="K9" s="84">
        <v>476</v>
      </c>
      <c r="L9" s="84">
        <v>659</v>
      </c>
      <c r="M9" s="84">
        <v>1101</v>
      </c>
      <c r="N9" s="84">
        <v>1918</v>
      </c>
      <c r="O9" s="84">
        <v>3199</v>
      </c>
      <c r="P9" s="84">
        <v>4621</v>
      </c>
      <c r="Q9" s="84">
        <v>6034</v>
      </c>
      <c r="R9" s="84">
        <v>7304</v>
      </c>
      <c r="S9" s="84">
        <v>8563</v>
      </c>
      <c r="T9" s="84">
        <v>9753</v>
      </c>
      <c r="U9" s="731">
        <v>10154.333333333334</v>
      </c>
      <c r="V9" s="560" t="s">
        <v>154</v>
      </c>
      <c r="W9" s="92"/>
      <c r="Y9" s="92"/>
      <c r="Z9" s="92"/>
      <c r="AA9" s="92"/>
      <c r="AB9" s="92"/>
      <c r="AC9" s="92"/>
      <c r="AD9" s="86"/>
      <c r="AE9" s="71"/>
      <c r="AF9" s="87"/>
      <c r="AG9" s="88"/>
      <c r="AH9" s="88"/>
      <c r="AI9" s="88"/>
      <c r="AJ9" s="88"/>
      <c r="AK9" s="88"/>
    </row>
    <row r="10" spans="1:38" s="103" customFormat="1" ht="17.25" customHeight="1">
      <c r="A10" s="95" t="s">
        <v>155</v>
      </c>
      <c r="B10" s="96">
        <v>1475</v>
      </c>
      <c r="C10" s="97">
        <v>1789</v>
      </c>
      <c r="D10" s="97">
        <v>1599</v>
      </c>
      <c r="E10" s="98"/>
      <c r="F10" s="99">
        <v>1923</v>
      </c>
      <c r="G10" s="97"/>
      <c r="H10" s="100">
        <v>2094</v>
      </c>
      <c r="I10" s="101"/>
      <c r="J10" s="102">
        <v>2206</v>
      </c>
      <c r="K10" s="102">
        <v>2434</v>
      </c>
      <c r="L10" s="102">
        <v>2514</v>
      </c>
      <c r="M10" s="102">
        <v>2503</v>
      </c>
      <c r="N10" s="102">
        <v>2716</v>
      </c>
      <c r="O10" s="102">
        <v>2739</v>
      </c>
      <c r="P10" s="102">
        <v>2939</v>
      </c>
      <c r="Q10" s="102">
        <v>2694</v>
      </c>
      <c r="R10" s="102">
        <v>2518</v>
      </c>
      <c r="S10" s="102">
        <v>2758</v>
      </c>
      <c r="T10" s="102">
        <v>2963</v>
      </c>
      <c r="U10" s="732">
        <v>2922.4166666666665</v>
      </c>
      <c r="V10" s="561" t="s">
        <v>156</v>
      </c>
      <c r="W10" s="92"/>
      <c r="Y10" s="92"/>
      <c r="Z10" s="92"/>
      <c r="AA10" s="92"/>
      <c r="AB10" s="92"/>
      <c r="AC10" s="92"/>
      <c r="AD10" s="86"/>
      <c r="AE10" s="71"/>
      <c r="AF10" s="87"/>
      <c r="AG10" s="88"/>
      <c r="AH10" s="88"/>
      <c r="AI10" s="88"/>
      <c r="AJ10" s="88"/>
      <c r="AK10" s="88"/>
    </row>
    <row r="11" spans="1:38" ht="18.75">
      <c r="A11" s="67" t="s">
        <v>1025</v>
      </c>
      <c r="B11" s="68"/>
      <c r="C11" s="69"/>
      <c r="D11" s="69"/>
      <c r="E11" s="69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104" t="s">
        <v>157</v>
      </c>
      <c r="X11" s="620"/>
      <c r="Y11" s="620"/>
    </row>
    <row r="12" spans="1:38" ht="15.75">
      <c r="A12" s="67" t="s">
        <v>16</v>
      </c>
      <c r="B12" s="73">
        <v>18827</v>
      </c>
      <c r="C12" s="74">
        <f>SUM(C13:C16)</f>
        <v>20198</v>
      </c>
      <c r="D12" s="74">
        <f>SUM(D13:D16)</f>
        <v>20505</v>
      </c>
      <c r="E12" s="75"/>
      <c r="F12" s="74">
        <f>SUM(F13:F16)</f>
        <v>22187</v>
      </c>
      <c r="G12" s="74"/>
      <c r="H12" s="105" t="s">
        <v>138</v>
      </c>
      <c r="I12" s="105"/>
      <c r="J12" s="105" t="s">
        <v>138</v>
      </c>
      <c r="K12" s="105" t="s">
        <v>138</v>
      </c>
      <c r="L12" s="105" t="s">
        <v>138</v>
      </c>
      <c r="M12" s="76">
        <f t="shared" ref="M12:U12" si="1">SUM(M13:M16)</f>
        <v>26798.166666666664</v>
      </c>
      <c r="N12" s="76">
        <f t="shared" si="1"/>
        <v>27997.916666666664</v>
      </c>
      <c r="O12" s="76">
        <f t="shared" si="1"/>
        <v>29515.25</v>
      </c>
      <c r="P12" s="76">
        <f t="shared" si="1"/>
        <v>31423.916666666672</v>
      </c>
      <c r="Q12" s="76">
        <f t="shared" si="1"/>
        <v>33802.25</v>
      </c>
      <c r="R12" s="76">
        <f t="shared" si="1"/>
        <v>38592.333333333336</v>
      </c>
      <c r="S12" s="76">
        <f t="shared" si="1"/>
        <v>41886.666666666672</v>
      </c>
      <c r="T12" s="76">
        <f t="shared" si="1"/>
        <v>47268.5</v>
      </c>
      <c r="U12" s="76">
        <f t="shared" si="1"/>
        <v>27744.666666666668</v>
      </c>
      <c r="V12" s="559" t="s">
        <v>148</v>
      </c>
      <c r="X12" s="621"/>
      <c r="Y12" s="621"/>
    </row>
    <row r="13" spans="1:38" ht="18.75">
      <c r="A13" s="78" t="s">
        <v>149</v>
      </c>
      <c r="B13" s="79">
        <v>16400</v>
      </c>
      <c r="C13" s="80">
        <v>17348</v>
      </c>
      <c r="D13" s="80">
        <v>17802</v>
      </c>
      <c r="E13" s="75"/>
      <c r="F13" s="80">
        <v>19028</v>
      </c>
      <c r="G13" s="81"/>
      <c r="H13" s="105" t="s">
        <v>138</v>
      </c>
      <c r="I13" s="105"/>
      <c r="J13" s="105" t="s">
        <v>138</v>
      </c>
      <c r="K13" s="105" t="s">
        <v>138</v>
      </c>
      <c r="L13" s="105" t="s">
        <v>138</v>
      </c>
      <c r="M13" s="84">
        <v>21887.833333333332</v>
      </c>
      <c r="N13" s="84">
        <v>22511.833333333332</v>
      </c>
      <c r="O13" s="84">
        <v>22986.166666666668</v>
      </c>
      <c r="P13" s="84">
        <v>23348.416666666668</v>
      </c>
      <c r="Q13" s="84">
        <v>24567.666666666668</v>
      </c>
      <c r="R13" s="84">
        <v>27685.916666666668</v>
      </c>
      <c r="S13" s="84">
        <v>29399.666666666668</v>
      </c>
      <c r="T13" s="84">
        <v>33439.75</v>
      </c>
      <c r="U13" s="625">
        <v>21445.666666666668</v>
      </c>
      <c r="V13" s="85" t="s">
        <v>150</v>
      </c>
      <c r="X13" s="621"/>
      <c r="Y13" s="620"/>
    </row>
    <row r="14" spans="1:38" ht="15.75">
      <c r="A14" s="78" t="s">
        <v>151</v>
      </c>
      <c r="B14" s="79">
        <v>670</v>
      </c>
      <c r="C14" s="90">
        <v>636</v>
      </c>
      <c r="D14" s="80">
        <v>713</v>
      </c>
      <c r="E14" s="81"/>
      <c r="F14" s="80">
        <v>836</v>
      </c>
      <c r="G14" s="81"/>
      <c r="H14" s="105" t="s">
        <v>138</v>
      </c>
      <c r="I14" s="105"/>
      <c r="J14" s="105" t="s">
        <v>138</v>
      </c>
      <c r="K14" s="105" t="s">
        <v>138</v>
      </c>
      <c r="L14" s="105" t="s">
        <v>138</v>
      </c>
      <c r="M14" s="84">
        <v>1591.3333333333333</v>
      </c>
      <c r="N14" s="84">
        <v>1540.0833333333333</v>
      </c>
      <c r="O14" s="84">
        <v>1435.25</v>
      </c>
      <c r="P14" s="84">
        <v>1456.1666666666667</v>
      </c>
      <c r="Q14" s="84">
        <v>1465.5</v>
      </c>
      <c r="R14" s="84">
        <v>1496.8333333333333</v>
      </c>
      <c r="S14" s="84">
        <v>1759</v>
      </c>
      <c r="T14" s="84">
        <v>1723</v>
      </c>
      <c r="U14" s="625">
        <v>1032.5</v>
      </c>
      <c r="V14" s="560" t="s">
        <v>152</v>
      </c>
      <c r="X14" s="620"/>
      <c r="Y14" s="620"/>
    </row>
    <row r="15" spans="1:38" ht="15.75">
      <c r="A15" s="78" t="s">
        <v>153</v>
      </c>
      <c r="B15" s="93">
        <v>282</v>
      </c>
      <c r="C15" s="90">
        <v>425</v>
      </c>
      <c r="D15" s="90">
        <v>391</v>
      </c>
      <c r="E15" s="75"/>
      <c r="F15" s="80">
        <v>400</v>
      </c>
      <c r="G15" s="90"/>
      <c r="H15" s="105" t="s">
        <v>138</v>
      </c>
      <c r="I15" s="105"/>
      <c r="J15" s="105" t="s">
        <v>138</v>
      </c>
      <c r="K15" s="105" t="s">
        <v>138</v>
      </c>
      <c r="L15" s="105" t="s">
        <v>138</v>
      </c>
      <c r="M15" s="84">
        <v>844.5</v>
      </c>
      <c r="N15" s="84">
        <v>1401.5833333333333</v>
      </c>
      <c r="O15" s="84">
        <v>2477.25</v>
      </c>
      <c r="P15" s="84">
        <v>3831.1666666666665</v>
      </c>
      <c r="Q15" s="84">
        <v>5248.916666666667</v>
      </c>
      <c r="R15" s="84">
        <v>6728.833333333333</v>
      </c>
      <c r="S15" s="84">
        <v>8000</v>
      </c>
      <c r="T15" s="84">
        <v>9200.1666666666661</v>
      </c>
      <c r="U15" s="625">
        <v>3615.0833333333335</v>
      </c>
      <c r="V15" s="560" t="s">
        <v>154</v>
      </c>
      <c r="X15" s="620"/>
      <c r="Y15" s="620"/>
    </row>
    <row r="16" spans="1:38" ht="15.75">
      <c r="A16" s="106" t="s">
        <v>155</v>
      </c>
      <c r="B16" s="107">
        <v>1475</v>
      </c>
      <c r="C16" s="108">
        <v>1789</v>
      </c>
      <c r="D16" s="108">
        <v>1599</v>
      </c>
      <c r="E16" s="109"/>
      <c r="F16" s="110">
        <v>1923</v>
      </c>
      <c r="G16" s="108"/>
      <c r="H16" s="111" t="s">
        <v>138</v>
      </c>
      <c r="I16" s="111"/>
      <c r="J16" s="111" t="s">
        <v>138</v>
      </c>
      <c r="K16" s="111" t="s">
        <v>138</v>
      </c>
      <c r="L16" s="111" t="s">
        <v>138</v>
      </c>
      <c r="M16" s="112">
        <v>2474.5</v>
      </c>
      <c r="N16" s="112">
        <v>2544.4166666666665</v>
      </c>
      <c r="O16" s="112">
        <v>2616.5833333333335</v>
      </c>
      <c r="P16" s="112">
        <v>2788.1666666666665</v>
      </c>
      <c r="Q16" s="112">
        <v>2520.1666666666665</v>
      </c>
      <c r="R16" s="112">
        <v>2680.75</v>
      </c>
      <c r="S16" s="112">
        <v>2728</v>
      </c>
      <c r="T16" s="112">
        <v>2905.5833333333335</v>
      </c>
      <c r="U16" s="626">
        <v>1651.4166666666667</v>
      </c>
      <c r="V16" s="562" t="s">
        <v>156</v>
      </c>
      <c r="X16" s="243"/>
      <c r="Y16" s="243"/>
    </row>
    <row r="17" spans="1:37" ht="12.75" customHeight="1">
      <c r="A17" s="67" t="s">
        <v>158</v>
      </c>
      <c r="B17" s="113"/>
      <c r="C17" s="114"/>
      <c r="D17" s="114"/>
      <c r="E17" s="75"/>
      <c r="F17" s="115"/>
      <c r="G17" s="114"/>
      <c r="H17" s="116"/>
      <c r="I17" s="117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570" t="s">
        <v>159</v>
      </c>
      <c r="W17" s="118"/>
      <c r="X17" s="118"/>
      <c r="Y17" s="118"/>
      <c r="Z17" s="118"/>
      <c r="AA17" s="118"/>
      <c r="AB17" s="118"/>
      <c r="AC17" s="118"/>
      <c r="AD17" s="77"/>
      <c r="AE17" s="71"/>
      <c r="AF17" s="77"/>
      <c r="AG17" s="77"/>
      <c r="AH17" s="77"/>
      <c r="AI17" s="77"/>
      <c r="AJ17" s="77"/>
      <c r="AK17" s="77"/>
    </row>
    <row r="18" spans="1:37" s="72" customFormat="1" ht="17.25" customHeight="1">
      <c r="A18" s="67" t="s">
        <v>16</v>
      </c>
      <c r="B18" s="119">
        <v>208</v>
      </c>
      <c r="C18" s="120">
        <f>SUM(C19:C22)</f>
        <v>245</v>
      </c>
      <c r="D18" s="120">
        <f>SUM(D19:D22)</f>
        <v>235</v>
      </c>
      <c r="E18" s="75"/>
      <c r="F18" s="120">
        <f>SUM(F19:F22)</f>
        <v>260</v>
      </c>
      <c r="G18" s="121"/>
      <c r="H18" s="122">
        <f>SUM(H19:H22)</f>
        <v>274</v>
      </c>
      <c r="I18" s="122">
        <f t="shared" ref="I18:P18" si="2">SUM(I19:I22)</f>
        <v>0</v>
      </c>
      <c r="J18" s="122">
        <f t="shared" si="2"/>
        <v>278</v>
      </c>
      <c r="K18" s="122">
        <f t="shared" si="2"/>
        <v>295</v>
      </c>
      <c r="L18" s="122">
        <f t="shared" si="2"/>
        <v>315</v>
      </c>
      <c r="M18" s="122">
        <f t="shared" si="2"/>
        <v>353</v>
      </c>
      <c r="N18" s="122">
        <f t="shared" si="2"/>
        <v>429</v>
      </c>
      <c r="O18" s="122">
        <f>SUM(O19:O22)</f>
        <v>511</v>
      </c>
      <c r="P18" s="122">
        <f t="shared" si="2"/>
        <v>615</v>
      </c>
      <c r="Q18" s="122">
        <f>SUM(Q19:Q22)</f>
        <v>679</v>
      </c>
      <c r="R18" s="122">
        <f>SUM(R19:R22)</f>
        <v>736</v>
      </c>
      <c r="S18" s="122">
        <f>SUM(S19:S22)</f>
        <v>825</v>
      </c>
      <c r="T18" s="122">
        <f>SUM(T19:T22)</f>
        <v>938</v>
      </c>
      <c r="U18" s="122">
        <f>SUM(U19:U22)</f>
        <v>952</v>
      </c>
      <c r="V18" s="559" t="s">
        <v>148</v>
      </c>
      <c r="W18" s="77"/>
      <c r="Z18" s="77"/>
      <c r="AA18" s="77"/>
      <c r="AB18" s="77"/>
      <c r="AC18" s="77"/>
      <c r="AD18" s="77"/>
      <c r="AE18" s="71"/>
      <c r="AF18" s="77"/>
      <c r="AG18" s="77"/>
      <c r="AH18" s="77"/>
      <c r="AI18" s="77"/>
      <c r="AJ18" s="77"/>
      <c r="AK18" s="77"/>
    </row>
    <row r="19" spans="1:37" s="72" customFormat="1" ht="17.25" customHeight="1">
      <c r="A19" s="78" t="s">
        <v>149</v>
      </c>
      <c r="B19" s="123">
        <v>87</v>
      </c>
      <c r="C19" s="124">
        <v>88</v>
      </c>
      <c r="D19" s="124">
        <v>89</v>
      </c>
      <c r="E19" s="75"/>
      <c r="F19" s="125">
        <v>92</v>
      </c>
      <c r="G19" s="124"/>
      <c r="H19" s="84">
        <v>94</v>
      </c>
      <c r="I19" s="126"/>
      <c r="J19" s="84">
        <v>97</v>
      </c>
      <c r="K19" s="84">
        <v>97</v>
      </c>
      <c r="L19" s="84">
        <v>101</v>
      </c>
      <c r="M19" s="84">
        <v>105</v>
      </c>
      <c r="N19" s="84">
        <v>110</v>
      </c>
      <c r="O19" s="84">
        <v>111</v>
      </c>
      <c r="P19" s="84">
        <v>115</v>
      </c>
      <c r="Q19" s="84">
        <v>126</v>
      </c>
      <c r="R19" s="84">
        <v>135</v>
      </c>
      <c r="S19" s="84">
        <v>145</v>
      </c>
      <c r="T19" s="84">
        <v>164</v>
      </c>
      <c r="U19" s="625">
        <v>159</v>
      </c>
      <c r="V19" s="85" t="s">
        <v>150</v>
      </c>
      <c r="W19" s="85"/>
      <c r="Y19" s="85"/>
      <c r="Z19" s="85"/>
      <c r="AA19" s="85"/>
      <c r="AB19" s="85"/>
      <c r="AC19" s="85"/>
      <c r="AD19" s="127"/>
      <c r="AE19" s="71"/>
      <c r="AF19" s="88"/>
      <c r="AG19" s="88"/>
      <c r="AH19" s="88"/>
      <c r="AI19" s="88"/>
      <c r="AJ19" s="88"/>
      <c r="AK19" s="88"/>
    </row>
    <row r="20" spans="1:37" s="72" customFormat="1" ht="17.25" customHeight="1">
      <c r="A20" s="78" t="s">
        <v>151</v>
      </c>
      <c r="B20" s="68">
        <v>8</v>
      </c>
      <c r="C20" s="124">
        <v>8</v>
      </c>
      <c r="D20" s="124">
        <v>9</v>
      </c>
      <c r="E20" s="75"/>
      <c r="F20" s="125">
        <v>11</v>
      </c>
      <c r="G20" s="124"/>
      <c r="H20" s="84">
        <v>13</v>
      </c>
      <c r="I20" s="126"/>
      <c r="J20" s="84">
        <v>14</v>
      </c>
      <c r="K20" s="84">
        <v>17</v>
      </c>
      <c r="L20" s="84">
        <v>19</v>
      </c>
      <c r="M20" s="84">
        <v>19</v>
      </c>
      <c r="N20" s="84">
        <v>20</v>
      </c>
      <c r="O20" s="84">
        <v>19</v>
      </c>
      <c r="P20" s="84">
        <v>17</v>
      </c>
      <c r="Q20" s="84">
        <v>16</v>
      </c>
      <c r="R20" s="84">
        <v>10</v>
      </c>
      <c r="S20" s="84">
        <v>12</v>
      </c>
      <c r="T20" s="84">
        <v>12</v>
      </c>
      <c r="U20" s="625">
        <v>13</v>
      </c>
      <c r="V20" s="560" t="s">
        <v>160</v>
      </c>
      <c r="W20" s="92"/>
      <c r="Y20" s="92"/>
      <c r="Z20" s="92"/>
      <c r="AA20" s="92"/>
      <c r="AB20" s="92"/>
      <c r="AC20" s="92"/>
      <c r="AD20" s="127"/>
      <c r="AE20" s="71"/>
      <c r="AF20" s="88"/>
      <c r="AG20" s="88"/>
      <c r="AH20" s="88"/>
      <c r="AI20" s="88"/>
      <c r="AJ20" s="88"/>
      <c r="AK20" s="88"/>
    </row>
    <row r="21" spans="1:37" s="72" customFormat="1" ht="17.25" customHeight="1">
      <c r="A21" s="78" t="s">
        <v>153</v>
      </c>
      <c r="B21" s="68">
        <v>17</v>
      </c>
      <c r="C21" s="125">
        <v>28</v>
      </c>
      <c r="D21" s="124">
        <v>21</v>
      </c>
      <c r="E21" s="75"/>
      <c r="F21" s="125">
        <v>24</v>
      </c>
      <c r="G21" s="124"/>
      <c r="H21" s="84">
        <v>24</v>
      </c>
      <c r="I21" s="84"/>
      <c r="J21" s="84">
        <v>22</v>
      </c>
      <c r="K21" s="84">
        <v>25</v>
      </c>
      <c r="L21" s="84">
        <v>38</v>
      </c>
      <c r="M21" s="84">
        <v>75</v>
      </c>
      <c r="N21" s="84">
        <v>136</v>
      </c>
      <c r="O21" s="84">
        <v>220</v>
      </c>
      <c r="P21" s="84">
        <v>313</v>
      </c>
      <c r="Q21" s="84">
        <v>393</v>
      </c>
      <c r="R21" s="84">
        <v>458</v>
      </c>
      <c r="S21" s="84">
        <v>521</v>
      </c>
      <c r="T21" s="84">
        <v>605</v>
      </c>
      <c r="U21" s="625">
        <v>638</v>
      </c>
      <c r="V21" s="560" t="s">
        <v>154</v>
      </c>
      <c r="W21" s="92"/>
      <c r="Y21" s="92"/>
      <c r="Z21" s="92"/>
      <c r="AA21" s="92"/>
      <c r="AB21" s="92"/>
      <c r="AC21" s="92"/>
      <c r="AD21" s="127"/>
      <c r="AE21" s="88"/>
      <c r="AF21" s="128"/>
      <c r="AG21" s="88"/>
      <c r="AH21" s="88"/>
      <c r="AI21" s="88"/>
      <c r="AJ21" s="88"/>
      <c r="AK21" s="88"/>
    </row>
    <row r="22" spans="1:37" s="72" customFormat="1" ht="17.25" customHeight="1">
      <c r="A22" s="95" t="s">
        <v>155</v>
      </c>
      <c r="B22" s="129">
        <v>96</v>
      </c>
      <c r="C22" s="130">
        <v>121</v>
      </c>
      <c r="D22" s="131">
        <v>116</v>
      </c>
      <c r="E22" s="131"/>
      <c r="F22" s="131">
        <v>133</v>
      </c>
      <c r="G22" s="131"/>
      <c r="H22" s="132">
        <v>143</v>
      </c>
      <c r="I22" s="132"/>
      <c r="J22" s="132">
        <v>145</v>
      </c>
      <c r="K22" s="132">
        <v>156</v>
      </c>
      <c r="L22" s="132">
        <v>157</v>
      </c>
      <c r="M22" s="132">
        <v>154</v>
      </c>
      <c r="N22" s="132">
        <v>163</v>
      </c>
      <c r="O22" s="132">
        <v>161</v>
      </c>
      <c r="P22" s="132">
        <v>170</v>
      </c>
      <c r="Q22" s="132">
        <v>144</v>
      </c>
      <c r="R22" s="132">
        <v>133</v>
      </c>
      <c r="S22" s="132">
        <v>147</v>
      </c>
      <c r="T22" s="132">
        <v>157</v>
      </c>
      <c r="U22" s="627">
        <v>142</v>
      </c>
      <c r="V22" s="563" t="s">
        <v>156</v>
      </c>
      <c r="W22" s="133"/>
      <c r="Y22" s="133"/>
      <c r="Z22" s="133"/>
      <c r="AA22" s="133"/>
      <c r="AB22" s="133"/>
      <c r="AC22" s="133"/>
      <c r="AD22" s="127"/>
      <c r="AE22" s="134"/>
      <c r="AF22" s="128"/>
      <c r="AG22" s="134"/>
      <c r="AH22" s="134"/>
      <c r="AI22" s="134"/>
      <c r="AJ22" s="134"/>
      <c r="AK22" s="134"/>
    </row>
    <row r="23" spans="1:37" ht="18.75">
      <c r="A23" s="67" t="s">
        <v>161</v>
      </c>
      <c r="B23" s="68"/>
      <c r="C23" s="69"/>
      <c r="D23" s="69"/>
      <c r="E23" s="69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570" t="s">
        <v>162</v>
      </c>
    </row>
    <row r="24" spans="1:37" ht="15.75">
      <c r="A24" s="67" t="s">
        <v>16</v>
      </c>
      <c r="B24" s="73">
        <v>18827</v>
      </c>
      <c r="C24" s="74">
        <f>SUM(C25:C28)</f>
        <v>20198</v>
      </c>
      <c r="D24" s="74">
        <f>SUM(D25:D28)</f>
        <v>20505</v>
      </c>
      <c r="E24" s="75"/>
      <c r="F24" s="74">
        <f>SUM(F25:F28)</f>
        <v>22187</v>
      </c>
      <c r="G24" s="74"/>
      <c r="H24" s="105" t="s">
        <v>138</v>
      </c>
      <c r="I24" s="105"/>
      <c r="J24" s="105" t="s">
        <v>138</v>
      </c>
      <c r="K24" s="105" t="s">
        <v>138</v>
      </c>
      <c r="L24" s="105" t="s">
        <v>138</v>
      </c>
      <c r="M24" s="76">
        <f t="shared" ref="M24:U24" si="3">SUM(M25:M28)</f>
        <v>323.08333333333337</v>
      </c>
      <c r="N24" s="76">
        <f t="shared" si="3"/>
        <v>370.33333333333337</v>
      </c>
      <c r="O24" s="76">
        <f t="shared" si="3"/>
        <v>448.16666666666663</v>
      </c>
      <c r="P24" s="76">
        <f t="shared" si="3"/>
        <v>540.33333333333337</v>
      </c>
      <c r="Q24" s="76">
        <f t="shared" si="3"/>
        <v>611.41666666666663</v>
      </c>
      <c r="R24" s="76">
        <f t="shared" si="3"/>
        <v>713.41666666666663</v>
      </c>
      <c r="S24" s="76">
        <f t="shared" si="3"/>
        <v>777</v>
      </c>
      <c r="T24" s="76">
        <f t="shared" si="3"/>
        <v>872.16666666666663</v>
      </c>
      <c r="U24" s="76">
        <f t="shared" si="3"/>
        <v>550</v>
      </c>
      <c r="V24" s="559" t="s">
        <v>148</v>
      </c>
    </row>
    <row r="25" spans="1:37" ht="18.75">
      <c r="A25" s="78" t="s">
        <v>149</v>
      </c>
      <c r="B25" s="135">
        <v>16400</v>
      </c>
      <c r="C25" s="136">
        <v>17348</v>
      </c>
      <c r="D25" s="136">
        <v>17802</v>
      </c>
      <c r="E25" s="137"/>
      <c r="F25" s="136">
        <v>19028</v>
      </c>
      <c r="G25" s="81"/>
      <c r="H25" s="105" t="s">
        <v>138</v>
      </c>
      <c r="I25" s="105"/>
      <c r="J25" s="105" t="s">
        <v>138</v>
      </c>
      <c r="K25" s="105" t="s">
        <v>138</v>
      </c>
      <c r="L25" s="105" t="s">
        <v>138</v>
      </c>
      <c r="M25" s="84">
        <v>97.666666666666671</v>
      </c>
      <c r="N25" s="84">
        <v>101.08333333333333</v>
      </c>
      <c r="O25" s="84">
        <v>104.41666666666667</v>
      </c>
      <c r="P25" s="84">
        <v>104.83333333333333</v>
      </c>
      <c r="Q25" s="84">
        <v>111.08333333333333</v>
      </c>
      <c r="R25" s="84">
        <v>124.08333333333333</v>
      </c>
      <c r="S25" s="84">
        <v>130</v>
      </c>
      <c r="T25" s="84">
        <v>146</v>
      </c>
      <c r="U25" s="625">
        <v>140</v>
      </c>
      <c r="V25" s="85" t="s">
        <v>150</v>
      </c>
    </row>
    <row r="26" spans="1:37" ht="15.75">
      <c r="A26" s="78" t="s">
        <v>151</v>
      </c>
      <c r="B26" s="135">
        <v>670</v>
      </c>
      <c r="C26" s="138">
        <v>636</v>
      </c>
      <c r="D26" s="136">
        <v>713</v>
      </c>
      <c r="E26" s="139"/>
      <c r="F26" s="136">
        <v>836</v>
      </c>
      <c r="G26" s="81"/>
      <c r="H26" s="105" t="s">
        <v>138</v>
      </c>
      <c r="I26" s="105"/>
      <c r="J26" s="105" t="s">
        <v>138</v>
      </c>
      <c r="K26" s="105" t="s">
        <v>138</v>
      </c>
      <c r="L26" s="105" t="s">
        <v>138</v>
      </c>
      <c r="M26" s="84">
        <v>18.583333333333332</v>
      </c>
      <c r="N26" s="84">
        <v>17.333333333333332</v>
      </c>
      <c r="O26" s="84">
        <v>15.583333333333334</v>
      </c>
      <c r="P26" s="84">
        <v>14.333333333333334</v>
      </c>
      <c r="Q26" s="84">
        <v>12.666666666666666</v>
      </c>
      <c r="R26" s="84">
        <v>11.916666666666666</v>
      </c>
      <c r="S26" s="84">
        <v>12</v>
      </c>
      <c r="T26" s="84">
        <v>11.416666666666666</v>
      </c>
      <c r="U26" s="625">
        <v>11</v>
      </c>
      <c r="V26" s="560" t="s">
        <v>152</v>
      </c>
    </row>
    <row r="27" spans="1:37" ht="15.75">
      <c r="A27" s="78" t="s">
        <v>153</v>
      </c>
      <c r="B27" s="140">
        <v>282</v>
      </c>
      <c r="C27" s="138">
        <v>425</v>
      </c>
      <c r="D27" s="138">
        <v>391</v>
      </c>
      <c r="E27" s="137"/>
      <c r="F27" s="136">
        <v>400</v>
      </c>
      <c r="G27" s="90"/>
      <c r="H27" s="105" t="s">
        <v>138</v>
      </c>
      <c r="I27" s="105"/>
      <c r="J27" s="105" t="s">
        <v>138</v>
      </c>
      <c r="K27" s="105" t="s">
        <v>138</v>
      </c>
      <c r="L27" s="105" t="s">
        <v>138</v>
      </c>
      <c r="M27" s="84">
        <v>54.333333333333336</v>
      </c>
      <c r="N27" s="84">
        <v>98.833333333333329</v>
      </c>
      <c r="O27" s="84">
        <v>172.91666666666666</v>
      </c>
      <c r="P27" s="84">
        <v>261.66666666666669</v>
      </c>
      <c r="Q27" s="84">
        <v>353.5</v>
      </c>
      <c r="R27" s="84">
        <v>433.58333333333331</v>
      </c>
      <c r="S27" s="84">
        <v>490</v>
      </c>
      <c r="T27" s="84">
        <v>561</v>
      </c>
      <c r="U27" s="625">
        <v>268</v>
      </c>
      <c r="V27" s="560" t="s">
        <v>154</v>
      </c>
    </row>
    <row r="28" spans="1:37" ht="15.75">
      <c r="A28" s="106" t="s">
        <v>155</v>
      </c>
      <c r="B28" s="141">
        <v>1475</v>
      </c>
      <c r="C28" s="142">
        <v>1789</v>
      </c>
      <c r="D28" s="142">
        <v>1599</v>
      </c>
      <c r="E28" s="143"/>
      <c r="F28" s="144">
        <v>1923</v>
      </c>
      <c r="G28" s="108"/>
      <c r="H28" s="111" t="s">
        <v>138</v>
      </c>
      <c r="I28" s="111"/>
      <c r="J28" s="111" t="s">
        <v>138</v>
      </c>
      <c r="K28" s="111" t="s">
        <v>138</v>
      </c>
      <c r="L28" s="111" t="s">
        <v>138</v>
      </c>
      <c r="M28" s="112">
        <v>152.5</v>
      </c>
      <c r="N28" s="112">
        <v>153.08333333333334</v>
      </c>
      <c r="O28" s="112">
        <v>155.25</v>
      </c>
      <c r="P28" s="112">
        <v>159.5</v>
      </c>
      <c r="Q28" s="112">
        <v>134.16666666666666</v>
      </c>
      <c r="R28" s="112">
        <v>143.83333333333334</v>
      </c>
      <c r="S28" s="112">
        <v>145</v>
      </c>
      <c r="T28" s="112">
        <v>153.75</v>
      </c>
      <c r="U28" s="626">
        <v>131</v>
      </c>
      <c r="V28" s="562" t="s">
        <v>156</v>
      </c>
    </row>
    <row r="29" spans="1:37" ht="18.75">
      <c r="A29" s="67" t="s">
        <v>559</v>
      </c>
      <c r="B29" s="113"/>
      <c r="C29" s="114"/>
      <c r="D29" s="114"/>
      <c r="E29" s="75"/>
      <c r="F29" s="115"/>
      <c r="G29" s="114"/>
      <c r="H29" s="116"/>
      <c r="I29" s="117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104" t="s">
        <v>163</v>
      </c>
    </row>
    <row r="30" spans="1:37" ht="18.75">
      <c r="A30" s="78" t="s">
        <v>149</v>
      </c>
      <c r="B30" s="123">
        <v>87</v>
      </c>
      <c r="C30" s="124">
        <v>88</v>
      </c>
      <c r="D30" s="124">
        <v>89</v>
      </c>
      <c r="E30" s="75"/>
      <c r="F30" s="125">
        <v>92</v>
      </c>
      <c r="G30" s="124"/>
      <c r="H30" s="105" t="s">
        <v>138</v>
      </c>
      <c r="I30" s="105"/>
      <c r="J30" s="105" t="s">
        <v>138</v>
      </c>
      <c r="K30" s="105" t="s">
        <v>138</v>
      </c>
      <c r="L30" s="105" t="s">
        <v>138</v>
      </c>
      <c r="M30" s="84">
        <v>86.688769701127484</v>
      </c>
      <c r="N30" s="84">
        <v>88.595126530663109</v>
      </c>
      <c r="O30" s="84">
        <v>81.856214093483658</v>
      </c>
      <c r="P30" s="84">
        <v>76.220607180907422</v>
      </c>
      <c r="Q30" s="84">
        <v>73.996436740211678</v>
      </c>
      <c r="R30" s="84">
        <v>72.738665701182953</v>
      </c>
      <c r="S30" s="84">
        <v>74.599999999999994</v>
      </c>
      <c r="T30" s="84">
        <v>74.139742717834707</v>
      </c>
      <c r="U30" s="625">
        <v>28.978640707515321</v>
      </c>
      <c r="V30" s="85" t="s">
        <v>150</v>
      </c>
    </row>
    <row r="31" spans="1:37" ht="15.75">
      <c r="A31" s="78" t="s">
        <v>151</v>
      </c>
      <c r="B31" s="68">
        <v>8</v>
      </c>
      <c r="C31" s="124">
        <v>8</v>
      </c>
      <c r="D31" s="124">
        <v>9</v>
      </c>
      <c r="E31" s="75"/>
      <c r="F31" s="125">
        <v>11</v>
      </c>
      <c r="G31" s="124"/>
      <c r="H31" s="105" t="s">
        <v>138</v>
      </c>
      <c r="I31" s="105"/>
      <c r="J31" s="105" t="s">
        <v>138</v>
      </c>
      <c r="K31" s="105" t="s">
        <v>138</v>
      </c>
      <c r="L31" s="105" t="s">
        <v>138</v>
      </c>
      <c r="M31" s="84">
        <v>36.663245078967122</v>
      </c>
      <c r="N31" s="84">
        <v>37.491387357802637</v>
      </c>
      <c r="O31" s="84">
        <v>42.621855635268837</v>
      </c>
      <c r="P31" s="84">
        <v>38.453285628742037</v>
      </c>
      <c r="Q31" s="84">
        <v>40.343422717733894</v>
      </c>
      <c r="R31" s="84">
        <v>44.192331264448093</v>
      </c>
      <c r="S31" s="84">
        <v>40.4</v>
      </c>
      <c r="T31" s="84">
        <v>45.412556932056837</v>
      </c>
      <c r="U31" s="625">
        <v>17.074461530906429</v>
      </c>
      <c r="V31" s="560" t="s">
        <v>160</v>
      </c>
    </row>
    <row r="32" spans="1:37" ht="15.75">
      <c r="A32" s="78" t="s">
        <v>153</v>
      </c>
      <c r="B32" s="68">
        <v>17</v>
      </c>
      <c r="C32" s="125">
        <v>28</v>
      </c>
      <c r="D32" s="124">
        <v>21</v>
      </c>
      <c r="E32" s="75"/>
      <c r="F32" s="125">
        <v>24</v>
      </c>
      <c r="G32" s="124"/>
      <c r="H32" s="105" t="s">
        <v>138</v>
      </c>
      <c r="I32" s="105"/>
      <c r="J32" s="105" t="s">
        <v>138</v>
      </c>
      <c r="K32" s="105" t="s">
        <v>138</v>
      </c>
      <c r="L32" s="105" t="s">
        <v>138</v>
      </c>
      <c r="M32" s="84">
        <v>18.438426739984173</v>
      </c>
      <c r="N32" s="84">
        <v>23.215800959283015</v>
      </c>
      <c r="O32" s="84">
        <v>18.290859127152753</v>
      </c>
      <c r="P32" s="84">
        <v>23.754186523394655</v>
      </c>
      <c r="Q32" s="84">
        <v>33.515560141504473</v>
      </c>
      <c r="R32" s="84">
        <v>30.768031823623502</v>
      </c>
      <c r="S32" s="84">
        <v>32.6</v>
      </c>
      <c r="T32" s="84">
        <v>33.86767677413031</v>
      </c>
      <c r="U32" s="625">
        <v>18.371216403823603</v>
      </c>
      <c r="V32" s="560" t="s">
        <v>154</v>
      </c>
    </row>
    <row r="33" spans="1:38" ht="17.25">
      <c r="A33" s="106" t="s">
        <v>155</v>
      </c>
      <c r="B33" s="145">
        <v>96</v>
      </c>
      <c r="C33" s="146">
        <v>121</v>
      </c>
      <c r="D33" s="147">
        <v>116</v>
      </c>
      <c r="E33" s="147"/>
      <c r="F33" s="147">
        <v>133</v>
      </c>
      <c r="G33" s="147"/>
      <c r="H33" s="111" t="s">
        <v>138</v>
      </c>
      <c r="I33" s="111"/>
      <c r="J33" s="111" t="s">
        <v>138</v>
      </c>
      <c r="K33" s="111" t="s">
        <v>138</v>
      </c>
      <c r="L33" s="111" t="s">
        <v>138</v>
      </c>
      <c r="M33" s="148">
        <v>41.030046881673968</v>
      </c>
      <c r="N33" s="148">
        <v>46.938810104897328</v>
      </c>
      <c r="O33" s="148">
        <v>26.948089288930188</v>
      </c>
      <c r="P33" s="148">
        <v>29.175364104266588</v>
      </c>
      <c r="Q33" s="148">
        <v>28.96464254150591</v>
      </c>
      <c r="R33" s="148">
        <v>26.385018397706389</v>
      </c>
      <c r="S33" s="148">
        <v>28.1</v>
      </c>
      <c r="T33" s="148">
        <v>26.153650176008821</v>
      </c>
      <c r="U33" s="628">
        <v>12.572498801223105</v>
      </c>
      <c r="V33" s="564" t="s">
        <v>156</v>
      </c>
    </row>
    <row r="34" spans="1:38" s="72" customFormat="1" ht="15.75" customHeight="1">
      <c r="A34" s="623" t="s">
        <v>1026</v>
      </c>
      <c r="B34" s="149"/>
      <c r="C34" s="150"/>
      <c r="D34" s="114"/>
      <c r="E34" s="114"/>
      <c r="F34" s="114"/>
      <c r="G34" s="114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622" t="s">
        <v>1027</v>
      </c>
      <c r="W34" s="133"/>
      <c r="X34" s="133"/>
      <c r="Y34" s="133"/>
      <c r="Z34" s="133"/>
      <c r="AA34" s="133"/>
      <c r="AB34" s="133"/>
      <c r="AC34" s="133"/>
      <c r="AD34" s="127"/>
      <c r="AE34" s="134"/>
      <c r="AF34" s="128"/>
      <c r="AG34" s="134"/>
      <c r="AH34" s="134"/>
      <c r="AI34" s="134"/>
      <c r="AJ34" s="134"/>
      <c r="AK34" s="134"/>
    </row>
    <row r="35" spans="1:38" s="72" customFormat="1" ht="18" customHeight="1">
      <c r="A35" s="54" t="s">
        <v>142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555" t="s">
        <v>143</v>
      </c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152"/>
    </row>
    <row r="36" spans="1:38" s="72" customFormat="1" ht="18" customHeight="1"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565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153"/>
    </row>
    <row r="37" spans="1:38" s="72" customFormat="1" ht="14.25">
      <c r="V37" s="566"/>
      <c r="AE37" s="154" t="s">
        <v>149</v>
      </c>
      <c r="AF37" s="155">
        <f>T7/$T$6*100</f>
        <v>72.045481094972942</v>
      </c>
      <c r="AL37" s="156"/>
    </row>
    <row r="38" spans="1:38" s="72" customFormat="1" ht="14.25">
      <c r="V38" s="566"/>
      <c r="AE38" s="154" t="s">
        <v>151</v>
      </c>
      <c r="AF38" s="155">
        <f>T8/$T$6*100</f>
        <v>3.1969160079436163</v>
      </c>
      <c r="AL38" s="156"/>
    </row>
    <row r="39" spans="1:38" s="72" customFormat="1" ht="14.25">
      <c r="V39" s="566"/>
      <c r="AE39" s="154" t="s">
        <v>153</v>
      </c>
      <c r="AF39" s="155">
        <f>T9/$T$6*100</f>
        <v>18.988746544137687</v>
      </c>
      <c r="AL39" s="156"/>
    </row>
    <row r="40" spans="1:38" s="72" customFormat="1" ht="14.25">
      <c r="V40" s="566"/>
      <c r="AE40" s="154" t="s">
        <v>155</v>
      </c>
      <c r="AF40" s="155">
        <f>T10/$T$6*100</f>
        <v>5.7688563529457575</v>
      </c>
      <c r="AL40" s="156"/>
    </row>
    <row r="41" spans="1:38" s="72" customFormat="1" ht="14.25">
      <c r="V41" s="566"/>
      <c r="AL41" s="156"/>
    </row>
    <row r="42" spans="1:38">
      <c r="AL42" s="157"/>
    </row>
    <row r="43" spans="1:38">
      <c r="AL43" s="157"/>
    </row>
    <row r="44" spans="1:38">
      <c r="AE44" s="154" t="s">
        <v>149</v>
      </c>
      <c r="AF44" s="158">
        <f>T19/$T$18</f>
        <v>0.17484008528784648</v>
      </c>
      <c r="AL44" s="157"/>
    </row>
    <row r="45" spans="1:38">
      <c r="AE45" s="154" t="s">
        <v>151</v>
      </c>
      <c r="AF45" s="158">
        <f>T20/$T$18</f>
        <v>1.279317697228145E-2</v>
      </c>
      <c r="AL45" s="157"/>
    </row>
    <row r="46" spans="1:38">
      <c r="AE46" s="154" t="s">
        <v>153</v>
      </c>
      <c r="AF46" s="158">
        <f>T21/$T$18</f>
        <v>0.64498933901918976</v>
      </c>
      <c r="AL46" s="157"/>
    </row>
    <row r="47" spans="1:38">
      <c r="AE47" s="154" t="s">
        <v>155</v>
      </c>
      <c r="AF47" s="158">
        <f>T22/$T$18</f>
        <v>0.1673773987206823</v>
      </c>
      <c r="AL47" s="157"/>
    </row>
    <row r="70" spans="1:22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568"/>
    </row>
    <row r="71" spans="1:22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568"/>
    </row>
    <row r="72" spans="1:22" ht="15.75">
      <c r="A72" s="67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569"/>
    </row>
    <row r="73" spans="1:22" ht="15.75">
      <c r="A73" s="67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569"/>
    </row>
    <row r="74" spans="1:22" ht="15">
      <c r="A74" s="160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555"/>
    </row>
    <row r="75" spans="1:22" ht="15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2"/>
      <c r="O75" s="162"/>
      <c r="P75" s="162"/>
      <c r="Q75" s="162"/>
      <c r="R75" s="162"/>
      <c r="S75" s="162"/>
      <c r="T75" s="162"/>
      <c r="U75" s="162"/>
      <c r="V75" s="555"/>
    </row>
    <row r="76" spans="1:22" ht="15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555"/>
    </row>
    <row r="77" spans="1:22" ht="15">
      <c r="A77" s="103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03"/>
      <c r="N77" s="161"/>
      <c r="O77" s="161"/>
      <c r="P77" s="161"/>
      <c r="Q77" s="161"/>
      <c r="R77" s="161"/>
      <c r="S77" s="161"/>
      <c r="T77" s="161"/>
      <c r="U77" s="161"/>
      <c r="V77" s="555"/>
    </row>
    <row r="78" spans="1:22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568"/>
    </row>
    <row r="79" spans="1:22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568"/>
    </row>
    <row r="80" spans="1:22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568"/>
    </row>
  </sheetData>
  <mergeCells count="2">
    <mergeCell ref="A1:V1"/>
    <mergeCell ref="A2:V2"/>
  </mergeCells>
  <pageMargins left="0.7" right="0.7" top="0.75" bottom="0.75" header="0.3" footer="0.3"/>
  <pageSetup paperSize="9" scale="78" orientation="landscape" horizontalDpi="4294967295" verticalDpi="4294967295" r:id="rId1"/>
  <rowBreaks count="1" manualBreakCount="1">
    <brk id="35" max="2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CC108"/>
  <sheetViews>
    <sheetView zoomScale="91" zoomScaleNormal="91" workbookViewId="0">
      <pane xSplit="32" ySplit="5" topLeftCell="AG6" activePane="bottomRight" state="frozen"/>
      <selection pane="topRight" activeCell="AG1" sqref="AG1"/>
      <selection pane="bottomLeft" activeCell="A6" sqref="A6"/>
      <selection pane="bottomRight" activeCell="AS34" sqref="AS34"/>
    </sheetView>
  </sheetViews>
  <sheetFormatPr defaultColWidth="9.140625" defaultRowHeight="12"/>
  <cols>
    <col min="1" max="1" width="16.85546875" style="163" customWidth="1"/>
    <col min="2" max="2" width="12" style="163" hidden="1" customWidth="1"/>
    <col min="3" max="3" width="11.28515625" style="163" hidden="1" customWidth="1"/>
    <col min="4" max="4" width="14.42578125" style="163" hidden="1" customWidth="1"/>
    <col min="5" max="9" width="11.28515625" style="163" hidden="1" customWidth="1"/>
    <col min="10" max="10" width="14.85546875" style="163" hidden="1" customWidth="1"/>
    <col min="11" max="15" width="11.28515625" style="163" hidden="1" customWidth="1"/>
    <col min="16" max="16" width="14.85546875" style="163" hidden="1" customWidth="1"/>
    <col min="17" max="21" width="11.28515625" style="163" hidden="1" customWidth="1"/>
    <col min="22" max="22" width="14.85546875" style="163" hidden="1" customWidth="1"/>
    <col min="23" max="27" width="11.28515625" style="163" hidden="1" customWidth="1"/>
    <col min="28" max="28" width="14.85546875" style="163" hidden="1" customWidth="1"/>
    <col min="29" max="31" width="11.28515625" style="163" hidden="1" customWidth="1"/>
    <col min="32" max="32" width="2.42578125" style="163" hidden="1" customWidth="1"/>
    <col min="33" max="34" width="11.28515625" style="163" customWidth="1"/>
    <col min="35" max="35" width="14.85546875" style="163" customWidth="1"/>
    <col min="36" max="40" width="11.28515625" style="163" customWidth="1"/>
    <col min="41" max="41" width="14.85546875" style="163" customWidth="1"/>
    <col min="42" max="60" width="11.28515625" style="163" customWidth="1"/>
    <col min="61" max="16384" width="9.140625" style="163"/>
  </cols>
  <sheetData>
    <row r="1" spans="1:81" ht="17.25" customHeight="1">
      <c r="A1" s="834" t="s">
        <v>1036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4"/>
      <c r="Q1" s="834"/>
      <c r="R1" s="834"/>
      <c r="S1" s="834"/>
      <c r="T1" s="834"/>
      <c r="U1" s="834"/>
      <c r="V1" s="834"/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4"/>
      <c r="AJ1" s="834"/>
      <c r="AK1" s="834"/>
      <c r="AL1" s="834"/>
      <c r="AM1" s="834"/>
      <c r="AN1" s="834"/>
      <c r="AO1" s="834"/>
      <c r="AP1" s="834"/>
      <c r="AQ1" s="834"/>
      <c r="AR1" s="834"/>
      <c r="AS1" s="723"/>
      <c r="AT1" s="723"/>
      <c r="AU1" s="723"/>
      <c r="AV1" s="723"/>
      <c r="AW1" s="723"/>
      <c r="AX1" s="723"/>
      <c r="AY1" s="723"/>
      <c r="AZ1" s="723"/>
      <c r="BA1" s="723"/>
      <c r="BB1" s="723"/>
      <c r="BC1" s="723"/>
      <c r="BD1" s="723"/>
      <c r="BE1" s="723"/>
      <c r="BF1" s="723"/>
      <c r="BG1" s="723"/>
      <c r="BH1" s="723"/>
    </row>
    <row r="2" spans="1:81" ht="24" customHeight="1">
      <c r="A2" s="833" t="s">
        <v>1035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Z2" s="833"/>
      <c r="AA2" s="833"/>
      <c r="AB2" s="833"/>
      <c r="AC2" s="833"/>
      <c r="AD2" s="833"/>
      <c r="AE2" s="833"/>
      <c r="AF2" s="833"/>
      <c r="AG2" s="833"/>
      <c r="AH2" s="833"/>
      <c r="AI2" s="833"/>
      <c r="AJ2" s="833"/>
      <c r="AK2" s="833"/>
      <c r="AL2" s="833"/>
      <c r="AM2" s="833"/>
      <c r="AN2" s="833"/>
      <c r="AO2" s="833"/>
      <c r="AP2" s="833"/>
      <c r="AQ2" s="833"/>
      <c r="AR2" s="833"/>
      <c r="AS2" s="722"/>
      <c r="AT2" s="722"/>
      <c r="AU2" s="722"/>
      <c r="AV2" s="722"/>
      <c r="AW2" s="722"/>
      <c r="AX2" s="722"/>
      <c r="AY2" s="722"/>
      <c r="AZ2" s="722"/>
      <c r="BA2" s="722"/>
      <c r="BB2" s="722"/>
      <c r="BC2" s="722"/>
      <c r="BD2" s="722"/>
      <c r="BE2" s="722"/>
      <c r="BF2" s="722"/>
      <c r="BG2" s="722"/>
      <c r="BH2" s="722"/>
    </row>
    <row r="3" spans="1:81" s="164" customFormat="1" ht="18.75" customHeight="1">
      <c r="A3" s="836" t="s">
        <v>164</v>
      </c>
      <c r="B3" s="839" t="s">
        <v>165</v>
      </c>
      <c r="C3" s="840"/>
      <c r="D3" s="840"/>
      <c r="E3" s="840"/>
      <c r="F3" s="840"/>
      <c r="G3" s="840"/>
      <c r="H3" s="839" t="s">
        <v>166</v>
      </c>
      <c r="I3" s="840"/>
      <c r="J3" s="840"/>
      <c r="K3" s="840"/>
      <c r="L3" s="840"/>
      <c r="M3" s="840"/>
      <c r="N3" s="839" t="s">
        <v>167</v>
      </c>
      <c r="O3" s="840"/>
      <c r="P3" s="840"/>
      <c r="Q3" s="840"/>
      <c r="R3" s="840"/>
      <c r="S3" s="840"/>
      <c r="T3" s="839">
        <v>2017</v>
      </c>
      <c r="U3" s="840"/>
      <c r="V3" s="840"/>
      <c r="W3" s="840"/>
      <c r="X3" s="840"/>
      <c r="Y3" s="840"/>
      <c r="Z3" s="839">
        <v>2018</v>
      </c>
      <c r="AA3" s="840"/>
      <c r="AB3" s="840"/>
      <c r="AC3" s="840"/>
      <c r="AD3" s="840"/>
      <c r="AE3" s="840"/>
      <c r="AG3" s="839">
        <v>2019</v>
      </c>
      <c r="AH3" s="840"/>
      <c r="AI3" s="840"/>
      <c r="AJ3" s="840"/>
      <c r="AK3" s="840"/>
      <c r="AL3" s="840"/>
      <c r="AM3" s="839">
        <v>2020</v>
      </c>
      <c r="AN3" s="840"/>
      <c r="AO3" s="840"/>
      <c r="AP3" s="840"/>
      <c r="AQ3" s="840"/>
      <c r="AR3" s="840"/>
      <c r="AS3" s="722"/>
      <c r="AT3" s="722"/>
      <c r="AU3" s="722"/>
      <c r="AV3" s="722"/>
      <c r="AW3" s="722"/>
      <c r="AX3" s="722"/>
      <c r="AY3" s="722"/>
      <c r="AZ3" s="722"/>
      <c r="BA3" s="722"/>
      <c r="BB3" s="722"/>
      <c r="BC3" s="722"/>
      <c r="BD3" s="722"/>
      <c r="BE3" s="722"/>
      <c r="BF3" s="722"/>
      <c r="BG3" s="722"/>
      <c r="BH3" s="722"/>
    </row>
    <row r="4" spans="1:81" s="164" customFormat="1" ht="72" customHeight="1">
      <c r="A4" s="837"/>
      <c r="B4" s="165" t="s">
        <v>168</v>
      </c>
      <c r="C4" s="166" t="s">
        <v>169</v>
      </c>
      <c r="D4" s="166" t="s">
        <v>163</v>
      </c>
      <c r="E4" s="166" t="s">
        <v>170</v>
      </c>
      <c r="F4" s="166" t="s">
        <v>171</v>
      </c>
      <c r="G4" s="166" t="s">
        <v>172</v>
      </c>
      <c r="H4" s="165" t="s">
        <v>168</v>
      </c>
      <c r="I4" s="166" t="s">
        <v>169</v>
      </c>
      <c r="J4" s="166" t="s">
        <v>163</v>
      </c>
      <c r="K4" s="166" t="s">
        <v>170</v>
      </c>
      <c r="L4" s="166" t="s">
        <v>171</v>
      </c>
      <c r="M4" s="166" t="s">
        <v>172</v>
      </c>
      <c r="N4" s="165" t="s">
        <v>168</v>
      </c>
      <c r="O4" s="166" t="s">
        <v>169</v>
      </c>
      <c r="P4" s="166" t="s">
        <v>163</v>
      </c>
      <c r="Q4" s="166" t="s">
        <v>170</v>
      </c>
      <c r="R4" s="166" t="s">
        <v>171</v>
      </c>
      <c r="S4" s="166" t="s">
        <v>172</v>
      </c>
      <c r="T4" s="165" t="s">
        <v>168</v>
      </c>
      <c r="U4" s="166" t="s">
        <v>169</v>
      </c>
      <c r="V4" s="166" t="s">
        <v>163</v>
      </c>
      <c r="W4" s="166" t="s">
        <v>170</v>
      </c>
      <c r="X4" s="166" t="s">
        <v>171</v>
      </c>
      <c r="Y4" s="166" t="s">
        <v>172</v>
      </c>
      <c r="Z4" s="165" t="s">
        <v>168</v>
      </c>
      <c r="AA4" s="166" t="s">
        <v>169</v>
      </c>
      <c r="AB4" s="166" t="s">
        <v>163</v>
      </c>
      <c r="AC4" s="166" t="s">
        <v>170</v>
      </c>
      <c r="AD4" s="166" t="s">
        <v>171</v>
      </c>
      <c r="AE4" s="166" t="s">
        <v>172</v>
      </c>
      <c r="AG4" s="165" t="s">
        <v>168</v>
      </c>
      <c r="AH4" s="166" t="s">
        <v>169</v>
      </c>
      <c r="AI4" s="166" t="s">
        <v>163</v>
      </c>
      <c r="AJ4" s="166" t="s">
        <v>170</v>
      </c>
      <c r="AK4" s="166" t="s">
        <v>171</v>
      </c>
      <c r="AL4" s="166" t="s">
        <v>172</v>
      </c>
      <c r="AM4" s="165" t="s">
        <v>168</v>
      </c>
      <c r="AN4" s="166" t="s">
        <v>169</v>
      </c>
      <c r="AO4" s="166" t="s">
        <v>163</v>
      </c>
      <c r="AP4" s="166" t="s">
        <v>170</v>
      </c>
      <c r="AQ4" s="166" t="s">
        <v>171</v>
      </c>
      <c r="AR4" s="166" t="s">
        <v>172</v>
      </c>
      <c r="AS4" s="571"/>
      <c r="AT4" s="571"/>
      <c r="AU4" s="571"/>
      <c r="AV4" s="571"/>
      <c r="AW4" s="571"/>
      <c r="AX4" s="571"/>
      <c r="AY4" s="571"/>
      <c r="AZ4" s="571"/>
      <c r="BA4" s="571"/>
      <c r="BB4" s="571"/>
      <c r="BC4" s="571"/>
      <c r="BD4" s="571"/>
      <c r="BE4" s="571"/>
      <c r="BF4" s="571"/>
      <c r="BG4" s="571"/>
      <c r="BH4" s="571"/>
      <c r="BJ4" s="835"/>
      <c r="BK4" s="835"/>
      <c r="BL4" s="835"/>
      <c r="BM4" s="835"/>
      <c r="BN4" s="835"/>
      <c r="BO4" s="835"/>
    </row>
    <row r="5" spans="1:81" s="164" customFormat="1" ht="46.5" customHeight="1">
      <c r="A5" s="838"/>
      <c r="B5" s="726" t="s">
        <v>173</v>
      </c>
      <c r="C5" s="725" t="s">
        <v>174</v>
      </c>
      <c r="D5" s="725" t="s">
        <v>175</v>
      </c>
      <c r="E5" s="725" t="s">
        <v>176</v>
      </c>
      <c r="F5" s="725" t="s">
        <v>177</v>
      </c>
      <c r="G5" s="725" t="s">
        <v>178</v>
      </c>
      <c r="H5" s="726" t="s">
        <v>179</v>
      </c>
      <c r="I5" s="725" t="s">
        <v>174</v>
      </c>
      <c r="J5" s="725" t="s">
        <v>175</v>
      </c>
      <c r="K5" s="725" t="s">
        <v>176</v>
      </c>
      <c r="L5" s="725" t="s">
        <v>177</v>
      </c>
      <c r="M5" s="725" t="s">
        <v>178</v>
      </c>
      <c r="N5" s="726" t="s">
        <v>179</v>
      </c>
      <c r="O5" s="725" t="s">
        <v>174</v>
      </c>
      <c r="P5" s="725" t="s">
        <v>175</v>
      </c>
      <c r="Q5" s="725" t="s">
        <v>176</v>
      </c>
      <c r="R5" s="725" t="s">
        <v>177</v>
      </c>
      <c r="S5" s="725" t="s">
        <v>178</v>
      </c>
      <c r="T5" s="726" t="s">
        <v>179</v>
      </c>
      <c r="U5" s="725" t="s">
        <v>174</v>
      </c>
      <c r="V5" s="725" t="s">
        <v>175</v>
      </c>
      <c r="W5" s="725" t="s">
        <v>176</v>
      </c>
      <c r="X5" s="725" t="s">
        <v>177</v>
      </c>
      <c r="Y5" s="725" t="s">
        <v>178</v>
      </c>
      <c r="Z5" s="726" t="s">
        <v>1028</v>
      </c>
      <c r="AA5" s="725" t="s">
        <v>1029</v>
      </c>
      <c r="AB5" s="725" t="s">
        <v>175</v>
      </c>
      <c r="AC5" s="725" t="s">
        <v>176</v>
      </c>
      <c r="AD5" s="725" t="s">
        <v>177</v>
      </c>
      <c r="AE5" s="725" t="s">
        <v>178</v>
      </c>
      <c r="AG5" s="726" t="s">
        <v>179</v>
      </c>
      <c r="AH5" s="725" t="s">
        <v>174</v>
      </c>
      <c r="AI5" s="725" t="s">
        <v>175</v>
      </c>
      <c r="AJ5" s="725" t="s">
        <v>176</v>
      </c>
      <c r="AK5" s="725" t="s">
        <v>177</v>
      </c>
      <c r="AL5" s="725" t="s">
        <v>178</v>
      </c>
      <c r="AM5" s="726" t="s">
        <v>179</v>
      </c>
      <c r="AN5" s="725" t="s">
        <v>174</v>
      </c>
      <c r="AO5" s="725" t="s">
        <v>175</v>
      </c>
      <c r="AP5" s="725" t="s">
        <v>176</v>
      </c>
      <c r="AQ5" s="725" t="s">
        <v>177</v>
      </c>
      <c r="AR5" s="725" t="s">
        <v>178</v>
      </c>
      <c r="AS5" s="572"/>
      <c r="AT5" s="572"/>
      <c r="AU5" s="572"/>
      <c r="AV5" s="572"/>
      <c r="AW5" s="572"/>
      <c r="AX5" s="572"/>
      <c r="AY5" s="572"/>
      <c r="AZ5" s="572"/>
      <c r="BA5" s="572"/>
      <c r="BB5" s="572"/>
      <c r="BC5" s="572"/>
      <c r="BD5" s="572"/>
      <c r="BE5" s="572"/>
      <c r="BF5" s="572"/>
      <c r="BG5" s="572"/>
      <c r="BH5" s="572"/>
    </row>
    <row r="6" spans="1:81" s="164" customFormat="1" ht="16.5" customHeight="1">
      <c r="A6" s="167" t="s">
        <v>180</v>
      </c>
      <c r="B6" s="168">
        <f>AVERAGE(B7:B18)</f>
        <v>30586.666666666668</v>
      </c>
      <c r="C6" s="169">
        <f>AVERAGE(C7:C18)</f>
        <v>29515.25</v>
      </c>
      <c r="D6" s="170">
        <f>AVERAGE(D7:D18)</f>
        <v>96.506881267260553</v>
      </c>
      <c r="E6" s="170">
        <f>AVERAGE(E7:E18)</f>
        <v>69.743726404978432</v>
      </c>
      <c r="F6" s="169">
        <f>SUM(F7:F18)</f>
        <v>7505622.2623784998</v>
      </c>
      <c r="G6" s="170">
        <f>AVERAGE(G7:G18)</f>
        <v>6.0569229992913582</v>
      </c>
      <c r="H6" s="168">
        <f>AVERAGE(H7:H18)</f>
        <v>32835.25</v>
      </c>
      <c r="I6" s="169">
        <f>AVERAGE(I7:I18)</f>
        <v>31423.916666666668</v>
      </c>
      <c r="J6" s="170">
        <f>AVERAGE(J7:J18)</f>
        <v>95.710300344765429</v>
      </c>
      <c r="K6" s="170">
        <f>AVERAGE(K7:K18)</f>
        <v>63.947492985110166</v>
      </c>
      <c r="L6" s="171">
        <f>SUM(L7:L18)</f>
        <v>7322683.0686780298</v>
      </c>
      <c r="M6" s="170">
        <f>AVERAGE(M7:M18)</f>
        <v>5.6623346324798476</v>
      </c>
      <c r="N6" s="168">
        <f>AVERAGE(N7:N18)</f>
        <v>35352.583333333336</v>
      </c>
      <c r="O6" s="169">
        <f>AVERAGE(O7:O18)</f>
        <v>33802.25</v>
      </c>
      <c r="P6" s="170">
        <f>AVERAGE(P7:P18)</f>
        <v>95.601943530662709</v>
      </c>
      <c r="Q6" s="170">
        <f>AVERAGE(Q7:Q18)</f>
        <v>62.89655235922644</v>
      </c>
      <c r="R6" s="171">
        <f>SUM(R7:R18)</f>
        <v>7770922.642037821</v>
      </c>
      <c r="S6" s="170">
        <f>AVERAGE(S7:S18)</f>
        <v>6.0249999999999995</v>
      </c>
      <c r="T6" s="168">
        <f>AVERAGE(T7:T18)</f>
        <v>39535.833333333336</v>
      </c>
      <c r="U6" s="169">
        <f>AVERAGE(U7:U18)</f>
        <v>38592.333333333336</v>
      </c>
      <c r="V6" s="170">
        <f>AVERAGE(V7:V18)</f>
        <v>97.601595066573211</v>
      </c>
      <c r="W6" s="170">
        <f>AVERAGE(W7:W18)</f>
        <v>61.105983456729064</v>
      </c>
      <c r="X6" s="171">
        <f>SUM(X7:X18)</f>
        <v>8593283.6177621465</v>
      </c>
      <c r="Y6" s="170">
        <f>AVERAGE(Y7:Y18)</f>
        <v>6.1750000000000007</v>
      </c>
      <c r="Z6" s="168">
        <f>AVERAGE(Z7:Z18)</f>
        <v>43050.083333333336</v>
      </c>
      <c r="AA6" s="169">
        <f>AVERAGE(AA7:AA18)</f>
        <v>41886.5</v>
      </c>
      <c r="AB6" s="170">
        <f>AVERAGE(AB7:AB18)</f>
        <v>97.299232882512911</v>
      </c>
      <c r="AC6" s="170">
        <f>AVERAGE(AC7:AC18)</f>
        <v>62.132135362377618</v>
      </c>
      <c r="AD6" s="171">
        <f>SUM(AD7:AD18)</f>
        <v>9478093.9017162751</v>
      </c>
      <c r="AE6" s="170">
        <f>AVERAGE(AE7:AE18)</f>
        <v>6.3666666666666671</v>
      </c>
      <c r="AG6" s="738">
        <f>AVERAGE(AG7:AG18)</f>
        <v>48904.416666666664</v>
      </c>
      <c r="AH6" s="739">
        <f>AVERAGE(AH7:AH18)</f>
        <v>47268.5</v>
      </c>
      <c r="AI6" s="740">
        <f>AVERAGE(AI7:AI18)</f>
        <v>96.656967873422175</v>
      </c>
      <c r="AJ6" s="740">
        <f>AVERAGE(AJ7:AJ18)</f>
        <v>62.271689527528423</v>
      </c>
      <c r="AK6" s="171">
        <f>SUM(AK7:AK18)</f>
        <v>10688387.114665871</v>
      </c>
      <c r="AL6" s="740">
        <f>AVERAGE(AL7:AL18)</f>
        <v>6.2969105807008239</v>
      </c>
      <c r="AM6" s="738">
        <f>AVERAGE(AM7:AM18)</f>
        <v>52341.083333333336</v>
      </c>
      <c r="AN6" s="739">
        <f>AVERAGE(AN7:AN18)</f>
        <v>27744.666666666668</v>
      </c>
      <c r="AO6" s="740">
        <f>AVERAGE(AO7:AO18)</f>
        <v>53.023494089523773</v>
      </c>
      <c r="AP6" s="740">
        <f>AVERAGE(AP7:AP18)</f>
        <v>25.684780565572808</v>
      </c>
      <c r="AQ6" s="171">
        <f>SUM(AQ7:AQ18)</f>
        <v>3984712.4466208597</v>
      </c>
      <c r="AR6" s="740">
        <v>7.1732772030316436</v>
      </c>
      <c r="AS6" s="201"/>
      <c r="AT6" s="201"/>
      <c r="AU6" s="201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</row>
    <row r="7" spans="1:81" s="164" customFormat="1" ht="16.5" customHeight="1">
      <c r="A7" s="172" t="s">
        <v>181</v>
      </c>
      <c r="B7" s="173">
        <v>29815</v>
      </c>
      <c r="C7" s="116">
        <v>29074</v>
      </c>
      <c r="D7" s="174">
        <f>C7/B7*100</f>
        <v>97.514673821901738</v>
      </c>
      <c r="E7" s="174">
        <v>77.894365173906593</v>
      </c>
      <c r="F7" s="116">
        <v>702057.23965050967</v>
      </c>
      <c r="G7" s="174">
        <v>6.4975117763257861</v>
      </c>
      <c r="H7" s="173">
        <v>32031</v>
      </c>
      <c r="I7" s="116">
        <v>31029</v>
      </c>
      <c r="J7" s="174">
        <f>I7/H7*100</f>
        <v>96.871780462676782</v>
      </c>
      <c r="K7" s="174">
        <v>68.982454256158704</v>
      </c>
      <c r="L7" s="151">
        <v>663541.53766544769</v>
      </c>
      <c r="M7" s="174">
        <v>6.4986144447992746</v>
      </c>
      <c r="N7" s="173">
        <v>34012</v>
      </c>
      <c r="O7" s="116">
        <v>32548</v>
      </c>
      <c r="P7" s="174">
        <f>O7/N7*100</f>
        <v>95.695636834058575</v>
      </c>
      <c r="Q7" s="174">
        <v>65.312077306900207</v>
      </c>
      <c r="R7" s="151">
        <v>658991.02257734654</v>
      </c>
      <c r="S7" s="174">
        <v>6.1</v>
      </c>
      <c r="T7" s="173">
        <v>37575</v>
      </c>
      <c r="U7" s="116">
        <v>36225</v>
      </c>
      <c r="V7" s="174">
        <v>96.407185628742525</v>
      </c>
      <c r="W7" s="174">
        <v>71.250593835290502</v>
      </c>
      <c r="X7" s="151">
        <v>800126.35612185299</v>
      </c>
      <c r="Y7" s="174">
        <v>6.4</v>
      </c>
      <c r="Z7" s="173">
        <v>41602</v>
      </c>
      <c r="AA7" s="116">
        <v>40943</v>
      </c>
      <c r="AB7" s="174">
        <v>98.415941541272062</v>
      </c>
      <c r="AC7" s="174">
        <v>74.178416195992256</v>
      </c>
      <c r="AD7" s="151">
        <v>941496.93723687832</v>
      </c>
      <c r="AE7" s="174">
        <v>6.6</v>
      </c>
      <c r="AG7" s="741">
        <v>45565</v>
      </c>
      <c r="AH7" s="742">
        <v>44266</v>
      </c>
      <c r="AI7" s="743">
        <v>97.149127619883686</v>
      </c>
      <c r="AJ7" s="743">
        <v>72.760799223036059</v>
      </c>
      <c r="AK7" s="151">
        <v>998457.1569061433</v>
      </c>
      <c r="AL7" s="743">
        <v>6.5882149816969973</v>
      </c>
      <c r="AM7" s="741">
        <v>52016</v>
      </c>
      <c r="AN7" s="742">
        <v>50679</v>
      </c>
      <c r="AO7" s="743">
        <v>97.429637034758528</v>
      </c>
      <c r="AP7" s="743">
        <v>72.736012006417894</v>
      </c>
      <c r="AQ7" s="151">
        <v>1142718.3892667082</v>
      </c>
      <c r="AR7" s="743">
        <v>6.5920863312702735</v>
      </c>
      <c r="AS7" s="203"/>
      <c r="AT7" s="116"/>
      <c r="AU7" s="116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</row>
    <row r="8" spans="1:81" s="164" customFormat="1" ht="16.5" customHeight="1">
      <c r="A8" s="172" t="s">
        <v>182</v>
      </c>
      <c r="B8" s="173">
        <v>29885</v>
      </c>
      <c r="C8" s="116">
        <v>29183</v>
      </c>
      <c r="D8" s="174">
        <f>C8/B8*100</f>
        <v>97.650995482683626</v>
      </c>
      <c r="E8" s="174">
        <v>85.890860164202849</v>
      </c>
      <c r="F8" s="116">
        <v>701834.83220814099</v>
      </c>
      <c r="G8" s="174">
        <v>6.1376541258299087</v>
      </c>
      <c r="H8" s="173">
        <v>32122</v>
      </c>
      <c r="I8" s="116">
        <v>31068</v>
      </c>
      <c r="J8" s="174">
        <f t="shared" ref="J8:J18" si="0">I8/H8*100</f>
        <v>96.718759728534963</v>
      </c>
      <c r="K8" s="174">
        <v>82.039188575600562</v>
      </c>
      <c r="L8" s="175">
        <v>713662.18298669241</v>
      </c>
      <c r="M8" s="174">
        <v>5.6647325430819802</v>
      </c>
      <c r="N8" s="173">
        <v>34152</v>
      </c>
      <c r="O8" s="116">
        <v>32741</v>
      </c>
      <c r="P8" s="174">
        <f t="shared" ref="P8:P18" si="1">O8/N8*100</f>
        <v>95.868470367767628</v>
      </c>
      <c r="Q8" s="174">
        <v>78.932965399650598</v>
      </c>
      <c r="R8" s="151">
        <v>749459.82384348847</v>
      </c>
      <c r="S8" s="174">
        <v>6.2</v>
      </c>
      <c r="T8" s="173">
        <v>38146</v>
      </c>
      <c r="U8" s="116">
        <v>37133</v>
      </c>
      <c r="V8" s="174">
        <v>97.344413568919421</v>
      </c>
      <c r="W8" s="174">
        <v>74.290195246686281</v>
      </c>
      <c r="X8" s="151">
        <v>772412.98962665652</v>
      </c>
      <c r="Y8" s="174">
        <v>6.4</v>
      </c>
      <c r="Z8" s="173">
        <v>41710</v>
      </c>
      <c r="AA8" s="116">
        <v>40807</v>
      </c>
      <c r="AB8" s="174">
        <v>97.835051546391753</v>
      </c>
      <c r="AC8" s="174">
        <v>81.007215183003439</v>
      </c>
      <c r="AD8" s="151">
        <v>925585.20039239002</v>
      </c>
      <c r="AE8" s="174">
        <v>6.4</v>
      </c>
      <c r="AG8" s="741">
        <v>46073</v>
      </c>
      <c r="AH8" s="742">
        <v>44680</v>
      </c>
      <c r="AI8" s="743">
        <v>96.9765372343889</v>
      </c>
      <c r="AJ8" s="743">
        <v>81.50317096501783</v>
      </c>
      <c r="AK8" s="151">
        <v>1019637.270040759</v>
      </c>
      <c r="AL8" s="743">
        <v>6.0482804911572279</v>
      </c>
      <c r="AM8" s="741">
        <v>52263</v>
      </c>
      <c r="AN8" s="742">
        <v>50926</v>
      </c>
      <c r="AO8" s="743">
        <v>97.44178481908807</v>
      </c>
      <c r="AP8" s="743">
        <v>69.086698367008452</v>
      </c>
      <c r="AQ8" s="151">
        <v>1020309.6683010989</v>
      </c>
      <c r="AR8" s="743">
        <v>6.8118280755823273</v>
      </c>
      <c r="AS8" s="203"/>
      <c r="AT8" s="116"/>
      <c r="AU8" s="116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</row>
    <row r="9" spans="1:81" s="164" customFormat="1" ht="16.5" customHeight="1">
      <c r="A9" s="172" t="s">
        <v>183</v>
      </c>
      <c r="B9" s="173">
        <v>30271</v>
      </c>
      <c r="C9" s="116">
        <v>29445</v>
      </c>
      <c r="D9" s="174">
        <f t="shared" ref="D9:D18" si="2">C9/B9*100</f>
        <v>97.271315780780284</v>
      </c>
      <c r="E9" s="174">
        <v>77.392768570118633</v>
      </c>
      <c r="F9" s="116">
        <v>706437.32186961442</v>
      </c>
      <c r="G9" s="174">
        <v>6.4923550587343692</v>
      </c>
      <c r="H9" s="173">
        <v>32345</v>
      </c>
      <c r="I9" s="116">
        <v>31307</v>
      </c>
      <c r="J9" s="174">
        <f t="shared" si="0"/>
        <v>96.79084866285362</v>
      </c>
      <c r="K9" s="174">
        <v>71.391083421732318</v>
      </c>
      <c r="L9" s="175">
        <v>692862.60109209386</v>
      </c>
      <c r="M9" s="174">
        <v>5.8371209762779399</v>
      </c>
      <c r="N9" s="173">
        <v>34364</v>
      </c>
      <c r="O9" s="116">
        <v>32874</v>
      </c>
      <c r="P9" s="174">
        <f t="shared" si="1"/>
        <v>95.664067046909551</v>
      </c>
      <c r="Q9" s="174">
        <v>73.258060619989465</v>
      </c>
      <c r="R9" s="151">
        <v>746568.50029467535</v>
      </c>
      <c r="S9" s="174">
        <v>6.5</v>
      </c>
      <c r="T9" s="173">
        <v>38719</v>
      </c>
      <c r="U9" s="116">
        <v>37773</v>
      </c>
      <c r="V9" s="174">
        <v>97.556755081484553</v>
      </c>
      <c r="W9" s="174">
        <v>64.08671814192823</v>
      </c>
      <c r="X9" s="151">
        <v>750431.75735626707</v>
      </c>
      <c r="Y9" s="174">
        <v>6.7</v>
      </c>
      <c r="Z9" s="173">
        <v>42050</v>
      </c>
      <c r="AA9" s="116">
        <v>41137</v>
      </c>
      <c r="AB9" s="174">
        <v>97.828775267538646</v>
      </c>
      <c r="AC9" s="174">
        <v>68.514512946898378</v>
      </c>
      <c r="AD9" s="151">
        <v>873729.2709199331</v>
      </c>
      <c r="AE9" s="174">
        <v>6.5</v>
      </c>
      <c r="AG9" s="741">
        <v>47107</v>
      </c>
      <c r="AH9" s="742">
        <v>45216</v>
      </c>
      <c r="AI9" s="743">
        <v>95.985734604198953</v>
      </c>
      <c r="AJ9" s="743">
        <v>71.825153534406965</v>
      </c>
      <c r="AK9" s="151">
        <v>1006770.3040856412</v>
      </c>
      <c r="AL9" s="743">
        <v>6.1824598176503818</v>
      </c>
      <c r="AM9" s="741">
        <v>52319</v>
      </c>
      <c r="AN9" s="742">
        <v>51001</v>
      </c>
      <c r="AO9" s="743">
        <v>97.480838701045514</v>
      </c>
      <c r="AP9" s="743">
        <v>35.565539516913738</v>
      </c>
      <c r="AQ9" s="151">
        <v>562302.20507965644</v>
      </c>
      <c r="AR9" s="743">
        <v>9.4298541854713473</v>
      </c>
      <c r="AS9" s="203"/>
      <c r="AT9" s="116"/>
      <c r="AU9" s="116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</row>
    <row r="10" spans="1:81" s="164" customFormat="1" ht="16.5" customHeight="1">
      <c r="A10" s="172" t="s">
        <v>184</v>
      </c>
      <c r="B10" s="173">
        <v>30368</v>
      </c>
      <c r="C10" s="116">
        <v>29540</v>
      </c>
      <c r="D10" s="174">
        <f t="shared" si="2"/>
        <v>97.273445732349842</v>
      </c>
      <c r="E10" s="174">
        <v>75.977204886294629</v>
      </c>
      <c r="F10" s="116">
        <v>673309.98970234313</v>
      </c>
      <c r="G10" s="174">
        <v>6.15079432906969</v>
      </c>
      <c r="H10" s="173">
        <v>32443</v>
      </c>
      <c r="I10" s="116">
        <v>31212</v>
      </c>
      <c r="J10" s="174">
        <f t="shared" si="0"/>
        <v>96.205652991400299</v>
      </c>
      <c r="K10" s="174">
        <v>68.405485235162615</v>
      </c>
      <c r="L10" s="175">
        <v>640521.60154796869</v>
      </c>
      <c r="M10" s="174">
        <v>5.8961776960544592</v>
      </c>
      <c r="N10" s="173">
        <v>34548</v>
      </c>
      <c r="O10" s="116">
        <v>33188</v>
      </c>
      <c r="P10" s="174">
        <f t="shared" si="1"/>
        <v>96.063447956466362</v>
      </c>
      <c r="Q10" s="174">
        <v>65.879424388021761</v>
      </c>
      <c r="R10" s="151">
        <v>655921.90097689989</v>
      </c>
      <c r="S10" s="174">
        <v>6.3</v>
      </c>
      <c r="T10" s="173">
        <v>39070</v>
      </c>
      <c r="U10" s="116">
        <v>37817</v>
      </c>
      <c r="V10" s="174">
        <v>96.792935756334785</v>
      </c>
      <c r="W10" s="174">
        <v>65.446546741381496</v>
      </c>
      <c r="X10" s="151">
        <v>742497.61743564717</v>
      </c>
      <c r="Y10" s="174">
        <v>6.2</v>
      </c>
      <c r="Z10" s="173">
        <v>42688</v>
      </c>
      <c r="AA10" s="116">
        <v>41835</v>
      </c>
      <c r="AB10" s="174">
        <v>98.001780359820089</v>
      </c>
      <c r="AC10" s="174">
        <v>63.490693198364376</v>
      </c>
      <c r="AD10" s="151">
        <v>796839.94498607225</v>
      </c>
      <c r="AE10" s="174">
        <v>6.7</v>
      </c>
      <c r="AG10" s="741">
        <v>47351</v>
      </c>
      <c r="AH10" s="742">
        <v>45936</v>
      </c>
      <c r="AI10" s="743">
        <v>97.011678739625353</v>
      </c>
      <c r="AJ10" s="743">
        <v>71.241824459961464</v>
      </c>
      <c r="AK10" s="151">
        <v>981769.33451783704</v>
      </c>
      <c r="AL10" s="743">
        <v>6.0189152035866762</v>
      </c>
      <c r="AM10" s="741">
        <v>52319</v>
      </c>
      <c r="AN10" s="742">
        <v>7690</v>
      </c>
      <c r="AO10" s="743">
        <v>14.698293163095624</v>
      </c>
      <c r="AP10" s="743">
        <v>3.8335588479483844</v>
      </c>
      <c r="AQ10" s="151">
        <v>8844.0202622169236</v>
      </c>
      <c r="AR10" s="743">
        <v>9.4285930300820073</v>
      </c>
      <c r="AS10" s="203"/>
      <c r="AT10" s="116"/>
      <c r="AU10" s="116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</row>
    <row r="11" spans="1:81" s="164" customFormat="1" ht="16.5" customHeight="1">
      <c r="A11" s="172" t="s">
        <v>185</v>
      </c>
      <c r="B11" s="173">
        <v>30348</v>
      </c>
      <c r="C11" s="116">
        <v>29266</v>
      </c>
      <c r="D11" s="174">
        <f t="shared" si="2"/>
        <v>96.434690918676679</v>
      </c>
      <c r="E11" s="174">
        <v>63.656332204472591</v>
      </c>
      <c r="F11" s="116">
        <v>577519.5276717894</v>
      </c>
      <c r="G11" s="174">
        <v>6.1992748860848232</v>
      </c>
      <c r="H11" s="173">
        <v>32614</v>
      </c>
      <c r="I11" s="116">
        <v>31301</v>
      </c>
      <c r="J11" s="174">
        <f t="shared" si="0"/>
        <v>95.974121542895688</v>
      </c>
      <c r="K11" s="174">
        <v>59.290817311559152</v>
      </c>
      <c r="L11" s="175">
        <v>575317.18052742502</v>
      </c>
      <c r="M11" s="174">
        <v>5.8370252335174913</v>
      </c>
      <c r="N11" s="173">
        <v>34912</v>
      </c>
      <c r="O11" s="116">
        <v>33284</v>
      </c>
      <c r="P11" s="174">
        <f t="shared" si="1"/>
        <v>95.336846929422549</v>
      </c>
      <c r="Q11" s="174">
        <v>55.578900022323573</v>
      </c>
      <c r="R11" s="151">
        <v>573465.31358633551</v>
      </c>
      <c r="S11" s="174">
        <v>6.2</v>
      </c>
      <c r="T11" s="173">
        <v>39505</v>
      </c>
      <c r="U11" s="116">
        <v>38264</v>
      </c>
      <c r="V11" s="174">
        <v>96.858625490444254</v>
      </c>
      <c r="W11" s="174">
        <v>50.708521461324061</v>
      </c>
      <c r="X11" s="151">
        <v>601496.36821079231</v>
      </c>
      <c r="Y11" s="174">
        <v>6.4</v>
      </c>
      <c r="Z11" s="173">
        <v>42736</v>
      </c>
      <c r="AA11" s="116">
        <v>41513</v>
      </c>
      <c r="AB11" s="174">
        <v>97.138244103332084</v>
      </c>
      <c r="AC11" s="174">
        <v>49.851767064579128</v>
      </c>
      <c r="AD11" s="151">
        <v>641543.88590708072</v>
      </c>
      <c r="AE11" s="174">
        <v>6.9</v>
      </c>
      <c r="AG11" s="741">
        <v>48603</v>
      </c>
      <c r="AH11" s="742">
        <v>47196</v>
      </c>
      <c r="AI11" s="743">
        <v>97.105116968088396</v>
      </c>
      <c r="AJ11" s="743">
        <v>49.0741341808275</v>
      </c>
      <c r="AK11" s="151">
        <v>717991.87940748374</v>
      </c>
      <c r="AL11" s="743">
        <v>6.9693063559966193</v>
      </c>
      <c r="AM11" s="741">
        <v>52319</v>
      </c>
      <c r="AN11" s="742">
        <v>2978</v>
      </c>
      <c r="AO11" s="743">
        <v>5.6920048166058219</v>
      </c>
      <c r="AP11" s="743">
        <v>5.1740951442717806</v>
      </c>
      <c r="AQ11" s="151">
        <v>4776.6211552888226</v>
      </c>
      <c r="AR11" s="743">
        <v>86.847657368887681</v>
      </c>
      <c r="AS11" s="203"/>
      <c r="AT11" s="116"/>
      <c r="AU11" s="116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</row>
    <row r="12" spans="1:81" s="164" customFormat="1" ht="16.5" customHeight="1">
      <c r="A12" s="172" t="s">
        <v>186</v>
      </c>
      <c r="B12" s="173">
        <v>30488</v>
      </c>
      <c r="C12" s="116">
        <v>28938</v>
      </c>
      <c r="D12" s="174">
        <f t="shared" si="2"/>
        <v>94.916032537391757</v>
      </c>
      <c r="E12" s="174">
        <v>54.447089009851688</v>
      </c>
      <c r="F12" s="116">
        <v>472676.95853012655</v>
      </c>
      <c r="G12" s="174">
        <v>5.5955943225311051</v>
      </c>
      <c r="H12" s="173">
        <v>32694</v>
      </c>
      <c r="I12" s="116">
        <v>31089</v>
      </c>
      <c r="J12" s="174">
        <f t="shared" si="0"/>
        <v>95.090842356395669</v>
      </c>
      <c r="K12" s="174">
        <v>48.021539092779314</v>
      </c>
      <c r="L12" s="151">
        <v>447882.4886566248</v>
      </c>
      <c r="M12" s="174">
        <v>5.3335091895075211</v>
      </c>
      <c r="N12" s="173">
        <v>35086</v>
      </c>
      <c r="O12" s="116">
        <v>33160</v>
      </c>
      <c r="P12" s="174">
        <f t="shared" si="1"/>
        <v>94.510631020920016</v>
      </c>
      <c r="Q12" s="174">
        <v>44.625767126759392</v>
      </c>
      <c r="R12" s="151">
        <v>443937.13137700246</v>
      </c>
      <c r="S12" s="174">
        <v>5.6</v>
      </c>
      <c r="T12" s="173">
        <v>39570</v>
      </c>
      <c r="U12" s="116">
        <v>38648</v>
      </c>
      <c r="V12" s="174">
        <v>97.669951983826095</v>
      </c>
      <c r="W12" s="174">
        <v>41.476026378791566</v>
      </c>
      <c r="X12" s="151">
        <v>480889.64024626091</v>
      </c>
      <c r="Y12" s="174">
        <v>5.6</v>
      </c>
      <c r="Z12" s="173">
        <v>42822</v>
      </c>
      <c r="AA12" s="116">
        <v>41503</v>
      </c>
      <c r="AB12" s="174">
        <v>96.919807575545278</v>
      </c>
      <c r="AC12" s="174">
        <v>43.735770771124997</v>
      </c>
      <c r="AD12" s="151">
        <v>544549.70829420025</v>
      </c>
      <c r="AE12" s="174">
        <v>5.8</v>
      </c>
      <c r="AG12" s="741">
        <v>48873</v>
      </c>
      <c r="AH12" s="742">
        <v>47477</v>
      </c>
      <c r="AI12" s="743">
        <v>97.14361713011273</v>
      </c>
      <c r="AJ12" s="743">
        <v>50.172152146406425</v>
      </c>
      <c r="AK12" s="151">
        <v>714606.98023648141</v>
      </c>
      <c r="AL12" s="743">
        <v>6.2974838531525128</v>
      </c>
      <c r="AM12" s="741">
        <v>52287</v>
      </c>
      <c r="AN12" s="742">
        <v>3078</v>
      </c>
      <c r="AO12" s="743">
        <v>5.8867404899879512</v>
      </c>
      <c r="AP12" s="743">
        <v>2.5187363622539296</v>
      </c>
      <c r="AQ12" s="151">
        <v>2325.8011569052783</v>
      </c>
      <c r="AR12" s="743">
        <v>42.28729376191415</v>
      </c>
      <c r="AS12" s="203"/>
      <c r="AT12" s="116"/>
      <c r="AU12" s="116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</row>
    <row r="13" spans="1:81" s="164" customFormat="1" ht="16.5" customHeight="1">
      <c r="A13" s="172" t="s">
        <v>187</v>
      </c>
      <c r="B13" s="173">
        <v>30658</v>
      </c>
      <c r="C13" s="116">
        <v>29684</v>
      </c>
      <c r="D13" s="174">
        <f t="shared" si="2"/>
        <v>96.823015199947818</v>
      </c>
      <c r="E13" s="174">
        <v>62.667044466262446</v>
      </c>
      <c r="F13" s="116">
        <v>576664.64986032562</v>
      </c>
      <c r="G13" s="174">
        <v>5.7481210887205441</v>
      </c>
      <c r="H13" s="173">
        <v>32740</v>
      </c>
      <c r="I13" s="116">
        <v>31138</v>
      </c>
      <c r="J13" s="174">
        <f t="shared" si="0"/>
        <v>95.106902871105675</v>
      </c>
      <c r="K13" s="174">
        <v>59.092551232946008</v>
      </c>
      <c r="L13" s="151">
        <v>570407.39669035666</v>
      </c>
      <c r="M13" s="174">
        <v>5.2416292086454837</v>
      </c>
      <c r="N13" s="173">
        <v>35517</v>
      </c>
      <c r="O13" s="116">
        <v>33581</v>
      </c>
      <c r="P13" s="174">
        <f t="shared" si="1"/>
        <v>94.549089168567164</v>
      </c>
      <c r="Q13" s="174">
        <v>60.453462306924891</v>
      </c>
      <c r="R13" s="151">
        <v>629327.19249594188</v>
      </c>
      <c r="S13" s="174">
        <v>5.7</v>
      </c>
      <c r="T13" s="173">
        <v>39799</v>
      </c>
      <c r="U13" s="116">
        <v>38979</v>
      </c>
      <c r="V13" s="174">
        <v>97.939646724792084</v>
      </c>
      <c r="W13" s="174">
        <v>56.93890876047675</v>
      </c>
      <c r="X13" s="151">
        <v>688020.73461813317</v>
      </c>
      <c r="Y13" s="174">
        <v>6.1</v>
      </c>
      <c r="Z13" s="173">
        <v>42929</v>
      </c>
      <c r="AA13" s="116">
        <v>41534</v>
      </c>
      <c r="AB13" s="174">
        <v>96.750448414824476</v>
      </c>
      <c r="AC13" s="174">
        <v>57.746224180766227</v>
      </c>
      <c r="AD13" s="151">
        <v>743513.8192884227</v>
      </c>
      <c r="AE13" s="174">
        <v>6.1</v>
      </c>
      <c r="AG13" s="741">
        <v>49189</v>
      </c>
      <c r="AH13" s="742">
        <v>47174</v>
      </c>
      <c r="AI13" s="743">
        <v>95.903555673016328</v>
      </c>
      <c r="AJ13" s="743">
        <v>53.112086886429424</v>
      </c>
      <c r="AK13" s="151">
        <v>776707.97190193064</v>
      </c>
      <c r="AL13" s="743">
        <v>5.8777392231348422</v>
      </c>
      <c r="AM13" s="741">
        <v>52236</v>
      </c>
      <c r="AN13" s="742">
        <v>9821</v>
      </c>
      <c r="AO13" s="743">
        <v>18.801209893559996</v>
      </c>
      <c r="AP13" s="743">
        <v>8.1042350517929815</v>
      </c>
      <c r="AQ13" s="151">
        <v>24673.424657534248</v>
      </c>
      <c r="AR13" s="743">
        <v>14.083004941514982</v>
      </c>
      <c r="AS13" s="203"/>
      <c r="AT13" s="116"/>
      <c r="AU13" s="116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</row>
    <row r="14" spans="1:81" s="164" customFormat="1" ht="16.5" customHeight="1">
      <c r="A14" s="172" t="s">
        <v>188</v>
      </c>
      <c r="B14" s="173">
        <v>30696</v>
      </c>
      <c r="C14" s="116">
        <v>29652</v>
      </c>
      <c r="D14" s="174">
        <f t="shared" si="2"/>
        <v>96.598905394839718</v>
      </c>
      <c r="E14" s="174">
        <v>70.103726610279764</v>
      </c>
      <c r="F14" s="116">
        <v>644401.86744888476</v>
      </c>
      <c r="G14" s="174">
        <v>6.0467913155318369</v>
      </c>
      <c r="H14" s="173">
        <v>32902</v>
      </c>
      <c r="I14" s="116">
        <v>31274</v>
      </c>
      <c r="J14" s="174">
        <f t="shared" si="0"/>
        <v>95.051972524466606</v>
      </c>
      <c r="K14" s="174">
        <v>65.484146402658055</v>
      </c>
      <c r="L14" s="151">
        <v>634864.87032498559</v>
      </c>
      <c r="M14" s="174">
        <v>5.5166509296920392</v>
      </c>
      <c r="N14" s="173">
        <v>35681</v>
      </c>
      <c r="O14" s="116">
        <v>33745</v>
      </c>
      <c r="P14" s="174">
        <f t="shared" si="1"/>
        <v>94.574143101370481</v>
      </c>
      <c r="Q14" s="174">
        <v>64.919557197890853</v>
      </c>
      <c r="R14" s="151">
        <v>679120.24186927639</v>
      </c>
      <c r="S14" s="174">
        <v>6</v>
      </c>
      <c r="T14" s="173">
        <v>39937</v>
      </c>
      <c r="U14" s="116">
        <v>39074</v>
      </c>
      <c r="V14" s="174">
        <v>97.839096577108947</v>
      </c>
      <c r="W14" s="174">
        <v>61.638060074938885</v>
      </c>
      <c r="X14" s="151">
        <v>746618.12340413022</v>
      </c>
      <c r="Y14" s="174">
        <v>6.2</v>
      </c>
      <c r="Z14" s="173">
        <v>43099</v>
      </c>
      <c r="AA14" s="116">
        <v>41780</v>
      </c>
      <c r="AB14" s="174">
        <v>96.939604167150051</v>
      </c>
      <c r="AC14" s="174">
        <v>63.537354919995039</v>
      </c>
      <c r="AD14" s="151">
        <v>822923.1134527917</v>
      </c>
      <c r="AE14" s="174">
        <v>6.6</v>
      </c>
      <c r="AG14" s="741">
        <v>49740</v>
      </c>
      <c r="AH14" s="742">
        <v>47102</v>
      </c>
      <c r="AI14" s="743">
        <v>94.696421391234423</v>
      </c>
      <c r="AJ14" s="743">
        <v>62.365862343630354</v>
      </c>
      <c r="AK14" s="151">
        <v>910642.62291399995</v>
      </c>
      <c r="AL14" s="743">
        <v>6.5354937125120207</v>
      </c>
      <c r="AM14" s="741">
        <v>52361</v>
      </c>
      <c r="AN14" s="742">
        <v>19263</v>
      </c>
      <c r="AO14" s="743">
        <v>36.788831382135555</v>
      </c>
      <c r="AP14" s="743">
        <v>11.95182721805385</v>
      </c>
      <c r="AQ14" s="151">
        <v>71370.69478742512</v>
      </c>
      <c r="AR14" s="743">
        <v>9.3485538100132146</v>
      </c>
      <c r="AS14" s="203"/>
      <c r="AT14" s="116"/>
      <c r="AU14" s="116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</row>
    <row r="15" spans="1:81" s="164" customFormat="1" ht="16.5" customHeight="1">
      <c r="A15" s="172" t="s">
        <v>189</v>
      </c>
      <c r="B15" s="173">
        <v>30803</v>
      </c>
      <c r="C15" s="116">
        <v>29703</v>
      </c>
      <c r="D15" s="174">
        <f t="shared" si="2"/>
        <v>96.428919261110934</v>
      </c>
      <c r="E15" s="174">
        <v>61.818035312838539</v>
      </c>
      <c r="F15" s="116">
        <v>550854.33086917293</v>
      </c>
      <c r="G15" s="174">
        <v>5.681066930210064</v>
      </c>
      <c r="H15" s="173">
        <v>33041</v>
      </c>
      <c r="I15" s="116">
        <v>31477</v>
      </c>
      <c r="J15" s="174">
        <f t="shared" si="0"/>
        <v>95.266487091795042</v>
      </c>
      <c r="K15" s="174">
        <v>57.723156238393614</v>
      </c>
      <c r="L15" s="151">
        <v>545085.53667477472</v>
      </c>
      <c r="M15" s="174">
        <v>5.4870643171990663</v>
      </c>
      <c r="N15" s="173">
        <v>35809</v>
      </c>
      <c r="O15" s="116">
        <v>33967</v>
      </c>
      <c r="P15" s="174">
        <f t="shared" si="1"/>
        <v>94.85604177720684</v>
      </c>
      <c r="Q15" s="174">
        <v>57.880753692649975</v>
      </c>
      <c r="R15" s="151">
        <v>589810.66820347263</v>
      </c>
      <c r="S15" s="174">
        <v>5.8</v>
      </c>
      <c r="T15" s="173">
        <v>39991</v>
      </c>
      <c r="U15" s="116">
        <v>39262</v>
      </c>
      <c r="V15" s="174">
        <v>98.177089845215164</v>
      </c>
      <c r="W15" s="174">
        <v>51.294326400172118</v>
      </c>
      <c r="X15" s="151">
        <v>604175.35293706728</v>
      </c>
      <c r="Y15" s="174">
        <v>5.7</v>
      </c>
      <c r="Z15" s="173">
        <v>43660</v>
      </c>
      <c r="AA15" s="116">
        <v>42355</v>
      </c>
      <c r="AB15" s="174">
        <v>97.010994044892357</v>
      </c>
      <c r="AC15" s="174">
        <v>51.029852615590855</v>
      </c>
      <c r="AD15" s="151">
        <v>648410.82226000517</v>
      </c>
      <c r="AE15" s="174">
        <v>6</v>
      </c>
      <c r="AG15" s="741">
        <v>50802</v>
      </c>
      <c r="AH15" s="742">
        <v>49213</v>
      </c>
      <c r="AI15" s="743">
        <v>96.872170386992636</v>
      </c>
      <c r="AJ15" s="743">
        <v>48.011840985714223</v>
      </c>
      <c r="AK15" s="151">
        <v>708842.01912898617</v>
      </c>
      <c r="AL15" s="743">
        <v>6.0265945053859173</v>
      </c>
      <c r="AM15" s="741">
        <v>52311</v>
      </c>
      <c r="AN15" s="742">
        <v>25328</v>
      </c>
      <c r="AO15" s="743">
        <v>48.418114736862229</v>
      </c>
      <c r="AP15" s="743">
        <v>9.9189121528429336</v>
      </c>
      <c r="AQ15" s="151">
        <v>75367.862102161744</v>
      </c>
      <c r="AR15" s="743">
        <v>9.4824196160074017</v>
      </c>
      <c r="AS15" s="203"/>
      <c r="AT15" s="116"/>
      <c r="AU15" s="116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CA15" s="163"/>
      <c r="CB15" s="183" t="s">
        <v>179</v>
      </c>
      <c r="CC15" s="183" t="s">
        <v>194</v>
      </c>
    </row>
    <row r="16" spans="1:81" s="164" customFormat="1" ht="16.5" customHeight="1">
      <c r="A16" s="172" t="s">
        <v>190</v>
      </c>
      <c r="B16" s="173">
        <v>30812</v>
      </c>
      <c r="C16" s="116">
        <v>29625</v>
      </c>
      <c r="D16" s="174">
        <f t="shared" si="2"/>
        <v>96.147604829287289</v>
      </c>
      <c r="E16" s="174">
        <v>74.500473045952646</v>
      </c>
      <c r="F16" s="116">
        <v>684193.71933576756</v>
      </c>
      <c r="G16" s="174">
        <v>6.0237285984899982</v>
      </c>
      <c r="H16" s="173">
        <v>33415</v>
      </c>
      <c r="I16" s="116">
        <v>31406</v>
      </c>
      <c r="J16" s="174">
        <f t="shared" si="0"/>
        <v>93.987730061349694</v>
      </c>
      <c r="K16" s="174">
        <v>65.59974482820256</v>
      </c>
      <c r="L16" s="151">
        <v>638669.93168310425</v>
      </c>
      <c r="M16" s="174">
        <v>5.783171244952511</v>
      </c>
      <c r="N16" s="173">
        <v>36062</v>
      </c>
      <c r="O16" s="116">
        <v>34114</v>
      </c>
      <c r="P16" s="174">
        <f t="shared" si="1"/>
        <v>94.598192002662088</v>
      </c>
      <c r="Q16" s="174">
        <v>66.797618900233815</v>
      </c>
      <c r="R16" s="151">
        <v>706407.53106039867</v>
      </c>
      <c r="S16" s="174">
        <v>6</v>
      </c>
      <c r="T16" s="173">
        <v>40169</v>
      </c>
      <c r="U16" s="116">
        <v>39545</v>
      </c>
      <c r="V16" s="174">
        <v>98.446563270183475</v>
      </c>
      <c r="W16" s="174">
        <v>64.726132260319119</v>
      </c>
      <c r="X16" s="151">
        <v>793474.41907263896</v>
      </c>
      <c r="Y16" s="174">
        <v>6.2</v>
      </c>
      <c r="Z16" s="173">
        <v>43806</v>
      </c>
      <c r="AA16" s="116">
        <v>42501</v>
      </c>
      <c r="AB16" s="174">
        <v>97.020956033420077</v>
      </c>
      <c r="AC16" s="174">
        <v>62.289752087542908</v>
      </c>
      <c r="AD16" s="151">
        <v>820686.79357652483</v>
      </c>
      <c r="AE16" s="174">
        <v>6.4</v>
      </c>
      <c r="AG16" s="741">
        <v>51039</v>
      </c>
      <c r="AH16" s="742">
        <v>49450</v>
      </c>
      <c r="AI16" s="743">
        <v>96.886694488528377</v>
      </c>
      <c r="AJ16" s="743">
        <v>59.780901847185795</v>
      </c>
      <c r="AK16" s="151">
        <v>916411.3348664348</v>
      </c>
      <c r="AL16" s="743">
        <v>6.4568748581424016</v>
      </c>
      <c r="AM16" s="741">
        <v>52867</v>
      </c>
      <c r="AN16" s="742">
        <v>32600</v>
      </c>
      <c r="AO16" s="743">
        <v>61.664176140125214</v>
      </c>
      <c r="AP16" s="743">
        <v>16.792903301311988</v>
      </c>
      <c r="AQ16" s="151">
        <v>169709.08076305894</v>
      </c>
      <c r="AR16" s="743">
        <v>9.6159959503923051</v>
      </c>
      <c r="AS16" s="203"/>
      <c r="AT16" s="116"/>
      <c r="AU16" s="116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CA16" s="185" t="s">
        <v>195</v>
      </c>
      <c r="CB16" s="173">
        <f t="shared" ref="CB16:CB27" si="3">AM7</f>
        <v>52016</v>
      </c>
      <c r="CC16" s="186">
        <f t="shared" ref="CC16:CC27" si="4">AN7</f>
        <v>50679</v>
      </c>
    </row>
    <row r="17" spans="1:81" s="164" customFormat="1" ht="16.5" customHeight="1">
      <c r="A17" s="176" t="s">
        <v>191</v>
      </c>
      <c r="B17" s="173">
        <v>31223</v>
      </c>
      <c r="C17" s="116">
        <v>29815</v>
      </c>
      <c r="D17" s="174">
        <f>C17/B17*100</f>
        <v>95.490503795279125</v>
      </c>
      <c r="E17" s="174">
        <v>64.058212982886502</v>
      </c>
      <c r="F17" s="116">
        <v>572968.68602542835</v>
      </c>
      <c r="G17" s="174">
        <v>6.1560850096905702</v>
      </c>
      <c r="H17" s="173">
        <v>33591</v>
      </c>
      <c r="I17" s="116">
        <v>32138</v>
      </c>
      <c r="J17" s="174">
        <f t="shared" si="0"/>
        <v>95.674436605043027</v>
      </c>
      <c r="K17" s="174">
        <v>58.808084423101228</v>
      </c>
      <c r="L17" s="151">
        <v>566992.26515688817</v>
      </c>
      <c r="M17" s="174">
        <v>5.9014498215433724</v>
      </c>
      <c r="N17" s="173">
        <v>36714</v>
      </c>
      <c r="O17" s="116">
        <v>35807</v>
      </c>
      <c r="P17" s="174">
        <f t="shared" si="1"/>
        <v>97.529552759165441</v>
      </c>
      <c r="Q17" s="174">
        <v>60.69193940363715</v>
      </c>
      <c r="R17" s="151">
        <v>651958.88226781064</v>
      </c>
      <c r="S17" s="174">
        <v>6.2</v>
      </c>
      <c r="T17" s="173">
        <v>40694</v>
      </c>
      <c r="U17" s="116">
        <v>39816</v>
      </c>
      <c r="V17" s="174">
        <v>97.842433774020748</v>
      </c>
      <c r="W17" s="174">
        <v>62.793209724928403</v>
      </c>
      <c r="X17" s="151">
        <v>750052.33152232482</v>
      </c>
      <c r="Y17" s="174">
        <v>6.2</v>
      </c>
      <c r="Z17" s="173">
        <v>44345</v>
      </c>
      <c r="AA17" s="116">
        <v>42960</v>
      </c>
      <c r="AB17" s="174">
        <v>96.876761754425516</v>
      </c>
      <c r="AC17" s="174">
        <v>62.784266551875412</v>
      </c>
      <c r="AD17" s="151">
        <v>809163.62732057029</v>
      </c>
      <c r="AE17" s="174">
        <v>6.4</v>
      </c>
      <c r="AG17" s="741">
        <v>51149</v>
      </c>
      <c r="AH17" s="742">
        <v>49658</v>
      </c>
      <c r="AI17" s="743">
        <v>97.084986998768301</v>
      </c>
      <c r="AJ17" s="743">
        <v>59.543682183951717</v>
      </c>
      <c r="AK17" s="151">
        <v>887046.05096720241</v>
      </c>
      <c r="AL17" s="743">
        <v>6.431551764903114</v>
      </c>
      <c r="AM17" s="741">
        <v>52968</v>
      </c>
      <c r="AN17" s="742">
        <v>37378</v>
      </c>
      <c r="AO17" s="743">
        <v>70.567134873886118</v>
      </c>
      <c r="AP17" s="743">
        <v>24.883646533650015</v>
      </c>
      <c r="AQ17" s="151">
        <v>279030.28204043105</v>
      </c>
      <c r="AR17" s="743">
        <v>8.877098540145985</v>
      </c>
      <c r="AS17" s="203"/>
      <c r="AT17" s="116"/>
      <c r="AU17" s="116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CA17" s="185" t="s">
        <v>196</v>
      </c>
      <c r="CB17" s="173">
        <f t="shared" si="3"/>
        <v>52263</v>
      </c>
      <c r="CC17" s="186">
        <f t="shared" si="4"/>
        <v>50926</v>
      </c>
    </row>
    <row r="18" spans="1:81" s="164" customFormat="1" ht="16.5" customHeight="1">
      <c r="A18" s="177" t="s">
        <v>192</v>
      </c>
      <c r="B18" s="178">
        <v>31673</v>
      </c>
      <c r="C18" s="179">
        <v>30258</v>
      </c>
      <c r="D18" s="180">
        <f t="shared" si="2"/>
        <v>95.532472452877855</v>
      </c>
      <c r="E18" s="180">
        <v>68.518604432674266</v>
      </c>
      <c r="F18" s="179">
        <v>642703.13920639607</v>
      </c>
      <c r="G18" s="180">
        <v>5.9540985502776067</v>
      </c>
      <c r="H18" s="178">
        <v>34085</v>
      </c>
      <c r="I18" s="179">
        <v>32648</v>
      </c>
      <c r="J18" s="180">
        <f t="shared" si="0"/>
        <v>95.784069238668039</v>
      </c>
      <c r="K18" s="180">
        <v>62.531664803027752</v>
      </c>
      <c r="L18" s="148">
        <v>632875.47567166749</v>
      </c>
      <c r="M18" s="180">
        <v>4.9508699844870234</v>
      </c>
      <c r="N18" s="178">
        <v>37374</v>
      </c>
      <c r="O18" s="179">
        <v>36618</v>
      </c>
      <c r="P18" s="180">
        <f t="shared" si="1"/>
        <v>97.977203403435539</v>
      </c>
      <c r="Q18" s="180">
        <v>60.428101945735527</v>
      </c>
      <c r="R18" s="148">
        <v>685954.43348517246</v>
      </c>
      <c r="S18" s="180">
        <v>5.7</v>
      </c>
      <c r="T18" s="178">
        <v>41255</v>
      </c>
      <c r="U18" s="179">
        <v>40572</v>
      </c>
      <c r="V18" s="180">
        <v>98.34444309780632</v>
      </c>
      <c r="W18" s="180">
        <v>68.622562454511311</v>
      </c>
      <c r="X18" s="148">
        <v>863087.92721037427</v>
      </c>
      <c r="Y18" s="180">
        <v>6</v>
      </c>
      <c r="Z18" s="178">
        <v>45154</v>
      </c>
      <c r="AA18" s="179">
        <v>43770</v>
      </c>
      <c r="AB18" s="180">
        <v>96.852429781542583</v>
      </c>
      <c r="AC18" s="180">
        <v>67.419798632798503</v>
      </c>
      <c r="AD18" s="148">
        <v>909650.77808140765</v>
      </c>
      <c r="AE18" s="180">
        <v>6</v>
      </c>
      <c r="AG18" s="744">
        <v>51362</v>
      </c>
      <c r="AH18" s="745">
        <v>49854</v>
      </c>
      <c r="AI18" s="737">
        <v>97.067973246228036</v>
      </c>
      <c r="AJ18" s="737">
        <v>67.868665573773484</v>
      </c>
      <c r="AK18" s="148">
        <v>1049504.1896929736</v>
      </c>
      <c r="AL18" s="737">
        <v>6.1300122010911764</v>
      </c>
      <c r="AM18" s="744">
        <v>51827</v>
      </c>
      <c r="AN18" s="745">
        <v>42194</v>
      </c>
      <c r="AO18" s="737">
        <v>81.413163023134658</v>
      </c>
      <c r="AP18" s="737">
        <v>47.651202284407802</v>
      </c>
      <c r="AQ18" s="148">
        <v>623284.39704837382</v>
      </c>
      <c r="AR18" s="737">
        <v>9.1055876952922024</v>
      </c>
      <c r="AS18" s="203"/>
      <c r="AT18" s="116"/>
      <c r="AU18" s="116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CA18" s="185" t="s">
        <v>197</v>
      </c>
      <c r="CB18" s="173">
        <f t="shared" si="3"/>
        <v>52319</v>
      </c>
      <c r="CC18" s="186">
        <f t="shared" si="4"/>
        <v>51001</v>
      </c>
    </row>
    <row r="19" spans="1:81" s="631" customFormat="1" ht="13.5" customHeight="1">
      <c r="A19" s="735" t="s">
        <v>1078</v>
      </c>
      <c r="B19" s="629"/>
      <c r="C19" s="629"/>
      <c r="D19" s="630"/>
      <c r="H19" s="629"/>
      <c r="I19" s="629"/>
      <c r="J19" s="630"/>
      <c r="N19" s="629"/>
      <c r="O19" s="629"/>
      <c r="P19" s="630"/>
      <c r="T19" s="629"/>
      <c r="U19" s="629"/>
      <c r="V19" s="630"/>
      <c r="Y19" s="632"/>
      <c r="Z19" s="629"/>
      <c r="AA19" s="629"/>
      <c r="AB19" s="630"/>
      <c r="AE19" s="632"/>
      <c r="AG19" s="629"/>
      <c r="AH19" s="629"/>
      <c r="AI19" s="630"/>
      <c r="AL19" s="633"/>
      <c r="AM19" s="629"/>
      <c r="AN19" s="629"/>
      <c r="AO19" s="630"/>
      <c r="AR19" s="555" t="s">
        <v>143</v>
      </c>
      <c r="AS19" s="634"/>
      <c r="AT19" s="634"/>
      <c r="AU19" s="634"/>
      <c r="AV19" s="634"/>
      <c r="AW19" s="634"/>
      <c r="AX19" s="634"/>
      <c r="AY19" s="634"/>
      <c r="AZ19" s="634"/>
      <c r="BA19" s="634"/>
      <c r="BB19" s="634"/>
      <c r="BC19" s="634"/>
      <c r="BD19" s="634"/>
      <c r="BE19" s="634"/>
      <c r="BF19" s="634"/>
      <c r="BG19" s="634"/>
      <c r="BH19" s="634"/>
      <c r="CA19" s="635" t="s">
        <v>198</v>
      </c>
      <c r="CB19" s="173">
        <f t="shared" si="3"/>
        <v>52319</v>
      </c>
      <c r="CC19" s="186">
        <f t="shared" si="4"/>
        <v>7690</v>
      </c>
    </row>
    <row r="20" spans="1:81" ht="13.5" customHeight="1">
      <c r="A20" s="736" t="s">
        <v>1077</v>
      </c>
      <c r="B20" s="181"/>
      <c r="C20" s="181"/>
      <c r="D20" s="182"/>
      <c r="H20" s="181"/>
      <c r="I20" s="181"/>
      <c r="J20" s="182"/>
      <c r="N20" s="181"/>
      <c r="O20" s="181"/>
      <c r="P20" s="182"/>
      <c r="T20" s="181"/>
      <c r="U20" s="181"/>
      <c r="V20" s="182"/>
      <c r="Z20" s="181"/>
      <c r="AA20" s="181"/>
      <c r="AB20" s="182"/>
      <c r="AG20" s="181"/>
      <c r="AH20" s="181"/>
      <c r="AI20" s="182"/>
      <c r="AL20" s="555"/>
      <c r="AM20" s="181"/>
      <c r="AN20" s="181"/>
      <c r="AO20" s="182"/>
      <c r="AS20" s="194"/>
      <c r="AT20" s="194"/>
      <c r="AU20" s="194"/>
      <c r="CA20" s="185" t="s">
        <v>185</v>
      </c>
      <c r="CB20" s="173">
        <f t="shared" si="3"/>
        <v>52319</v>
      </c>
      <c r="CC20" s="186">
        <f t="shared" si="4"/>
        <v>2978</v>
      </c>
    </row>
    <row r="21" spans="1:81" ht="13.5" customHeight="1">
      <c r="A21" s="736" t="s">
        <v>1079</v>
      </c>
      <c r="B21" s="181"/>
      <c r="C21" s="181"/>
      <c r="H21" s="181"/>
      <c r="I21" s="181"/>
      <c r="N21" s="181"/>
      <c r="O21" s="181"/>
      <c r="T21" s="181"/>
      <c r="U21" s="181"/>
      <c r="Z21" s="181"/>
      <c r="AA21" s="181"/>
      <c r="AG21" s="181"/>
      <c r="AH21" s="181"/>
      <c r="AM21" s="181"/>
      <c r="AN21" s="181"/>
      <c r="CA21" s="185" t="s">
        <v>199</v>
      </c>
      <c r="CB21" s="173">
        <f t="shared" si="3"/>
        <v>52287</v>
      </c>
      <c r="CC21" s="186">
        <f t="shared" si="4"/>
        <v>3078</v>
      </c>
    </row>
    <row r="22" spans="1:81" ht="18.75" customHeight="1">
      <c r="A22" s="54" t="s">
        <v>142</v>
      </c>
      <c r="B22" s="181"/>
      <c r="C22" s="181"/>
      <c r="H22" s="181"/>
      <c r="I22" s="181"/>
      <c r="N22" s="181"/>
      <c r="O22" s="181"/>
      <c r="T22" s="181"/>
      <c r="U22" s="181"/>
      <c r="Z22" s="181"/>
      <c r="AA22" s="181"/>
      <c r="AG22" s="181"/>
      <c r="AH22" s="181"/>
      <c r="AM22" s="181"/>
      <c r="AN22" s="181"/>
      <c r="CA22" s="185" t="s">
        <v>200</v>
      </c>
      <c r="CB22" s="173">
        <f t="shared" si="3"/>
        <v>52236</v>
      </c>
      <c r="CC22" s="186">
        <f t="shared" si="4"/>
        <v>9821</v>
      </c>
    </row>
    <row r="23" spans="1:81" ht="18.75" customHeight="1">
      <c r="A23" s="187"/>
      <c r="B23" s="181"/>
      <c r="C23" s="181"/>
      <c r="H23" s="181"/>
      <c r="I23" s="181"/>
      <c r="N23" s="181"/>
      <c r="O23" s="181"/>
      <c r="T23" s="181"/>
      <c r="U23" s="181"/>
      <c r="Z23" s="181"/>
      <c r="AA23" s="181"/>
      <c r="AG23" s="181"/>
      <c r="AH23" s="181"/>
      <c r="AM23" s="181"/>
      <c r="AN23" s="181"/>
      <c r="CA23" s="185" t="s">
        <v>201</v>
      </c>
      <c r="CB23" s="173">
        <f t="shared" si="3"/>
        <v>52361</v>
      </c>
      <c r="CC23" s="186">
        <f t="shared" si="4"/>
        <v>19263</v>
      </c>
    </row>
    <row r="24" spans="1:81" ht="18.75" customHeight="1">
      <c r="A24" s="187"/>
      <c r="B24" s="181"/>
      <c r="C24" s="181"/>
      <c r="H24" s="181"/>
      <c r="I24" s="181"/>
      <c r="N24" s="181"/>
      <c r="O24" s="181"/>
      <c r="T24" s="181"/>
      <c r="U24" s="181"/>
      <c r="Z24" s="181"/>
      <c r="AA24" s="181"/>
      <c r="AG24" s="181"/>
      <c r="AH24" s="181"/>
      <c r="AM24" s="181"/>
      <c r="AN24" s="181"/>
      <c r="CA24" s="185" t="s">
        <v>202</v>
      </c>
      <c r="CB24" s="173">
        <f t="shared" si="3"/>
        <v>52311</v>
      </c>
      <c r="CC24" s="186">
        <f t="shared" si="4"/>
        <v>25328</v>
      </c>
    </row>
    <row r="25" spans="1:81" ht="18.75" customHeight="1">
      <c r="A25" s="187"/>
      <c r="B25" s="181"/>
      <c r="C25" s="181"/>
      <c r="H25" s="181"/>
      <c r="I25" s="181"/>
      <c r="N25" s="181"/>
      <c r="O25" s="181"/>
      <c r="T25" s="181"/>
      <c r="U25" s="181"/>
      <c r="Z25" s="181"/>
      <c r="AA25" s="181"/>
      <c r="AG25" s="181"/>
      <c r="AH25" s="181"/>
      <c r="AM25" s="181"/>
      <c r="AN25" s="181"/>
      <c r="BN25" s="188">
        <v>41640</v>
      </c>
      <c r="BO25" s="189">
        <f t="shared" ref="BO25:BO36" si="5">G7</f>
        <v>6.4975117763257861</v>
      </c>
      <c r="CA25" s="185" t="s">
        <v>203</v>
      </c>
      <c r="CB25" s="173">
        <f t="shared" si="3"/>
        <v>52867</v>
      </c>
      <c r="CC25" s="186">
        <f t="shared" si="4"/>
        <v>32600</v>
      </c>
    </row>
    <row r="26" spans="1:81" ht="18.75" customHeight="1">
      <c r="A26" s="187"/>
      <c r="B26" s="181"/>
      <c r="C26" s="181"/>
      <c r="H26" s="181"/>
      <c r="I26" s="181"/>
      <c r="N26" s="181"/>
      <c r="O26" s="181"/>
      <c r="T26" s="181"/>
      <c r="U26" s="181"/>
      <c r="Z26" s="181"/>
      <c r="AA26" s="181"/>
      <c r="AG26" s="181"/>
      <c r="AH26" s="181"/>
      <c r="AM26" s="181"/>
      <c r="AN26" s="181"/>
      <c r="BN26" s="190" t="s">
        <v>182</v>
      </c>
      <c r="BO26" s="189">
        <f t="shared" si="5"/>
        <v>6.1376541258299087</v>
      </c>
      <c r="CA26" s="185" t="s">
        <v>204</v>
      </c>
      <c r="CB26" s="173">
        <f t="shared" si="3"/>
        <v>52968</v>
      </c>
      <c r="CC26" s="186">
        <f t="shared" si="4"/>
        <v>37378</v>
      </c>
    </row>
    <row r="27" spans="1:81" ht="18.75" customHeight="1">
      <c r="A27" s="187"/>
      <c r="B27" s="181"/>
      <c r="C27" s="181"/>
      <c r="H27" s="181"/>
      <c r="I27" s="181"/>
      <c r="N27" s="181"/>
      <c r="O27" s="181"/>
      <c r="T27" s="181"/>
      <c r="U27" s="181"/>
      <c r="Z27" s="181"/>
      <c r="AA27" s="181"/>
      <c r="AG27" s="181"/>
      <c r="AH27" s="181"/>
      <c r="AM27" s="181"/>
      <c r="AN27" s="181"/>
      <c r="BN27" s="190" t="s">
        <v>183</v>
      </c>
      <c r="BO27" s="189">
        <f t="shared" si="5"/>
        <v>6.4923550587343692</v>
      </c>
      <c r="CA27" s="185" t="s">
        <v>205</v>
      </c>
      <c r="CB27" s="173">
        <f t="shared" si="3"/>
        <v>51827</v>
      </c>
      <c r="CC27" s="186">
        <f t="shared" si="4"/>
        <v>42194</v>
      </c>
    </row>
    <row r="28" spans="1:81" ht="18.75" customHeight="1">
      <c r="A28" s="187"/>
      <c r="B28" s="181"/>
      <c r="C28" s="181"/>
      <c r="H28" s="181"/>
      <c r="I28" s="181"/>
      <c r="N28" s="181"/>
      <c r="O28" s="181"/>
      <c r="T28" s="181"/>
      <c r="U28" s="181"/>
      <c r="Z28" s="181"/>
      <c r="AA28" s="181"/>
      <c r="AG28" s="181"/>
      <c r="AH28" s="181"/>
      <c r="AM28" s="181"/>
      <c r="AN28" s="181"/>
      <c r="BN28" s="190" t="s">
        <v>184</v>
      </c>
      <c r="BO28" s="189">
        <f t="shared" si="5"/>
        <v>6.15079432906969</v>
      </c>
      <c r="CA28" s="164"/>
      <c r="CB28" s="164"/>
      <c r="CC28" s="164"/>
    </row>
    <row r="29" spans="1:81" ht="18.75" customHeight="1">
      <c r="A29" s="187"/>
      <c r="B29" s="181"/>
      <c r="C29" s="181"/>
      <c r="H29" s="181"/>
      <c r="I29" s="181"/>
      <c r="N29" s="181"/>
      <c r="O29" s="181"/>
      <c r="T29" s="181"/>
      <c r="U29" s="181"/>
      <c r="Z29" s="181"/>
      <c r="AA29" s="181"/>
      <c r="AG29" s="181"/>
      <c r="AH29" s="181"/>
      <c r="AM29" s="181"/>
      <c r="AN29" s="181"/>
      <c r="BN29" s="190" t="s">
        <v>185</v>
      </c>
      <c r="BO29" s="189">
        <f t="shared" si="5"/>
        <v>6.1992748860848232</v>
      </c>
    </row>
    <row r="30" spans="1:81" ht="18.75" customHeight="1">
      <c r="A30" s="187"/>
      <c r="B30" s="181"/>
      <c r="C30" s="181"/>
      <c r="D30" s="184"/>
      <c r="H30" s="181"/>
      <c r="I30" s="181"/>
      <c r="J30" s="184"/>
      <c r="N30" s="181"/>
      <c r="O30" s="181"/>
      <c r="P30" s="184"/>
      <c r="T30" s="181"/>
      <c r="U30" s="181"/>
      <c r="V30" s="184"/>
      <c r="Z30" s="181"/>
      <c r="AA30" s="181"/>
      <c r="AB30" s="184"/>
      <c r="AG30" s="181"/>
      <c r="AH30" s="181"/>
      <c r="AI30" s="184"/>
      <c r="AM30" s="181"/>
      <c r="AN30" s="181"/>
      <c r="AO30" s="184"/>
      <c r="BN30" s="190" t="s">
        <v>186</v>
      </c>
      <c r="BO30" s="189">
        <f t="shared" si="5"/>
        <v>5.5955943225311051</v>
      </c>
    </row>
    <row r="31" spans="1:81" ht="18.75" customHeight="1">
      <c r="A31" s="187"/>
      <c r="B31" s="191"/>
      <c r="C31" s="191"/>
      <c r="D31" s="192"/>
      <c r="H31" s="191"/>
      <c r="I31" s="191"/>
      <c r="J31" s="192"/>
      <c r="N31" s="191"/>
      <c r="O31" s="191"/>
      <c r="P31" s="192"/>
      <c r="T31" s="191"/>
      <c r="U31" s="191"/>
      <c r="V31" s="192"/>
      <c r="Z31" s="191"/>
      <c r="AA31" s="191"/>
      <c r="AB31" s="192"/>
      <c r="AG31" s="191"/>
      <c r="AH31" s="191"/>
      <c r="AI31" s="192"/>
      <c r="AM31" s="191"/>
      <c r="AN31" s="191"/>
      <c r="AO31" s="192"/>
      <c r="BN31" s="190" t="s">
        <v>187</v>
      </c>
      <c r="BO31" s="189">
        <f t="shared" si="5"/>
        <v>5.7481210887205441</v>
      </c>
    </row>
    <row r="32" spans="1:81" ht="9.75" customHeight="1">
      <c r="A32" s="187"/>
      <c r="B32" s="193"/>
      <c r="C32" s="193"/>
      <c r="D32" s="193"/>
      <c r="E32" s="194"/>
      <c r="H32" s="193"/>
      <c r="I32" s="193"/>
      <c r="J32" s="193"/>
      <c r="K32" s="194"/>
      <c r="N32" s="193"/>
      <c r="O32" s="193"/>
      <c r="P32" s="193"/>
      <c r="Q32" s="194"/>
      <c r="T32" s="193"/>
      <c r="U32" s="193"/>
      <c r="V32" s="193"/>
      <c r="W32" s="194"/>
      <c r="Z32" s="193"/>
      <c r="AA32" s="193"/>
      <c r="AB32" s="193"/>
      <c r="AC32" s="194"/>
      <c r="AG32" s="193"/>
      <c r="AH32" s="193"/>
      <c r="AI32" s="193"/>
      <c r="AJ32" s="194"/>
      <c r="AM32" s="193"/>
      <c r="AN32" s="193"/>
      <c r="AO32" s="193"/>
      <c r="AP32" s="194"/>
      <c r="BN32" s="190" t="s">
        <v>188</v>
      </c>
      <c r="BO32" s="189">
        <f t="shared" si="5"/>
        <v>6.0467913155318369</v>
      </c>
    </row>
    <row r="33" spans="1:67" ht="18.75" customHeight="1">
      <c r="A33" s="187"/>
      <c r="B33" s="195"/>
      <c r="C33" s="195"/>
      <c r="D33" s="195"/>
      <c r="E33" s="194"/>
      <c r="H33" s="195"/>
      <c r="I33" s="195"/>
      <c r="J33" s="195"/>
      <c r="K33" s="194"/>
      <c r="N33" s="195"/>
      <c r="O33" s="195"/>
      <c r="P33" s="195"/>
      <c r="Q33" s="194"/>
      <c r="T33" s="195"/>
      <c r="U33" s="195"/>
      <c r="V33" s="195"/>
      <c r="W33" s="194"/>
      <c r="Z33" s="195"/>
      <c r="AA33" s="195"/>
      <c r="AB33" s="195"/>
      <c r="AC33" s="194"/>
      <c r="AG33" s="195"/>
      <c r="AH33" s="195"/>
      <c r="AI33" s="195"/>
      <c r="AJ33" s="194"/>
      <c r="AM33" s="195"/>
      <c r="AN33" s="195"/>
      <c r="AO33" s="195"/>
      <c r="AP33" s="194"/>
      <c r="BN33" s="190" t="s">
        <v>189</v>
      </c>
      <c r="BO33" s="189">
        <f t="shared" si="5"/>
        <v>5.681066930210064</v>
      </c>
    </row>
    <row r="34" spans="1:67" ht="18.75" customHeight="1">
      <c r="A34" s="187"/>
      <c r="B34" s="195"/>
      <c r="C34" s="195"/>
      <c r="D34" s="195"/>
      <c r="E34" s="194"/>
      <c r="F34" s="194"/>
      <c r="G34" s="194"/>
      <c r="H34" s="195"/>
      <c r="I34" s="195"/>
      <c r="J34" s="195"/>
      <c r="K34" s="194"/>
      <c r="L34" s="194"/>
      <c r="M34" s="194"/>
      <c r="N34" s="195"/>
      <c r="O34" s="195"/>
      <c r="P34" s="195"/>
      <c r="Q34" s="194"/>
      <c r="R34" s="194"/>
      <c r="S34" s="194"/>
      <c r="T34" s="195"/>
      <c r="U34" s="195"/>
      <c r="V34" s="195"/>
      <c r="W34" s="194"/>
      <c r="X34" s="194"/>
      <c r="Y34" s="194"/>
      <c r="Z34" s="195"/>
      <c r="AA34" s="195"/>
      <c r="AB34" s="195"/>
      <c r="AC34" s="194"/>
      <c r="AD34" s="194"/>
      <c r="AE34" s="194"/>
      <c r="AG34" s="195"/>
      <c r="AH34" s="195"/>
      <c r="AI34" s="195"/>
      <c r="AJ34" s="194"/>
      <c r="AK34" s="194"/>
      <c r="AL34" s="194"/>
      <c r="AM34" s="195"/>
      <c r="AN34" s="195"/>
      <c r="AO34" s="195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N34" s="190" t="s">
        <v>190</v>
      </c>
      <c r="BO34" s="189">
        <f t="shared" si="5"/>
        <v>6.0237285984899982</v>
      </c>
    </row>
    <row r="35" spans="1:67">
      <c r="B35" s="195"/>
      <c r="C35" s="195"/>
      <c r="D35" s="195"/>
      <c r="E35" s="194"/>
      <c r="F35" s="196"/>
      <c r="G35" s="196"/>
      <c r="H35" s="195"/>
      <c r="I35" s="195"/>
      <c r="J35" s="195"/>
      <c r="K35" s="194"/>
      <c r="L35" s="196"/>
      <c r="M35" s="196"/>
      <c r="N35" s="195"/>
      <c r="O35" s="195"/>
      <c r="P35" s="195"/>
      <c r="Q35" s="194"/>
      <c r="R35" s="196"/>
      <c r="S35" s="196"/>
      <c r="T35" s="195"/>
      <c r="U35" s="195"/>
      <c r="V35" s="195"/>
      <c r="W35" s="194"/>
      <c r="X35" s="196"/>
      <c r="Y35" s="196"/>
      <c r="Z35" s="195"/>
      <c r="AA35" s="195"/>
      <c r="AB35" s="195"/>
      <c r="AC35" s="194"/>
      <c r="AD35" s="196"/>
      <c r="AE35" s="196"/>
      <c r="AG35" s="195"/>
      <c r="AH35" s="195"/>
      <c r="AI35" s="195"/>
      <c r="AJ35" s="194"/>
      <c r="AK35" s="196"/>
      <c r="AL35" s="196"/>
      <c r="AM35" s="195"/>
      <c r="AN35" s="195"/>
      <c r="AO35" s="195"/>
      <c r="AP35" s="194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N35" s="197" t="s">
        <v>191</v>
      </c>
      <c r="BO35" s="189">
        <f t="shared" si="5"/>
        <v>6.1560850096905702</v>
      </c>
    </row>
    <row r="36" spans="1:67">
      <c r="B36" s="195"/>
      <c r="C36" s="195"/>
      <c r="D36" s="195"/>
      <c r="E36" s="185"/>
      <c r="F36" s="194"/>
      <c r="G36" s="194"/>
      <c r="H36" s="195"/>
      <c r="I36" s="195"/>
      <c r="J36" s="195"/>
      <c r="K36" s="185"/>
      <c r="L36" s="194"/>
      <c r="M36" s="194"/>
      <c r="N36" s="195"/>
      <c r="O36" s="195"/>
      <c r="P36" s="195"/>
      <c r="Q36" s="185"/>
      <c r="R36" s="194"/>
      <c r="S36" s="194"/>
      <c r="T36" s="195"/>
      <c r="U36" s="195"/>
      <c r="V36" s="195"/>
      <c r="W36" s="185"/>
      <c r="X36" s="194"/>
      <c r="Y36" s="194"/>
      <c r="Z36" s="195"/>
      <c r="AA36" s="195"/>
      <c r="AB36" s="195"/>
      <c r="AC36" s="185"/>
      <c r="AD36" s="194"/>
      <c r="AE36" s="194"/>
      <c r="AG36" s="195"/>
      <c r="AH36" s="195"/>
      <c r="AI36" s="195"/>
      <c r="AJ36" s="185"/>
      <c r="AK36" s="194"/>
      <c r="AL36" s="194"/>
      <c r="AM36" s="195"/>
      <c r="AN36" s="195"/>
      <c r="AO36" s="195"/>
      <c r="AP36" s="185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N36" s="198" t="s">
        <v>192</v>
      </c>
      <c r="BO36" s="189">
        <f t="shared" si="5"/>
        <v>5.9540985502776067</v>
      </c>
    </row>
    <row r="37" spans="1:67">
      <c r="B37" s="195"/>
      <c r="C37" s="195"/>
      <c r="D37" s="195"/>
      <c r="E37" s="185"/>
      <c r="H37" s="195"/>
      <c r="I37" s="195"/>
      <c r="J37" s="195"/>
      <c r="K37" s="185"/>
      <c r="N37" s="195"/>
      <c r="O37" s="195"/>
      <c r="P37" s="195"/>
      <c r="Q37" s="185"/>
      <c r="T37" s="195"/>
      <c r="U37" s="195"/>
      <c r="V37" s="195"/>
      <c r="W37" s="185"/>
      <c r="Z37" s="195"/>
      <c r="AA37" s="195"/>
      <c r="AB37" s="195"/>
      <c r="AC37" s="185"/>
      <c r="AG37" s="195"/>
      <c r="AH37" s="195"/>
      <c r="AI37" s="195"/>
      <c r="AJ37" s="185"/>
      <c r="AM37" s="195"/>
      <c r="AN37" s="195"/>
      <c r="AO37" s="195"/>
      <c r="AP37" s="185"/>
      <c r="BN37" s="188">
        <v>42005</v>
      </c>
      <c r="BO37" s="199">
        <v>6.4986144447992746</v>
      </c>
    </row>
    <row r="38" spans="1:67">
      <c r="B38" s="195"/>
      <c r="C38" s="195"/>
      <c r="D38" s="195"/>
      <c r="E38" s="185"/>
      <c r="H38" s="195"/>
      <c r="I38" s="195"/>
      <c r="J38" s="195"/>
      <c r="K38" s="185"/>
      <c r="N38" s="195"/>
      <c r="O38" s="195"/>
      <c r="P38" s="195"/>
      <c r="Q38" s="185"/>
      <c r="T38" s="195"/>
      <c r="U38" s="195"/>
      <c r="V38" s="195"/>
      <c r="W38" s="185"/>
      <c r="Z38" s="195"/>
      <c r="AA38" s="195"/>
      <c r="AB38" s="195"/>
      <c r="AC38" s="185"/>
      <c r="AG38" s="195"/>
      <c r="AH38" s="195"/>
      <c r="AI38" s="195"/>
      <c r="AJ38" s="185"/>
      <c r="AM38" s="195"/>
      <c r="AN38" s="195"/>
      <c r="AO38" s="195"/>
      <c r="AP38" s="185"/>
      <c r="BN38" s="190" t="s">
        <v>182</v>
      </c>
      <c r="BO38" s="199">
        <v>5.6647325430819802</v>
      </c>
    </row>
    <row r="39" spans="1:67">
      <c r="B39" s="195"/>
      <c r="C39" s="195"/>
      <c r="D39" s="195"/>
      <c r="E39" s="185"/>
      <c r="H39" s="195"/>
      <c r="I39" s="195"/>
      <c r="J39" s="195"/>
      <c r="K39" s="185"/>
      <c r="N39" s="195"/>
      <c r="O39" s="195"/>
      <c r="P39" s="195"/>
      <c r="Q39" s="185"/>
      <c r="T39" s="195"/>
      <c r="U39" s="195"/>
      <c r="V39" s="195"/>
      <c r="W39" s="185"/>
      <c r="Z39" s="195"/>
      <c r="AA39" s="195"/>
      <c r="AB39" s="195"/>
      <c r="AC39" s="185"/>
      <c r="AG39" s="195"/>
      <c r="AH39" s="195"/>
      <c r="AI39" s="195"/>
      <c r="AJ39" s="185"/>
      <c r="AM39" s="195"/>
      <c r="AN39" s="195"/>
      <c r="AO39" s="195"/>
      <c r="AP39" s="185"/>
      <c r="BN39" s="190" t="s">
        <v>183</v>
      </c>
      <c r="BO39" s="199">
        <v>5.8371209762779399</v>
      </c>
    </row>
    <row r="40" spans="1:67">
      <c r="B40" s="195"/>
      <c r="C40" s="195"/>
      <c r="D40" s="195"/>
      <c r="E40" s="185"/>
      <c r="H40" s="195"/>
      <c r="I40" s="195"/>
      <c r="J40" s="195"/>
      <c r="K40" s="185"/>
      <c r="N40" s="195"/>
      <c r="O40" s="195"/>
      <c r="P40" s="195"/>
      <c r="Q40" s="185"/>
      <c r="T40" s="195"/>
      <c r="U40" s="195"/>
      <c r="V40" s="195"/>
      <c r="W40" s="185"/>
      <c r="Z40" s="195"/>
      <c r="AA40" s="195"/>
      <c r="AB40" s="195"/>
      <c r="AC40" s="185"/>
      <c r="AG40" s="195"/>
      <c r="AH40" s="195"/>
      <c r="AI40" s="195"/>
      <c r="AJ40" s="185"/>
      <c r="AM40" s="195"/>
      <c r="AN40" s="195"/>
      <c r="AO40" s="195"/>
      <c r="AP40" s="185"/>
      <c r="BN40" s="190" t="s">
        <v>184</v>
      </c>
      <c r="BO40" s="199">
        <v>5.8961776960544592</v>
      </c>
    </row>
    <row r="41" spans="1:67">
      <c r="B41" s="195"/>
      <c r="C41" s="195"/>
      <c r="D41" s="195"/>
      <c r="E41" s="185"/>
      <c r="H41" s="195"/>
      <c r="I41" s="195"/>
      <c r="J41" s="195"/>
      <c r="K41" s="185"/>
      <c r="N41" s="195"/>
      <c r="O41" s="195"/>
      <c r="P41" s="195"/>
      <c r="Q41" s="185"/>
      <c r="T41" s="195"/>
      <c r="U41" s="195"/>
      <c r="V41" s="195"/>
      <c r="W41" s="185"/>
      <c r="Z41" s="195"/>
      <c r="AA41" s="195"/>
      <c r="AB41" s="195"/>
      <c r="AC41" s="185"/>
      <c r="AG41" s="195"/>
      <c r="AH41" s="195"/>
      <c r="AI41" s="195"/>
      <c r="AJ41" s="185"/>
      <c r="AM41" s="195"/>
      <c r="AN41" s="195"/>
      <c r="AO41" s="195"/>
      <c r="AP41" s="185"/>
      <c r="BN41" s="190" t="s">
        <v>185</v>
      </c>
      <c r="BO41" s="199">
        <v>5.8370252335174913</v>
      </c>
    </row>
    <row r="42" spans="1:67">
      <c r="B42" s="195"/>
      <c r="C42" s="195"/>
      <c r="D42" s="195"/>
      <c r="E42" s="185"/>
      <c r="H42" s="195"/>
      <c r="I42" s="195"/>
      <c r="J42" s="195"/>
      <c r="K42" s="185"/>
      <c r="N42" s="195"/>
      <c r="O42" s="195"/>
      <c r="P42" s="195"/>
      <c r="Q42" s="185"/>
      <c r="T42" s="195"/>
      <c r="U42" s="195"/>
      <c r="V42" s="195"/>
      <c r="W42" s="185"/>
      <c r="Z42" s="195"/>
      <c r="AA42" s="195"/>
      <c r="AB42" s="195"/>
      <c r="AC42" s="185"/>
      <c r="AG42" s="195"/>
      <c r="AH42" s="195"/>
      <c r="AI42" s="195"/>
      <c r="AJ42" s="185"/>
      <c r="AM42" s="195"/>
      <c r="AN42" s="195"/>
      <c r="AO42" s="195"/>
      <c r="AP42" s="185"/>
      <c r="BN42" s="190" t="s">
        <v>186</v>
      </c>
      <c r="BO42" s="199">
        <v>5.3335091895075211</v>
      </c>
    </row>
    <row r="43" spans="1:67">
      <c r="B43" s="195"/>
      <c r="C43" s="195"/>
      <c r="D43" s="195"/>
      <c r="E43" s="185"/>
      <c r="H43" s="195"/>
      <c r="I43" s="195"/>
      <c r="J43" s="195"/>
      <c r="K43" s="185"/>
      <c r="N43" s="195"/>
      <c r="O43" s="195"/>
      <c r="P43" s="195"/>
      <c r="Q43" s="185"/>
      <c r="T43" s="195"/>
      <c r="U43" s="195"/>
      <c r="V43" s="195"/>
      <c r="W43" s="185"/>
      <c r="Z43" s="195"/>
      <c r="AA43" s="195"/>
      <c r="AB43" s="195"/>
      <c r="AC43" s="185"/>
      <c r="AG43" s="195"/>
      <c r="AH43" s="195"/>
      <c r="AI43" s="195"/>
      <c r="AJ43" s="185"/>
      <c r="AM43" s="195"/>
      <c r="AN43" s="195"/>
      <c r="AO43" s="195"/>
      <c r="AP43" s="185"/>
      <c r="BN43" s="190" t="s">
        <v>187</v>
      </c>
      <c r="BO43" s="199">
        <v>5.2416292086454837</v>
      </c>
    </row>
    <row r="44" spans="1:67">
      <c r="B44" s="195"/>
      <c r="C44" s="195"/>
      <c r="D44" s="195"/>
      <c r="E44" s="185"/>
      <c r="H44" s="195"/>
      <c r="I44" s="195"/>
      <c r="J44" s="195"/>
      <c r="K44" s="185"/>
      <c r="N44" s="195"/>
      <c r="O44" s="195"/>
      <c r="P44" s="195"/>
      <c r="Q44" s="185"/>
      <c r="T44" s="195"/>
      <c r="U44" s="195"/>
      <c r="V44" s="195"/>
      <c r="W44" s="185"/>
      <c r="Z44" s="195"/>
      <c r="AA44" s="195"/>
      <c r="AB44" s="195"/>
      <c r="AC44" s="185"/>
      <c r="AG44" s="195"/>
      <c r="AH44" s="195"/>
      <c r="AI44" s="195"/>
      <c r="AJ44" s="185"/>
      <c r="AM44" s="195"/>
      <c r="AN44" s="195"/>
      <c r="AO44" s="195"/>
      <c r="AP44" s="185"/>
      <c r="BN44" s="190" t="s">
        <v>188</v>
      </c>
      <c r="BO44" s="199">
        <v>5.5166509296920392</v>
      </c>
    </row>
    <row r="45" spans="1:67">
      <c r="B45" s="194"/>
      <c r="C45" s="194"/>
      <c r="D45" s="194"/>
      <c r="E45" s="185"/>
      <c r="H45" s="194"/>
      <c r="I45" s="194"/>
      <c r="J45" s="194"/>
      <c r="K45" s="185"/>
      <c r="N45" s="194"/>
      <c r="O45" s="194"/>
      <c r="P45" s="194"/>
      <c r="Q45" s="185"/>
      <c r="T45" s="194"/>
      <c r="U45" s="194"/>
      <c r="V45" s="194"/>
      <c r="W45" s="185"/>
      <c r="Z45" s="194"/>
      <c r="AA45" s="194"/>
      <c r="AB45" s="194"/>
      <c r="AC45" s="185"/>
      <c r="AG45" s="194"/>
      <c r="AH45" s="194"/>
      <c r="AI45" s="194"/>
      <c r="AJ45" s="185"/>
      <c r="AM45" s="194"/>
      <c r="AN45" s="194"/>
      <c r="AO45" s="194"/>
      <c r="AP45" s="185"/>
      <c r="BN45" s="190" t="s">
        <v>189</v>
      </c>
      <c r="BO45" s="199">
        <v>5.4870643171990663</v>
      </c>
    </row>
    <row r="46" spans="1:67">
      <c r="B46" s="194"/>
      <c r="C46" s="194"/>
      <c r="D46" s="194"/>
      <c r="E46" s="185"/>
      <c r="H46" s="194"/>
      <c r="I46" s="194"/>
      <c r="J46" s="194"/>
      <c r="K46" s="185"/>
      <c r="N46" s="194"/>
      <c r="O46" s="194"/>
      <c r="P46" s="194"/>
      <c r="Q46" s="185"/>
      <c r="T46" s="194"/>
      <c r="U46" s="194"/>
      <c r="V46" s="194"/>
      <c r="W46" s="185"/>
      <c r="Z46" s="194"/>
      <c r="AA46" s="194"/>
      <c r="AB46" s="194"/>
      <c r="AC46" s="185"/>
      <c r="AG46" s="194"/>
      <c r="AH46" s="194"/>
      <c r="AI46" s="194"/>
      <c r="AJ46" s="185"/>
      <c r="AM46" s="194"/>
      <c r="AN46" s="194"/>
      <c r="AO46" s="194"/>
      <c r="AP46" s="185"/>
      <c r="BN46" s="190" t="s">
        <v>190</v>
      </c>
      <c r="BO46" s="199">
        <v>5.783171244952511</v>
      </c>
    </row>
    <row r="47" spans="1:67">
      <c r="E47" s="185"/>
      <c r="K47" s="185"/>
      <c r="Q47" s="185"/>
      <c r="W47" s="185"/>
      <c r="AC47" s="185"/>
      <c r="AJ47" s="185"/>
      <c r="AP47" s="185"/>
      <c r="BN47" s="197" t="s">
        <v>191</v>
      </c>
      <c r="BO47" s="199">
        <v>5.9014498215433724</v>
      </c>
    </row>
    <row r="48" spans="1:67">
      <c r="BN48" s="198" t="s">
        <v>192</v>
      </c>
      <c r="BO48" s="199">
        <v>4.9508699844870234</v>
      </c>
    </row>
    <row r="49" spans="2:67">
      <c r="BN49" s="188">
        <v>42370</v>
      </c>
      <c r="BO49" s="199">
        <f t="shared" ref="BO49:BO60" si="6">S7</f>
        <v>6.1</v>
      </c>
    </row>
    <row r="50" spans="2:67">
      <c r="BN50" s="185" t="s">
        <v>196</v>
      </c>
      <c r="BO50" s="199">
        <f t="shared" si="6"/>
        <v>6.2</v>
      </c>
    </row>
    <row r="51" spans="2:67">
      <c r="BN51" s="185" t="s">
        <v>197</v>
      </c>
      <c r="BO51" s="199">
        <f t="shared" si="6"/>
        <v>6.5</v>
      </c>
    </row>
    <row r="52" spans="2:67">
      <c r="BN52" s="185" t="s">
        <v>198</v>
      </c>
      <c r="BO52" s="199">
        <f t="shared" si="6"/>
        <v>6.3</v>
      </c>
    </row>
    <row r="53" spans="2:67">
      <c r="BN53" s="185" t="s">
        <v>185</v>
      </c>
      <c r="BO53" s="199">
        <f t="shared" si="6"/>
        <v>6.2</v>
      </c>
    </row>
    <row r="54" spans="2:67">
      <c r="BN54" s="185" t="s">
        <v>199</v>
      </c>
      <c r="BO54" s="199">
        <f t="shared" si="6"/>
        <v>5.6</v>
      </c>
    </row>
    <row r="55" spans="2:67">
      <c r="BN55" s="185" t="s">
        <v>200</v>
      </c>
      <c r="BO55" s="199">
        <f t="shared" si="6"/>
        <v>5.7</v>
      </c>
    </row>
    <row r="56" spans="2:67">
      <c r="BN56" s="185" t="s">
        <v>201</v>
      </c>
      <c r="BO56" s="199">
        <f t="shared" si="6"/>
        <v>6</v>
      </c>
    </row>
    <row r="57" spans="2:67">
      <c r="BN57" s="185" t="s">
        <v>202</v>
      </c>
      <c r="BO57" s="199">
        <f t="shared" si="6"/>
        <v>5.8</v>
      </c>
    </row>
    <row r="58" spans="2:67"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Z58" s="194"/>
      <c r="AG58" s="194"/>
      <c r="AM58" s="194"/>
      <c r="BN58" s="185" t="s">
        <v>203</v>
      </c>
      <c r="BO58" s="199">
        <f t="shared" si="6"/>
        <v>6</v>
      </c>
    </row>
    <row r="59" spans="2:67"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Z59" s="194"/>
      <c r="AG59" s="194"/>
      <c r="AM59" s="194"/>
      <c r="BN59" s="185" t="s">
        <v>204</v>
      </c>
      <c r="BO59" s="199">
        <f t="shared" si="6"/>
        <v>6.2</v>
      </c>
    </row>
    <row r="60" spans="2:67" ht="12.75">
      <c r="B60" s="200"/>
      <c r="C60" s="200"/>
      <c r="D60" s="201"/>
      <c r="E60" s="201"/>
      <c r="F60" s="200"/>
      <c r="G60" s="201"/>
      <c r="H60" s="200"/>
      <c r="I60" s="200"/>
      <c r="J60" s="201"/>
      <c r="K60" s="201"/>
      <c r="L60" s="202"/>
      <c r="M60" s="201"/>
      <c r="N60" s="200"/>
      <c r="O60" s="200"/>
      <c r="P60" s="201"/>
      <c r="Q60" s="201"/>
      <c r="R60" s="202"/>
      <c r="S60" s="201"/>
      <c r="T60" s="194"/>
      <c r="Z60" s="194"/>
      <c r="AG60" s="194"/>
      <c r="AM60" s="194"/>
      <c r="BN60" s="185" t="s">
        <v>205</v>
      </c>
      <c r="BO60" s="199">
        <f t="shared" si="6"/>
        <v>5.7</v>
      </c>
    </row>
    <row r="61" spans="2:67" ht="12.75">
      <c r="B61" s="116"/>
      <c r="C61" s="116"/>
      <c r="D61" s="203"/>
      <c r="E61" s="203"/>
      <c r="F61" s="116"/>
      <c r="G61" s="203"/>
      <c r="H61" s="116"/>
      <c r="I61" s="116"/>
      <c r="J61" s="203"/>
      <c r="K61" s="203"/>
      <c r="L61" s="151"/>
      <c r="M61" s="203"/>
      <c r="N61" s="116"/>
      <c r="O61" s="116"/>
      <c r="P61" s="203"/>
      <c r="Q61" s="203"/>
      <c r="R61" s="151"/>
      <c r="S61" s="203"/>
      <c r="T61" s="194"/>
      <c r="Z61" s="194"/>
      <c r="AG61" s="194"/>
      <c r="AM61" s="194"/>
      <c r="BN61" s="188">
        <v>42736</v>
      </c>
      <c r="BO61" s="204">
        <f>Y7</f>
        <v>6.4</v>
      </c>
    </row>
    <row r="62" spans="2:67" ht="12.75">
      <c r="B62" s="116"/>
      <c r="C62" s="116"/>
      <c r="D62" s="203"/>
      <c r="E62" s="203"/>
      <c r="F62" s="116"/>
      <c r="G62" s="203"/>
      <c r="H62" s="116"/>
      <c r="I62" s="116"/>
      <c r="J62" s="203"/>
      <c r="K62" s="203"/>
      <c r="L62" s="175"/>
      <c r="M62" s="203"/>
      <c r="N62" s="116"/>
      <c r="O62" s="116"/>
      <c r="P62" s="203"/>
      <c r="Q62" s="203"/>
      <c r="R62" s="151"/>
      <c r="S62" s="203"/>
      <c r="T62" s="194"/>
      <c r="Z62" s="194"/>
      <c r="AG62" s="194"/>
      <c r="AM62" s="194"/>
      <c r="BN62" s="185" t="s">
        <v>196</v>
      </c>
      <c r="BO62" s="204">
        <f t="shared" ref="BO62:BO72" si="7">Y8</f>
        <v>6.4</v>
      </c>
    </row>
    <row r="63" spans="2:67" ht="12.75">
      <c r="B63" s="116"/>
      <c r="C63" s="116"/>
      <c r="D63" s="203"/>
      <c r="E63" s="203"/>
      <c r="F63" s="116"/>
      <c r="G63" s="203"/>
      <c r="H63" s="116"/>
      <c r="I63" s="116"/>
      <c r="J63" s="203"/>
      <c r="K63" s="203"/>
      <c r="L63" s="175"/>
      <c r="M63" s="203"/>
      <c r="N63" s="116"/>
      <c r="O63" s="116"/>
      <c r="P63" s="203"/>
      <c r="Q63" s="203"/>
      <c r="R63" s="151"/>
      <c r="S63" s="203"/>
      <c r="T63" s="194"/>
      <c r="Z63" s="194"/>
      <c r="AG63" s="194"/>
      <c r="AM63" s="194"/>
      <c r="BN63" s="185" t="s">
        <v>197</v>
      </c>
      <c r="BO63" s="204">
        <f t="shared" si="7"/>
        <v>6.7</v>
      </c>
    </row>
    <row r="64" spans="2:67" ht="12.75">
      <c r="B64" s="116"/>
      <c r="C64" s="116"/>
      <c r="D64" s="203"/>
      <c r="E64" s="203"/>
      <c r="F64" s="116"/>
      <c r="G64" s="203"/>
      <c r="H64" s="116"/>
      <c r="I64" s="116"/>
      <c r="J64" s="203"/>
      <c r="K64" s="203"/>
      <c r="L64" s="175"/>
      <c r="M64" s="203"/>
      <c r="N64" s="116"/>
      <c r="O64" s="116"/>
      <c r="P64" s="203"/>
      <c r="Q64" s="203"/>
      <c r="R64" s="151"/>
      <c r="S64" s="203"/>
      <c r="T64" s="194"/>
      <c r="Z64" s="194"/>
      <c r="AG64" s="194"/>
      <c r="AM64" s="194"/>
      <c r="BN64" s="185" t="s">
        <v>198</v>
      </c>
      <c r="BO64" s="204">
        <f t="shared" si="7"/>
        <v>6.2</v>
      </c>
    </row>
    <row r="65" spans="2:67" ht="12.75">
      <c r="B65" s="116"/>
      <c r="C65" s="116"/>
      <c r="D65" s="203"/>
      <c r="E65" s="203"/>
      <c r="F65" s="116"/>
      <c r="G65" s="203"/>
      <c r="H65" s="116"/>
      <c r="I65" s="116"/>
      <c r="J65" s="203"/>
      <c r="K65" s="203"/>
      <c r="L65" s="175"/>
      <c r="M65" s="203"/>
      <c r="N65" s="116"/>
      <c r="O65" s="116"/>
      <c r="P65" s="203"/>
      <c r="Q65" s="203"/>
      <c r="R65" s="151"/>
      <c r="S65" s="203"/>
      <c r="T65" s="194"/>
      <c r="Z65" s="194"/>
      <c r="AG65" s="194"/>
      <c r="AM65" s="194"/>
      <c r="BN65" s="185" t="s">
        <v>185</v>
      </c>
      <c r="BO65" s="204">
        <f t="shared" si="7"/>
        <v>6.4</v>
      </c>
    </row>
    <row r="66" spans="2:67" ht="12.75">
      <c r="B66" s="116"/>
      <c r="C66" s="116"/>
      <c r="D66" s="203"/>
      <c r="E66" s="203"/>
      <c r="F66" s="116"/>
      <c r="G66" s="203"/>
      <c r="H66" s="116"/>
      <c r="I66" s="116"/>
      <c r="J66" s="203"/>
      <c r="K66" s="203"/>
      <c r="L66" s="151"/>
      <c r="M66" s="203"/>
      <c r="N66" s="116"/>
      <c r="O66" s="116"/>
      <c r="P66" s="203"/>
      <c r="Q66" s="203"/>
      <c r="R66" s="151"/>
      <c r="S66" s="203"/>
      <c r="T66" s="194"/>
      <c r="Z66" s="194"/>
      <c r="AG66" s="194"/>
      <c r="AM66" s="194"/>
      <c r="BN66" s="185" t="s">
        <v>199</v>
      </c>
      <c r="BO66" s="204">
        <f t="shared" si="7"/>
        <v>5.6</v>
      </c>
    </row>
    <row r="67" spans="2:67" ht="12.75">
      <c r="B67" s="116"/>
      <c r="C67" s="116"/>
      <c r="D67" s="203"/>
      <c r="E67" s="203"/>
      <c r="F67" s="116"/>
      <c r="G67" s="203"/>
      <c r="H67" s="116"/>
      <c r="I67" s="116"/>
      <c r="J67" s="203"/>
      <c r="K67" s="203"/>
      <c r="L67" s="151"/>
      <c r="M67" s="203"/>
      <c r="N67" s="116"/>
      <c r="O67" s="116"/>
      <c r="P67" s="203"/>
      <c r="Q67" s="203"/>
      <c r="R67" s="151"/>
      <c r="S67" s="203"/>
      <c r="T67" s="194"/>
      <c r="Z67" s="194"/>
      <c r="AG67" s="194"/>
      <c r="AM67" s="194"/>
      <c r="BN67" s="185" t="s">
        <v>200</v>
      </c>
      <c r="BO67" s="204">
        <f t="shared" si="7"/>
        <v>6.1</v>
      </c>
    </row>
    <row r="68" spans="2:67" ht="12.75">
      <c r="B68" s="116"/>
      <c r="C68" s="116"/>
      <c r="D68" s="203"/>
      <c r="E68" s="203"/>
      <c r="F68" s="116"/>
      <c r="G68" s="203"/>
      <c r="H68" s="116"/>
      <c r="I68" s="116"/>
      <c r="J68" s="203"/>
      <c r="K68" s="203"/>
      <c r="L68" s="151"/>
      <c r="M68" s="203"/>
      <c r="N68" s="116"/>
      <c r="O68" s="116"/>
      <c r="P68" s="203"/>
      <c r="Q68" s="203"/>
      <c r="R68" s="151"/>
      <c r="S68" s="203"/>
      <c r="T68" s="194"/>
      <c r="Z68" s="194"/>
      <c r="AG68" s="194"/>
      <c r="AM68" s="194"/>
      <c r="BN68" s="185" t="s">
        <v>201</v>
      </c>
      <c r="BO68" s="204">
        <f t="shared" si="7"/>
        <v>6.2</v>
      </c>
    </row>
    <row r="69" spans="2:67" ht="12.75">
      <c r="B69" s="116"/>
      <c r="C69" s="116"/>
      <c r="D69" s="203"/>
      <c r="E69" s="203"/>
      <c r="F69" s="116"/>
      <c r="G69" s="203"/>
      <c r="H69" s="116"/>
      <c r="I69" s="116"/>
      <c r="J69" s="203"/>
      <c r="K69" s="203"/>
      <c r="L69" s="151"/>
      <c r="M69" s="203"/>
      <c r="N69" s="116"/>
      <c r="O69" s="116"/>
      <c r="P69" s="203"/>
      <c r="Q69" s="203"/>
      <c r="R69" s="151"/>
      <c r="S69" s="203"/>
      <c r="T69" s="194"/>
      <c r="Z69" s="194"/>
      <c r="AG69" s="194"/>
      <c r="AM69" s="194"/>
      <c r="BN69" s="185" t="s">
        <v>202</v>
      </c>
      <c r="BO69" s="204">
        <f t="shared" si="7"/>
        <v>5.7</v>
      </c>
    </row>
    <row r="70" spans="2:67" ht="12.75">
      <c r="B70" s="116"/>
      <c r="C70" s="116"/>
      <c r="D70" s="203"/>
      <c r="E70" s="203"/>
      <c r="F70" s="116"/>
      <c r="G70" s="203"/>
      <c r="H70" s="116"/>
      <c r="I70" s="116"/>
      <c r="J70" s="203"/>
      <c r="K70" s="203"/>
      <c r="L70" s="151"/>
      <c r="M70" s="203"/>
      <c r="N70" s="116"/>
      <c r="O70" s="116"/>
      <c r="P70" s="203"/>
      <c r="Q70" s="203"/>
      <c r="R70" s="151"/>
      <c r="S70" s="203"/>
      <c r="T70" s="194"/>
      <c r="Z70" s="194"/>
      <c r="AG70" s="194"/>
      <c r="AM70" s="194"/>
      <c r="BN70" s="185" t="s">
        <v>203</v>
      </c>
      <c r="BO70" s="204">
        <f t="shared" si="7"/>
        <v>6.2</v>
      </c>
    </row>
    <row r="71" spans="2:67" ht="12.75">
      <c r="B71" s="116"/>
      <c r="C71" s="116"/>
      <c r="D71" s="203"/>
      <c r="E71" s="203"/>
      <c r="F71" s="116"/>
      <c r="G71" s="203"/>
      <c r="H71" s="116"/>
      <c r="I71" s="116"/>
      <c r="J71" s="203"/>
      <c r="K71" s="203"/>
      <c r="L71" s="151"/>
      <c r="M71" s="203"/>
      <c r="N71" s="116"/>
      <c r="O71" s="116"/>
      <c r="P71" s="203"/>
      <c r="Q71" s="203"/>
      <c r="R71" s="151"/>
      <c r="S71" s="203"/>
      <c r="T71" s="194"/>
      <c r="Z71" s="194"/>
      <c r="AG71" s="194"/>
      <c r="AM71" s="194"/>
      <c r="BN71" s="185" t="s">
        <v>204</v>
      </c>
      <c r="BO71" s="204">
        <f t="shared" si="7"/>
        <v>6.2</v>
      </c>
    </row>
    <row r="72" spans="2:67" ht="12.75">
      <c r="B72" s="116"/>
      <c r="C72" s="116"/>
      <c r="D72" s="203"/>
      <c r="E72" s="203"/>
      <c r="F72" s="116"/>
      <c r="G72" s="203"/>
      <c r="H72" s="116"/>
      <c r="I72" s="116"/>
      <c r="J72" s="203"/>
      <c r="K72" s="203"/>
      <c r="L72" s="151"/>
      <c r="M72" s="203"/>
      <c r="N72" s="116"/>
      <c r="O72" s="116"/>
      <c r="P72" s="203"/>
      <c r="Q72" s="203"/>
      <c r="R72" s="151"/>
      <c r="S72" s="203"/>
      <c r="T72" s="194"/>
      <c r="Z72" s="194"/>
      <c r="AG72" s="194"/>
      <c r="AM72" s="194"/>
      <c r="BN72" s="185" t="s">
        <v>205</v>
      </c>
      <c r="BO72" s="205">
        <f t="shared" si="7"/>
        <v>6</v>
      </c>
    </row>
    <row r="73" spans="2:67"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Z73" s="194"/>
      <c r="AG73" s="194"/>
      <c r="AM73" s="194"/>
      <c r="BN73" s="206">
        <v>43101</v>
      </c>
      <c r="BO73" s="204">
        <f>AE7</f>
        <v>6.6</v>
      </c>
    </row>
    <row r="74" spans="2:67"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Z74" s="194"/>
      <c r="AG74" s="194"/>
      <c r="AM74" s="194"/>
      <c r="BN74" s="185" t="s">
        <v>196</v>
      </c>
      <c r="BO74" s="204">
        <f t="shared" ref="BO74:BO84" si="8">AE8</f>
        <v>6.4</v>
      </c>
    </row>
    <row r="75" spans="2:67"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4"/>
      <c r="Z75" s="194"/>
      <c r="AG75" s="194"/>
      <c r="AM75" s="194"/>
      <c r="BN75" s="185" t="s">
        <v>197</v>
      </c>
      <c r="BO75" s="204">
        <f t="shared" si="8"/>
        <v>6.5</v>
      </c>
    </row>
    <row r="76" spans="2:67"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4"/>
      <c r="Z76" s="194"/>
      <c r="AG76" s="194"/>
      <c r="AM76" s="194"/>
      <c r="BN76" s="185" t="s">
        <v>198</v>
      </c>
      <c r="BO76" s="204">
        <f t="shared" si="8"/>
        <v>6.7</v>
      </c>
    </row>
    <row r="77" spans="2:67"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4"/>
      <c r="Z77" s="194"/>
      <c r="AG77" s="194"/>
      <c r="AM77" s="194"/>
      <c r="BN77" s="185" t="s">
        <v>185</v>
      </c>
      <c r="BO77" s="204">
        <f t="shared" si="8"/>
        <v>6.9</v>
      </c>
    </row>
    <row r="78" spans="2:67"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4"/>
      <c r="Z78" s="194"/>
      <c r="AG78" s="194"/>
      <c r="AM78" s="194"/>
      <c r="BN78" s="185" t="s">
        <v>199</v>
      </c>
      <c r="BO78" s="204">
        <f t="shared" si="8"/>
        <v>5.8</v>
      </c>
    </row>
    <row r="79" spans="2:67"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4"/>
      <c r="Z79" s="194"/>
      <c r="AG79" s="194"/>
      <c r="AM79" s="194"/>
      <c r="BN79" s="185" t="s">
        <v>200</v>
      </c>
      <c r="BO79" s="204">
        <f t="shared" si="8"/>
        <v>6.1</v>
      </c>
    </row>
    <row r="80" spans="2:67"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4"/>
      <c r="Z80" s="194"/>
      <c r="AG80" s="194"/>
      <c r="AM80" s="194"/>
      <c r="BN80" s="185" t="s">
        <v>201</v>
      </c>
      <c r="BO80" s="204">
        <f t="shared" si="8"/>
        <v>6.6</v>
      </c>
    </row>
    <row r="81" spans="2:67"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4"/>
      <c r="Z81" s="194"/>
      <c r="AG81" s="194"/>
      <c r="AM81" s="194"/>
      <c r="BN81" s="185" t="s">
        <v>202</v>
      </c>
      <c r="BO81" s="204">
        <f t="shared" si="8"/>
        <v>6</v>
      </c>
    </row>
    <row r="82" spans="2:67"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BN82" s="185" t="s">
        <v>203</v>
      </c>
      <c r="BO82" s="204">
        <f t="shared" si="8"/>
        <v>6.4</v>
      </c>
    </row>
    <row r="83" spans="2:67"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BN83" s="185" t="s">
        <v>204</v>
      </c>
      <c r="BO83" s="204">
        <f t="shared" si="8"/>
        <v>6.4</v>
      </c>
    </row>
    <row r="84" spans="2:67"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BN84" s="185" t="s">
        <v>205</v>
      </c>
      <c r="BO84" s="204">
        <f t="shared" si="8"/>
        <v>6</v>
      </c>
    </row>
    <row r="85" spans="2:67"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BN85" s="206">
        <v>43466</v>
      </c>
      <c r="BO85" s="204">
        <f>AL7</f>
        <v>6.5882149816969973</v>
      </c>
    </row>
    <row r="86" spans="2:67"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BN86" s="185" t="s">
        <v>196</v>
      </c>
      <c r="BO86" s="204">
        <f>AL8</f>
        <v>6.0482804911572279</v>
      </c>
    </row>
    <row r="87" spans="2:67"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BN87" s="185" t="s">
        <v>197</v>
      </c>
      <c r="BO87" s="204">
        <f t="shared" ref="BO87:BO96" si="9">AL9</f>
        <v>6.1824598176503818</v>
      </c>
    </row>
    <row r="88" spans="2:67"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BN88" s="185" t="s">
        <v>198</v>
      </c>
      <c r="BO88" s="204">
        <f t="shared" si="9"/>
        <v>6.0189152035866762</v>
      </c>
    </row>
    <row r="89" spans="2:67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BN89" s="185" t="s">
        <v>185</v>
      </c>
      <c r="BO89" s="204">
        <f t="shared" si="9"/>
        <v>6.9693063559966193</v>
      </c>
    </row>
    <row r="90" spans="2:67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BN90" s="185" t="s">
        <v>199</v>
      </c>
      <c r="BO90" s="204">
        <f t="shared" si="9"/>
        <v>6.2974838531525128</v>
      </c>
    </row>
    <row r="91" spans="2:67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BN91" s="185" t="s">
        <v>200</v>
      </c>
      <c r="BO91" s="204">
        <f t="shared" si="9"/>
        <v>5.8777392231348422</v>
      </c>
    </row>
    <row r="92" spans="2:67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BN92" s="185" t="s">
        <v>201</v>
      </c>
      <c r="BO92" s="204">
        <f t="shared" si="9"/>
        <v>6.5354937125120207</v>
      </c>
    </row>
    <row r="93" spans="2:67"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BN93" s="185" t="s">
        <v>202</v>
      </c>
      <c r="BO93" s="204">
        <f t="shared" si="9"/>
        <v>6.0265945053859173</v>
      </c>
    </row>
    <row r="94" spans="2:67">
      <c r="BN94" s="185" t="s">
        <v>203</v>
      </c>
      <c r="BO94" s="204">
        <f t="shared" si="9"/>
        <v>6.4568748581424016</v>
      </c>
    </row>
    <row r="95" spans="2:67">
      <c r="BN95" s="185" t="s">
        <v>204</v>
      </c>
      <c r="BO95" s="204">
        <f t="shared" si="9"/>
        <v>6.431551764903114</v>
      </c>
    </row>
    <row r="96" spans="2:67">
      <c r="BN96" s="185" t="s">
        <v>205</v>
      </c>
      <c r="BO96" s="204">
        <f t="shared" si="9"/>
        <v>6.1300122010911764</v>
      </c>
    </row>
    <row r="97" spans="66:67">
      <c r="BN97" s="206">
        <v>43831</v>
      </c>
      <c r="BO97" s="204">
        <f>AR7</f>
        <v>6.5920863312702735</v>
      </c>
    </row>
    <row r="98" spans="66:67">
      <c r="BN98" s="185" t="s">
        <v>196</v>
      </c>
      <c r="BO98" s="204">
        <f t="shared" ref="BO98:BO108" si="10">AR8</f>
        <v>6.8118280755823273</v>
      </c>
    </row>
    <row r="99" spans="66:67">
      <c r="BN99" s="185" t="s">
        <v>197</v>
      </c>
      <c r="BO99" s="204">
        <f t="shared" si="10"/>
        <v>9.4298541854713473</v>
      </c>
    </row>
    <row r="100" spans="66:67">
      <c r="BN100" s="185" t="s">
        <v>198</v>
      </c>
      <c r="BO100" s="204">
        <f t="shared" si="10"/>
        <v>9.4285930300820073</v>
      </c>
    </row>
    <row r="101" spans="66:67">
      <c r="BN101" s="185" t="s">
        <v>185</v>
      </c>
      <c r="BO101" s="204">
        <f t="shared" si="10"/>
        <v>86.847657368887681</v>
      </c>
    </row>
    <row r="102" spans="66:67">
      <c r="BN102" s="185" t="s">
        <v>199</v>
      </c>
      <c r="BO102" s="204">
        <f t="shared" si="10"/>
        <v>42.28729376191415</v>
      </c>
    </row>
    <row r="103" spans="66:67">
      <c r="BN103" s="185" t="s">
        <v>200</v>
      </c>
      <c r="BO103" s="204">
        <f t="shared" si="10"/>
        <v>14.083004941514982</v>
      </c>
    </row>
    <row r="104" spans="66:67">
      <c r="BN104" s="185" t="s">
        <v>201</v>
      </c>
      <c r="BO104" s="204">
        <f t="shared" si="10"/>
        <v>9.3485538100132146</v>
      </c>
    </row>
    <row r="105" spans="66:67">
      <c r="BN105" s="185" t="s">
        <v>202</v>
      </c>
      <c r="BO105" s="204">
        <f t="shared" si="10"/>
        <v>9.4824196160074017</v>
      </c>
    </row>
    <row r="106" spans="66:67">
      <c r="BN106" s="185" t="s">
        <v>203</v>
      </c>
      <c r="BO106" s="204">
        <f t="shared" si="10"/>
        <v>9.6159959503923051</v>
      </c>
    </row>
    <row r="107" spans="66:67">
      <c r="BN107" s="185" t="s">
        <v>204</v>
      </c>
      <c r="BO107" s="204">
        <f t="shared" si="10"/>
        <v>8.877098540145985</v>
      </c>
    </row>
    <row r="108" spans="66:67">
      <c r="BN108" s="185" t="s">
        <v>205</v>
      </c>
      <c r="BO108" s="204">
        <f t="shared" si="10"/>
        <v>9.1055876952922024</v>
      </c>
    </row>
  </sheetData>
  <mergeCells count="11">
    <mergeCell ref="A2:AR2"/>
    <mergeCell ref="A1:AR1"/>
    <mergeCell ref="BJ4:BO4"/>
    <mergeCell ref="A3:A5"/>
    <mergeCell ref="B3:G3"/>
    <mergeCell ref="H3:M3"/>
    <mergeCell ref="N3:S3"/>
    <mergeCell ref="T3:Y3"/>
    <mergeCell ref="Z3:AE3"/>
    <mergeCell ref="AG3:AL3"/>
    <mergeCell ref="AM3:AR3"/>
  </mergeCells>
  <pageMargins left="0.7" right="0.7" top="0.75" bottom="0.75" header="0.3" footer="0.3"/>
  <pageSetup paperSize="9" scale="73" orientation="landscape" horizontalDpi="4294967295" verticalDpi="4294967295" r:id="rId1"/>
  <rowBreaks count="1" manualBreakCount="1">
    <brk id="34" max="31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47"/>
  <sheetViews>
    <sheetView zoomScaleNormal="100" workbookViewId="0">
      <selection activeCell="AM25" sqref="AM24:AM25"/>
    </sheetView>
  </sheetViews>
  <sheetFormatPr defaultColWidth="9.140625" defaultRowHeight="12"/>
  <cols>
    <col min="1" max="1" width="13.7109375" style="163" customWidth="1"/>
    <col min="2" max="2" width="12" style="163" hidden="1" customWidth="1"/>
    <col min="3" max="3" width="11.28515625" style="163" hidden="1" customWidth="1"/>
    <col min="4" max="4" width="14.42578125" style="163" hidden="1" customWidth="1"/>
    <col min="5" max="8" width="11.28515625" style="163" hidden="1" customWidth="1"/>
    <col min="9" max="9" width="14.85546875" style="163" hidden="1" customWidth="1"/>
    <col min="10" max="13" width="11.28515625" style="163" hidden="1" customWidth="1"/>
    <col min="14" max="14" width="14.85546875" style="163" hidden="1" customWidth="1"/>
    <col min="15" max="16" width="11.28515625" style="163" hidden="1" customWidth="1"/>
    <col min="17" max="21" width="11.42578125" style="163" hidden="1" customWidth="1"/>
    <col min="22" max="26" width="13" style="163" hidden="1" customWidth="1"/>
    <col min="27" max="36" width="13" style="163" customWidth="1"/>
    <col min="37" max="37" width="3" style="163" customWidth="1"/>
    <col min="38" max="16384" width="9.140625" style="163"/>
  </cols>
  <sheetData>
    <row r="1" spans="1:39" ht="14.25">
      <c r="A1" s="834" t="s">
        <v>1038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4"/>
      <c r="Q1" s="834"/>
      <c r="R1" s="834"/>
      <c r="S1" s="834"/>
      <c r="T1" s="834"/>
      <c r="U1" s="834"/>
      <c r="V1" s="834"/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4"/>
      <c r="AJ1" s="834"/>
    </row>
    <row r="2" spans="1:39" s="194" customFormat="1" ht="12.75">
      <c r="A2" s="833" t="s">
        <v>1037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Z2" s="833"/>
      <c r="AA2" s="833"/>
      <c r="AB2" s="833"/>
      <c r="AC2" s="833"/>
      <c r="AD2" s="833"/>
      <c r="AE2" s="833"/>
      <c r="AF2" s="833"/>
      <c r="AG2" s="833"/>
      <c r="AH2" s="833"/>
      <c r="AI2" s="833"/>
      <c r="AJ2" s="833"/>
      <c r="AK2" s="196"/>
    </row>
    <row r="3" spans="1:39" ht="12.75">
      <c r="A3" s="722"/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/>
      <c r="U3" s="722"/>
      <c r="V3" s="722"/>
      <c r="W3" s="722"/>
      <c r="X3" s="722"/>
      <c r="Y3" s="722"/>
      <c r="Z3" s="722"/>
      <c r="AA3" s="722"/>
      <c r="AB3" s="722"/>
      <c r="AC3" s="722"/>
      <c r="AD3" s="722"/>
      <c r="AE3" s="722"/>
      <c r="AF3" s="722"/>
      <c r="AG3" s="722"/>
      <c r="AH3" s="722"/>
      <c r="AI3" s="722"/>
      <c r="AJ3" s="722"/>
      <c r="AK3" s="196"/>
    </row>
    <row r="4" spans="1:39" s="164" customFormat="1" ht="12.75">
      <c r="A4" s="836" t="s">
        <v>164</v>
      </c>
      <c r="B4" s="839">
        <v>2014</v>
      </c>
      <c r="C4" s="840"/>
      <c r="D4" s="840"/>
      <c r="E4" s="840"/>
      <c r="F4" s="840"/>
      <c r="G4" s="839">
        <v>2015</v>
      </c>
      <c r="H4" s="840"/>
      <c r="I4" s="840"/>
      <c r="J4" s="840"/>
      <c r="K4" s="840"/>
      <c r="L4" s="839">
        <v>2016</v>
      </c>
      <c r="M4" s="840"/>
      <c r="N4" s="840"/>
      <c r="O4" s="840"/>
      <c r="P4" s="840"/>
      <c r="Q4" s="839">
        <v>2017</v>
      </c>
      <c r="R4" s="840"/>
      <c r="S4" s="840"/>
      <c r="T4" s="840"/>
      <c r="U4" s="840"/>
      <c r="V4" s="839">
        <v>2018</v>
      </c>
      <c r="W4" s="840"/>
      <c r="X4" s="840"/>
      <c r="Y4" s="840"/>
      <c r="Z4" s="840"/>
      <c r="AA4" s="839">
        <v>2019</v>
      </c>
      <c r="AB4" s="840"/>
      <c r="AC4" s="840"/>
      <c r="AD4" s="840"/>
      <c r="AE4" s="840"/>
      <c r="AF4" s="839">
        <v>2020</v>
      </c>
      <c r="AG4" s="840"/>
      <c r="AH4" s="840"/>
      <c r="AI4" s="840"/>
      <c r="AJ4" s="840"/>
      <c r="AK4" s="207"/>
    </row>
    <row r="5" spans="1:39" s="164" customFormat="1" ht="63.75" customHeight="1">
      <c r="A5" s="837"/>
      <c r="B5" s="165" t="s">
        <v>168</v>
      </c>
      <c r="C5" s="166" t="s">
        <v>169</v>
      </c>
      <c r="D5" s="166" t="s">
        <v>163</v>
      </c>
      <c r="E5" s="166" t="s">
        <v>170</v>
      </c>
      <c r="F5" s="166" t="s">
        <v>171</v>
      </c>
      <c r="G5" s="165" t="s">
        <v>168</v>
      </c>
      <c r="H5" s="166" t="s">
        <v>169</v>
      </c>
      <c r="I5" s="166" t="s">
        <v>163</v>
      </c>
      <c r="J5" s="166" t="s">
        <v>170</v>
      </c>
      <c r="K5" s="166" t="s">
        <v>171</v>
      </c>
      <c r="L5" s="165" t="s">
        <v>168</v>
      </c>
      <c r="M5" s="166" t="s">
        <v>169</v>
      </c>
      <c r="N5" s="166" t="s">
        <v>163</v>
      </c>
      <c r="O5" s="166" t="s">
        <v>170</v>
      </c>
      <c r="P5" s="166" t="s">
        <v>171</v>
      </c>
      <c r="Q5" s="165" t="s">
        <v>168</v>
      </c>
      <c r="R5" s="166" t="s">
        <v>169</v>
      </c>
      <c r="S5" s="166" t="s">
        <v>163</v>
      </c>
      <c r="T5" s="166" t="s">
        <v>170</v>
      </c>
      <c r="U5" s="166" t="s">
        <v>171</v>
      </c>
      <c r="V5" s="165" t="s">
        <v>168</v>
      </c>
      <c r="W5" s="166" t="s">
        <v>169</v>
      </c>
      <c r="X5" s="166" t="s">
        <v>163</v>
      </c>
      <c r="Y5" s="166" t="s">
        <v>170</v>
      </c>
      <c r="Z5" s="166" t="s">
        <v>171</v>
      </c>
      <c r="AA5" s="165" t="s">
        <v>168</v>
      </c>
      <c r="AB5" s="166" t="s">
        <v>169</v>
      </c>
      <c r="AC5" s="166" t="s">
        <v>163</v>
      </c>
      <c r="AD5" s="166" t="s">
        <v>170</v>
      </c>
      <c r="AE5" s="166" t="s">
        <v>171</v>
      </c>
      <c r="AF5" s="165" t="s">
        <v>168</v>
      </c>
      <c r="AG5" s="166" t="s">
        <v>169</v>
      </c>
      <c r="AH5" s="166" t="s">
        <v>163</v>
      </c>
      <c r="AI5" s="166" t="s">
        <v>170</v>
      </c>
      <c r="AJ5" s="166" t="s">
        <v>171</v>
      </c>
      <c r="AK5" s="207"/>
    </row>
    <row r="6" spans="1:39" s="164" customFormat="1" ht="51">
      <c r="A6" s="838"/>
      <c r="B6" s="726" t="s">
        <v>206</v>
      </c>
      <c r="C6" s="725" t="s">
        <v>174</v>
      </c>
      <c r="D6" s="725" t="s">
        <v>175</v>
      </c>
      <c r="E6" s="725" t="s">
        <v>176</v>
      </c>
      <c r="F6" s="725" t="s">
        <v>177</v>
      </c>
      <c r="G6" s="726" t="s">
        <v>179</v>
      </c>
      <c r="H6" s="725" t="s">
        <v>174</v>
      </c>
      <c r="I6" s="725" t="s">
        <v>175</v>
      </c>
      <c r="J6" s="725" t="s">
        <v>176</v>
      </c>
      <c r="K6" s="725" t="s">
        <v>177</v>
      </c>
      <c r="L6" s="726" t="s">
        <v>179</v>
      </c>
      <c r="M6" s="725" t="s">
        <v>174</v>
      </c>
      <c r="N6" s="725" t="s">
        <v>175</v>
      </c>
      <c r="O6" s="725" t="s">
        <v>176</v>
      </c>
      <c r="P6" s="208" t="s">
        <v>177</v>
      </c>
      <c r="Q6" s="726" t="s">
        <v>179</v>
      </c>
      <c r="R6" s="725" t="s">
        <v>174</v>
      </c>
      <c r="S6" s="725" t="s">
        <v>175</v>
      </c>
      <c r="T6" s="725" t="s">
        <v>176</v>
      </c>
      <c r="U6" s="725" t="s">
        <v>177</v>
      </c>
      <c r="V6" s="726" t="s">
        <v>1028</v>
      </c>
      <c r="W6" s="725" t="s">
        <v>1029</v>
      </c>
      <c r="X6" s="725" t="s">
        <v>175</v>
      </c>
      <c r="Y6" s="725" t="s">
        <v>176</v>
      </c>
      <c r="Z6" s="725" t="s">
        <v>177</v>
      </c>
      <c r="AA6" s="726" t="s">
        <v>179</v>
      </c>
      <c r="AB6" s="725" t="s">
        <v>174</v>
      </c>
      <c r="AC6" s="725" t="s">
        <v>175</v>
      </c>
      <c r="AD6" s="725" t="s">
        <v>176</v>
      </c>
      <c r="AE6" s="208" t="s">
        <v>177</v>
      </c>
      <c r="AF6" s="726" t="s">
        <v>179</v>
      </c>
      <c r="AG6" s="725" t="s">
        <v>174</v>
      </c>
      <c r="AH6" s="725" t="s">
        <v>175</v>
      </c>
      <c r="AI6" s="725" t="s">
        <v>176</v>
      </c>
      <c r="AJ6" s="208" t="s">
        <v>177</v>
      </c>
      <c r="AK6" s="207"/>
    </row>
    <row r="7" spans="1:39" s="164" customFormat="1" ht="18.75" customHeight="1">
      <c r="A7" s="167" t="s">
        <v>180</v>
      </c>
      <c r="B7" s="168">
        <f>AVERAGE(B8:B19)</f>
        <v>23749</v>
      </c>
      <c r="C7" s="169">
        <f>AVERAGE(C8:C19)</f>
        <v>22986.166666666668</v>
      </c>
      <c r="D7" s="170">
        <f>AVERAGE(D8:D19)</f>
        <v>96.791548571941533</v>
      </c>
      <c r="E7" s="170">
        <f>AVERAGE(E8:E19)</f>
        <v>81.856214093483658</v>
      </c>
      <c r="F7" s="209">
        <f>SUM(F8:F19)</f>
        <v>6864861</v>
      </c>
      <c r="G7" s="168">
        <f>AVERAGE(G8:G19)</f>
        <v>24277.166666666668</v>
      </c>
      <c r="H7" s="169">
        <f>AVERAGE(H8:H19)</f>
        <v>23348.416666666668</v>
      </c>
      <c r="I7" s="170">
        <f>AVERAGE(I8:I19)</f>
        <v>96.178936860248868</v>
      </c>
      <c r="J7" s="170">
        <f>AVERAGE(J8:J19)</f>
        <v>76.220607180907422</v>
      </c>
      <c r="K7" s="210">
        <f>SUM(K8:K19)</f>
        <v>6489783.3599999994</v>
      </c>
      <c r="L7" s="168">
        <f>AVERAGE(L8:L19)</f>
        <v>25685.333333333332</v>
      </c>
      <c r="M7" s="169">
        <f>AVERAGE(M8:M19)</f>
        <v>24567.666666666668</v>
      </c>
      <c r="N7" s="170">
        <f>AVERAGE(N8:N19)</f>
        <v>95.634598373056804</v>
      </c>
      <c r="O7" s="170">
        <f>AVERAGE(O8:O19)</f>
        <v>73.996436740211678</v>
      </c>
      <c r="P7" s="210">
        <f>SUM(P8:P19)</f>
        <v>6645765</v>
      </c>
      <c r="Q7" s="168">
        <f>AVERAGE(Q8:Q19)</f>
        <v>28447.333333333332</v>
      </c>
      <c r="R7" s="169">
        <f>AVERAGE(R8:R19)</f>
        <v>27685.916666666668</v>
      </c>
      <c r="S7" s="170">
        <f>AVERAGE(S8:S19)</f>
        <v>97.318320171036859</v>
      </c>
      <c r="T7" s="170">
        <f>AVERAGE(T8:T19)</f>
        <v>72.738665701182953</v>
      </c>
      <c r="U7" s="210">
        <f>SUM(U8:U19)</f>
        <v>7343577.0649094805</v>
      </c>
      <c r="V7" s="168">
        <f>AVERAGE(V8:V19)</f>
        <v>30544.833333333332</v>
      </c>
      <c r="W7" s="169">
        <f>AVERAGE(W8:W19)</f>
        <v>29399.666666666668</v>
      </c>
      <c r="X7" s="170">
        <f>AVERAGE(X8:X19)</f>
        <v>96.256584861384979</v>
      </c>
      <c r="Y7" s="170">
        <f>AVERAGE(Y8:Y19)</f>
        <v>74.635416569614094</v>
      </c>
      <c r="Z7" s="210">
        <f>SUM(Z8:Z19)</f>
        <v>8000462.8313074177</v>
      </c>
      <c r="AA7" s="168">
        <f>AVERAGE(AA8:AA19)</f>
        <v>35016.083333333336</v>
      </c>
      <c r="AB7" s="169">
        <f>AVERAGE(AB8:AB19)</f>
        <v>33439.75</v>
      </c>
      <c r="AC7" s="170">
        <f>AVERAGE(AC8:AC19)</f>
        <v>95.49671311225535</v>
      </c>
      <c r="AD7" s="170">
        <f>AVERAGE(AD8:AD19)</f>
        <v>74.139742717834707</v>
      </c>
      <c r="AE7" s="210">
        <f>SUM(AE8:AE19)</f>
        <v>8997786.5859985687</v>
      </c>
      <c r="AF7" s="168">
        <f>AVERAGE(AF8:AF19)</f>
        <v>37566.333333333336</v>
      </c>
      <c r="AG7" s="169">
        <f>AVERAGE(AG8:AG19)</f>
        <v>21445.666666666668</v>
      </c>
      <c r="AH7" s="170">
        <f>AVERAGE(AH8:AH19)</f>
        <v>57.094233269850641</v>
      </c>
      <c r="AI7" s="170">
        <f>AVERAGE(AI8:AI19)</f>
        <v>28.978640707515321</v>
      </c>
      <c r="AJ7" s="210">
        <f>SUM(AJ8:AJ19)</f>
        <v>3357345.18568527</v>
      </c>
      <c r="AK7" s="207"/>
    </row>
    <row r="8" spans="1:39" s="164" customFormat="1" ht="18.75" customHeight="1">
      <c r="A8" s="172" t="s">
        <v>181</v>
      </c>
      <c r="B8" s="173">
        <v>23487</v>
      </c>
      <c r="C8" s="116">
        <v>22987</v>
      </c>
      <c r="D8" s="174">
        <f>C8/B8*100</f>
        <v>97.871162770894543</v>
      </c>
      <c r="E8" s="174">
        <v>90.256765043916815</v>
      </c>
      <c r="F8" s="211">
        <v>643167</v>
      </c>
      <c r="G8" s="173">
        <v>24047</v>
      </c>
      <c r="H8" s="116">
        <v>23447</v>
      </c>
      <c r="I8" s="174">
        <f t="shared" ref="I8:I19" si="0">H8/G8*100</f>
        <v>97.504886264398877</v>
      </c>
      <c r="J8" s="174">
        <v>80.148089651747185</v>
      </c>
      <c r="K8" s="212">
        <v>582562</v>
      </c>
      <c r="L8" s="173">
        <v>25047</v>
      </c>
      <c r="M8" s="116">
        <v>23986</v>
      </c>
      <c r="N8" s="174">
        <f>M8/L8*100</f>
        <v>95.763963748153472</v>
      </c>
      <c r="O8" s="174">
        <v>75.397879946097589</v>
      </c>
      <c r="P8" s="212">
        <v>560633</v>
      </c>
      <c r="Q8" s="173">
        <v>27083</v>
      </c>
      <c r="R8" s="116">
        <v>26302</v>
      </c>
      <c r="S8" s="174">
        <f>R8/Q8*100</f>
        <v>97.116272200273229</v>
      </c>
      <c r="T8" s="174">
        <v>83.731194350629409</v>
      </c>
      <c r="U8" s="212">
        <v>682712.34088117897</v>
      </c>
      <c r="V8" s="173">
        <v>30063</v>
      </c>
      <c r="W8" s="116">
        <v>29404</v>
      </c>
      <c r="X8" s="174">
        <f>W8/V8*100</f>
        <v>97.807936666334029</v>
      </c>
      <c r="Y8" s="174">
        <v>86.115793716960908</v>
      </c>
      <c r="Z8" s="212">
        <v>784966.12752059079</v>
      </c>
      <c r="AA8" s="173">
        <v>32213</v>
      </c>
      <c r="AB8" s="116">
        <v>30938</v>
      </c>
      <c r="AC8" s="174">
        <v>96.041970632974255</v>
      </c>
      <c r="AD8" s="174">
        <v>84.87836412825412</v>
      </c>
      <c r="AE8" s="212">
        <v>814049.71711397695</v>
      </c>
      <c r="AF8" s="173">
        <v>37394</v>
      </c>
      <c r="AG8" s="116">
        <v>36094</v>
      </c>
      <c r="AH8" s="174">
        <v>96.523506444884205</v>
      </c>
      <c r="AI8" s="174">
        <v>83.216709817367573</v>
      </c>
      <c r="AJ8" s="212">
        <v>931123.41648590018</v>
      </c>
      <c r="AK8" s="207"/>
      <c r="AL8" s="522"/>
      <c r="AM8" s="522"/>
    </row>
    <row r="9" spans="1:39" s="164" customFormat="1" ht="18.75" customHeight="1">
      <c r="A9" s="172" t="s">
        <v>182</v>
      </c>
      <c r="B9" s="173">
        <v>23487</v>
      </c>
      <c r="C9" s="116">
        <v>22987</v>
      </c>
      <c r="D9" s="174">
        <f t="shared" ref="D9:D19" si="1">C9/B9*100</f>
        <v>97.871162770894543</v>
      </c>
      <c r="E9" s="174">
        <v>98.009900005593224</v>
      </c>
      <c r="F9" s="211">
        <v>630827</v>
      </c>
      <c r="G9" s="173">
        <v>24107</v>
      </c>
      <c r="H9" s="116">
        <v>23507</v>
      </c>
      <c r="I9" s="174">
        <f t="shared" si="0"/>
        <v>97.511096362052513</v>
      </c>
      <c r="J9" s="174">
        <v>95.221788038821259</v>
      </c>
      <c r="K9" s="212">
        <v>626746</v>
      </c>
      <c r="L9" s="173">
        <v>25079</v>
      </c>
      <c r="M9" s="116">
        <v>24076</v>
      </c>
      <c r="N9" s="174">
        <f t="shared" ref="N9:N19" si="2">M9/L9*100</f>
        <v>96.000637983970648</v>
      </c>
      <c r="O9" s="174">
        <v>91.06579165974415</v>
      </c>
      <c r="P9" s="212">
        <v>635825</v>
      </c>
      <c r="Q9" s="173">
        <v>27497</v>
      </c>
      <c r="R9" s="116">
        <v>26726</v>
      </c>
      <c r="S9" s="174">
        <f t="shared" ref="S9:S19" si="3">R9/Q9*100</f>
        <v>97.196057751754736</v>
      </c>
      <c r="T9" s="174">
        <v>86.16289755688598</v>
      </c>
      <c r="U9" s="212">
        <v>644781.08802949369</v>
      </c>
      <c r="V9" s="173">
        <v>30063</v>
      </c>
      <c r="W9" s="116">
        <v>29160</v>
      </c>
      <c r="X9" s="174">
        <f t="shared" ref="X9:X19" si="4">W9/V9*100</f>
        <v>96.99630775371719</v>
      </c>
      <c r="Y9" s="174">
        <v>94.025821596244143</v>
      </c>
      <c r="Z9" s="212">
        <v>767702.02816901414</v>
      </c>
      <c r="AA9" s="173">
        <v>32437</v>
      </c>
      <c r="AB9" s="116">
        <v>31068</v>
      </c>
      <c r="AC9" s="174">
        <v>95.779511052193484</v>
      </c>
      <c r="AD9" s="174">
        <v>94.565352868379492</v>
      </c>
      <c r="AE9" s="212">
        <v>822627.78721614799</v>
      </c>
      <c r="AF9" s="173">
        <v>37522</v>
      </c>
      <c r="AG9" s="116">
        <v>36222</v>
      </c>
      <c r="AH9" s="174">
        <v>96.535365918661057</v>
      </c>
      <c r="AI9" s="174">
        <v>79.284757759816344</v>
      </c>
      <c r="AJ9" s="212">
        <v>832837.22371705959</v>
      </c>
      <c r="AK9" s="207"/>
      <c r="AL9" s="522"/>
      <c r="AM9" s="522"/>
    </row>
    <row r="10" spans="1:39" s="164" customFormat="1" ht="18.75" customHeight="1">
      <c r="A10" s="172" t="s">
        <v>183</v>
      </c>
      <c r="B10" s="173">
        <v>23715</v>
      </c>
      <c r="C10" s="116">
        <v>23023</v>
      </c>
      <c r="D10" s="174">
        <f t="shared" si="1"/>
        <v>97.082015601939702</v>
      </c>
      <c r="E10" s="174">
        <v>87.894013419960132</v>
      </c>
      <c r="F10" s="211">
        <v>627311</v>
      </c>
      <c r="G10" s="173">
        <v>24123</v>
      </c>
      <c r="H10" s="116">
        <v>23527</v>
      </c>
      <c r="I10" s="174">
        <f t="shared" si="0"/>
        <v>97.529328856278241</v>
      </c>
      <c r="J10" s="174">
        <v>82.75241760667565</v>
      </c>
      <c r="K10" s="212">
        <v>603544</v>
      </c>
      <c r="L10" s="173">
        <v>25079</v>
      </c>
      <c r="M10" s="116">
        <v>24086</v>
      </c>
      <c r="N10" s="174">
        <f t="shared" si="2"/>
        <v>96.040511982136451</v>
      </c>
      <c r="O10" s="174">
        <v>84.819852517725465</v>
      </c>
      <c r="P10" s="212">
        <v>633321</v>
      </c>
      <c r="Q10" s="173">
        <v>27973</v>
      </c>
      <c r="R10" s="116">
        <v>27202</v>
      </c>
      <c r="S10" s="174">
        <f t="shared" si="3"/>
        <v>97.243770778965427</v>
      </c>
      <c r="T10" s="174">
        <v>73.328085017627217</v>
      </c>
      <c r="U10" s="212">
        <v>618347.87628134363</v>
      </c>
      <c r="V10" s="173">
        <v>30181</v>
      </c>
      <c r="W10" s="116">
        <v>29268</v>
      </c>
      <c r="X10" s="174">
        <f t="shared" si="4"/>
        <v>96.974917994764922</v>
      </c>
      <c r="Y10" s="174">
        <v>80.002029244175731</v>
      </c>
      <c r="Z10" s="212">
        <v>725864.8114947459</v>
      </c>
      <c r="AA10" s="173">
        <v>33355</v>
      </c>
      <c r="AB10" s="116">
        <v>31488</v>
      </c>
      <c r="AC10" s="174">
        <v>94.402638285114676</v>
      </c>
      <c r="AD10" s="174">
        <v>83.700140940474171</v>
      </c>
      <c r="AE10" s="212">
        <v>817020.51175943168</v>
      </c>
      <c r="AF10" s="173">
        <v>37522</v>
      </c>
      <c r="AG10" s="116">
        <v>36222</v>
      </c>
      <c r="AH10" s="174">
        <v>96.535365918661057</v>
      </c>
      <c r="AI10" s="174">
        <v>41.80475367158656</v>
      </c>
      <c r="AJ10" s="212">
        <v>469418.05412258458</v>
      </c>
      <c r="AK10" s="207"/>
      <c r="AL10" s="522"/>
      <c r="AM10" s="522"/>
    </row>
    <row r="11" spans="1:39" s="164" customFormat="1" ht="18.75" customHeight="1">
      <c r="A11" s="172" t="s">
        <v>184</v>
      </c>
      <c r="B11" s="173">
        <v>23715</v>
      </c>
      <c r="C11" s="116">
        <v>23243</v>
      </c>
      <c r="D11" s="174">
        <f t="shared" si="1"/>
        <v>98.009698503057137</v>
      </c>
      <c r="E11" s="174">
        <v>87.08069813133703</v>
      </c>
      <c r="F11" s="211">
        <v>607205</v>
      </c>
      <c r="G11" s="173">
        <v>24123</v>
      </c>
      <c r="H11" s="116">
        <v>23415</v>
      </c>
      <c r="I11" s="174">
        <f t="shared" si="0"/>
        <v>97.065041661484884</v>
      </c>
      <c r="J11" s="174">
        <v>79.978361449213466</v>
      </c>
      <c r="K11" s="212">
        <v>561808</v>
      </c>
      <c r="L11" s="173">
        <v>25153</v>
      </c>
      <c r="M11" s="116">
        <v>24182</v>
      </c>
      <c r="N11" s="174">
        <f t="shared" si="2"/>
        <v>96.139625491989023</v>
      </c>
      <c r="O11" s="174">
        <v>76.86709122487801</v>
      </c>
      <c r="P11" s="212">
        <v>557640</v>
      </c>
      <c r="Q11" s="173">
        <v>28291</v>
      </c>
      <c r="R11" s="116">
        <v>27202</v>
      </c>
      <c r="S11" s="174">
        <f t="shared" si="3"/>
        <v>96.150719310027924</v>
      </c>
      <c r="T11" s="174">
        <v>77.118214294636388</v>
      </c>
      <c r="U11" s="212">
        <v>629330.89957280969</v>
      </c>
      <c r="V11" s="173">
        <v>30187</v>
      </c>
      <c r="W11" s="116">
        <v>29334</v>
      </c>
      <c r="X11" s="174">
        <f t="shared" si="4"/>
        <v>97.17428031934277</v>
      </c>
      <c r="Y11" s="174">
        <v>76.225942214025622</v>
      </c>
      <c r="Z11" s="212">
        <v>670803.53667186829</v>
      </c>
      <c r="AA11" s="173">
        <v>33509</v>
      </c>
      <c r="AB11" s="116">
        <v>32118</v>
      </c>
      <c r="AC11" s="174">
        <v>95.848876421259959</v>
      </c>
      <c r="AD11" s="174">
        <v>84.445085006330274</v>
      </c>
      <c r="AE11" s="212">
        <v>813662.17206999462</v>
      </c>
      <c r="AF11" s="173">
        <v>37522</v>
      </c>
      <c r="AG11" s="116">
        <v>7064</v>
      </c>
      <c r="AH11" s="174">
        <v>18.826288577367944</v>
      </c>
      <c r="AI11" s="174">
        <v>3.8354191497814853</v>
      </c>
      <c r="AJ11" s="212">
        <v>8128.0202622169245</v>
      </c>
      <c r="AK11" s="207"/>
      <c r="AL11" s="522"/>
      <c r="AM11" s="522"/>
    </row>
    <row r="12" spans="1:39" s="164" customFormat="1" ht="18.75" customHeight="1">
      <c r="A12" s="172" t="s">
        <v>185</v>
      </c>
      <c r="B12" s="173">
        <v>23715</v>
      </c>
      <c r="C12" s="116">
        <v>22905</v>
      </c>
      <c r="D12" s="174">
        <f t="shared" si="1"/>
        <v>96.584440227703979</v>
      </c>
      <c r="E12" s="174">
        <v>75.539218792910418</v>
      </c>
      <c r="F12" s="211">
        <v>536370</v>
      </c>
      <c r="G12" s="173">
        <v>24123</v>
      </c>
      <c r="H12" s="116">
        <v>23321</v>
      </c>
      <c r="I12" s="174">
        <f t="shared" si="0"/>
        <v>96.675372051569042</v>
      </c>
      <c r="J12" s="174">
        <v>72.083723516531549</v>
      </c>
      <c r="K12" s="212">
        <v>521130</v>
      </c>
      <c r="L12" s="173">
        <v>25425</v>
      </c>
      <c r="M12" s="116">
        <v>24182</v>
      </c>
      <c r="N12" s="174">
        <f t="shared" si="2"/>
        <v>95.111111111111114</v>
      </c>
      <c r="O12" s="174">
        <v>67.042401573017528</v>
      </c>
      <c r="P12" s="212">
        <v>502578</v>
      </c>
      <c r="Q12" s="173">
        <v>28549</v>
      </c>
      <c r="R12" s="116">
        <v>27472</v>
      </c>
      <c r="S12" s="174">
        <f t="shared" si="3"/>
        <v>96.227538617814986</v>
      </c>
      <c r="T12" s="174">
        <v>61.332135429745883</v>
      </c>
      <c r="U12" s="212">
        <v>522324.09160305344</v>
      </c>
      <c r="V12" s="173">
        <v>30187</v>
      </c>
      <c r="W12" s="116">
        <v>28964</v>
      </c>
      <c r="X12" s="174">
        <f t="shared" si="4"/>
        <v>95.948587140159674</v>
      </c>
      <c r="Y12" s="174">
        <v>61.569198157995764</v>
      </c>
      <c r="Z12" s="212">
        <v>552819.97918893874</v>
      </c>
      <c r="AA12" s="173">
        <v>34735</v>
      </c>
      <c r="AB12" s="116">
        <v>33352</v>
      </c>
      <c r="AC12" s="174">
        <v>96.018425219519216</v>
      </c>
      <c r="AD12" s="174">
        <v>59.108570754232495</v>
      </c>
      <c r="AE12" s="212">
        <v>611130.60605650023</v>
      </c>
      <c r="AF12" s="173">
        <v>37522</v>
      </c>
      <c r="AG12" s="116">
        <v>2904</v>
      </c>
      <c r="AH12" s="174">
        <v>7.7394595170833105</v>
      </c>
      <c r="AI12" s="174">
        <v>5.1859739128330471</v>
      </c>
      <c r="AJ12" s="212">
        <v>4668.6211552888226</v>
      </c>
      <c r="AK12" s="207"/>
      <c r="AL12" s="522"/>
      <c r="AM12" s="522"/>
    </row>
    <row r="13" spans="1:39" s="164" customFormat="1" ht="18.75" customHeight="1">
      <c r="A13" s="172" t="s">
        <v>186</v>
      </c>
      <c r="B13" s="173">
        <v>23801</v>
      </c>
      <c r="C13" s="116">
        <v>22589</v>
      </c>
      <c r="D13" s="174">
        <f t="shared" si="1"/>
        <v>94.907776984160336</v>
      </c>
      <c r="E13" s="174">
        <v>65.391857393716705</v>
      </c>
      <c r="F13" s="211">
        <v>443141</v>
      </c>
      <c r="G13" s="173">
        <v>24233</v>
      </c>
      <c r="H13" s="116">
        <v>23090</v>
      </c>
      <c r="I13" s="174">
        <f t="shared" si="0"/>
        <v>95.283291379523789</v>
      </c>
      <c r="J13" s="174">
        <v>59.618016457340836</v>
      </c>
      <c r="K13" s="212">
        <v>412974</v>
      </c>
      <c r="L13" s="173">
        <v>25425</v>
      </c>
      <c r="M13" s="116">
        <v>24060</v>
      </c>
      <c r="N13" s="174">
        <f t="shared" si="2"/>
        <v>94.631268436578182</v>
      </c>
      <c r="O13" s="174">
        <v>54.676087558880582</v>
      </c>
      <c r="P13" s="212">
        <v>394652</v>
      </c>
      <c r="Q13" s="173">
        <v>28549</v>
      </c>
      <c r="R13" s="116">
        <v>27722</v>
      </c>
      <c r="S13" s="174">
        <f t="shared" si="3"/>
        <v>97.103226032435458</v>
      </c>
      <c r="T13" s="174">
        <v>51.167891593936609</v>
      </c>
      <c r="U13" s="212">
        <v>425542.88723013323</v>
      </c>
      <c r="V13" s="173">
        <v>30207</v>
      </c>
      <c r="W13" s="116">
        <v>28910</v>
      </c>
      <c r="X13" s="174">
        <f t="shared" si="4"/>
        <v>95.706293243287973</v>
      </c>
      <c r="Y13" s="174">
        <v>53.753416043918833</v>
      </c>
      <c r="Z13" s="212">
        <v>466203.37734890805</v>
      </c>
      <c r="AA13" s="173">
        <v>34953</v>
      </c>
      <c r="AB13" s="116">
        <v>33581</v>
      </c>
      <c r="AC13" s="174">
        <v>96.074728921694856</v>
      </c>
      <c r="AD13" s="174">
        <v>62.184862692565304</v>
      </c>
      <c r="AE13" s="212">
        <v>626468.96222371061</v>
      </c>
      <c r="AF13" s="173">
        <v>37522</v>
      </c>
      <c r="AG13" s="116">
        <v>3004</v>
      </c>
      <c r="AH13" s="174">
        <v>8.005969831032461</v>
      </c>
      <c r="AI13" s="174">
        <v>2.5042178838274287</v>
      </c>
      <c r="AJ13" s="212">
        <v>2256.8011569052783</v>
      </c>
      <c r="AK13" s="207"/>
      <c r="AL13" s="522"/>
      <c r="AM13" s="522"/>
    </row>
    <row r="14" spans="1:39" s="164" customFormat="1" ht="18.75" customHeight="1">
      <c r="A14" s="172" t="s">
        <v>187</v>
      </c>
      <c r="B14" s="173">
        <v>23801</v>
      </c>
      <c r="C14" s="116">
        <v>23117</v>
      </c>
      <c r="D14" s="174">
        <f t="shared" si="1"/>
        <v>97.126171169278592</v>
      </c>
      <c r="E14" s="174">
        <v>75.655536283171031</v>
      </c>
      <c r="F14" s="211">
        <v>542168</v>
      </c>
      <c r="G14" s="173">
        <v>24233</v>
      </c>
      <c r="H14" s="116">
        <v>23162</v>
      </c>
      <c r="I14" s="174">
        <f t="shared" si="0"/>
        <v>95.58040688317584</v>
      </c>
      <c r="J14" s="174">
        <v>73.059232168373669</v>
      </c>
      <c r="K14" s="212">
        <v>524581.36</v>
      </c>
      <c r="L14" s="173">
        <v>25783</v>
      </c>
      <c r="M14" s="116">
        <v>24244</v>
      </c>
      <c r="N14" s="174">
        <f t="shared" si="2"/>
        <v>94.030950626381724</v>
      </c>
      <c r="O14" s="174">
        <v>73.919719411786616</v>
      </c>
      <c r="P14" s="212">
        <v>555554</v>
      </c>
      <c r="Q14" s="173">
        <v>28549</v>
      </c>
      <c r="R14" s="116">
        <v>27842</v>
      </c>
      <c r="S14" s="174">
        <f t="shared" si="3"/>
        <v>97.523555991453293</v>
      </c>
      <c r="T14" s="174">
        <v>68.194649424883451</v>
      </c>
      <c r="U14" s="212">
        <v>588589.38307915756</v>
      </c>
      <c r="V14" s="173">
        <v>30207</v>
      </c>
      <c r="W14" s="116">
        <v>28820</v>
      </c>
      <c r="X14" s="174">
        <f t="shared" si="4"/>
        <v>95.408349058165314</v>
      </c>
      <c r="Y14" s="174">
        <v>71.676325312282074</v>
      </c>
      <c r="Z14" s="212">
        <v>640370.62560499052</v>
      </c>
      <c r="AA14" s="173">
        <v>35195</v>
      </c>
      <c r="AB14" s="116">
        <v>33302</v>
      </c>
      <c r="AC14" s="174">
        <v>94.621395084529041</v>
      </c>
      <c r="AD14" s="174">
        <v>65.926352476993259</v>
      </c>
      <c r="AE14" s="212">
        <v>680598.61095853709</v>
      </c>
      <c r="AF14" s="173">
        <v>37522</v>
      </c>
      <c r="AG14" s="116">
        <v>9180</v>
      </c>
      <c r="AH14" s="174">
        <v>24.465646820531955</v>
      </c>
      <c r="AI14" s="174">
        <v>8.466309880362024</v>
      </c>
      <c r="AJ14" s="212">
        <v>24093.424657534248</v>
      </c>
      <c r="AK14" s="207"/>
      <c r="AL14" s="522"/>
      <c r="AM14" s="522"/>
    </row>
    <row r="15" spans="1:39" s="164" customFormat="1" ht="18.75" customHeight="1">
      <c r="A15" s="172" t="s">
        <v>188</v>
      </c>
      <c r="B15" s="173">
        <v>23781</v>
      </c>
      <c r="C15" s="116">
        <v>23027</v>
      </c>
      <c r="D15" s="174">
        <f t="shared" si="1"/>
        <v>96.829401623144534</v>
      </c>
      <c r="E15" s="174">
        <v>83.523409405788712</v>
      </c>
      <c r="F15" s="211">
        <v>596221</v>
      </c>
      <c r="G15" s="173">
        <v>24233</v>
      </c>
      <c r="H15" s="116">
        <v>23110</v>
      </c>
      <c r="I15" s="174">
        <f t="shared" si="0"/>
        <v>95.365823463871578</v>
      </c>
      <c r="J15" s="174">
        <v>79.296352647227138</v>
      </c>
      <c r="K15" s="212">
        <v>568087</v>
      </c>
      <c r="L15" s="173">
        <v>25811</v>
      </c>
      <c r="M15" s="116">
        <v>24408</v>
      </c>
      <c r="N15" s="174">
        <f t="shared" si="2"/>
        <v>94.564333036302344</v>
      </c>
      <c r="O15" s="174">
        <v>77.69094744187521</v>
      </c>
      <c r="P15" s="212">
        <v>587847</v>
      </c>
      <c r="Q15" s="173">
        <v>28629</v>
      </c>
      <c r="R15" s="116">
        <v>27978</v>
      </c>
      <c r="S15" s="174">
        <f t="shared" si="3"/>
        <v>97.726081944881059</v>
      </c>
      <c r="T15" s="174">
        <v>73.756760528139182</v>
      </c>
      <c r="U15" s="212">
        <v>639705.66027744627</v>
      </c>
      <c r="V15" s="173">
        <v>30341</v>
      </c>
      <c r="W15" s="116">
        <v>29044</v>
      </c>
      <c r="X15" s="174">
        <f t="shared" si="4"/>
        <v>95.725256253913855</v>
      </c>
      <c r="Y15" s="174">
        <v>77.88149264876823</v>
      </c>
      <c r="Z15" s="212">
        <v>701216.92247215554</v>
      </c>
      <c r="AA15" s="173">
        <v>35931</v>
      </c>
      <c r="AB15" s="116">
        <v>33422</v>
      </c>
      <c r="AC15" s="174">
        <v>93.017171801508454</v>
      </c>
      <c r="AD15" s="174">
        <v>74.983346656008536</v>
      </c>
      <c r="AE15" s="212">
        <v>776888.95770050632</v>
      </c>
      <c r="AF15" s="173">
        <v>37614</v>
      </c>
      <c r="AG15" s="116">
        <v>16222</v>
      </c>
      <c r="AH15" s="174">
        <v>43.127558887648213</v>
      </c>
      <c r="AI15" s="174">
        <v>12.458847142403327</v>
      </c>
      <c r="AJ15" s="212">
        <v>62653.299686660699</v>
      </c>
      <c r="AK15" s="207"/>
      <c r="AL15" s="522"/>
      <c r="AM15" s="522"/>
    </row>
    <row r="16" spans="1:39" s="164" customFormat="1" ht="18.75" customHeight="1">
      <c r="A16" s="172" t="s">
        <v>189</v>
      </c>
      <c r="B16" s="173">
        <v>23821</v>
      </c>
      <c r="C16" s="116">
        <v>23027</v>
      </c>
      <c r="D16" s="174">
        <f t="shared" si="1"/>
        <v>96.666806599219186</v>
      </c>
      <c r="E16" s="174">
        <v>74.063490684848219</v>
      </c>
      <c r="F16" s="211">
        <v>511638</v>
      </c>
      <c r="G16" s="173">
        <v>24233</v>
      </c>
      <c r="H16" s="116">
        <v>23162</v>
      </c>
      <c r="I16" s="174">
        <f t="shared" si="0"/>
        <v>95.58040688317584</v>
      </c>
      <c r="J16" s="174">
        <v>70.561264139538892</v>
      </c>
      <c r="K16" s="212">
        <v>490302</v>
      </c>
      <c r="L16" s="173">
        <v>25891</v>
      </c>
      <c r="M16" s="116">
        <v>24436</v>
      </c>
      <c r="N16" s="174">
        <f t="shared" si="2"/>
        <v>94.380286586072387</v>
      </c>
      <c r="O16" s="174">
        <v>68.733971735690503</v>
      </c>
      <c r="P16" s="212">
        <v>503875</v>
      </c>
      <c r="Q16" s="173">
        <v>28629</v>
      </c>
      <c r="R16" s="116">
        <v>28045</v>
      </c>
      <c r="S16" s="174">
        <f t="shared" si="3"/>
        <v>97.96011037758916</v>
      </c>
      <c r="T16" s="174">
        <v>62.450661942024709</v>
      </c>
      <c r="U16" s="212">
        <v>525428.64424922492</v>
      </c>
      <c r="V16" s="173">
        <v>30823</v>
      </c>
      <c r="W16" s="116">
        <v>29526</v>
      </c>
      <c r="X16" s="174">
        <f t="shared" si="4"/>
        <v>95.792103299484154</v>
      </c>
      <c r="Y16" s="174">
        <v>61.593878710410458</v>
      </c>
      <c r="Z16" s="212">
        <v>545586.25884107372</v>
      </c>
      <c r="AA16" s="173">
        <v>36887</v>
      </c>
      <c r="AB16" s="116">
        <v>35427</v>
      </c>
      <c r="AC16" s="174">
        <v>96.041966004283353</v>
      </c>
      <c r="AD16" s="174">
        <v>56.707958204639539</v>
      </c>
      <c r="AE16" s="212">
        <v>602697.85059472953</v>
      </c>
      <c r="AF16" s="173">
        <v>37622</v>
      </c>
      <c r="AG16" s="116">
        <v>20922</v>
      </c>
      <c r="AH16" s="174">
        <v>55.611078624209242</v>
      </c>
      <c r="AI16" s="174">
        <v>10.30312823164426</v>
      </c>
      <c r="AJ16" s="212">
        <v>64668.614658738363</v>
      </c>
      <c r="AK16" s="207"/>
      <c r="AL16" s="522"/>
      <c r="AM16" s="522"/>
    </row>
    <row r="17" spans="1:43" s="164" customFormat="1" ht="18.75" customHeight="1">
      <c r="A17" s="172" t="s">
        <v>190</v>
      </c>
      <c r="B17" s="173">
        <v>23817</v>
      </c>
      <c r="C17" s="116">
        <v>22951</v>
      </c>
      <c r="D17" s="174">
        <f t="shared" si="1"/>
        <v>96.363941722299202</v>
      </c>
      <c r="E17" s="174">
        <v>88.745307323737393</v>
      </c>
      <c r="F17" s="211">
        <v>631406</v>
      </c>
      <c r="G17" s="173">
        <v>24483</v>
      </c>
      <c r="H17" s="116">
        <v>22962</v>
      </c>
      <c r="I17" s="174">
        <f t="shared" si="0"/>
        <v>93.787526038475676</v>
      </c>
      <c r="J17" s="174">
        <v>79.945548184799009</v>
      </c>
      <c r="K17" s="212">
        <v>569070</v>
      </c>
      <c r="L17" s="173">
        <v>26089</v>
      </c>
      <c r="M17" s="116">
        <v>24516</v>
      </c>
      <c r="N17" s="174">
        <f t="shared" si="2"/>
        <v>93.970638966614288</v>
      </c>
      <c r="O17" s="174">
        <v>79.563181911483753</v>
      </c>
      <c r="P17" s="212">
        <v>604677</v>
      </c>
      <c r="Q17" s="173">
        <v>28647</v>
      </c>
      <c r="R17" s="116">
        <v>28155</v>
      </c>
      <c r="S17" s="174">
        <f t="shared" si="3"/>
        <v>98.282542674625617</v>
      </c>
      <c r="T17" s="174">
        <v>79.174362471815755</v>
      </c>
      <c r="U17" s="212">
        <v>691037.79437213147</v>
      </c>
      <c r="V17" s="173">
        <v>30885</v>
      </c>
      <c r="W17" s="116">
        <v>29588</v>
      </c>
      <c r="X17" s="174">
        <f t="shared" si="4"/>
        <v>95.800550429010841</v>
      </c>
      <c r="Y17" s="174">
        <v>77.156575926236243</v>
      </c>
      <c r="Z17" s="212">
        <v>707701.71823669807</v>
      </c>
      <c r="AA17" s="173">
        <v>36987</v>
      </c>
      <c r="AB17" s="116">
        <v>35527</v>
      </c>
      <c r="AC17" s="174">
        <v>96.052667153324151</v>
      </c>
      <c r="AD17" s="174">
        <v>72.48289676021389</v>
      </c>
      <c r="AE17" s="212">
        <v>798280.96069203678</v>
      </c>
      <c r="AF17" s="173">
        <v>37900</v>
      </c>
      <c r="AG17" s="116">
        <v>26580</v>
      </c>
      <c r="AH17" s="174">
        <v>70.131926121372032</v>
      </c>
      <c r="AI17" s="174">
        <v>18.153538893723479</v>
      </c>
      <c r="AJ17" s="212">
        <v>149581.52977650272</v>
      </c>
      <c r="AK17" s="207"/>
      <c r="AL17" s="522"/>
      <c r="AM17" s="522"/>
    </row>
    <row r="18" spans="1:43" s="164" customFormat="1" ht="18.75" customHeight="1">
      <c r="A18" s="176" t="s">
        <v>191</v>
      </c>
      <c r="B18" s="173">
        <v>23817</v>
      </c>
      <c r="C18" s="116">
        <v>22951</v>
      </c>
      <c r="D18" s="174">
        <f t="shared" si="1"/>
        <v>96.363941722299202</v>
      </c>
      <c r="E18" s="174">
        <v>75.058893584883734</v>
      </c>
      <c r="F18" s="211">
        <v>516803</v>
      </c>
      <c r="G18" s="173">
        <v>24511</v>
      </c>
      <c r="H18" s="116">
        <v>23542</v>
      </c>
      <c r="I18" s="174">
        <f t="shared" si="0"/>
        <v>96.046672922361381</v>
      </c>
      <c r="J18" s="174">
        <v>68.670461303202785</v>
      </c>
      <c r="K18" s="212">
        <v>484992</v>
      </c>
      <c r="L18" s="173">
        <v>26509</v>
      </c>
      <c r="M18" s="116">
        <v>26079</v>
      </c>
      <c r="N18" s="174">
        <f t="shared" si="2"/>
        <v>98.377909389264033</v>
      </c>
      <c r="O18" s="174">
        <v>69.515957922721981</v>
      </c>
      <c r="P18" s="212">
        <v>543872</v>
      </c>
      <c r="Q18" s="173">
        <v>28995</v>
      </c>
      <c r="R18" s="116">
        <v>28259</v>
      </c>
      <c r="S18" s="174">
        <f t="shared" si="3"/>
        <v>97.461631315744086</v>
      </c>
      <c r="T18" s="174">
        <v>75.801974513548259</v>
      </c>
      <c r="U18" s="212">
        <v>642626.3993335081</v>
      </c>
      <c r="V18" s="173">
        <v>31423</v>
      </c>
      <c r="W18" s="116">
        <v>30082</v>
      </c>
      <c r="X18" s="174">
        <f t="shared" si="4"/>
        <v>95.732425293574778</v>
      </c>
      <c r="Y18" s="174">
        <v>75.906749453834649</v>
      </c>
      <c r="Z18" s="212">
        <v>685028.05112107622</v>
      </c>
      <c r="AA18" s="173">
        <v>36987</v>
      </c>
      <c r="AB18" s="116">
        <v>35527</v>
      </c>
      <c r="AC18" s="174">
        <v>96.052667153324151</v>
      </c>
      <c r="AD18" s="174">
        <v>71.180038599393441</v>
      </c>
      <c r="AE18" s="212">
        <v>758643.96939619526</v>
      </c>
      <c r="AF18" s="173">
        <v>38000</v>
      </c>
      <c r="AG18" s="116">
        <v>30136</v>
      </c>
      <c r="AH18" s="174">
        <v>79.305263157894728</v>
      </c>
      <c r="AI18" s="174">
        <v>27.692678942678938</v>
      </c>
      <c r="AJ18" s="212">
        <v>250363.97178497177</v>
      </c>
      <c r="AK18" s="207"/>
      <c r="AL18" s="522"/>
      <c r="AM18" s="522"/>
    </row>
    <row r="19" spans="1:43" s="164" customFormat="1" ht="18.75" customHeight="1">
      <c r="A19" s="177" t="s">
        <v>192</v>
      </c>
      <c r="B19" s="178">
        <v>24031</v>
      </c>
      <c r="C19" s="179">
        <v>23027</v>
      </c>
      <c r="D19" s="180">
        <f t="shared" si="1"/>
        <v>95.822063168407482</v>
      </c>
      <c r="E19" s="180">
        <v>81.055479051940424</v>
      </c>
      <c r="F19" s="213">
        <v>578604</v>
      </c>
      <c r="G19" s="178">
        <v>24877</v>
      </c>
      <c r="H19" s="179">
        <v>23936</v>
      </c>
      <c r="I19" s="180">
        <f t="shared" si="0"/>
        <v>96.217389556618556</v>
      </c>
      <c r="J19" s="180">
        <v>73.31203100741763</v>
      </c>
      <c r="K19" s="214">
        <v>543987</v>
      </c>
      <c r="L19" s="178">
        <v>26933</v>
      </c>
      <c r="M19" s="179">
        <v>26557</v>
      </c>
      <c r="N19" s="180">
        <f t="shared" si="2"/>
        <v>98.603943118107892</v>
      </c>
      <c r="O19" s="180">
        <v>68.664357978638762</v>
      </c>
      <c r="P19" s="214">
        <v>565291</v>
      </c>
      <c r="Q19" s="178">
        <v>29977</v>
      </c>
      <c r="R19" s="179">
        <v>29326</v>
      </c>
      <c r="S19" s="180">
        <f t="shared" si="3"/>
        <v>97.828335056876938</v>
      </c>
      <c r="T19" s="180">
        <v>80.645161290322577</v>
      </c>
      <c r="U19" s="214">
        <v>733150</v>
      </c>
      <c r="V19" s="178">
        <v>31971</v>
      </c>
      <c r="W19" s="179">
        <v>30696</v>
      </c>
      <c r="X19" s="180">
        <f t="shared" si="4"/>
        <v>96.012010884864409</v>
      </c>
      <c r="Y19" s="180">
        <v>79.717775810516628</v>
      </c>
      <c r="Z19" s="214">
        <v>752199.39463735651</v>
      </c>
      <c r="AA19" s="178">
        <v>37004</v>
      </c>
      <c r="AB19" s="179">
        <v>35527</v>
      </c>
      <c r="AC19" s="180">
        <v>96.008539617338656</v>
      </c>
      <c r="AD19" s="180">
        <v>79.513943526532032</v>
      </c>
      <c r="AE19" s="214">
        <v>875716.48021680221</v>
      </c>
      <c r="AF19" s="178">
        <v>37134</v>
      </c>
      <c r="AG19" s="179">
        <v>32798</v>
      </c>
      <c r="AH19" s="180">
        <v>88.323369418861418</v>
      </c>
      <c r="AI19" s="180">
        <v>54.837353204159399</v>
      </c>
      <c r="AJ19" s="214">
        <v>557552.20822090621</v>
      </c>
      <c r="AK19" s="207"/>
      <c r="AL19" s="522"/>
      <c r="AM19" s="522"/>
    </row>
    <row r="20" spans="1:43" ht="15" customHeight="1">
      <c r="A20" s="54" t="s">
        <v>142</v>
      </c>
      <c r="B20" s="181"/>
      <c r="C20" s="181"/>
      <c r="G20" s="181"/>
      <c r="H20" s="181"/>
      <c r="L20" s="181"/>
      <c r="M20" s="181"/>
      <c r="Q20" s="181"/>
      <c r="R20" s="181"/>
      <c r="V20" s="197"/>
      <c r="W20" s="207"/>
      <c r="X20" s="207"/>
      <c r="Y20" s="207"/>
      <c r="Z20" s="207"/>
      <c r="AA20" s="197"/>
      <c r="AB20" s="207"/>
      <c r="AC20" s="207"/>
      <c r="AD20" s="207"/>
      <c r="AE20" s="555"/>
      <c r="AF20" s="197"/>
      <c r="AG20" s="207"/>
      <c r="AH20" s="207"/>
      <c r="AI20" s="207"/>
      <c r="AJ20" s="555" t="s">
        <v>143</v>
      </c>
      <c r="AK20" s="207"/>
      <c r="AP20" s="183" t="s">
        <v>179</v>
      </c>
      <c r="AQ20" s="183" t="s">
        <v>194</v>
      </c>
    </row>
    <row r="21" spans="1:43" ht="12.75">
      <c r="A21" s="735" t="s">
        <v>1078</v>
      </c>
      <c r="AK21" s="207"/>
      <c r="AO21" s="185" t="s">
        <v>195</v>
      </c>
      <c r="AP21" s="173">
        <f>AF8</f>
        <v>37394</v>
      </c>
      <c r="AQ21" s="173">
        <f>AG8</f>
        <v>36094</v>
      </c>
    </row>
    <row r="22" spans="1:43" ht="12.75">
      <c r="A22" s="736" t="s">
        <v>1079</v>
      </c>
      <c r="B22" s="181"/>
      <c r="C22" s="181"/>
      <c r="G22" s="181"/>
      <c r="H22" s="181"/>
      <c r="L22" s="181"/>
      <c r="M22" s="181"/>
      <c r="Q22" s="181"/>
      <c r="R22" s="181"/>
      <c r="V22" s="197"/>
      <c r="W22" s="207"/>
      <c r="X22" s="207"/>
      <c r="Y22" s="207"/>
      <c r="Z22" s="207"/>
      <c r="AA22" s="197"/>
      <c r="AB22" s="207"/>
      <c r="AC22" s="207"/>
      <c r="AD22" s="207"/>
      <c r="AE22" s="207"/>
      <c r="AF22" s="197"/>
      <c r="AG22" s="207"/>
      <c r="AH22" s="207"/>
      <c r="AI22" s="207"/>
      <c r="AJ22" s="207"/>
      <c r="AK22" s="207"/>
      <c r="AO22" s="185" t="s">
        <v>196</v>
      </c>
      <c r="AP22" s="173">
        <f t="shared" ref="AP22:AP32" si="5">AF9</f>
        <v>37522</v>
      </c>
      <c r="AQ22" s="173">
        <f t="shared" ref="AQ22:AQ32" si="6">AG9</f>
        <v>36222</v>
      </c>
    </row>
    <row r="23" spans="1:43" ht="12.75">
      <c r="A23" s="187"/>
      <c r="B23" s="181"/>
      <c r="C23" s="181"/>
      <c r="G23" s="181"/>
      <c r="H23" s="181"/>
      <c r="L23" s="181"/>
      <c r="M23" s="181"/>
      <c r="Q23" s="181"/>
      <c r="R23" s="181"/>
      <c r="V23" s="197"/>
      <c r="W23" s="207"/>
      <c r="X23" s="207"/>
      <c r="Y23" s="207"/>
      <c r="Z23" s="207"/>
      <c r="AA23" s="197"/>
      <c r="AB23" s="207"/>
      <c r="AC23" s="207"/>
      <c r="AD23" s="207"/>
      <c r="AE23" s="207"/>
      <c r="AF23" s="197"/>
      <c r="AG23" s="207"/>
      <c r="AH23" s="207"/>
      <c r="AI23" s="207"/>
      <c r="AJ23" s="207"/>
      <c r="AK23" s="207"/>
      <c r="AO23" s="185" t="s">
        <v>197</v>
      </c>
      <c r="AP23" s="173">
        <f t="shared" si="5"/>
        <v>37522</v>
      </c>
      <c r="AQ23" s="173">
        <f t="shared" si="6"/>
        <v>36222</v>
      </c>
    </row>
    <row r="24" spans="1:43" ht="12.75">
      <c r="A24" s="187"/>
      <c r="B24" s="181"/>
      <c r="C24" s="181"/>
      <c r="G24" s="181"/>
      <c r="H24" s="181"/>
      <c r="L24" s="181"/>
      <c r="M24" s="181"/>
      <c r="Q24" s="181"/>
      <c r="R24" s="181"/>
      <c r="V24" s="197"/>
      <c r="W24" s="207"/>
      <c r="X24" s="207"/>
      <c r="Y24" s="207"/>
      <c r="Z24" s="207"/>
      <c r="AA24" s="197"/>
      <c r="AB24" s="207"/>
      <c r="AC24" s="207"/>
      <c r="AD24" s="207"/>
      <c r="AE24" s="207"/>
      <c r="AF24" s="197"/>
      <c r="AG24" s="207"/>
      <c r="AH24" s="207"/>
      <c r="AI24" s="207"/>
      <c r="AJ24" s="207"/>
      <c r="AK24" s="207"/>
      <c r="AO24" s="185" t="s">
        <v>198</v>
      </c>
      <c r="AP24" s="173">
        <f t="shared" si="5"/>
        <v>37522</v>
      </c>
      <c r="AQ24" s="173">
        <f t="shared" si="6"/>
        <v>7064</v>
      </c>
    </row>
    <row r="25" spans="1:43" ht="12.75">
      <c r="A25" s="187"/>
      <c r="B25" s="181"/>
      <c r="C25" s="181"/>
      <c r="G25" s="181"/>
      <c r="H25" s="181"/>
      <c r="L25" s="181"/>
      <c r="M25" s="181"/>
      <c r="Q25" s="181"/>
      <c r="R25" s="181"/>
      <c r="V25" s="197"/>
      <c r="W25" s="207"/>
      <c r="X25" s="207"/>
      <c r="Y25" s="207"/>
      <c r="Z25" s="207"/>
      <c r="AA25" s="197"/>
      <c r="AB25" s="207"/>
      <c r="AC25" s="207"/>
      <c r="AD25" s="207"/>
      <c r="AE25" s="207"/>
      <c r="AF25" s="197"/>
      <c r="AG25" s="207"/>
      <c r="AH25" s="207"/>
      <c r="AI25" s="207"/>
      <c r="AJ25" s="207"/>
      <c r="AK25" s="207"/>
      <c r="AO25" s="185" t="s">
        <v>185</v>
      </c>
      <c r="AP25" s="173">
        <f t="shared" si="5"/>
        <v>37522</v>
      </c>
      <c r="AQ25" s="173">
        <f t="shared" si="6"/>
        <v>2904</v>
      </c>
    </row>
    <row r="26" spans="1:43" ht="12.75">
      <c r="A26" s="187"/>
      <c r="B26" s="181"/>
      <c r="C26" s="181"/>
      <c r="G26" s="181"/>
      <c r="H26" s="181"/>
      <c r="L26" s="181"/>
      <c r="M26" s="181"/>
      <c r="Q26" s="181"/>
      <c r="R26" s="181"/>
      <c r="V26" s="206"/>
      <c r="W26" s="203"/>
      <c r="X26" s="203"/>
      <c r="Y26" s="203"/>
      <c r="Z26" s="203"/>
      <c r="AA26" s="206"/>
      <c r="AB26" s="203"/>
      <c r="AC26" s="203"/>
      <c r="AD26" s="203"/>
      <c r="AE26" s="203"/>
      <c r="AF26" s="206"/>
      <c r="AG26" s="203"/>
      <c r="AH26" s="203"/>
      <c r="AI26" s="203"/>
      <c r="AJ26" s="203"/>
      <c r="AK26" s="203"/>
      <c r="AO26" s="185" t="s">
        <v>199</v>
      </c>
      <c r="AP26" s="173">
        <f t="shared" si="5"/>
        <v>37522</v>
      </c>
      <c r="AQ26" s="173">
        <f t="shared" si="6"/>
        <v>3004</v>
      </c>
    </row>
    <row r="27" spans="1:43" ht="12.75">
      <c r="A27" s="187"/>
      <c r="B27" s="181"/>
      <c r="C27" s="181"/>
      <c r="G27" s="181"/>
      <c r="H27" s="181"/>
      <c r="L27" s="181"/>
      <c r="M27" s="181"/>
      <c r="Q27" s="181"/>
      <c r="R27" s="181"/>
      <c r="V27" s="197"/>
      <c r="W27" s="203"/>
      <c r="X27" s="203"/>
      <c r="Y27" s="203"/>
      <c r="Z27" s="203"/>
      <c r="AA27" s="197"/>
      <c r="AB27" s="203"/>
      <c r="AC27" s="203"/>
      <c r="AD27" s="203"/>
      <c r="AE27" s="203"/>
      <c r="AF27" s="197"/>
      <c r="AG27" s="203"/>
      <c r="AH27" s="203"/>
      <c r="AI27" s="203"/>
      <c r="AJ27" s="203"/>
      <c r="AK27" s="203"/>
      <c r="AO27" s="185" t="s">
        <v>200</v>
      </c>
      <c r="AP27" s="173">
        <f t="shared" si="5"/>
        <v>37522</v>
      </c>
      <c r="AQ27" s="173">
        <f t="shared" si="6"/>
        <v>9180</v>
      </c>
    </row>
    <row r="28" spans="1:43" ht="12.75">
      <c r="A28" s="187"/>
      <c r="B28" s="181"/>
      <c r="C28" s="181"/>
      <c r="G28" s="181"/>
      <c r="H28" s="181"/>
      <c r="L28" s="181"/>
      <c r="M28" s="181"/>
      <c r="Q28" s="181"/>
      <c r="R28" s="181"/>
      <c r="V28" s="197"/>
      <c r="W28" s="203"/>
      <c r="X28" s="203"/>
      <c r="Y28" s="203"/>
      <c r="Z28" s="203"/>
      <c r="AA28" s="197"/>
      <c r="AB28" s="203"/>
      <c r="AC28" s="203"/>
      <c r="AD28" s="203"/>
      <c r="AE28" s="203"/>
      <c r="AF28" s="197"/>
      <c r="AG28" s="203"/>
      <c r="AH28" s="203"/>
      <c r="AI28" s="203"/>
      <c r="AJ28" s="203"/>
      <c r="AK28" s="203"/>
      <c r="AO28" s="185" t="s">
        <v>201</v>
      </c>
      <c r="AP28" s="173">
        <f t="shared" si="5"/>
        <v>37614</v>
      </c>
      <c r="AQ28" s="173">
        <f t="shared" si="6"/>
        <v>16222</v>
      </c>
    </row>
    <row r="29" spans="1:43" ht="12.75">
      <c r="A29" s="187"/>
      <c r="B29" s="181"/>
      <c r="C29" s="181"/>
      <c r="G29" s="181"/>
      <c r="H29" s="181"/>
      <c r="L29" s="181"/>
      <c r="M29" s="181"/>
      <c r="Q29" s="181"/>
      <c r="R29" s="181"/>
      <c r="V29" s="197"/>
      <c r="W29" s="203"/>
      <c r="X29" s="203"/>
      <c r="Y29" s="203"/>
      <c r="Z29" s="203"/>
      <c r="AA29" s="197"/>
      <c r="AB29" s="203"/>
      <c r="AC29" s="203"/>
      <c r="AD29" s="203"/>
      <c r="AE29" s="203"/>
      <c r="AF29" s="197"/>
      <c r="AG29" s="203"/>
      <c r="AH29" s="203"/>
      <c r="AI29" s="203"/>
      <c r="AJ29" s="203"/>
      <c r="AK29" s="203"/>
      <c r="AO29" s="185" t="s">
        <v>202</v>
      </c>
      <c r="AP29" s="173">
        <f t="shared" si="5"/>
        <v>37622</v>
      </c>
      <c r="AQ29" s="173">
        <f t="shared" si="6"/>
        <v>20922</v>
      </c>
    </row>
    <row r="30" spans="1:43" ht="12.75">
      <c r="A30" s="187"/>
      <c r="B30" s="181"/>
      <c r="C30" s="181"/>
      <c r="D30" s="184"/>
      <c r="G30" s="181"/>
      <c r="H30" s="181"/>
      <c r="I30" s="184"/>
      <c r="L30" s="181"/>
      <c r="M30" s="181"/>
      <c r="N30" s="184"/>
      <c r="Q30" s="181"/>
      <c r="R30" s="181"/>
      <c r="S30" s="184"/>
      <c r="V30" s="197"/>
      <c r="W30" s="203"/>
      <c r="X30" s="203"/>
      <c r="Y30" s="203"/>
      <c r="Z30" s="203"/>
      <c r="AA30" s="197"/>
      <c r="AB30" s="203"/>
      <c r="AC30" s="203"/>
      <c r="AD30" s="203"/>
      <c r="AE30" s="203"/>
      <c r="AF30" s="197"/>
      <c r="AG30" s="203"/>
      <c r="AH30" s="203"/>
      <c r="AI30" s="203"/>
      <c r="AJ30" s="203"/>
      <c r="AK30" s="203"/>
      <c r="AO30" s="185" t="s">
        <v>203</v>
      </c>
      <c r="AP30" s="173">
        <f t="shared" si="5"/>
        <v>37900</v>
      </c>
      <c r="AQ30" s="173">
        <f t="shared" si="6"/>
        <v>26580</v>
      </c>
    </row>
    <row r="31" spans="1:43" ht="12.75">
      <c r="A31" s="187"/>
      <c r="B31" s="191"/>
      <c r="C31" s="191"/>
      <c r="D31" s="192"/>
      <c r="G31" s="191"/>
      <c r="H31" s="191"/>
      <c r="I31" s="192"/>
      <c r="L31" s="191"/>
      <c r="M31" s="191"/>
      <c r="N31" s="192"/>
      <c r="Q31" s="191"/>
      <c r="R31" s="191"/>
      <c r="S31" s="192"/>
      <c r="V31" s="197"/>
      <c r="W31" s="203"/>
      <c r="X31" s="203"/>
      <c r="Y31" s="203"/>
      <c r="Z31" s="203"/>
      <c r="AA31" s="197"/>
      <c r="AB31" s="203"/>
      <c r="AC31" s="203"/>
      <c r="AD31" s="203"/>
      <c r="AE31" s="203"/>
      <c r="AF31" s="197"/>
      <c r="AG31" s="203"/>
      <c r="AH31" s="203"/>
      <c r="AI31" s="203"/>
      <c r="AJ31" s="203"/>
      <c r="AK31" s="203"/>
      <c r="AO31" s="185" t="s">
        <v>204</v>
      </c>
      <c r="AP31" s="173">
        <f t="shared" si="5"/>
        <v>38000</v>
      </c>
      <c r="AQ31" s="173">
        <f t="shared" si="6"/>
        <v>30136</v>
      </c>
    </row>
    <row r="32" spans="1:43" ht="12.75">
      <c r="A32" s="187"/>
      <c r="B32" s="193"/>
      <c r="C32" s="193"/>
      <c r="D32" s="193"/>
      <c r="E32" s="194"/>
      <c r="G32" s="193"/>
      <c r="H32" s="193"/>
      <c r="I32" s="193"/>
      <c r="J32" s="194"/>
      <c r="L32" s="193"/>
      <c r="M32" s="193"/>
      <c r="N32" s="193"/>
      <c r="O32" s="194"/>
      <c r="Q32" s="193"/>
      <c r="R32" s="193"/>
      <c r="S32" s="193"/>
      <c r="T32" s="194"/>
      <c r="V32" s="197"/>
      <c r="W32" s="203"/>
      <c r="X32" s="203"/>
      <c r="Y32" s="203"/>
      <c r="Z32" s="203"/>
      <c r="AA32" s="197"/>
      <c r="AB32" s="203"/>
      <c r="AC32" s="203"/>
      <c r="AD32" s="203"/>
      <c r="AE32" s="203"/>
      <c r="AF32" s="197"/>
      <c r="AG32" s="203"/>
      <c r="AH32" s="203"/>
      <c r="AI32" s="203"/>
      <c r="AJ32" s="203"/>
      <c r="AK32" s="203"/>
      <c r="AO32" s="185" t="s">
        <v>205</v>
      </c>
      <c r="AP32" s="173">
        <f t="shared" si="5"/>
        <v>37134</v>
      </c>
      <c r="AQ32" s="173">
        <f t="shared" si="6"/>
        <v>32798</v>
      </c>
    </row>
    <row r="33" spans="1:37" ht="12.75">
      <c r="A33" s="187"/>
      <c r="B33" s="195"/>
      <c r="C33" s="195"/>
      <c r="D33" s="195"/>
      <c r="E33" s="194"/>
      <c r="G33" s="195"/>
      <c r="H33" s="195"/>
      <c r="I33" s="195"/>
      <c r="J33" s="194"/>
      <c r="L33" s="195"/>
      <c r="M33" s="195"/>
      <c r="N33" s="195"/>
      <c r="O33" s="194"/>
      <c r="Q33" s="195"/>
      <c r="R33" s="195"/>
      <c r="S33" s="195"/>
      <c r="T33" s="194"/>
      <c r="V33" s="197"/>
      <c r="W33" s="203"/>
      <c r="X33" s="203"/>
      <c r="Y33" s="203"/>
      <c r="Z33" s="203"/>
      <c r="AA33" s="197"/>
      <c r="AB33" s="203"/>
      <c r="AC33" s="203"/>
      <c r="AD33" s="203"/>
      <c r="AE33" s="203"/>
      <c r="AF33" s="197"/>
      <c r="AG33" s="203"/>
      <c r="AH33" s="203"/>
      <c r="AI33" s="203"/>
      <c r="AJ33" s="203"/>
      <c r="AK33" s="203"/>
    </row>
    <row r="34" spans="1:37" ht="12.75">
      <c r="A34" s="187"/>
      <c r="B34" s="195"/>
      <c r="C34" s="195"/>
      <c r="D34" s="195"/>
      <c r="E34" s="194"/>
      <c r="F34" s="194"/>
      <c r="G34" s="195"/>
      <c r="H34" s="195"/>
      <c r="I34" s="195"/>
      <c r="J34" s="194"/>
      <c r="K34" s="194"/>
      <c r="L34" s="195"/>
      <c r="M34" s="195"/>
      <c r="N34" s="195"/>
      <c r="O34" s="194"/>
      <c r="P34" s="194"/>
      <c r="Q34" s="195"/>
      <c r="R34" s="195"/>
      <c r="S34" s="195"/>
      <c r="T34" s="194"/>
      <c r="U34" s="194"/>
      <c r="V34" s="197"/>
      <c r="W34" s="203"/>
      <c r="X34" s="203"/>
      <c r="Y34" s="203"/>
      <c r="Z34" s="203"/>
      <c r="AA34" s="197"/>
      <c r="AB34" s="203"/>
      <c r="AC34" s="203"/>
      <c r="AD34" s="203"/>
      <c r="AE34" s="203"/>
      <c r="AF34" s="197"/>
      <c r="AG34" s="203"/>
      <c r="AH34" s="203"/>
      <c r="AI34" s="203"/>
      <c r="AJ34" s="203"/>
      <c r="AK34" s="203"/>
    </row>
    <row r="35" spans="1:37" ht="12.75">
      <c r="B35" s="195"/>
      <c r="C35" s="195"/>
      <c r="D35" s="195"/>
      <c r="E35" s="194"/>
      <c r="F35" s="196"/>
      <c r="G35" s="195"/>
      <c r="H35" s="195"/>
      <c r="I35" s="195"/>
      <c r="J35" s="194"/>
      <c r="K35" s="196"/>
      <c r="L35" s="195"/>
      <c r="M35" s="195"/>
      <c r="N35" s="195"/>
      <c r="O35" s="194"/>
      <c r="P35" s="196"/>
      <c r="Q35" s="195"/>
      <c r="R35" s="195"/>
      <c r="S35" s="195"/>
      <c r="T35" s="194"/>
      <c r="U35" s="196"/>
      <c r="V35" s="197"/>
      <c r="W35" s="203"/>
      <c r="X35" s="203"/>
      <c r="Y35" s="203"/>
      <c r="Z35" s="203"/>
      <c r="AA35" s="197"/>
      <c r="AB35" s="203"/>
      <c r="AC35" s="203"/>
      <c r="AD35" s="203"/>
      <c r="AE35" s="203"/>
      <c r="AF35" s="197"/>
      <c r="AG35" s="203"/>
      <c r="AH35" s="203"/>
      <c r="AI35" s="203"/>
      <c r="AJ35" s="203"/>
      <c r="AK35" s="203"/>
    </row>
    <row r="36" spans="1:37" ht="12.75">
      <c r="B36" s="195"/>
      <c r="C36" s="195"/>
      <c r="D36" s="195"/>
      <c r="E36" s="185"/>
      <c r="F36" s="194"/>
      <c r="G36" s="195"/>
      <c r="H36" s="195"/>
      <c r="I36" s="195"/>
      <c r="J36" s="185"/>
      <c r="K36" s="194"/>
      <c r="L36" s="195"/>
      <c r="M36" s="195"/>
      <c r="N36" s="195"/>
      <c r="O36" s="185"/>
      <c r="P36" s="194"/>
      <c r="Q36" s="195"/>
      <c r="R36" s="195"/>
      <c r="S36" s="195"/>
      <c r="T36" s="185"/>
      <c r="U36" s="194"/>
      <c r="V36" s="197"/>
      <c r="W36" s="203"/>
      <c r="X36" s="203"/>
      <c r="Y36" s="203"/>
      <c r="Z36" s="203"/>
      <c r="AA36" s="197"/>
      <c r="AB36" s="203"/>
      <c r="AC36" s="203"/>
      <c r="AD36" s="203"/>
      <c r="AE36" s="203"/>
      <c r="AF36" s="197"/>
      <c r="AG36" s="203"/>
      <c r="AH36" s="203"/>
      <c r="AI36" s="203"/>
      <c r="AJ36" s="203"/>
      <c r="AK36" s="203"/>
    </row>
    <row r="37" spans="1:37" ht="12.75">
      <c r="B37" s="195"/>
      <c r="C37" s="195"/>
      <c r="D37" s="195"/>
      <c r="E37" s="185"/>
      <c r="G37" s="195"/>
      <c r="H37" s="195"/>
      <c r="I37" s="195"/>
      <c r="J37" s="185"/>
      <c r="L37" s="195"/>
      <c r="M37" s="195"/>
      <c r="N37" s="195"/>
      <c r="O37" s="185"/>
      <c r="Q37" s="195"/>
      <c r="R37" s="195"/>
      <c r="S37" s="195"/>
      <c r="T37" s="185"/>
      <c r="V37" s="197"/>
      <c r="W37" s="203"/>
      <c r="X37" s="203"/>
      <c r="Y37" s="203"/>
      <c r="Z37" s="203"/>
      <c r="AA37" s="197"/>
      <c r="AB37" s="203"/>
      <c r="AC37" s="203"/>
      <c r="AD37" s="203"/>
      <c r="AE37" s="203"/>
      <c r="AF37" s="197"/>
      <c r="AG37" s="203"/>
      <c r="AH37" s="203"/>
      <c r="AI37" s="203"/>
      <c r="AJ37" s="203"/>
      <c r="AK37" s="203"/>
    </row>
    <row r="38" spans="1:37">
      <c r="B38" s="195"/>
      <c r="C38" s="195"/>
      <c r="D38" s="195"/>
      <c r="E38" s="185"/>
      <c r="G38" s="195"/>
      <c r="H38" s="195"/>
      <c r="I38" s="195"/>
      <c r="J38" s="185"/>
      <c r="L38" s="195"/>
      <c r="M38" s="195"/>
      <c r="N38" s="195"/>
      <c r="O38" s="185"/>
      <c r="Q38" s="195"/>
      <c r="R38" s="195"/>
      <c r="S38" s="195"/>
      <c r="T38" s="185"/>
    </row>
    <row r="39" spans="1:37">
      <c r="B39" s="195"/>
      <c r="C39" s="195"/>
      <c r="D39" s="195"/>
      <c r="E39" s="185"/>
      <c r="G39" s="195"/>
      <c r="H39" s="195"/>
      <c r="I39" s="195"/>
      <c r="J39" s="185"/>
      <c r="L39" s="195"/>
      <c r="M39" s="195"/>
      <c r="N39" s="195"/>
      <c r="O39" s="185"/>
      <c r="Q39" s="195"/>
      <c r="R39" s="195"/>
      <c r="S39" s="195"/>
      <c r="T39" s="185"/>
    </row>
    <row r="40" spans="1:37">
      <c r="B40" s="195"/>
      <c r="C40" s="195"/>
      <c r="D40" s="195"/>
      <c r="E40" s="185"/>
      <c r="G40" s="195"/>
      <c r="H40" s="195"/>
      <c r="I40" s="195"/>
      <c r="J40" s="185"/>
      <c r="L40" s="195"/>
      <c r="M40" s="195"/>
      <c r="N40" s="195"/>
      <c r="O40" s="185"/>
      <c r="Q40" s="195"/>
      <c r="R40" s="195"/>
      <c r="S40" s="195"/>
      <c r="T40" s="185"/>
    </row>
    <row r="41" spans="1:37">
      <c r="B41" s="195"/>
      <c r="C41" s="195"/>
      <c r="D41" s="195"/>
      <c r="E41" s="185"/>
      <c r="G41" s="195"/>
      <c r="H41" s="195"/>
      <c r="I41" s="195"/>
      <c r="J41" s="185"/>
      <c r="L41" s="195"/>
      <c r="M41" s="195"/>
      <c r="N41" s="195"/>
      <c r="O41" s="185"/>
      <c r="Q41" s="195"/>
      <c r="R41" s="195"/>
      <c r="S41" s="195"/>
      <c r="T41" s="185"/>
    </row>
    <row r="42" spans="1:37">
      <c r="B42" s="195"/>
      <c r="C42" s="195"/>
      <c r="D42" s="195"/>
      <c r="E42" s="185"/>
      <c r="G42" s="195"/>
      <c r="H42" s="195"/>
      <c r="I42" s="195"/>
      <c r="J42" s="185"/>
      <c r="L42" s="195"/>
      <c r="M42" s="195"/>
      <c r="N42" s="195"/>
      <c r="O42" s="185"/>
      <c r="Q42" s="195"/>
      <c r="R42" s="195"/>
      <c r="S42" s="195"/>
      <c r="T42" s="185"/>
    </row>
    <row r="43" spans="1:37">
      <c r="B43" s="195"/>
      <c r="C43" s="195"/>
      <c r="D43" s="195"/>
      <c r="E43" s="185"/>
      <c r="G43" s="195"/>
      <c r="H43" s="195"/>
      <c r="I43" s="195"/>
      <c r="J43" s="185"/>
      <c r="L43" s="195"/>
      <c r="M43" s="195"/>
      <c r="N43" s="195"/>
      <c r="O43" s="185"/>
      <c r="Q43" s="195"/>
      <c r="R43" s="195"/>
      <c r="S43" s="195"/>
      <c r="T43" s="185"/>
    </row>
    <row r="44" spans="1:37">
      <c r="B44" s="195"/>
      <c r="C44" s="195"/>
      <c r="D44" s="195"/>
      <c r="E44" s="185"/>
      <c r="G44" s="195"/>
      <c r="H44" s="195"/>
      <c r="I44" s="195"/>
      <c r="J44" s="185"/>
      <c r="L44" s="195"/>
      <c r="M44" s="195"/>
      <c r="N44" s="195"/>
      <c r="O44" s="185"/>
      <c r="Q44" s="195"/>
      <c r="R44" s="195"/>
      <c r="S44" s="195"/>
      <c r="T44" s="185"/>
    </row>
    <row r="45" spans="1:37">
      <c r="B45" s="194"/>
      <c r="C45" s="194"/>
      <c r="D45" s="194"/>
      <c r="E45" s="185"/>
      <c r="G45" s="194"/>
      <c r="H45" s="194"/>
      <c r="I45" s="194"/>
      <c r="J45" s="185"/>
      <c r="L45" s="194"/>
      <c r="M45" s="194"/>
      <c r="N45" s="194"/>
      <c r="O45" s="185"/>
      <c r="Q45" s="194"/>
      <c r="R45" s="194"/>
      <c r="S45" s="194"/>
      <c r="T45" s="185"/>
    </row>
    <row r="46" spans="1:37">
      <c r="B46" s="194"/>
      <c r="C46" s="194"/>
      <c r="D46" s="194"/>
      <c r="E46" s="185"/>
      <c r="G46" s="194"/>
      <c r="H46" s="194"/>
      <c r="I46" s="194"/>
      <c r="J46" s="185"/>
      <c r="L46" s="194"/>
      <c r="M46" s="194"/>
      <c r="N46" s="194"/>
      <c r="O46" s="185"/>
      <c r="Q46" s="194"/>
      <c r="R46" s="194"/>
      <c r="S46" s="194"/>
      <c r="T46" s="185"/>
    </row>
    <row r="47" spans="1:37">
      <c r="E47" s="185"/>
      <c r="J47" s="185"/>
      <c r="O47" s="185"/>
      <c r="T47" s="185"/>
    </row>
  </sheetData>
  <mergeCells count="10">
    <mergeCell ref="AF4:AJ4"/>
    <mergeCell ref="A2:AJ2"/>
    <mergeCell ref="A1:AJ1"/>
    <mergeCell ref="AA4:AE4"/>
    <mergeCell ref="V4:Z4"/>
    <mergeCell ref="A4:A6"/>
    <mergeCell ref="B4:F4"/>
    <mergeCell ref="G4:K4"/>
    <mergeCell ref="L4:P4"/>
    <mergeCell ref="Q4:U4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73"/>
  <sheetViews>
    <sheetView topLeftCell="A10" zoomScaleNormal="100" workbookViewId="0">
      <selection activeCell="AN15" sqref="AN15"/>
    </sheetView>
  </sheetViews>
  <sheetFormatPr defaultColWidth="9.140625" defaultRowHeight="12"/>
  <cols>
    <col min="1" max="1" width="13.7109375" style="163" customWidth="1"/>
    <col min="2" max="2" width="12" style="163" hidden="1" customWidth="1"/>
    <col min="3" max="3" width="11.28515625" style="163" hidden="1" customWidth="1"/>
    <col min="4" max="4" width="14.42578125" style="163" hidden="1" customWidth="1"/>
    <col min="5" max="8" width="11.28515625" style="163" hidden="1" customWidth="1"/>
    <col min="9" max="9" width="14.85546875" style="163" hidden="1" customWidth="1"/>
    <col min="10" max="13" width="11.28515625" style="163" hidden="1" customWidth="1"/>
    <col min="14" max="14" width="14.85546875" style="163" hidden="1" customWidth="1"/>
    <col min="15" max="16" width="11.28515625" style="163" hidden="1" customWidth="1"/>
    <col min="17" max="18" width="10.85546875" style="163" hidden="1" customWidth="1"/>
    <col min="19" max="19" width="13.5703125" style="163" hidden="1" customWidth="1"/>
    <col min="20" max="21" width="10.85546875" style="163" hidden="1" customWidth="1"/>
    <col min="22" max="26" width="13.42578125" style="163" hidden="1" customWidth="1"/>
    <col min="27" max="36" width="13.42578125" style="163" customWidth="1"/>
    <col min="37" max="37" width="2.28515625" style="163" customWidth="1"/>
    <col min="38" max="16384" width="9.140625" style="163"/>
  </cols>
  <sheetData>
    <row r="1" spans="1:38" ht="17.25" customHeight="1">
      <c r="A1" s="842" t="s">
        <v>1039</v>
      </c>
      <c r="B1" s="842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  <c r="AB1" s="842"/>
      <c r="AC1" s="842"/>
      <c r="AD1" s="842"/>
      <c r="AE1" s="842"/>
      <c r="AF1" s="842"/>
      <c r="AG1" s="842"/>
      <c r="AH1" s="842"/>
      <c r="AI1" s="842"/>
      <c r="AJ1" s="842"/>
    </row>
    <row r="2" spans="1:38" ht="24" customHeight="1">
      <c r="A2" s="841" t="s">
        <v>1040</v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J2" s="841"/>
      <c r="AK2" s="196"/>
    </row>
    <row r="3" spans="1:38" s="164" customFormat="1" ht="18.75" customHeight="1">
      <c r="A3" s="836" t="s">
        <v>164</v>
      </c>
      <c r="B3" s="839">
        <v>2014</v>
      </c>
      <c r="C3" s="840"/>
      <c r="D3" s="840"/>
      <c r="E3" s="840"/>
      <c r="F3" s="840"/>
      <c r="G3" s="839">
        <v>2015</v>
      </c>
      <c r="H3" s="840"/>
      <c r="I3" s="840"/>
      <c r="J3" s="840"/>
      <c r="K3" s="840"/>
      <c r="L3" s="839">
        <v>2016</v>
      </c>
      <c r="M3" s="840"/>
      <c r="N3" s="840"/>
      <c r="O3" s="840"/>
      <c r="P3" s="840"/>
      <c r="Q3" s="839">
        <v>2017</v>
      </c>
      <c r="R3" s="840"/>
      <c r="S3" s="840"/>
      <c r="T3" s="840"/>
      <c r="U3" s="840"/>
      <c r="V3" s="839">
        <v>2018</v>
      </c>
      <c r="W3" s="840"/>
      <c r="X3" s="840"/>
      <c r="Y3" s="840"/>
      <c r="Z3" s="840"/>
      <c r="AA3" s="839">
        <v>2019</v>
      </c>
      <c r="AB3" s="840"/>
      <c r="AC3" s="840"/>
      <c r="AD3" s="840"/>
      <c r="AE3" s="840"/>
      <c r="AF3" s="839">
        <v>2020</v>
      </c>
      <c r="AG3" s="840"/>
      <c r="AH3" s="840"/>
      <c r="AI3" s="840"/>
      <c r="AJ3" s="840"/>
      <c r="AK3" s="207"/>
    </row>
    <row r="4" spans="1:38" s="164" customFormat="1" ht="72" customHeight="1">
      <c r="A4" s="837"/>
      <c r="B4" s="165" t="s">
        <v>168</v>
      </c>
      <c r="C4" s="166" t="s">
        <v>169</v>
      </c>
      <c r="D4" s="166" t="s">
        <v>163</v>
      </c>
      <c r="E4" s="166" t="s">
        <v>170</v>
      </c>
      <c r="F4" s="166" t="s">
        <v>171</v>
      </c>
      <c r="G4" s="165" t="s">
        <v>168</v>
      </c>
      <c r="H4" s="166" t="s">
        <v>169</v>
      </c>
      <c r="I4" s="166" t="s">
        <v>163</v>
      </c>
      <c r="J4" s="166" t="s">
        <v>170</v>
      </c>
      <c r="K4" s="166" t="s">
        <v>171</v>
      </c>
      <c r="L4" s="165" t="s">
        <v>168</v>
      </c>
      <c r="M4" s="166" t="s">
        <v>169</v>
      </c>
      <c r="N4" s="166" t="s">
        <v>163</v>
      </c>
      <c r="O4" s="166" t="s">
        <v>170</v>
      </c>
      <c r="P4" s="166" t="s">
        <v>171</v>
      </c>
      <c r="Q4" s="165" t="s">
        <v>168</v>
      </c>
      <c r="R4" s="166" t="s">
        <v>169</v>
      </c>
      <c r="S4" s="166" t="s">
        <v>163</v>
      </c>
      <c r="T4" s="166" t="s">
        <v>170</v>
      </c>
      <c r="U4" s="166" t="s">
        <v>171</v>
      </c>
      <c r="V4" s="165" t="s">
        <v>168</v>
      </c>
      <c r="W4" s="166" t="s">
        <v>169</v>
      </c>
      <c r="X4" s="166" t="s">
        <v>163</v>
      </c>
      <c r="Y4" s="166" t="s">
        <v>170</v>
      </c>
      <c r="Z4" s="574" t="s">
        <v>171</v>
      </c>
      <c r="AA4" s="165" t="s">
        <v>168</v>
      </c>
      <c r="AB4" s="166" t="s">
        <v>169</v>
      </c>
      <c r="AC4" s="166" t="s">
        <v>163</v>
      </c>
      <c r="AD4" s="166" t="s">
        <v>170</v>
      </c>
      <c r="AE4" s="574" t="s">
        <v>171</v>
      </c>
      <c r="AF4" s="165" t="s">
        <v>168</v>
      </c>
      <c r="AG4" s="166" t="s">
        <v>169</v>
      </c>
      <c r="AH4" s="166" t="s">
        <v>163</v>
      </c>
      <c r="AI4" s="166" t="s">
        <v>170</v>
      </c>
      <c r="AJ4" s="574" t="s">
        <v>171</v>
      </c>
      <c r="AK4" s="207"/>
    </row>
    <row r="5" spans="1:38" s="164" customFormat="1" ht="46.5" customHeight="1">
      <c r="A5" s="838"/>
      <c r="B5" s="726" t="s">
        <v>179</v>
      </c>
      <c r="C5" s="725" t="s">
        <v>174</v>
      </c>
      <c r="D5" s="725" t="s">
        <v>175</v>
      </c>
      <c r="E5" s="725" t="s">
        <v>176</v>
      </c>
      <c r="F5" s="725" t="s">
        <v>177</v>
      </c>
      <c r="G5" s="726" t="s">
        <v>179</v>
      </c>
      <c r="H5" s="725" t="s">
        <v>174</v>
      </c>
      <c r="I5" s="725" t="s">
        <v>175</v>
      </c>
      <c r="J5" s="725" t="s">
        <v>176</v>
      </c>
      <c r="K5" s="725" t="s">
        <v>177</v>
      </c>
      <c r="L5" s="726" t="s">
        <v>179</v>
      </c>
      <c r="M5" s="725" t="s">
        <v>174</v>
      </c>
      <c r="N5" s="725" t="s">
        <v>175</v>
      </c>
      <c r="O5" s="725" t="s">
        <v>176</v>
      </c>
      <c r="P5" s="725" t="s">
        <v>177</v>
      </c>
      <c r="Q5" s="726" t="s">
        <v>179</v>
      </c>
      <c r="R5" s="725" t="s">
        <v>174</v>
      </c>
      <c r="S5" s="725" t="s">
        <v>175</v>
      </c>
      <c r="T5" s="725" t="s">
        <v>176</v>
      </c>
      <c r="U5" s="725" t="s">
        <v>177</v>
      </c>
      <c r="V5" s="726" t="s">
        <v>179</v>
      </c>
      <c r="W5" s="725" t="s">
        <v>174</v>
      </c>
      <c r="X5" s="725" t="s">
        <v>175</v>
      </c>
      <c r="Y5" s="725" t="s">
        <v>176</v>
      </c>
      <c r="Z5" s="208" t="s">
        <v>177</v>
      </c>
      <c r="AA5" s="573" t="s">
        <v>179</v>
      </c>
      <c r="AB5" s="208" t="s">
        <v>174</v>
      </c>
      <c r="AC5" s="208" t="s">
        <v>175</v>
      </c>
      <c r="AD5" s="208" t="s">
        <v>176</v>
      </c>
      <c r="AE5" s="208" t="s">
        <v>177</v>
      </c>
      <c r="AF5" s="573" t="s">
        <v>179</v>
      </c>
      <c r="AG5" s="208" t="s">
        <v>174</v>
      </c>
      <c r="AH5" s="208" t="s">
        <v>175</v>
      </c>
      <c r="AI5" s="208" t="s">
        <v>176</v>
      </c>
      <c r="AJ5" s="208" t="s">
        <v>177</v>
      </c>
      <c r="AK5" s="207"/>
    </row>
    <row r="6" spans="1:38" s="164" customFormat="1" ht="15.75" customHeight="1">
      <c r="A6" s="167" t="s">
        <v>180</v>
      </c>
      <c r="B6" s="168">
        <f>AVERAGE(B7:B18)</f>
        <v>1592.9166666666667</v>
      </c>
      <c r="C6" s="169">
        <f>AVERAGE(C7:C18)</f>
        <v>1435.25</v>
      </c>
      <c r="D6" s="170">
        <f>AVERAGE(D7:D18)</f>
        <v>90.115031703687194</v>
      </c>
      <c r="E6" s="170">
        <f>AVERAGE(E7:E18)</f>
        <v>42.621855635268837</v>
      </c>
      <c r="F6" s="169">
        <f>SUM(F7:F18)</f>
        <v>223717</v>
      </c>
      <c r="G6" s="168">
        <f>AVERAGE(G7:G18)</f>
        <v>1682</v>
      </c>
      <c r="H6" s="169">
        <f>AVERAGE(H7:H18)</f>
        <v>1456.1666666666667</v>
      </c>
      <c r="I6" s="170">
        <f>AVERAGE(I7:I18)</f>
        <v>86.595552242569013</v>
      </c>
      <c r="J6" s="170">
        <f>AVERAGE(J7:J18)</f>
        <v>38.453285628742037</v>
      </c>
      <c r="K6" s="171">
        <f>SUM(K7:K18)</f>
        <v>204439</v>
      </c>
      <c r="L6" s="168">
        <f>AVERAGE(L7:L18)</f>
        <v>1713</v>
      </c>
      <c r="M6" s="169">
        <f>AVERAGE(M7:M18)</f>
        <v>1465.5</v>
      </c>
      <c r="N6" s="170">
        <f>AVERAGE(N7:N18)</f>
        <v>85.551663747810878</v>
      </c>
      <c r="O6" s="170">
        <f>AVERAGE(O7:O18)</f>
        <v>40.343422717733894</v>
      </c>
      <c r="P6" s="171">
        <f>SUM(P7:P18)</f>
        <v>216842</v>
      </c>
      <c r="Q6" s="168">
        <f>AVERAGE(Q7:Q18)</f>
        <v>1582.1666666666667</v>
      </c>
      <c r="R6" s="169">
        <f>AVERAGE(R7:R18)</f>
        <v>1496.8333333333333</v>
      </c>
      <c r="S6" s="170">
        <f>AVERAGE(S7:S18)</f>
        <v>94.6495154766897</v>
      </c>
      <c r="T6" s="170">
        <f>AVERAGE(T7:T18)</f>
        <v>44.192331264448093</v>
      </c>
      <c r="U6" s="171">
        <f>SUM(U7:U18)</f>
        <v>241843.6231966608</v>
      </c>
      <c r="V6" s="168">
        <f>AVERAGE(V7:V18)</f>
        <v>1758.8333333333333</v>
      </c>
      <c r="W6" s="169">
        <f>AVERAGE(W7:W18)</f>
        <v>1758.8333333333333</v>
      </c>
      <c r="X6" s="170">
        <f>AVERAGE(X7:X18)</f>
        <v>100</v>
      </c>
      <c r="Y6" s="170">
        <f>AVERAGE(Y7:Y18)</f>
        <v>40.364547642626832</v>
      </c>
      <c r="Z6" s="171">
        <f>SUM(Z7:Z18)</f>
        <v>255389.18203142448</v>
      </c>
      <c r="AA6" s="168">
        <f>AVERAGE(AA7:AA18)</f>
        <v>1755.6666666666667</v>
      </c>
      <c r="AB6" s="169">
        <f>AVERAGE(AB7:AB18)</f>
        <v>1723</v>
      </c>
      <c r="AC6" s="170">
        <f>AVERAGE(AC7:AC18)</f>
        <v>98.002770303257364</v>
      </c>
      <c r="AD6" s="170">
        <f>AVERAGE(AD7:AD18)</f>
        <v>45.412556932056837</v>
      </c>
      <c r="AE6" s="171">
        <f>SUM(AE7:AE18)</f>
        <v>285763.87485801958</v>
      </c>
      <c r="AF6" s="168">
        <f>AVERAGE(AF7:AF18)</f>
        <v>1698</v>
      </c>
      <c r="AG6" s="169">
        <f>AVERAGE(AG7:AG18)</f>
        <v>1032.5</v>
      </c>
      <c r="AH6" s="170">
        <f>AVERAGE(AH7:AH18)</f>
        <v>60.80683156654888</v>
      </c>
      <c r="AI6" s="170">
        <f>AVERAGE(AI7:AI18)</f>
        <v>17.074461530906429</v>
      </c>
      <c r="AJ6" s="171">
        <f>SUM(AJ7:AJ18)</f>
        <v>100047.94144871892</v>
      </c>
      <c r="AK6" s="207"/>
    </row>
    <row r="7" spans="1:38" s="164" customFormat="1" ht="16.5" customHeight="1">
      <c r="A7" s="172" t="s">
        <v>181</v>
      </c>
      <c r="B7" s="173">
        <v>1626</v>
      </c>
      <c r="C7" s="116">
        <v>1596</v>
      </c>
      <c r="D7" s="174">
        <f t="shared" ref="D7:D18" si="0">C7/B7*100</f>
        <v>98.154981549815503</v>
      </c>
      <c r="E7" s="174">
        <v>48.085940658096852</v>
      </c>
      <c r="F7" s="116">
        <v>23791</v>
      </c>
      <c r="G7" s="173">
        <v>1744</v>
      </c>
      <c r="H7" s="116">
        <v>1508</v>
      </c>
      <c r="I7" s="174">
        <f t="shared" ref="I7:I18" si="1">H7/G7*100</f>
        <v>86.467889908256879</v>
      </c>
      <c r="J7" s="174">
        <v>43.685291349362544</v>
      </c>
      <c r="K7" s="151">
        <v>20422</v>
      </c>
      <c r="L7" s="173">
        <v>1713</v>
      </c>
      <c r="M7" s="116">
        <v>1444</v>
      </c>
      <c r="N7" s="174">
        <f>M7/L7*100</f>
        <v>84.296555750145941</v>
      </c>
      <c r="O7" s="174">
        <v>41.756768832097215</v>
      </c>
      <c r="P7" s="151">
        <v>18692</v>
      </c>
      <c r="Q7" s="173">
        <v>1610</v>
      </c>
      <c r="R7" s="116">
        <v>1515</v>
      </c>
      <c r="S7" s="174">
        <f>R7/Q7*100</f>
        <v>94.099378881987576</v>
      </c>
      <c r="T7" s="174">
        <v>56.421268848326413</v>
      </c>
      <c r="U7" s="151">
        <v>26498.248914616499</v>
      </c>
      <c r="V7" s="173">
        <v>1456</v>
      </c>
      <c r="W7" s="116">
        <v>1456</v>
      </c>
      <c r="X7" s="174">
        <f>W7/V7*100</f>
        <v>100</v>
      </c>
      <c r="Y7" s="174">
        <v>54.253810705423597</v>
      </c>
      <c r="Z7" s="151">
        <v>24488</v>
      </c>
      <c r="AA7" s="173">
        <v>1862</v>
      </c>
      <c r="AB7" s="116">
        <v>1862</v>
      </c>
      <c r="AC7" s="174">
        <v>100</v>
      </c>
      <c r="AD7" s="174">
        <v>49.439315216985015</v>
      </c>
      <c r="AE7" s="151">
        <v>28537.361529548089</v>
      </c>
      <c r="AF7" s="173">
        <v>1698</v>
      </c>
      <c r="AG7" s="116">
        <v>1698</v>
      </c>
      <c r="AH7" s="174">
        <v>100</v>
      </c>
      <c r="AI7" s="174">
        <v>59.607833391321627</v>
      </c>
      <c r="AJ7" s="151">
        <v>31376.371340523881</v>
      </c>
      <c r="AK7" s="207"/>
      <c r="AL7" s="522"/>
    </row>
    <row r="8" spans="1:38" s="164" customFormat="1" ht="16.5" customHeight="1">
      <c r="A8" s="172" t="s">
        <v>182</v>
      </c>
      <c r="B8" s="173">
        <v>1626</v>
      </c>
      <c r="C8" s="116">
        <v>1596</v>
      </c>
      <c r="D8" s="174">
        <f t="shared" si="0"/>
        <v>98.154981549815503</v>
      </c>
      <c r="E8" s="174">
        <v>50.147690655209452</v>
      </c>
      <c r="F8" s="116">
        <v>22410</v>
      </c>
      <c r="G8" s="173">
        <v>1744</v>
      </c>
      <c r="H8" s="116">
        <v>1508</v>
      </c>
      <c r="I8" s="174">
        <f t="shared" si="1"/>
        <v>86.467889908256879</v>
      </c>
      <c r="J8" s="174">
        <v>54.109037514209938</v>
      </c>
      <c r="K8" s="151">
        <v>22847</v>
      </c>
      <c r="L8" s="173">
        <v>1713</v>
      </c>
      <c r="M8" s="116">
        <v>1456</v>
      </c>
      <c r="N8" s="174">
        <f t="shared" ref="N8:N18" si="2">M8/L8*100</f>
        <v>84.997081144191483</v>
      </c>
      <c r="O8" s="174">
        <v>46.999336870026518</v>
      </c>
      <c r="P8" s="151">
        <v>19845</v>
      </c>
      <c r="Q8" s="173">
        <v>1610</v>
      </c>
      <c r="R8" s="116">
        <v>1515</v>
      </c>
      <c r="S8" s="174">
        <f t="shared" ref="S8:S18" si="3">R8/Q8*100</f>
        <v>94.099378881987576</v>
      </c>
      <c r="T8" s="174">
        <v>54.846575899207487</v>
      </c>
      <c r="U8" s="151">
        <v>23265.917496443813</v>
      </c>
      <c r="V8" s="173">
        <v>1456</v>
      </c>
      <c r="W8" s="116">
        <v>1456</v>
      </c>
      <c r="X8" s="174">
        <f t="shared" ref="X8:X18" si="4">W8/V8*100</f>
        <v>100</v>
      </c>
      <c r="Y8" s="174">
        <v>54.363716640502361</v>
      </c>
      <c r="Z8" s="151">
        <v>22163</v>
      </c>
      <c r="AA8" s="173">
        <v>1862</v>
      </c>
      <c r="AB8" s="116">
        <v>1862</v>
      </c>
      <c r="AC8" s="174">
        <v>100</v>
      </c>
      <c r="AD8" s="174">
        <v>64.336016096579471</v>
      </c>
      <c r="AE8" s="151">
        <v>33542.225352112677</v>
      </c>
      <c r="AF8" s="173">
        <v>1698</v>
      </c>
      <c r="AG8" s="116">
        <v>1698</v>
      </c>
      <c r="AH8" s="174">
        <v>100</v>
      </c>
      <c r="AI8" s="174">
        <v>56.992503748125941</v>
      </c>
      <c r="AJ8" s="151">
        <v>28064.248695652175</v>
      </c>
      <c r="AK8" s="207"/>
      <c r="AL8" s="522"/>
    </row>
    <row r="9" spans="1:38" s="164" customFormat="1" ht="16.5" customHeight="1">
      <c r="A9" s="172" t="s">
        <v>183</v>
      </c>
      <c r="B9" s="173">
        <v>1626</v>
      </c>
      <c r="C9" s="116">
        <v>1596</v>
      </c>
      <c r="D9" s="174">
        <f t="shared" si="0"/>
        <v>98.154981549815503</v>
      </c>
      <c r="E9" s="174">
        <v>43.813161937100816</v>
      </c>
      <c r="F9" s="116">
        <v>21677</v>
      </c>
      <c r="G9" s="173">
        <v>1744</v>
      </c>
      <c r="H9" s="116">
        <v>1508</v>
      </c>
      <c r="I9" s="174">
        <f t="shared" si="1"/>
        <v>86.467889908256879</v>
      </c>
      <c r="J9" s="174">
        <v>43.871395567724818</v>
      </c>
      <c r="K9" s="151">
        <v>20509</v>
      </c>
      <c r="L9" s="173">
        <v>1713</v>
      </c>
      <c r="M9" s="116">
        <v>1428</v>
      </c>
      <c r="N9" s="174">
        <f t="shared" si="2"/>
        <v>83.362521891418567</v>
      </c>
      <c r="O9" s="174">
        <v>44.646245595012203</v>
      </c>
      <c r="P9" s="151">
        <v>19764</v>
      </c>
      <c r="Q9" s="173">
        <v>1610</v>
      </c>
      <c r="R9" s="116">
        <v>1515</v>
      </c>
      <c r="S9" s="174">
        <f t="shared" si="3"/>
        <v>94.099378881987576</v>
      </c>
      <c r="T9" s="174">
        <v>49.994578476551908</v>
      </c>
      <c r="U9" s="151">
        <v>23479.953781512606</v>
      </c>
      <c r="V9" s="173">
        <v>1456</v>
      </c>
      <c r="W9" s="116">
        <v>1456</v>
      </c>
      <c r="X9" s="174">
        <f t="shared" si="4"/>
        <v>100</v>
      </c>
      <c r="Y9" s="174">
        <v>41.521180432470757</v>
      </c>
      <c r="Z9" s="151">
        <v>18741</v>
      </c>
      <c r="AA9" s="173">
        <v>1870</v>
      </c>
      <c r="AB9" s="116">
        <v>1870</v>
      </c>
      <c r="AC9" s="174">
        <v>100</v>
      </c>
      <c r="AD9" s="174">
        <v>51.884117526196839</v>
      </c>
      <c r="AE9" s="151">
        <v>30077.222929936306</v>
      </c>
      <c r="AF9" s="173">
        <v>1698</v>
      </c>
      <c r="AG9" s="116">
        <v>1698</v>
      </c>
      <c r="AH9" s="174">
        <v>100</v>
      </c>
      <c r="AI9" s="174">
        <v>26.706872370266478</v>
      </c>
      <c r="AJ9" s="151">
        <v>14057.96347826087</v>
      </c>
      <c r="AK9" s="207"/>
      <c r="AL9" s="522"/>
    </row>
    <row r="10" spans="1:38" s="164" customFormat="1" ht="16.5" customHeight="1">
      <c r="A10" s="172" t="s">
        <v>184</v>
      </c>
      <c r="B10" s="173">
        <v>1626</v>
      </c>
      <c r="C10" s="116">
        <v>1380</v>
      </c>
      <c r="D10" s="174">
        <f t="shared" si="0"/>
        <v>84.870848708487088</v>
      </c>
      <c r="E10" s="174">
        <v>46.760869565217398</v>
      </c>
      <c r="F10" s="116">
        <v>19359</v>
      </c>
      <c r="G10" s="173">
        <v>1708</v>
      </c>
      <c r="H10" s="116">
        <v>1419</v>
      </c>
      <c r="I10" s="174">
        <f t="shared" si="1"/>
        <v>83.079625292740047</v>
      </c>
      <c r="J10" s="174">
        <v>37.2609819121447</v>
      </c>
      <c r="K10" s="151">
        <v>15862</v>
      </c>
      <c r="L10" s="173">
        <v>1713</v>
      </c>
      <c r="M10" s="116">
        <v>1428</v>
      </c>
      <c r="N10" s="174">
        <f t="shared" si="2"/>
        <v>83.362521891418567</v>
      </c>
      <c r="O10" s="174">
        <v>39.44677871148459</v>
      </c>
      <c r="P10" s="151">
        <v>16899</v>
      </c>
      <c r="Q10" s="173">
        <v>1610</v>
      </c>
      <c r="R10" s="116">
        <v>1515</v>
      </c>
      <c r="S10" s="174">
        <f t="shared" si="3"/>
        <v>94.099378881987576</v>
      </c>
      <c r="T10" s="174">
        <v>49.107327141382868</v>
      </c>
      <c r="U10" s="151">
        <v>22319.280185758515</v>
      </c>
      <c r="V10" s="173">
        <v>1860</v>
      </c>
      <c r="W10" s="116">
        <v>1860</v>
      </c>
      <c r="X10" s="174">
        <f t="shared" si="4"/>
        <v>100</v>
      </c>
      <c r="Y10" s="174">
        <v>38.914529914529908</v>
      </c>
      <c r="Z10" s="151">
        <v>21714.307692307691</v>
      </c>
      <c r="AA10" s="173">
        <v>1870</v>
      </c>
      <c r="AB10" s="116">
        <v>1870</v>
      </c>
      <c r="AC10" s="174">
        <v>100</v>
      </c>
      <c r="AD10" s="174">
        <v>51.594017094017083</v>
      </c>
      <c r="AE10" s="151">
        <v>28944.24358974359</v>
      </c>
      <c r="AF10" s="173">
        <v>1698</v>
      </c>
      <c r="AG10" s="116">
        <v>336</v>
      </c>
      <c r="AH10" s="174">
        <v>19.78798586572438</v>
      </c>
      <c r="AI10" s="174">
        <v>0.54563492063492058</v>
      </c>
      <c r="AJ10" s="151">
        <v>55</v>
      </c>
      <c r="AK10" s="207"/>
      <c r="AL10" s="522"/>
    </row>
    <row r="11" spans="1:38" s="164" customFormat="1" ht="16.5" customHeight="1">
      <c r="A11" s="172" t="s">
        <v>185</v>
      </c>
      <c r="B11" s="173">
        <v>1542</v>
      </c>
      <c r="C11" s="116">
        <v>1380</v>
      </c>
      <c r="D11" s="174">
        <f t="shared" si="0"/>
        <v>89.494163424124523</v>
      </c>
      <c r="E11" s="174">
        <v>38.003740065451147</v>
      </c>
      <c r="F11" s="116">
        <v>16258</v>
      </c>
      <c r="G11" s="173">
        <v>1708</v>
      </c>
      <c r="H11" s="116">
        <v>1423</v>
      </c>
      <c r="I11" s="174">
        <f t="shared" si="1"/>
        <v>83.313817330210767</v>
      </c>
      <c r="J11" s="174">
        <v>31.888558928207107</v>
      </c>
      <c r="K11" s="151">
        <v>14067</v>
      </c>
      <c r="L11" s="173">
        <v>1713</v>
      </c>
      <c r="M11" s="116">
        <v>1428</v>
      </c>
      <c r="N11" s="174">
        <f t="shared" si="2"/>
        <v>83.362521891418567</v>
      </c>
      <c r="O11" s="174">
        <v>36.439414475467608</v>
      </c>
      <c r="P11" s="151">
        <v>16131</v>
      </c>
      <c r="Q11" s="173">
        <v>1610</v>
      </c>
      <c r="R11" s="116">
        <v>1487</v>
      </c>
      <c r="S11" s="174">
        <f t="shared" si="3"/>
        <v>92.360248447204967</v>
      </c>
      <c r="T11" s="174">
        <v>38.580551251349952</v>
      </c>
      <c r="U11" s="151">
        <v>17784.476710334788</v>
      </c>
      <c r="V11" s="173">
        <v>1860</v>
      </c>
      <c r="W11" s="116">
        <v>1860</v>
      </c>
      <c r="X11" s="174">
        <f t="shared" si="4"/>
        <v>100</v>
      </c>
      <c r="Y11" s="174">
        <v>31.031844499586438</v>
      </c>
      <c r="Z11" s="151">
        <v>17892.961538461539</v>
      </c>
      <c r="AA11" s="173">
        <v>1870</v>
      </c>
      <c r="AB11" s="116">
        <v>1870</v>
      </c>
      <c r="AC11" s="174">
        <v>100</v>
      </c>
      <c r="AD11" s="174">
        <v>35.241935483870968</v>
      </c>
      <c r="AE11" s="151">
        <v>20429.75</v>
      </c>
      <c r="AF11" s="173">
        <v>1698</v>
      </c>
      <c r="AG11" s="116">
        <v>0</v>
      </c>
      <c r="AH11" s="174">
        <v>0</v>
      </c>
      <c r="AI11" s="174">
        <v>0</v>
      </c>
      <c r="AJ11" s="151">
        <v>0</v>
      </c>
      <c r="AK11" s="207"/>
      <c r="AL11" s="522"/>
    </row>
    <row r="12" spans="1:38" s="164" customFormat="1" ht="16.5" customHeight="1">
      <c r="A12" s="172" t="s">
        <v>186</v>
      </c>
      <c r="B12" s="173">
        <v>1542</v>
      </c>
      <c r="C12" s="116">
        <v>1380</v>
      </c>
      <c r="D12" s="174">
        <f t="shared" si="0"/>
        <v>89.494163424124523</v>
      </c>
      <c r="E12" s="174">
        <v>36.792270531400966</v>
      </c>
      <c r="F12" s="116">
        <v>15232</v>
      </c>
      <c r="G12" s="173">
        <v>1648</v>
      </c>
      <c r="H12" s="116">
        <v>1444</v>
      </c>
      <c r="I12" s="174">
        <f t="shared" si="1"/>
        <v>87.621359223300971</v>
      </c>
      <c r="J12" s="174">
        <v>28.732686980609419</v>
      </c>
      <c r="K12" s="151">
        <v>12447</v>
      </c>
      <c r="L12" s="173">
        <v>1713</v>
      </c>
      <c r="M12" s="116">
        <v>1348</v>
      </c>
      <c r="N12" s="174">
        <f t="shared" si="2"/>
        <v>78.692352597781664</v>
      </c>
      <c r="O12" s="174">
        <v>29.166666666666668</v>
      </c>
      <c r="P12" s="151">
        <v>11795</v>
      </c>
      <c r="Q12" s="173">
        <v>1556</v>
      </c>
      <c r="R12" s="116">
        <v>1489</v>
      </c>
      <c r="S12" s="174">
        <f t="shared" si="3"/>
        <v>95.694087403598971</v>
      </c>
      <c r="T12" s="174">
        <v>19.860321969696969</v>
      </c>
      <c r="U12" s="151">
        <v>8871.605823863636</v>
      </c>
      <c r="V12" s="173">
        <v>1860</v>
      </c>
      <c r="W12" s="116">
        <v>1860</v>
      </c>
      <c r="X12" s="174">
        <f t="shared" si="4"/>
        <v>100</v>
      </c>
      <c r="Y12" s="174">
        <v>25.785256410256409</v>
      </c>
      <c r="Z12" s="151">
        <v>14388.173076923076</v>
      </c>
      <c r="AA12" s="173">
        <v>1870</v>
      </c>
      <c r="AB12" s="116">
        <v>1870</v>
      </c>
      <c r="AC12" s="174">
        <v>100</v>
      </c>
      <c r="AD12" s="174">
        <v>33.220085470085472</v>
      </c>
      <c r="AE12" s="151">
        <v>18636.467948717949</v>
      </c>
      <c r="AF12" s="173">
        <v>1698</v>
      </c>
      <c r="AG12" s="116">
        <v>0</v>
      </c>
      <c r="AH12" s="174">
        <v>0</v>
      </c>
      <c r="AI12" s="174">
        <v>0</v>
      </c>
      <c r="AJ12" s="151">
        <v>0</v>
      </c>
      <c r="AK12" s="207"/>
      <c r="AL12" s="522"/>
    </row>
    <row r="13" spans="1:38" s="164" customFormat="1" ht="16.5" customHeight="1">
      <c r="A13" s="172" t="s">
        <v>187</v>
      </c>
      <c r="B13" s="173">
        <v>1542</v>
      </c>
      <c r="C13" s="116">
        <v>1380</v>
      </c>
      <c r="D13" s="174">
        <f t="shared" si="0"/>
        <v>89.494163424124523</v>
      </c>
      <c r="E13" s="174">
        <v>34.38288920056101</v>
      </c>
      <c r="F13" s="116">
        <v>14709</v>
      </c>
      <c r="G13" s="173">
        <v>1648</v>
      </c>
      <c r="H13" s="116">
        <v>1444</v>
      </c>
      <c r="I13" s="174">
        <f t="shared" si="1"/>
        <v>87.621359223300971</v>
      </c>
      <c r="J13" s="174">
        <v>30.846215709051915</v>
      </c>
      <c r="K13" s="151">
        <v>13808</v>
      </c>
      <c r="L13" s="173">
        <v>1713</v>
      </c>
      <c r="M13" s="116">
        <v>1509</v>
      </c>
      <c r="N13" s="174">
        <f t="shared" si="2"/>
        <v>88.091068301225917</v>
      </c>
      <c r="O13" s="174">
        <v>37.749845015925956</v>
      </c>
      <c r="P13" s="151">
        <v>17659</v>
      </c>
      <c r="Q13" s="173">
        <v>1588</v>
      </c>
      <c r="R13" s="116">
        <v>1544</v>
      </c>
      <c r="S13" s="174">
        <f t="shared" si="3"/>
        <v>97.229219143576827</v>
      </c>
      <c r="T13" s="174">
        <v>49.733544985543404</v>
      </c>
      <c r="U13" s="151">
        <v>23804.463971880494</v>
      </c>
      <c r="V13" s="173">
        <v>1860</v>
      </c>
      <c r="W13" s="116">
        <v>1860</v>
      </c>
      <c r="X13" s="174">
        <f t="shared" si="4"/>
        <v>100</v>
      </c>
      <c r="Y13" s="174">
        <v>32.903225806451609</v>
      </c>
      <c r="Z13" s="151">
        <v>18972</v>
      </c>
      <c r="AA13" s="173">
        <v>1870</v>
      </c>
      <c r="AB13" s="116">
        <v>1772</v>
      </c>
      <c r="AC13" s="174">
        <v>94.759358288770059</v>
      </c>
      <c r="AD13" s="174">
        <v>42.83064516129032</v>
      </c>
      <c r="AE13" s="151">
        <v>23527.73</v>
      </c>
      <c r="AF13" s="173">
        <v>1698</v>
      </c>
      <c r="AG13" s="116">
        <v>252</v>
      </c>
      <c r="AH13" s="174">
        <v>14.840989399293287</v>
      </c>
      <c r="AI13" s="174">
        <v>0</v>
      </c>
      <c r="AJ13" s="151">
        <v>0</v>
      </c>
      <c r="AK13" s="207"/>
      <c r="AL13" s="522"/>
    </row>
    <row r="14" spans="1:38" s="164" customFormat="1" ht="16.5" customHeight="1">
      <c r="A14" s="172" t="s">
        <v>188</v>
      </c>
      <c r="B14" s="173">
        <v>1542</v>
      </c>
      <c r="C14" s="116">
        <v>1380</v>
      </c>
      <c r="D14" s="174">
        <f t="shared" si="0"/>
        <v>89.494163424124523</v>
      </c>
      <c r="E14" s="174">
        <v>45.261804581580179</v>
      </c>
      <c r="F14" s="116">
        <v>19363</v>
      </c>
      <c r="G14" s="173">
        <v>1648</v>
      </c>
      <c r="H14" s="116">
        <v>1444</v>
      </c>
      <c r="I14" s="174">
        <f t="shared" si="1"/>
        <v>87.621359223300971</v>
      </c>
      <c r="J14" s="174">
        <v>39.350817621302838</v>
      </c>
      <c r="K14" s="151">
        <v>17615</v>
      </c>
      <c r="L14" s="173">
        <v>1713</v>
      </c>
      <c r="M14" s="116">
        <v>1509</v>
      </c>
      <c r="N14" s="174">
        <f t="shared" si="2"/>
        <v>88.091068301225917</v>
      </c>
      <c r="O14" s="174">
        <v>41.890591932277303</v>
      </c>
      <c r="P14" s="151">
        <v>19596</v>
      </c>
      <c r="Q14" s="173">
        <v>1588</v>
      </c>
      <c r="R14" s="116">
        <v>1490</v>
      </c>
      <c r="S14" s="174">
        <f t="shared" si="3"/>
        <v>93.82871536523929</v>
      </c>
      <c r="T14" s="174">
        <v>47.019583551722498</v>
      </c>
      <c r="U14" s="151">
        <v>21718.345642540622</v>
      </c>
      <c r="V14" s="173">
        <v>1860</v>
      </c>
      <c r="W14" s="116">
        <v>1860</v>
      </c>
      <c r="X14" s="174">
        <f t="shared" si="4"/>
        <v>100</v>
      </c>
      <c r="Y14" s="174">
        <v>34.723992548289054</v>
      </c>
      <c r="Z14" s="151">
        <v>20021.854103343467</v>
      </c>
      <c r="AA14" s="173">
        <v>1570</v>
      </c>
      <c r="AB14" s="116">
        <v>1472</v>
      </c>
      <c r="AC14" s="174">
        <v>93.757961783439498</v>
      </c>
      <c r="AD14" s="174">
        <v>45.147849462365585</v>
      </c>
      <c r="AE14" s="151">
        <v>20601.866666666665</v>
      </c>
      <c r="AF14" s="173">
        <v>1698</v>
      </c>
      <c r="AG14" s="116">
        <v>956</v>
      </c>
      <c r="AH14" s="174">
        <v>56.301531213191993</v>
      </c>
      <c r="AI14" s="174">
        <v>5.6451612903225801</v>
      </c>
      <c r="AJ14" s="151">
        <v>1673</v>
      </c>
      <c r="AK14" s="207"/>
      <c r="AL14" s="522"/>
    </row>
    <row r="15" spans="1:38" s="164" customFormat="1" ht="16.5" customHeight="1">
      <c r="A15" s="172" t="s">
        <v>189</v>
      </c>
      <c r="B15" s="173">
        <v>1542</v>
      </c>
      <c r="C15" s="116">
        <v>1380</v>
      </c>
      <c r="D15" s="174">
        <f t="shared" si="0"/>
        <v>89.494163424124523</v>
      </c>
      <c r="E15" s="174">
        <v>43.434782608695656</v>
      </c>
      <c r="F15" s="116">
        <v>17982</v>
      </c>
      <c r="G15" s="173">
        <v>1648</v>
      </c>
      <c r="H15" s="116">
        <v>1444</v>
      </c>
      <c r="I15" s="174">
        <f t="shared" si="1"/>
        <v>87.621359223300971</v>
      </c>
      <c r="J15" s="174">
        <v>32.689289012003698</v>
      </c>
      <c r="K15" s="151">
        <v>14161</v>
      </c>
      <c r="L15" s="173">
        <v>1713</v>
      </c>
      <c r="M15" s="116">
        <v>1509</v>
      </c>
      <c r="N15" s="174">
        <f t="shared" si="2"/>
        <v>88.091068301225917</v>
      </c>
      <c r="O15" s="174">
        <v>38.146675502540312</v>
      </c>
      <c r="P15" s="151">
        <v>17269</v>
      </c>
      <c r="Q15" s="173">
        <v>1594</v>
      </c>
      <c r="R15" s="116">
        <v>1490</v>
      </c>
      <c r="S15" s="174">
        <f t="shared" si="3"/>
        <v>93.475533249686322</v>
      </c>
      <c r="T15" s="174">
        <v>36.073194856577643</v>
      </c>
      <c r="U15" s="151">
        <v>16124.718100890208</v>
      </c>
      <c r="V15" s="173">
        <v>1860</v>
      </c>
      <c r="W15" s="116">
        <v>1860</v>
      </c>
      <c r="X15" s="174">
        <f t="shared" si="4"/>
        <v>100</v>
      </c>
      <c r="Y15" s="174">
        <v>37.880716643092875</v>
      </c>
      <c r="Z15" s="151">
        <v>21137.439886845827</v>
      </c>
      <c r="AA15" s="173">
        <v>1570</v>
      </c>
      <c r="AB15" s="116">
        <v>1472</v>
      </c>
      <c r="AC15" s="174">
        <v>93.757961783439498</v>
      </c>
      <c r="AD15" s="174">
        <v>42.861111111111114</v>
      </c>
      <c r="AE15" s="151">
        <v>18927.466666666667</v>
      </c>
      <c r="AF15" s="173">
        <v>1698</v>
      </c>
      <c r="AG15" s="116">
        <v>1318</v>
      </c>
      <c r="AH15" s="174">
        <v>77.620730270906947</v>
      </c>
      <c r="AI15" s="174">
        <v>5.6497175141242941</v>
      </c>
      <c r="AJ15" s="151">
        <v>2233.898305084746</v>
      </c>
      <c r="AK15" s="207"/>
      <c r="AL15" s="522"/>
    </row>
    <row r="16" spans="1:38" s="164" customFormat="1" ht="16.5" customHeight="1">
      <c r="A16" s="172" t="s">
        <v>190</v>
      </c>
      <c r="B16" s="173">
        <v>1542</v>
      </c>
      <c r="C16" s="116">
        <v>1380</v>
      </c>
      <c r="D16" s="174">
        <f t="shared" si="0"/>
        <v>89.494163424124523</v>
      </c>
      <c r="E16" s="174">
        <v>41.206171107994393</v>
      </c>
      <c r="F16" s="116">
        <v>17628</v>
      </c>
      <c r="G16" s="173">
        <v>1648</v>
      </c>
      <c r="H16" s="116">
        <v>1444</v>
      </c>
      <c r="I16" s="174">
        <f t="shared" si="1"/>
        <v>87.621359223300971</v>
      </c>
      <c r="J16" s="174">
        <v>35.910553123045304</v>
      </c>
      <c r="K16" s="151">
        <v>16075</v>
      </c>
      <c r="L16" s="173">
        <v>1713</v>
      </c>
      <c r="M16" s="116">
        <v>1509</v>
      </c>
      <c r="N16" s="174">
        <f t="shared" si="2"/>
        <v>88.091068301225917</v>
      </c>
      <c r="O16" s="174">
        <v>40.069261848265249</v>
      </c>
      <c r="P16" s="151">
        <v>18744</v>
      </c>
      <c r="Q16" s="173">
        <v>1594</v>
      </c>
      <c r="R16" s="116">
        <v>1490</v>
      </c>
      <c r="S16" s="174">
        <f t="shared" si="3"/>
        <v>93.475533249686322</v>
      </c>
      <c r="T16" s="174">
        <v>42.442940868156484</v>
      </c>
      <c r="U16" s="151">
        <v>19604.394387001477</v>
      </c>
      <c r="V16" s="173">
        <v>1858</v>
      </c>
      <c r="W16" s="116">
        <v>1858</v>
      </c>
      <c r="X16" s="174">
        <f t="shared" si="4"/>
        <v>100</v>
      </c>
      <c r="Y16" s="174">
        <v>39.569071657227283</v>
      </c>
      <c r="Z16" s="151">
        <v>22790.993893129769</v>
      </c>
      <c r="AA16" s="173">
        <v>1570</v>
      </c>
      <c r="AB16" s="116">
        <v>1472</v>
      </c>
      <c r="AC16" s="174">
        <v>93.757961783439498</v>
      </c>
      <c r="AD16" s="174">
        <v>43.940860215053767</v>
      </c>
      <c r="AE16" s="151">
        <v>20051.093333333334</v>
      </c>
      <c r="AF16" s="173">
        <v>1698</v>
      </c>
      <c r="AG16" s="116">
        <v>1478</v>
      </c>
      <c r="AH16" s="174">
        <v>87.043580683156648</v>
      </c>
      <c r="AI16" s="174">
        <v>7.1919619249074573</v>
      </c>
      <c r="AJ16" s="151">
        <v>3295.2131147540986</v>
      </c>
      <c r="AK16" s="207"/>
      <c r="AL16" s="522"/>
    </row>
    <row r="17" spans="1:45" s="164" customFormat="1" ht="16.5" customHeight="1">
      <c r="A17" s="176" t="s">
        <v>191</v>
      </c>
      <c r="B17" s="173">
        <v>1655</v>
      </c>
      <c r="C17" s="116">
        <v>1282</v>
      </c>
      <c r="D17" s="174">
        <f t="shared" si="0"/>
        <v>77.462235649546827</v>
      </c>
      <c r="E17" s="174">
        <v>43.104524180967232</v>
      </c>
      <c r="F17" s="116">
        <v>16578</v>
      </c>
      <c r="G17" s="173">
        <v>1648</v>
      </c>
      <c r="H17" s="116">
        <v>1444</v>
      </c>
      <c r="I17" s="174">
        <f t="shared" si="1"/>
        <v>87.621359223300971</v>
      </c>
      <c r="J17" s="174">
        <v>39.506001846722064</v>
      </c>
      <c r="K17" s="151">
        <v>17114</v>
      </c>
      <c r="L17" s="173">
        <v>1713</v>
      </c>
      <c r="M17" s="116">
        <v>1509</v>
      </c>
      <c r="N17" s="174">
        <f t="shared" si="2"/>
        <v>88.091068301225917</v>
      </c>
      <c r="O17" s="174">
        <v>41.643472498343279</v>
      </c>
      <c r="P17" s="151">
        <v>18852</v>
      </c>
      <c r="Q17" s="173">
        <v>1560</v>
      </c>
      <c r="R17" s="116">
        <v>1456</v>
      </c>
      <c r="S17" s="174">
        <f t="shared" si="3"/>
        <v>93.333333333333329</v>
      </c>
      <c r="T17" s="174">
        <v>37.616161616161619</v>
      </c>
      <c r="U17" s="151">
        <v>16430.739393939395</v>
      </c>
      <c r="V17" s="173">
        <v>1858</v>
      </c>
      <c r="W17" s="116">
        <v>1858</v>
      </c>
      <c r="X17" s="174">
        <f t="shared" si="4"/>
        <v>100</v>
      </c>
      <c r="Y17" s="174">
        <v>42.815934065934066</v>
      </c>
      <c r="Z17" s="151">
        <v>23865.601648351647</v>
      </c>
      <c r="AA17" s="173">
        <v>1642</v>
      </c>
      <c r="AB17" s="116">
        <v>1642</v>
      </c>
      <c r="AC17" s="174">
        <v>100</v>
      </c>
      <c r="AD17" s="174">
        <v>30.493300852618759</v>
      </c>
      <c r="AE17" s="151">
        <v>15021</v>
      </c>
      <c r="AF17" s="173">
        <v>1698</v>
      </c>
      <c r="AG17" s="116">
        <v>1478</v>
      </c>
      <c r="AH17" s="174">
        <v>87.043580683156648</v>
      </c>
      <c r="AI17" s="174">
        <v>13.87536873156342</v>
      </c>
      <c r="AJ17" s="151">
        <v>6152.3384955752208</v>
      </c>
      <c r="AK17" s="207"/>
      <c r="AL17" s="522"/>
    </row>
    <row r="18" spans="1:45" s="164" customFormat="1" ht="16.5" customHeight="1">
      <c r="A18" s="177" t="s">
        <v>192</v>
      </c>
      <c r="B18" s="178">
        <v>1704</v>
      </c>
      <c r="C18" s="179">
        <v>1493</v>
      </c>
      <c r="D18" s="180">
        <f t="shared" si="0"/>
        <v>87.617370892018769</v>
      </c>
      <c r="E18" s="180">
        <v>40.468422530950896</v>
      </c>
      <c r="F18" s="179">
        <v>18730</v>
      </c>
      <c r="G18" s="178">
        <v>1648</v>
      </c>
      <c r="H18" s="179">
        <v>1444</v>
      </c>
      <c r="I18" s="180">
        <f t="shared" si="1"/>
        <v>87.621359223300971</v>
      </c>
      <c r="J18" s="180">
        <v>43.588597980520063</v>
      </c>
      <c r="K18" s="148">
        <v>19512</v>
      </c>
      <c r="L18" s="178">
        <v>1713</v>
      </c>
      <c r="M18" s="179">
        <v>1509</v>
      </c>
      <c r="N18" s="180">
        <f t="shared" si="2"/>
        <v>88.091068301225917</v>
      </c>
      <c r="O18" s="180">
        <v>46.166014664699972</v>
      </c>
      <c r="P18" s="148">
        <v>21596</v>
      </c>
      <c r="Q18" s="178">
        <v>1456</v>
      </c>
      <c r="R18" s="179">
        <v>1456</v>
      </c>
      <c r="S18" s="180">
        <f t="shared" si="3"/>
        <v>100</v>
      </c>
      <c r="T18" s="180">
        <v>48.6119257086999</v>
      </c>
      <c r="U18" s="148">
        <v>21941.478787878787</v>
      </c>
      <c r="V18" s="178">
        <v>1862</v>
      </c>
      <c r="W18" s="179">
        <v>1862</v>
      </c>
      <c r="X18" s="180">
        <f t="shared" si="4"/>
        <v>100</v>
      </c>
      <c r="Y18" s="180">
        <v>50.611292387757622</v>
      </c>
      <c r="Z18" s="148">
        <v>29213.850192061458</v>
      </c>
      <c r="AA18" s="178">
        <v>1642</v>
      </c>
      <c r="AB18" s="179">
        <v>1642</v>
      </c>
      <c r="AC18" s="180">
        <v>100</v>
      </c>
      <c r="AD18" s="180">
        <v>53.961429494507684</v>
      </c>
      <c r="AE18" s="148">
        <v>27467.446841294299</v>
      </c>
      <c r="AF18" s="178">
        <v>1698</v>
      </c>
      <c r="AG18" s="179">
        <v>1478</v>
      </c>
      <c r="AH18" s="180">
        <v>87.043580683156648</v>
      </c>
      <c r="AI18" s="180">
        <v>28.678484479610468</v>
      </c>
      <c r="AJ18" s="148">
        <v>13139.908018867925</v>
      </c>
      <c r="AK18" s="207"/>
      <c r="AL18" s="522"/>
    </row>
    <row r="19" spans="1:45" ht="19.5" customHeight="1">
      <c r="A19" s="54" t="s">
        <v>142</v>
      </c>
      <c r="B19" s="181"/>
      <c r="C19" s="181"/>
      <c r="D19" s="182"/>
      <c r="G19" s="181"/>
      <c r="H19" s="181"/>
      <c r="I19" s="182"/>
      <c r="L19" s="181"/>
      <c r="M19" s="181"/>
      <c r="N19" s="182"/>
      <c r="Q19" s="181"/>
      <c r="R19" s="181"/>
      <c r="S19" s="182"/>
      <c r="U19" s="57"/>
      <c r="V19" s="181"/>
      <c r="W19" s="181"/>
      <c r="X19" s="182"/>
      <c r="Z19" s="57"/>
      <c r="AA19" s="181"/>
      <c r="AB19" s="181"/>
      <c r="AC19" s="182"/>
      <c r="AE19" s="555"/>
      <c r="AF19" s="181"/>
      <c r="AG19" s="181"/>
      <c r="AH19" s="182"/>
      <c r="AJ19" s="555" t="s">
        <v>193</v>
      </c>
      <c r="AK19" s="207"/>
      <c r="AN19" s="164"/>
      <c r="AO19" s="164"/>
      <c r="AP19" s="164"/>
      <c r="AQ19" s="164"/>
      <c r="AR19" s="164"/>
    </row>
    <row r="20" spans="1:45" ht="12.75" customHeight="1">
      <c r="A20" s="735" t="s">
        <v>1078</v>
      </c>
      <c r="B20" s="181"/>
      <c r="C20" s="181"/>
      <c r="D20" s="182"/>
      <c r="G20" s="181"/>
      <c r="H20" s="181"/>
      <c r="I20" s="182"/>
      <c r="L20" s="181"/>
      <c r="M20" s="181"/>
      <c r="N20" s="182"/>
      <c r="Q20" s="181"/>
      <c r="R20" s="181"/>
      <c r="S20" s="182"/>
      <c r="V20" s="197"/>
      <c r="W20" s="207"/>
      <c r="X20" s="207"/>
      <c r="Y20" s="207"/>
      <c r="Z20" s="207"/>
      <c r="AA20" s="197"/>
      <c r="AB20" s="207"/>
      <c r="AC20" s="207"/>
      <c r="AD20" s="207"/>
      <c r="AE20" s="207"/>
      <c r="AF20" s="197"/>
      <c r="AG20" s="207"/>
      <c r="AH20" s="207"/>
      <c r="AI20" s="207"/>
      <c r="AJ20" s="207"/>
      <c r="AK20" s="207"/>
      <c r="AN20" s="164"/>
      <c r="AO20" s="164"/>
      <c r="AP20" s="164"/>
      <c r="AQ20" s="164"/>
      <c r="AR20" s="164"/>
    </row>
    <row r="21" spans="1:45" ht="12.75" customHeight="1">
      <c r="A21" s="736" t="s">
        <v>1079</v>
      </c>
      <c r="B21" s="181"/>
      <c r="C21" s="181"/>
      <c r="G21" s="181"/>
      <c r="H21" s="181"/>
      <c r="L21" s="181"/>
      <c r="M21" s="181"/>
      <c r="Q21" s="181"/>
      <c r="R21" s="181"/>
      <c r="V21" s="197"/>
      <c r="W21" s="207"/>
      <c r="X21" s="207"/>
      <c r="Y21" s="207"/>
      <c r="Z21" s="207"/>
      <c r="AA21" s="197"/>
      <c r="AB21" s="207"/>
      <c r="AC21" s="207"/>
      <c r="AD21" s="207"/>
      <c r="AE21" s="207"/>
      <c r="AF21" s="197"/>
      <c r="AG21" s="207"/>
      <c r="AH21" s="207"/>
      <c r="AI21" s="207"/>
      <c r="AJ21" s="207"/>
      <c r="AK21" s="207"/>
      <c r="AP21" s="183" t="s">
        <v>179</v>
      </c>
      <c r="AQ21" s="183" t="s">
        <v>194</v>
      </c>
    </row>
    <row r="22" spans="1:45" ht="18.75" customHeight="1">
      <c r="A22" s="187"/>
      <c r="B22" s="181"/>
      <c r="C22" s="181"/>
      <c r="G22" s="181"/>
      <c r="H22" s="181"/>
      <c r="L22" s="181"/>
      <c r="M22" s="181"/>
      <c r="Q22" s="181"/>
      <c r="R22" s="181"/>
      <c r="V22" s="197"/>
      <c r="W22" s="207"/>
      <c r="X22" s="207"/>
      <c r="Y22" s="207"/>
      <c r="Z22" s="207"/>
      <c r="AA22" s="197"/>
      <c r="AB22" s="207"/>
      <c r="AC22" s="207"/>
      <c r="AD22" s="207"/>
      <c r="AE22" s="207"/>
      <c r="AF22" s="197"/>
      <c r="AG22" s="207"/>
      <c r="AH22" s="207"/>
      <c r="AI22" s="207"/>
      <c r="AJ22" s="207"/>
      <c r="AK22" s="207"/>
      <c r="AO22" s="185" t="s">
        <v>195</v>
      </c>
      <c r="AP22" s="173">
        <f t="shared" ref="AP22:AP33" si="5">AF7</f>
        <v>1698</v>
      </c>
      <c r="AQ22" s="173">
        <f t="shared" ref="AQ22:AQ33" si="6">AG7</f>
        <v>1698</v>
      </c>
    </row>
    <row r="23" spans="1:45" ht="18.75" customHeight="1">
      <c r="A23" s="187"/>
      <c r="B23" s="181"/>
      <c r="C23" s="181"/>
      <c r="G23" s="181"/>
      <c r="H23" s="181"/>
      <c r="L23" s="181"/>
      <c r="M23" s="181"/>
      <c r="Q23" s="181"/>
      <c r="R23" s="181"/>
      <c r="V23" s="197"/>
      <c r="W23" s="207"/>
      <c r="X23" s="207"/>
      <c r="Y23" s="207"/>
      <c r="Z23" s="207"/>
      <c r="AA23" s="197"/>
      <c r="AB23" s="207"/>
      <c r="AC23" s="207"/>
      <c r="AD23" s="207"/>
      <c r="AE23" s="207"/>
      <c r="AF23" s="197"/>
      <c r="AG23" s="207"/>
      <c r="AH23" s="207"/>
      <c r="AI23" s="207"/>
      <c r="AJ23" s="207"/>
      <c r="AK23" s="207"/>
      <c r="AO23" s="185" t="s">
        <v>196</v>
      </c>
      <c r="AP23" s="173">
        <f t="shared" si="5"/>
        <v>1698</v>
      </c>
      <c r="AQ23" s="173">
        <f t="shared" si="6"/>
        <v>1698</v>
      </c>
    </row>
    <row r="24" spans="1:45" ht="18.75" customHeight="1">
      <c r="A24" s="187"/>
      <c r="B24" s="181"/>
      <c r="C24" s="181"/>
      <c r="G24" s="181"/>
      <c r="H24" s="181"/>
      <c r="L24" s="181"/>
      <c r="M24" s="181"/>
      <c r="Q24" s="181"/>
      <c r="R24" s="181"/>
      <c r="V24" s="197"/>
      <c r="W24" s="207"/>
      <c r="X24" s="207"/>
      <c r="Y24" s="207"/>
      <c r="Z24" s="207"/>
      <c r="AA24" s="197"/>
      <c r="AB24" s="207"/>
      <c r="AC24" s="207"/>
      <c r="AD24" s="207"/>
      <c r="AE24" s="207"/>
      <c r="AF24" s="197"/>
      <c r="AG24" s="207"/>
      <c r="AH24" s="207"/>
      <c r="AI24" s="207"/>
      <c r="AJ24" s="207"/>
      <c r="AK24" s="207"/>
      <c r="AO24" s="185" t="s">
        <v>197</v>
      </c>
      <c r="AP24" s="173">
        <f t="shared" si="5"/>
        <v>1698</v>
      </c>
      <c r="AQ24" s="173">
        <f t="shared" si="6"/>
        <v>1698</v>
      </c>
    </row>
    <row r="25" spans="1:45" ht="18.75" customHeight="1">
      <c r="A25" s="187"/>
      <c r="B25" s="181"/>
      <c r="C25" s="181"/>
      <c r="G25" s="181"/>
      <c r="H25" s="181"/>
      <c r="L25" s="181"/>
      <c r="M25" s="181"/>
      <c r="Q25" s="181"/>
      <c r="R25" s="181"/>
      <c r="V25" s="197"/>
      <c r="W25" s="207"/>
      <c r="X25" s="207"/>
      <c r="Y25" s="207"/>
      <c r="Z25" s="207"/>
      <c r="AA25" s="197"/>
      <c r="AB25" s="207"/>
      <c r="AC25" s="207"/>
      <c r="AD25" s="207"/>
      <c r="AE25" s="207"/>
      <c r="AF25" s="197"/>
      <c r="AG25" s="207"/>
      <c r="AH25" s="207"/>
      <c r="AI25" s="207"/>
      <c r="AJ25" s="207"/>
      <c r="AK25" s="207"/>
      <c r="AO25" s="185" t="s">
        <v>198</v>
      </c>
      <c r="AP25" s="173">
        <f t="shared" si="5"/>
        <v>1698</v>
      </c>
      <c r="AQ25" s="173">
        <f t="shared" si="6"/>
        <v>336</v>
      </c>
      <c r="AS25" s="189"/>
    </row>
    <row r="26" spans="1:45" ht="18.75" customHeight="1">
      <c r="A26" s="187"/>
      <c r="B26" s="181"/>
      <c r="C26" s="181"/>
      <c r="G26" s="181"/>
      <c r="H26" s="181"/>
      <c r="L26" s="181"/>
      <c r="M26" s="181"/>
      <c r="Q26" s="181"/>
      <c r="R26" s="181"/>
      <c r="V26" s="206"/>
      <c r="W26" s="203"/>
      <c r="X26" s="203"/>
      <c r="Y26" s="203"/>
      <c r="Z26" s="203"/>
      <c r="AA26" s="206"/>
      <c r="AB26" s="203"/>
      <c r="AC26" s="203"/>
      <c r="AD26" s="203"/>
      <c r="AE26" s="203"/>
      <c r="AF26" s="206"/>
      <c r="AG26" s="203"/>
      <c r="AH26" s="203"/>
      <c r="AI26" s="203"/>
      <c r="AJ26" s="203"/>
      <c r="AK26" s="203"/>
      <c r="AO26" s="185" t="s">
        <v>185</v>
      </c>
      <c r="AP26" s="173">
        <f t="shared" si="5"/>
        <v>1698</v>
      </c>
      <c r="AQ26" s="173">
        <f t="shared" si="6"/>
        <v>0</v>
      </c>
      <c r="AS26" s="189"/>
    </row>
    <row r="27" spans="1:45" ht="18.75" customHeight="1">
      <c r="A27" s="187"/>
      <c r="B27" s="181"/>
      <c r="C27" s="181"/>
      <c r="G27" s="181"/>
      <c r="H27" s="181"/>
      <c r="L27" s="181"/>
      <c r="M27" s="181"/>
      <c r="Q27" s="181"/>
      <c r="R27" s="181"/>
      <c r="V27" s="197"/>
      <c r="W27" s="203"/>
      <c r="X27" s="203"/>
      <c r="Y27" s="203"/>
      <c r="Z27" s="203"/>
      <c r="AA27" s="197"/>
      <c r="AB27" s="203"/>
      <c r="AC27" s="203"/>
      <c r="AD27" s="203"/>
      <c r="AE27" s="203"/>
      <c r="AF27" s="197"/>
      <c r="AG27" s="203"/>
      <c r="AH27" s="203"/>
      <c r="AI27" s="203"/>
      <c r="AJ27" s="203"/>
      <c r="AK27" s="203"/>
      <c r="AO27" s="185" t="s">
        <v>199</v>
      </c>
      <c r="AP27" s="173">
        <f t="shared" si="5"/>
        <v>1698</v>
      </c>
      <c r="AQ27" s="173">
        <f t="shared" si="6"/>
        <v>0</v>
      </c>
      <c r="AS27" s="189"/>
    </row>
    <row r="28" spans="1:45" ht="18.75" customHeight="1">
      <c r="A28" s="187"/>
      <c r="B28" s="181"/>
      <c r="C28" s="181"/>
      <c r="G28" s="181"/>
      <c r="H28" s="181"/>
      <c r="L28" s="181"/>
      <c r="M28" s="181"/>
      <c r="Q28" s="181"/>
      <c r="R28" s="181"/>
      <c r="V28" s="197"/>
      <c r="W28" s="203"/>
      <c r="X28" s="203"/>
      <c r="Y28" s="203"/>
      <c r="Z28" s="203"/>
      <c r="AA28" s="197"/>
      <c r="AB28" s="203"/>
      <c r="AC28" s="203"/>
      <c r="AD28" s="203"/>
      <c r="AE28" s="203"/>
      <c r="AF28" s="197"/>
      <c r="AG28" s="203"/>
      <c r="AH28" s="203"/>
      <c r="AI28" s="203"/>
      <c r="AJ28" s="203"/>
      <c r="AK28" s="203"/>
      <c r="AO28" s="185" t="s">
        <v>200</v>
      </c>
      <c r="AP28" s="173">
        <f t="shared" si="5"/>
        <v>1698</v>
      </c>
      <c r="AQ28" s="173">
        <f t="shared" si="6"/>
        <v>252</v>
      </c>
      <c r="AS28" s="189"/>
    </row>
    <row r="29" spans="1:45" ht="18.75" customHeight="1">
      <c r="A29" s="187"/>
      <c r="B29" s="181"/>
      <c r="C29" s="181"/>
      <c r="G29" s="181"/>
      <c r="H29" s="181"/>
      <c r="L29" s="181"/>
      <c r="M29" s="181"/>
      <c r="Q29" s="181"/>
      <c r="R29" s="181"/>
      <c r="V29" s="197"/>
      <c r="W29" s="203"/>
      <c r="X29" s="203"/>
      <c r="Y29" s="203"/>
      <c r="Z29" s="203"/>
      <c r="AA29" s="197"/>
      <c r="AB29" s="203"/>
      <c r="AC29" s="203"/>
      <c r="AD29" s="203"/>
      <c r="AE29" s="203"/>
      <c r="AF29" s="197"/>
      <c r="AG29" s="203"/>
      <c r="AH29" s="203"/>
      <c r="AI29" s="203"/>
      <c r="AJ29" s="203"/>
      <c r="AK29" s="203"/>
      <c r="AO29" s="185" t="s">
        <v>201</v>
      </c>
      <c r="AP29" s="173">
        <f t="shared" si="5"/>
        <v>1698</v>
      </c>
      <c r="AQ29" s="173">
        <f t="shared" si="6"/>
        <v>956</v>
      </c>
      <c r="AS29" s="189"/>
    </row>
    <row r="30" spans="1:45" ht="18.75" customHeight="1">
      <c r="A30" s="187"/>
      <c r="B30" s="181"/>
      <c r="C30" s="181"/>
      <c r="D30" s="184"/>
      <c r="G30" s="181"/>
      <c r="H30" s="181"/>
      <c r="I30" s="184"/>
      <c r="L30" s="181"/>
      <c r="M30" s="181"/>
      <c r="N30" s="184"/>
      <c r="Q30" s="181"/>
      <c r="R30" s="181"/>
      <c r="S30" s="184"/>
      <c r="V30" s="197"/>
      <c r="W30" s="203"/>
      <c r="X30" s="203"/>
      <c r="Y30" s="203"/>
      <c r="Z30" s="203"/>
      <c r="AA30" s="197"/>
      <c r="AB30" s="203"/>
      <c r="AC30" s="203"/>
      <c r="AD30" s="203"/>
      <c r="AE30" s="203"/>
      <c r="AF30" s="197"/>
      <c r="AG30" s="203"/>
      <c r="AH30" s="203"/>
      <c r="AI30" s="203"/>
      <c r="AJ30" s="203"/>
      <c r="AK30" s="203"/>
      <c r="AO30" s="185" t="s">
        <v>202</v>
      </c>
      <c r="AP30" s="173">
        <f t="shared" si="5"/>
        <v>1698</v>
      </c>
      <c r="AQ30" s="173">
        <f t="shared" si="6"/>
        <v>1318</v>
      </c>
      <c r="AS30" s="189"/>
    </row>
    <row r="31" spans="1:45" ht="18.75" customHeight="1">
      <c r="A31" s="187"/>
      <c r="B31" s="191"/>
      <c r="C31" s="191"/>
      <c r="D31" s="192"/>
      <c r="G31" s="191"/>
      <c r="H31" s="191"/>
      <c r="I31" s="192"/>
      <c r="L31" s="191"/>
      <c r="M31" s="191"/>
      <c r="N31" s="192"/>
      <c r="Q31" s="191"/>
      <c r="R31" s="191"/>
      <c r="S31" s="192"/>
      <c r="V31" s="197"/>
      <c r="W31" s="203"/>
      <c r="X31" s="203"/>
      <c r="Y31" s="203"/>
      <c r="Z31" s="203"/>
      <c r="AA31" s="197"/>
      <c r="AB31" s="203"/>
      <c r="AC31" s="203"/>
      <c r="AD31" s="203"/>
      <c r="AE31" s="203"/>
      <c r="AF31" s="197"/>
      <c r="AG31" s="203"/>
      <c r="AH31" s="203"/>
      <c r="AI31" s="203"/>
      <c r="AJ31" s="203"/>
      <c r="AK31" s="203"/>
      <c r="AO31" s="185" t="s">
        <v>203</v>
      </c>
      <c r="AP31" s="173">
        <f t="shared" si="5"/>
        <v>1698</v>
      </c>
      <c r="AQ31" s="173">
        <f t="shared" si="6"/>
        <v>1478</v>
      </c>
      <c r="AS31" s="189"/>
    </row>
    <row r="32" spans="1:45" ht="9.75" customHeight="1">
      <c r="A32" s="187"/>
      <c r="B32" s="193"/>
      <c r="C32" s="193"/>
      <c r="D32" s="193"/>
      <c r="E32" s="194"/>
      <c r="G32" s="193"/>
      <c r="H32" s="193"/>
      <c r="I32" s="193"/>
      <c r="J32" s="194"/>
      <c r="L32" s="193"/>
      <c r="M32" s="193"/>
      <c r="N32" s="193"/>
      <c r="O32" s="194"/>
      <c r="Q32" s="193"/>
      <c r="R32" s="193"/>
      <c r="S32" s="193"/>
      <c r="T32" s="194"/>
      <c r="V32" s="197"/>
      <c r="W32" s="203"/>
      <c r="X32" s="203"/>
      <c r="Y32" s="203"/>
      <c r="Z32" s="203"/>
      <c r="AA32" s="197"/>
      <c r="AB32" s="203"/>
      <c r="AC32" s="203"/>
      <c r="AD32" s="203"/>
      <c r="AE32" s="203"/>
      <c r="AF32" s="197"/>
      <c r="AG32" s="203"/>
      <c r="AH32" s="203"/>
      <c r="AI32" s="203"/>
      <c r="AJ32" s="203"/>
      <c r="AK32" s="203"/>
      <c r="AO32" s="185" t="s">
        <v>204</v>
      </c>
      <c r="AP32" s="173">
        <f t="shared" si="5"/>
        <v>1698</v>
      </c>
      <c r="AQ32" s="173">
        <f t="shared" si="6"/>
        <v>1478</v>
      </c>
      <c r="AS32" s="189"/>
    </row>
    <row r="33" spans="1:45" ht="18.75" customHeight="1">
      <c r="A33" s="187"/>
      <c r="B33" s="195"/>
      <c r="C33" s="195"/>
      <c r="D33" s="195"/>
      <c r="E33" s="194"/>
      <c r="G33" s="195"/>
      <c r="H33" s="195"/>
      <c r="I33" s="195"/>
      <c r="J33" s="194"/>
      <c r="L33" s="195"/>
      <c r="M33" s="195"/>
      <c r="N33" s="195"/>
      <c r="O33" s="194"/>
      <c r="Q33" s="195"/>
      <c r="R33" s="195"/>
      <c r="S33" s="195"/>
      <c r="T33" s="194"/>
      <c r="V33" s="197"/>
      <c r="W33" s="203"/>
      <c r="X33" s="203"/>
      <c r="Y33" s="203"/>
      <c r="Z33" s="203"/>
      <c r="AA33" s="197"/>
      <c r="AB33" s="203"/>
      <c r="AC33" s="203"/>
      <c r="AD33" s="203"/>
      <c r="AE33" s="203"/>
      <c r="AF33" s="197"/>
      <c r="AG33" s="203"/>
      <c r="AH33" s="203"/>
      <c r="AI33" s="203"/>
      <c r="AJ33" s="203"/>
      <c r="AK33" s="203"/>
      <c r="AO33" s="185" t="s">
        <v>205</v>
      </c>
      <c r="AP33" s="173">
        <f t="shared" si="5"/>
        <v>1698</v>
      </c>
      <c r="AQ33" s="173">
        <f t="shared" si="6"/>
        <v>1478</v>
      </c>
      <c r="AS33" s="189"/>
    </row>
    <row r="34" spans="1:45" ht="18.75" customHeight="1">
      <c r="A34" s="187"/>
      <c r="B34" s="195"/>
      <c r="C34" s="195"/>
      <c r="D34" s="195"/>
      <c r="E34" s="194"/>
      <c r="F34" s="194"/>
      <c r="G34" s="195"/>
      <c r="H34" s="195"/>
      <c r="I34" s="195"/>
      <c r="J34" s="194"/>
      <c r="K34" s="194"/>
      <c r="L34" s="195"/>
      <c r="M34" s="195"/>
      <c r="N34" s="195"/>
      <c r="O34" s="194"/>
      <c r="P34" s="194"/>
      <c r="Q34" s="195"/>
      <c r="R34" s="195"/>
      <c r="S34" s="195"/>
      <c r="T34" s="194"/>
      <c r="U34" s="194"/>
      <c r="V34" s="197"/>
      <c r="W34" s="203"/>
      <c r="X34" s="203"/>
      <c r="Y34" s="203"/>
      <c r="Z34" s="203"/>
      <c r="AA34" s="197"/>
      <c r="AB34" s="203"/>
      <c r="AC34" s="203"/>
      <c r="AD34" s="203"/>
      <c r="AE34" s="203"/>
      <c r="AF34" s="197"/>
      <c r="AG34" s="203"/>
      <c r="AH34" s="203"/>
      <c r="AI34" s="203"/>
      <c r="AJ34" s="203"/>
      <c r="AK34" s="203"/>
      <c r="AS34" s="189"/>
    </row>
    <row r="35" spans="1:45" ht="12.75">
      <c r="B35" s="195"/>
      <c r="C35" s="195"/>
      <c r="D35" s="195"/>
      <c r="E35" s="194"/>
      <c r="F35" s="196"/>
      <c r="G35" s="195"/>
      <c r="H35" s="195"/>
      <c r="I35" s="195"/>
      <c r="J35" s="194"/>
      <c r="K35" s="196"/>
      <c r="L35" s="195"/>
      <c r="M35" s="195"/>
      <c r="N35" s="195"/>
      <c r="O35" s="194"/>
      <c r="P35" s="196"/>
      <c r="Q35" s="195"/>
      <c r="R35" s="195"/>
      <c r="S35" s="195"/>
      <c r="T35" s="194"/>
      <c r="U35" s="196"/>
      <c r="V35" s="197"/>
      <c r="W35" s="203"/>
      <c r="X35" s="203"/>
      <c r="Y35" s="203"/>
      <c r="Z35" s="203"/>
      <c r="AA35" s="197"/>
      <c r="AB35" s="203"/>
      <c r="AC35" s="203"/>
      <c r="AD35" s="203"/>
      <c r="AE35" s="203"/>
      <c r="AF35" s="197"/>
      <c r="AG35" s="203"/>
      <c r="AH35" s="203"/>
      <c r="AI35" s="203"/>
      <c r="AJ35" s="203"/>
      <c r="AK35" s="203"/>
      <c r="AS35" s="189"/>
    </row>
    <row r="36" spans="1:45" ht="12.75">
      <c r="B36" s="195"/>
      <c r="C36" s="195"/>
      <c r="D36" s="195"/>
      <c r="E36" s="185"/>
      <c r="F36" s="194"/>
      <c r="G36" s="195"/>
      <c r="H36" s="195"/>
      <c r="I36" s="195"/>
      <c r="J36" s="185"/>
      <c r="K36" s="194"/>
      <c r="L36" s="195"/>
      <c r="M36" s="195"/>
      <c r="N36" s="195"/>
      <c r="O36" s="185"/>
      <c r="P36" s="194"/>
      <c r="Q36" s="195"/>
      <c r="R36" s="195"/>
      <c r="S36" s="195"/>
      <c r="T36" s="185"/>
      <c r="U36" s="194"/>
      <c r="V36" s="197"/>
      <c r="W36" s="203"/>
      <c r="X36" s="203"/>
      <c r="Y36" s="203"/>
      <c r="Z36" s="203"/>
      <c r="AA36" s="197"/>
      <c r="AB36" s="203"/>
      <c r="AC36" s="203"/>
      <c r="AD36" s="203"/>
      <c r="AE36" s="203"/>
      <c r="AF36" s="197"/>
      <c r="AG36" s="203"/>
      <c r="AH36" s="203"/>
      <c r="AI36" s="203"/>
      <c r="AJ36" s="203"/>
      <c r="AK36" s="203"/>
      <c r="AS36" s="189"/>
    </row>
    <row r="37" spans="1:45" ht="12.75">
      <c r="B37" s="195"/>
      <c r="C37" s="195"/>
      <c r="D37" s="195"/>
      <c r="E37" s="185"/>
      <c r="G37" s="195"/>
      <c r="H37" s="195"/>
      <c r="I37" s="195"/>
      <c r="J37" s="185"/>
      <c r="L37" s="195"/>
      <c r="M37" s="195"/>
      <c r="N37" s="195"/>
      <c r="O37" s="185"/>
      <c r="Q37" s="195"/>
      <c r="R37" s="195"/>
      <c r="S37" s="195"/>
      <c r="T37" s="185"/>
      <c r="V37" s="197"/>
      <c r="W37" s="203"/>
      <c r="X37" s="203"/>
      <c r="Y37" s="203"/>
      <c r="Z37" s="203"/>
      <c r="AA37" s="197"/>
      <c r="AB37" s="203"/>
      <c r="AC37" s="203"/>
      <c r="AD37" s="203"/>
      <c r="AE37" s="203"/>
      <c r="AF37" s="197"/>
      <c r="AG37" s="203"/>
      <c r="AH37" s="203"/>
      <c r="AI37" s="203"/>
      <c r="AJ37" s="203"/>
      <c r="AK37" s="203"/>
      <c r="AS37" s="189"/>
    </row>
    <row r="38" spans="1:45">
      <c r="B38" s="195"/>
      <c r="C38" s="195"/>
      <c r="D38" s="195"/>
      <c r="E38" s="185"/>
      <c r="G38" s="195"/>
      <c r="H38" s="195"/>
      <c r="I38" s="195"/>
      <c r="J38" s="185"/>
      <c r="L38" s="195"/>
      <c r="M38" s="195"/>
      <c r="N38" s="195"/>
      <c r="O38" s="185"/>
      <c r="Q38" s="195"/>
      <c r="R38" s="195"/>
      <c r="S38" s="195"/>
      <c r="T38" s="185"/>
      <c r="AS38" s="189"/>
    </row>
    <row r="39" spans="1:45">
      <c r="B39" s="195"/>
      <c r="C39" s="195"/>
      <c r="D39" s="195"/>
      <c r="E39" s="185"/>
      <c r="G39" s="195"/>
      <c r="H39" s="195"/>
      <c r="I39" s="195"/>
      <c r="J39" s="185"/>
      <c r="L39" s="195"/>
      <c r="M39" s="195"/>
      <c r="N39" s="195"/>
      <c r="O39" s="185"/>
      <c r="Q39" s="195"/>
      <c r="R39" s="195"/>
      <c r="S39" s="195"/>
      <c r="T39" s="185"/>
      <c r="AS39" s="189"/>
    </row>
    <row r="40" spans="1:45">
      <c r="B40" s="195"/>
      <c r="C40" s="195"/>
      <c r="D40" s="195"/>
      <c r="E40" s="185"/>
      <c r="G40" s="195"/>
      <c r="H40" s="195"/>
      <c r="I40" s="195"/>
      <c r="J40" s="185"/>
      <c r="L40" s="195"/>
      <c r="M40" s="195"/>
      <c r="N40" s="195"/>
      <c r="O40" s="185"/>
      <c r="Q40" s="195"/>
      <c r="R40" s="195"/>
      <c r="S40" s="195"/>
      <c r="T40" s="185"/>
      <c r="AS40" s="189"/>
    </row>
    <row r="41" spans="1:45">
      <c r="B41" s="195"/>
      <c r="C41" s="195"/>
      <c r="D41" s="195"/>
      <c r="E41" s="185"/>
      <c r="G41" s="195"/>
      <c r="H41" s="195"/>
      <c r="I41" s="195"/>
      <c r="J41" s="185"/>
      <c r="L41" s="195"/>
      <c r="M41" s="195"/>
      <c r="N41" s="195"/>
      <c r="O41" s="185"/>
      <c r="Q41" s="195"/>
      <c r="R41" s="195"/>
      <c r="S41" s="195"/>
      <c r="T41" s="185"/>
      <c r="AS41" s="189"/>
    </row>
    <row r="42" spans="1:45">
      <c r="B42" s="195"/>
      <c r="C42" s="195"/>
      <c r="D42" s="195"/>
      <c r="E42" s="185"/>
      <c r="G42" s="195"/>
      <c r="H42" s="195"/>
      <c r="I42" s="195"/>
      <c r="J42" s="185"/>
      <c r="L42" s="195"/>
      <c r="M42" s="195"/>
      <c r="N42" s="195"/>
      <c r="O42" s="185"/>
      <c r="Q42" s="195"/>
      <c r="R42" s="195"/>
      <c r="S42" s="195"/>
      <c r="T42" s="185"/>
      <c r="AS42" s="189"/>
    </row>
    <row r="43" spans="1:45">
      <c r="B43" s="195"/>
      <c r="C43" s="195"/>
      <c r="D43" s="195"/>
      <c r="E43" s="185"/>
      <c r="G43" s="195"/>
      <c r="H43" s="195"/>
      <c r="I43" s="195"/>
      <c r="J43" s="185"/>
      <c r="L43" s="195"/>
      <c r="M43" s="195"/>
      <c r="N43" s="195"/>
      <c r="O43" s="185"/>
      <c r="Q43" s="195"/>
      <c r="R43" s="195"/>
      <c r="S43" s="195"/>
      <c r="T43" s="185"/>
      <c r="AS43" s="189"/>
    </row>
    <row r="44" spans="1:45">
      <c r="B44" s="195"/>
      <c r="C44" s="195"/>
      <c r="D44" s="195"/>
      <c r="E44" s="185"/>
      <c r="G44" s="195"/>
      <c r="H44" s="195"/>
      <c r="I44" s="195"/>
      <c r="J44" s="185"/>
      <c r="L44" s="195"/>
      <c r="M44" s="195"/>
      <c r="N44" s="195"/>
      <c r="O44" s="185"/>
      <c r="Q44" s="195"/>
      <c r="R44" s="195"/>
      <c r="S44" s="195"/>
      <c r="T44" s="185"/>
      <c r="AS44" s="189"/>
    </row>
    <row r="45" spans="1:45">
      <c r="B45" s="194"/>
      <c r="C45" s="194"/>
      <c r="D45" s="194"/>
      <c r="E45" s="185"/>
      <c r="G45" s="194"/>
      <c r="H45" s="194"/>
      <c r="I45" s="194"/>
      <c r="J45" s="185"/>
      <c r="L45" s="194"/>
      <c r="M45" s="194"/>
      <c r="N45" s="194"/>
      <c r="O45" s="185"/>
      <c r="Q45" s="194"/>
      <c r="R45" s="194"/>
      <c r="S45" s="194"/>
      <c r="T45" s="185"/>
      <c r="AS45" s="189"/>
    </row>
    <row r="46" spans="1:45">
      <c r="B46" s="194"/>
      <c r="C46" s="194"/>
      <c r="D46" s="194"/>
      <c r="E46" s="185"/>
      <c r="G46" s="194"/>
      <c r="H46" s="194"/>
      <c r="I46" s="194"/>
      <c r="J46" s="185"/>
      <c r="L46" s="194"/>
      <c r="M46" s="194"/>
      <c r="N46" s="194"/>
      <c r="O46" s="185"/>
      <c r="Q46" s="194"/>
      <c r="R46" s="194"/>
      <c r="S46" s="194"/>
      <c r="T46" s="185"/>
      <c r="AS46" s="189"/>
    </row>
    <row r="47" spans="1:45">
      <c r="E47" s="185"/>
      <c r="J47" s="185"/>
      <c r="O47" s="185"/>
      <c r="T47" s="185"/>
      <c r="AS47" s="189"/>
    </row>
    <row r="48" spans="1:45">
      <c r="AS48" s="189"/>
    </row>
    <row r="49" spans="45:45">
      <c r="AS49" s="189"/>
    </row>
    <row r="50" spans="45:45">
      <c r="AS50" s="189"/>
    </row>
    <row r="51" spans="45:45">
      <c r="AS51" s="189"/>
    </row>
    <row r="52" spans="45:45">
      <c r="AS52" s="189"/>
    </row>
    <row r="53" spans="45:45">
      <c r="AS53" s="189"/>
    </row>
    <row r="54" spans="45:45">
      <c r="AS54" s="189"/>
    </row>
    <row r="55" spans="45:45">
      <c r="AS55" s="189"/>
    </row>
    <row r="56" spans="45:45">
      <c r="AS56" s="189"/>
    </row>
    <row r="57" spans="45:45">
      <c r="AS57" s="189"/>
    </row>
    <row r="58" spans="45:45">
      <c r="AS58" s="189"/>
    </row>
    <row r="59" spans="45:45">
      <c r="AS59" s="189"/>
    </row>
    <row r="60" spans="45:45">
      <c r="AS60" s="189"/>
    </row>
    <row r="61" spans="45:45">
      <c r="AS61" s="189"/>
    </row>
    <row r="62" spans="45:45">
      <c r="AS62" s="189"/>
    </row>
    <row r="63" spans="45:45">
      <c r="AS63" s="189"/>
    </row>
    <row r="64" spans="45:45">
      <c r="AS64" s="189"/>
    </row>
    <row r="65" spans="45:45">
      <c r="AS65" s="189"/>
    </row>
    <row r="66" spans="45:45">
      <c r="AS66" s="189"/>
    </row>
    <row r="67" spans="45:45">
      <c r="AS67" s="189"/>
    </row>
    <row r="68" spans="45:45">
      <c r="AS68" s="189"/>
    </row>
    <row r="69" spans="45:45">
      <c r="AS69" s="189"/>
    </row>
    <row r="70" spans="45:45">
      <c r="AS70" s="189"/>
    </row>
    <row r="71" spans="45:45">
      <c r="AS71" s="189"/>
    </row>
    <row r="72" spans="45:45">
      <c r="AS72" s="189"/>
    </row>
    <row r="73" spans="45:45">
      <c r="AS73" s="189"/>
    </row>
  </sheetData>
  <mergeCells count="10">
    <mergeCell ref="AF3:AJ3"/>
    <mergeCell ref="A2:AJ2"/>
    <mergeCell ref="A1:AJ1"/>
    <mergeCell ref="AA3:AE3"/>
    <mergeCell ref="A3:A5"/>
    <mergeCell ref="B3:F3"/>
    <mergeCell ref="G3:K3"/>
    <mergeCell ref="L3:P3"/>
    <mergeCell ref="Q3:U3"/>
    <mergeCell ref="V3:Z3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48"/>
  <sheetViews>
    <sheetView topLeftCell="A10" workbookViewId="0">
      <selection activeCell="AJ31" sqref="AJ31"/>
    </sheetView>
  </sheetViews>
  <sheetFormatPr defaultColWidth="9.140625" defaultRowHeight="12"/>
  <cols>
    <col min="1" max="1" width="19.28515625" style="163" customWidth="1"/>
    <col min="2" max="2" width="12" style="163" hidden="1" customWidth="1"/>
    <col min="3" max="3" width="11.28515625" style="163" hidden="1" customWidth="1"/>
    <col min="4" max="4" width="14.42578125" style="163" hidden="1" customWidth="1"/>
    <col min="5" max="8" width="11.28515625" style="163" hidden="1" customWidth="1"/>
    <col min="9" max="9" width="14.85546875" style="163" hidden="1" customWidth="1"/>
    <col min="10" max="13" width="11.28515625" style="163" hidden="1" customWidth="1"/>
    <col min="14" max="14" width="14.85546875" style="163" hidden="1" customWidth="1"/>
    <col min="15" max="16" width="11.28515625" style="163" hidden="1" customWidth="1"/>
    <col min="17" max="26" width="13.140625" style="163" hidden="1" customWidth="1"/>
    <col min="27" max="36" width="13.140625" style="163" customWidth="1"/>
    <col min="37" max="37" width="18.28515625" style="163" customWidth="1"/>
    <col min="38" max="16384" width="9.140625" style="163"/>
  </cols>
  <sheetData>
    <row r="1" spans="1:37" ht="18.75">
      <c r="A1" s="842" t="s">
        <v>1041</v>
      </c>
      <c r="B1" s="842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  <c r="AB1" s="842"/>
      <c r="AC1" s="842"/>
      <c r="AD1" s="842"/>
      <c r="AE1" s="842"/>
      <c r="AF1" s="842"/>
      <c r="AG1" s="842"/>
      <c r="AH1" s="842"/>
      <c r="AI1" s="842"/>
      <c r="AJ1" s="842"/>
    </row>
    <row r="2" spans="1:37" ht="12.75">
      <c r="A2" s="833" t="s">
        <v>1042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Z2" s="833"/>
      <c r="AA2" s="833"/>
      <c r="AB2" s="833"/>
      <c r="AC2" s="833"/>
      <c r="AD2" s="833"/>
      <c r="AE2" s="833"/>
      <c r="AF2" s="833"/>
      <c r="AG2" s="833"/>
      <c r="AH2" s="833"/>
      <c r="AI2" s="833"/>
      <c r="AJ2" s="833"/>
      <c r="AK2" s="196"/>
    </row>
    <row r="3" spans="1:37" ht="12.75">
      <c r="A3" s="722"/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/>
      <c r="U3" s="722"/>
      <c r="V3" s="722"/>
      <c r="W3" s="722"/>
      <c r="X3" s="722"/>
      <c r="Y3" s="722"/>
      <c r="Z3" s="722"/>
      <c r="AA3" s="722"/>
      <c r="AB3" s="722"/>
      <c r="AC3" s="722"/>
      <c r="AD3" s="722"/>
      <c r="AE3" s="722"/>
      <c r="AF3" s="722"/>
      <c r="AG3" s="722"/>
      <c r="AH3" s="722"/>
      <c r="AI3" s="722"/>
      <c r="AJ3" s="722"/>
      <c r="AK3" s="196"/>
    </row>
    <row r="4" spans="1:37" s="164" customFormat="1" ht="12.75">
      <c r="A4" s="836" t="s">
        <v>164</v>
      </c>
      <c r="B4" s="839">
        <v>2014</v>
      </c>
      <c r="C4" s="840"/>
      <c r="D4" s="840"/>
      <c r="E4" s="840"/>
      <c r="F4" s="840"/>
      <c r="G4" s="839">
        <v>2015</v>
      </c>
      <c r="H4" s="840"/>
      <c r="I4" s="840"/>
      <c r="J4" s="840"/>
      <c r="K4" s="840"/>
      <c r="L4" s="839">
        <v>2016</v>
      </c>
      <c r="M4" s="840"/>
      <c r="N4" s="840"/>
      <c r="O4" s="840"/>
      <c r="P4" s="840"/>
      <c r="Q4" s="839">
        <v>2017</v>
      </c>
      <c r="R4" s="840"/>
      <c r="S4" s="840"/>
      <c r="T4" s="840"/>
      <c r="U4" s="840"/>
      <c r="V4" s="839">
        <v>2018</v>
      </c>
      <c r="W4" s="840"/>
      <c r="X4" s="840"/>
      <c r="Y4" s="840"/>
      <c r="Z4" s="840"/>
      <c r="AA4" s="839">
        <v>2019</v>
      </c>
      <c r="AB4" s="840"/>
      <c r="AC4" s="840"/>
      <c r="AD4" s="840"/>
      <c r="AE4" s="840"/>
      <c r="AF4" s="839">
        <v>2020</v>
      </c>
      <c r="AG4" s="840"/>
      <c r="AH4" s="840"/>
      <c r="AI4" s="840"/>
      <c r="AJ4" s="840"/>
      <c r="AK4" s="207"/>
    </row>
    <row r="5" spans="1:37" s="164" customFormat="1" ht="56.25">
      <c r="A5" s="837"/>
      <c r="B5" s="165" t="s">
        <v>168</v>
      </c>
      <c r="C5" s="166" t="s">
        <v>169</v>
      </c>
      <c r="D5" s="166" t="s">
        <v>163</v>
      </c>
      <c r="E5" s="166" t="s">
        <v>170</v>
      </c>
      <c r="F5" s="166" t="s">
        <v>171</v>
      </c>
      <c r="G5" s="165" t="s">
        <v>168</v>
      </c>
      <c r="H5" s="166" t="s">
        <v>169</v>
      </c>
      <c r="I5" s="166" t="s">
        <v>163</v>
      </c>
      <c r="J5" s="166" t="s">
        <v>170</v>
      </c>
      <c r="K5" s="166" t="s">
        <v>171</v>
      </c>
      <c r="L5" s="165" t="s">
        <v>168</v>
      </c>
      <c r="M5" s="166" t="s">
        <v>169</v>
      </c>
      <c r="N5" s="166" t="s">
        <v>163</v>
      </c>
      <c r="O5" s="166" t="s">
        <v>170</v>
      </c>
      <c r="P5" s="166" t="s">
        <v>171</v>
      </c>
      <c r="Q5" s="165" t="s">
        <v>168</v>
      </c>
      <c r="R5" s="166" t="s">
        <v>169</v>
      </c>
      <c r="S5" s="166" t="s">
        <v>163</v>
      </c>
      <c r="T5" s="166" t="s">
        <v>170</v>
      </c>
      <c r="U5" s="166" t="s">
        <v>171</v>
      </c>
      <c r="V5" s="165" t="s">
        <v>168</v>
      </c>
      <c r="W5" s="166" t="s">
        <v>169</v>
      </c>
      <c r="X5" s="166" t="s">
        <v>163</v>
      </c>
      <c r="Y5" s="166" t="s">
        <v>170</v>
      </c>
      <c r="Z5" s="166" t="s">
        <v>171</v>
      </c>
      <c r="AA5" s="165" t="s">
        <v>168</v>
      </c>
      <c r="AB5" s="166" t="s">
        <v>169</v>
      </c>
      <c r="AC5" s="166" t="s">
        <v>163</v>
      </c>
      <c r="AD5" s="166" t="s">
        <v>170</v>
      </c>
      <c r="AE5" s="166" t="s">
        <v>171</v>
      </c>
      <c r="AF5" s="165" t="s">
        <v>168</v>
      </c>
      <c r="AG5" s="166" t="s">
        <v>169</v>
      </c>
      <c r="AH5" s="166" t="s">
        <v>163</v>
      </c>
      <c r="AI5" s="166" t="s">
        <v>170</v>
      </c>
      <c r="AJ5" s="166" t="s">
        <v>171</v>
      </c>
      <c r="AK5" s="207"/>
    </row>
    <row r="6" spans="1:37" s="164" customFormat="1" ht="51">
      <c r="A6" s="838"/>
      <c r="B6" s="726" t="s">
        <v>206</v>
      </c>
      <c r="C6" s="725" t="s">
        <v>174</v>
      </c>
      <c r="D6" s="725" t="s">
        <v>175</v>
      </c>
      <c r="E6" s="725" t="s">
        <v>176</v>
      </c>
      <c r="F6" s="725" t="s">
        <v>177</v>
      </c>
      <c r="G6" s="726" t="s">
        <v>179</v>
      </c>
      <c r="H6" s="725" t="s">
        <v>174</v>
      </c>
      <c r="I6" s="725" t="s">
        <v>175</v>
      </c>
      <c r="J6" s="725" t="s">
        <v>176</v>
      </c>
      <c r="K6" s="208" t="s">
        <v>177</v>
      </c>
      <c r="L6" s="726" t="s">
        <v>179</v>
      </c>
      <c r="M6" s="725" t="s">
        <v>174</v>
      </c>
      <c r="N6" s="725" t="s">
        <v>175</v>
      </c>
      <c r="O6" s="725" t="s">
        <v>176</v>
      </c>
      <c r="P6" s="208" t="s">
        <v>177</v>
      </c>
      <c r="Q6" s="726" t="s">
        <v>179</v>
      </c>
      <c r="R6" s="725" t="s">
        <v>174</v>
      </c>
      <c r="S6" s="725" t="s">
        <v>175</v>
      </c>
      <c r="T6" s="725" t="s">
        <v>176</v>
      </c>
      <c r="U6" s="208" t="s">
        <v>177</v>
      </c>
      <c r="V6" s="726" t="s">
        <v>179</v>
      </c>
      <c r="W6" s="725" t="s">
        <v>174</v>
      </c>
      <c r="X6" s="725" t="s">
        <v>175</v>
      </c>
      <c r="Y6" s="725" t="s">
        <v>176</v>
      </c>
      <c r="Z6" s="208" t="s">
        <v>177</v>
      </c>
      <c r="AA6" s="726" t="s">
        <v>179</v>
      </c>
      <c r="AB6" s="725" t="s">
        <v>174</v>
      </c>
      <c r="AC6" s="725" t="s">
        <v>175</v>
      </c>
      <c r="AD6" s="725" t="s">
        <v>176</v>
      </c>
      <c r="AE6" s="208" t="s">
        <v>177</v>
      </c>
      <c r="AF6" s="726" t="s">
        <v>179</v>
      </c>
      <c r="AG6" s="725" t="s">
        <v>174</v>
      </c>
      <c r="AH6" s="725" t="s">
        <v>175</v>
      </c>
      <c r="AI6" s="725" t="s">
        <v>176</v>
      </c>
      <c r="AJ6" s="208" t="s">
        <v>177</v>
      </c>
      <c r="AK6" s="207"/>
    </row>
    <row r="7" spans="1:37" s="164" customFormat="1" ht="18.75" customHeight="1">
      <c r="A7" s="506" t="s">
        <v>180</v>
      </c>
      <c r="B7" s="507">
        <f>AVERAGE(B8:B19)</f>
        <v>2533.4166666666665</v>
      </c>
      <c r="C7" s="508">
        <f>AVERAGE(C8:C19)</f>
        <v>2477.25</v>
      </c>
      <c r="D7" s="509">
        <f>AVERAGE(D8:D19)</f>
        <v>97.778892174434176</v>
      </c>
      <c r="E7" s="509">
        <f>AVERAGE(E8:E19)</f>
        <v>18.290859127152753</v>
      </c>
      <c r="F7" s="508">
        <f>SUM(F8:F19)</f>
        <v>160804.69303973988</v>
      </c>
      <c r="G7" s="507">
        <f>AVERAGE(G8:G19)</f>
        <v>3971</v>
      </c>
      <c r="H7" s="508">
        <f>AVERAGE(H8:H19)</f>
        <v>3831.1666666666665</v>
      </c>
      <c r="I7" s="509">
        <f>AVERAGE(I8:I19)</f>
        <v>96.508471004425516</v>
      </c>
      <c r="J7" s="509">
        <f>AVERAGE(J8:J19)</f>
        <v>23.754186523394655</v>
      </c>
      <c r="K7" s="510">
        <f>SUM(K8:K19)</f>
        <v>331839.67077196413</v>
      </c>
      <c r="L7" s="507">
        <f>AVERAGE(L8:L19)</f>
        <v>5392.5</v>
      </c>
      <c r="M7" s="508">
        <f>AVERAGE(M8:M19)</f>
        <v>5248.916666666667</v>
      </c>
      <c r="N7" s="509">
        <f>AVERAGE(N8:N19)</f>
        <v>97.395375430427066</v>
      </c>
      <c r="O7" s="509">
        <f>AVERAGE(O8:O19)</f>
        <v>33.515560141504473</v>
      </c>
      <c r="P7" s="510">
        <f>SUM(P8:P19)</f>
        <v>644472.92574025737</v>
      </c>
      <c r="Q7" s="507">
        <f>AVERAGE(Q8:Q19)</f>
        <v>6778.083333333333</v>
      </c>
      <c r="R7" s="508">
        <f>AVERAGE(R8:R19)</f>
        <v>6728.833333333333</v>
      </c>
      <c r="S7" s="509">
        <f>AVERAGE(S8:S19)</f>
        <v>99.211682726796042</v>
      </c>
      <c r="T7" s="509">
        <f>AVERAGE(T8:T19)</f>
        <v>30.768031823623502</v>
      </c>
      <c r="U7" s="510">
        <f>SUM(U8:U19)</f>
        <v>751079.82619962806</v>
      </c>
      <c r="V7" s="507">
        <f>AVERAGE(V8:V19)</f>
        <v>8017.25</v>
      </c>
      <c r="W7" s="508">
        <f>AVERAGE(W8:W19)</f>
        <v>8000</v>
      </c>
      <c r="X7" s="509">
        <f>AVERAGE(X8:X19)</f>
        <v>99.794445335464502</v>
      </c>
      <c r="Y7" s="509">
        <f>AVERAGE(Y8:Y19)</f>
        <v>32.573452691970985</v>
      </c>
      <c r="Z7" s="510">
        <f>SUM(Z8:Z19)</f>
        <v>944521.39614352607</v>
      </c>
      <c r="AA7" s="507">
        <f>AVERAGE(AA8:AA19)</f>
        <v>9210.1666666666661</v>
      </c>
      <c r="AB7" s="508">
        <f>AVERAGE(AB8:AB19)</f>
        <v>9200.1666666666661</v>
      </c>
      <c r="AC7" s="509">
        <f>AVERAGE(AC8:AC19)</f>
        <v>99.891363640789621</v>
      </c>
      <c r="AD7" s="509">
        <f>AVERAGE(AD8:AD19)</f>
        <v>33.86767677413031</v>
      </c>
      <c r="AE7" s="510">
        <f>SUM(AE8:AE19)</f>
        <v>1128597.1511523826</v>
      </c>
      <c r="AF7" s="507">
        <f>AVERAGE(AF8:AF19)</f>
        <v>10154.333333333334</v>
      </c>
      <c r="AG7" s="508">
        <f>AVERAGE(AG8:AG19)</f>
        <v>3615.0833333333335</v>
      </c>
      <c r="AH7" s="509">
        <f>AVERAGE(AH8:AH19)</f>
        <v>35.745577925251418</v>
      </c>
      <c r="AI7" s="509">
        <f>AVERAGE(AI8:AI19)</f>
        <v>18.371216403823603</v>
      </c>
      <c r="AJ7" s="510">
        <f>SUM(AJ8:AJ19)</f>
        <v>408938.59676497238</v>
      </c>
      <c r="AK7" s="207"/>
    </row>
    <row r="8" spans="1:37" s="164" customFormat="1" ht="15.75">
      <c r="A8" s="511" t="s">
        <v>181</v>
      </c>
      <c r="B8" s="512">
        <v>1996</v>
      </c>
      <c r="C8" s="513">
        <v>1912</v>
      </c>
      <c r="D8" s="514">
        <f t="shared" ref="D8:D19" si="0">C8/B8*100</f>
        <v>95.791583166332657</v>
      </c>
      <c r="E8" s="514">
        <v>25.663682667078252</v>
      </c>
      <c r="F8" s="513">
        <v>15211.377990430621</v>
      </c>
      <c r="G8" s="512">
        <v>3379</v>
      </c>
      <c r="H8" s="513">
        <v>3309</v>
      </c>
      <c r="I8" s="514">
        <f t="shared" ref="I8:I19" si="1">H8/G8*100</f>
        <v>97.928381177863272</v>
      </c>
      <c r="J8" s="514">
        <v>28.220152552478467</v>
      </c>
      <c r="K8" s="515">
        <v>28947.950286806885</v>
      </c>
      <c r="L8" s="512">
        <v>4799</v>
      </c>
      <c r="M8" s="513">
        <v>4765</v>
      </c>
      <c r="N8" s="514">
        <f>M8/L8*100</f>
        <v>99.291519066472176</v>
      </c>
      <c r="O8" s="514">
        <v>32.640828117477135</v>
      </c>
      <c r="P8" s="515">
        <v>48215.399253731346</v>
      </c>
      <c r="Q8" s="512">
        <v>6134</v>
      </c>
      <c r="R8" s="513">
        <v>5717</v>
      </c>
      <c r="S8" s="514">
        <f>R8/Q8*100</f>
        <v>93.20182588849039</v>
      </c>
      <c r="T8" s="514">
        <v>35.109388345049595</v>
      </c>
      <c r="U8" s="515">
        <v>62223.315682281056</v>
      </c>
      <c r="V8" s="512">
        <v>7464</v>
      </c>
      <c r="W8" s="513">
        <v>7464</v>
      </c>
      <c r="X8" s="514">
        <f>W8/V8*100</f>
        <v>100</v>
      </c>
      <c r="Y8" s="514">
        <v>44.887239508992295</v>
      </c>
      <c r="Z8" s="515">
        <v>103861.89026548673</v>
      </c>
      <c r="AA8" s="512">
        <v>8611</v>
      </c>
      <c r="AB8" s="513">
        <v>8601</v>
      </c>
      <c r="AC8" s="514">
        <v>99.883869469283468</v>
      </c>
      <c r="AD8" s="514">
        <v>47.683581926758109</v>
      </c>
      <c r="AE8" s="515">
        <v>127139.2113271344</v>
      </c>
      <c r="AF8" s="746">
        <v>9927</v>
      </c>
      <c r="AG8" s="748">
        <v>9917</v>
      </c>
      <c r="AH8" s="750">
        <v>99.89926463181223</v>
      </c>
      <c r="AI8" s="750">
        <v>48.320666554073071</v>
      </c>
      <c r="AJ8" s="515">
        <v>148550.77556718999</v>
      </c>
      <c r="AK8" s="522"/>
    </row>
    <row r="9" spans="1:37" s="164" customFormat="1" ht="15.75">
      <c r="A9" s="511" t="s">
        <v>182</v>
      </c>
      <c r="B9" s="512">
        <v>2066</v>
      </c>
      <c r="C9" s="513">
        <v>2006</v>
      </c>
      <c r="D9" s="514">
        <f t="shared" si="0"/>
        <v>97.095837366892539</v>
      </c>
      <c r="E9" s="514">
        <v>27.443394689688873</v>
      </c>
      <c r="F9" s="513">
        <v>15414.405929304447</v>
      </c>
      <c r="G9" s="512">
        <v>3385</v>
      </c>
      <c r="H9" s="513">
        <v>3265</v>
      </c>
      <c r="I9" s="514">
        <f t="shared" si="1"/>
        <v>96.454948301329395</v>
      </c>
      <c r="J9" s="514">
        <v>30.232929164007654</v>
      </c>
      <c r="K9" s="515">
        <v>27638.9438417358</v>
      </c>
      <c r="L9" s="512">
        <v>4907</v>
      </c>
      <c r="M9" s="513">
        <v>4855</v>
      </c>
      <c r="N9" s="514">
        <f t="shared" ref="N9:N19" si="2">M9/L9*100</f>
        <v>98.940289382514777</v>
      </c>
      <c r="O9" s="514">
        <v>43.111788956938256</v>
      </c>
      <c r="P9" s="515">
        <v>60699.24326192122</v>
      </c>
      <c r="Q9" s="512">
        <v>6336</v>
      </c>
      <c r="R9" s="513">
        <v>6245</v>
      </c>
      <c r="S9" s="514">
        <f t="shared" ref="S9:S19" si="3">R9/Q9*100</f>
        <v>98.56376262626263</v>
      </c>
      <c r="T9" s="514">
        <v>43.470754638489055</v>
      </c>
      <c r="U9" s="515">
        <v>76012.961560861964</v>
      </c>
      <c r="V9" s="512">
        <v>7528</v>
      </c>
      <c r="W9" s="513">
        <v>7528</v>
      </c>
      <c r="X9" s="514">
        <f t="shared" ref="X9:X19" si="4">W9/V9*100</f>
        <v>100</v>
      </c>
      <c r="Y9" s="514">
        <v>48.9502999143102</v>
      </c>
      <c r="Z9" s="515">
        <v>103179.4001713796</v>
      </c>
      <c r="AA9" s="512">
        <v>8895</v>
      </c>
      <c r="AB9" s="513">
        <v>8885</v>
      </c>
      <c r="AC9" s="514">
        <v>99.887577290612711</v>
      </c>
      <c r="AD9" s="514">
        <v>52.778827580414877</v>
      </c>
      <c r="AE9" s="515">
        <v>131303.16725455615</v>
      </c>
      <c r="AF9" s="746">
        <v>10037</v>
      </c>
      <c r="AG9" s="748">
        <v>10027</v>
      </c>
      <c r="AH9" s="750">
        <v>99.900368636046636</v>
      </c>
      <c r="AI9" s="750">
        <v>43.164473200499963</v>
      </c>
      <c r="AJ9" s="515">
        <v>125514.9501066098</v>
      </c>
      <c r="AK9" s="522"/>
    </row>
    <row r="10" spans="1:37" s="164" customFormat="1" ht="15.75">
      <c r="A10" s="511" t="s">
        <v>183</v>
      </c>
      <c r="B10" s="512">
        <v>2224</v>
      </c>
      <c r="C10" s="513">
        <v>2206</v>
      </c>
      <c r="D10" s="514">
        <f t="shared" si="0"/>
        <v>99.190647482014398</v>
      </c>
      <c r="E10" s="514">
        <v>24.985053676795506</v>
      </c>
      <c r="F10" s="513">
        <v>17086.278807413375</v>
      </c>
      <c r="G10" s="512">
        <v>3555</v>
      </c>
      <c r="H10" s="513">
        <v>3447</v>
      </c>
      <c r="I10" s="514">
        <f t="shared" si="1"/>
        <v>96.962025316455694</v>
      </c>
      <c r="J10" s="514">
        <v>25.635742877325175</v>
      </c>
      <c r="K10" s="515">
        <v>27393.585766423359</v>
      </c>
      <c r="L10" s="512">
        <v>5085</v>
      </c>
      <c r="M10" s="513">
        <v>4963</v>
      </c>
      <c r="N10" s="514">
        <f t="shared" si="2"/>
        <v>97.600786627335296</v>
      </c>
      <c r="O10" s="514">
        <v>38.107961333767783</v>
      </c>
      <c r="P10" s="515">
        <v>58630.241750841749</v>
      </c>
      <c r="Q10" s="512">
        <v>6398</v>
      </c>
      <c r="R10" s="513">
        <v>6381</v>
      </c>
      <c r="S10" s="514">
        <f t="shared" si="3"/>
        <v>99.734291966239454</v>
      </c>
      <c r="T10" s="514">
        <v>37.885077155036015</v>
      </c>
      <c r="U10" s="515">
        <v>74940.849971148302</v>
      </c>
      <c r="V10" s="512">
        <v>7750</v>
      </c>
      <c r="W10" s="513">
        <v>7750</v>
      </c>
      <c r="X10" s="514">
        <f t="shared" si="4"/>
        <v>100</v>
      </c>
      <c r="Y10" s="514">
        <v>38.764922057022076</v>
      </c>
      <c r="Z10" s="515">
        <v>93132.725241995533</v>
      </c>
      <c r="AA10" s="512">
        <v>8981</v>
      </c>
      <c r="AB10" s="513">
        <v>8971</v>
      </c>
      <c r="AC10" s="514">
        <v>99.888653824741127</v>
      </c>
      <c r="AD10" s="514">
        <v>44.268487284626417</v>
      </c>
      <c r="AE10" s="515">
        <v>123111.10582341891</v>
      </c>
      <c r="AF10" s="746">
        <v>10093</v>
      </c>
      <c r="AG10" s="748">
        <v>10075</v>
      </c>
      <c r="AH10" s="750">
        <v>99.821658575250169</v>
      </c>
      <c r="AI10" s="750">
        <v>19.435525895543716</v>
      </c>
      <c r="AJ10" s="515">
        <v>60702.006253256906</v>
      </c>
      <c r="AK10" s="522"/>
    </row>
    <row r="11" spans="1:37" s="164" customFormat="1" ht="15.75">
      <c r="A11" s="511" t="s">
        <v>184</v>
      </c>
      <c r="B11" s="512">
        <v>2321</v>
      </c>
      <c r="C11" s="513">
        <v>2297</v>
      </c>
      <c r="D11" s="514">
        <f t="shared" si="0"/>
        <v>98.965962947005607</v>
      </c>
      <c r="E11" s="514">
        <v>24.343891402714931</v>
      </c>
      <c r="F11" s="513">
        <v>16775.375565610859</v>
      </c>
      <c r="G11" s="512">
        <v>3695</v>
      </c>
      <c r="H11" s="513">
        <v>3563</v>
      </c>
      <c r="I11" s="514">
        <f t="shared" si="1"/>
        <v>96.427604871447897</v>
      </c>
      <c r="J11" s="514">
        <v>25.353971682265421</v>
      </c>
      <c r="K11" s="515">
        <v>27100.860331173506</v>
      </c>
      <c r="L11" s="512">
        <v>5143</v>
      </c>
      <c r="M11" s="513">
        <v>5051</v>
      </c>
      <c r="N11" s="514">
        <f t="shared" si="2"/>
        <v>98.211160801088866</v>
      </c>
      <c r="O11" s="514">
        <v>35.206282231598692</v>
      </c>
      <c r="P11" s="515">
        <v>53348.079465541494</v>
      </c>
      <c r="Q11" s="512">
        <v>6431</v>
      </c>
      <c r="R11" s="513">
        <v>6425</v>
      </c>
      <c r="S11" s="514">
        <f t="shared" si="3"/>
        <v>99.906701912610799</v>
      </c>
      <c r="T11" s="514">
        <v>32.134780642243328</v>
      </c>
      <c r="U11" s="515">
        <v>61939.789687924014</v>
      </c>
      <c r="V11" s="512">
        <v>7922</v>
      </c>
      <c r="W11" s="513">
        <v>7922</v>
      </c>
      <c r="X11" s="514">
        <f t="shared" si="4"/>
        <v>100</v>
      </c>
      <c r="Y11" s="514">
        <v>30.592478104070072</v>
      </c>
      <c r="Z11" s="515">
        <v>72706.083462132927</v>
      </c>
      <c r="AA11" s="512">
        <v>9047</v>
      </c>
      <c r="AB11" s="513">
        <v>9037</v>
      </c>
      <c r="AC11" s="514">
        <v>99.889466121366198</v>
      </c>
      <c r="AD11" s="514">
        <v>39.530061477545061</v>
      </c>
      <c r="AE11" s="515">
        <v>107169.94967177243</v>
      </c>
      <c r="AF11" s="746">
        <v>10093</v>
      </c>
      <c r="AG11" s="748">
        <v>266</v>
      </c>
      <c r="AH11" s="750">
        <v>2.6354899435252155</v>
      </c>
      <c r="AI11" s="750">
        <v>7.9072681704260654</v>
      </c>
      <c r="AJ11" s="515">
        <v>631</v>
      </c>
      <c r="AK11" s="522"/>
    </row>
    <row r="12" spans="1:37" s="164" customFormat="1" ht="15.75">
      <c r="A12" s="511" t="s">
        <v>185</v>
      </c>
      <c r="B12" s="512">
        <v>2385</v>
      </c>
      <c r="C12" s="513">
        <v>2361</v>
      </c>
      <c r="D12" s="514">
        <f t="shared" si="0"/>
        <v>98.993710691823907</v>
      </c>
      <c r="E12" s="514">
        <v>14.651264167393199</v>
      </c>
      <c r="F12" s="513">
        <v>10723.406756756756</v>
      </c>
      <c r="G12" s="512">
        <v>3885</v>
      </c>
      <c r="H12" s="513">
        <v>3757</v>
      </c>
      <c r="I12" s="514">
        <f t="shared" si="1"/>
        <v>96.705276705276717</v>
      </c>
      <c r="J12" s="514">
        <v>18.532126219565793</v>
      </c>
      <c r="K12" s="515">
        <v>21583.811444141691</v>
      </c>
      <c r="L12" s="512">
        <v>5207</v>
      </c>
      <c r="M12" s="513">
        <v>5121</v>
      </c>
      <c r="N12" s="514">
        <f t="shared" si="2"/>
        <v>98.34837718455924</v>
      </c>
      <c r="O12" s="514">
        <v>24.966581754899238</v>
      </c>
      <c r="P12" s="515">
        <v>39634.698201720093</v>
      </c>
      <c r="Q12" s="512">
        <v>6598</v>
      </c>
      <c r="R12" s="513">
        <v>6589</v>
      </c>
      <c r="S12" s="514">
        <f t="shared" si="3"/>
        <v>99.86359502879661</v>
      </c>
      <c r="T12" s="514">
        <v>22.418999013856837</v>
      </c>
      <c r="U12" s="515">
        <v>45792.823195713834</v>
      </c>
      <c r="V12" s="512">
        <v>7948</v>
      </c>
      <c r="W12" s="513">
        <v>7948</v>
      </c>
      <c r="X12" s="514">
        <f t="shared" si="4"/>
        <v>100</v>
      </c>
      <c r="Y12" s="514">
        <v>22.085715478028625</v>
      </c>
      <c r="Z12" s="515">
        <v>54416.552652005172</v>
      </c>
      <c r="AA12" s="512">
        <v>9073</v>
      </c>
      <c r="AB12" s="513">
        <v>9063</v>
      </c>
      <c r="AC12" s="514">
        <v>99.889782872258351</v>
      </c>
      <c r="AD12" s="514">
        <v>24.33364691125745</v>
      </c>
      <c r="AE12" s="515">
        <v>68366.111006585139</v>
      </c>
      <c r="AF12" s="746">
        <v>10093</v>
      </c>
      <c r="AG12" s="748">
        <v>74</v>
      </c>
      <c r="AH12" s="750">
        <v>0.73318141286039828</v>
      </c>
      <c r="AI12" s="750">
        <v>4.7079337401918044</v>
      </c>
      <c r="AJ12" s="515">
        <v>108</v>
      </c>
      <c r="AK12" s="522"/>
    </row>
    <row r="13" spans="1:37" s="164" customFormat="1" ht="15.75">
      <c r="A13" s="511" t="s">
        <v>186</v>
      </c>
      <c r="B13" s="512">
        <v>2439</v>
      </c>
      <c r="C13" s="513">
        <v>2349</v>
      </c>
      <c r="D13" s="514">
        <f t="shared" si="0"/>
        <v>96.309963099630991</v>
      </c>
      <c r="E13" s="514">
        <v>13.446726572528883</v>
      </c>
      <c r="F13" s="513">
        <v>9475.9082156611039</v>
      </c>
      <c r="G13" s="512">
        <v>3927</v>
      </c>
      <c r="H13" s="513">
        <v>3805</v>
      </c>
      <c r="I13" s="514">
        <f t="shared" si="1"/>
        <v>96.893302775655727</v>
      </c>
      <c r="J13" s="514">
        <v>14.564740307242136</v>
      </c>
      <c r="K13" s="515">
        <v>16625.651060716897</v>
      </c>
      <c r="L13" s="512">
        <v>5365</v>
      </c>
      <c r="M13" s="513">
        <v>5231</v>
      </c>
      <c r="N13" s="514">
        <f t="shared" si="2"/>
        <v>97.502329916123017</v>
      </c>
      <c r="O13" s="514">
        <v>19.55399061032864</v>
      </c>
      <c r="P13" s="515">
        <v>30686.077464788734</v>
      </c>
      <c r="Q13" s="512">
        <v>6717</v>
      </c>
      <c r="R13" s="513">
        <v>6711</v>
      </c>
      <c r="S13" s="514">
        <f t="shared" si="3"/>
        <v>99.910674408217957</v>
      </c>
      <c r="T13" s="514">
        <v>19.082403336715139</v>
      </c>
      <c r="U13" s="515">
        <v>38418.602637808588</v>
      </c>
      <c r="V13" s="512">
        <v>8006</v>
      </c>
      <c r="W13" s="513">
        <v>7998</v>
      </c>
      <c r="X13" s="514">
        <f t="shared" si="4"/>
        <v>99.900074943792163</v>
      </c>
      <c r="Y13" s="514">
        <v>22.764136904761905</v>
      </c>
      <c r="Z13" s="515">
        <v>54620.270089285717</v>
      </c>
      <c r="AA13" s="512">
        <v>9125</v>
      </c>
      <c r="AB13" s="513">
        <v>9115</v>
      </c>
      <c r="AC13" s="514">
        <v>99.890410958904113</v>
      </c>
      <c r="AD13" s="514">
        <v>22.651515151515152</v>
      </c>
      <c r="AE13" s="515">
        <v>61940.568181818184</v>
      </c>
      <c r="AF13" s="746">
        <v>10085</v>
      </c>
      <c r="AG13" s="748">
        <v>74</v>
      </c>
      <c r="AH13" s="750">
        <v>0.73376301437778879</v>
      </c>
      <c r="AI13" s="750">
        <v>3.1081081081081083</v>
      </c>
      <c r="AJ13" s="515">
        <v>69</v>
      </c>
      <c r="AK13" s="522"/>
    </row>
    <row r="14" spans="1:37" s="164" customFormat="1" ht="15.75">
      <c r="A14" s="511" t="s">
        <v>187</v>
      </c>
      <c r="B14" s="512">
        <v>2609</v>
      </c>
      <c r="C14" s="513">
        <v>2567</v>
      </c>
      <c r="D14" s="514">
        <f t="shared" si="0"/>
        <v>98.39018781142201</v>
      </c>
      <c r="E14" s="514">
        <v>13.407793861905112</v>
      </c>
      <c r="F14" s="513">
        <v>10669.520121488231</v>
      </c>
      <c r="G14" s="512">
        <v>3973</v>
      </c>
      <c r="H14" s="513">
        <v>3801</v>
      </c>
      <c r="I14" s="514">
        <f t="shared" si="1"/>
        <v>95.670777749811236</v>
      </c>
      <c r="J14" s="514">
        <v>17.604229320333026</v>
      </c>
      <c r="K14" s="515">
        <v>20743.239450441608</v>
      </c>
      <c r="L14" s="512">
        <v>5438</v>
      </c>
      <c r="M14" s="513">
        <v>5267</v>
      </c>
      <c r="N14" s="514">
        <f t="shared" si="2"/>
        <v>96.855461566752481</v>
      </c>
      <c r="O14" s="514">
        <v>28.652157825692083</v>
      </c>
      <c r="P14" s="515">
        <v>46782.383733055263</v>
      </c>
      <c r="Q14" s="512">
        <v>6914</v>
      </c>
      <c r="R14" s="513">
        <v>6893</v>
      </c>
      <c r="S14" s="514">
        <f t="shared" si="3"/>
        <v>99.696268440844662</v>
      </c>
      <c r="T14" s="514">
        <v>30.399152818507659</v>
      </c>
      <c r="U14" s="515">
        <v>64957.821717171719</v>
      </c>
      <c r="V14" s="512">
        <v>8098</v>
      </c>
      <c r="W14" s="513">
        <v>8090</v>
      </c>
      <c r="X14" s="514">
        <f t="shared" si="4"/>
        <v>99.901210175351935</v>
      </c>
      <c r="Y14" s="514">
        <v>28.928325125545161</v>
      </c>
      <c r="Z14" s="515">
        <v>72549.346582354716</v>
      </c>
      <c r="AA14" s="512">
        <v>9221</v>
      </c>
      <c r="AB14" s="513">
        <v>9211</v>
      </c>
      <c r="AC14" s="514">
        <v>99.891551892419471</v>
      </c>
      <c r="AD14" s="514">
        <v>21.885118119678619</v>
      </c>
      <c r="AE14" s="515">
        <v>62490.985130111527</v>
      </c>
      <c r="AF14" s="746">
        <v>10111</v>
      </c>
      <c r="AG14" s="748">
        <v>192</v>
      </c>
      <c r="AH14" s="750">
        <v>1.8989219661754524</v>
      </c>
      <c r="AI14" s="750">
        <v>6.13239247311828</v>
      </c>
      <c r="AJ14" s="515">
        <v>365</v>
      </c>
      <c r="AK14" s="522"/>
    </row>
    <row r="15" spans="1:37" s="164" customFormat="1" ht="15.75">
      <c r="A15" s="511" t="s">
        <v>188</v>
      </c>
      <c r="B15" s="512">
        <v>2667</v>
      </c>
      <c r="C15" s="513">
        <v>2625</v>
      </c>
      <c r="D15" s="514">
        <f t="shared" si="0"/>
        <v>98.425196850393704</v>
      </c>
      <c r="E15" s="514">
        <v>16.915697325818442</v>
      </c>
      <c r="F15" s="513">
        <v>13765.148698884759</v>
      </c>
      <c r="G15" s="512">
        <v>4135</v>
      </c>
      <c r="H15" s="513">
        <v>3963</v>
      </c>
      <c r="I15" s="514">
        <f t="shared" si="1"/>
        <v>95.840386940749696</v>
      </c>
      <c r="J15" s="514">
        <v>25.160865594937249</v>
      </c>
      <c r="K15" s="515">
        <v>30910.878209348255</v>
      </c>
      <c r="L15" s="512">
        <v>5574</v>
      </c>
      <c r="M15" s="513">
        <v>5255</v>
      </c>
      <c r="N15" s="514">
        <f t="shared" si="2"/>
        <v>94.277000358808763</v>
      </c>
      <c r="O15" s="514">
        <v>32.957511222465811</v>
      </c>
      <c r="P15" s="515">
        <v>53689.433656957932</v>
      </c>
      <c r="Q15" s="512">
        <v>6987</v>
      </c>
      <c r="R15" s="513">
        <v>6981</v>
      </c>
      <c r="S15" s="514">
        <f t="shared" si="3"/>
        <v>99.914126234435386</v>
      </c>
      <c r="T15" s="514">
        <v>31.339917484341267</v>
      </c>
      <c r="U15" s="515">
        <v>67823.028827037779</v>
      </c>
      <c r="V15" s="512">
        <v>8134</v>
      </c>
      <c r="W15" s="513">
        <v>8112</v>
      </c>
      <c r="X15" s="514">
        <f t="shared" si="4"/>
        <v>99.72953036636342</v>
      </c>
      <c r="Y15" s="514">
        <v>32.908998616516207</v>
      </c>
      <c r="Z15" s="515">
        <v>82756.917000925634</v>
      </c>
      <c r="AA15" s="512">
        <v>9313</v>
      </c>
      <c r="AB15" s="513">
        <v>9303</v>
      </c>
      <c r="AC15" s="514">
        <v>99.892623214860947</v>
      </c>
      <c r="AD15" s="514">
        <v>32.688539970749744</v>
      </c>
      <c r="AE15" s="515">
        <v>94271.461077844317</v>
      </c>
      <c r="AF15" s="746">
        <v>10133</v>
      </c>
      <c r="AG15" s="748">
        <v>676</v>
      </c>
      <c r="AH15" s="750">
        <v>6.6712720813184649</v>
      </c>
      <c r="AI15" s="750">
        <v>22.620967741935484</v>
      </c>
      <c r="AJ15" s="515">
        <v>4740.45</v>
      </c>
      <c r="AK15" s="522"/>
    </row>
    <row r="16" spans="1:37" s="164" customFormat="1" ht="15.75">
      <c r="A16" s="511" t="s">
        <v>189</v>
      </c>
      <c r="B16" s="512">
        <v>2729</v>
      </c>
      <c r="C16" s="513">
        <v>2671</v>
      </c>
      <c r="D16" s="514">
        <f t="shared" si="0"/>
        <v>97.874679369732505</v>
      </c>
      <c r="E16" s="514">
        <v>11.256245538900785</v>
      </c>
      <c r="F16" s="513">
        <v>9019.6295503211986</v>
      </c>
      <c r="G16" s="512">
        <v>4255</v>
      </c>
      <c r="H16" s="513">
        <v>4095</v>
      </c>
      <c r="I16" s="514">
        <f t="shared" si="1"/>
        <v>96.239717978848418</v>
      </c>
      <c r="J16" s="514">
        <v>18.418041804180419</v>
      </c>
      <c r="K16" s="515">
        <v>22626.564356435643</v>
      </c>
      <c r="L16" s="512">
        <v>5622</v>
      </c>
      <c r="M16" s="513">
        <v>5463</v>
      </c>
      <c r="N16" s="514">
        <f t="shared" si="2"/>
        <v>97.171824973319104</v>
      </c>
      <c r="O16" s="514">
        <v>32.078977932636469</v>
      </c>
      <c r="P16" s="515">
        <v>52574.236933797911</v>
      </c>
      <c r="Q16" s="512">
        <v>7009</v>
      </c>
      <c r="R16" s="513">
        <v>7003</v>
      </c>
      <c r="S16" s="514">
        <f t="shared" si="3"/>
        <v>99.914395776858328</v>
      </c>
      <c r="T16" s="514">
        <v>22.481022388776786</v>
      </c>
      <c r="U16" s="515">
        <v>47230.37993658115</v>
      </c>
      <c r="V16" s="512">
        <v>8208</v>
      </c>
      <c r="W16" s="513">
        <v>8200</v>
      </c>
      <c r="X16" s="514">
        <f t="shared" si="4"/>
        <v>99.902534113060426</v>
      </c>
      <c r="Y16" s="514">
        <v>25.1469596222415</v>
      </c>
      <c r="Z16" s="515">
        <v>61861.520670714082</v>
      </c>
      <c r="AA16" s="512">
        <v>9415</v>
      </c>
      <c r="AB16" s="513">
        <v>9405</v>
      </c>
      <c r="AC16" s="514">
        <v>99.893786510886883</v>
      </c>
      <c r="AD16" s="514">
        <v>23.778213019958962</v>
      </c>
      <c r="AE16" s="515">
        <v>67090.228035814216</v>
      </c>
      <c r="AF16" s="746">
        <v>10115</v>
      </c>
      <c r="AG16" s="748">
        <v>1002</v>
      </c>
      <c r="AH16" s="750">
        <v>9.9060800790904597</v>
      </c>
      <c r="AI16" s="750">
        <v>13.274231678486997</v>
      </c>
      <c r="AJ16" s="515">
        <v>3990.2340425531916</v>
      </c>
      <c r="AK16" s="522"/>
    </row>
    <row r="17" spans="1:42" s="164" customFormat="1" ht="15.75">
      <c r="A17" s="511" t="s">
        <v>190</v>
      </c>
      <c r="B17" s="512">
        <v>2782</v>
      </c>
      <c r="C17" s="513">
        <v>2722</v>
      </c>
      <c r="D17" s="514">
        <f t="shared" si="0"/>
        <v>97.843278217109997</v>
      </c>
      <c r="E17" s="514">
        <v>13.170222578217919</v>
      </c>
      <c r="F17" s="513">
        <v>11113.297215951843</v>
      </c>
      <c r="G17" s="512">
        <v>4349</v>
      </c>
      <c r="H17" s="513">
        <v>4175</v>
      </c>
      <c r="I17" s="514">
        <f t="shared" si="1"/>
        <v>95.999080248332945</v>
      </c>
      <c r="J17" s="514">
        <v>22.283639963699365</v>
      </c>
      <c r="K17" s="515">
        <v>28840.601023017902</v>
      </c>
      <c r="L17" s="512">
        <v>5652</v>
      </c>
      <c r="M17" s="513">
        <v>5503</v>
      </c>
      <c r="N17" s="514">
        <f t="shared" si="2"/>
        <v>97.363765038924271</v>
      </c>
      <c r="O17" s="514">
        <v>36.007218587863747</v>
      </c>
      <c r="P17" s="515">
        <v>61425.794405594403</v>
      </c>
      <c r="Q17" s="512">
        <v>7149</v>
      </c>
      <c r="R17" s="513">
        <v>7143</v>
      </c>
      <c r="S17" s="514">
        <f t="shared" si="3"/>
        <v>99.916072177926978</v>
      </c>
      <c r="T17" s="514">
        <v>27.200701401734257</v>
      </c>
      <c r="U17" s="515">
        <v>60231.329134902218</v>
      </c>
      <c r="V17" s="512">
        <v>8294</v>
      </c>
      <c r="W17" s="513">
        <v>8286</v>
      </c>
      <c r="X17" s="514">
        <f t="shared" si="4"/>
        <v>99.903544731130935</v>
      </c>
      <c r="Y17" s="514">
        <v>25.17155880585053</v>
      </c>
      <c r="Z17" s="515">
        <v>64657.176242236026</v>
      </c>
      <c r="AA17" s="512">
        <v>9525</v>
      </c>
      <c r="AB17" s="513">
        <v>9515</v>
      </c>
      <c r="AC17" s="514">
        <v>99.895013123359576</v>
      </c>
      <c r="AD17" s="514">
        <v>25.389397425228843</v>
      </c>
      <c r="AE17" s="515">
        <v>74889.836115326252</v>
      </c>
      <c r="AF17" s="746">
        <v>10411</v>
      </c>
      <c r="AG17" s="748">
        <v>2256</v>
      </c>
      <c r="AH17" s="750">
        <v>21.669388147152048</v>
      </c>
      <c r="AI17" s="750">
        <v>13.477684489615555</v>
      </c>
      <c r="AJ17" s="515">
        <v>9425.7534246575342</v>
      </c>
      <c r="AK17" s="522"/>
    </row>
    <row r="18" spans="1:42" s="164" customFormat="1" ht="15.75">
      <c r="A18" s="516" t="s">
        <v>191</v>
      </c>
      <c r="B18" s="512">
        <v>2984</v>
      </c>
      <c r="C18" s="513">
        <v>2914</v>
      </c>
      <c r="D18" s="514">
        <f t="shared" si="0"/>
        <v>97.654155495978557</v>
      </c>
      <c r="E18" s="514">
        <v>15.024267132595615</v>
      </c>
      <c r="F18" s="513">
        <v>13134.214327315085</v>
      </c>
      <c r="G18" s="512">
        <v>4493</v>
      </c>
      <c r="H18" s="513">
        <v>4339</v>
      </c>
      <c r="I18" s="514">
        <f t="shared" si="1"/>
        <v>96.572446027153347</v>
      </c>
      <c r="J18" s="514">
        <v>26.652215799614641</v>
      </c>
      <c r="K18" s="515">
        <v>34693.189306358385</v>
      </c>
      <c r="L18" s="512">
        <v>5884</v>
      </c>
      <c r="M18" s="513">
        <v>5633</v>
      </c>
      <c r="N18" s="514">
        <f t="shared" si="2"/>
        <v>95.734194425560844</v>
      </c>
      <c r="O18" s="514">
        <v>37.906862745098039</v>
      </c>
      <c r="P18" s="515">
        <v>64058.807352941178</v>
      </c>
      <c r="Q18" s="512">
        <v>7360</v>
      </c>
      <c r="R18" s="513">
        <v>7354</v>
      </c>
      <c r="S18" s="514">
        <f t="shared" si="3"/>
        <v>99.918478260869563</v>
      </c>
      <c r="T18" s="514">
        <v>30.443777110443783</v>
      </c>
      <c r="U18" s="515">
        <v>67165.06106106106</v>
      </c>
      <c r="V18" s="512">
        <v>8292</v>
      </c>
      <c r="W18" s="513">
        <v>8248</v>
      </c>
      <c r="X18" s="514">
        <f t="shared" si="4"/>
        <v>99.469368065605408</v>
      </c>
      <c r="Y18" s="514">
        <v>30.452926208651398</v>
      </c>
      <c r="Z18" s="515">
        <v>75352.720610687029</v>
      </c>
      <c r="AA18" s="512">
        <v>9563</v>
      </c>
      <c r="AB18" s="513">
        <v>9553</v>
      </c>
      <c r="AC18" s="514">
        <v>99.895430304297818</v>
      </c>
      <c r="AD18" s="514">
        <v>31.740818154673033</v>
      </c>
      <c r="AE18" s="515">
        <v>90966.010749477457</v>
      </c>
      <c r="AF18" s="746">
        <v>10411</v>
      </c>
      <c r="AG18" s="748">
        <v>3434</v>
      </c>
      <c r="AH18" s="750">
        <v>32.984343482854669</v>
      </c>
      <c r="AI18" s="750">
        <v>14.278252611585945</v>
      </c>
      <c r="AJ18" s="515">
        <v>14709.455840455841</v>
      </c>
      <c r="AK18" s="522"/>
    </row>
    <row r="19" spans="1:42" s="164" customFormat="1" ht="15.75">
      <c r="A19" s="517" t="s">
        <v>192</v>
      </c>
      <c r="B19" s="518">
        <v>3199</v>
      </c>
      <c r="C19" s="519">
        <v>3097</v>
      </c>
      <c r="D19" s="520">
        <f t="shared" si="0"/>
        <v>96.8115035948734</v>
      </c>
      <c r="E19" s="520">
        <v>19.182069912195583</v>
      </c>
      <c r="F19" s="519">
        <v>18416.129860601613</v>
      </c>
      <c r="G19" s="518">
        <v>4621</v>
      </c>
      <c r="H19" s="519">
        <v>4455</v>
      </c>
      <c r="I19" s="520">
        <f t="shared" si="1"/>
        <v>96.407703960181777</v>
      </c>
      <c r="J19" s="520">
        <v>32.391582995086523</v>
      </c>
      <c r="K19" s="521">
        <v>44734.395695364241</v>
      </c>
      <c r="L19" s="518">
        <v>6034</v>
      </c>
      <c r="M19" s="519">
        <v>5880</v>
      </c>
      <c r="N19" s="520">
        <f t="shared" si="2"/>
        <v>97.447795823665899</v>
      </c>
      <c r="O19" s="520">
        <v>40.996560379287899</v>
      </c>
      <c r="P19" s="521">
        <v>74728.530259365987</v>
      </c>
      <c r="Q19" s="518">
        <v>7304</v>
      </c>
      <c r="R19" s="519">
        <v>7304</v>
      </c>
      <c r="S19" s="520">
        <f t="shared" si="3"/>
        <v>100</v>
      </c>
      <c r="T19" s="520">
        <v>37.250407548288301</v>
      </c>
      <c r="U19" s="521">
        <v>84343.862787136299</v>
      </c>
      <c r="V19" s="518">
        <v>8563</v>
      </c>
      <c r="W19" s="519">
        <v>8454</v>
      </c>
      <c r="X19" s="520">
        <f t="shared" si="4"/>
        <v>98.727081630269765</v>
      </c>
      <c r="Y19" s="520">
        <v>40.22787195766189</v>
      </c>
      <c r="Z19" s="521">
        <v>105426.7931543228</v>
      </c>
      <c r="AA19" s="518">
        <v>9753</v>
      </c>
      <c r="AB19" s="519">
        <v>9743</v>
      </c>
      <c r="AC19" s="520">
        <v>99.898198106484784</v>
      </c>
      <c r="AD19" s="520">
        <v>39.683914267157391</v>
      </c>
      <c r="AE19" s="521">
        <v>119858.5167785235</v>
      </c>
      <c r="AF19" s="747">
        <v>10343</v>
      </c>
      <c r="AG19" s="749">
        <v>5388</v>
      </c>
      <c r="AH19" s="751">
        <v>52.09320313255342</v>
      </c>
      <c r="AI19" s="751">
        <v>24.027092182298244</v>
      </c>
      <c r="AJ19" s="521">
        <v>40131.971530249109</v>
      </c>
      <c r="AK19" s="522"/>
    </row>
    <row r="20" spans="1:42" ht="20.25" customHeight="1">
      <c r="A20" s="54" t="s">
        <v>142</v>
      </c>
      <c r="B20" s="181"/>
      <c r="C20" s="181"/>
      <c r="D20" s="182"/>
      <c r="G20" s="181"/>
      <c r="H20" s="181"/>
      <c r="I20" s="182"/>
      <c r="L20" s="181"/>
      <c r="M20" s="181"/>
      <c r="N20" s="182"/>
      <c r="Q20" s="181"/>
      <c r="R20" s="181"/>
      <c r="S20" s="182"/>
      <c r="U20" s="57"/>
      <c r="V20" s="181"/>
      <c r="W20" s="181"/>
      <c r="X20" s="182"/>
      <c r="Z20" s="57"/>
      <c r="AA20" s="181"/>
      <c r="AB20" s="181"/>
      <c r="AC20" s="182"/>
      <c r="AE20" s="555"/>
      <c r="AF20" s="181"/>
      <c r="AG20" s="181"/>
      <c r="AH20" s="182"/>
      <c r="AJ20" s="555" t="s">
        <v>193</v>
      </c>
      <c r="AK20" s="207"/>
      <c r="AO20" s="183" t="s">
        <v>179</v>
      </c>
      <c r="AP20" s="183" t="s">
        <v>194</v>
      </c>
    </row>
    <row r="21" spans="1:42" ht="12.75">
      <c r="A21" s="735" t="s">
        <v>1078</v>
      </c>
      <c r="B21" s="181"/>
      <c r="C21" s="181"/>
      <c r="D21" s="182"/>
      <c r="G21" s="181"/>
      <c r="H21" s="181"/>
      <c r="I21" s="182"/>
      <c r="L21" s="181"/>
      <c r="M21" s="181"/>
      <c r="N21" s="182"/>
      <c r="Q21" s="181"/>
      <c r="R21" s="181"/>
      <c r="S21" s="182"/>
      <c r="V21" s="197"/>
      <c r="W21" s="207"/>
      <c r="X21" s="207"/>
      <c r="Y21" s="207"/>
      <c r="Z21" s="207"/>
      <c r="AA21" s="197"/>
      <c r="AB21" s="207"/>
      <c r="AC21" s="207"/>
      <c r="AD21" s="207"/>
      <c r="AE21" s="207"/>
      <c r="AF21" s="197"/>
      <c r="AG21" s="207"/>
      <c r="AH21" s="207"/>
      <c r="AI21" s="207"/>
      <c r="AJ21" s="207"/>
      <c r="AK21" s="207"/>
      <c r="AN21" s="185" t="s">
        <v>195</v>
      </c>
      <c r="AO21" s="173">
        <f t="shared" ref="AO21:AO32" si="5">AF8</f>
        <v>9927</v>
      </c>
      <c r="AP21" s="173">
        <f t="shared" ref="AP21:AP32" si="6">AG8</f>
        <v>9917</v>
      </c>
    </row>
    <row r="22" spans="1:42" ht="12.75">
      <c r="A22" s="736" t="s">
        <v>1079</v>
      </c>
      <c r="B22" s="181"/>
      <c r="C22" s="181"/>
      <c r="G22" s="181"/>
      <c r="H22" s="181"/>
      <c r="L22" s="181"/>
      <c r="M22" s="181"/>
      <c r="Q22" s="181"/>
      <c r="R22" s="181"/>
      <c r="V22" s="197"/>
      <c r="W22" s="207"/>
      <c r="X22" s="207"/>
      <c r="Y22" s="207"/>
      <c r="Z22" s="207"/>
      <c r="AA22" s="197"/>
      <c r="AB22" s="207"/>
      <c r="AC22" s="207"/>
      <c r="AD22" s="207"/>
      <c r="AE22" s="207"/>
      <c r="AF22" s="197"/>
      <c r="AG22" s="207"/>
      <c r="AH22" s="207"/>
      <c r="AI22" s="207"/>
      <c r="AJ22" s="207"/>
      <c r="AK22" s="207"/>
      <c r="AN22" s="185" t="s">
        <v>196</v>
      </c>
      <c r="AO22" s="173">
        <f t="shared" si="5"/>
        <v>10037</v>
      </c>
      <c r="AP22" s="173">
        <f t="shared" si="6"/>
        <v>10027</v>
      </c>
    </row>
    <row r="23" spans="1:42" ht="12.75">
      <c r="A23" s="187"/>
      <c r="B23" s="181"/>
      <c r="C23" s="181"/>
      <c r="G23" s="181"/>
      <c r="H23" s="181"/>
      <c r="L23" s="181"/>
      <c r="M23" s="181"/>
      <c r="Q23" s="181"/>
      <c r="R23" s="181"/>
      <c r="V23" s="197"/>
      <c r="W23" s="207"/>
      <c r="X23" s="207"/>
      <c r="Y23" s="207"/>
      <c r="Z23" s="207"/>
      <c r="AA23" s="197"/>
      <c r="AB23" s="207"/>
      <c r="AC23" s="207"/>
      <c r="AD23" s="207"/>
      <c r="AE23" s="207"/>
      <c r="AF23" s="197"/>
      <c r="AG23" s="207"/>
      <c r="AH23" s="207"/>
      <c r="AI23" s="207"/>
      <c r="AJ23" s="207"/>
      <c r="AK23" s="207"/>
      <c r="AN23" s="185" t="s">
        <v>197</v>
      </c>
      <c r="AO23" s="173">
        <f t="shared" si="5"/>
        <v>10093</v>
      </c>
      <c r="AP23" s="173">
        <f t="shared" si="6"/>
        <v>10075</v>
      </c>
    </row>
    <row r="24" spans="1:42" ht="12.75">
      <c r="A24" s="187"/>
      <c r="B24" s="181"/>
      <c r="C24" s="181"/>
      <c r="G24" s="181"/>
      <c r="H24" s="181"/>
      <c r="L24" s="181"/>
      <c r="M24" s="181"/>
      <c r="Q24" s="181"/>
      <c r="R24" s="181"/>
      <c r="V24" s="197"/>
      <c r="W24" s="207"/>
      <c r="X24" s="207"/>
      <c r="Y24" s="207"/>
      <c r="Z24" s="207"/>
      <c r="AA24" s="197"/>
      <c r="AB24" s="207"/>
      <c r="AC24" s="207"/>
      <c r="AD24" s="207"/>
      <c r="AE24" s="207"/>
      <c r="AF24" s="197"/>
      <c r="AG24" s="207"/>
      <c r="AH24" s="207"/>
      <c r="AI24" s="207"/>
      <c r="AJ24" s="207"/>
      <c r="AK24" s="207"/>
      <c r="AN24" s="185" t="s">
        <v>198</v>
      </c>
      <c r="AO24" s="173">
        <f t="shared" si="5"/>
        <v>10093</v>
      </c>
      <c r="AP24" s="173">
        <f t="shared" si="6"/>
        <v>266</v>
      </c>
    </row>
    <row r="25" spans="1:42" ht="12.75">
      <c r="A25" s="187"/>
      <c r="B25" s="181"/>
      <c r="C25" s="181"/>
      <c r="G25" s="181"/>
      <c r="H25" s="181"/>
      <c r="L25" s="181"/>
      <c r="M25" s="181"/>
      <c r="Q25" s="181"/>
      <c r="R25" s="181"/>
      <c r="V25" s="197"/>
      <c r="W25" s="207"/>
      <c r="X25" s="207"/>
      <c r="Y25" s="207"/>
      <c r="Z25" s="207"/>
      <c r="AA25" s="197"/>
      <c r="AB25" s="207"/>
      <c r="AC25" s="207"/>
      <c r="AD25" s="207"/>
      <c r="AE25" s="207"/>
      <c r="AF25" s="197"/>
      <c r="AG25" s="207"/>
      <c r="AH25" s="207"/>
      <c r="AI25" s="207"/>
      <c r="AJ25" s="207"/>
      <c r="AK25" s="207"/>
      <c r="AN25" s="185" t="s">
        <v>185</v>
      </c>
      <c r="AO25" s="173">
        <f t="shared" si="5"/>
        <v>10093</v>
      </c>
      <c r="AP25" s="173">
        <f t="shared" si="6"/>
        <v>74</v>
      </c>
    </row>
    <row r="26" spans="1:42" ht="12.75">
      <c r="A26" s="187"/>
      <c r="B26" s="181"/>
      <c r="C26" s="181"/>
      <c r="G26" s="181"/>
      <c r="H26" s="181"/>
      <c r="L26" s="181"/>
      <c r="M26" s="181"/>
      <c r="Q26" s="181"/>
      <c r="R26" s="181"/>
      <c r="V26" s="197"/>
      <c r="W26" s="207"/>
      <c r="X26" s="207"/>
      <c r="Y26" s="207"/>
      <c r="Z26" s="207"/>
      <c r="AA26" s="197"/>
      <c r="AB26" s="207"/>
      <c r="AC26" s="207"/>
      <c r="AD26" s="207"/>
      <c r="AE26" s="207"/>
      <c r="AF26" s="197"/>
      <c r="AG26" s="207"/>
      <c r="AH26" s="207"/>
      <c r="AI26" s="207"/>
      <c r="AJ26" s="207"/>
      <c r="AK26" s="207"/>
      <c r="AN26" s="185" t="s">
        <v>199</v>
      </c>
      <c r="AO26" s="173">
        <f t="shared" si="5"/>
        <v>10085</v>
      </c>
      <c r="AP26" s="173">
        <f t="shared" si="6"/>
        <v>74</v>
      </c>
    </row>
    <row r="27" spans="1:42" ht="12.75">
      <c r="A27" s="187"/>
      <c r="B27" s="181"/>
      <c r="C27" s="181"/>
      <c r="G27" s="181"/>
      <c r="H27" s="181"/>
      <c r="L27" s="181"/>
      <c r="M27" s="181"/>
      <c r="Q27" s="181"/>
      <c r="R27" s="181"/>
      <c r="V27" s="206"/>
      <c r="W27" s="203"/>
      <c r="X27" s="203"/>
      <c r="Y27" s="203"/>
      <c r="Z27" s="203"/>
      <c r="AA27" s="206"/>
      <c r="AB27" s="203"/>
      <c r="AC27" s="203"/>
      <c r="AD27" s="203"/>
      <c r="AE27" s="203"/>
      <c r="AF27" s="206"/>
      <c r="AG27" s="203"/>
      <c r="AH27" s="203"/>
      <c r="AI27" s="203"/>
      <c r="AJ27" s="203"/>
      <c r="AK27" s="203"/>
      <c r="AN27" s="185" t="s">
        <v>200</v>
      </c>
      <c r="AO27" s="173">
        <f t="shared" si="5"/>
        <v>10111</v>
      </c>
      <c r="AP27" s="173">
        <f t="shared" si="6"/>
        <v>192</v>
      </c>
    </row>
    <row r="28" spans="1:42" ht="12.75">
      <c r="A28" s="187"/>
      <c r="B28" s="181"/>
      <c r="C28" s="181"/>
      <c r="G28" s="181"/>
      <c r="H28" s="181"/>
      <c r="L28" s="181"/>
      <c r="M28" s="181"/>
      <c r="Q28" s="181"/>
      <c r="R28" s="181"/>
      <c r="V28" s="197"/>
      <c r="W28" s="203"/>
      <c r="X28" s="203"/>
      <c r="Y28" s="203"/>
      <c r="Z28" s="203"/>
      <c r="AA28" s="197"/>
      <c r="AB28" s="203"/>
      <c r="AC28" s="203"/>
      <c r="AD28" s="203"/>
      <c r="AE28" s="203"/>
      <c r="AF28" s="197"/>
      <c r="AG28" s="203"/>
      <c r="AH28" s="203"/>
      <c r="AI28" s="203"/>
      <c r="AJ28" s="203"/>
      <c r="AK28" s="203"/>
      <c r="AN28" s="185" t="s">
        <v>201</v>
      </c>
      <c r="AO28" s="173">
        <f t="shared" si="5"/>
        <v>10133</v>
      </c>
      <c r="AP28" s="173">
        <f t="shared" si="6"/>
        <v>676</v>
      </c>
    </row>
    <row r="29" spans="1:42" ht="12.75">
      <c r="A29" s="187"/>
      <c r="B29" s="181"/>
      <c r="C29" s="181"/>
      <c r="G29" s="181"/>
      <c r="H29" s="181"/>
      <c r="L29" s="181"/>
      <c r="M29" s="181"/>
      <c r="Q29" s="181"/>
      <c r="R29" s="181"/>
      <c r="V29" s="197"/>
      <c r="W29" s="203"/>
      <c r="X29" s="203"/>
      <c r="Y29" s="203"/>
      <c r="Z29" s="203"/>
      <c r="AA29" s="197"/>
      <c r="AB29" s="203"/>
      <c r="AC29" s="203"/>
      <c r="AD29" s="203"/>
      <c r="AE29" s="203"/>
      <c r="AF29" s="197"/>
      <c r="AG29" s="203"/>
      <c r="AH29" s="203"/>
      <c r="AI29" s="203"/>
      <c r="AJ29" s="203"/>
      <c r="AK29" s="203"/>
      <c r="AN29" s="185" t="s">
        <v>202</v>
      </c>
      <c r="AO29" s="173">
        <f t="shared" si="5"/>
        <v>10115</v>
      </c>
      <c r="AP29" s="173">
        <f t="shared" si="6"/>
        <v>1002</v>
      </c>
    </row>
    <row r="30" spans="1:42" ht="12.75">
      <c r="A30" s="187"/>
      <c r="B30" s="181"/>
      <c r="C30" s="181"/>
      <c r="G30" s="181"/>
      <c r="H30" s="181"/>
      <c r="L30" s="181"/>
      <c r="M30" s="181"/>
      <c r="Q30" s="181"/>
      <c r="R30" s="181"/>
      <c r="V30" s="197"/>
      <c r="W30" s="203"/>
      <c r="X30" s="203"/>
      <c r="Y30" s="203"/>
      <c r="Z30" s="203"/>
      <c r="AA30" s="197"/>
      <c r="AB30" s="203"/>
      <c r="AC30" s="203"/>
      <c r="AD30" s="203"/>
      <c r="AE30" s="203"/>
      <c r="AF30" s="197"/>
      <c r="AG30" s="203"/>
      <c r="AH30" s="203"/>
      <c r="AI30" s="203"/>
      <c r="AJ30" s="203"/>
      <c r="AK30" s="203"/>
      <c r="AN30" s="185" t="s">
        <v>203</v>
      </c>
      <c r="AO30" s="173">
        <f t="shared" si="5"/>
        <v>10411</v>
      </c>
      <c r="AP30" s="173">
        <f t="shared" si="6"/>
        <v>2256</v>
      </c>
    </row>
    <row r="31" spans="1:42" ht="12.75">
      <c r="A31" s="187"/>
      <c r="B31" s="181"/>
      <c r="C31" s="181"/>
      <c r="D31" s="184"/>
      <c r="G31" s="181"/>
      <c r="H31" s="181"/>
      <c r="I31" s="184"/>
      <c r="L31" s="181"/>
      <c r="M31" s="181"/>
      <c r="N31" s="184"/>
      <c r="Q31" s="181"/>
      <c r="R31" s="181"/>
      <c r="S31" s="184"/>
      <c r="V31" s="197"/>
      <c r="W31" s="203"/>
      <c r="X31" s="203"/>
      <c r="Y31" s="203"/>
      <c r="Z31" s="203"/>
      <c r="AA31" s="197"/>
      <c r="AB31" s="203"/>
      <c r="AC31" s="203"/>
      <c r="AD31" s="203"/>
      <c r="AE31" s="203"/>
      <c r="AF31" s="197"/>
      <c r="AG31" s="203"/>
      <c r="AH31" s="203"/>
      <c r="AI31" s="203"/>
      <c r="AJ31" s="203"/>
      <c r="AK31" s="203"/>
      <c r="AN31" s="185" t="s">
        <v>204</v>
      </c>
      <c r="AO31" s="173">
        <f t="shared" si="5"/>
        <v>10411</v>
      </c>
      <c r="AP31" s="173">
        <f t="shared" si="6"/>
        <v>3434</v>
      </c>
    </row>
    <row r="32" spans="1:42" ht="12.75">
      <c r="A32" s="187"/>
      <c r="B32" s="191"/>
      <c r="C32" s="191"/>
      <c r="D32" s="192"/>
      <c r="G32" s="191"/>
      <c r="H32" s="191"/>
      <c r="I32" s="192"/>
      <c r="L32" s="191"/>
      <c r="M32" s="191"/>
      <c r="N32" s="192"/>
      <c r="Q32" s="191"/>
      <c r="R32" s="191"/>
      <c r="S32" s="192"/>
      <c r="V32" s="197"/>
      <c r="W32" s="203"/>
      <c r="X32" s="203"/>
      <c r="Y32" s="203"/>
      <c r="Z32" s="203"/>
      <c r="AA32" s="197"/>
      <c r="AB32" s="203"/>
      <c r="AC32" s="203"/>
      <c r="AD32" s="203"/>
      <c r="AE32" s="203"/>
      <c r="AF32" s="197"/>
      <c r="AG32" s="203"/>
      <c r="AH32" s="203"/>
      <c r="AI32" s="203"/>
      <c r="AJ32" s="203"/>
      <c r="AK32" s="203"/>
      <c r="AN32" s="185" t="s">
        <v>205</v>
      </c>
      <c r="AO32" s="173">
        <f t="shared" si="5"/>
        <v>10343</v>
      </c>
      <c r="AP32" s="173">
        <f t="shared" si="6"/>
        <v>5388</v>
      </c>
    </row>
    <row r="33" spans="1:42" ht="12.75">
      <c r="A33" s="187"/>
      <c r="B33" s="193"/>
      <c r="C33" s="193"/>
      <c r="D33" s="193"/>
      <c r="E33" s="194"/>
      <c r="G33" s="193"/>
      <c r="H33" s="193"/>
      <c r="I33" s="193"/>
      <c r="J33" s="194"/>
      <c r="L33" s="193"/>
      <c r="M33" s="193"/>
      <c r="N33" s="193"/>
      <c r="O33" s="194"/>
      <c r="Q33" s="193"/>
      <c r="R33" s="193"/>
      <c r="S33" s="193"/>
      <c r="T33" s="194"/>
      <c r="V33" s="197"/>
      <c r="W33" s="203"/>
      <c r="X33" s="203"/>
      <c r="Y33" s="203"/>
      <c r="Z33" s="203"/>
      <c r="AA33" s="197"/>
      <c r="AB33" s="203"/>
      <c r="AC33" s="203"/>
      <c r="AD33" s="203"/>
      <c r="AE33" s="203"/>
      <c r="AF33" s="197"/>
      <c r="AG33" s="203"/>
      <c r="AH33" s="203"/>
      <c r="AI33" s="203"/>
      <c r="AJ33" s="203"/>
      <c r="AK33" s="203"/>
      <c r="AN33" s="164"/>
      <c r="AO33" s="164"/>
      <c r="AP33" s="164"/>
    </row>
    <row r="34" spans="1:42" ht="12.75">
      <c r="A34" s="187"/>
      <c r="B34" s="195"/>
      <c r="C34" s="195"/>
      <c r="D34" s="195"/>
      <c r="E34" s="194"/>
      <c r="G34" s="195"/>
      <c r="H34" s="195"/>
      <c r="I34" s="195"/>
      <c r="J34" s="194"/>
      <c r="L34" s="195"/>
      <c r="M34" s="195"/>
      <c r="N34" s="195"/>
      <c r="O34" s="194"/>
      <c r="Q34" s="195"/>
      <c r="R34" s="195"/>
      <c r="S34" s="195"/>
      <c r="T34" s="194"/>
      <c r="V34" s="197"/>
      <c r="W34" s="203"/>
      <c r="X34" s="203"/>
      <c r="Y34" s="203"/>
      <c r="Z34" s="203"/>
      <c r="AA34" s="197"/>
      <c r="AB34" s="203"/>
      <c r="AC34" s="203"/>
      <c r="AD34" s="203"/>
      <c r="AE34" s="203"/>
      <c r="AF34" s="197"/>
      <c r="AG34" s="203"/>
      <c r="AH34" s="203"/>
      <c r="AI34" s="203"/>
      <c r="AJ34" s="203"/>
      <c r="AK34" s="203"/>
    </row>
    <row r="35" spans="1:42" ht="12.75">
      <c r="A35" s="187"/>
      <c r="B35" s="195"/>
      <c r="C35" s="195"/>
      <c r="D35" s="195"/>
      <c r="E35" s="194"/>
      <c r="F35" s="194"/>
      <c r="G35" s="195"/>
      <c r="H35" s="195"/>
      <c r="I35" s="195"/>
      <c r="J35" s="194"/>
      <c r="K35" s="194"/>
      <c r="L35" s="195"/>
      <c r="M35" s="195"/>
      <c r="N35" s="195"/>
      <c r="O35" s="194"/>
      <c r="P35" s="194"/>
      <c r="Q35" s="195"/>
      <c r="R35" s="195"/>
      <c r="S35" s="195"/>
      <c r="T35" s="194"/>
      <c r="U35" s="194"/>
      <c r="V35" s="197"/>
      <c r="W35" s="203"/>
      <c r="X35" s="203"/>
      <c r="Y35" s="203"/>
      <c r="Z35" s="203"/>
      <c r="AA35" s="197"/>
      <c r="AB35" s="203"/>
      <c r="AC35" s="203"/>
      <c r="AD35" s="203"/>
      <c r="AE35" s="203"/>
      <c r="AF35" s="197"/>
      <c r="AG35" s="203"/>
      <c r="AH35" s="203"/>
      <c r="AI35" s="203"/>
      <c r="AJ35" s="203"/>
      <c r="AK35" s="203"/>
    </row>
    <row r="36" spans="1:42" ht="12.75">
      <c r="B36" s="195"/>
      <c r="C36" s="195"/>
      <c r="D36" s="195"/>
      <c r="E36" s="194"/>
      <c r="F36" s="196"/>
      <c r="G36" s="195"/>
      <c r="H36" s="195"/>
      <c r="I36" s="195"/>
      <c r="J36" s="194"/>
      <c r="K36" s="196"/>
      <c r="L36" s="195"/>
      <c r="M36" s="195"/>
      <c r="N36" s="195"/>
      <c r="O36" s="194"/>
      <c r="P36" s="196"/>
      <c r="Q36" s="195"/>
      <c r="R36" s="195"/>
      <c r="S36" s="195"/>
      <c r="T36" s="194"/>
      <c r="U36" s="196"/>
      <c r="V36" s="197"/>
      <c r="W36" s="203"/>
      <c r="X36" s="203"/>
      <c r="Y36" s="203"/>
      <c r="Z36" s="203"/>
      <c r="AA36" s="197"/>
      <c r="AB36" s="203"/>
      <c r="AC36" s="203"/>
      <c r="AD36" s="203"/>
      <c r="AE36" s="203"/>
      <c r="AF36" s="197"/>
      <c r="AG36" s="203"/>
      <c r="AH36" s="203"/>
      <c r="AI36" s="203"/>
      <c r="AJ36" s="203"/>
      <c r="AK36" s="203"/>
    </row>
    <row r="37" spans="1:42" ht="12.75">
      <c r="B37" s="195"/>
      <c r="C37" s="195"/>
      <c r="D37" s="195"/>
      <c r="E37" s="185"/>
      <c r="F37" s="194"/>
      <c r="G37" s="195"/>
      <c r="H37" s="195"/>
      <c r="I37" s="195"/>
      <c r="J37" s="185"/>
      <c r="K37" s="194"/>
      <c r="L37" s="195"/>
      <c r="M37" s="195"/>
      <c r="N37" s="195"/>
      <c r="O37" s="185"/>
      <c r="P37" s="194"/>
      <c r="Q37" s="195"/>
      <c r="R37" s="195"/>
      <c r="S37" s="195"/>
      <c r="T37" s="185"/>
      <c r="U37" s="194"/>
      <c r="V37" s="197"/>
      <c r="W37" s="203"/>
      <c r="X37" s="203"/>
      <c r="Y37" s="203"/>
      <c r="Z37" s="203"/>
      <c r="AA37" s="197"/>
      <c r="AB37" s="203"/>
      <c r="AC37" s="203"/>
      <c r="AD37" s="203"/>
      <c r="AE37" s="203"/>
      <c r="AF37" s="197"/>
      <c r="AG37" s="203"/>
      <c r="AH37" s="203"/>
      <c r="AI37" s="203"/>
      <c r="AJ37" s="203"/>
      <c r="AK37" s="203"/>
    </row>
    <row r="38" spans="1:42" ht="12.75">
      <c r="B38" s="195"/>
      <c r="C38" s="195"/>
      <c r="D38" s="195"/>
      <c r="E38" s="185"/>
      <c r="G38" s="195"/>
      <c r="H38" s="195"/>
      <c r="I38" s="195"/>
      <c r="J38" s="185"/>
      <c r="L38" s="195"/>
      <c r="M38" s="195"/>
      <c r="N38" s="195"/>
      <c r="O38" s="185"/>
      <c r="Q38" s="195"/>
      <c r="R38" s="195"/>
      <c r="S38" s="195"/>
      <c r="T38" s="185"/>
      <c r="V38" s="197"/>
      <c r="W38" s="203"/>
      <c r="X38" s="203"/>
      <c r="Y38" s="203"/>
      <c r="Z38" s="203"/>
      <c r="AA38" s="197"/>
      <c r="AB38" s="203"/>
      <c r="AC38" s="203"/>
      <c r="AD38" s="203"/>
      <c r="AE38" s="203"/>
      <c r="AF38" s="197"/>
      <c r="AG38" s="203"/>
      <c r="AH38" s="203"/>
      <c r="AI38" s="203"/>
      <c r="AJ38" s="203"/>
      <c r="AK38" s="203"/>
    </row>
    <row r="39" spans="1:42">
      <c r="B39" s="195"/>
      <c r="C39" s="195"/>
      <c r="D39" s="195"/>
      <c r="E39" s="185"/>
      <c r="G39" s="195"/>
      <c r="H39" s="195"/>
      <c r="I39" s="195"/>
      <c r="J39" s="185"/>
      <c r="L39" s="195"/>
      <c r="M39" s="195"/>
      <c r="N39" s="195"/>
      <c r="O39" s="185"/>
      <c r="Q39" s="195"/>
      <c r="R39" s="195"/>
      <c r="S39" s="195"/>
      <c r="T39" s="185"/>
    </row>
    <row r="40" spans="1:42">
      <c r="B40" s="195"/>
      <c r="C40" s="195"/>
      <c r="D40" s="195"/>
      <c r="E40" s="185"/>
      <c r="G40" s="195"/>
      <c r="H40" s="195"/>
      <c r="I40" s="195"/>
      <c r="J40" s="185"/>
      <c r="L40" s="195"/>
      <c r="M40" s="195"/>
      <c r="N40" s="195"/>
      <c r="O40" s="185"/>
      <c r="Q40" s="195"/>
      <c r="R40" s="195"/>
      <c r="S40" s="195"/>
      <c r="T40" s="185"/>
    </row>
    <row r="41" spans="1:42">
      <c r="B41" s="195"/>
      <c r="C41" s="195"/>
      <c r="D41" s="195"/>
      <c r="E41" s="185"/>
      <c r="G41" s="195"/>
      <c r="H41" s="195"/>
      <c r="I41" s="195"/>
      <c r="J41" s="185"/>
      <c r="L41" s="195"/>
      <c r="M41" s="195"/>
      <c r="N41" s="195"/>
      <c r="O41" s="185"/>
      <c r="Q41" s="195"/>
      <c r="R41" s="195"/>
      <c r="S41" s="195"/>
      <c r="T41" s="185"/>
    </row>
    <row r="42" spans="1:42">
      <c r="B42" s="195"/>
      <c r="C42" s="195"/>
      <c r="D42" s="195"/>
      <c r="E42" s="185"/>
      <c r="G42" s="195"/>
      <c r="H42" s="195"/>
      <c r="I42" s="195"/>
      <c r="J42" s="185"/>
      <c r="L42" s="195"/>
      <c r="M42" s="195"/>
      <c r="N42" s="195"/>
      <c r="O42" s="185"/>
      <c r="Q42" s="195"/>
      <c r="R42" s="195"/>
      <c r="S42" s="195"/>
      <c r="T42" s="185"/>
    </row>
    <row r="43" spans="1:42">
      <c r="B43" s="195"/>
      <c r="C43" s="195"/>
      <c r="D43" s="195"/>
      <c r="E43" s="185"/>
      <c r="G43" s="195"/>
      <c r="H43" s="195"/>
      <c r="I43" s="195"/>
      <c r="J43" s="185"/>
      <c r="L43" s="195"/>
      <c r="M43" s="195"/>
      <c r="N43" s="195"/>
      <c r="O43" s="185"/>
      <c r="Q43" s="195"/>
      <c r="R43" s="195"/>
      <c r="S43" s="195"/>
      <c r="T43" s="185"/>
    </row>
    <row r="44" spans="1:42">
      <c r="B44" s="195"/>
      <c r="C44" s="195"/>
      <c r="D44" s="195"/>
      <c r="E44" s="185"/>
      <c r="G44" s="195"/>
      <c r="H44" s="195"/>
      <c r="I44" s="195"/>
      <c r="J44" s="185"/>
      <c r="L44" s="195"/>
      <c r="M44" s="195"/>
      <c r="N44" s="195"/>
      <c r="O44" s="185"/>
      <c r="Q44" s="195"/>
      <c r="R44" s="195"/>
      <c r="S44" s="195"/>
      <c r="T44" s="185"/>
    </row>
    <row r="45" spans="1:42">
      <c r="B45" s="195"/>
      <c r="C45" s="195"/>
      <c r="D45" s="195"/>
      <c r="E45" s="185"/>
      <c r="G45" s="195"/>
      <c r="H45" s="195"/>
      <c r="I45" s="195"/>
      <c r="J45" s="185"/>
      <c r="L45" s="195"/>
      <c r="M45" s="195"/>
      <c r="N45" s="195"/>
      <c r="O45" s="185"/>
      <c r="Q45" s="195"/>
      <c r="R45" s="195"/>
      <c r="S45" s="195"/>
      <c r="T45" s="185"/>
    </row>
    <row r="46" spans="1:42">
      <c r="B46" s="194"/>
      <c r="C46" s="194"/>
      <c r="D46" s="194"/>
      <c r="E46" s="185"/>
      <c r="G46" s="194"/>
      <c r="H46" s="194"/>
      <c r="I46" s="194"/>
      <c r="J46" s="185"/>
      <c r="L46" s="194"/>
      <c r="M46" s="194"/>
      <c r="N46" s="194"/>
      <c r="O46" s="185"/>
      <c r="Q46" s="194"/>
      <c r="R46" s="194"/>
      <c r="S46" s="194"/>
      <c r="T46" s="185"/>
    </row>
    <row r="47" spans="1:42">
      <c r="B47" s="194"/>
      <c r="C47" s="194"/>
      <c r="D47" s="194"/>
      <c r="E47" s="185"/>
      <c r="G47" s="194"/>
      <c r="H47" s="194"/>
      <c r="I47" s="194"/>
      <c r="J47" s="185"/>
      <c r="L47" s="194"/>
      <c r="M47" s="194"/>
      <c r="N47" s="194"/>
      <c r="O47" s="185"/>
      <c r="Q47" s="194"/>
      <c r="R47" s="194"/>
      <c r="S47" s="194"/>
      <c r="T47" s="185"/>
    </row>
    <row r="48" spans="1:42">
      <c r="E48" s="185"/>
      <c r="J48" s="185"/>
      <c r="O48" s="185"/>
      <c r="T48" s="185"/>
    </row>
  </sheetData>
  <mergeCells count="10">
    <mergeCell ref="AF4:AJ4"/>
    <mergeCell ref="A1:AJ1"/>
    <mergeCell ref="A2:AJ2"/>
    <mergeCell ref="AA4:AE4"/>
    <mergeCell ref="A4:A6"/>
    <mergeCell ref="B4:F4"/>
    <mergeCell ref="G4:K4"/>
    <mergeCell ref="L4:P4"/>
    <mergeCell ref="Q4:U4"/>
    <mergeCell ref="V4:Z4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C71"/>
  <sheetViews>
    <sheetView view="pageBreakPreview" zoomScale="106" zoomScaleNormal="100" zoomScaleSheetLayoutView="106" workbookViewId="0">
      <selection activeCell="A20" sqref="A20:A21"/>
    </sheetView>
  </sheetViews>
  <sheetFormatPr defaultColWidth="9.140625" defaultRowHeight="12"/>
  <cols>
    <col min="1" max="1" width="13.7109375" style="163" customWidth="1"/>
    <col min="2" max="2" width="12" style="163" hidden="1" customWidth="1"/>
    <col min="3" max="3" width="11.28515625" style="163" hidden="1" customWidth="1"/>
    <col min="4" max="4" width="14.42578125" style="163" hidden="1" customWidth="1"/>
    <col min="5" max="8" width="11.28515625" style="163" hidden="1" customWidth="1"/>
    <col min="9" max="9" width="14.85546875" style="163" hidden="1" customWidth="1"/>
    <col min="10" max="13" width="11.28515625" style="163" hidden="1" customWidth="1"/>
    <col min="14" max="14" width="14.85546875" style="163" hidden="1" customWidth="1"/>
    <col min="15" max="16" width="11.28515625" style="163" hidden="1" customWidth="1"/>
    <col min="17" max="26" width="14.7109375" style="163" hidden="1" customWidth="1"/>
    <col min="27" max="36" width="14.7109375" style="163" customWidth="1"/>
    <col min="37" max="37" width="18.28515625" style="163" customWidth="1"/>
    <col min="38" max="16384" width="9.140625" style="163"/>
  </cols>
  <sheetData>
    <row r="1" spans="1:37" ht="17.25" customHeight="1">
      <c r="A1" s="842" t="s">
        <v>1044</v>
      </c>
      <c r="B1" s="842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  <c r="AB1" s="842"/>
      <c r="AC1" s="842"/>
      <c r="AD1" s="842"/>
      <c r="AE1" s="842"/>
      <c r="AF1" s="842"/>
      <c r="AG1" s="842"/>
      <c r="AH1" s="842"/>
      <c r="AI1" s="842"/>
      <c r="AJ1" s="842"/>
    </row>
    <row r="2" spans="1:37" ht="24" customHeight="1">
      <c r="A2" s="841" t="s">
        <v>1043</v>
      </c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J2" s="841"/>
      <c r="AK2" s="196"/>
    </row>
    <row r="3" spans="1:37" s="164" customFormat="1" ht="18.75" customHeight="1">
      <c r="A3" s="836" t="s">
        <v>164</v>
      </c>
      <c r="B3" s="839">
        <v>2014</v>
      </c>
      <c r="C3" s="840"/>
      <c r="D3" s="840"/>
      <c r="E3" s="840"/>
      <c r="F3" s="840"/>
      <c r="G3" s="839">
        <v>2015</v>
      </c>
      <c r="H3" s="840"/>
      <c r="I3" s="840"/>
      <c r="J3" s="840"/>
      <c r="K3" s="840"/>
      <c r="L3" s="839">
        <v>2016</v>
      </c>
      <c r="M3" s="840"/>
      <c r="N3" s="840"/>
      <c r="O3" s="840"/>
      <c r="P3" s="840"/>
      <c r="Q3" s="839">
        <v>2017</v>
      </c>
      <c r="R3" s="840"/>
      <c r="S3" s="840"/>
      <c r="T3" s="840"/>
      <c r="U3" s="840"/>
      <c r="V3" s="839">
        <v>2018</v>
      </c>
      <c r="W3" s="840"/>
      <c r="X3" s="840"/>
      <c r="Y3" s="840"/>
      <c r="Z3" s="840"/>
      <c r="AA3" s="839">
        <v>2019</v>
      </c>
      <c r="AB3" s="840"/>
      <c r="AC3" s="840"/>
      <c r="AD3" s="840"/>
      <c r="AE3" s="840"/>
      <c r="AF3" s="839">
        <v>2020</v>
      </c>
      <c r="AG3" s="840"/>
      <c r="AH3" s="840"/>
      <c r="AI3" s="840"/>
      <c r="AJ3" s="840"/>
      <c r="AK3" s="207"/>
    </row>
    <row r="4" spans="1:37" s="164" customFormat="1" ht="52.5" customHeight="1">
      <c r="A4" s="837"/>
      <c r="B4" s="165" t="s">
        <v>168</v>
      </c>
      <c r="C4" s="166" t="s">
        <v>169</v>
      </c>
      <c r="D4" s="166" t="s">
        <v>163</v>
      </c>
      <c r="E4" s="166" t="s">
        <v>170</v>
      </c>
      <c r="F4" s="166" t="s">
        <v>171</v>
      </c>
      <c r="G4" s="165" t="s">
        <v>168</v>
      </c>
      <c r="H4" s="166" t="s">
        <v>169</v>
      </c>
      <c r="I4" s="166" t="s">
        <v>163</v>
      </c>
      <c r="J4" s="166" t="s">
        <v>170</v>
      </c>
      <c r="K4" s="166" t="s">
        <v>171</v>
      </c>
      <c r="L4" s="165" t="s">
        <v>168</v>
      </c>
      <c r="M4" s="166" t="s">
        <v>169</v>
      </c>
      <c r="N4" s="166" t="s">
        <v>163</v>
      </c>
      <c r="O4" s="166" t="s">
        <v>170</v>
      </c>
      <c r="P4" s="166" t="s">
        <v>171</v>
      </c>
      <c r="Q4" s="165" t="s">
        <v>168</v>
      </c>
      <c r="R4" s="166" t="s">
        <v>169</v>
      </c>
      <c r="S4" s="166" t="s">
        <v>163</v>
      </c>
      <c r="T4" s="166" t="s">
        <v>170</v>
      </c>
      <c r="U4" s="166" t="s">
        <v>171</v>
      </c>
      <c r="V4" s="165" t="s">
        <v>168</v>
      </c>
      <c r="W4" s="166" t="s">
        <v>169</v>
      </c>
      <c r="X4" s="166" t="s">
        <v>163</v>
      </c>
      <c r="Y4" s="166" t="s">
        <v>170</v>
      </c>
      <c r="Z4" s="166" t="s">
        <v>171</v>
      </c>
      <c r="AA4" s="165" t="s">
        <v>168</v>
      </c>
      <c r="AB4" s="166" t="s">
        <v>169</v>
      </c>
      <c r="AC4" s="166" t="s">
        <v>163</v>
      </c>
      <c r="AD4" s="166" t="s">
        <v>170</v>
      </c>
      <c r="AE4" s="166" t="s">
        <v>171</v>
      </c>
      <c r="AF4" s="165" t="s">
        <v>168</v>
      </c>
      <c r="AG4" s="166" t="s">
        <v>169</v>
      </c>
      <c r="AH4" s="166" t="s">
        <v>163</v>
      </c>
      <c r="AI4" s="166" t="s">
        <v>170</v>
      </c>
      <c r="AJ4" s="166" t="s">
        <v>171</v>
      </c>
      <c r="AK4" s="207"/>
    </row>
    <row r="5" spans="1:37" s="164" customFormat="1" ht="46.5" customHeight="1">
      <c r="A5" s="838"/>
      <c r="B5" s="726" t="s">
        <v>206</v>
      </c>
      <c r="C5" s="725" t="s">
        <v>174</v>
      </c>
      <c r="D5" s="725" t="s">
        <v>175</v>
      </c>
      <c r="E5" s="725" t="s">
        <v>176</v>
      </c>
      <c r="F5" s="725" t="s">
        <v>177</v>
      </c>
      <c r="G5" s="726" t="s">
        <v>179</v>
      </c>
      <c r="H5" s="725" t="s">
        <v>174</v>
      </c>
      <c r="I5" s="725" t="s">
        <v>175</v>
      </c>
      <c r="J5" s="725" t="s">
        <v>176</v>
      </c>
      <c r="K5" s="725" t="s">
        <v>177</v>
      </c>
      <c r="L5" s="726" t="s">
        <v>179</v>
      </c>
      <c r="M5" s="725" t="s">
        <v>174</v>
      </c>
      <c r="N5" s="725" t="s">
        <v>175</v>
      </c>
      <c r="O5" s="725" t="s">
        <v>176</v>
      </c>
      <c r="P5" s="725" t="s">
        <v>177</v>
      </c>
      <c r="Q5" s="726" t="s">
        <v>179</v>
      </c>
      <c r="R5" s="725" t="s">
        <v>174</v>
      </c>
      <c r="S5" s="725" t="s">
        <v>175</v>
      </c>
      <c r="T5" s="725" t="s">
        <v>176</v>
      </c>
      <c r="U5" s="725" t="s">
        <v>177</v>
      </c>
      <c r="V5" s="726" t="s">
        <v>179</v>
      </c>
      <c r="W5" s="725" t="s">
        <v>174</v>
      </c>
      <c r="X5" s="725" t="s">
        <v>175</v>
      </c>
      <c r="Y5" s="725" t="s">
        <v>176</v>
      </c>
      <c r="Z5" s="725" t="s">
        <v>177</v>
      </c>
      <c r="AA5" s="726" t="s">
        <v>179</v>
      </c>
      <c r="AB5" s="725" t="s">
        <v>174</v>
      </c>
      <c r="AC5" s="725" t="s">
        <v>175</v>
      </c>
      <c r="AD5" s="725" t="s">
        <v>176</v>
      </c>
      <c r="AE5" s="725" t="s">
        <v>177</v>
      </c>
      <c r="AF5" s="726" t="s">
        <v>179</v>
      </c>
      <c r="AG5" s="725" t="s">
        <v>174</v>
      </c>
      <c r="AH5" s="725" t="s">
        <v>175</v>
      </c>
      <c r="AI5" s="725" t="s">
        <v>176</v>
      </c>
      <c r="AJ5" s="725" t="s">
        <v>177</v>
      </c>
      <c r="AK5" s="207"/>
    </row>
    <row r="6" spans="1:37" s="164" customFormat="1" ht="16.5" customHeight="1">
      <c r="A6" s="167" t="s">
        <v>180</v>
      </c>
      <c r="B6" s="168">
        <f>AVERAGE(B7:B18)</f>
        <v>2711.3333333333335</v>
      </c>
      <c r="C6" s="169">
        <f>AVERAGE(C7:C18)</f>
        <v>2616.5833333333335</v>
      </c>
      <c r="D6" s="170">
        <f>AVERAGE(D7:D18)</f>
        <v>96.505372558326599</v>
      </c>
      <c r="E6" s="170">
        <f>AVERAGE(E7:E18)</f>
        <v>26.948089288930188</v>
      </c>
      <c r="F6" s="169">
        <f>SUM(F7:F18)</f>
        <v>256239.56933875941</v>
      </c>
      <c r="G6" s="168">
        <f>AVERAGE(G7:G18)</f>
        <v>2905.0833333333335</v>
      </c>
      <c r="H6" s="169">
        <f>AVERAGE(H7:H18)</f>
        <v>2788.1666666666665</v>
      </c>
      <c r="I6" s="170">
        <f>AVERAGE(I7:I18)</f>
        <v>95.975155935111374</v>
      </c>
      <c r="J6" s="170">
        <f>AVERAGE(J7:J18)</f>
        <v>29.175364104266588</v>
      </c>
      <c r="K6" s="171">
        <f>SUM(K7:K18)</f>
        <v>296621.03790606547</v>
      </c>
      <c r="L6" s="168">
        <f>AVERAGE(L7:L18)</f>
        <v>2561.75</v>
      </c>
      <c r="M6" s="169">
        <f>AVERAGE(M7:M18)</f>
        <v>2520.1666666666665</v>
      </c>
      <c r="N6" s="170">
        <f>AVERAGE(N7:N18)</f>
        <v>98.348214884640996</v>
      </c>
      <c r="O6" s="170">
        <f>AVERAGE(O7:O18)</f>
        <v>28.96464254150591</v>
      </c>
      <c r="P6" s="171">
        <f>SUM(P7:P18)</f>
        <v>263842.71629756346</v>
      </c>
      <c r="Q6" s="168">
        <f>AVERAGE(Q7:Q18)</f>
        <v>2728.25</v>
      </c>
      <c r="R6" s="169">
        <f>AVERAGE(R7:R18)</f>
        <v>2680.75</v>
      </c>
      <c r="S6" s="170">
        <f>AVERAGE(S7:S18)</f>
        <v>98.258835883554283</v>
      </c>
      <c r="T6" s="170">
        <f>AVERAGE(T7:T18)</f>
        <v>26.385018397706389</v>
      </c>
      <c r="U6" s="485">
        <f>SUM(U7:U18)</f>
        <v>256783.10345637635</v>
      </c>
      <c r="V6" s="168">
        <f>AVERAGE(V7:V18)</f>
        <v>2729.1666666666665</v>
      </c>
      <c r="W6" s="169">
        <f>AVERAGE(W7:W18)</f>
        <v>2728</v>
      </c>
      <c r="X6" s="170">
        <f>AVERAGE(X7:X18)</f>
        <v>99.95756032496665</v>
      </c>
      <c r="Y6" s="170">
        <f>AVERAGE(Y7:Y18)</f>
        <v>28.109894030598621</v>
      </c>
      <c r="Z6" s="485">
        <f>SUM(Z7:Z18)</f>
        <v>277720.49223391007</v>
      </c>
      <c r="AA6" s="168">
        <f>AVERAGE(AA7:AA18)</f>
        <v>2922.5</v>
      </c>
      <c r="AB6" s="169">
        <f>AVERAGE(AB7:AB18)</f>
        <v>2905.5833333333335</v>
      </c>
      <c r="AC6" s="170">
        <f>AVERAGE(AC7:AC18)</f>
        <v>99.421930349636639</v>
      </c>
      <c r="AD6" s="170">
        <f>AVERAGE(AD7:AD18)</f>
        <v>26.153650176008821</v>
      </c>
      <c r="AE6" s="485">
        <f>SUM(AE7:AE18)</f>
        <v>276239.50265690178</v>
      </c>
      <c r="AF6" s="168">
        <f>AVERAGE(AF7:AF18)</f>
        <v>2922.4166666666665</v>
      </c>
      <c r="AG6" s="169">
        <f>AVERAGE(AG7:AG18)</f>
        <v>1651.4166666666667</v>
      </c>
      <c r="AH6" s="170">
        <f>AVERAGE(AH7:AH18)</f>
        <v>35.745577925251418</v>
      </c>
      <c r="AI6" s="170">
        <f>AVERAGE(AI7:AI18)</f>
        <v>18.371216403823603</v>
      </c>
      <c r="AJ6" s="485">
        <f>SUM(AJ7:AJ18)</f>
        <v>118380.72272189851</v>
      </c>
      <c r="AK6" s="207"/>
    </row>
    <row r="7" spans="1:37" s="164" customFormat="1" ht="16.5" customHeight="1">
      <c r="A7" s="172" t="s">
        <v>181</v>
      </c>
      <c r="B7" s="173">
        <v>2706</v>
      </c>
      <c r="C7" s="116">
        <v>2579</v>
      </c>
      <c r="D7" s="174">
        <f t="shared" ref="D7:D18" si="0">C7/B7*100</f>
        <v>95.306725794530678</v>
      </c>
      <c r="E7" s="174">
        <v>24.87568532449318</v>
      </c>
      <c r="F7" s="116">
        <v>19887.861660079052</v>
      </c>
      <c r="G7" s="173">
        <v>2861</v>
      </c>
      <c r="H7" s="116">
        <v>2765</v>
      </c>
      <c r="I7" s="174">
        <f t="shared" ref="I7:I18" si="1">H7/G7*100</f>
        <v>96.644529884655711</v>
      </c>
      <c r="J7" s="174">
        <v>36.877544628875661</v>
      </c>
      <c r="K7" s="151">
        <v>31609.587378640776</v>
      </c>
      <c r="L7" s="173">
        <v>2453</v>
      </c>
      <c r="M7" s="116">
        <v>2353</v>
      </c>
      <c r="N7" s="174">
        <f>M7/L7*100</f>
        <v>95.923359152058708</v>
      </c>
      <c r="O7" s="174">
        <v>43.116712122637075</v>
      </c>
      <c r="P7" s="151">
        <v>31450.62332361516</v>
      </c>
      <c r="Q7" s="173">
        <v>2748</v>
      </c>
      <c r="R7" s="116">
        <v>2691</v>
      </c>
      <c r="S7" s="174">
        <f>R7/Q7*100</f>
        <v>97.925764192139738</v>
      </c>
      <c r="T7" s="174">
        <v>34.394757487655177</v>
      </c>
      <c r="U7" s="486">
        <v>28692.450643776825</v>
      </c>
      <c r="V7" s="173">
        <v>2619</v>
      </c>
      <c r="W7" s="116">
        <v>2619</v>
      </c>
      <c r="X7" s="174">
        <f>W7/V7*100</f>
        <v>100</v>
      </c>
      <c r="Y7" s="174">
        <v>34.710267956005019</v>
      </c>
      <c r="Z7" s="486">
        <v>28180.919450800917</v>
      </c>
      <c r="AA7" s="173">
        <v>2879</v>
      </c>
      <c r="AB7" s="116">
        <v>2865</v>
      </c>
      <c r="AC7" s="174">
        <v>99.51372004168114</v>
      </c>
      <c r="AD7" s="174">
        <v>32.349115504682615</v>
      </c>
      <c r="AE7" s="486">
        <v>28730.866935483871</v>
      </c>
      <c r="AF7" s="173">
        <v>2997</v>
      </c>
      <c r="AG7" s="116">
        <v>2970</v>
      </c>
      <c r="AH7" s="174">
        <v>99.89926463181223</v>
      </c>
      <c r="AI7" s="174">
        <v>48.320666554073071</v>
      </c>
      <c r="AJ7" s="486">
        <v>31667.825873093949</v>
      </c>
      <c r="AK7" s="207"/>
    </row>
    <row r="8" spans="1:37" s="164" customFormat="1" ht="16.5" customHeight="1">
      <c r="A8" s="172" t="s">
        <v>182</v>
      </c>
      <c r="B8" s="173">
        <v>2706</v>
      </c>
      <c r="C8" s="116">
        <v>2594</v>
      </c>
      <c r="D8" s="174">
        <f t="shared" si="0"/>
        <v>95.861049519586103</v>
      </c>
      <c r="E8" s="174">
        <v>45.687061183550654</v>
      </c>
      <c r="F8" s="116">
        <v>33183.426278836509</v>
      </c>
      <c r="G8" s="173">
        <v>2886</v>
      </c>
      <c r="H8" s="116">
        <v>2788</v>
      </c>
      <c r="I8" s="174">
        <f t="shared" si="1"/>
        <v>96.604296604296607</v>
      </c>
      <c r="J8" s="174">
        <v>46.667143811432382</v>
      </c>
      <c r="K8" s="151">
        <v>36430.239144956577</v>
      </c>
      <c r="L8" s="173">
        <v>2453</v>
      </c>
      <c r="M8" s="116">
        <v>2354</v>
      </c>
      <c r="N8" s="174">
        <f t="shared" ref="N8:N18" si="2">M8/L8*100</f>
        <v>95.964125560538122</v>
      </c>
      <c r="O8" s="174">
        <v>48.473003517955163</v>
      </c>
      <c r="P8" s="151">
        <v>33090.580581567272</v>
      </c>
      <c r="Q8" s="173">
        <v>2703</v>
      </c>
      <c r="R8" s="116">
        <v>2647</v>
      </c>
      <c r="S8" s="174">
        <f t="shared" ref="S8:S18" si="3">R8/Q8*100</f>
        <v>97.928227894931553</v>
      </c>
      <c r="T8" s="174">
        <v>38.254928139480093</v>
      </c>
      <c r="U8" s="486">
        <v>28353.022539857066</v>
      </c>
      <c r="V8" s="173">
        <v>2663</v>
      </c>
      <c r="W8" s="116">
        <v>2663</v>
      </c>
      <c r="X8" s="174">
        <f t="shared" ref="X8:X18" si="4">W8/V8*100</f>
        <v>100</v>
      </c>
      <c r="Y8" s="174">
        <v>43.641398063403628</v>
      </c>
      <c r="Z8" s="486">
        <v>32540.772051996286</v>
      </c>
      <c r="AA8" s="173">
        <v>2879</v>
      </c>
      <c r="AB8" s="116">
        <v>2865</v>
      </c>
      <c r="AC8" s="174">
        <v>99.51372004168114</v>
      </c>
      <c r="AD8" s="174">
        <v>40.094851929621314</v>
      </c>
      <c r="AE8" s="486">
        <v>32164.090217942219</v>
      </c>
      <c r="AF8" s="173">
        <v>3006</v>
      </c>
      <c r="AG8" s="116">
        <v>2979</v>
      </c>
      <c r="AH8" s="174">
        <v>99.900368636046636</v>
      </c>
      <c r="AI8" s="174">
        <v>43.164473200499963</v>
      </c>
      <c r="AJ8" s="486">
        <v>33893.245781777281</v>
      </c>
      <c r="AK8" s="207"/>
    </row>
    <row r="9" spans="1:37" s="164" customFormat="1" ht="16.5" customHeight="1">
      <c r="A9" s="172" t="s">
        <v>183</v>
      </c>
      <c r="B9" s="173">
        <v>2706</v>
      </c>
      <c r="C9" s="116">
        <v>2620</v>
      </c>
      <c r="D9" s="174">
        <f t="shared" si="0"/>
        <v>96.821877309682193</v>
      </c>
      <c r="E9" s="174">
        <v>49.695940731594384</v>
      </c>
      <c r="F9" s="116">
        <v>40363.043062200959</v>
      </c>
      <c r="G9" s="173">
        <v>2923</v>
      </c>
      <c r="H9" s="116">
        <v>2825</v>
      </c>
      <c r="I9" s="174">
        <f t="shared" si="1"/>
        <v>96.647280191583988</v>
      </c>
      <c r="J9" s="174">
        <v>47.292052898282044</v>
      </c>
      <c r="K9" s="151">
        <v>41416.015325670502</v>
      </c>
      <c r="L9" s="173">
        <v>2487</v>
      </c>
      <c r="M9" s="116">
        <v>2397</v>
      </c>
      <c r="N9" s="174">
        <f t="shared" si="2"/>
        <v>96.381182147165262</v>
      </c>
      <c r="O9" s="174">
        <v>46.904408122833082</v>
      </c>
      <c r="P9" s="151">
        <v>34853.258543833581</v>
      </c>
      <c r="Q9" s="173">
        <v>2738</v>
      </c>
      <c r="R9" s="116">
        <v>2675</v>
      </c>
      <c r="S9" s="174">
        <f t="shared" si="3"/>
        <v>97.699050401753112</v>
      </c>
      <c r="T9" s="174">
        <v>40.594606357868663</v>
      </c>
      <c r="U9" s="486">
        <v>33663.077322262587</v>
      </c>
      <c r="V9" s="173">
        <v>2663</v>
      </c>
      <c r="W9" s="116">
        <v>2663</v>
      </c>
      <c r="X9" s="174">
        <f t="shared" si="4"/>
        <v>100</v>
      </c>
      <c r="Y9" s="174">
        <v>43.597124493587991</v>
      </c>
      <c r="Z9" s="486">
        <v>35990.734183191693</v>
      </c>
      <c r="AA9" s="173">
        <v>2901</v>
      </c>
      <c r="AB9" s="116">
        <v>2887</v>
      </c>
      <c r="AC9" s="174">
        <v>99.517407790417096</v>
      </c>
      <c r="AD9" s="174">
        <v>40.852166634472987</v>
      </c>
      <c r="AE9" s="486">
        <v>36561.463572854293</v>
      </c>
      <c r="AF9" s="173">
        <v>3006</v>
      </c>
      <c r="AG9" s="116">
        <v>3006</v>
      </c>
      <c r="AH9" s="174">
        <v>99.821658575250169</v>
      </c>
      <c r="AI9" s="174">
        <v>19.435525895543716</v>
      </c>
      <c r="AJ9" s="486">
        <v>18124.181225554108</v>
      </c>
      <c r="AK9" s="207"/>
    </row>
    <row r="10" spans="1:37" s="164" customFormat="1" ht="16.5" customHeight="1">
      <c r="A10" s="172" t="s">
        <v>184</v>
      </c>
      <c r="B10" s="173">
        <v>2706</v>
      </c>
      <c r="C10" s="116">
        <v>2620</v>
      </c>
      <c r="D10" s="174">
        <f t="shared" si="0"/>
        <v>96.821877309682193</v>
      </c>
      <c r="E10" s="174">
        <v>38.130552336809579</v>
      </c>
      <c r="F10" s="116">
        <v>29970.614136732329</v>
      </c>
      <c r="G10" s="173">
        <v>2917</v>
      </c>
      <c r="H10" s="116">
        <v>2815</v>
      </c>
      <c r="I10" s="174">
        <f t="shared" si="1"/>
        <v>96.503256770654772</v>
      </c>
      <c r="J10" s="174">
        <v>42.333618966009709</v>
      </c>
      <c r="K10" s="151">
        <v>35750.741216795199</v>
      </c>
      <c r="L10" s="173">
        <v>2539</v>
      </c>
      <c r="M10" s="116">
        <v>2527</v>
      </c>
      <c r="N10" s="174">
        <f t="shared" si="2"/>
        <v>99.527372981488767</v>
      </c>
      <c r="O10" s="174">
        <v>36.980373976201513</v>
      </c>
      <c r="P10" s="151">
        <v>28034.821511358368</v>
      </c>
      <c r="Q10" s="173">
        <v>2738</v>
      </c>
      <c r="R10" s="116">
        <v>2675</v>
      </c>
      <c r="S10" s="174">
        <f t="shared" si="3"/>
        <v>97.699050401753112</v>
      </c>
      <c r="T10" s="174">
        <v>36.021991263744539</v>
      </c>
      <c r="U10" s="486">
        <v>28907.647989154993</v>
      </c>
      <c r="V10" s="173">
        <v>2719</v>
      </c>
      <c r="W10" s="116">
        <v>2719</v>
      </c>
      <c r="X10" s="174">
        <f t="shared" si="4"/>
        <v>100</v>
      </c>
      <c r="Y10" s="174">
        <v>38.759368836291912</v>
      </c>
      <c r="Z10" s="486">
        <v>31616.017159763313</v>
      </c>
      <c r="AA10" s="173">
        <v>2925</v>
      </c>
      <c r="AB10" s="116">
        <v>2911</v>
      </c>
      <c r="AC10" s="174">
        <v>99.521367521367523</v>
      </c>
      <c r="AD10" s="174">
        <v>36.6345690900337</v>
      </c>
      <c r="AE10" s="486">
        <v>31992.969186326431</v>
      </c>
      <c r="AF10" s="173">
        <v>3006</v>
      </c>
      <c r="AG10" s="116">
        <v>24</v>
      </c>
      <c r="AH10" s="174">
        <v>2.6354899435252155</v>
      </c>
      <c r="AI10" s="174">
        <v>7.9072681704260654</v>
      </c>
      <c r="AJ10" s="486">
        <v>30</v>
      </c>
      <c r="AK10" s="207"/>
    </row>
    <row r="11" spans="1:37" s="164" customFormat="1" ht="16.5" customHeight="1">
      <c r="A11" s="172" t="s">
        <v>185</v>
      </c>
      <c r="B11" s="173">
        <v>2706</v>
      </c>
      <c r="C11" s="116">
        <v>2620</v>
      </c>
      <c r="D11" s="174">
        <f t="shared" si="0"/>
        <v>96.821877309682193</v>
      </c>
      <c r="E11" s="174">
        <v>17.444128188909971</v>
      </c>
      <c r="F11" s="116">
        <v>14168.120915032679</v>
      </c>
      <c r="G11" s="173">
        <v>2898</v>
      </c>
      <c r="H11" s="116">
        <v>2800</v>
      </c>
      <c r="I11" s="174">
        <f t="shared" si="1"/>
        <v>96.618357487922708</v>
      </c>
      <c r="J11" s="174">
        <v>21.355263920833416</v>
      </c>
      <c r="K11" s="151">
        <v>18536.369083283404</v>
      </c>
      <c r="L11" s="173">
        <v>2567</v>
      </c>
      <c r="M11" s="116">
        <v>2553</v>
      </c>
      <c r="N11" s="174">
        <f t="shared" si="2"/>
        <v>99.454616283599535</v>
      </c>
      <c r="O11" s="174">
        <v>19.106699751861044</v>
      </c>
      <c r="P11" s="151">
        <v>15121.615384615385</v>
      </c>
      <c r="Q11" s="173">
        <v>2748</v>
      </c>
      <c r="R11" s="116">
        <v>2716</v>
      </c>
      <c r="S11" s="174">
        <f t="shared" si="3"/>
        <v>98.835516739446874</v>
      </c>
      <c r="T11" s="174">
        <v>18.522229917918036</v>
      </c>
      <c r="U11" s="486">
        <v>15594.97670169027</v>
      </c>
      <c r="V11" s="173">
        <v>2741</v>
      </c>
      <c r="W11" s="116">
        <v>2741</v>
      </c>
      <c r="X11" s="174">
        <f t="shared" si="4"/>
        <v>100</v>
      </c>
      <c r="Y11" s="174">
        <v>19.317640757052732</v>
      </c>
      <c r="Z11" s="486">
        <v>16414.392527675278</v>
      </c>
      <c r="AA11" s="173">
        <v>2925</v>
      </c>
      <c r="AB11" s="116">
        <v>2911</v>
      </c>
      <c r="AC11" s="174">
        <v>99.521367521367523</v>
      </c>
      <c r="AD11" s="174">
        <v>20.019073751840452</v>
      </c>
      <c r="AE11" s="486">
        <v>18065.412344398341</v>
      </c>
      <c r="AF11" s="173">
        <v>3006</v>
      </c>
      <c r="AG11" s="116">
        <v>0</v>
      </c>
      <c r="AH11" s="174">
        <v>0.73318141286039828</v>
      </c>
      <c r="AI11" s="174">
        <v>4.7079337401918044</v>
      </c>
      <c r="AJ11" s="486">
        <v>0</v>
      </c>
      <c r="AK11" s="207"/>
    </row>
    <row r="12" spans="1:37" s="164" customFormat="1" ht="16.5" customHeight="1">
      <c r="A12" s="172" t="s">
        <v>186</v>
      </c>
      <c r="B12" s="173">
        <v>2706</v>
      </c>
      <c r="C12" s="116">
        <v>2620</v>
      </c>
      <c r="D12" s="174">
        <f t="shared" si="0"/>
        <v>96.821877309682193</v>
      </c>
      <c r="E12" s="174">
        <v>6.1425576519916136</v>
      </c>
      <c r="F12" s="116">
        <v>4828.0503144654085</v>
      </c>
      <c r="G12" s="173">
        <v>2886</v>
      </c>
      <c r="H12" s="116">
        <v>2750</v>
      </c>
      <c r="I12" s="174">
        <f t="shared" si="1"/>
        <v>95.287595287595281</v>
      </c>
      <c r="J12" s="174">
        <v>7.0737425404944601</v>
      </c>
      <c r="K12" s="151">
        <v>5835.8375959079285</v>
      </c>
      <c r="L12" s="173">
        <v>2583</v>
      </c>
      <c r="M12" s="116">
        <v>2521</v>
      </c>
      <c r="N12" s="174">
        <f t="shared" si="2"/>
        <v>97.599690282617118</v>
      </c>
      <c r="O12" s="174">
        <v>8.9965012722646307</v>
      </c>
      <c r="P12" s="151">
        <v>6804.0539122137407</v>
      </c>
      <c r="Q12" s="173">
        <v>2748</v>
      </c>
      <c r="R12" s="116">
        <v>2726</v>
      </c>
      <c r="S12" s="174">
        <f t="shared" si="3"/>
        <v>99.199417758369719</v>
      </c>
      <c r="T12" s="174">
        <v>9.8514851485148522</v>
      </c>
      <c r="U12" s="486">
        <v>8056.5445544554459</v>
      </c>
      <c r="V12" s="173">
        <v>2749</v>
      </c>
      <c r="W12" s="116">
        <v>2735</v>
      </c>
      <c r="X12" s="174">
        <f t="shared" si="4"/>
        <v>99.490723899599857</v>
      </c>
      <c r="Y12" s="174">
        <v>11.380728554641598</v>
      </c>
      <c r="Z12" s="486">
        <v>9337.8877790834304</v>
      </c>
      <c r="AA12" s="173">
        <v>2925</v>
      </c>
      <c r="AB12" s="116">
        <v>2911</v>
      </c>
      <c r="AC12" s="174">
        <v>99.521367521367523</v>
      </c>
      <c r="AD12" s="174">
        <v>8.6579432981043443</v>
      </c>
      <c r="AE12" s="486">
        <v>7560.9818822345242</v>
      </c>
      <c r="AF12" s="173">
        <v>2982</v>
      </c>
      <c r="AG12" s="116">
        <v>0</v>
      </c>
      <c r="AH12" s="174">
        <v>0.73376301437778879</v>
      </c>
      <c r="AI12" s="174">
        <v>3.1081081081081083</v>
      </c>
      <c r="AJ12" s="486">
        <v>0</v>
      </c>
      <c r="AK12" s="207"/>
    </row>
    <row r="13" spans="1:37" s="164" customFormat="1" ht="16.5" customHeight="1">
      <c r="A13" s="172" t="s">
        <v>187</v>
      </c>
      <c r="B13" s="173">
        <v>2706</v>
      </c>
      <c r="C13" s="116">
        <v>2620</v>
      </c>
      <c r="D13" s="174">
        <f t="shared" si="0"/>
        <v>96.821877309682193</v>
      </c>
      <c r="E13" s="174">
        <v>11.226458678696634</v>
      </c>
      <c r="F13" s="116">
        <v>9118.129738837406</v>
      </c>
      <c r="G13" s="173">
        <v>2886</v>
      </c>
      <c r="H13" s="116">
        <v>2731</v>
      </c>
      <c r="I13" s="174">
        <f t="shared" si="1"/>
        <v>94.629244629244624</v>
      </c>
      <c r="J13" s="174">
        <v>13.31758098760359</v>
      </c>
      <c r="K13" s="151">
        <v>11274.797239915075</v>
      </c>
      <c r="L13" s="173">
        <v>2583</v>
      </c>
      <c r="M13" s="116">
        <v>2561</v>
      </c>
      <c r="N13" s="174">
        <f t="shared" si="2"/>
        <v>99.148277197057695</v>
      </c>
      <c r="O13" s="174">
        <v>11.754240106418356</v>
      </c>
      <c r="P13" s="151">
        <v>9331.8087628865978</v>
      </c>
      <c r="Q13" s="173">
        <v>2748</v>
      </c>
      <c r="R13" s="116">
        <v>2700</v>
      </c>
      <c r="S13" s="174">
        <f t="shared" si="3"/>
        <v>98.253275109170303</v>
      </c>
      <c r="T13" s="174">
        <v>12.74679313013552</v>
      </c>
      <c r="U13" s="486">
        <v>10669.065849923431</v>
      </c>
      <c r="V13" s="173">
        <v>2764</v>
      </c>
      <c r="W13" s="116">
        <v>2764</v>
      </c>
      <c r="X13" s="174">
        <f t="shared" si="4"/>
        <v>100</v>
      </c>
      <c r="Y13" s="174">
        <v>13.563614094903919</v>
      </c>
      <c r="Z13" s="486">
        <v>11621.847101077476</v>
      </c>
      <c r="AA13" s="173">
        <v>2903</v>
      </c>
      <c r="AB13" s="116">
        <v>2889</v>
      </c>
      <c r="AC13" s="174">
        <v>99.517740268687561</v>
      </c>
      <c r="AD13" s="174">
        <v>11.267037163525725</v>
      </c>
      <c r="AE13" s="486">
        <v>10090.645813282003</v>
      </c>
      <c r="AF13" s="173">
        <v>2905</v>
      </c>
      <c r="AG13" s="116">
        <v>197</v>
      </c>
      <c r="AH13" s="174">
        <v>1.8989219661754524</v>
      </c>
      <c r="AI13" s="174">
        <v>6.13239247311828</v>
      </c>
      <c r="AJ13" s="486">
        <v>215</v>
      </c>
      <c r="AK13" s="207"/>
    </row>
    <row r="14" spans="1:37" s="164" customFormat="1" ht="16.5" customHeight="1">
      <c r="A14" s="172" t="s">
        <v>188</v>
      </c>
      <c r="B14" s="173">
        <v>2706</v>
      </c>
      <c r="C14" s="116">
        <v>2620</v>
      </c>
      <c r="D14" s="174">
        <f t="shared" si="0"/>
        <v>96.821877309682193</v>
      </c>
      <c r="E14" s="174">
        <v>18.53326612903226</v>
      </c>
      <c r="F14" s="116">
        <v>15052.71875</v>
      </c>
      <c r="G14" s="173">
        <v>2886</v>
      </c>
      <c r="H14" s="116">
        <v>2757</v>
      </c>
      <c r="I14" s="174">
        <f t="shared" si="1"/>
        <v>95.530145530145532</v>
      </c>
      <c r="J14" s="174">
        <v>21.355601712517487</v>
      </c>
      <c r="K14" s="151">
        <v>18251.99211563732</v>
      </c>
      <c r="L14" s="173">
        <v>2583</v>
      </c>
      <c r="M14" s="116">
        <v>2573</v>
      </c>
      <c r="N14" s="174">
        <f t="shared" si="2"/>
        <v>99.612853271389852</v>
      </c>
      <c r="O14" s="174">
        <v>22.551569289418001</v>
      </c>
      <c r="P14" s="151">
        <v>17987.808212318479</v>
      </c>
      <c r="Q14" s="173">
        <v>2733</v>
      </c>
      <c r="R14" s="116">
        <v>2625</v>
      </c>
      <c r="S14" s="174">
        <f t="shared" si="3"/>
        <v>96.0482985729967</v>
      </c>
      <c r="T14" s="174">
        <v>21.346959947287996</v>
      </c>
      <c r="U14" s="486">
        <v>17371.088657105607</v>
      </c>
      <c r="V14" s="173">
        <v>2764</v>
      </c>
      <c r="W14" s="116">
        <v>2764</v>
      </c>
      <c r="X14" s="174">
        <f t="shared" si="4"/>
        <v>100</v>
      </c>
      <c r="Y14" s="174">
        <v>22.089794916632151</v>
      </c>
      <c r="Z14" s="486">
        <v>18927.419876367094</v>
      </c>
      <c r="AA14" s="173">
        <v>2926</v>
      </c>
      <c r="AB14" s="116">
        <v>2905</v>
      </c>
      <c r="AC14" s="174">
        <v>99.282296650717711</v>
      </c>
      <c r="AD14" s="174">
        <v>20.965340590730811</v>
      </c>
      <c r="AE14" s="486">
        <v>18880.337468982631</v>
      </c>
      <c r="AF14" s="173">
        <v>2916</v>
      </c>
      <c r="AG14" s="116">
        <v>1409</v>
      </c>
      <c r="AH14" s="174">
        <v>6.6712720813184649</v>
      </c>
      <c r="AI14" s="174">
        <v>22.620967741935484</v>
      </c>
      <c r="AJ14" s="486">
        <v>2303.9451007644197</v>
      </c>
      <c r="AK14" s="207"/>
    </row>
    <row r="15" spans="1:37" s="164" customFormat="1" ht="16.5" customHeight="1">
      <c r="A15" s="172" t="s">
        <v>189</v>
      </c>
      <c r="B15" s="173">
        <v>2711</v>
      </c>
      <c r="C15" s="116">
        <v>2625</v>
      </c>
      <c r="D15" s="174">
        <f t="shared" si="0"/>
        <v>96.827738841755803</v>
      </c>
      <c r="E15" s="174">
        <v>15.510731833462632</v>
      </c>
      <c r="F15" s="116">
        <v>12214.701318851823</v>
      </c>
      <c r="G15" s="173">
        <v>2905</v>
      </c>
      <c r="H15" s="116">
        <v>2776</v>
      </c>
      <c r="I15" s="174">
        <f t="shared" si="1"/>
        <v>95.559380378657494</v>
      </c>
      <c r="J15" s="174">
        <v>21.60899653979239</v>
      </c>
      <c r="K15" s="151">
        <v>17995.9723183391</v>
      </c>
      <c r="L15" s="173">
        <v>2583</v>
      </c>
      <c r="M15" s="116">
        <v>2559</v>
      </c>
      <c r="N15" s="174">
        <f t="shared" si="2"/>
        <v>99.070847851335657</v>
      </c>
      <c r="O15" s="174">
        <v>20.961874781392094</v>
      </c>
      <c r="P15" s="151">
        <v>16092.431269674711</v>
      </c>
      <c r="Q15" s="173">
        <v>2759</v>
      </c>
      <c r="R15" s="116">
        <v>2724</v>
      </c>
      <c r="S15" s="174">
        <f t="shared" si="3"/>
        <v>98.731424429140986</v>
      </c>
      <c r="T15" s="174">
        <v>18.834570056743779</v>
      </c>
      <c r="U15" s="486">
        <v>15391.610650371016</v>
      </c>
      <c r="V15" s="173">
        <v>2769</v>
      </c>
      <c r="W15" s="116">
        <v>2769</v>
      </c>
      <c r="X15" s="174">
        <f t="shared" si="4"/>
        <v>100</v>
      </c>
      <c r="Y15" s="174">
        <v>23.866140437428054</v>
      </c>
      <c r="Z15" s="486">
        <v>19825.602861371484</v>
      </c>
      <c r="AA15" s="173">
        <v>2930</v>
      </c>
      <c r="AB15" s="116">
        <v>2909</v>
      </c>
      <c r="AC15" s="174">
        <v>99.283276450511948</v>
      </c>
      <c r="AD15" s="174">
        <v>23.062305295950157</v>
      </c>
      <c r="AE15" s="486">
        <v>20126.4738317757</v>
      </c>
      <c r="AF15" s="173">
        <v>2876</v>
      </c>
      <c r="AG15" s="116">
        <v>2086</v>
      </c>
      <c r="AH15" s="174">
        <v>9.9060800790904597</v>
      </c>
      <c r="AI15" s="174">
        <v>13.274231678486997</v>
      </c>
      <c r="AJ15" s="486">
        <v>4475.1150957854406</v>
      </c>
      <c r="AK15" s="207"/>
    </row>
    <row r="16" spans="1:37" s="164" customFormat="1" ht="16.5" customHeight="1">
      <c r="A16" s="172" t="s">
        <v>190</v>
      </c>
      <c r="B16" s="173">
        <v>2671</v>
      </c>
      <c r="C16" s="116">
        <v>2572</v>
      </c>
      <c r="D16" s="174">
        <f t="shared" si="0"/>
        <v>96.293523025084241</v>
      </c>
      <c r="E16" s="174">
        <v>30.1590605024528</v>
      </c>
      <c r="F16" s="116">
        <v>24046.422119815667</v>
      </c>
      <c r="G16" s="173">
        <v>2935</v>
      </c>
      <c r="H16" s="116">
        <v>2825</v>
      </c>
      <c r="I16" s="174">
        <f t="shared" si="1"/>
        <v>96.252129471890967</v>
      </c>
      <c r="J16" s="174">
        <v>28.186503751169127</v>
      </c>
      <c r="K16" s="151">
        <v>24684.330660086365</v>
      </c>
      <c r="L16" s="173">
        <v>2608</v>
      </c>
      <c r="M16" s="116">
        <v>2586</v>
      </c>
      <c r="N16" s="174">
        <f t="shared" si="2"/>
        <v>99.156441717791409</v>
      </c>
      <c r="O16" s="174">
        <v>26.895113458079823</v>
      </c>
      <c r="P16" s="151">
        <v>21560.73665480427</v>
      </c>
      <c r="Q16" s="173">
        <v>2779</v>
      </c>
      <c r="R16" s="116">
        <v>2757</v>
      </c>
      <c r="S16" s="174">
        <f t="shared" si="3"/>
        <v>99.208348326736242</v>
      </c>
      <c r="T16" s="174">
        <v>26.444009007691633</v>
      </c>
      <c r="U16" s="486">
        <v>22600.901178603806</v>
      </c>
      <c r="V16" s="173">
        <v>2769</v>
      </c>
      <c r="W16" s="116">
        <v>2769</v>
      </c>
      <c r="X16" s="174">
        <f t="shared" si="4"/>
        <v>100</v>
      </c>
      <c r="Y16" s="174">
        <v>29.749770156293721</v>
      </c>
      <c r="Z16" s="486">
        <v>25536.905204460967</v>
      </c>
      <c r="AA16" s="173">
        <v>2957</v>
      </c>
      <c r="AB16" s="116">
        <v>2936</v>
      </c>
      <c r="AC16" s="174">
        <v>99.289820764288123</v>
      </c>
      <c r="AD16" s="174">
        <v>25.478426568667484</v>
      </c>
      <c r="AE16" s="486">
        <v>23189.444725738398</v>
      </c>
      <c r="AF16" s="173">
        <v>2858</v>
      </c>
      <c r="AG16" s="116">
        <v>2286</v>
      </c>
      <c r="AH16" s="174">
        <v>21.669388147152048</v>
      </c>
      <c r="AI16" s="174">
        <v>13.477684489615555</v>
      </c>
      <c r="AJ16" s="486">
        <v>7406.5844471445926</v>
      </c>
      <c r="AK16" s="207"/>
    </row>
    <row r="17" spans="1:55" s="164" customFormat="1" ht="16.5" customHeight="1">
      <c r="A17" s="176" t="s">
        <v>191</v>
      </c>
      <c r="B17" s="173">
        <v>2767</v>
      </c>
      <c r="C17" s="116">
        <v>2668</v>
      </c>
      <c r="D17" s="174">
        <f t="shared" si="0"/>
        <v>96.42211781713047</v>
      </c>
      <c r="E17" s="174">
        <v>33.050314465408803</v>
      </c>
      <c r="F17" s="116">
        <v>26453.471698113208</v>
      </c>
      <c r="G17" s="173">
        <v>2939</v>
      </c>
      <c r="H17" s="116">
        <v>2813</v>
      </c>
      <c r="I17" s="174">
        <f t="shared" si="1"/>
        <v>95.712827492344331</v>
      </c>
      <c r="J17" s="174">
        <v>35.778025655326275</v>
      </c>
      <c r="K17" s="151">
        <v>30193.07585052984</v>
      </c>
      <c r="L17" s="173">
        <v>2608</v>
      </c>
      <c r="M17" s="116">
        <v>2586</v>
      </c>
      <c r="N17" s="174">
        <f t="shared" si="2"/>
        <v>99.156441717791409</v>
      </c>
      <c r="O17" s="174">
        <v>32.451759364358686</v>
      </c>
      <c r="P17" s="151">
        <v>25176.074914869467</v>
      </c>
      <c r="Q17" s="173">
        <v>2779</v>
      </c>
      <c r="R17" s="116">
        <v>2747</v>
      </c>
      <c r="S17" s="174">
        <f t="shared" si="3"/>
        <v>98.848506657070885</v>
      </c>
      <c r="T17" s="174">
        <v>28.916553493285047</v>
      </c>
      <c r="U17" s="486">
        <v>23830.131733816208</v>
      </c>
      <c r="V17" s="173">
        <v>2772</v>
      </c>
      <c r="W17" s="116">
        <v>2772</v>
      </c>
      <c r="X17" s="174">
        <f t="shared" si="4"/>
        <v>100</v>
      </c>
      <c r="Y17" s="174">
        <v>29.963027826425375</v>
      </c>
      <c r="Z17" s="486">
        <v>24917.253940455343</v>
      </c>
      <c r="AA17" s="173">
        <v>2957</v>
      </c>
      <c r="AB17" s="116">
        <v>2936</v>
      </c>
      <c r="AC17" s="174">
        <v>99.289820764288123</v>
      </c>
      <c r="AD17" s="174">
        <v>25.448536355051939</v>
      </c>
      <c r="AE17" s="486">
        <v>22415.070821529745</v>
      </c>
      <c r="AF17" s="173">
        <v>2859</v>
      </c>
      <c r="AG17" s="116">
        <v>2330</v>
      </c>
      <c r="AH17" s="174">
        <v>32.984343482854669</v>
      </c>
      <c r="AI17" s="174">
        <v>14.278252611585945</v>
      </c>
      <c r="AJ17" s="486">
        <v>7804.5159194282005</v>
      </c>
      <c r="AK17" s="207"/>
    </row>
    <row r="18" spans="1:55" s="164" customFormat="1" ht="16.5" customHeight="1">
      <c r="A18" s="177" t="s">
        <v>192</v>
      </c>
      <c r="B18" s="178">
        <v>2739</v>
      </c>
      <c r="C18" s="179">
        <v>2641</v>
      </c>
      <c r="D18" s="180">
        <f t="shared" si="0"/>
        <v>96.422051843738586</v>
      </c>
      <c r="E18" s="180">
        <v>32.921314440759723</v>
      </c>
      <c r="F18" s="179">
        <v>26953.009345794391</v>
      </c>
      <c r="G18" s="178">
        <v>2939</v>
      </c>
      <c r="H18" s="179">
        <v>2813</v>
      </c>
      <c r="I18" s="180">
        <f t="shared" si="1"/>
        <v>95.712827492344331</v>
      </c>
      <c r="J18" s="180">
        <v>28.258293838862556</v>
      </c>
      <c r="K18" s="148">
        <v>24642.079976303317</v>
      </c>
      <c r="L18" s="178">
        <v>2694</v>
      </c>
      <c r="M18" s="179">
        <v>2672</v>
      </c>
      <c r="N18" s="180">
        <f t="shared" si="2"/>
        <v>99.183370452858199</v>
      </c>
      <c r="O18" s="180">
        <v>29.383454734651405</v>
      </c>
      <c r="P18" s="148">
        <v>24338.903225806451</v>
      </c>
      <c r="Q18" s="178">
        <v>2518</v>
      </c>
      <c r="R18" s="179">
        <v>2486</v>
      </c>
      <c r="S18" s="180">
        <f t="shared" si="3"/>
        <v>98.729150119142176</v>
      </c>
      <c r="T18" s="180">
        <v>30.691336822151293</v>
      </c>
      <c r="U18" s="487">
        <v>23652.585635359115</v>
      </c>
      <c r="V18" s="178">
        <v>2758</v>
      </c>
      <c r="W18" s="179">
        <v>2758</v>
      </c>
      <c r="X18" s="180">
        <f t="shared" si="4"/>
        <v>100</v>
      </c>
      <c r="Y18" s="180">
        <v>26.679852274517351</v>
      </c>
      <c r="Z18" s="487">
        <v>22810.740097666847</v>
      </c>
      <c r="AA18" s="178">
        <v>2963</v>
      </c>
      <c r="AB18" s="179">
        <v>2942</v>
      </c>
      <c r="AC18" s="180">
        <v>99.291258859264261</v>
      </c>
      <c r="AD18" s="180">
        <v>29.014435929424348</v>
      </c>
      <c r="AE18" s="487">
        <v>26461.745856353591</v>
      </c>
      <c r="AF18" s="178">
        <v>2652</v>
      </c>
      <c r="AG18" s="179">
        <v>2530</v>
      </c>
      <c r="AH18" s="180">
        <v>52.09320313255342</v>
      </c>
      <c r="AI18" s="180">
        <v>24.027092182298244</v>
      </c>
      <c r="AJ18" s="487">
        <v>12460.309278350516</v>
      </c>
      <c r="AK18" s="207"/>
    </row>
    <row r="19" spans="1:55" ht="19.5" customHeight="1">
      <c r="A19" s="54" t="s">
        <v>142</v>
      </c>
      <c r="B19" s="181"/>
      <c r="C19" s="181"/>
      <c r="D19" s="182"/>
      <c r="G19" s="181"/>
      <c r="H19" s="181"/>
      <c r="I19" s="182"/>
      <c r="L19" s="181"/>
      <c r="M19" s="181"/>
      <c r="N19" s="182"/>
      <c r="Q19" s="181"/>
      <c r="R19" s="181"/>
      <c r="S19" s="182"/>
      <c r="U19" s="488"/>
      <c r="V19" s="197"/>
      <c r="W19" s="207"/>
      <c r="X19" s="207"/>
      <c r="Y19" s="207"/>
      <c r="Z19" s="57"/>
      <c r="AA19" s="197"/>
      <c r="AB19" s="575"/>
      <c r="AC19" s="575"/>
      <c r="AD19" s="575"/>
      <c r="AE19" s="576"/>
      <c r="AF19" s="197"/>
      <c r="AG19" s="575"/>
      <c r="AH19" s="575"/>
      <c r="AI19" s="575"/>
      <c r="AJ19" s="576" t="s">
        <v>193</v>
      </c>
      <c r="AK19" s="207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</row>
    <row r="20" spans="1:55" ht="11.25" customHeight="1">
      <c r="A20" s="735" t="s">
        <v>1078</v>
      </c>
      <c r="B20" s="181"/>
      <c r="C20" s="181"/>
      <c r="G20" s="181"/>
      <c r="H20" s="181"/>
      <c r="L20" s="181"/>
      <c r="M20" s="181"/>
      <c r="Q20" s="181"/>
      <c r="R20" s="181"/>
      <c r="V20" s="197"/>
      <c r="W20" s="207"/>
      <c r="X20" s="207"/>
      <c r="Y20" s="207"/>
      <c r="Z20" s="207"/>
      <c r="AA20" s="197"/>
      <c r="AB20" s="207"/>
      <c r="AC20" s="207"/>
      <c r="AD20" s="207"/>
      <c r="AE20" s="207"/>
      <c r="AF20" s="197"/>
      <c r="AG20" s="207"/>
      <c r="AH20" s="207"/>
      <c r="AI20" s="207"/>
      <c r="AJ20" s="207"/>
      <c r="AK20" s="207"/>
      <c r="AP20" s="183" t="s">
        <v>179</v>
      </c>
      <c r="AQ20" s="183" t="s">
        <v>194</v>
      </c>
    </row>
    <row r="21" spans="1:55" ht="11.25" customHeight="1">
      <c r="A21" s="736" t="s">
        <v>1079</v>
      </c>
      <c r="B21" s="181"/>
      <c r="C21" s="181"/>
      <c r="G21" s="181"/>
      <c r="H21" s="181"/>
      <c r="L21" s="181"/>
      <c r="M21" s="181"/>
      <c r="Q21" s="181"/>
      <c r="R21" s="181"/>
      <c r="V21" s="197"/>
      <c r="W21" s="207"/>
      <c r="X21" s="207"/>
      <c r="Y21" s="207"/>
      <c r="Z21" s="207"/>
      <c r="AA21" s="197"/>
      <c r="AB21" s="207"/>
      <c r="AC21" s="207"/>
      <c r="AD21" s="207"/>
      <c r="AE21" s="207"/>
      <c r="AF21" s="197"/>
      <c r="AG21" s="207"/>
      <c r="AH21" s="207"/>
      <c r="AI21" s="207"/>
      <c r="AJ21" s="207"/>
      <c r="AK21" s="207"/>
      <c r="AO21" s="185" t="s">
        <v>195</v>
      </c>
      <c r="AP21" s="173">
        <f t="shared" ref="AP21:AP32" si="5">AF7</f>
        <v>2997</v>
      </c>
      <c r="AQ21" s="173">
        <f t="shared" ref="AQ21:AQ32" si="6">AG7</f>
        <v>2970</v>
      </c>
    </row>
    <row r="22" spans="1:55" ht="18.75" customHeight="1">
      <c r="A22" s="187"/>
      <c r="B22" s="181"/>
      <c r="C22" s="181"/>
      <c r="G22" s="181"/>
      <c r="H22" s="181"/>
      <c r="L22" s="181"/>
      <c r="M22" s="181"/>
      <c r="Q22" s="181"/>
      <c r="R22" s="181"/>
      <c r="V22" s="197"/>
      <c r="W22" s="207"/>
      <c r="X22" s="207"/>
      <c r="Y22" s="207"/>
      <c r="Z22" s="207"/>
      <c r="AA22" s="197"/>
      <c r="AB22" s="207"/>
      <c r="AC22" s="207"/>
      <c r="AD22" s="207"/>
      <c r="AE22" s="207"/>
      <c r="AF22" s="197"/>
      <c r="AG22" s="207"/>
      <c r="AH22" s="207"/>
      <c r="AI22" s="207"/>
      <c r="AJ22" s="207"/>
      <c r="AK22" s="207"/>
      <c r="AO22" s="185" t="s">
        <v>196</v>
      </c>
      <c r="AP22" s="173">
        <f t="shared" si="5"/>
        <v>3006</v>
      </c>
      <c r="AQ22" s="173">
        <f t="shared" si="6"/>
        <v>2979</v>
      </c>
    </row>
    <row r="23" spans="1:55" ht="18.75" customHeight="1">
      <c r="A23" s="187"/>
      <c r="B23" s="181"/>
      <c r="C23" s="181"/>
      <c r="G23" s="181"/>
      <c r="H23" s="181"/>
      <c r="L23" s="181"/>
      <c r="M23" s="181"/>
      <c r="Q23" s="181"/>
      <c r="R23" s="181"/>
      <c r="V23" s="197"/>
      <c r="W23" s="207"/>
      <c r="X23" s="207"/>
      <c r="Y23" s="207"/>
      <c r="Z23" s="207"/>
      <c r="AA23" s="197"/>
      <c r="AB23" s="207"/>
      <c r="AC23" s="207"/>
      <c r="AD23" s="207"/>
      <c r="AE23" s="207"/>
      <c r="AF23" s="197"/>
      <c r="AG23" s="207"/>
      <c r="AH23" s="207"/>
      <c r="AI23" s="207"/>
      <c r="AJ23" s="207"/>
      <c r="AK23" s="207"/>
      <c r="AO23" s="185" t="s">
        <v>197</v>
      </c>
      <c r="AP23" s="173">
        <f t="shared" si="5"/>
        <v>3006</v>
      </c>
      <c r="AQ23" s="173">
        <f t="shared" si="6"/>
        <v>3006</v>
      </c>
    </row>
    <row r="24" spans="1:55" ht="18.75" customHeight="1">
      <c r="A24" s="187"/>
      <c r="B24" s="181"/>
      <c r="C24" s="181"/>
      <c r="G24" s="181"/>
      <c r="H24" s="181"/>
      <c r="L24" s="181"/>
      <c r="M24" s="181"/>
      <c r="Q24" s="181"/>
      <c r="R24" s="181"/>
      <c r="V24" s="197"/>
      <c r="W24" s="207"/>
      <c r="X24" s="207"/>
      <c r="Y24" s="207"/>
      <c r="Z24" s="207"/>
      <c r="AA24" s="197"/>
      <c r="AB24" s="207"/>
      <c r="AC24" s="207"/>
      <c r="AD24" s="207"/>
      <c r="AE24" s="207"/>
      <c r="AF24" s="197"/>
      <c r="AG24" s="207"/>
      <c r="AH24" s="207"/>
      <c r="AI24" s="207"/>
      <c r="AJ24" s="207"/>
      <c r="AK24" s="207"/>
      <c r="AO24" s="185" t="s">
        <v>198</v>
      </c>
      <c r="AP24" s="173">
        <f t="shared" si="5"/>
        <v>3006</v>
      </c>
      <c r="AQ24" s="173">
        <f t="shared" si="6"/>
        <v>24</v>
      </c>
    </row>
    <row r="25" spans="1:55" ht="18.75" customHeight="1">
      <c r="A25" s="187"/>
      <c r="B25" s="181"/>
      <c r="C25" s="181"/>
      <c r="G25" s="181"/>
      <c r="H25" s="181"/>
      <c r="L25" s="181"/>
      <c r="M25" s="181"/>
      <c r="Q25" s="181"/>
      <c r="R25" s="181"/>
      <c r="V25" s="206"/>
      <c r="W25" s="203"/>
      <c r="X25" s="203"/>
      <c r="Y25" s="203"/>
      <c r="Z25" s="203"/>
      <c r="AA25" s="206"/>
      <c r="AB25" s="203"/>
      <c r="AC25" s="203"/>
      <c r="AD25" s="203"/>
      <c r="AE25" s="203"/>
      <c r="AF25" s="206"/>
      <c r="AG25" s="203"/>
      <c r="AH25" s="203"/>
      <c r="AI25" s="203"/>
      <c r="AJ25" s="203"/>
      <c r="AK25" s="203"/>
      <c r="AO25" s="185" t="s">
        <v>185</v>
      </c>
      <c r="AP25" s="173">
        <f t="shared" si="5"/>
        <v>3006</v>
      </c>
      <c r="AQ25" s="173">
        <f t="shared" si="6"/>
        <v>0</v>
      </c>
    </row>
    <row r="26" spans="1:55" ht="18.75" customHeight="1">
      <c r="A26" s="187"/>
      <c r="B26" s="181"/>
      <c r="C26" s="181"/>
      <c r="G26" s="181"/>
      <c r="H26" s="181"/>
      <c r="L26" s="181"/>
      <c r="M26" s="181"/>
      <c r="Q26" s="181"/>
      <c r="R26" s="181"/>
      <c r="V26" s="197"/>
      <c r="W26" s="203"/>
      <c r="X26" s="203"/>
      <c r="Y26" s="203"/>
      <c r="Z26" s="203"/>
      <c r="AA26" s="197"/>
      <c r="AB26" s="203"/>
      <c r="AC26" s="203"/>
      <c r="AD26" s="203"/>
      <c r="AE26" s="203"/>
      <c r="AF26" s="197"/>
      <c r="AG26" s="203"/>
      <c r="AH26" s="203"/>
      <c r="AI26" s="203"/>
      <c r="AJ26" s="203"/>
      <c r="AK26" s="203"/>
      <c r="AO26" s="185" t="s">
        <v>199</v>
      </c>
      <c r="AP26" s="173">
        <f t="shared" si="5"/>
        <v>2982</v>
      </c>
      <c r="AQ26" s="173">
        <f t="shared" si="6"/>
        <v>0</v>
      </c>
    </row>
    <row r="27" spans="1:55" ht="18.75" customHeight="1">
      <c r="A27" s="187"/>
      <c r="B27" s="181"/>
      <c r="C27" s="181"/>
      <c r="G27" s="181"/>
      <c r="H27" s="181"/>
      <c r="L27" s="181"/>
      <c r="M27" s="181"/>
      <c r="Q27" s="181"/>
      <c r="R27" s="181"/>
      <c r="V27" s="197"/>
      <c r="W27" s="203"/>
      <c r="X27" s="203"/>
      <c r="Y27" s="203"/>
      <c r="Z27" s="203"/>
      <c r="AA27" s="197"/>
      <c r="AB27" s="203"/>
      <c r="AC27" s="203"/>
      <c r="AD27" s="203"/>
      <c r="AE27" s="203"/>
      <c r="AF27" s="197"/>
      <c r="AG27" s="203"/>
      <c r="AH27" s="203"/>
      <c r="AI27" s="203"/>
      <c r="AJ27" s="203"/>
      <c r="AK27" s="203"/>
      <c r="AO27" s="185" t="s">
        <v>200</v>
      </c>
      <c r="AP27" s="173">
        <f t="shared" si="5"/>
        <v>2905</v>
      </c>
      <c r="AQ27" s="173">
        <f t="shared" si="6"/>
        <v>197</v>
      </c>
    </row>
    <row r="28" spans="1:55" ht="18.75" customHeight="1">
      <c r="A28" s="187"/>
      <c r="B28" s="181"/>
      <c r="C28" s="181"/>
      <c r="G28" s="181"/>
      <c r="H28" s="181"/>
      <c r="L28" s="181"/>
      <c r="M28" s="181"/>
      <c r="Q28" s="181"/>
      <c r="R28" s="181"/>
      <c r="V28" s="197"/>
      <c r="W28" s="203"/>
      <c r="X28" s="203"/>
      <c r="Y28" s="203"/>
      <c r="Z28" s="203"/>
      <c r="AA28" s="197"/>
      <c r="AB28" s="203"/>
      <c r="AC28" s="203"/>
      <c r="AD28" s="203"/>
      <c r="AE28" s="203"/>
      <c r="AF28" s="197"/>
      <c r="AG28" s="203"/>
      <c r="AH28" s="203"/>
      <c r="AI28" s="203"/>
      <c r="AJ28" s="203"/>
      <c r="AK28" s="203"/>
      <c r="AO28" s="185" t="s">
        <v>201</v>
      </c>
      <c r="AP28" s="173">
        <f t="shared" si="5"/>
        <v>2916</v>
      </c>
      <c r="AQ28" s="173">
        <f t="shared" si="6"/>
        <v>1409</v>
      </c>
    </row>
    <row r="29" spans="1:55" ht="18.75" customHeight="1">
      <c r="A29" s="187"/>
      <c r="B29" s="181"/>
      <c r="C29" s="181"/>
      <c r="D29" s="184"/>
      <c r="G29" s="181"/>
      <c r="H29" s="181"/>
      <c r="I29" s="184"/>
      <c r="L29" s="181"/>
      <c r="M29" s="181"/>
      <c r="N29" s="184"/>
      <c r="Q29" s="181"/>
      <c r="R29" s="181"/>
      <c r="S29" s="184"/>
      <c r="V29" s="197"/>
      <c r="W29" s="203"/>
      <c r="X29" s="203"/>
      <c r="Y29" s="203"/>
      <c r="Z29" s="203"/>
      <c r="AA29" s="197"/>
      <c r="AB29" s="203"/>
      <c r="AC29" s="203"/>
      <c r="AD29" s="203"/>
      <c r="AE29" s="203"/>
      <c r="AF29" s="197"/>
      <c r="AG29" s="203"/>
      <c r="AH29" s="203"/>
      <c r="AI29" s="203"/>
      <c r="AJ29" s="203"/>
      <c r="AK29" s="203"/>
      <c r="AO29" s="185" t="s">
        <v>202</v>
      </c>
      <c r="AP29" s="173">
        <f t="shared" si="5"/>
        <v>2876</v>
      </c>
      <c r="AQ29" s="173">
        <f t="shared" si="6"/>
        <v>2086</v>
      </c>
    </row>
    <row r="30" spans="1:55" ht="18.75" customHeight="1">
      <c r="A30" s="187"/>
      <c r="B30" s="191"/>
      <c r="C30" s="191"/>
      <c r="D30" s="192"/>
      <c r="G30" s="191"/>
      <c r="H30" s="191"/>
      <c r="I30" s="192"/>
      <c r="L30" s="191"/>
      <c r="M30" s="191"/>
      <c r="N30" s="192"/>
      <c r="Q30" s="191"/>
      <c r="R30" s="191"/>
      <c r="S30" s="192"/>
      <c r="V30" s="197"/>
      <c r="W30" s="203"/>
      <c r="X30" s="203"/>
      <c r="Y30" s="203"/>
      <c r="Z30" s="203"/>
      <c r="AA30" s="197"/>
      <c r="AB30" s="203"/>
      <c r="AC30" s="203"/>
      <c r="AD30" s="203"/>
      <c r="AE30" s="203"/>
      <c r="AF30" s="197"/>
      <c r="AG30" s="203"/>
      <c r="AH30" s="203"/>
      <c r="AI30" s="203"/>
      <c r="AJ30" s="203"/>
      <c r="AK30" s="203"/>
      <c r="AO30" s="185" t="s">
        <v>203</v>
      </c>
      <c r="AP30" s="173">
        <f t="shared" si="5"/>
        <v>2858</v>
      </c>
      <c r="AQ30" s="173">
        <f t="shared" si="6"/>
        <v>2286</v>
      </c>
    </row>
    <row r="31" spans="1:55" ht="9.75" customHeight="1">
      <c r="A31" s="187"/>
      <c r="B31" s="193"/>
      <c r="C31" s="193"/>
      <c r="D31" s="193"/>
      <c r="E31" s="194"/>
      <c r="G31" s="193"/>
      <c r="H31" s="193"/>
      <c r="I31" s="193"/>
      <c r="J31" s="194"/>
      <c r="L31" s="193"/>
      <c r="M31" s="193"/>
      <c r="N31" s="193"/>
      <c r="O31" s="194"/>
      <c r="Q31" s="193"/>
      <c r="R31" s="193"/>
      <c r="S31" s="193"/>
      <c r="T31" s="194"/>
      <c r="V31" s="197"/>
      <c r="W31" s="203"/>
      <c r="X31" s="203"/>
      <c r="Y31" s="203"/>
      <c r="Z31" s="203"/>
      <c r="AA31" s="197"/>
      <c r="AB31" s="203"/>
      <c r="AC31" s="203"/>
      <c r="AD31" s="203"/>
      <c r="AE31" s="203"/>
      <c r="AF31" s="197"/>
      <c r="AG31" s="203"/>
      <c r="AH31" s="203"/>
      <c r="AI31" s="203"/>
      <c r="AJ31" s="203"/>
      <c r="AK31" s="203"/>
      <c r="AO31" s="185" t="s">
        <v>204</v>
      </c>
      <c r="AP31" s="173">
        <f t="shared" si="5"/>
        <v>2859</v>
      </c>
      <c r="AQ31" s="173">
        <f t="shared" si="6"/>
        <v>2330</v>
      </c>
    </row>
    <row r="32" spans="1:55" ht="18.75" customHeight="1">
      <c r="A32" s="187"/>
      <c r="B32" s="195"/>
      <c r="C32" s="195"/>
      <c r="D32" s="195"/>
      <c r="E32" s="194"/>
      <c r="G32" s="195"/>
      <c r="H32" s="195"/>
      <c r="I32" s="195"/>
      <c r="J32" s="194"/>
      <c r="L32" s="195"/>
      <c r="M32" s="195"/>
      <c r="N32" s="195"/>
      <c r="O32" s="194"/>
      <c r="Q32" s="195"/>
      <c r="R32" s="195"/>
      <c r="S32" s="195"/>
      <c r="T32" s="194"/>
      <c r="V32" s="197"/>
      <c r="W32" s="203"/>
      <c r="X32" s="203"/>
      <c r="Y32" s="203"/>
      <c r="Z32" s="203"/>
      <c r="AA32" s="197"/>
      <c r="AB32" s="203"/>
      <c r="AC32" s="203"/>
      <c r="AD32" s="203"/>
      <c r="AE32" s="203"/>
      <c r="AF32" s="197"/>
      <c r="AG32" s="203"/>
      <c r="AH32" s="203"/>
      <c r="AI32" s="203"/>
      <c r="AJ32" s="203"/>
      <c r="AK32" s="203"/>
      <c r="AO32" s="185" t="s">
        <v>205</v>
      </c>
      <c r="AP32" s="173">
        <f t="shared" si="5"/>
        <v>2652</v>
      </c>
      <c r="AQ32" s="173">
        <f t="shared" si="6"/>
        <v>2530</v>
      </c>
    </row>
    <row r="33" spans="1:43" ht="18.75" customHeight="1">
      <c r="A33" s="187"/>
      <c r="B33" s="195"/>
      <c r="C33" s="195"/>
      <c r="D33" s="195"/>
      <c r="E33" s="194"/>
      <c r="F33" s="194"/>
      <c r="G33" s="195"/>
      <c r="H33" s="195"/>
      <c r="I33" s="195"/>
      <c r="J33" s="194"/>
      <c r="K33" s="194"/>
      <c r="L33" s="195"/>
      <c r="M33" s="195"/>
      <c r="N33" s="195"/>
      <c r="O33" s="194"/>
      <c r="P33" s="194"/>
      <c r="Q33" s="195"/>
      <c r="R33" s="195"/>
      <c r="S33" s="195"/>
      <c r="T33" s="194"/>
      <c r="U33" s="194"/>
      <c r="V33" s="197"/>
      <c r="W33" s="203"/>
      <c r="X33" s="203"/>
      <c r="Y33" s="203"/>
      <c r="Z33" s="203"/>
      <c r="AA33" s="197"/>
      <c r="AB33" s="203"/>
      <c r="AC33" s="203"/>
      <c r="AD33" s="203"/>
      <c r="AE33" s="203"/>
      <c r="AF33" s="197"/>
      <c r="AG33" s="203"/>
      <c r="AH33" s="203"/>
      <c r="AI33" s="203"/>
      <c r="AJ33" s="203"/>
      <c r="AK33" s="203"/>
      <c r="AO33" s="164"/>
      <c r="AP33" s="164"/>
      <c r="AQ33" s="164"/>
    </row>
    <row r="34" spans="1:43" ht="12.75">
      <c r="B34" s="195"/>
      <c r="C34" s="195"/>
      <c r="D34" s="195"/>
      <c r="E34" s="194"/>
      <c r="F34" s="196"/>
      <c r="G34" s="195"/>
      <c r="H34" s="195"/>
      <c r="I34" s="195"/>
      <c r="J34" s="194"/>
      <c r="K34" s="196"/>
      <c r="L34" s="195"/>
      <c r="M34" s="195"/>
      <c r="N34" s="195"/>
      <c r="O34" s="194"/>
      <c r="P34" s="196"/>
      <c r="Q34" s="195"/>
      <c r="R34" s="195"/>
      <c r="S34" s="195"/>
      <c r="T34" s="194"/>
      <c r="U34" s="196"/>
      <c r="V34" s="197"/>
      <c r="W34" s="203"/>
      <c r="X34" s="203"/>
      <c r="Y34" s="203"/>
      <c r="Z34" s="203"/>
      <c r="AA34" s="197"/>
      <c r="AB34" s="203"/>
      <c r="AC34" s="203"/>
      <c r="AD34" s="203"/>
      <c r="AE34" s="203"/>
      <c r="AF34" s="197"/>
      <c r="AG34" s="203"/>
      <c r="AH34" s="203"/>
      <c r="AI34" s="203"/>
      <c r="AJ34" s="203"/>
      <c r="AK34" s="203"/>
    </row>
    <row r="35" spans="1:43" ht="12.75">
      <c r="B35" s="195"/>
      <c r="C35" s="195"/>
      <c r="D35" s="195"/>
      <c r="E35" s="185"/>
      <c r="F35" s="194"/>
      <c r="G35" s="195"/>
      <c r="H35" s="195"/>
      <c r="I35" s="195"/>
      <c r="J35" s="185"/>
      <c r="K35" s="194"/>
      <c r="L35" s="195"/>
      <c r="M35" s="195"/>
      <c r="N35" s="195"/>
      <c r="O35" s="185"/>
      <c r="P35" s="194"/>
      <c r="Q35" s="195"/>
      <c r="R35" s="195"/>
      <c r="S35" s="195"/>
      <c r="T35" s="185"/>
      <c r="U35" s="194"/>
      <c r="V35" s="197"/>
      <c r="W35" s="203"/>
      <c r="X35" s="203"/>
      <c r="Y35" s="203"/>
      <c r="Z35" s="203"/>
      <c r="AA35" s="197"/>
      <c r="AB35" s="203"/>
      <c r="AC35" s="203"/>
      <c r="AD35" s="203"/>
      <c r="AE35" s="203"/>
      <c r="AF35" s="197"/>
      <c r="AG35" s="203"/>
      <c r="AH35" s="203"/>
      <c r="AI35" s="203"/>
      <c r="AJ35" s="203"/>
      <c r="AK35" s="203"/>
    </row>
    <row r="36" spans="1:43" ht="12.75">
      <c r="B36" s="195"/>
      <c r="C36" s="195"/>
      <c r="D36" s="195"/>
      <c r="E36" s="185"/>
      <c r="G36" s="195"/>
      <c r="H36" s="195"/>
      <c r="I36" s="195"/>
      <c r="J36" s="185"/>
      <c r="L36" s="195"/>
      <c r="M36" s="195"/>
      <c r="N36" s="195"/>
      <c r="O36" s="185"/>
      <c r="Q36" s="195"/>
      <c r="R36" s="195"/>
      <c r="S36" s="195"/>
      <c r="T36" s="185"/>
      <c r="V36" s="197"/>
      <c r="W36" s="203"/>
      <c r="X36" s="203"/>
      <c r="Y36" s="203"/>
      <c r="Z36" s="203"/>
      <c r="AA36" s="197"/>
      <c r="AB36" s="203"/>
      <c r="AC36" s="203"/>
      <c r="AD36" s="203"/>
      <c r="AE36" s="203"/>
      <c r="AF36" s="197"/>
      <c r="AG36" s="203"/>
      <c r="AH36" s="203"/>
      <c r="AI36" s="203"/>
      <c r="AJ36" s="203"/>
      <c r="AK36" s="203"/>
    </row>
    <row r="37" spans="1:43">
      <c r="B37" s="195"/>
      <c r="C37" s="195"/>
      <c r="D37" s="195"/>
      <c r="E37" s="185"/>
      <c r="G37" s="195"/>
      <c r="H37" s="195"/>
      <c r="I37" s="195"/>
      <c r="J37" s="185"/>
      <c r="L37" s="195"/>
      <c r="M37" s="195"/>
      <c r="N37" s="195"/>
      <c r="O37" s="185"/>
      <c r="Q37" s="195"/>
      <c r="R37" s="195"/>
      <c r="S37" s="195"/>
      <c r="T37" s="185"/>
    </row>
    <row r="38" spans="1:43">
      <c r="B38" s="195"/>
      <c r="C38" s="195"/>
      <c r="D38" s="195"/>
      <c r="E38" s="185"/>
      <c r="G38" s="195"/>
      <c r="H38" s="195"/>
      <c r="I38" s="195"/>
      <c r="J38" s="185"/>
      <c r="L38" s="195"/>
      <c r="M38" s="195"/>
      <c r="N38" s="195"/>
      <c r="O38" s="185"/>
      <c r="Q38" s="195"/>
      <c r="R38" s="195"/>
      <c r="S38" s="195"/>
      <c r="T38" s="185"/>
    </row>
    <row r="39" spans="1:43">
      <c r="B39" s="195"/>
      <c r="C39" s="195"/>
      <c r="D39" s="195"/>
      <c r="E39" s="185"/>
      <c r="G39" s="195"/>
      <c r="H39" s="195"/>
      <c r="I39" s="195"/>
      <c r="J39" s="185"/>
      <c r="L39" s="195"/>
      <c r="M39" s="195"/>
      <c r="N39" s="195"/>
      <c r="O39" s="185"/>
      <c r="Q39" s="195"/>
      <c r="R39" s="195"/>
      <c r="S39" s="195"/>
      <c r="T39" s="185"/>
    </row>
    <row r="40" spans="1:43">
      <c r="B40" s="195"/>
      <c r="C40" s="195"/>
      <c r="D40" s="195"/>
      <c r="E40" s="185"/>
      <c r="G40" s="195"/>
      <c r="H40" s="195"/>
      <c r="I40" s="195"/>
      <c r="J40" s="185"/>
      <c r="L40" s="195"/>
      <c r="M40" s="195"/>
      <c r="N40" s="195"/>
      <c r="O40" s="185"/>
      <c r="Q40" s="195"/>
      <c r="R40" s="195"/>
      <c r="S40" s="195"/>
      <c r="T40" s="185"/>
    </row>
    <row r="41" spans="1:43">
      <c r="B41" s="195"/>
      <c r="C41" s="195"/>
      <c r="D41" s="195"/>
      <c r="E41" s="185"/>
      <c r="G41" s="195"/>
      <c r="H41" s="195"/>
      <c r="I41" s="195"/>
      <c r="J41" s="185"/>
      <c r="L41" s="195"/>
      <c r="M41" s="195"/>
      <c r="N41" s="195"/>
      <c r="O41" s="185"/>
      <c r="Q41" s="195"/>
      <c r="R41" s="195"/>
      <c r="S41" s="195"/>
      <c r="T41" s="185"/>
    </row>
    <row r="42" spans="1:43">
      <c r="B42" s="195"/>
      <c r="C42" s="195"/>
      <c r="D42" s="195"/>
      <c r="E42" s="185"/>
      <c r="G42" s="195"/>
      <c r="H42" s="195"/>
      <c r="I42" s="195"/>
      <c r="J42" s="185"/>
      <c r="L42" s="195"/>
      <c r="M42" s="195"/>
      <c r="N42" s="195"/>
      <c r="O42" s="185"/>
      <c r="Q42" s="195"/>
      <c r="R42" s="195"/>
      <c r="S42" s="195"/>
      <c r="T42" s="185"/>
    </row>
    <row r="43" spans="1:43">
      <c r="B43" s="195"/>
      <c r="C43" s="195"/>
      <c r="D43" s="195"/>
      <c r="E43" s="185"/>
      <c r="G43" s="195"/>
      <c r="H43" s="195"/>
      <c r="I43" s="195"/>
      <c r="J43" s="185"/>
      <c r="L43" s="195"/>
      <c r="M43" s="195"/>
      <c r="N43" s="195"/>
      <c r="O43" s="185"/>
      <c r="Q43" s="195"/>
      <c r="R43" s="195"/>
      <c r="S43" s="195"/>
      <c r="T43" s="185"/>
    </row>
    <row r="44" spans="1:43">
      <c r="B44" s="194"/>
      <c r="C44" s="194"/>
      <c r="D44" s="194"/>
      <c r="E44" s="185"/>
      <c r="G44" s="194"/>
      <c r="H44" s="194"/>
      <c r="I44" s="194"/>
      <c r="J44" s="185"/>
      <c r="L44" s="194"/>
      <c r="M44" s="194"/>
      <c r="N44" s="194"/>
      <c r="O44" s="185"/>
      <c r="Q44" s="194"/>
      <c r="R44" s="194"/>
      <c r="S44" s="194"/>
      <c r="T44" s="185"/>
    </row>
    <row r="45" spans="1:43">
      <c r="B45" s="194"/>
      <c r="C45" s="194"/>
      <c r="D45" s="194"/>
      <c r="E45" s="185"/>
      <c r="G45" s="194"/>
      <c r="H45" s="194"/>
      <c r="I45" s="194"/>
      <c r="J45" s="185"/>
      <c r="L45" s="194"/>
      <c r="M45" s="194"/>
      <c r="N45" s="194"/>
      <c r="O45" s="185"/>
      <c r="Q45" s="194"/>
      <c r="R45" s="194"/>
      <c r="S45" s="194"/>
      <c r="T45" s="185"/>
    </row>
    <row r="46" spans="1:43">
      <c r="E46" s="185"/>
      <c r="J46" s="185"/>
      <c r="O46" s="185"/>
      <c r="T46" s="185"/>
    </row>
    <row r="70" spans="45:45">
      <c r="AS70" s="215"/>
    </row>
    <row r="71" spans="45:45">
      <c r="AS71" s="215"/>
    </row>
  </sheetData>
  <mergeCells count="10">
    <mergeCell ref="AF3:AJ3"/>
    <mergeCell ref="A1:AJ1"/>
    <mergeCell ref="A2:AJ2"/>
    <mergeCell ref="AA3:AE3"/>
    <mergeCell ref="A3:A5"/>
    <mergeCell ref="B3:F3"/>
    <mergeCell ref="G3:K3"/>
    <mergeCell ref="L3:P3"/>
    <mergeCell ref="Q3:U3"/>
    <mergeCell ref="V3:Z3"/>
  </mergeCells>
  <pageMargins left="0.7" right="0.7" top="0.75" bottom="0.75" header="0.3" footer="0.3"/>
  <pageSetup paperSize="9" scale="55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K48"/>
  <sheetViews>
    <sheetView topLeftCell="A22" zoomScaleNormal="100" zoomScaleSheetLayoutView="91" workbookViewId="0">
      <selection activeCell="A30" sqref="A30:A31"/>
    </sheetView>
  </sheetViews>
  <sheetFormatPr defaultColWidth="9.140625" defaultRowHeight="15"/>
  <cols>
    <col min="1" max="1" width="9.140625" style="216"/>
    <col min="2" max="2" width="11.42578125" style="216" customWidth="1"/>
    <col min="3" max="10" width="9.140625" style="216"/>
    <col min="11" max="11" width="9.7109375" style="216" customWidth="1"/>
    <col min="12" max="14" width="9.140625" style="216"/>
    <col min="15" max="15" width="9.85546875" style="216" customWidth="1"/>
    <col min="16" max="16" width="3.85546875" style="2" customWidth="1"/>
    <col min="17" max="18" width="9.140625" style="2"/>
    <col min="19" max="20" width="12.28515625" style="2" bestFit="1" customWidth="1"/>
    <col min="21" max="31" width="9.140625" style="2"/>
    <col min="32" max="33" width="10.5703125" style="2" customWidth="1"/>
    <col min="34" max="34" width="10.5703125" style="2" bestFit="1" customWidth="1"/>
    <col min="35" max="16384" width="9.140625" style="2"/>
  </cols>
  <sheetData>
    <row r="1" spans="1:15" ht="21">
      <c r="A1" s="843" t="s">
        <v>1046</v>
      </c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843"/>
    </row>
    <row r="2" spans="1:15">
      <c r="A2" s="844" t="s">
        <v>1045</v>
      </c>
      <c r="B2" s="844"/>
      <c r="C2" s="844"/>
      <c r="D2" s="844"/>
      <c r="E2" s="844"/>
      <c r="F2" s="844"/>
      <c r="G2" s="844"/>
      <c r="H2" s="844"/>
      <c r="I2" s="844"/>
      <c r="J2" s="844"/>
      <c r="K2" s="844"/>
      <c r="L2" s="844"/>
      <c r="M2" s="844"/>
      <c r="N2" s="844"/>
      <c r="O2" s="844"/>
    </row>
    <row r="3" spans="1:15" ht="15.75">
      <c r="A3" s="845"/>
      <c r="B3" s="845"/>
      <c r="C3" s="845"/>
      <c r="D3" s="845"/>
      <c r="E3" s="845"/>
      <c r="F3" s="845"/>
      <c r="G3" s="845"/>
      <c r="H3" s="845"/>
      <c r="I3" s="845"/>
      <c r="J3" s="845"/>
      <c r="K3" s="845"/>
      <c r="L3" s="845"/>
      <c r="M3" s="845"/>
      <c r="N3" s="845"/>
    </row>
    <row r="4" spans="1:15" s="220" customFormat="1" ht="29.25">
      <c r="A4" s="217"/>
      <c r="B4" s="218" t="s">
        <v>207</v>
      </c>
      <c r="C4" s="218" t="s">
        <v>208</v>
      </c>
      <c r="D4" s="218" t="s">
        <v>209</v>
      </c>
      <c r="E4" s="218" t="s">
        <v>210</v>
      </c>
      <c r="F4" s="218" t="s">
        <v>211</v>
      </c>
      <c r="G4" s="218" t="s">
        <v>212</v>
      </c>
      <c r="H4" s="218" t="s">
        <v>213</v>
      </c>
      <c r="I4" s="218" t="s">
        <v>214</v>
      </c>
      <c r="J4" s="218" t="s">
        <v>215</v>
      </c>
      <c r="K4" s="218" t="s">
        <v>216</v>
      </c>
      <c r="L4" s="218" t="s">
        <v>217</v>
      </c>
      <c r="M4" s="218" t="s">
        <v>218</v>
      </c>
      <c r="N4" s="218" t="s">
        <v>219</v>
      </c>
      <c r="O4" s="219"/>
    </row>
    <row r="5" spans="1:15">
      <c r="A5" s="221">
        <v>2015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>
        <v>2015</v>
      </c>
    </row>
    <row r="6" spans="1:15" ht="18.75">
      <c r="A6" s="221" t="s">
        <v>16</v>
      </c>
      <c r="B6" s="223">
        <f>SUM(B7:B8)</f>
        <v>1234248</v>
      </c>
      <c r="C6" s="223">
        <f>SUM(C7:C8)</f>
        <v>97073</v>
      </c>
      <c r="D6" s="223">
        <f t="shared" ref="D6:N6" si="0">SUM(D7:D8)</f>
        <v>120468</v>
      </c>
      <c r="E6" s="223">
        <f t="shared" si="0"/>
        <v>112427</v>
      </c>
      <c r="F6" s="223">
        <f t="shared" si="0"/>
        <v>102242</v>
      </c>
      <c r="G6" s="223">
        <f>SUM(G7:G8)</f>
        <v>95389</v>
      </c>
      <c r="H6" s="223">
        <f t="shared" si="0"/>
        <v>81506</v>
      </c>
      <c r="I6" s="223">
        <f t="shared" si="0"/>
        <v>104517</v>
      </c>
      <c r="J6" s="223">
        <f t="shared" si="0"/>
        <v>110144</v>
      </c>
      <c r="K6" s="223">
        <f t="shared" si="0"/>
        <v>95511</v>
      </c>
      <c r="L6" s="223">
        <f t="shared" si="0"/>
        <v>105498</v>
      </c>
      <c r="M6" s="223">
        <f t="shared" si="0"/>
        <v>90218</v>
      </c>
      <c r="N6" s="223">
        <f t="shared" si="0"/>
        <v>119255</v>
      </c>
      <c r="O6" s="224" t="s">
        <v>17</v>
      </c>
    </row>
    <row r="7" spans="1:15" ht="18.75">
      <c r="A7" s="225" t="s">
        <v>220</v>
      </c>
      <c r="B7" s="223">
        <f>SUM(C7:N7)</f>
        <v>598458</v>
      </c>
      <c r="C7" s="226">
        <v>47173</v>
      </c>
      <c r="D7" s="226">
        <v>57866</v>
      </c>
      <c r="E7" s="226">
        <v>54087</v>
      </c>
      <c r="F7" s="226">
        <v>49321</v>
      </c>
      <c r="G7" s="227">
        <v>46353</v>
      </c>
      <c r="H7" s="226">
        <v>39330</v>
      </c>
      <c r="I7" s="226">
        <v>49602</v>
      </c>
      <c r="J7" s="226">
        <v>53154</v>
      </c>
      <c r="K7" s="226">
        <v>46533</v>
      </c>
      <c r="L7" s="226">
        <v>52055</v>
      </c>
      <c r="M7" s="226">
        <v>44453</v>
      </c>
      <c r="N7" s="226">
        <v>58531</v>
      </c>
      <c r="O7" s="228" t="s">
        <v>221</v>
      </c>
    </row>
    <row r="8" spans="1:15" ht="18.75">
      <c r="A8" s="229" t="s">
        <v>222</v>
      </c>
      <c r="B8" s="230">
        <f>SUM(C8:N8)</f>
        <v>635790</v>
      </c>
      <c r="C8" s="231">
        <v>49900</v>
      </c>
      <c r="D8" s="231">
        <v>62602</v>
      </c>
      <c r="E8" s="231">
        <v>58340</v>
      </c>
      <c r="F8" s="231">
        <v>52921</v>
      </c>
      <c r="G8" s="232">
        <v>49036</v>
      </c>
      <c r="H8" s="231">
        <v>42176</v>
      </c>
      <c r="I8" s="231">
        <v>54915</v>
      </c>
      <c r="J8" s="231">
        <v>56990</v>
      </c>
      <c r="K8" s="231">
        <v>48978</v>
      </c>
      <c r="L8" s="231">
        <v>53443</v>
      </c>
      <c r="M8" s="231">
        <v>45765</v>
      </c>
      <c r="N8" s="231">
        <v>60724</v>
      </c>
      <c r="O8" s="233" t="s">
        <v>223</v>
      </c>
    </row>
    <row r="9" spans="1:15">
      <c r="A9" s="221">
        <v>2016</v>
      </c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>
        <v>2016</v>
      </c>
    </row>
    <row r="10" spans="1:15" ht="18.75">
      <c r="A10" s="221" t="s">
        <v>16</v>
      </c>
      <c r="B10" s="223">
        <f>SUM(B11:B12)</f>
        <v>1286135</v>
      </c>
      <c r="C10" s="223">
        <f>SUM(C11:C12)</f>
        <v>108396</v>
      </c>
      <c r="D10" s="223">
        <f t="shared" ref="D10:N10" si="1">SUM(D11:D12)</f>
        <v>120639</v>
      </c>
      <c r="E10" s="223">
        <f t="shared" si="1"/>
        <v>115131</v>
      </c>
      <c r="F10" s="223">
        <f t="shared" si="1"/>
        <v>103493</v>
      </c>
      <c r="G10" s="223">
        <f t="shared" si="1"/>
        <v>93228</v>
      </c>
      <c r="H10" s="223">
        <f t="shared" si="1"/>
        <v>79034</v>
      </c>
      <c r="I10" s="223">
        <f t="shared" si="1"/>
        <v>110432</v>
      </c>
      <c r="J10" s="223">
        <f t="shared" si="1"/>
        <v>112282</v>
      </c>
      <c r="K10" s="223">
        <f t="shared" si="1"/>
        <v>101909</v>
      </c>
      <c r="L10" s="223">
        <f t="shared" si="1"/>
        <v>117489</v>
      </c>
      <c r="M10" s="223">
        <f t="shared" si="1"/>
        <v>104572</v>
      </c>
      <c r="N10" s="223">
        <f t="shared" si="1"/>
        <v>119530</v>
      </c>
      <c r="O10" s="224" t="s">
        <v>17</v>
      </c>
    </row>
    <row r="11" spans="1:15" ht="18.75">
      <c r="A11" s="225" t="s">
        <v>220</v>
      </c>
      <c r="B11" s="223">
        <f>SUM(C11:N11)</f>
        <v>623657</v>
      </c>
      <c r="C11" s="226">
        <v>52580</v>
      </c>
      <c r="D11" s="226">
        <v>58245</v>
      </c>
      <c r="E11" s="226">
        <v>55809</v>
      </c>
      <c r="F11" s="226">
        <v>49741</v>
      </c>
      <c r="G11" s="226">
        <v>45523</v>
      </c>
      <c r="H11" s="226">
        <v>37767</v>
      </c>
      <c r="I11" s="226">
        <v>52833</v>
      </c>
      <c r="J11" s="226">
        <v>53869</v>
      </c>
      <c r="K11" s="226">
        <v>49635</v>
      </c>
      <c r="L11" s="226">
        <v>58020</v>
      </c>
      <c r="M11" s="226">
        <v>51192</v>
      </c>
      <c r="N11" s="226">
        <v>58443</v>
      </c>
      <c r="O11" s="228" t="s">
        <v>221</v>
      </c>
    </row>
    <row r="12" spans="1:15" ht="18.75">
      <c r="A12" s="229" t="s">
        <v>222</v>
      </c>
      <c r="B12" s="230">
        <f>SUM(C12:N12)</f>
        <v>662478</v>
      </c>
      <c r="C12" s="231">
        <v>55816</v>
      </c>
      <c r="D12" s="231">
        <v>62394</v>
      </c>
      <c r="E12" s="231">
        <v>59322</v>
      </c>
      <c r="F12" s="231">
        <v>53752</v>
      </c>
      <c r="G12" s="231">
        <v>47705</v>
      </c>
      <c r="H12" s="231">
        <v>41267</v>
      </c>
      <c r="I12" s="231">
        <v>57599</v>
      </c>
      <c r="J12" s="231">
        <v>58413</v>
      </c>
      <c r="K12" s="231">
        <v>52274</v>
      </c>
      <c r="L12" s="231">
        <v>59469</v>
      </c>
      <c r="M12" s="231">
        <v>53380</v>
      </c>
      <c r="N12" s="231">
        <v>61087</v>
      </c>
      <c r="O12" s="233" t="s">
        <v>223</v>
      </c>
    </row>
    <row r="13" spans="1:15" s="220" customFormat="1" ht="18.75" customHeight="1">
      <c r="A13" s="221">
        <v>2017</v>
      </c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22">
        <v>2017</v>
      </c>
    </row>
    <row r="14" spans="1:15" s="220" customFormat="1" ht="18.75">
      <c r="A14" s="221" t="s">
        <v>16</v>
      </c>
      <c r="B14" s="223">
        <f>SUM(C14:N14)</f>
        <v>1389542</v>
      </c>
      <c r="C14" s="223">
        <f>SUM(C15:C16)</f>
        <v>125336</v>
      </c>
      <c r="D14" s="223">
        <f t="shared" ref="D14:N14" si="2">SUM(D15:D16)</f>
        <v>121052</v>
      </c>
      <c r="E14" s="223">
        <f t="shared" si="2"/>
        <v>112665</v>
      </c>
      <c r="F14" s="223">
        <f t="shared" si="2"/>
        <v>119774</v>
      </c>
      <c r="G14" s="223">
        <f t="shared" si="2"/>
        <v>93491</v>
      </c>
      <c r="H14" s="223">
        <f t="shared" si="2"/>
        <v>85222</v>
      </c>
      <c r="I14" s="223">
        <f t="shared" si="2"/>
        <v>113175</v>
      </c>
      <c r="J14" s="223">
        <f t="shared" si="2"/>
        <v>121310</v>
      </c>
      <c r="K14" s="223">
        <f t="shared" si="2"/>
        <v>105984</v>
      </c>
      <c r="L14" s="223">
        <f t="shared" si="2"/>
        <v>127986</v>
      </c>
      <c r="M14" s="223">
        <f t="shared" si="2"/>
        <v>120506</v>
      </c>
      <c r="N14" s="223">
        <f t="shared" si="2"/>
        <v>143041</v>
      </c>
      <c r="O14" s="224" t="s">
        <v>17</v>
      </c>
    </row>
    <row r="15" spans="1:15" ht="18.75">
      <c r="A15" s="225" t="s">
        <v>220</v>
      </c>
      <c r="B15" s="223">
        <f>SUM(C15:N15)</f>
        <v>667286</v>
      </c>
      <c r="C15" s="226">
        <v>60242</v>
      </c>
      <c r="D15" s="226">
        <v>58195</v>
      </c>
      <c r="E15" s="226">
        <v>54157</v>
      </c>
      <c r="F15" s="226">
        <v>57109</v>
      </c>
      <c r="G15" s="226">
        <v>45177</v>
      </c>
      <c r="H15" s="226">
        <v>40579</v>
      </c>
      <c r="I15" s="226">
        <v>54239</v>
      </c>
      <c r="J15" s="226">
        <v>57649</v>
      </c>
      <c r="K15" s="226">
        <v>51284</v>
      </c>
      <c r="L15" s="226">
        <v>61740</v>
      </c>
      <c r="M15" s="226">
        <v>57934</v>
      </c>
      <c r="N15" s="226">
        <v>68981</v>
      </c>
      <c r="O15" s="228" t="s">
        <v>221</v>
      </c>
    </row>
    <row r="16" spans="1:15" s="41" customFormat="1" ht="18.75">
      <c r="A16" s="235" t="s">
        <v>222</v>
      </c>
      <c r="B16" s="236">
        <f>SUM(C16:N16)</f>
        <v>722256</v>
      </c>
      <c r="C16" s="237">
        <v>65094</v>
      </c>
      <c r="D16" s="237">
        <v>62857</v>
      </c>
      <c r="E16" s="237">
        <v>58508</v>
      </c>
      <c r="F16" s="237">
        <v>62665</v>
      </c>
      <c r="G16" s="237">
        <v>48314</v>
      </c>
      <c r="H16" s="237">
        <v>44643</v>
      </c>
      <c r="I16" s="237">
        <v>58936</v>
      </c>
      <c r="J16" s="237">
        <v>63661</v>
      </c>
      <c r="K16" s="237">
        <v>54700</v>
      </c>
      <c r="L16" s="237">
        <v>66246</v>
      </c>
      <c r="M16" s="237">
        <v>62572</v>
      </c>
      <c r="N16" s="237">
        <v>74060</v>
      </c>
      <c r="O16" s="238" t="s">
        <v>223</v>
      </c>
    </row>
    <row r="17" spans="1:37" s="220" customFormat="1" ht="18.75" customHeight="1">
      <c r="A17" s="221">
        <v>2018</v>
      </c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22">
        <v>2018</v>
      </c>
    </row>
    <row r="18" spans="1:37" s="220" customFormat="1" ht="18.75">
      <c r="A18" s="221" t="s">
        <v>16</v>
      </c>
      <c r="B18" s="223">
        <f>SUM(C18:N18)</f>
        <v>1484274</v>
      </c>
      <c r="C18" s="223">
        <f>SUM(C19:C20)</f>
        <v>142351</v>
      </c>
      <c r="D18" s="223">
        <f t="shared" ref="D18:N18" si="3">SUM(D19:D20)</f>
        <v>144286</v>
      </c>
      <c r="E18" s="223">
        <f t="shared" si="3"/>
        <v>133466</v>
      </c>
      <c r="F18" s="223">
        <f t="shared" si="3"/>
        <v>119713</v>
      </c>
      <c r="G18" s="223">
        <f t="shared" si="3"/>
        <v>92913</v>
      </c>
      <c r="H18" s="223">
        <f t="shared" si="3"/>
        <v>93786</v>
      </c>
      <c r="I18" s="223">
        <f t="shared" si="3"/>
        <v>122332</v>
      </c>
      <c r="J18" s="223">
        <f t="shared" si="3"/>
        <v>123992</v>
      </c>
      <c r="K18" s="223">
        <f t="shared" si="3"/>
        <v>107620</v>
      </c>
      <c r="L18" s="223">
        <f t="shared" si="3"/>
        <v>127393</v>
      </c>
      <c r="M18" s="223">
        <f t="shared" si="3"/>
        <v>125604</v>
      </c>
      <c r="N18" s="223">
        <f t="shared" si="3"/>
        <v>150818</v>
      </c>
      <c r="O18" s="224" t="s">
        <v>17</v>
      </c>
    </row>
    <row r="19" spans="1:37" ht="18.75">
      <c r="A19" s="225" t="s">
        <v>220</v>
      </c>
      <c r="B19" s="223">
        <f>SUM(C19:N19)</f>
        <v>710256</v>
      </c>
      <c r="C19" s="226">
        <v>67601</v>
      </c>
      <c r="D19" s="226">
        <v>68779</v>
      </c>
      <c r="E19" s="226">
        <v>64018</v>
      </c>
      <c r="F19" s="226">
        <v>57300</v>
      </c>
      <c r="G19" s="226">
        <v>44543</v>
      </c>
      <c r="H19" s="226">
        <v>44461</v>
      </c>
      <c r="I19" s="226">
        <v>58223</v>
      </c>
      <c r="J19" s="226">
        <v>58839</v>
      </c>
      <c r="K19" s="226">
        <v>51698</v>
      </c>
      <c r="L19" s="226">
        <v>61444</v>
      </c>
      <c r="M19" s="226">
        <v>60624</v>
      </c>
      <c r="N19" s="226">
        <v>72726</v>
      </c>
      <c r="O19" s="228" t="s">
        <v>221</v>
      </c>
    </row>
    <row r="20" spans="1:37" s="41" customFormat="1" ht="18.75">
      <c r="A20" s="235" t="s">
        <v>222</v>
      </c>
      <c r="B20" s="236">
        <f>SUM(C20:N20)</f>
        <v>774018</v>
      </c>
      <c r="C20" s="237">
        <v>74750</v>
      </c>
      <c r="D20" s="237">
        <v>75507</v>
      </c>
      <c r="E20" s="237">
        <v>69448</v>
      </c>
      <c r="F20" s="237">
        <v>62413</v>
      </c>
      <c r="G20" s="237">
        <v>48370</v>
      </c>
      <c r="H20" s="237">
        <v>49325</v>
      </c>
      <c r="I20" s="237">
        <v>64109</v>
      </c>
      <c r="J20" s="237">
        <v>65153</v>
      </c>
      <c r="K20" s="237">
        <v>55922</v>
      </c>
      <c r="L20" s="237">
        <v>65949</v>
      </c>
      <c r="M20" s="237">
        <v>64980</v>
      </c>
      <c r="N20" s="237">
        <v>78092</v>
      </c>
      <c r="O20" s="238" t="s">
        <v>223</v>
      </c>
    </row>
    <row r="21" spans="1:37" s="220" customFormat="1" ht="18.75" customHeight="1">
      <c r="A21" s="221">
        <v>2019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22">
        <v>2019</v>
      </c>
    </row>
    <row r="22" spans="1:37" s="220" customFormat="1" ht="18.75">
      <c r="A22" s="221" t="s">
        <v>16</v>
      </c>
      <c r="B22" s="223">
        <f>SUM(C22:N22)</f>
        <v>1702887</v>
      </c>
      <c r="C22" s="223">
        <f>SUM(C23:C24)</f>
        <v>151552</v>
      </c>
      <c r="D22" s="223">
        <f t="shared" ref="D22:N22" si="4">SUM(D23:D24)</f>
        <v>168583</v>
      </c>
      <c r="E22" s="223">
        <f t="shared" si="4"/>
        <v>162843</v>
      </c>
      <c r="F22" s="223">
        <f t="shared" si="4"/>
        <v>163114</v>
      </c>
      <c r="G22" s="223">
        <f t="shared" si="4"/>
        <v>103022</v>
      </c>
      <c r="H22" s="223">
        <f t="shared" si="4"/>
        <v>113475</v>
      </c>
      <c r="I22" s="223">
        <f t="shared" si="4"/>
        <v>132144</v>
      </c>
      <c r="J22" s="223">
        <f t="shared" si="4"/>
        <v>139338</v>
      </c>
      <c r="K22" s="223">
        <f t="shared" si="4"/>
        <v>117619</v>
      </c>
      <c r="L22" s="223">
        <f t="shared" si="4"/>
        <v>141928</v>
      </c>
      <c r="M22" s="223">
        <f t="shared" si="4"/>
        <v>137921</v>
      </c>
      <c r="N22" s="223">
        <f t="shared" si="4"/>
        <v>171348</v>
      </c>
      <c r="O22" s="224" t="s">
        <v>17</v>
      </c>
    </row>
    <row r="23" spans="1:37" ht="18.75">
      <c r="A23" s="225" t="s">
        <v>220</v>
      </c>
      <c r="B23" s="223">
        <f>SUM(C23:N23)</f>
        <v>816083</v>
      </c>
      <c r="C23" s="226">
        <v>72654</v>
      </c>
      <c r="D23" s="226">
        <v>80612</v>
      </c>
      <c r="E23" s="226">
        <v>77386</v>
      </c>
      <c r="F23" s="226">
        <v>77481</v>
      </c>
      <c r="G23" s="226">
        <v>49160</v>
      </c>
      <c r="H23" s="226">
        <v>54044</v>
      </c>
      <c r="I23" s="226">
        <v>63259</v>
      </c>
      <c r="J23" s="226">
        <v>66671</v>
      </c>
      <c r="K23" s="226">
        <v>57144</v>
      </c>
      <c r="L23" s="226">
        <v>68634</v>
      </c>
      <c r="M23" s="226">
        <v>66248</v>
      </c>
      <c r="N23" s="226">
        <v>82790</v>
      </c>
      <c r="O23" s="228" t="s">
        <v>221</v>
      </c>
    </row>
    <row r="24" spans="1:37" s="41" customFormat="1" ht="18.75">
      <c r="A24" s="235" t="s">
        <v>222</v>
      </c>
      <c r="B24" s="236">
        <f>SUM(C24:N24)</f>
        <v>886804</v>
      </c>
      <c r="C24" s="237">
        <v>78898</v>
      </c>
      <c r="D24" s="237">
        <v>87971</v>
      </c>
      <c r="E24" s="237">
        <v>85457</v>
      </c>
      <c r="F24" s="237">
        <v>85633</v>
      </c>
      <c r="G24" s="237">
        <v>53862</v>
      </c>
      <c r="H24" s="237">
        <v>59431</v>
      </c>
      <c r="I24" s="237">
        <v>68885</v>
      </c>
      <c r="J24" s="237">
        <v>72667</v>
      </c>
      <c r="K24" s="237">
        <v>60475</v>
      </c>
      <c r="L24" s="237">
        <v>73294</v>
      </c>
      <c r="M24" s="237">
        <v>71673</v>
      </c>
      <c r="N24" s="237">
        <v>88558</v>
      </c>
      <c r="O24" s="238" t="s">
        <v>223</v>
      </c>
    </row>
    <row r="25" spans="1:37" s="220" customFormat="1" ht="18.75" customHeight="1">
      <c r="A25" s="221">
        <v>2020</v>
      </c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22">
        <v>2020</v>
      </c>
    </row>
    <row r="26" spans="1:37" s="220" customFormat="1" ht="18.75">
      <c r="A26" s="221" t="s">
        <v>16</v>
      </c>
      <c r="B26" s="223">
        <f>SUM(C26:N26)</f>
        <v>555494</v>
      </c>
      <c r="C26" s="223">
        <f>SUM(C27:C28)</f>
        <v>173347</v>
      </c>
      <c r="D26" s="223">
        <f t="shared" ref="D26:N26" si="5">SUM(D27:D28)</f>
        <v>149785</v>
      </c>
      <c r="E26" s="223">
        <f t="shared" si="5"/>
        <v>59630</v>
      </c>
      <c r="F26" s="223">
        <f t="shared" si="5"/>
        <v>13</v>
      </c>
      <c r="G26" s="223">
        <f t="shared" si="5"/>
        <v>41</v>
      </c>
      <c r="H26" s="223">
        <f t="shared" si="5"/>
        <v>1</v>
      </c>
      <c r="I26" s="223">
        <f t="shared" si="5"/>
        <v>1752</v>
      </c>
      <c r="J26" s="223">
        <f t="shared" si="5"/>
        <v>7636</v>
      </c>
      <c r="K26" s="223">
        <f t="shared" si="5"/>
        <v>9605</v>
      </c>
      <c r="L26" s="223">
        <f t="shared" si="5"/>
        <v>21515</v>
      </c>
      <c r="M26" s="223">
        <f t="shared" si="5"/>
        <v>35757</v>
      </c>
      <c r="N26" s="223">
        <f t="shared" si="5"/>
        <v>96412</v>
      </c>
      <c r="O26" s="224" t="s">
        <v>17</v>
      </c>
    </row>
    <row r="27" spans="1:37" ht="18.75">
      <c r="A27" s="225" t="s">
        <v>220</v>
      </c>
      <c r="B27" s="223">
        <f>SUM(C27:N27)</f>
        <v>266811</v>
      </c>
      <c r="C27" s="226">
        <v>82485</v>
      </c>
      <c r="D27" s="226">
        <v>71772</v>
      </c>
      <c r="E27" s="226">
        <v>28412</v>
      </c>
      <c r="F27" s="226">
        <v>12</v>
      </c>
      <c r="G27" s="226">
        <v>27</v>
      </c>
      <c r="H27" s="226">
        <v>1</v>
      </c>
      <c r="I27" s="226">
        <v>862</v>
      </c>
      <c r="J27" s="226">
        <v>3794</v>
      </c>
      <c r="K27" s="226">
        <v>4869</v>
      </c>
      <c r="L27" s="226">
        <v>10646</v>
      </c>
      <c r="M27" s="226">
        <v>17220</v>
      </c>
      <c r="N27" s="226">
        <v>46711</v>
      </c>
      <c r="O27" s="228" t="s">
        <v>221</v>
      </c>
    </row>
    <row r="28" spans="1:37" s="41" customFormat="1" ht="18.75">
      <c r="A28" s="235" t="s">
        <v>222</v>
      </c>
      <c r="B28" s="236">
        <f>SUM(C28:N28)</f>
        <v>288683</v>
      </c>
      <c r="C28" s="237">
        <v>90862</v>
      </c>
      <c r="D28" s="237">
        <v>78013</v>
      </c>
      <c r="E28" s="237">
        <v>31218</v>
      </c>
      <c r="F28" s="237">
        <v>1</v>
      </c>
      <c r="G28" s="237">
        <v>14</v>
      </c>
      <c r="H28" s="237">
        <v>0</v>
      </c>
      <c r="I28" s="237">
        <v>890</v>
      </c>
      <c r="J28" s="237">
        <v>3842</v>
      </c>
      <c r="K28" s="237">
        <v>4736</v>
      </c>
      <c r="L28" s="237">
        <v>10869</v>
      </c>
      <c r="M28" s="237">
        <v>18537</v>
      </c>
      <c r="N28" s="237">
        <v>49701</v>
      </c>
      <c r="O28" s="238" t="s">
        <v>223</v>
      </c>
    </row>
    <row r="29" spans="1:37" ht="15.75">
      <c r="A29" s="239" t="s">
        <v>142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"/>
      <c r="O29" s="241" t="s">
        <v>193</v>
      </c>
      <c r="Z29" s="185" t="s">
        <v>195</v>
      </c>
      <c r="AA29" s="185" t="s">
        <v>196</v>
      </c>
      <c r="AB29" s="185" t="s">
        <v>197</v>
      </c>
      <c r="AC29" s="185" t="s">
        <v>198</v>
      </c>
      <c r="AD29" s="185" t="s">
        <v>185</v>
      </c>
      <c r="AE29" s="185" t="s">
        <v>199</v>
      </c>
      <c r="AF29" s="185" t="s">
        <v>200</v>
      </c>
      <c r="AG29" s="185" t="s">
        <v>201</v>
      </c>
      <c r="AH29" s="185" t="s">
        <v>202</v>
      </c>
      <c r="AI29" s="185" t="s">
        <v>203</v>
      </c>
      <c r="AJ29" s="185" t="s">
        <v>204</v>
      </c>
      <c r="AK29" s="185" t="s">
        <v>205</v>
      </c>
    </row>
    <row r="30" spans="1:37" ht="15.75">
      <c r="A30" s="735" t="s">
        <v>1078</v>
      </c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"/>
      <c r="O30" s="241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</row>
    <row r="31" spans="1:37" ht="15.75">
      <c r="A31" s="736" t="s">
        <v>1079</v>
      </c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"/>
      <c r="O31" s="241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</row>
    <row r="32" spans="1:37" ht="15.75">
      <c r="A32" s="615"/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"/>
      <c r="O32" s="241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</row>
    <row r="37" spans="3:36">
      <c r="C37" s="846"/>
      <c r="D37" s="846"/>
      <c r="E37" s="846"/>
      <c r="F37" s="846"/>
      <c r="G37" s="846"/>
      <c r="H37" s="846"/>
      <c r="I37" s="846"/>
      <c r="J37" s="846"/>
      <c r="K37" s="846"/>
      <c r="L37" s="846"/>
      <c r="M37" s="846"/>
      <c r="N37" s="846"/>
      <c r="O37" s="846"/>
      <c r="P37" s="846"/>
      <c r="Q37" s="846"/>
    </row>
    <row r="42" spans="3:36">
      <c r="AF42" s="225" t="s">
        <v>220</v>
      </c>
      <c r="AG42" s="229" t="s">
        <v>222</v>
      </c>
    </row>
    <row r="43" spans="3:36">
      <c r="AE43" s="2">
        <v>2015</v>
      </c>
      <c r="AF43" s="242">
        <v>598458</v>
      </c>
      <c r="AG43" s="242">
        <v>635790</v>
      </c>
      <c r="AI43" s="243"/>
      <c r="AJ43" s="243"/>
    </row>
    <row r="44" spans="3:36">
      <c r="AE44" s="2">
        <v>2016</v>
      </c>
      <c r="AF44" s="242">
        <v>623657</v>
      </c>
      <c r="AG44" s="242">
        <v>662478</v>
      </c>
      <c r="AI44" s="243"/>
      <c r="AJ44" s="243"/>
    </row>
    <row r="45" spans="3:36">
      <c r="AE45" s="2">
        <v>2017</v>
      </c>
      <c r="AF45" s="242">
        <v>667286</v>
      </c>
      <c r="AG45" s="242">
        <v>722256</v>
      </c>
      <c r="AH45" s="489"/>
      <c r="AI45" s="243"/>
      <c r="AJ45" s="243"/>
    </row>
    <row r="46" spans="3:36">
      <c r="AE46" s="2">
        <v>2018</v>
      </c>
      <c r="AF46" s="243">
        <f>B19</f>
        <v>710256</v>
      </c>
      <c r="AG46" s="243">
        <f>B20</f>
        <v>774018</v>
      </c>
      <c r="AH46" s="489"/>
      <c r="AI46" s="243"/>
    </row>
    <row r="47" spans="3:36">
      <c r="AE47" s="2">
        <v>2019</v>
      </c>
      <c r="AF47" s="243">
        <f>B23</f>
        <v>816083</v>
      </c>
      <c r="AG47" s="243">
        <f>B24</f>
        <v>886804</v>
      </c>
    </row>
    <row r="48" spans="3:36">
      <c r="AE48" s="2">
        <v>2020</v>
      </c>
      <c r="AF48" s="243">
        <f>B27</f>
        <v>266811</v>
      </c>
      <c r="AG48" s="243">
        <f>B28</f>
        <v>288683</v>
      </c>
    </row>
  </sheetData>
  <mergeCells count="4">
    <mergeCell ref="A1:O1"/>
    <mergeCell ref="A2:O2"/>
    <mergeCell ref="A3:N3"/>
    <mergeCell ref="C37:Q37"/>
  </mergeCells>
  <pageMargins left="0.7" right="0.7" top="0.75" bottom="0.75" header="0.3" footer="0.3"/>
  <pageSetup paperSize="9" scale="71" orientation="landscape" horizontalDpi="4294967295" verticalDpi="4294967295" r:id="rId1"/>
  <rowBreaks count="1" manualBreakCount="1">
    <brk id="53" max="1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Y61"/>
  <sheetViews>
    <sheetView view="pageBreakPreview" topLeftCell="A19" zoomScale="98" zoomScaleNormal="100" zoomScaleSheetLayoutView="98" workbookViewId="0">
      <selection activeCell="V15" sqref="V15"/>
    </sheetView>
  </sheetViews>
  <sheetFormatPr defaultColWidth="9.140625" defaultRowHeight="15.75"/>
  <cols>
    <col min="1" max="1" width="15.5703125" style="164" customWidth="1"/>
    <col min="2" max="4" width="12.28515625" style="164" hidden="1" customWidth="1"/>
    <col min="5" max="8" width="12.28515625" style="164" customWidth="1"/>
    <col min="9" max="9" width="0.85546875" style="164" customWidth="1"/>
    <col min="10" max="12" width="11.140625" style="164" hidden="1" customWidth="1"/>
    <col min="13" max="16" width="11.140625" style="164" customWidth="1"/>
    <col min="17" max="17" width="20" style="164" customWidth="1"/>
    <col min="18" max="18" width="1.5703125" style="164" customWidth="1"/>
    <col min="19" max="19" width="15.140625" style="164" customWidth="1"/>
    <col min="20" max="20" width="17.7109375" style="164" customWidth="1"/>
    <col min="21" max="21" width="2.42578125" style="164" customWidth="1"/>
    <col min="22" max="22" width="18.42578125" style="164" customWidth="1"/>
    <col min="23" max="23" width="12.7109375" style="583" customWidth="1"/>
    <col min="24" max="24" width="3.85546875" style="164" customWidth="1"/>
    <col min="25" max="25" width="11.7109375" style="164" customWidth="1"/>
    <col min="26" max="16384" width="9.140625" style="164"/>
  </cols>
  <sheetData>
    <row r="1" spans="1:24">
      <c r="A1" s="859" t="s">
        <v>1049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  <c r="O1" s="859"/>
      <c r="P1" s="859"/>
      <c r="Q1" s="859"/>
      <c r="R1" s="859"/>
      <c r="S1" s="859"/>
      <c r="T1" s="859"/>
      <c r="U1" s="859"/>
      <c r="V1" s="859"/>
      <c r="W1" s="859"/>
      <c r="X1" s="244"/>
    </row>
    <row r="2" spans="1:24" s="499" customFormat="1" ht="22.5" customHeight="1">
      <c r="A2" s="860" t="s">
        <v>1048</v>
      </c>
      <c r="B2" s="861"/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1"/>
      <c r="U2" s="861"/>
      <c r="V2" s="861"/>
      <c r="W2" s="861"/>
    </row>
    <row r="3" spans="1:24" s="163" customFormat="1" ht="12.75" customHeight="1">
      <c r="A3" s="862" t="s">
        <v>164</v>
      </c>
      <c r="C3" s="494"/>
      <c r="E3" s="847" t="s">
        <v>224</v>
      </c>
      <c r="F3" s="847"/>
      <c r="G3" s="847"/>
      <c r="H3" s="847"/>
      <c r="I3" s="724"/>
      <c r="K3" s="494"/>
      <c r="M3" s="849" t="s">
        <v>225</v>
      </c>
      <c r="N3" s="847"/>
      <c r="O3" s="847"/>
      <c r="P3" s="850"/>
      <c r="Q3" s="868" t="s">
        <v>226</v>
      </c>
      <c r="R3" s="869"/>
      <c r="S3" s="870"/>
      <c r="T3" s="868" t="s">
        <v>227</v>
      </c>
      <c r="U3" s="869"/>
      <c r="V3" s="869"/>
      <c r="W3" s="865" t="s">
        <v>228</v>
      </c>
    </row>
    <row r="4" spans="1:24" s="163" customFormat="1" ht="18.75" customHeight="1">
      <c r="A4" s="863"/>
      <c r="B4" s="245"/>
      <c r="C4" s="245"/>
      <c r="D4" s="245"/>
      <c r="E4" s="848"/>
      <c r="F4" s="848"/>
      <c r="G4" s="848"/>
      <c r="H4" s="848"/>
      <c r="I4" s="725"/>
      <c r="J4" s="495"/>
      <c r="K4" s="245"/>
      <c r="L4" s="495"/>
      <c r="M4" s="851"/>
      <c r="N4" s="848"/>
      <c r="O4" s="848"/>
      <c r="P4" s="852"/>
      <c r="Q4" s="877" t="s">
        <v>229</v>
      </c>
      <c r="R4" s="878"/>
      <c r="S4" s="879"/>
      <c r="T4" s="871" t="s">
        <v>230</v>
      </c>
      <c r="U4" s="872"/>
      <c r="V4" s="872"/>
      <c r="W4" s="866"/>
    </row>
    <row r="5" spans="1:24" s="163" customFormat="1" ht="18.75" customHeight="1">
      <c r="A5" s="863"/>
      <c r="C5" s="496"/>
      <c r="E5" s="853" t="s">
        <v>231</v>
      </c>
      <c r="F5" s="853"/>
      <c r="G5" s="853"/>
      <c r="H5" s="853"/>
      <c r="I5" s="246"/>
      <c r="K5" s="496"/>
      <c r="M5" s="855" t="s">
        <v>232</v>
      </c>
      <c r="N5" s="853"/>
      <c r="O5" s="853"/>
      <c r="P5" s="856"/>
      <c r="Q5" s="728" t="s">
        <v>224</v>
      </c>
      <c r="R5" s="729"/>
      <c r="S5" s="730" t="s">
        <v>225</v>
      </c>
      <c r="T5" s="247" t="s">
        <v>224</v>
      </c>
      <c r="U5" s="248"/>
      <c r="V5" s="248" t="s">
        <v>225</v>
      </c>
      <c r="W5" s="866"/>
    </row>
    <row r="6" spans="1:24" s="163" customFormat="1" ht="37.5">
      <c r="A6" s="863"/>
      <c r="B6" s="497"/>
      <c r="C6" s="497"/>
      <c r="D6" s="497"/>
      <c r="E6" s="854"/>
      <c r="F6" s="854"/>
      <c r="G6" s="854"/>
      <c r="H6" s="854"/>
      <c r="I6" s="727"/>
      <c r="J6" s="498"/>
      <c r="K6" s="497"/>
      <c r="L6" s="498"/>
      <c r="M6" s="857"/>
      <c r="N6" s="854"/>
      <c r="O6" s="854"/>
      <c r="P6" s="858"/>
      <c r="Q6" s="249" t="s">
        <v>231</v>
      </c>
      <c r="R6" s="250"/>
      <c r="S6" s="251" t="s">
        <v>232</v>
      </c>
      <c r="T6" s="252" t="s">
        <v>231</v>
      </c>
      <c r="U6" s="253"/>
      <c r="V6" s="253" t="s">
        <v>232</v>
      </c>
      <c r="W6" s="866"/>
    </row>
    <row r="7" spans="1:24" s="257" customFormat="1" ht="12.75">
      <c r="A7" s="864"/>
      <c r="B7" s="255">
        <v>2014</v>
      </c>
      <c r="C7" s="255">
        <v>2015</v>
      </c>
      <c r="D7" s="255">
        <v>2016</v>
      </c>
      <c r="E7" s="208">
        <v>2017</v>
      </c>
      <c r="F7" s="208">
        <v>2018</v>
      </c>
      <c r="G7" s="208">
        <v>2019</v>
      </c>
      <c r="H7" s="208">
        <v>2020</v>
      </c>
      <c r="I7" s="208"/>
      <c r="J7" s="254">
        <v>2014</v>
      </c>
      <c r="K7" s="255">
        <v>2015</v>
      </c>
      <c r="L7" s="254">
        <v>2016</v>
      </c>
      <c r="M7" s="529">
        <v>2017</v>
      </c>
      <c r="N7" s="255">
        <v>2018</v>
      </c>
      <c r="O7" s="255">
        <v>2019</v>
      </c>
      <c r="P7" s="256">
        <v>2020</v>
      </c>
      <c r="Q7" s="873" t="s">
        <v>1047</v>
      </c>
      <c r="R7" s="874"/>
      <c r="S7" s="875"/>
      <c r="T7" s="876">
        <v>2020</v>
      </c>
      <c r="U7" s="848"/>
      <c r="V7" s="848"/>
      <c r="W7" s="867"/>
    </row>
    <row r="8" spans="1:24" s="163" customFormat="1" ht="19.5" customHeight="1">
      <c r="A8" s="258" t="s">
        <v>16</v>
      </c>
      <c r="B8" s="259">
        <f t="shared" ref="B8:G8" si="0">SUM(B9:B20)</f>
        <v>7505622.2623784998</v>
      </c>
      <c r="C8" s="259">
        <f t="shared" si="0"/>
        <v>7322683.0686780298</v>
      </c>
      <c r="D8" s="259">
        <f t="shared" si="0"/>
        <v>7770922.642037821</v>
      </c>
      <c r="E8" s="259">
        <f t="shared" si="0"/>
        <v>8593283.6177621465</v>
      </c>
      <c r="F8" s="259">
        <f t="shared" si="0"/>
        <v>9478093.9017162751</v>
      </c>
      <c r="G8" s="259">
        <f t="shared" si="0"/>
        <v>10688387.114665871</v>
      </c>
      <c r="H8" s="259">
        <f>SUM(H9:H20)</f>
        <v>3984712.4466208597</v>
      </c>
      <c r="I8" s="259"/>
      <c r="J8" s="260">
        <f t="shared" ref="J8:O8" si="1">SUM(J9:J20)</f>
        <v>1204857</v>
      </c>
      <c r="K8" s="76">
        <f t="shared" si="1"/>
        <v>1234248</v>
      </c>
      <c r="L8" s="260">
        <f t="shared" si="1"/>
        <v>1286135</v>
      </c>
      <c r="M8" s="530">
        <f t="shared" si="1"/>
        <v>1389542</v>
      </c>
      <c r="N8" s="76">
        <f t="shared" si="1"/>
        <v>1484274</v>
      </c>
      <c r="O8" s="76">
        <f t="shared" si="1"/>
        <v>1702887</v>
      </c>
      <c r="P8" s="261">
        <f>SUM(P9:P20)</f>
        <v>555494</v>
      </c>
      <c r="Q8" s="492">
        <f>((H8/G8)-1)*100</f>
        <v>-62.719235335766321</v>
      </c>
      <c r="R8" s="492"/>
      <c r="S8" s="493">
        <f>((P8/O8)-1)*100</f>
        <v>-67.379280010946118</v>
      </c>
      <c r="T8" s="262" t="s">
        <v>233</v>
      </c>
      <c r="U8" s="504"/>
      <c r="V8" s="263" t="s">
        <v>233</v>
      </c>
      <c r="W8" s="577" t="s">
        <v>148</v>
      </c>
    </row>
    <row r="9" spans="1:24" s="163" customFormat="1" ht="19.5" customHeight="1">
      <c r="A9" s="264" t="s">
        <v>181</v>
      </c>
      <c r="B9" s="265">
        <v>702057.23965050967</v>
      </c>
      <c r="C9" s="266">
        <v>663541.53766544769</v>
      </c>
      <c r="D9" s="265">
        <v>658991.02257734654</v>
      </c>
      <c r="E9" s="265">
        <v>800126.35612185334</v>
      </c>
      <c r="F9" s="265">
        <v>941496.93723687832</v>
      </c>
      <c r="G9" s="265">
        <v>998457.1569061433</v>
      </c>
      <c r="H9" s="265">
        <v>1142718.3892667082</v>
      </c>
      <c r="I9" s="151"/>
      <c r="J9" s="267">
        <v>105296</v>
      </c>
      <c r="K9" s="151">
        <v>97073</v>
      </c>
      <c r="L9" s="267">
        <v>108396</v>
      </c>
      <c r="M9" s="531">
        <v>125336</v>
      </c>
      <c r="N9" s="151">
        <v>142351</v>
      </c>
      <c r="O9" s="151">
        <v>151552</v>
      </c>
      <c r="P9" s="752">
        <v>173347</v>
      </c>
      <c r="Q9" s="490">
        <f>((H9/G9)-1)*100</f>
        <v>14.448414873160708</v>
      </c>
      <c r="R9" s="490"/>
      <c r="S9" s="501">
        <f t="shared" ref="S9:S20" si="2">((P9/O9)-1)*100</f>
        <v>14.381202491554056</v>
      </c>
      <c r="T9" s="500">
        <f>((H9/G20)-1)*100</f>
        <v>8.8817367752484842</v>
      </c>
      <c r="U9" s="490"/>
      <c r="V9" s="500">
        <f>((P9/O20)-1)*100</f>
        <v>1.166631650208938</v>
      </c>
      <c r="W9" s="578" t="s">
        <v>234</v>
      </c>
    </row>
    <row r="10" spans="1:24" s="163" customFormat="1" ht="19.5" customHeight="1">
      <c r="A10" s="264" t="s">
        <v>182</v>
      </c>
      <c r="B10" s="265">
        <v>701834.83220814099</v>
      </c>
      <c r="C10" s="266">
        <v>713662.18298669241</v>
      </c>
      <c r="D10" s="265">
        <v>749459.82384348847</v>
      </c>
      <c r="E10" s="265">
        <v>772412.98962665652</v>
      </c>
      <c r="F10" s="265">
        <v>925585.20039239002</v>
      </c>
      <c r="G10" s="265">
        <v>1019637.270040759</v>
      </c>
      <c r="H10" s="265">
        <v>1020309.6683010989</v>
      </c>
      <c r="I10" s="151"/>
      <c r="J10" s="267">
        <v>110705</v>
      </c>
      <c r="K10" s="151">
        <v>120468</v>
      </c>
      <c r="L10" s="267">
        <v>120639</v>
      </c>
      <c r="M10" s="531">
        <v>121052</v>
      </c>
      <c r="N10" s="151">
        <v>144286</v>
      </c>
      <c r="O10" s="151">
        <v>168583</v>
      </c>
      <c r="P10" s="752">
        <v>149785</v>
      </c>
      <c r="Q10" s="490">
        <f t="shared" ref="Q10:Q20" si="3">((H10/G10)-1)*100</f>
        <v>6.5944849222021595E-2</v>
      </c>
      <c r="R10" s="490"/>
      <c r="S10" s="501">
        <f t="shared" si="2"/>
        <v>-11.15059051031243</v>
      </c>
      <c r="T10" s="500">
        <f t="shared" ref="T10:T16" si="4">((H10/H9)-1)*100</f>
        <v>-10.712063629619195</v>
      </c>
      <c r="U10" s="490"/>
      <c r="V10" s="500">
        <f t="shared" ref="V10:V20" si="5">((P10/P9)-1)*100</f>
        <v>-13.5923898308018</v>
      </c>
      <c r="W10" s="578" t="s">
        <v>235</v>
      </c>
    </row>
    <row r="11" spans="1:24" s="163" customFormat="1" ht="19.5" customHeight="1">
      <c r="A11" s="264" t="s">
        <v>183</v>
      </c>
      <c r="B11" s="265">
        <v>706437.32186961442</v>
      </c>
      <c r="C11" s="266">
        <v>692862.60109209386</v>
      </c>
      <c r="D11" s="265">
        <v>746568.50029467535</v>
      </c>
      <c r="E11" s="265">
        <v>750431.75735626707</v>
      </c>
      <c r="F11" s="265">
        <v>873729.2709199331</v>
      </c>
      <c r="G11" s="265">
        <v>1006770.3040856412</v>
      </c>
      <c r="H11" s="265">
        <v>562302.20507965644</v>
      </c>
      <c r="I11" s="151"/>
      <c r="J11" s="267">
        <v>105560</v>
      </c>
      <c r="K11" s="151">
        <v>112427</v>
      </c>
      <c r="L11" s="267">
        <v>115131</v>
      </c>
      <c r="M11" s="531">
        <v>112665</v>
      </c>
      <c r="N11" s="151">
        <v>133466</v>
      </c>
      <c r="O11" s="151">
        <v>162843</v>
      </c>
      <c r="P11" s="752">
        <v>59630</v>
      </c>
      <c r="Q11" s="490">
        <f t="shared" si="3"/>
        <v>-44.147915090687448</v>
      </c>
      <c r="R11" s="490"/>
      <c r="S11" s="501">
        <f t="shared" si="2"/>
        <v>-63.381907727074548</v>
      </c>
      <c r="T11" s="500">
        <f t="shared" si="4"/>
        <v>-44.889064315548751</v>
      </c>
      <c r="U11" s="490"/>
      <c r="V11" s="500">
        <f t="shared" si="5"/>
        <v>-60.189605100644258</v>
      </c>
      <c r="W11" s="578" t="s">
        <v>236</v>
      </c>
    </row>
    <row r="12" spans="1:24" s="163" customFormat="1" ht="19.5" customHeight="1">
      <c r="A12" s="264" t="s">
        <v>184</v>
      </c>
      <c r="B12" s="265">
        <v>673309.98970234313</v>
      </c>
      <c r="C12" s="266">
        <v>640521.60154796869</v>
      </c>
      <c r="D12" s="265">
        <v>655921.90097689989</v>
      </c>
      <c r="E12" s="265">
        <v>742497.61743564717</v>
      </c>
      <c r="F12" s="265">
        <v>796839.94498607225</v>
      </c>
      <c r="G12" s="265">
        <v>981769.33451783704</v>
      </c>
      <c r="H12" s="265">
        <v>8844.0202622169236</v>
      </c>
      <c r="I12" s="151"/>
      <c r="J12" s="267">
        <v>105309</v>
      </c>
      <c r="K12" s="151">
        <v>102242</v>
      </c>
      <c r="L12" s="267">
        <v>103493</v>
      </c>
      <c r="M12" s="531">
        <v>119774</v>
      </c>
      <c r="N12" s="151">
        <v>119713</v>
      </c>
      <c r="O12" s="151">
        <v>163114</v>
      </c>
      <c r="P12" s="752">
        <v>13</v>
      </c>
      <c r="Q12" s="490">
        <f t="shared" si="3"/>
        <v>-99.099175340757569</v>
      </c>
      <c r="R12" s="490"/>
      <c r="S12" s="501">
        <f t="shared" si="2"/>
        <v>-99.992030113908058</v>
      </c>
      <c r="T12" s="500">
        <f t="shared" si="4"/>
        <v>-98.427176670779005</v>
      </c>
      <c r="U12" s="490"/>
      <c r="V12" s="500">
        <f t="shared" si="5"/>
        <v>-99.978198893174579</v>
      </c>
      <c r="W12" s="578" t="s">
        <v>237</v>
      </c>
    </row>
    <row r="13" spans="1:24" s="163" customFormat="1" ht="19.5" customHeight="1">
      <c r="A13" s="264" t="s">
        <v>185</v>
      </c>
      <c r="B13" s="265">
        <v>577519.5276717894</v>
      </c>
      <c r="C13" s="266">
        <v>575317.18052742502</v>
      </c>
      <c r="D13" s="265">
        <v>573465.31358633551</v>
      </c>
      <c r="E13" s="265">
        <v>601496.36821079231</v>
      </c>
      <c r="F13" s="265">
        <v>641543.88590708072</v>
      </c>
      <c r="G13" s="265">
        <v>717991.87940748374</v>
      </c>
      <c r="H13" s="265">
        <v>4776.6211552888226</v>
      </c>
      <c r="I13" s="151"/>
      <c r="J13" s="267">
        <v>91296</v>
      </c>
      <c r="K13" s="151">
        <v>95389</v>
      </c>
      <c r="L13" s="267">
        <v>93228</v>
      </c>
      <c r="M13" s="531">
        <v>93491</v>
      </c>
      <c r="N13" s="151">
        <v>92913</v>
      </c>
      <c r="O13" s="151">
        <v>103022</v>
      </c>
      <c r="P13" s="752">
        <v>41</v>
      </c>
      <c r="Q13" s="490">
        <f t="shared" si="3"/>
        <v>-99.334724905352587</v>
      </c>
      <c r="R13" s="490"/>
      <c r="S13" s="501">
        <f t="shared" si="2"/>
        <v>-99.960202675156765</v>
      </c>
      <c r="T13" s="500">
        <f t="shared" si="4"/>
        <v>-45.990386570061169</v>
      </c>
      <c r="U13" s="490"/>
      <c r="V13" s="500">
        <f t="shared" si="5"/>
        <v>215.38461538461539</v>
      </c>
      <c r="W13" s="578" t="s">
        <v>238</v>
      </c>
    </row>
    <row r="14" spans="1:24" s="163" customFormat="1" ht="19.5" customHeight="1">
      <c r="A14" s="264" t="s">
        <v>186</v>
      </c>
      <c r="B14" s="265">
        <v>472676.95853012655</v>
      </c>
      <c r="C14" s="266">
        <v>447882.4886566248</v>
      </c>
      <c r="D14" s="265">
        <v>443937.13137700246</v>
      </c>
      <c r="E14" s="265">
        <v>480889.64024626091</v>
      </c>
      <c r="F14" s="265">
        <v>544549.70829420025</v>
      </c>
      <c r="G14" s="265">
        <v>714606.98023648141</v>
      </c>
      <c r="H14" s="265">
        <v>2325.8011569052783</v>
      </c>
      <c r="I14" s="151"/>
      <c r="J14" s="267">
        <v>83347</v>
      </c>
      <c r="K14" s="151">
        <v>81506</v>
      </c>
      <c r="L14" s="267">
        <v>79034</v>
      </c>
      <c r="M14" s="531">
        <v>85222</v>
      </c>
      <c r="N14" s="151">
        <v>93786</v>
      </c>
      <c r="O14" s="151">
        <v>113475</v>
      </c>
      <c r="P14" s="752">
        <v>1</v>
      </c>
      <c r="Q14" s="490">
        <f t="shared" si="3"/>
        <v>-99.674534223534224</v>
      </c>
      <c r="R14" s="490"/>
      <c r="S14" s="501">
        <f t="shared" si="2"/>
        <v>-99.999118748623033</v>
      </c>
      <c r="T14" s="500">
        <f t="shared" si="4"/>
        <v>-51.308653516930491</v>
      </c>
      <c r="U14" s="490"/>
      <c r="V14" s="500">
        <f t="shared" si="5"/>
        <v>-97.560975609756099</v>
      </c>
      <c r="W14" s="578" t="s">
        <v>239</v>
      </c>
    </row>
    <row r="15" spans="1:24" s="163" customFormat="1" ht="19.5" customHeight="1">
      <c r="A15" s="264" t="s">
        <v>187</v>
      </c>
      <c r="B15" s="265">
        <v>576664.64986032562</v>
      </c>
      <c r="C15" s="266">
        <v>570407.39669035666</v>
      </c>
      <c r="D15" s="265">
        <v>629327.19249594188</v>
      </c>
      <c r="E15" s="265">
        <v>688020.73461813317</v>
      </c>
      <c r="F15" s="265">
        <v>743513.8192884227</v>
      </c>
      <c r="G15" s="265">
        <v>776707.97190193064</v>
      </c>
      <c r="H15" s="265">
        <v>24673.424657534248</v>
      </c>
      <c r="I15" s="151"/>
      <c r="J15" s="267">
        <v>100191</v>
      </c>
      <c r="K15" s="151">
        <v>104517</v>
      </c>
      <c r="L15" s="267">
        <v>110432</v>
      </c>
      <c r="M15" s="531">
        <v>113175</v>
      </c>
      <c r="N15" s="151">
        <v>122332</v>
      </c>
      <c r="O15" s="151">
        <v>132144</v>
      </c>
      <c r="P15" s="752">
        <v>1752</v>
      </c>
      <c r="Q15" s="490">
        <f t="shared" si="3"/>
        <v>-96.823333150924626</v>
      </c>
      <c r="R15" s="490"/>
      <c r="S15" s="501">
        <f t="shared" si="2"/>
        <v>-98.674173628768614</v>
      </c>
      <c r="T15" s="500">
        <f t="shared" si="4"/>
        <v>960.85701197108438</v>
      </c>
      <c r="U15" s="490"/>
      <c r="V15" s="500">
        <f>((P15/P14)-1)*100</f>
        <v>175100</v>
      </c>
      <c r="W15" s="578" t="s">
        <v>240</v>
      </c>
    </row>
    <row r="16" spans="1:24" s="163" customFormat="1" ht="19.5" customHeight="1">
      <c r="A16" s="264" t="s">
        <v>188</v>
      </c>
      <c r="B16" s="265">
        <v>644401.86744888476</v>
      </c>
      <c r="C16" s="266">
        <v>634864.87032498559</v>
      </c>
      <c r="D16" s="265">
        <v>679120.24186927639</v>
      </c>
      <c r="E16" s="265">
        <v>746618.12340413022</v>
      </c>
      <c r="F16" s="265">
        <v>822923.1134527917</v>
      </c>
      <c r="G16" s="265">
        <v>910642.62291399995</v>
      </c>
      <c r="H16" s="265">
        <v>71370.69478742512</v>
      </c>
      <c r="I16" s="151"/>
      <c r="J16" s="267">
        <v>104186</v>
      </c>
      <c r="K16" s="151">
        <v>110144</v>
      </c>
      <c r="L16" s="267">
        <v>112282</v>
      </c>
      <c r="M16" s="531">
        <v>121310</v>
      </c>
      <c r="N16" s="151">
        <v>123992</v>
      </c>
      <c r="O16" s="151">
        <v>139338</v>
      </c>
      <c r="P16" s="752">
        <v>7636</v>
      </c>
      <c r="Q16" s="490">
        <f t="shared" si="3"/>
        <v>-92.162601113591265</v>
      </c>
      <c r="R16" s="490"/>
      <c r="S16" s="501">
        <f t="shared" si="2"/>
        <v>-94.519800772222936</v>
      </c>
      <c r="T16" s="500">
        <f t="shared" si="4"/>
        <v>189.2614048436582</v>
      </c>
      <c r="U16" s="490"/>
      <c r="V16" s="500">
        <f t="shared" si="5"/>
        <v>335.84474885844753</v>
      </c>
      <c r="W16" s="578" t="s">
        <v>241</v>
      </c>
    </row>
    <row r="17" spans="1:23" s="163" customFormat="1" ht="19.5" customHeight="1">
      <c r="A17" s="264" t="s">
        <v>189</v>
      </c>
      <c r="B17" s="265">
        <v>550854.33086917293</v>
      </c>
      <c r="C17" s="266">
        <v>545085.53667477472</v>
      </c>
      <c r="D17" s="265">
        <v>589810.66820347263</v>
      </c>
      <c r="E17" s="265">
        <v>604175.35293706728</v>
      </c>
      <c r="F17" s="265">
        <v>648410.82226000517</v>
      </c>
      <c r="G17" s="265">
        <v>708842.01912898617</v>
      </c>
      <c r="H17" s="265">
        <v>75367.862102161744</v>
      </c>
      <c r="I17" s="151"/>
      <c r="J17" s="267">
        <v>95114</v>
      </c>
      <c r="K17" s="151">
        <v>95511</v>
      </c>
      <c r="L17" s="267">
        <v>101909</v>
      </c>
      <c r="M17" s="531">
        <v>105984</v>
      </c>
      <c r="N17" s="151">
        <v>107620</v>
      </c>
      <c r="O17" s="151">
        <v>117619</v>
      </c>
      <c r="P17" s="752">
        <v>9605</v>
      </c>
      <c r="Q17" s="490">
        <f t="shared" si="3"/>
        <v>-89.367466929405154</v>
      </c>
      <c r="R17" s="490"/>
      <c r="S17" s="501">
        <f t="shared" si="2"/>
        <v>-91.833802361863306</v>
      </c>
      <c r="T17" s="500">
        <f>((H17/H16)-1)*100</f>
        <v>5.6005722329620422</v>
      </c>
      <c r="U17" s="490"/>
      <c r="V17" s="500">
        <f t="shared" si="5"/>
        <v>25.785751702462022</v>
      </c>
      <c r="W17" s="578" t="s">
        <v>242</v>
      </c>
    </row>
    <row r="18" spans="1:23" s="163" customFormat="1" ht="19.5" customHeight="1">
      <c r="A18" s="264" t="s">
        <v>190</v>
      </c>
      <c r="B18" s="265">
        <v>684193.71933576756</v>
      </c>
      <c r="C18" s="266">
        <v>638669.93168310425</v>
      </c>
      <c r="D18" s="265">
        <v>706407.53106039867</v>
      </c>
      <c r="E18" s="265">
        <v>793474.41907263896</v>
      </c>
      <c r="F18" s="265">
        <v>820686.79357652483</v>
      </c>
      <c r="G18" s="265">
        <v>916411.3348664348</v>
      </c>
      <c r="H18" s="265">
        <v>169709.08076305894</v>
      </c>
      <c r="I18" s="151"/>
      <c r="J18" s="267">
        <v>110331</v>
      </c>
      <c r="K18" s="151">
        <v>105498</v>
      </c>
      <c r="L18" s="267">
        <v>117489</v>
      </c>
      <c r="M18" s="531">
        <v>127986</v>
      </c>
      <c r="N18" s="151">
        <v>127393</v>
      </c>
      <c r="O18" s="151">
        <v>141928</v>
      </c>
      <c r="P18" s="752">
        <v>21515</v>
      </c>
      <c r="Q18" s="490">
        <f t="shared" si="3"/>
        <v>-81.481123780753578</v>
      </c>
      <c r="R18" s="490"/>
      <c r="S18" s="501">
        <f t="shared" si="2"/>
        <v>-84.840905247731243</v>
      </c>
      <c r="T18" s="500">
        <f>((H18/H17)-1)*100</f>
        <v>125.17433297101741</v>
      </c>
      <c r="U18" s="490"/>
      <c r="V18" s="500">
        <f t="shared" si="5"/>
        <v>123.99791775117129</v>
      </c>
      <c r="W18" s="578" t="s">
        <v>243</v>
      </c>
    </row>
    <row r="19" spans="1:23" s="163" customFormat="1" ht="19.5" customHeight="1">
      <c r="A19" s="264" t="s">
        <v>191</v>
      </c>
      <c r="B19" s="265">
        <v>572968.68602542835</v>
      </c>
      <c r="C19" s="266">
        <v>566992.26515688817</v>
      </c>
      <c r="D19" s="265">
        <v>651958.88226781064</v>
      </c>
      <c r="E19" s="265">
        <v>750052.33152232482</v>
      </c>
      <c r="F19" s="265">
        <v>809163.62732057029</v>
      </c>
      <c r="G19" s="265">
        <v>887046.05096720241</v>
      </c>
      <c r="H19" s="265">
        <v>279030.28204043105</v>
      </c>
      <c r="I19" s="151"/>
      <c r="J19" s="267">
        <v>89778</v>
      </c>
      <c r="K19" s="151">
        <v>90218</v>
      </c>
      <c r="L19" s="267">
        <v>104572</v>
      </c>
      <c r="M19" s="531">
        <v>120506</v>
      </c>
      <c r="N19" s="151">
        <v>125604</v>
      </c>
      <c r="O19" s="151">
        <v>137921</v>
      </c>
      <c r="P19" s="752">
        <v>35757</v>
      </c>
      <c r="Q19" s="490">
        <f t="shared" si="3"/>
        <v>-68.543878670539527</v>
      </c>
      <c r="R19" s="490"/>
      <c r="S19" s="501">
        <f t="shared" si="2"/>
        <v>-74.0742889045178</v>
      </c>
      <c r="T19" s="500">
        <f>((H19/H18)-1)*100</f>
        <v>64.41682483096001</v>
      </c>
      <c r="U19" s="490"/>
      <c r="V19" s="500">
        <f t="shared" si="5"/>
        <v>66.195677434348127</v>
      </c>
      <c r="W19" s="578" t="s">
        <v>244</v>
      </c>
    </row>
    <row r="20" spans="1:23" s="163" customFormat="1" ht="19.5" customHeight="1">
      <c r="A20" s="268" t="s">
        <v>192</v>
      </c>
      <c r="B20" s="269">
        <v>642703.13920639607</v>
      </c>
      <c r="C20" s="270">
        <v>632875.47567166749</v>
      </c>
      <c r="D20" s="269">
        <v>685954.43348517246</v>
      </c>
      <c r="E20" s="269">
        <v>863087.92721037427</v>
      </c>
      <c r="F20" s="269">
        <v>909650.77808140765</v>
      </c>
      <c r="G20" s="269">
        <v>1049504.1896929736</v>
      </c>
      <c r="H20" s="269">
        <v>623284.39704837371</v>
      </c>
      <c r="I20" s="148"/>
      <c r="J20" s="271">
        <v>103744</v>
      </c>
      <c r="K20" s="148">
        <v>119255</v>
      </c>
      <c r="L20" s="271">
        <v>119530</v>
      </c>
      <c r="M20" s="532">
        <v>143041</v>
      </c>
      <c r="N20" s="148">
        <v>150818</v>
      </c>
      <c r="O20" s="148">
        <v>171348</v>
      </c>
      <c r="P20" s="753">
        <v>96412</v>
      </c>
      <c r="Q20" s="503">
        <f t="shared" si="3"/>
        <v>-40.611537984358883</v>
      </c>
      <c r="R20" s="491"/>
      <c r="S20" s="502">
        <f t="shared" si="2"/>
        <v>-43.73322128066858</v>
      </c>
      <c r="T20" s="503">
        <f>((H20/H19)-1)*100</f>
        <v>123.37518081928498</v>
      </c>
      <c r="U20" s="491"/>
      <c r="V20" s="503">
        <f t="shared" si="5"/>
        <v>169.63112117906985</v>
      </c>
      <c r="W20" s="579" t="s">
        <v>245</v>
      </c>
    </row>
    <row r="21" spans="1:23" s="163" customFormat="1" ht="17.25">
      <c r="A21" s="54" t="s">
        <v>557</v>
      </c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636" t="s">
        <v>246</v>
      </c>
    </row>
    <row r="22" spans="1:23" s="163" customFormat="1" ht="15.75" customHeight="1">
      <c r="A22" s="54" t="s">
        <v>142</v>
      </c>
      <c r="W22" s="580" t="s">
        <v>193</v>
      </c>
    </row>
    <row r="23" spans="1:23" s="163" customFormat="1" ht="15.75" customHeight="1">
      <c r="A23" s="735" t="s">
        <v>1078</v>
      </c>
      <c r="W23" s="580"/>
    </row>
    <row r="24" spans="1:23" s="163" customFormat="1" ht="15.75" customHeight="1">
      <c r="A24" s="736" t="s">
        <v>1079</v>
      </c>
      <c r="W24" s="580"/>
    </row>
    <row r="25" spans="1:23" s="163" customFormat="1" ht="15.75" customHeight="1">
      <c r="A25" s="54"/>
      <c r="W25" s="580"/>
    </row>
    <row r="26" spans="1:23" s="163" customFormat="1" ht="15.75" customHeight="1">
      <c r="A26" s="54"/>
      <c r="W26" s="580"/>
    </row>
    <row r="27" spans="1:23" s="163" customFormat="1" ht="14.25"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581"/>
    </row>
    <row r="28" spans="1:23" s="163" customFormat="1" ht="14.25">
      <c r="A28" s="54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582"/>
    </row>
    <row r="29" spans="1:23" s="163" customFormat="1" ht="14.25" customHeight="1">
      <c r="A29" s="273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72"/>
      <c r="U29" s="272"/>
      <c r="V29" s="272"/>
      <c r="W29" s="581"/>
    </row>
    <row r="31" spans="1:23" ht="15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582"/>
    </row>
    <row r="46" spans="40:51">
      <c r="AN46" s="185"/>
      <c r="AO46" s="185"/>
      <c r="AP46" s="185"/>
      <c r="AQ46" s="185"/>
      <c r="AR46" s="185"/>
      <c r="AS46" s="185"/>
      <c r="AT46" s="185"/>
      <c r="AU46" s="185"/>
      <c r="AV46" s="185"/>
      <c r="AW46" s="185"/>
      <c r="AX46" s="185"/>
      <c r="AY46" s="185"/>
    </row>
    <row r="50" spans="41:41">
      <c r="AO50" s="185" t="s">
        <v>195</v>
      </c>
    </row>
    <row r="51" spans="41:41">
      <c r="AO51" s="185" t="s">
        <v>196</v>
      </c>
    </row>
    <row r="52" spans="41:41">
      <c r="AO52" s="185" t="s">
        <v>197</v>
      </c>
    </row>
    <row r="53" spans="41:41">
      <c r="AO53" s="185" t="s">
        <v>198</v>
      </c>
    </row>
    <row r="54" spans="41:41">
      <c r="AO54" s="185" t="s">
        <v>185</v>
      </c>
    </row>
    <row r="55" spans="41:41">
      <c r="AO55" s="185" t="s">
        <v>199</v>
      </c>
    </row>
    <row r="56" spans="41:41">
      <c r="AO56" s="185" t="s">
        <v>200</v>
      </c>
    </row>
    <row r="57" spans="41:41">
      <c r="AO57" s="185" t="s">
        <v>201</v>
      </c>
    </row>
    <row r="58" spans="41:41">
      <c r="AO58" s="185" t="s">
        <v>202</v>
      </c>
    </row>
    <row r="59" spans="41:41">
      <c r="AO59" s="185" t="s">
        <v>203</v>
      </c>
    </row>
    <row r="60" spans="41:41">
      <c r="AO60" s="185" t="s">
        <v>204</v>
      </c>
    </row>
    <row r="61" spans="41:41">
      <c r="AO61" s="185" t="s">
        <v>205</v>
      </c>
    </row>
  </sheetData>
  <mergeCells count="14">
    <mergeCell ref="E3:H4"/>
    <mergeCell ref="M3:P4"/>
    <mergeCell ref="E5:H6"/>
    <mergeCell ref="M5:P6"/>
    <mergeCell ref="A1:W1"/>
    <mergeCell ref="A2:W2"/>
    <mergeCell ref="A3:A7"/>
    <mergeCell ref="W3:W7"/>
    <mergeCell ref="Q3:S3"/>
    <mergeCell ref="T3:V3"/>
    <mergeCell ref="T4:V4"/>
    <mergeCell ref="Q7:S7"/>
    <mergeCell ref="T7:V7"/>
    <mergeCell ref="Q4:S4"/>
  </mergeCells>
  <pageMargins left="0.7" right="0.7" top="0.75" bottom="0.75" header="0.3" footer="0.3"/>
  <pageSetup paperSize="9" scale="60" orientation="landscape" horizontalDpi="4294967295" verticalDpi="4294967295" r:id="rId1"/>
  <rowBreaks count="1" manualBreakCount="1">
    <brk id="48" max="18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97"/>
  <sheetViews>
    <sheetView workbookViewId="0">
      <selection activeCell="S33" sqref="S33"/>
    </sheetView>
  </sheetViews>
  <sheetFormatPr defaultColWidth="8.85546875" defaultRowHeight="12.75"/>
  <cols>
    <col min="1" max="1" width="33.28515625" style="766" customWidth="1"/>
    <col min="2" max="4" width="0" style="768" hidden="1" customWidth="1"/>
    <col min="5" max="8" width="9.85546875" style="768" hidden="1" customWidth="1"/>
    <col min="9" max="11" width="9.85546875" style="768" customWidth="1"/>
    <col min="12" max="14" width="9.85546875" style="766" customWidth="1"/>
    <col min="15" max="17" width="9" style="766" bestFit="1" customWidth="1"/>
    <col min="18" max="19" width="9" style="774" bestFit="1" customWidth="1"/>
    <col min="20" max="20" width="49.28515625" style="766" bestFit="1" customWidth="1"/>
    <col min="21" max="16384" width="8.85546875" style="766"/>
  </cols>
  <sheetData>
    <row r="1" spans="1:20" ht="18.75">
      <c r="A1" s="880" t="s">
        <v>1080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</row>
    <row r="2" spans="1:20" ht="24" customHeight="1">
      <c r="A2" s="881" t="s">
        <v>1117</v>
      </c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</row>
    <row r="3" spans="1:20" ht="15" customHeight="1">
      <c r="A3" s="883" t="s">
        <v>1081</v>
      </c>
      <c r="B3" s="883"/>
      <c r="C3" s="883"/>
      <c r="D3" s="883"/>
      <c r="E3" s="883"/>
      <c r="F3" s="883"/>
      <c r="G3" s="883"/>
      <c r="H3" s="883"/>
      <c r="I3" s="883"/>
      <c r="J3" s="883"/>
      <c r="K3" s="883"/>
      <c r="L3" s="883"/>
      <c r="M3" s="883"/>
      <c r="N3" s="883"/>
      <c r="O3" s="883"/>
      <c r="P3" s="883"/>
      <c r="Q3" s="884"/>
      <c r="R3" s="884"/>
      <c r="S3" s="884"/>
      <c r="T3" s="883"/>
    </row>
    <row r="4" spans="1:20">
      <c r="A4" s="885" t="s">
        <v>1082</v>
      </c>
      <c r="B4" s="767"/>
      <c r="C4" s="767"/>
      <c r="D4" s="767"/>
      <c r="E4" s="767"/>
      <c r="F4" s="767"/>
      <c r="G4" s="767"/>
      <c r="H4" s="767"/>
      <c r="L4" s="769"/>
      <c r="M4" s="769"/>
      <c r="N4" s="769" t="s">
        <v>1083</v>
      </c>
      <c r="O4" s="769" t="s">
        <v>1083</v>
      </c>
      <c r="P4" s="769" t="s">
        <v>1083</v>
      </c>
      <c r="Q4" s="770" t="s">
        <v>1083</v>
      </c>
      <c r="R4" s="770" t="s">
        <v>1084</v>
      </c>
      <c r="S4" s="770" t="s">
        <v>1085</v>
      </c>
      <c r="T4" s="164"/>
    </row>
    <row r="5" spans="1:20" s="774" customFormat="1" ht="15.75">
      <c r="A5" s="886"/>
      <c r="B5" s="771">
        <v>2003</v>
      </c>
      <c r="C5" s="771">
        <v>2004</v>
      </c>
      <c r="D5" s="771">
        <v>2005</v>
      </c>
      <c r="E5" s="771">
        <v>2006</v>
      </c>
      <c r="F5" s="771">
        <v>2007</v>
      </c>
      <c r="G5" s="771">
        <v>2008</v>
      </c>
      <c r="H5" s="771">
        <v>2009</v>
      </c>
      <c r="I5" s="772">
        <v>2010</v>
      </c>
      <c r="J5" s="772">
        <v>2011</v>
      </c>
      <c r="K5" s="772">
        <v>2012</v>
      </c>
      <c r="L5" s="772">
        <v>2013</v>
      </c>
      <c r="M5" s="772">
        <v>2014</v>
      </c>
      <c r="N5" s="772">
        <v>2015</v>
      </c>
      <c r="O5" s="772">
        <v>2016</v>
      </c>
      <c r="P5" s="772">
        <v>2017</v>
      </c>
      <c r="Q5" s="772">
        <v>2018</v>
      </c>
      <c r="R5" s="772">
        <v>2019</v>
      </c>
      <c r="S5" s="772">
        <v>2020</v>
      </c>
      <c r="T5" s="773"/>
    </row>
    <row r="6" spans="1:20" s="781" customFormat="1" ht="15.75">
      <c r="A6" s="775" t="s">
        <v>1086</v>
      </c>
      <c r="B6" s="776"/>
      <c r="C6" s="776"/>
      <c r="D6" s="776"/>
      <c r="E6" s="776"/>
      <c r="F6" s="776"/>
      <c r="G6" s="776"/>
      <c r="H6" s="776"/>
      <c r="I6" s="777"/>
      <c r="J6" s="778"/>
      <c r="K6" s="778"/>
      <c r="L6" s="779"/>
      <c r="M6" s="779"/>
      <c r="N6" s="779"/>
      <c r="O6" s="779"/>
      <c r="P6" s="779"/>
      <c r="Q6" s="779"/>
      <c r="R6" s="779"/>
      <c r="S6" s="779"/>
      <c r="T6" s="780" t="s">
        <v>1087</v>
      </c>
    </row>
    <row r="7" spans="1:20" s="785" customFormat="1" ht="15.75">
      <c r="A7" s="775" t="s">
        <v>1088</v>
      </c>
      <c r="B7" s="782">
        <v>2964.3</v>
      </c>
      <c r="C7" s="783">
        <v>3351.8</v>
      </c>
      <c r="D7" s="783">
        <v>3788.3</v>
      </c>
      <c r="E7" s="784">
        <v>5286.7</v>
      </c>
      <c r="F7" s="784">
        <v>6527.2000000000007</v>
      </c>
      <c r="G7" s="784">
        <v>6939.54</v>
      </c>
      <c r="H7" s="784">
        <v>5313.319469</v>
      </c>
      <c r="I7" s="784">
        <v>6392.3855347199969</v>
      </c>
      <c r="J7" s="784">
        <v>9172.1262260000003</v>
      </c>
      <c r="K7" s="784">
        <v>9771.4430765199995</v>
      </c>
      <c r="L7" s="784">
        <v>11783.092823999999</v>
      </c>
      <c r="M7" s="784">
        <v>14998.954087</v>
      </c>
      <c r="N7" s="784">
        <v>16669.260270999999</v>
      </c>
      <c r="O7" s="784">
        <v>18324.937604999999</v>
      </c>
      <c r="P7" s="784">
        <v>19914.872814000002</v>
      </c>
      <c r="Q7" s="784">
        <v>21403.159912000003</v>
      </c>
      <c r="R7" s="784">
        <v>22008.821725999998</v>
      </c>
      <c r="S7" s="784">
        <v>12550.225141000001</v>
      </c>
      <c r="T7" s="780" t="s">
        <v>1089</v>
      </c>
    </row>
    <row r="8" spans="1:20" s="781" customFormat="1" ht="15.75">
      <c r="A8" s="786" t="s">
        <v>1090</v>
      </c>
      <c r="B8" s="787">
        <v>899.7</v>
      </c>
      <c r="C8" s="788">
        <v>921.5</v>
      </c>
      <c r="D8" s="788">
        <v>911.8</v>
      </c>
      <c r="E8" s="789">
        <v>1776.9</v>
      </c>
      <c r="F8" s="789">
        <v>2216</v>
      </c>
      <c r="G8" s="789">
        <v>1969.8000000000002</v>
      </c>
      <c r="H8" s="789">
        <v>1429.8078089999999</v>
      </c>
      <c r="I8" s="789">
        <v>1703.6</v>
      </c>
      <c r="J8" s="789">
        <v>2568.2981019999997</v>
      </c>
      <c r="K8" s="789">
        <v>3389.5097959999998</v>
      </c>
      <c r="L8" s="789">
        <v>4122.6634639999993</v>
      </c>
      <c r="M8" s="789">
        <v>5621.5076369999997</v>
      </c>
      <c r="N8" s="789">
        <v>6532.7918000000009</v>
      </c>
      <c r="O8" s="789">
        <v>6471.0405261699998</v>
      </c>
      <c r="P8" s="789">
        <v>6595.9007819999988</v>
      </c>
      <c r="Q8" s="789">
        <v>7329.377437000001</v>
      </c>
      <c r="R8" s="789">
        <v>7797.4296160000004</v>
      </c>
      <c r="S8" s="789">
        <v>2892.2325249999999</v>
      </c>
      <c r="T8" s="790" t="s">
        <v>1091</v>
      </c>
    </row>
    <row r="9" spans="1:20" s="781" customFormat="1" ht="15.75">
      <c r="A9" s="786" t="s">
        <v>1092</v>
      </c>
      <c r="B9" s="787">
        <v>30.351179030462504</v>
      </c>
      <c r="C9" s="788">
        <v>27.492690494659584</v>
      </c>
      <c r="D9" s="788">
        <v>24.068843544597836</v>
      </c>
      <c r="E9" s="789">
        <v>34</v>
      </c>
      <c r="F9" s="789">
        <v>34</v>
      </c>
      <c r="G9" s="789">
        <v>28</v>
      </c>
      <c r="H9" s="789">
        <v>26.909878416723522</v>
      </c>
      <c r="I9" s="789">
        <v>26.650457653828319</v>
      </c>
      <c r="J9" s="789">
        <v>28.0011203369586</v>
      </c>
      <c r="K9" s="789">
        <v>34.687914256438972</v>
      </c>
      <c r="L9" s="789">
        <v>34.987957114306099</v>
      </c>
      <c r="M9" s="789">
        <f>(M8/M7)*100</f>
        <v>37.479330921296125</v>
      </c>
      <c r="N9" s="789">
        <f>(N8/N7)*100</f>
        <v>39.190652097293665</v>
      </c>
      <c r="O9" s="789">
        <f t="shared" ref="O9:S9" si="0">(O8/O7)*100</f>
        <v>35.312756123133333</v>
      </c>
      <c r="P9" s="789">
        <f t="shared" si="0"/>
        <v>33.120476558419853</v>
      </c>
      <c r="Q9" s="789">
        <f t="shared" si="0"/>
        <v>34.244370771115321</v>
      </c>
      <c r="R9" s="789">
        <f>(R8/R7)*100</f>
        <v>35.428655441324928</v>
      </c>
      <c r="S9" s="789">
        <f t="shared" si="0"/>
        <v>23.045264069020096</v>
      </c>
      <c r="T9" s="790" t="s">
        <v>1093</v>
      </c>
    </row>
    <row r="10" spans="1:20" s="781" customFormat="1" ht="15.75">
      <c r="A10" s="775" t="s">
        <v>1094</v>
      </c>
      <c r="B10" s="787"/>
      <c r="C10" s="791"/>
      <c r="D10" s="788"/>
      <c r="E10" s="789"/>
      <c r="F10" s="789"/>
      <c r="G10" s="789"/>
      <c r="H10" s="789"/>
      <c r="I10" s="789"/>
      <c r="J10" s="789"/>
      <c r="K10" s="789"/>
      <c r="L10" s="789"/>
      <c r="M10" s="789"/>
      <c r="N10" s="789"/>
      <c r="O10" s="789"/>
      <c r="P10" s="789"/>
      <c r="Q10" s="789"/>
      <c r="R10" s="789"/>
      <c r="S10" s="789"/>
      <c r="T10" s="780" t="s">
        <v>1095</v>
      </c>
    </row>
    <row r="11" spans="1:20" s="785" customFormat="1" ht="15.75">
      <c r="A11" s="775" t="s">
        <v>1096</v>
      </c>
      <c r="B11" s="782">
        <v>3551.8999999999996</v>
      </c>
      <c r="C11" s="783">
        <v>3779.1</v>
      </c>
      <c r="D11" s="783">
        <v>5775.4</v>
      </c>
      <c r="E11" s="784">
        <v>7066.2000000000007</v>
      </c>
      <c r="F11" s="784">
        <v>8325.4000000000015</v>
      </c>
      <c r="G11" s="784">
        <v>10342.400000000001</v>
      </c>
      <c r="H11" s="784">
        <v>11104.270489000002</v>
      </c>
      <c r="I11" s="784">
        <f>SUM(I12:I13)</f>
        <v>10996.362102899999</v>
      </c>
      <c r="J11" s="784">
        <f>SUM(J12:J13)</f>
        <v>12663.726665999999</v>
      </c>
      <c r="K11" s="784">
        <v>13200.234560999999</v>
      </c>
      <c r="L11" s="784">
        <f>SUM(L12:L13)</f>
        <v>13666.256009089999</v>
      </c>
      <c r="M11" s="784">
        <f>SUM(M12:M13)</f>
        <v>16539.373646</v>
      </c>
      <c r="N11" s="784">
        <f t="shared" ref="N11:Q11" si="1">SUM(N12:N13)</f>
        <v>21440.752132670001</v>
      </c>
      <c r="O11" s="784">
        <f t="shared" si="1"/>
        <v>25306.509388119997</v>
      </c>
      <c r="P11" s="784">
        <f t="shared" si="1"/>
        <v>22497.557322000001</v>
      </c>
      <c r="Q11" s="784">
        <f t="shared" si="1"/>
        <v>26522.292830999999</v>
      </c>
      <c r="R11" s="784">
        <f>SUM(R12:R13)</f>
        <v>30128.216622</v>
      </c>
      <c r="S11" s="784">
        <f>SUM(S12:S13)</f>
        <v>31787.135124</v>
      </c>
      <c r="T11" s="790" t="s">
        <v>1097</v>
      </c>
    </row>
    <row r="12" spans="1:20" s="781" customFormat="1" ht="18.75">
      <c r="A12" s="786" t="s">
        <v>1098</v>
      </c>
      <c r="B12" s="787">
        <v>2345.6999999999998</v>
      </c>
      <c r="C12" s="788">
        <v>2788.1</v>
      </c>
      <c r="D12" s="788">
        <v>4643.3</v>
      </c>
      <c r="E12" s="789">
        <v>5607.8</v>
      </c>
      <c r="F12" s="789">
        <v>6560.1</v>
      </c>
      <c r="G12" s="789">
        <v>7463.2000000000007</v>
      </c>
      <c r="H12" s="789">
        <v>8764.9</v>
      </c>
      <c r="I12" s="789">
        <v>8428.0733739999996</v>
      </c>
      <c r="J12" s="789">
        <v>9075.7434510000003</v>
      </c>
      <c r="K12" s="789">
        <v>10316.485255</v>
      </c>
      <c r="L12" s="789">
        <v>11573.21458545</v>
      </c>
      <c r="M12" s="789">
        <v>13959.96852</v>
      </c>
      <c r="N12" s="789">
        <v>16733.599942880002</v>
      </c>
      <c r="O12" s="789">
        <v>16141.004692499997</v>
      </c>
      <c r="P12" s="789">
        <v>14955.176706</v>
      </c>
      <c r="Q12" s="789">
        <v>18268.036271999998</v>
      </c>
      <c r="R12" s="789">
        <v>21371.957551</v>
      </c>
      <c r="S12" s="789">
        <v>20876.937707000001</v>
      </c>
      <c r="T12" s="792" t="s">
        <v>1099</v>
      </c>
    </row>
    <row r="13" spans="1:20" s="781" customFormat="1" ht="18.75">
      <c r="A13" s="786" t="s">
        <v>1100</v>
      </c>
      <c r="B13" s="787">
        <v>1206.2</v>
      </c>
      <c r="C13" s="788">
        <v>991</v>
      </c>
      <c r="D13" s="788">
        <v>1132.0999999999999</v>
      </c>
      <c r="E13" s="789">
        <v>1458.4</v>
      </c>
      <c r="F13" s="789">
        <v>1765.3000000000002</v>
      </c>
      <c r="G13" s="789">
        <v>2879.2</v>
      </c>
      <c r="H13" s="789">
        <v>2339.3000000000002</v>
      </c>
      <c r="I13" s="789">
        <v>2568.2887288999996</v>
      </c>
      <c r="J13" s="789">
        <v>3587.9832149999993</v>
      </c>
      <c r="K13" s="789">
        <v>2883.7493059999997</v>
      </c>
      <c r="L13" s="789">
        <v>2093.0414236399993</v>
      </c>
      <c r="M13" s="789">
        <v>2579.4051260000006</v>
      </c>
      <c r="N13" s="789">
        <v>4707.1521897899993</v>
      </c>
      <c r="O13" s="789">
        <v>9165.5046956200003</v>
      </c>
      <c r="P13" s="789">
        <v>7542.3806160000004</v>
      </c>
      <c r="Q13" s="789">
        <v>8254.2565589999995</v>
      </c>
      <c r="R13" s="789">
        <v>8756.2590710000004</v>
      </c>
      <c r="S13" s="789">
        <v>10910.197416999999</v>
      </c>
      <c r="T13" s="792" t="s">
        <v>1101</v>
      </c>
    </row>
    <row r="14" spans="1:20" s="785" customFormat="1" ht="15.75">
      <c r="A14" s="775" t="s">
        <v>1102</v>
      </c>
      <c r="B14" s="782">
        <v>34.9</v>
      </c>
      <c r="C14" s="783">
        <v>56.300000000000004</v>
      </c>
      <c r="D14" s="783">
        <v>57.4</v>
      </c>
      <c r="E14" s="784">
        <v>100.8</v>
      </c>
      <c r="F14" s="784">
        <v>108.2</v>
      </c>
      <c r="G14" s="784">
        <v>93.3</v>
      </c>
      <c r="H14" s="784">
        <v>56.6</v>
      </c>
      <c r="I14" s="784">
        <f t="shared" ref="I14:L14" si="2">SUM(I15:I16)</f>
        <v>46.85</v>
      </c>
      <c r="J14" s="784">
        <f t="shared" si="2"/>
        <v>33.749468999999998</v>
      </c>
      <c r="K14" s="784">
        <f>SUM(K15:K16)</f>
        <v>52.6</v>
      </c>
      <c r="L14" s="784">
        <f t="shared" si="2"/>
        <v>33.124519409999998</v>
      </c>
      <c r="M14" s="784">
        <f>SUM(M15:M16)</f>
        <v>49.642775</v>
      </c>
      <c r="N14" s="784">
        <f t="shared" ref="N14:S14" si="3">SUM(N15:N16)</f>
        <v>103.70914999999999</v>
      </c>
      <c r="O14" s="784">
        <f t="shared" si="3"/>
        <v>143.48095713999999</v>
      </c>
      <c r="P14" s="784">
        <f t="shared" si="3"/>
        <v>62.798475164999999</v>
      </c>
      <c r="Q14" s="784">
        <f t="shared" si="3"/>
        <v>63.142949999999999</v>
      </c>
      <c r="R14" s="784">
        <f t="shared" si="3"/>
        <v>44.180428999999997</v>
      </c>
      <c r="S14" s="784">
        <f t="shared" si="3"/>
        <v>41.969962000000002</v>
      </c>
      <c r="T14" s="780" t="s">
        <v>1103</v>
      </c>
    </row>
    <row r="15" spans="1:20" s="781" customFormat="1" ht="18.75">
      <c r="A15" s="786" t="s">
        <v>1098</v>
      </c>
      <c r="B15" s="787">
        <v>34.5</v>
      </c>
      <c r="C15" s="788">
        <v>55.6</v>
      </c>
      <c r="D15" s="788">
        <v>56.9</v>
      </c>
      <c r="E15" s="789">
        <v>100.1</v>
      </c>
      <c r="F15" s="789">
        <v>107.8</v>
      </c>
      <c r="G15" s="789">
        <v>80.099999999999994</v>
      </c>
      <c r="H15" s="789">
        <v>56.43</v>
      </c>
      <c r="I15" s="789">
        <v>43.83</v>
      </c>
      <c r="J15" s="789">
        <v>33.652000000000001</v>
      </c>
      <c r="K15" s="789">
        <v>52.4</v>
      </c>
      <c r="L15" s="789">
        <v>33.053981409999999</v>
      </c>
      <c r="M15" s="789">
        <v>48.876987999999997</v>
      </c>
      <c r="N15" s="789">
        <v>103.028464</v>
      </c>
      <c r="O15" s="789">
        <v>142.91154857999999</v>
      </c>
      <c r="P15" s="789">
        <v>62.665200165000002</v>
      </c>
      <c r="Q15" s="789">
        <f>[2]BA_Budget!$F$10/10^6</f>
        <v>62.31615</v>
      </c>
      <c r="R15" s="789">
        <f>[3]BA_Budget!$F$14/10^6</f>
        <v>43.368541999999998</v>
      </c>
      <c r="S15" s="789">
        <f>[3]BA_Budget!$E$14/10^6</f>
        <v>38.354809000000003</v>
      </c>
      <c r="T15" s="792" t="s">
        <v>1099</v>
      </c>
    </row>
    <row r="16" spans="1:20" s="781" customFormat="1" ht="18.75">
      <c r="A16" s="786" t="s">
        <v>1100</v>
      </c>
      <c r="B16" s="787">
        <v>0.4</v>
      </c>
      <c r="C16" s="788">
        <v>0.7</v>
      </c>
      <c r="D16" s="788">
        <v>0.5</v>
      </c>
      <c r="E16" s="789">
        <v>0.7</v>
      </c>
      <c r="F16" s="789">
        <v>0.4</v>
      </c>
      <c r="G16" s="789">
        <v>13.2</v>
      </c>
      <c r="H16" s="789">
        <v>0.13069</v>
      </c>
      <c r="I16" s="789">
        <v>3.02</v>
      </c>
      <c r="J16" s="789">
        <v>9.7469E-2</v>
      </c>
      <c r="K16" s="789">
        <v>0.2</v>
      </c>
      <c r="L16" s="789">
        <v>7.0538000000000003E-2</v>
      </c>
      <c r="M16" s="789">
        <v>0.765787</v>
      </c>
      <c r="N16" s="789">
        <v>0.68068600000000001</v>
      </c>
      <c r="O16" s="789">
        <v>0.56940856000000006</v>
      </c>
      <c r="P16" s="789">
        <v>0.133275</v>
      </c>
      <c r="Q16" s="789">
        <f>[2]BA_Budget!$F$11/10^6</f>
        <v>0.82679999999999998</v>
      </c>
      <c r="R16" s="789">
        <f>[3]BA_Budget!$F$27/10^6</f>
        <v>0.81188700000000003</v>
      </c>
      <c r="S16" s="789">
        <f>[3]BA_Budget!$E$27/10^6</f>
        <v>3.6151529999999998</v>
      </c>
      <c r="T16" s="792" t="s">
        <v>1101</v>
      </c>
    </row>
    <row r="17" spans="1:20" s="785" customFormat="1" ht="22.15" customHeight="1">
      <c r="A17" s="793" t="s">
        <v>1104</v>
      </c>
      <c r="B17" s="794">
        <v>0.98257270756496529</v>
      </c>
      <c r="C17" s="795">
        <v>1.4897726972030381</v>
      </c>
      <c r="D17" s="795">
        <v>0.99387055442047312</v>
      </c>
      <c r="E17" s="796">
        <v>1.4265092977838159</v>
      </c>
      <c r="F17" s="796">
        <f>F14/F11*100</f>
        <v>1.2996372546664423</v>
      </c>
      <c r="G17" s="796">
        <f>G14/G11*100</f>
        <v>0.90211169554455428</v>
      </c>
      <c r="H17" s="796">
        <f t="shared" ref="H17:N19" si="4">H14/H11*100</f>
        <v>0.50971380835930202</v>
      </c>
      <c r="I17" s="796">
        <f t="shared" si="4"/>
        <v>0.42604999327590853</v>
      </c>
      <c r="J17" s="796">
        <f t="shared" si="4"/>
        <v>0.26650503355076127</v>
      </c>
      <c r="K17" s="784">
        <f t="shared" si="4"/>
        <v>0.39847776762548093</v>
      </c>
      <c r="L17" s="784">
        <f t="shared" si="4"/>
        <v>0.24238181538504397</v>
      </c>
      <c r="M17" s="784">
        <f t="shared" si="4"/>
        <v>0.30014906285163923</v>
      </c>
      <c r="N17" s="784">
        <f t="shared" si="4"/>
        <v>0.48370108174505155</v>
      </c>
      <c r="O17" s="784">
        <f>O14/O11*100</f>
        <v>0.56697253240052281</v>
      </c>
      <c r="P17" s="784">
        <f t="shared" ref="P17:S19" si="5">P14/P11*100</f>
        <v>0.27913463789062282</v>
      </c>
      <c r="Q17" s="784">
        <f t="shared" si="5"/>
        <v>0.23807500506214438</v>
      </c>
      <c r="R17" s="784">
        <f t="shared" si="5"/>
        <v>0.14664136797177332</v>
      </c>
      <c r="S17" s="784">
        <f t="shared" si="5"/>
        <v>0.13203442787869152</v>
      </c>
      <c r="T17" s="780" t="s">
        <v>1105</v>
      </c>
    </row>
    <row r="18" spans="1:20" s="785" customFormat="1" ht="18.75">
      <c r="A18" s="786" t="s">
        <v>1098</v>
      </c>
      <c r="B18" s="797">
        <v>1.4707763141066634</v>
      </c>
      <c r="C18" s="798">
        <v>1.9941895914780676</v>
      </c>
      <c r="D18" s="798">
        <v>1.2254215751728297</v>
      </c>
      <c r="E18" s="799">
        <v>1.7850137308748528</v>
      </c>
      <c r="F18" s="799">
        <v>1.6432676331153486</v>
      </c>
      <c r="G18" s="799">
        <v>1.0732661592882407</v>
      </c>
      <c r="H18" s="799">
        <v>0.64381795570970579</v>
      </c>
      <c r="I18" s="799">
        <v>0.52004767940455288</v>
      </c>
      <c r="J18" s="799">
        <v>0.37079056037323416</v>
      </c>
      <c r="K18" s="799">
        <v>0.5079249250572403</v>
      </c>
      <c r="L18" s="799">
        <v>0.28560760855117906</v>
      </c>
      <c r="M18" s="799">
        <f t="shared" si="4"/>
        <v>0.35012248007562125</v>
      </c>
      <c r="N18" s="799">
        <f t="shared" si="4"/>
        <v>0.61569814237036113</v>
      </c>
      <c r="O18" s="799">
        <f>O15/O12*100</f>
        <v>0.88539438097310386</v>
      </c>
      <c r="P18" s="799">
        <f t="shared" si="5"/>
        <v>0.41902012525106974</v>
      </c>
      <c r="Q18" s="799">
        <f t="shared" si="5"/>
        <v>0.34112122984731508</v>
      </c>
      <c r="R18" s="799">
        <f t="shared" si="5"/>
        <v>0.20292264710197674</v>
      </c>
      <c r="S18" s="799">
        <f t="shared" si="5"/>
        <v>0.1837185584317747</v>
      </c>
      <c r="T18" s="792" t="s">
        <v>1099</v>
      </c>
    </row>
    <row r="19" spans="1:20" s="781" customFormat="1" ht="18.75">
      <c r="A19" s="800" t="s">
        <v>1100</v>
      </c>
      <c r="B19" s="801">
        <v>3.3161996352180402E-2</v>
      </c>
      <c r="C19" s="802">
        <v>7.0635721493440967E-2</v>
      </c>
      <c r="D19" s="802">
        <v>4.416570974295557E-2</v>
      </c>
      <c r="E19" s="803">
        <v>4.7997805814591329E-2</v>
      </c>
      <c r="F19" s="803">
        <v>2.2659038123831642E-2</v>
      </c>
      <c r="G19" s="803">
        <v>0.45846068352320091</v>
      </c>
      <c r="H19" s="803">
        <v>5.5867139742658053E-3</v>
      </c>
      <c r="I19" s="803">
        <v>0.11758802528769688</v>
      </c>
      <c r="J19" s="803">
        <v>2.7165400214950565E-3</v>
      </c>
      <c r="K19" s="803">
        <v>6.9354156265898385E-3</v>
      </c>
      <c r="L19" s="803">
        <v>1.893511038420038E-3</v>
      </c>
      <c r="M19" s="803">
        <f>M16/M13*100</f>
        <v>2.9688511985999672E-2</v>
      </c>
      <c r="N19" s="803">
        <f t="shared" si="4"/>
        <v>1.4460675426565452E-2</v>
      </c>
      <c r="O19" s="803">
        <f>O16/O13*100</f>
        <v>6.2125172471092427E-3</v>
      </c>
      <c r="P19" s="803">
        <f t="shared" si="5"/>
        <v>1.7670150418725567E-3</v>
      </c>
      <c r="Q19" s="803">
        <f t="shared" si="5"/>
        <v>1.0016650125788755E-2</v>
      </c>
      <c r="R19" s="803">
        <f t="shared" si="5"/>
        <v>9.2720760477371222E-3</v>
      </c>
      <c r="S19" s="803">
        <f t="shared" si="5"/>
        <v>3.3135541565608682E-2</v>
      </c>
      <c r="T19" s="804" t="s">
        <v>1101</v>
      </c>
    </row>
    <row r="20" spans="1:20" s="806" customFormat="1">
      <c r="A20" s="816" t="s">
        <v>1106</v>
      </c>
      <c r="B20" s="805"/>
      <c r="C20" s="805"/>
      <c r="D20" s="805"/>
      <c r="E20" s="805"/>
      <c r="F20" s="805"/>
      <c r="G20" s="805"/>
      <c r="H20" s="805"/>
      <c r="I20" s="805"/>
      <c r="J20" s="805"/>
      <c r="K20" s="805"/>
      <c r="R20" s="807"/>
      <c r="S20" s="807"/>
      <c r="T20" s="808"/>
    </row>
    <row r="21" spans="1:20" s="806" customFormat="1">
      <c r="A21" s="817" t="s">
        <v>1107</v>
      </c>
      <c r="B21" s="805"/>
      <c r="C21" s="805"/>
      <c r="D21" s="805"/>
      <c r="E21" s="805"/>
      <c r="F21" s="805"/>
      <c r="G21" s="805"/>
      <c r="H21" s="805"/>
      <c r="I21" s="805"/>
      <c r="J21" s="805"/>
      <c r="K21" s="805"/>
      <c r="R21" s="807"/>
      <c r="S21" s="807"/>
    </row>
    <row r="22" spans="1:20" s="806" customFormat="1">
      <c r="A22" s="817" t="s">
        <v>1108</v>
      </c>
      <c r="B22" s="805"/>
      <c r="C22" s="805"/>
      <c r="D22" s="805"/>
      <c r="E22" s="805"/>
      <c r="F22" s="805"/>
      <c r="G22" s="805"/>
      <c r="H22" s="805"/>
      <c r="I22" s="805"/>
      <c r="J22" s="805"/>
      <c r="K22" s="805"/>
      <c r="R22" s="807"/>
      <c r="S22" s="807"/>
    </row>
    <row r="23" spans="1:20" s="806" customFormat="1">
      <c r="A23" s="817" t="s">
        <v>1109</v>
      </c>
      <c r="B23" s="805"/>
      <c r="C23" s="805"/>
      <c r="D23" s="805"/>
      <c r="E23" s="805"/>
      <c r="F23" s="805"/>
      <c r="G23" s="805"/>
      <c r="H23" s="805"/>
      <c r="I23" s="805"/>
      <c r="J23" s="805"/>
      <c r="K23" s="805"/>
      <c r="R23" s="807"/>
      <c r="S23" s="807"/>
    </row>
    <row r="24" spans="1:20" s="781" customFormat="1" ht="12">
      <c r="A24" s="809" t="s">
        <v>1110</v>
      </c>
      <c r="B24" s="809"/>
      <c r="C24" s="809"/>
      <c r="D24" s="809"/>
      <c r="E24" s="809"/>
      <c r="F24" s="809"/>
      <c r="G24" s="585"/>
      <c r="H24" s="810"/>
      <c r="I24" s="810"/>
      <c r="J24" s="810"/>
      <c r="K24" s="810"/>
      <c r="R24" s="811"/>
      <c r="S24" s="811"/>
    </row>
    <row r="25" spans="1:20" s="781" customFormat="1" ht="12">
      <c r="A25" s="809" t="s">
        <v>1111</v>
      </c>
      <c r="B25" s="809"/>
      <c r="C25" s="809"/>
      <c r="D25" s="809"/>
      <c r="E25" s="809"/>
      <c r="F25" s="809"/>
      <c r="G25" s="585"/>
      <c r="H25" s="810"/>
      <c r="I25" s="810"/>
      <c r="J25" s="810"/>
      <c r="K25" s="810"/>
      <c r="R25" s="811"/>
      <c r="S25" s="811"/>
    </row>
    <row r="26" spans="1:20" s="781" customFormat="1" ht="12" hidden="1">
      <c r="A26" s="809" t="s">
        <v>1112</v>
      </c>
      <c r="B26" s="809"/>
      <c r="C26" s="809"/>
      <c r="D26" s="809"/>
      <c r="E26" s="809"/>
      <c r="F26" s="809"/>
      <c r="G26" s="585"/>
      <c r="H26" s="810"/>
      <c r="I26" s="810"/>
      <c r="J26" s="810"/>
      <c r="K26" s="810"/>
      <c r="R26" s="811"/>
      <c r="S26" s="811"/>
    </row>
    <row r="27" spans="1:20" s="781" customFormat="1" ht="12" hidden="1" customHeight="1">
      <c r="A27" s="887" t="s">
        <v>1113</v>
      </c>
      <c r="B27" s="887"/>
      <c r="C27" s="887"/>
      <c r="D27" s="887"/>
      <c r="E27" s="887"/>
      <c r="F27" s="887"/>
      <c r="G27" s="887"/>
      <c r="H27" s="887"/>
      <c r="I27" s="887"/>
      <c r="J27" s="887"/>
      <c r="K27" s="887"/>
      <c r="L27" s="887"/>
      <c r="M27" s="887"/>
      <c r="R27" s="811"/>
      <c r="S27" s="811"/>
    </row>
    <row r="28" spans="1:20" s="781" customFormat="1" ht="12" hidden="1" customHeight="1">
      <c r="A28" s="887"/>
      <c r="B28" s="887"/>
      <c r="C28" s="887"/>
      <c r="D28" s="887"/>
      <c r="E28" s="887"/>
      <c r="F28" s="887"/>
      <c r="G28" s="887"/>
      <c r="H28" s="887"/>
      <c r="I28" s="887"/>
      <c r="J28" s="887"/>
      <c r="K28" s="887"/>
      <c r="L28" s="887"/>
      <c r="M28" s="887"/>
      <c r="R28" s="811"/>
      <c r="S28" s="811"/>
    </row>
    <row r="29" spans="1:20" s="781" customFormat="1" ht="12" hidden="1">
      <c r="A29" s="809" t="s">
        <v>1114</v>
      </c>
      <c r="B29" s="809"/>
      <c r="C29" s="809"/>
      <c r="D29" s="809"/>
      <c r="E29" s="809"/>
      <c r="F29" s="809"/>
      <c r="G29" s="585"/>
      <c r="H29" s="810"/>
      <c r="I29" s="810"/>
      <c r="J29" s="810"/>
      <c r="K29" s="810"/>
      <c r="R29" s="811"/>
      <c r="S29" s="811"/>
    </row>
    <row r="30" spans="1:20" hidden="1">
      <c r="A30" s="809" t="s">
        <v>1115</v>
      </c>
    </row>
    <row r="31" spans="1:20" s="781" customFormat="1" ht="12">
      <c r="A31" s="812" t="s">
        <v>1116</v>
      </c>
      <c r="B31" s="810"/>
      <c r="C31" s="810"/>
      <c r="D31" s="810"/>
      <c r="E31" s="810"/>
      <c r="F31" s="810"/>
      <c r="G31" s="810"/>
      <c r="H31" s="810"/>
      <c r="I31" s="810"/>
      <c r="J31" s="810"/>
      <c r="K31" s="810"/>
      <c r="L31" s="810"/>
      <c r="M31" s="810"/>
      <c r="N31" s="810"/>
      <c r="O31" s="810"/>
      <c r="P31" s="810"/>
      <c r="Q31" s="810"/>
      <c r="R31" s="813"/>
      <c r="S31" s="813"/>
    </row>
    <row r="33" spans="1:20" s="781" customFormat="1" ht="12">
      <c r="A33" s="814"/>
      <c r="B33" s="810"/>
      <c r="R33" s="811"/>
      <c r="S33" s="811"/>
    </row>
    <row r="34" spans="1:20" s="781" customFormat="1" ht="14.25">
      <c r="A34" s="814"/>
      <c r="B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818"/>
      <c r="R34" s="815"/>
      <c r="S34" s="815"/>
      <c r="T34" s="164"/>
    </row>
    <row r="35" spans="1:20" s="781" customFormat="1" ht="12">
      <c r="B35" s="810"/>
      <c r="C35" s="810"/>
      <c r="D35" s="810"/>
      <c r="E35" s="810"/>
      <c r="G35" s="810"/>
      <c r="R35" s="811"/>
      <c r="S35" s="811"/>
    </row>
    <row r="42" spans="1:20" s="781" customFormat="1">
      <c r="A42" s="164"/>
      <c r="B42" s="164"/>
      <c r="C42" s="164"/>
      <c r="D42" s="164"/>
      <c r="E42" s="164"/>
      <c r="F42" s="164"/>
      <c r="G42" s="164"/>
      <c r="H42" s="810"/>
      <c r="I42" s="810"/>
      <c r="J42" s="810"/>
      <c r="K42" s="810"/>
      <c r="R42" s="811"/>
      <c r="S42" s="811"/>
    </row>
    <row r="43" spans="1:20" s="781" customFormat="1" ht="12">
      <c r="B43" s="810"/>
      <c r="C43" s="810"/>
      <c r="D43" s="810"/>
      <c r="E43" s="810"/>
      <c r="F43" s="810"/>
      <c r="G43" s="810"/>
      <c r="H43" s="810"/>
      <c r="I43" s="810"/>
      <c r="J43" s="810"/>
      <c r="K43" s="810"/>
      <c r="R43" s="811"/>
      <c r="S43" s="811"/>
    </row>
    <row r="44" spans="1:20" s="781" customFormat="1" ht="12">
      <c r="B44" s="810"/>
      <c r="C44" s="810"/>
      <c r="D44" s="810"/>
      <c r="E44" s="810"/>
      <c r="F44" s="810"/>
      <c r="G44" s="810"/>
      <c r="H44" s="810"/>
      <c r="I44" s="810"/>
      <c r="J44" s="810"/>
      <c r="K44" s="810"/>
      <c r="R44" s="811"/>
      <c r="S44" s="811"/>
    </row>
    <row r="45" spans="1:20" s="781" customFormat="1" ht="12">
      <c r="B45" s="810"/>
      <c r="C45" s="810"/>
      <c r="D45" s="810"/>
      <c r="E45" s="810"/>
      <c r="F45" s="810"/>
      <c r="G45" s="810"/>
      <c r="H45" s="810"/>
      <c r="I45" s="810"/>
      <c r="J45" s="810"/>
      <c r="K45" s="810"/>
      <c r="R45" s="811"/>
      <c r="S45" s="811"/>
    </row>
    <row r="46" spans="1:20" s="781" customFormat="1" ht="12">
      <c r="B46" s="810"/>
      <c r="C46" s="810"/>
      <c r="D46" s="810"/>
      <c r="E46" s="810"/>
      <c r="F46" s="810"/>
      <c r="G46" s="810"/>
      <c r="H46" s="810"/>
      <c r="I46" s="810"/>
      <c r="J46" s="810"/>
      <c r="K46" s="810"/>
      <c r="R46" s="811"/>
      <c r="S46" s="811"/>
    </row>
    <row r="47" spans="1:20" s="781" customFormat="1" ht="12">
      <c r="B47" s="810"/>
      <c r="C47" s="810"/>
      <c r="D47" s="810"/>
      <c r="E47" s="810"/>
      <c r="F47" s="810"/>
      <c r="G47" s="810"/>
      <c r="H47" s="810"/>
      <c r="I47" s="810"/>
      <c r="J47" s="810"/>
      <c r="K47" s="810"/>
      <c r="R47" s="811"/>
      <c r="S47" s="811"/>
    </row>
    <row r="48" spans="1:20" s="781" customFormat="1" ht="12">
      <c r="B48" s="810"/>
      <c r="C48" s="810"/>
      <c r="D48" s="810"/>
      <c r="E48" s="810"/>
      <c r="F48" s="810"/>
      <c r="G48" s="810"/>
      <c r="H48" s="810"/>
      <c r="I48" s="810"/>
      <c r="J48" s="810"/>
      <c r="K48" s="810"/>
      <c r="R48" s="811"/>
      <c r="S48" s="811"/>
    </row>
    <row r="49" spans="2:19" s="781" customFormat="1" ht="12">
      <c r="B49" s="810"/>
      <c r="C49" s="810"/>
      <c r="D49" s="810"/>
      <c r="E49" s="810"/>
      <c r="F49" s="810"/>
      <c r="G49" s="810"/>
      <c r="H49" s="810"/>
      <c r="I49" s="810"/>
      <c r="J49" s="810"/>
      <c r="K49" s="810"/>
      <c r="R49" s="811"/>
      <c r="S49" s="811"/>
    </row>
    <row r="50" spans="2:19" s="781" customFormat="1" ht="12">
      <c r="B50" s="810"/>
      <c r="C50" s="810"/>
      <c r="D50" s="810"/>
      <c r="E50" s="810"/>
      <c r="F50" s="810"/>
      <c r="G50" s="810"/>
      <c r="H50" s="810"/>
      <c r="I50" s="810"/>
      <c r="J50" s="810"/>
      <c r="K50" s="810"/>
      <c r="R50" s="811"/>
      <c r="S50" s="811"/>
    </row>
    <row r="51" spans="2:19" s="781" customFormat="1" ht="12">
      <c r="B51" s="810"/>
      <c r="C51" s="810"/>
      <c r="D51" s="810"/>
      <c r="E51" s="810"/>
      <c r="F51" s="810"/>
      <c r="G51" s="810"/>
      <c r="H51" s="810"/>
      <c r="I51" s="810"/>
      <c r="J51" s="810"/>
      <c r="K51" s="810"/>
      <c r="R51" s="811"/>
      <c r="S51" s="811"/>
    </row>
    <row r="52" spans="2:19" s="781" customFormat="1" ht="12">
      <c r="B52" s="810"/>
      <c r="C52" s="810"/>
      <c r="D52" s="810"/>
      <c r="E52" s="810"/>
      <c r="F52" s="810"/>
      <c r="G52" s="810"/>
      <c r="H52" s="810"/>
      <c r="I52" s="810"/>
      <c r="J52" s="810"/>
      <c r="K52" s="810"/>
      <c r="R52" s="811"/>
      <c r="S52" s="811"/>
    </row>
    <row r="53" spans="2:19" s="781" customFormat="1" ht="12">
      <c r="B53" s="810"/>
      <c r="C53" s="810"/>
      <c r="D53" s="810"/>
      <c r="E53" s="810"/>
      <c r="F53" s="810"/>
      <c r="G53" s="810"/>
      <c r="H53" s="810"/>
      <c r="I53" s="810"/>
      <c r="J53" s="810"/>
      <c r="K53" s="810"/>
      <c r="R53" s="811"/>
      <c r="S53" s="811"/>
    </row>
    <row r="54" spans="2:19" s="781" customFormat="1" ht="12">
      <c r="B54" s="810"/>
      <c r="C54" s="810"/>
      <c r="D54" s="810"/>
      <c r="E54" s="810"/>
      <c r="F54" s="810"/>
      <c r="G54" s="810"/>
      <c r="H54" s="810"/>
      <c r="I54" s="810"/>
      <c r="J54" s="810"/>
      <c r="K54" s="810"/>
      <c r="R54" s="811"/>
      <c r="S54" s="811"/>
    </row>
    <row r="55" spans="2:19" s="781" customFormat="1" ht="12">
      <c r="B55" s="810"/>
      <c r="C55" s="810"/>
      <c r="D55" s="810"/>
      <c r="E55" s="810"/>
      <c r="F55" s="810"/>
      <c r="G55" s="810"/>
      <c r="H55" s="810"/>
      <c r="I55" s="810"/>
      <c r="J55" s="810"/>
      <c r="K55" s="810"/>
      <c r="R55" s="811"/>
      <c r="S55" s="811"/>
    </row>
    <row r="56" spans="2:19" s="781" customFormat="1" ht="12">
      <c r="B56" s="810"/>
      <c r="C56" s="810"/>
      <c r="D56" s="810"/>
      <c r="E56" s="810"/>
      <c r="F56" s="810"/>
      <c r="G56" s="810"/>
      <c r="H56" s="810"/>
      <c r="I56" s="810"/>
      <c r="J56" s="810"/>
      <c r="K56" s="810"/>
      <c r="R56" s="811"/>
      <c r="S56" s="811"/>
    </row>
    <row r="57" spans="2:19" s="781" customFormat="1" ht="12">
      <c r="B57" s="810"/>
      <c r="C57" s="810"/>
      <c r="D57" s="810"/>
      <c r="E57" s="810"/>
      <c r="F57" s="810"/>
      <c r="G57" s="810"/>
      <c r="H57" s="810"/>
      <c r="I57" s="810"/>
      <c r="J57" s="810"/>
      <c r="K57" s="810"/>
      <c r="R57" s="811"/>
      <c r="S57" s="811"/>
    </row>
    <row r="58" spans="2:19" s="781" customFormat="1" ht="12">
      <c r="B58" s="810"/>
      <c r="C58" s="810"/>
      <c r="D58" s="810"/>
      <c r="E58" s="810"/>
      <c r="F58" s="810"/>
      <c r="G58" s="810"/>
      <c r="H58" s="810"/>
      <c r="I58" s="810"/>
      <c r="J58" s="810"/>
      <c r="K58" s="810"/>
      <c r="R58" s="811"/>
      <c r="S58" s="811"/>
    </row>
    <row r="59" spans="2:19" s="781" customFormat="1" ht="12">
      <c r="B59" s="810"/>
      <c r="C59" s="810"/>
      <c r="D59" s="810"/>
      <c r="E59" s="810"/>
      <c r="F59" s="810"/>
      <c r="G59" s="810"/>
      <c r="H59" s="810"/>
      <c r="I59" s="810"/>
      <c r="J59" s="810"/>
      <c r="K59" s="810"/>
      <c r="R59" s="811"/>
      <c r="S59" s="811"/>
    </row>
    <row r="60" spans="2:19" s="781" customFormat="1" ht="12">
      <c r="B60" s="810"/>
      <c r="C60" s="810"/>
      <c r="D60" s="810"/>
      <c r="E60" s="810"/>
      <c r="F60" s="810"/>
      <c r="G60" s="810"/>
      <c r="H60" s="810"/>
      <c r="I60" s="810"/>
      <c r="J60" s="810"/>
      <c r="K60" s="810"/>
      <c r="R60" s="811"/>
      <c r="S60" s="811"/>
    </row>
    <row r="61" spans="2:19" s="781" customFormat="1" ht="12">
      <c r="B61" s="810"/>
      <c r="C61" s="810"/>
      <c r="D61" s="810"/>
      <c r="E61" s="810"/>
      <c r="F61" s="810"/>
      <c r="G61" s="810"/>
      <c r="H61" s="810"/>
      <c r="I61" s="810"/>
      <c r="J61" s="810"/>
      <c r="K61" s="810"/>
      <c r="R61" s="811"/>
      <c r="S61" s="811"/>
    </row>
    <row r="62" spans="2:19" s="781" customFormat="1" ht="12">
      <c r="B62" s="810"/>
      <c r="C62" s="810"/>
      <c r="D62" s="810"/>
      <c r="E62" s="810"/>
      <c r="F62" s="810"/>
      <c r="G62" s="810"/>
      <c r="H62" s="810"/>
      <c r="I62" s="810"/>
      <c r="J62" s="810"/>
      <c r="K62" s="810"/>
      <c r="R62" s="811"/>
      <c r="S62" s="811"/>
    </row>
    <row r="63" spans="2:19" s="781" customFormat="1" ht="12">
      <c r="B63" s="810"/>
      <c r="C63" s="810"/>
      <c r="D63" s="810"/>
      <c r="E63" s="810"/>
      <c r="F63" s="810"/>
      <c r="G63" s="810"/>
      <c r="H63" s="810"/>
      <c r="I63" s="810"/>
      <c r="J63" s="810"/>
      <c r="K63" s="810"/>
      <c r="R63" s="811"/>
      <c r="S63" s="811"/>
    </row>
    <row r="64" spans="2:19" s="781" customFormat="1" ht="12">
      <c r="B64" s="810"/>
      <c r="C64" s="810"/>
      <c r="D64" s="810"/>
      <c r="E64" s="810"/>
      <c r="F64" s="810"/>
      <c r="G64" s="810"/>
      <c r="H64" s="810"/>
      <c r="I64" s="810"/>
      <c r="J64" s="810"/>
      <c r="K64" s="810"/>
      <c r="R64" s="811"/>
      <c r="S64" s="811"/>
    </row>
    <row r="65" spans="2:19" s="781" customFormat="1" ht="12">
      <c r="B65" s="810"/>
      <c r="C65" s="810"/>
      <c r="D65" s="810"/>
      <c r="E65" s="810"/>
      <c r="F65" s="810"/>
      <c r="G65" s="810"/>
      <c r="H65" s="810"/>
      <c r="I65" s="810"/>
      <c r="J65" s="810"/>
      <c r="K65" s="810"/>
      <c r="R65" s="811"/>
      <c r="S65" s="811"/>
    </row>
    <row r="66" spans="2:19" s="781" customFormat="1" ht="12">
      <c r="B66" s="810"/>
      <c r="C66" s="810"/>
      <c r="D66" s="810"/>
      <c r="E66" s="810"/>
      <c r="F66" s="810"/>
      <c r="G66" s="810"/>
      <c r="H66" s="810"/>
      <c r="I66" s="810"/>
      <c r="J66" s="810"/>
      <c r="K66" s="810"/>
      <c r="R66" s="811"/>
      <c r="S66" s="811"/>
    </row>
    <row r="67" spans="2:19" s="781" customFormat="1" ht="12">
      <c r="B67" s="810"/>
      <c r="C67" s="810"/>
      <c r="D67" s="810"/>
      <c r="E67" s="810"/>
      <c r="F67" s="810"/>
      <c r="G67" s="810"/>
      <c r="H67" s="810"/>
      <c r="I67" s="810"/>
      <c r="J67" s="810"/>
      <c r="K67" s="810"/>
      <c r="R67" s="811"/>
      <c r="S67" s="811"/>
    </row>
    <row r="68" spans="2:19" s="781" customFormat="1" ht="12">
      <c r="B68" s="810"/>
      <c r="C68" s="810"/>
      <c r="D68" s="810"/>
      <c r="E68" s="810"/>
      <c r="F68" s="810"/>
      <c r="G68" s="810"/>
      <c r="H68" s="810"/>
      <c r="I68" s="810"/>
      <c r="J68" s="810"/>
      <c r="K68" s="810"/>
      <c r="R68" s="811"/>
      <c r="S68" s="811"/>
    </row>
    <row r="69" spans="2:19" s="781" customFormat="1" ht="12">
      <c r="B69" s="810"/>
      <c r="C69" s="810"/>
      <c r="D69" s="810"/>
      <c r="E69" s="810"/>
      <c r="F69" s="810"/>
      <c r="G69" s="810"/>
      <c r="H69" s="810"/>
      <c r="I69" s="810"/>
      <c r="J69" s="810"/>
      <c r="K69" s="810"/>
      <c r="R69" s="811"/>
      <c r="S69" s="811"/>
    </row>
    <row r="70" spans="2:19" s="781" customFormat="1" ht="12">
      <c r="B70" s="810"/>
      <c r="C70" s="810"/>
      <c r="D70" s="810"/>
      <c r="E70" s="810"/>
      <c r="F70" s="810"/>
      <c r="G70" s="810"/>
      <c r="H70" s="810"/>
      <c r="I70" s="810"/>
      <c r="J70" s="810"/>
      <c r="K70" s="810"/>
      <c r="R70" s="811"/>
      <c r="S70" s="811"/>
    </row>
    <row r="71" spans="2:19" s="781" customFormat="1" ht="12">
      <c r="B71" s="810"/>
      <c r="C71" s="810"/>
      <c r="D71" s="810"/>
      <c r="E71" s="810"/>
      <c r="F71" s="810"/>
      <c r="G71" s="810"/>
      <c r="H71" s="810"/>
      <c r="I71" s="810"/>
      <c r="J71" s="810"/>
      <c r="K71" s="810"/>
      <c r="R71" s="811"/>
      <c r="S71" s="811"/>
    </row>
    <row r="72" spans="2:19" s="781" customFormat="1" ht="12">
      <c r="B72" s="810"/>
      <c r="C72" s="810"/>
      <c r="D72" s="810"/>
      <c r="E72" s="810"/>
      <c r="F72" s="810"/>
      <c r="G72" s="810"/>
      <c r="H72" s="810"/>
      <c r="I72" s="810"/>
      <c r="J72" s="810"/>
      <c r="K72" s="810"/>
      <c r="R72" s="811"/>
      <c r="S72" s="811"/>
    </row>
    <row r="73" spans="2:19" s="781" customFormat="1" ht="12">
      <c r="B73" s="810"/>
      <c r="C73" s="810"/>
      <c r="D73" s="810"/>
      <c r="E73" s="810"/>
      <c r="F73" s="810"/>
      <c r="G73" s="810"/>
      <c r="H73" s="810"/>
      <c r="I73" s="810"/>
      <c r="J73" s="810"/>
      <c r="K73" s="810"/>
      <c r="R73" s="811"/>
      <c r="S73" s="811"/>
    </row>
    <row r="74" spans="2:19" s="781" customFormat="1" ht="12">
      <c r="B74" s="810"/>
      <c r="C74" s="810"/>
      <c r="D74" s="810"/>
      <c r="E74" s="810"/>
      <c r="F74" s="810"/>
      <c r="G74" s="810"/>
      <c r="H74" s="810"/>
      <c r="I74" s="810"/>
      <c r="J74" s="810"/>
      <c r="K74" s="810"/>
      <c r="R74" s="811"/>
      <c r="S74" s="811"/>
    </row>
    <row r="75" spans="2:19" s="781" customFormat="1" ht="12">
      <c r="B75" s="810"/>
      <c r="C75" s="810"/>
      <c r="D75" s="810"/>
      <c r="E75" s="810"/>
      <c r="F75" s="810"/>
      <c r="G75" s="810"/>
      <c r="H75" s="810"/>
      <c r="I75" s="810"/>
      <c r="J75" s="810"/>
      <c r="K75" s="810"/>
      <c r="R75" s="811"/>
      <c r="S75" s="811"/>
    </row>
    <row r="76" spans="2:19" s="781" customFormat="1" ht="12">
      <c r="B76" s="810"/>
      <c r="C76" s="810"/>
      <c r="D76" s="810"/>
      <c r="E76" s="810"/>
      <c r="F76" s="810"/>
      <c r="G76" s="810"/>
      <c r="H76" s="810"/>
      <c r="I76" s="810"/>
      <c r="J76" s="810"/>
      <c r="K76" s="810"/>
      <c r="R76" s="811"/>
      <c r="S76" s="811"/>
    </row>
    <row r="77" spans="2:19" s="781" customFormat="1" ht="12">
      <c r="B77" s="810"/>
      <c r="C77" s="810"/>
      <c r="D77" s="810"/>
      <c r="E77" s="810"/>
      <c r="F77" s="810"/>
      <c r="G77" s="810"/>
      <c r="H77" s="810"/>
      <c r="I77" s="810"/>
      <c r="J77" s="810"/>
      <c r="K77" s="810"/>
      <c r="R77" s="811"/>
      <c r="S77" s="811"/>
    </row>
    <row r="78" spans="2:19" s="781" customFormat="1" ht="12">
      <c r="B78" s="810"/>
      <c r="C78" s="810"/>
      <c r="D78" s="810"/>
      <c r="E78" s="810"/>
      <c r="F78" s="810"/>
      <c r="G78" s="810"/>
      <c r="H78" s="810"/>
      <c r="I78" s="810"/>
      <c r="J78" s="810"/>
      <c r="K78" s="810"/>
      <c r="R78" s="811"/>
      <c r="S78" s="811"/>
    </row>
    <row r="79" spans="2:19" s="781" customFormat="1" ht="12">
      <c r="B79" s="810"/>
      <c r="C79" s="810"/>
      <c r="D79" s="810"/>
      <c r="E79" s="810"/>
      <c r="F79" s="810"/>
      <c r="G79" s="810"/>
      <c r="H79" s="810"/>
      <c r="I79" s="810"/>
      <c r="J79" s="810"/>
      <c r="K79" s="810"/>
      <c r="R79" s="811"/>
      <c r="S79" s="811"/>
    </row>
    <row r="80" spans="2:19" s="781" customFormat="1" ht="12">
      <c r="B80" s="810"/>
      <c r="C80" s="810"/>
      <c r="D80" s="810"/>
      <c r="E80" s="810"/>
      <c r="F80" s="810"/>
      <c r="G80" s="810"/>
      <c r="H80" s="810"/>
      <c r="I80" s="810"/>
      <c r="J80" s="810"/>
      <c r="K80" s="810"/>
      <c r="R80" s="811"/>
      <c r="S80" s="811"/>
    </row>
    <row r="81" spans="2:19" s="781" customFormat="1" ht="12">
      <c r="B81" s="810"/>
      <c r="C81" s="810"/>
      <c r="D81" s="810"/>
      <c r="E81" s="810"/>
      <c r="F81" s="810"/>
      <c r="G81" s="810"/>
      <c r="H81" s="810"/>
      <c r="I81" s="810"/>
      <c r="J81" s="810"/>
      <c r="K81" s="810"/>
      <c r="R81" s="811"/>
      <c r="S81" s="811"/>
    </row>
    <row r="82" spans="2:19" s="781" customFormat="1" ht="12">
      <c r="B82" s="810"/>
      <c r="C82" s="810"/>
      <c r="D82" s="810"/>
      <c r="E82" s="810"/>
      <c r="F82" s="810"/>
      <c r="G82" s="810"/>
      <c r="H82" s="810"/>
      <c r="I82" s="810"/>
      <c r="J82" s="810"/>
      <c r="K82" s="810"/>
      <c r="R82" s="811"/>
      <c r="S82" s="811"/>
    </row>
    <row r="83" spans="2:19" s="781" customFormat="1" ht="12">
      <c r="B83" s="810"/>
      <c r="C83" s="810"/>
      <c r="D83" s="810"/>
      <c r="E83" s="810"/>
      <c r="F83" s="810"/>
      <c r="G83" s="810"/>
      <c r="H83" s="810"/>
      <c r="I83" s="810"/>
      <c r="J83" s="810"/>
      <c r="K83" s="810"/>
      <c r="R83" s="811"/>
      <c r="S83" s="811"/>
    </row>
    <row r="84" spans="2:19" s="781" customFormat="1" ht="12">
      <c r="B84" s="810"/>
      <c r="C84" s="810"/>
      <c r="D84" s="810"/>
      <c r="E84" s="810"/>
      <c r="F84" s="810"/>
      <c r="G84" s="810"/>
      <c r="H84" s="810"/>
      <c r="I84" s="810"/>
      <c r="J84" s="810"/>
      <c r="K84" s="810"/>
      <c r="R84" s="811"/>
      <c r="S84" s="811"/>
    </row>
    <row r="85" spans="2:19" s="781" customFormat="1" ht="12">
      <c r="B85" s="810"/>
      <c r="C85" s="810"/>
      <c r="D85" s="810"/>
      <c r="E85" s="810"/>
      <c r="F85" s="810"/>
      <c r="G85" s="810"/>
      <c r="H85" s="810"/>
      <c r="I85" s="810"/>
      <c r="J85" s="810"/>
      <c r="K85" s="810"/>
      <c r="R85" s="811"/>
      <c r="S85" s="811"/>
    </row>
    <row r="86" spans="2:19" s="781" customFormat="1" ht="12">
      <c r="B86" s="810"/>
      <c r="C86" s="810"/>
      <c r="D86" s="810"/>
      <c r="E86" s="810"/>
      <c r="F86" s="810"/>
      <c r="G86" s="810"/>
      <c r="H86" s="810"/>
      <c r="I86" s="810"/>
      <c r="J86" s="810"/>
      <c r="K86" s="810"/>
      <c r="R86" s="811"/>
      <c r="S86" s="811"/>
    </row>
    <row r="87" spans="2:19" s="781" customFormat="1" ht="12">
      <c r="B87" s="810"/>
      <c r="C87" s="810"/>
      <c r="D87" s="810"/>
      <c r="E87" s="810"/>
      <c r="F87" s="810"/>
      <c r="G87" s="810"/>
      <c r="H87" s="810"/>
      <c r="I87" s="810"/>
      <c r="J87" s="810"/>
      <c r="K87" s="810"/>
      <c r="R87" s="811"/>
      <c r="S87" s="811"/>
    </row>
    <row r="88" spans="2:19" s="781" customFormat="1" ht="12">
      <c r="B88" s="810"/>
      <c r="C88" s="810"/>
      <c r="D88" s="810"/>
      <c r="E88" s="810"/>
      <c r="F88" s="810"/>
      <c r="G88" s="810"/>
      <c r="H88" s="810"/>
      <c r="I88" s="810"/>
      <c r="J88" s="810"/>
      <c r="K88" s="810"/>
      <c r="R88" s="811"/>
      <c r="S88" s="811"/>
    </row>
    <row r="89" spans="2:19" s="781" customFormat="1" ht="12">
      <c r="B89" s="810"/>
      <c r="C89" s="810"/>
      <c r="D89" s="810"/>
      <c r="E89" s="810"/>
      <c r="F89" s="810"/>
      <c r="G89" s="810"/>
      <c r="H89" s="810"/>
      <c r="I89" s="810"/>
      <c r="J89" s="810"/>
      <c r="K89" s="810"/>
      <c r="R89" s="811"/>
      <c r="S89" s="811"/>
    </row>
    <row r="90" spans="2:19" s="781" customFormat="1" ht="12">
      <c r="B90" s="810"/>
      <c r="C90" s="810"/>
      <c r="D90" s="810"/>
      <c r="E90" s="810"/>
      <c r="F90" s="810"/>
      <c r="G90" s="810"/>
      <c r="H90" s="810"/>
      <c r="I90" s="810"/>
      <c r="J90" s="810"/>
      <c r="K90" s="810"/>
      <c r="R90" s="811"/>
      <c r="S90" s="811"/>
    </row>
    <row r="91" spans="2:19" s="781" customFormat="1" ht="12">
      <c r="B91" s="810"/>
      <c r="C91" s="810"/>
      <c r="D91" s="810"/>
      <c r="E91" s="810"/>
      <c r="F91" s="810"/>
      <c r="G91" s="810"/>
      <c r="H91" s="810"/>
      <c r="I91" s="810"/>
      <c r="J91" s="810"/>
      <c r="K91" s="810"/>
      <c r="R91" s="811"/>
      <c r="S91" s="811"/>
    </row>
    <row r="92" spans="2:19" s="781" customFormat="1" ht="12">
      <c r="B92" s="810"/>
      <c r="C92" s="810"/>
      <c r="D92" s="810"/>
      <c r="E92" s="810"/>
      <c r="F92" s="810"/>
      <c r="G92" s="810"/>
      <c r="H92" s="810"/>
      <c r="I92" s="810"/>
      <c r="J92" s="810"/>
      <c r="K92" s="810"/>
      <c r="R92" s="811"/>
      <c r="S92" s="811"/>
    </row>
    <row r="93" spans="2:19" s="781" customFormat="1" ht="12">
      <c r="B93" s="810"/>
      <c r="C93" s="810"/>
      <c r="D93" s="810"/>
      <c r="E93" s="810"/>
      <c r="F93" s="810"/>
      <c r="G93" s="810"/>
      <c r="H93" s="810"/>
      <c r="I93" s="810"/>
      <c r="J93" s="810"/>
      <c r="K93" s="810"/>
      <c r="R93" s="811"/>
      <c r="S93" s="811"/>
    </row>
    <row r="94" spans="2:19" s="781" customFormat="1" ht="12">
      <c r="B94" s="810"/>
      <c r="C94" s="810"/>
      <c r="D94" s="810"/>
      <c r="E94" s="810"/>
      <c r="F94" s="810"/>
      <c r="G94" s="810"/>
      <c r="H94" s="810"/>
      <c r="I94" s="810"/>
      <c r="J94" s="810"/>
      <c r="K94" s="810"/>
      <c r="R94" s="811"/>
      <c r="S94" s="811"/>
    </row>
    <row r="95" spans="2:19" s="781" customFormat="1" ht="12">
      <c r="B95" s="810"/>
      <c r="C95" s="810"/>
      <c r="D95" s="810"/>
      <c r="E95" s="810"/>
      <c r="F95" s="810"/>
      <c r="G95" s="810"/>
      <c r="H95" s="810"/>
      <c r="I95" s="810"/>
      <c r="J95" s="810"/>
      <c r="K95" s="810"/>
      <c r="R95" s="811"/>
      <c r="S95" s="811"/>
    </row>
    <row r="96" spans="2:19" s="781" customFormat="1" ht="12">
      <c r="B96" s="810"/>
      <c r="C96" s="810"/>
      <c r="D96" s="810"/>
      <c r="E96" s="810"/>
      <c r="F96" s="810"/>
      <c r="G96" s="810"/>
      <c r="H96" s="810"/>
      <c r="I96" s="810"/>
      <c r="J96" s="810"/>
      <c r="K96" s="810"/>
      <c r="R96" s="811"/>
      <c r="S96" s="811"/>
    </row>
    <row r="97" spans="2:19" s="781" customFormat="1" ht="12">
      <c r="B97" s="810"/>
      <c r="C97" s="810"/>
      <c r="D97" s="810"/>
      <c r="E97" s="810"/>
      <c r="F97" s="810"/>
      <c r="G97" s="810"/>
      <c r="H97" s="810"/>
      <c r="I97" s="810"/>
      <c r="J97" s="810"/>
      <c r="K97" s="810"/>
      <c r="R97" s="811"/>
      <c r="S97" s="811"/>
    </row>
  </sheetData>
  <mergeCells count="5">
    <mergeCell ref="A1:T1"/>
    <mergeCell ref="A2:T2"/>
    <mergeCell ref="A3:T3"/>
    <mergeCell ref="A4:A5"/>
    <mergeCell ref="A27:M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39"/>
  <sheetViews>
    <sheetView topLeftCell="A16" zoomScale="91" zoomScaleNormal="91" workbookViewId="0">
      <selection activeCell="Q34" sqref="Q34"/>
    </sheetView>
  </sheetViews>
  <sheetFormatPr defaultColWidth="9.140625" defaultRowHeight="12.75"/>
  <cols>
    <col min="1" max="1" width="24.42578125" style="276" customWidth="1"/>
    <col min="2" max="3" width="10.7109375" style="276" customWidth="1"/>
    <col min="4" max="4" width="10.28515625" style="276" customWidth="1"/>
    <col min="5" max="5" width="10.5703125" style="276" customWidth="1"/>
    <col min="6" max="6" width="10.28515625" style="276" customWidth="1"/>
    <col min="7" max="7" width="9.5703125" style="276" customWidth="1"/>
    <col min="8" max="8" width="9.140625" style="276" customWidth="1"/>
    <col min="9" max="9" width="9.28515625" style="276" customWidth="1"/>
    <col min="10" max="10" width="8.7109375" style="276" customWidth="1"/>
    <col min="11" max="11" width="9.42578125" style="276" customWidth="1"/>
    <col min="12" max="12" width="8.7109375" style="276" customWidth="1"/>
    <col min="13" max="13" width="9" style="276" customWidth="1"/>
    <col min="14" max="14" width="9.5703125" style="276" customWidth="1"/>
    <col min="15" max="15" width="21.5703125" style="276" customWidth="1"/>
    <col min="16" max="22" width="9.140625" style="276"/>
    <col min="23" max="23" width="13.7109375" style="276" customWidth="1"/>
    <col min="24" max="16384" width="9.140625" style="276"/>
  </cols>
  <sheetData>
    <row r="1" spans="1:35" s="275" customFormat="1" ht="19.5" customHeight="1">
      <c r="A1" s="888" t="s">
        <v>1051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  <c r="M1" s="888"/>
      <c r="N1" s="888"/>
      <c r="O1" s="888"/>
    </row>
    <row r="2" spans="1:35" ht="16.5" customHeight="1">
      <c r="A2" s="889" t="s">
        <v>1050</v>
      </c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  <c r="M2" s="889"/>
      <c r="N2" s="889"/>
      <c r="O2" s="889"/>
    </row>
    <row r="3" spans="1:35" s="278" customFormat="1" ht="29.25" customHeight="1">
      <c r="A3" s="277" t="s">
        <v>247</v>
      </c>
      <c r="B3" s="218" t="s">
        <v>207</v>
      </c>
      <c r="C3" s="218" t="s">
        <v>208</v>
      </c>
      <c r="D3" s="218" t="s">
        <v>209</v>
      </c>
      <c r="E3" s="218" t="s">
        <v>210</v>
      </c>
      <c r="F3" s="218" t="s">
        <v>211</v>
      </c>
      <c r="G3" s="218" t="s">
        <v>212</v>
      </c>
      <c r="H3" s="218" t="s">
        <v>213</v>
      </c>
      <c r="I3" s="218" t="s">
        <v>214</v>
      </c>
      <c r="J3" s="218" t="s">
        <v>215</v>
      </c>
      <c r="K3" s="218" t="s">
        <v>216</v>
      </c>
      <c r="L3" s="218" t="s">
        <v>217</v>
      </c>
      <c r="M3" s="218" t="s">
        <v>218</v>
      </c>
      <c r="N3" s="218" t="s">
        <v>219</v>
      </c>
      <c r="O3" s="505" t="s">
        <v>248</v>
      </c>
    </row>
    <row r="4" spans="1:35" s="282" customFormat="1" ht="17.25" customHeight="1">
      <c r="A4" s="279" t="s">
        <v>16</v>
      </c>
      <c r="B4" s="280">
        <f>B5+B11+B15+B16+B17+B18+B19+B20</f>
        <v>555494</v>
      </c>
      <c r="C4" s="280">
        <f t="shared" ref="C4:N4" si="0">C5+C11+C15+C16+C17+C18+C19+C20</f>
        <v>173347</v>
      </c>
      <c r="D4" s="280">
        <f t="shared" si="0"/>
        <v>149785</v>
      </c>
      <c r="E4" s="280">
        <f t="shared" si="0"/>
        <v>59630</v>
      </c>
      <c r="F4" s="280">
        <f t="shared" si="0"/>
        <v>13</v>
      </c>
      <c r="G4" s="280">
        <f t="shared" si="0"/>
        <v>41</v>
      </c>
      <c r="H4" s="280">
        <f t="shared" si="0"/>
        <v>1</v>
      </c>
      <c r="I4" s="280">
        <f t="shared" si="0"/>
        <v>1752</v>
      </c>
      <c r="J4" s="280">
        <f t="shared" si="0"/>
        <v>7636</v>
      </c>
      <c r="K4" s="280">
        <f t="shared" si="0"/>
        <v>9605</v>
      </c>
      <c r="L4" s="280">
        <f t="shared" si="0"/>
        <v>21515</v>
      </c>
      <c r="M4" s="280">
        <f t="shared" si="0"/>
        <v>35757</v>
      </c>
      <c r="N4" s="280">
        <f t="shared" si="0"/>
        <v>96412</v>
      </c>
      <c r="O4" s="281" t="s">
        <v>17</v>
      </c>
    </row>
    <row r="5" spans="1:35" s="287" customFormat="1" ht="19.5" customHeight="1">
      <c r="A5" s="283" t="s">
        <v>18</v>
      </c>
      <c r="B5" s="284">
        <f t="shared" ref="B5:N5" si="1">SUM(B6:B10)</f>
        <v>348349</v>
      </c>
      <c r="C5" s="284">
        <f>SUM(C6:C10)</f>
        <v>94725</v>
      </c>
      <c r="D5" s="284">
        <f>SUM(D6:D10)</f>
        <v>102348</v>
      </c>
      <c r="E5" s="284">
        <f t="shared" si="1"/>
        <v>42015</v>
      </c>
      <c r="F5" s="284">
        <f t="shared" si="1"/>
        <v>0</v>
      </c>
      <c r="G5" s="284">
        <f t="shared" si="1"/>
        <v>37</v>
      </c>
      <c r="H5" s="284">
        <f t="shared" si="1"/>
        <v>1</v>
      </c>
      <c r="I5" s="284">
        <f t="shared" si="1"/>
        <v>1044</v>
      </c>
      <c r="J5" s="284">
        <f t="shared" si="1"/>
        <v>3828</v>
      </c>
      <c r="K5" s="284">
        <f t="shared" si="1"/>
        <v>5519</v>
      </c>
      <c r="L5" s="284">
        <f t="shared" si="1"/>
        <v>14823</v>
      </c>
      <c r="M5" s="284">
        <f t="shared" si="1"/>
        <v>20522</v>
      </c>
      <c r="N5" s="284">
        <f t="shared" si="1"/>
        <v>63487</v>
      </c>
      <c r="O5" s="285" t="s">
        <v>19</v>
      </c>
      <c r="P5" s="286"/>
      <c r="Q5" s="286"/>
      <c r="R5" s="286"/>
      <c r="S5" s="286"/>
      <c r="T5" s="286"/>
      <c r="U5" s="286"/>
    </row>
    <row r="6" spans="1:35" s="291" customFormat="1" ht="19.5" customHeight="1">
      <c r="A6" s="288" t="s">
        <v>249</v>
      </c>
      <c r="B6" s="289">
        <f t="shared" ref="B6:B18" si="2">SUM(C6:N6)</f>
        <v>120383</v>
      </c>
      <c r="C6" s="289">
        <v>28280</v>
      </c>
      <c r="D6" s="289">
        <v>23141</v>
      </c>
      <c r="E6" s="289">
        <v>12233</v>
      </c>
      <c r="F6" s="289">
        <v>0</v>
      </c>
      <c r="G6" s="289">
        <v>23</v>
      </c>
      <c r="H6" s="289">
        <v>0</v>
      </c>
      <c r="I6" s="289">
        <v>240</v>
      </c>
      <c r="J6" s="289">
        <v>1197</v>
      </c>
      <c r="K6" s="289">
        <v>2929</v>
      </c>
      <c r="L6" s="289">
        <v>8581</v>
      </c>
      <c r="M6" s="289">
        <v>12697</v>
      </c>
      <c r="N6" s="289">
        <v>31062</v>
      </c>
      <c r="O6" s="290" t="s">
        <v>250</v>
      </c>
    </row>
    <row r="7" spans="1:35" s="291" customFormat="1" ht="19.5" customHeight="1">
      <c r="A7" s="288" t="s">
        <v>251</v>
      </c>
      <c r="B7" s="289">
        <f t="shared" si="2"/>
        <v>67822</v>
      </c>
      <c r="C7" s="289">
        <v>15264</v>
      </c>
      <c r="D7" s="289">
        <v>21059</v>
      </c>
      <c r="E7" s="289">
        <v>8978</v>
      </c>
      <c r="F7" s="289">
        <v>0</v>
      </c>
      <c r="G7" s="289">
        <v>0</v>
      </c>
      <c r="H7" s="289">
        <v>1</v>
      </c>
      <c r="I7" s="289">
        <v>307</v>
      </c>
      <c r="J7" s="289">
        <v>795</v>
      </c>
      <c r="K7" s="289">
        <v>728</v>
      </c>
      <c r="L7" s="289">
        <v>2216</v>
      </c>
      <c r="M7" s="289">
        <v>2469</v>
      </c>
      <c r="N7" s="289">
        <v>16005</v>
      </c>
      <c r="O7" s="290" t="s">
        <v>252</v>
      </c>
    </row>
    <row r="8" spans="1:35" s="291" customFormat="1" ht="19.5" customHeight="1">
      <c r="A8" s="288" t="s">
        <v>253</v>
      </c>
      <c r="B8" s="289">
        <f t="shared" si="2"/>
        <v>63150</v>
      </c>
      <c r="C8" s="289">
        <v>24902</v>
      </c>
      <c r="D8" s="289">
        <v>24809</v>
      </c>
      <c r="E8" s="289">
        <v>5700</v>
      </c>
      <c r="F8" s="289">
        <v>0</v>
      </c>
      <c r="G8" s="289">
        <v>1</v>
      </c>
      <c r="H8" s="289">
        <v>0</v>
      </c>
      <c r="I8" s="289">
        <v>153</v>
      </c>
      <c r="J8" s="289">
        <v>939</v>
      </c>
      <c r="K8" s="289">
        <v>786</v>
      </c>
      <c r="L8" s="289">
        <v>1219</v>
      </c>
      <c r="M8" s="289">
        <v>1209</v>
      </c>
      <c r="N8" s="289">
        <v>3432</v>
      </c>
      <c r="O8" s="290" t="s">
        <v>254</v>
      </c>
    </row>
    <row r="9" spans="1:35" s="291" customFormat="1" ht="19.5" customHeight="1">
      <c r="A9" s="288" t="s">
        <v>255</v>
      </c>
      <c r="B9" s="289">
        <f t="shared" si="2"/>
        <v>91696</v>
      </c>
      <c r="C9" s="289">
        <v>24416</v>
      </c>
      <c r="D9" s="289">
        <v>32016</v>
      </c>
      <c r="E9" s="289">
        <v>14672</v>
      </c>
      <c r="F9" s="289">
        <v>0</v>
      </c>
      <c r="G9" s="289">
        <v>13</v>
      </c>
      <c r="H9" s="289">
        <v>0</v>
      </c>
      <c r="I9" s="289">
        <v>298</v>
      </c>
      <c r="J9" s="289">
        <v>771</v>
      </c>
      <c r="K9" s="289">
        <v>831</v>
      </c>
      <c r="L9" s="289">
        <v>2490</v>
      </c>
      <c r="M9" s="289">
        <v>3907</v>
      </c>
      <c r="N9" s="289">
        <v>12282</v>
      </c>
      <c r="O9" s="290" t="s">
        <v>256</v>
      </c>
      <c r="P9" s="292"/>
    </row>
    <row r="10" spans="1:35" s="291" customFormat="1" ht="19.5" customHeight="1">
      <c r="A10" s="293" t="s">
        <v>257</v>
      </c>
      <c r="B10" s="289">
        <f t="shared" si="2"/>
        <v>5298</v>
      </c>
      <c r="C10" s="289">
        <v>1863</v>
      </c>
      <c r="D10" s="289">
        <v>1323</v>
      </c>
      <c r="E10" s="289">
        <v>432</v>
      </c>
      <c r="F10" s="289">
        <v>0</v>
      </c>
      <c r="G10" s="289">
        <v>0</v>
      </c>
      <c r="H10" s="289">
        <v>0</v>
      </c>
      <c r="I10" s="289">
        <v>46</v>
      </c>
      <c r="J10" s="289">
        <v>126</v>
      </c>
      <c r="K10" s="289">
        <v>245</v>
      </c>
      <c r="L10" s="289">
        <v>317</v>
      </c>
      <c r="M10" s="289">
        <v>240</v>
      </c>
      <c r="N10" s="289">
        <v>706</v>
      </c>
      <c r="O10" s="290" t="s">
        <v>258</v>
      </c>
      <c r="P10" s="292"/>
    </row>
    <row r="11" spans="1:35" s="287" customFormat="1" ht="19.5" customHeight="1">
      <c r="A11" s="283" t="s">
        <v>72</v>
      </c>
      <c r="B11" s="284">
        <f t="shared" si="2"/>
        <v>134279</v>
      </c>
      <c r="C11" s="284">
        <f>SUM(C12:C14)</f>
        <v>58762</v>
      </c>
      <c r="D11" s="284">
        <f>SUM(D12:D14)</f>
        <v>31785</v>
      </c>
      <c r="E11" s="284">
        <f t="shared" ref="E11:N11" si="3">SUM(E12:E14)</f>
        <v>10953</v>
      </c>
      <c r="F11" s="284">
        <f t="shared" si="3"/>
        <v>12</v>
      </c>
      <c r="G11" s="284">
        <f t="shared" si="3"/>
        <v>4</v>
      </c>
      <c r="H11" s="284">
        <f t="shared" si="3"/>
        <v>0</v>
      </c>
      <c r="I11" s="284">
        <f t="shared" si="3"/>
        <v>122</v>
      </c>
      <c r="J11" s="284">
        <f t="shared" si="3"/>
        <v>545</v>
      </c>
      <c r="K11" s="284">
        <f t="shared" si="3"/>
        <v>712</v>
      </c>
      <c r="L11" s="284">
        <f t="shared" si="3"/>
        <v>2127</v>
      </c>
      <c r="M11" s="284">
        <f t="shared" si="3"/>
        <v>8558</v>
      </c>
      <c r="N11" s="284">
        <f t="shared" si="3"/>
        <v>20699</v>
      </c>
      <c r="O11" s="285" t="s">
        <v>73</v>
      </c>
      <c r="P11" s="294"/>
    </row>
    <row r="12" spans="1:35" s="291" customFormat="1" ht="19.5" customHeight="1">
      <c r="A12" s="288" t="s">
        <v>259</v>
      </c>
      <c r="B12" s="289">
        <f t="shared" si="2"/>
        <v>51319</v>
      </c>
      <c r="C12" s="289">
        <v>38543</v>
      </c>
      <c r="D12" s="289">
        <v>9652</v>
      </c>
      <c r="E12" s="289">
        <v>2383</v>
      </c>
      <c r="F12" s="289">
        <v>0</v>
      </c>
      <c r="G12" s="289">
        <v>0</v>
      </c>
      <c r="H12" s="289">
        <v>0</v>
      </c>
      <c r="I12" s="289">
        <v>27</v>
      </c>
      <c r="J12" s="289">
        <v>56</v>
      </c>
      <c r="K12" s="289">
        <v>63</v>
      </c>
      <c r="L12" s="289">
        <v>90</v>
      </c>
      <c r="M12" s="289">
        <v>133</v>
      </c>
      <c r="N12" s="289">
        <v>372</v>
      </c>
      <c r="O12" s="290" t="s">
        <v>260</v>
      </c>
    </row>
    <row r="13" spans="1:35" s="291" customFormat="1" ht="19.5" customHeight="1">
      <c r="A13" s="288" t="s">
        <v>261</v>
      </c>
      <c r="B13" s="289">
        <f t="shared" si="2"/>
        <v>12746</v>
      </c>
      <c r="C13" s="289">
        <v>4198</v>
      </c>
      <c r="D13" s="289">
        <v>4901</v>
      </c>
      <c r="E13" s="289">
        <v>2482</v>
      </c>
      <c r="F13" s="289">
        <v>0</v>
      </c>
      <c r="G13" s="289">
        <v>0</v>
      </c>
      <c r="H13" s="289">
        <v>0</v>
      </c>
      <c r="I13" s="289">
        <v>33</v>
      </c>
      <c r="J13" s="289">
        <v>117</v>
      </c>
      <c r="K13" s="289">
        <v>74</v>
      </c>
      <c r="L13" s="289">
        <v>150</v>
      </c>
      <c r="M13" s="289">
        <v>260</v>
      </c>
      <c r="N13" s="289">
        <v>531</v>
      </c>
      <c r="O13" s="290" t="s">
        <v>262</v>
      </c>
    </row>
    <row r="14" spans="1:35" s="291" customFormat="1" ht="19.5" customHeight="1">
      <c r="A14" s="288" t="s">
        <v>263</v>
      </c>
      <c r="B14" s="289">
        <f t="shared" si="2"/>
        <v>70214</v>
      </c>
      <c r="C14" s="289">
        <v>16021</v>
      </c>
      <c r="D14" s="289">
        <v>17232</v>
      </c>
      <c r="E14" s="289">
        <v>6088</v>
      </c>
      <c r="F14" s="289">
        <v>12</v>
      </c>
      <c r="G14" s="289">
        <v>4</v>
      </c>
      <c r="H14" s="289">
        <v>0</v>
      </c>
      <c r="I14" s="289">
        <v>62</v>
      </c>
      <c r="J14" s="289">
        <v>372</v>
      </c>
      <c r="K14" s="289">
        <v>575</v>
      </c>
      <c r="L14" s="289">
        <v>1887</v>
      </c>
      <c r="M14" s="289">
        <v>8165</v>
      </c>
      <c r="N14" s="289">
        <v>19796</v>
      </c>
      <c r="O14" s="290" t="s">
        <v>264</v>
      </c>
      <c r="P14" s="292"/>
    </row>
    <row r="15" spans="1:35" s="287" customFormat="1" ht="19.5" customHeight="1">
      <c r="A15" s="283" t="s">
        <v>115</v>
      </c>
      <c r="B15" s="284">
        <f t="shared" si="2"/>
        <v>7964</v>
      </c>
      <c r="C15" s="284">
        <v>2926</v>
      </c>
      <c r="D15" s="284">
        <v>2260</v>
      </c>
      <c r="E15" s="284">
        <v>1468</v>
      </c>
      <c r="F15" s="284">
        <v>0</v>
      </c>
      <c r="G15" s="284">
        <v>0</v>
      </c>
      <c r="H15" s="284">
        <v>0</v>
      </c>
      <c r="I15" s="284">
        <v>29</v>
      </c>
      <c r="J15" s="284">
        <v>62</v>
      </c>
      <c r="K15" s="284">
        <v>66</v>
      </c>
      <c r="L15" s="284">
        <v>189</v>
      </c>
      <c r="M15" s="284">
        <v>236</v>
      </c>
      <c r="N15" s="284">
        <v>728</v>
      </c>
      <c r="O15" s="285" t="s">
        <v>102</v>
      </c>
      <c r="P15" s="294"/>
      <c r="W15" s="283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</row>
    <row r="16" spans="1:35" s="287" customFormat="1" ht="19.5" customHeight="1">
      <c r="A16" s="283" t="s">
        <v>101</v>
      </c>
      <c r="B16" s="284">
        <f t="shared" si="2"/>
        <v>6458</v>
      </c>
      <c r="C16" s="284">
        <v>1536</v>
      </c>
      <c r="D16" s="284">
        <v>1118</v>
      </c>
      <c r="E16" s="284">
        <v>658</v>
      </c>
      <c r="F16" s="284">
        <v>0</v>
      </c>
      <c r="G16" s="284">
        <v>0</v>
      </c>
      <c r="H16" s="284">
        <v>0</v>
      </c>
      <c r="I16" s="284">
        <v>55</v>
      </c>
      <c r="J16" s="284">
        <v>163</v>
      </c>
      <c r="K16" s="284">
        <v>159</v>
      </c>
      <c r="L16" s="284">
        <v>270</v>
      </c>
      <c r="M16" s="284">
        <v>503</v>
      </c>
      <c r="N16" s="284">
        <v>1996</v>
      </c>
      <c r="O16" s="285" t="s">
        <v>265</v>
      </c>
      <c r="W16" s="288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</row>
    <row r="17" spans="1:35" s="287" customFormat="1" ht="19.5" customHeight="1">
      <c r="A17" s="283" t="s">
        <v>266</v>
      </c>
      <c r="B17" s="284">
        <f t="shared" si="2"/>
        <v>32060</v>
      </c>
      <c r="C17" s="284">
        <v>8078</v>
      </c>
      <c r="D17" s="284">
        <v>7460</v>
      </c>
      <c r="E17" s="284">
        <v>3183</v>
      </c>
      <c r="F17" s="284">
        <v>0</v>
      </c>
      <c r="G17" s="284">
        <v>0</v>
      </c>
      <c r="H17" s="284">
        <v>0</v>
      </c>
      <c r="I17" s="284">
        <v>255</v>
      </c>
      <c r="J17" s="284">
        <v>970</v>
      </c>
      <c r="K17" s="284">
        <v>1519</v>
      </c>
      <c r="L17" s="284">
        <v>2276</v>
      </c>
      <c r="M17" s="284">
        <v>3390</v>
      </c>
      <c r="N17" s="284">
        <v>4929</v>
      </c>
      <c r="O17" s="285" t="s">
        <v>267</v>
      </c>
      <c r="P17" s="294"/>
      <c r="W17" s="288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</row>
    <row r="18" spans="1:35" s="287" customFormat="1" ht="19.5" customHeight="1">
      <c r="A18" s="283" t="s">
        <v>122</v>
      </c>
      <c r="B18" s="284">
        <f t="shared" si="2"/>
        <v>26286</v>
      </c>
      <c r="C18" s="284">
        <v>7297</v>
      </c>
      <c r="D18" s="284">
        <v>4793</v>
      </c>
      <c r="E18" s="284">
        <v>1346</v>
      </c>
      <c r="F18" s="284">
        <v>1</v>
      </c>
      <c r="G18" s="284">
        <v>0</v>
      </c>
      <c r="H18" s="284">
        <v>0</v>
      </c>
      <c r="I18" s="284">
        <v>247</v>
      </c>
      <c r="J18" s="284">
        <v>2066</v>
      </c>
      <c r="K18" s="284">
        <v>1627</v>
      </c>
      <c r="L18" s="284">
        <v>1822</v>
      </c>
      <c r="M18" s="284">
        <v>2530</v>
      </c>
      <c r="N18" s="284">
        <v>4557</v>
      </c>
      <c r="O18" s="285" t="s">
        <v>268</v>
      </c>
      <c r="P18" s="294"/>
      <c r="W18" s="288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</row>
    <row r="19" spans="1:35" s="287" customFormat="1" ht="19.5" customHeight="1">
      <c r="A19" s="283" t="s">
        <v>269</v>
      </c>
      <c r="B19" s="284">
        <f>SUM(C19:N19)</f>
        <v>21</v>
      </c>
      <c r="C19" s="284">
        <v>11</v>
      </c>
      <c r="D19" s="284">
        <v>5</v>
      </c>
      <c r="E19" s="284">
        <v>3</v>
      </c>
      <c r="F19" s="284">
        <v>0</v>
      </c>
      <c r="G19" s="284">
        <v>0</v>
      </c>
      <c r="H19" s="284">
        <v>0</v>
      </c>
      <c r="I19" s="284">
        <v>0</v>
      </c>
      <c r="J19" s="284">
        <v>0</v>
      </c>
      <c r="K19" s="284">
        <v>0</v>
      </c>
      <c r="L19" s="284">
        <v>1</v>
      </c>
      <c r="M19" s="284">
        <v>1</v>
      </c>
      <c r="N19" s="284">
        <v>0</v>
      </c>
      <c r="O19" s="40" t="s">
        <v>139</v>
      </c>
      <c r="P19" s="294"/>
      <c r="W19" s="288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</row>
    <row r="20" spans="1:35" s="287" customFormat="1" ht="19.5" customHeight="1">
      <c r="A20" s="295" t="s">
        <v>270</v>
      </c>
      <c r="B20" s="296">
        <f>SUM(C20:N20)</f>
        <v>77</v>
      </c>
      <c r="C20" s="296">
        <v>12</v>
      </c>
      <c r="D20" s="296">
        <v>16</v>
      </c>
      <c r="E20" s="296">
        <v>4</v>
      </c>
      <c r="F20" s="296">
        <v>0</v>
      </c>
      <c r="G20" s="296">
        <v>0</v>
      </c>
      <c r="H20" s="296">
        <v>0</v>
      </c>
      <c r="I20" s="296">
        <v>0</v>
      </c>
      <c r="J20" s="296">
        <v>2</v>
      </c>
      <c r="K20" s="296">
        <v>3</v>
      </c>
      <c r="L20" s="296">
        <v>7</v>
      </c>
      <c r="M20" s="296">
        <v>17</v>
      </c>
      <c r="N20" s="296">
        <v>16</v>
      </c>
      <c r="O20" s="297" t="s">
        <v>271</v>
      </c>
      <c r="P20" s="294"/>
      <c r="W20" s="288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</row>
    <row r="21" spans="1:35" s="301" customFormat="1" ht="15.75" customHeight="1">
      <c r="A21" s="54" t="s">
        <v>142</v>
      </c>
      <c r="B21" s="298"/>
      <c r="C21" s="299"/>
      <c r="D21" s="298" t="s">
        <v>272</v>
      </c>
      <c r="E21" s="298"/>
      <c r="F21" s="298"/>
      <c r="G21" s="298"/>
      <c r="H21" s="298"/>
      <c r="I21" s="298"/>
      <c r="J21" s="298"/>
      <c r="K21" s="298"/>
      <c r="L21" s="298"/>
      <c r="M21" s="584"/>
      <c r="N21" s="584"/>
      <c r="O21" s="555" t="s">
        <v>193</v>
      </c>
      <c r="P21" s="300"/>
      <c r="W21" s="288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</row>
    <row r="22" spans="1:35" s="305" customFormat="1" ht="13.5" customHeight="1">
      <c r="A22" s="302" t="s">
        <v>273</v>
      </c>
      <c r="B22" s="303"/>
      <c r="C22" s="304"/>
      <c r="D22" s="303"/>
      <c r="E22" s="303"/>
      <c r="F22" s="303"/>
      <c r="G22" s="303"/>
      <c r="H22" s="303"/>
      <c r="I22" s="303"/>
      <c r="J22" s="303"/>
      <c r="K22" s="303"/>
      <c r="L22" s="303"/>
      <c r="M22" s="890" t="s">
        <v>274</v>
      </c>
      <c r="N22" s="891"/>
      <c r="O22" s="892"/>
      <c r="W22" s="293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</row>
    <row r="23" spans="1:35">
      <c r="A23" s="735" t="s">
        <v>1078</v>
      </c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</row>
    <row r="24" spans="1:35">
      <c r="A24" s="736" t="s">
        <v>1079</v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</row>
    <row r="27" spans="1:35">
      <c r="W27" s="283"/>
      <c r="X27" s="276" t="s">
        <v>195</v>
      </c>
      <c r="Y27" s="276" t="s">
        <v>196</v>
      </c>
      <c r="Z27" s="276" t="s">
        <v>197</v>
      </c>
      <c r="AA27" s="276" t="s">
        <v>198</v>
      </c>
      <c r="AB27" s="276" t="s">
        <v>185</v>
      </c>
      <c r="AC27" s="276" t="s">
        <v>199</v>
      </c>
      <c r="AD27" s="276" t="s">
        <v>200</v>
      </c>
      <c r="AE27" s="276" t="s">
        <v>201</v>
      </c>
      <c r="AF27" s="276" t="s">
        <v>202</v>
      </c>
      <c r="AG27" s="276" t="s">
        <v>203</v>
      </c>
      <c r="AH27" s="276" t="s">
        <v>204</v>
      </c>
      <c r="AI27" s="276" t="s">
        <v>205</v>
      </c>
    </row>
    <row r="28" spans="1:35">
      <c r="A28" s="283"/>
      <c r="B28" s="284"/>
      <c r="W28" s="288" t="s">
        <v>249</v>
      </c>
      <c r="X28" s="289">
        <f>C6</f>
        <v>28280</v>
      </c>
      <c r="Y28" s="289">
        <f t="shared" ref="Y28:AI32" si="4">D6</f>
        <v>23141</v>
      </c>
      <c r="Z28" s="289">
        <f t="shared" si="4"/>
        <v>12233</v>
      </c>
      <c r="AA28" s="289">
        <f t="shared" si="4"/>
        <v>0</v>
      </c>
      <c r="AB28" s="289">
        <f t="shared" si="4"/>
        <v>23</v>
      </c>
      <c r="AC28" s="289">
        <f t="shared" si="4"/>
        <v>0</v>
      </c>
      <c r="AD28" s="289">
        <f t="shared" si="4"/>
        <v>240</v>
      </c>
      <c r="AE28" s="289">
        <f t="shared" si="4"/>
        <v>1197</v>
      </c>
      <c r="AF28" s="289">
        <f t="shared" si="4"/>
        <v>2929</v>
      </c>
      <c r="AG28" s="289">
        <f t="shared" si="4"/>
        <v>8581</v>
      </c>
      <c r="AH28" s="289">
        <f t="shared" si="4"/>
        <v>12697</v>
      </c>
      <c r="AI28" s="289">
        <f t="shared" si="4"/>
        <v>31062</v>
      </c>
    </row>
    <row r="29" spans="1:35">
      <c r="A29" s="283"/>
      <c r="B29" s="284"/>
      <c r="W29" s="288" t="s">
        <v>251</v>
      </c>
      <c r="X29" s="289">
        <f>C7</f>
        <v>15264</v>
      </c>
      <c r="Y29" s="289">
        <f t="shared" si="4"/>
        <v>21059</v>
      </c>
      <c r="Z29" s="289">
        <f t="shared" si="4"/>
        <v>8978</v>
      </c>
      <c r="AA29" s="289">
        <f t="shared" si="4"/>
        <v>0</v>
      </c>
      <c r="AB29" s="289">
        <f t="shared" si="4"/>
        <v>0</v>
      </c>
      <c r="AC29" s="289">
        <f t="shared" si="4"/>
        <v>1</v>
      </c>
      <c r="AD29" s="289">
        <f t="shared" si="4"/>
        <v>307</v>
      </c>
      <c r="AE29" s="289">
        <f t="shared" si="4"/>
        <v>795</v>
      </c>
      <c r="AF29" s="289">
        <f t="shared" si="4"/>
        <v>728</v>
      </c>
      <c r="AG29" s="289">
        <f t="shared" si="4"/>
        <v>2216</v>
      </c>
      <c r="AH29" s="289">
        <f t="shared" si="4"/>
        <v>2469</v>
      </c>
      <c r="AI29" s="289">
        <f t="shared" si="4"/>
        <v>16005</v>
      </c>
    </row>
    <row r="30" spans="1:35">
      <c r="A30" s="283"/>
      <c r="B30" s="284"/>
      <c r="W30" s="288" t="s">
        <v>253</v>
      </c>
      <c r="X30" s="289">
        <f>C8</f>
        <v>24902</v>
      </c>
      <c r="Y30" s="289">
        <f t="shared" si="4"/>
        <v>24809</v>
      </c>
      <c r="Z30" s="289">
        <f t="shared" si="4"/>
        <v>5700</v>
      </c>
      <c r="AA30" s="289">
        <f t="shared" si="4"/>
        <v>0</v>
      </c>
      <c r="AB30" s="289">
        <f t="shared" si="4"/>
        <v>1</v>
      </c>
      <c r="AC30" s="289">
        <f t="shared" si="4"/>
        <v>0</v>
      </c>
      <c r="AD30" s="289">
        <f t="shared" si="4"/>
        <v>153</v>
      </c>
      <c r="AE30" s="289">
        <f t="shared" si="4"/>
        <v>939</v>
      </c>
      <c r="AF30" s="289">
        <f t="shared" si="4"/>
        <v>786</v>
      </c>
      <c r="AG30" s="289">
        <f t="shared" si="4"/>
        <v>1219</v>
      </c>
      <c r="AH30" s="289">
        <f t="shared" si="4"/>
        <v>1209</v>
      </c>
      <c r="AI30" s="289">
        <f t="shared" si="4"/>
        <v>3432</v>
      </c>
    </row>
    <row r="31" spans="1:35">
      <c r="A31" s="283"/>
      <c r="B31" s="283"/>
      <c r="C31" s="283"/>
      <c r="W31" s="288" t="s">
        <v>255</v>
      </c>
      <c r="X31" s="289">
        <f>C9</f>
        <v>24416</v>
      </c>
      <c r="Y31" s="289">
        <f t="shared" si="4"/>
        <v>32016</v>
      </c>
      <c r="Z31" s="289">
        <f t="shared" si="4"/>
        <v>14672</v>
      </c>
      <c r="AA31" s="289">
        <f t="shared" si="4"/>
        <v>0</v>
      </c>
      <c r="AB31" s="289">
        <f t="shared" si="4"/>
        <v>13</v>
      </c>
      <c r="AC31" s="289">
        <f t="shared" si="4"/>
        <v>0</v>
      </c>
      <c r="AD31" s="289">
        <f t="shared" si="4"/>
        <v>298</v>
      </c>
      <c r="AE31" s="289">
        <f t="shared" si="4"/>
        <v>771</v>
      </c>
      <c r="AF31" s="289">
        <f t="shared" si="4"/>
        <v>831</v>
      </c>
      <c r="AG31" s="289">
        <f t="shared" si="4"/>
        <v>2490</v>
      </c>
      <c r="AH31" s="289">
        <f t="shared" si="4"/>
        <v>3907</v>
      </c>
      <c r="AI31" s="289">
        <f t="shared" si="4"/>
        <v>12282</v>
      </c>
    </row>
    <row r="32" spans="1:35" ht="25.5">
      <c r="A32" s="283"/>
      <c r="B32" s="283"/>
      <c r="C32" s="283"/>
      <c r="W32" s="293" t="s">
        <v>257</v>
      </c>
      <c r="X32" s="289">
        <f>C10</f>
        <v>1863</v>
      </c>
      <c r="Y32" s="289">
        <f t="shared" si="4"/>
        <v>1323</v>
      </c>
      <c r="Z32" s="289">
        <f t="shared" si="4"/>
        <v>432</v>
      </c>
      <c r="AA32" s="289">
        <f t="shared" si="4"/>
        <v>0</v>
      </c>
      <c r="AB32" s="289">
        <f t="shared" si="4"/>
        <v>0</v>
      </c>
      <c r="AC32" s="289">
        <f t="shared" si="4"/>
        <v>0</v>
      </c>
      <c r="AD32" s="289">
        <f t="shared" si="4"/>
        <v>46</v>
      </c>
      <c r="AE32" s="289">
        <f t="shared" si="4"/>
        <v>126</v>
      </c>
      <c r="AF32" s="289">
        <f t="shared" si="4"/>
        <v>245</v>
      </c>
      <c r="AG32" s="289">
        <f t="shared" si="4"/>
        <v>317</v>
      </c>
      <c r="AH32" s="289">
        <f t="shared" si="4"/>
        <v>240</v>
      </c>
      <c r="AI32" s="289">
        <f t="shared" si="4"/>
        <v>706</v>
      </c>
    </row>
    <row r="33" spans="1:35">
      <c r="A33" s="283"/>
      <c r="B33" s="283"/>
      <c r="C33" s="283"/>
    </row>
    <row r="34" spans="1:35">
      <c r="A34" s="283"/>
      <c r="B34" s="283"/>
      <c r="C34" s="283"/>
    </row>
    <row r="35" spans="1:35">
      <c r="A35" s="283"/>
      <c r="B35" s="283"/>
      <c r="C35" s="283"/>
    </row>
    <row r="36" spans="1:35">
      <c r="W36" s="283"/>
      <c r="X36" s="276" t="s">
        <v>195</v>
      </c>
      <c r="Y36" s="276" t="s">
        <v>196</v>
      </c>
      <c r="Z36" s="276" t="s">
        <v>197</v>
      </c>
      <c r="AA36" s="276" t="s">
        <v>198</v>
      </c>
      <c r="AB36" s="276" t="s">
        <v>185</v>
      </c>
      <c r="AC36" s="276" t="s">
        <v>199</v>
      </c>
      <c r="AD36" s="276" t="s">
        <v>200</v>
      </c>
      <c r="AE36" s="276" t="s">
        <v>201</v>
      </c>
      <c r="AF36" s="276" t="s">
        <v>202</v>
      </c>
      <c r="AG36" s="276" t="s">
        <v>203</v>
      </c>
      <c r="AH36" s="276" t="s">
        <v>204</v>
      </c>
      <c r="AI36" s="276" t="s">
        <v>205</v>
      </c>
    </row>
    <row r="37" spans="1:35">
      <c r="W37" s="288" t="s">
        <v>259</v>
      </c>
      <c r="X37" s="289">
        <f>C12</f>
        <v>38543</v>
      </c>
      <c r="Y37" s="289">
        <f t="shared" ref="Y37:AI39" si="5">D12</f>
        <v>9652</v>
      </c>
      <c r="Z37" s="289">
        <f t="shared" si="5"/>
        <v>2383</v>
      </c>
      <c r="AA37" s="289">
        <f t="shared" si="5"/>
        <v>0</v>
      </c>
      <c r="AB37" s="289">
        <f t="shared" si="5"/>
        <v>0</v>
      </c>
      <c r="AC37" s="289">
        <f t="shared" si="5"/>
        <v>0</v>
      </c>
      <c r="AD37" s="289">
        <f t="shared" si="5"/>
        <v>27</v>
      </c>
      <c r="AE37" s="289">
        <f t="shared" si="5"/>
        <v>56</v>
      </c>
      <c r="AF37" s="289">
        <f t="shared" si="5"/>
        <v>63</v>
      </c>
      <c r="AG37" s="289">
        <f t="shared" si="5"/>
        <v>90</v>
      </c>
      <c r="AH37" s="289">
        <f t="shared" si="5"/>
        <v>133</v>
      </c>
      <c r="AI37" s="289">
        <f t="shared" si="5"/>
        <v>372</v>
      </c>
    </row>
    <row r="38" spans="1:35">
      <c r="W38" s="288" t="s">
        <v>261</v>
      </c>
      <c r="X38" s="289">
        <f>C13</f>
        <v>4198</v>
      </c>
      <c r="Y38" s="289">
        <f t="shared" si="5"/>
        <v>4901</v>
      </c>
      <c r="Z38" s="289">
        <f t="shared" si="5"/>
        <v>2482</v>
      </c>
      <c r="AA38" s="289">
        <f t="shared" si="5"/>
        <v>0</v>
      </c>
      <c r="AB38" s="289">
        <f t="shared" si="5"/>
        <v>0</v>
      </c>
      <c r="AC38" s="289">
        <f t="shared" si="5"/>
        <v>0</v>
      </c>
      <c r="AD38" s="289">
        <f t="shared" si="5"/>
        <v>33</v>
      </c>
      <c r="AE38" s="289">
        <f t="shared" si="5"/>
        <v>117</v>
      </c>
      <c r="AF38" s="289">
        <f t="shared" si="5"/>
        <v>74</v>
      </c>
      <c r="AG38" s="289">
        <f t="shared" si="5"/>
        <v>150</v>
      </c>
      <c r="AH38" s="289">
        <f t="shared" si="5"/>
        <v>260</v>
      </c>
      <c r="AI38" s="289">
        <f t="shared" si="5"/>
        <v>531</v>
      </c>
    </row>
    <row r="39" spans="1:35">
      <c r="W39" s="288" t="s">
        <v>263</v>
      </c>
      <c r="X39" s="289">
        <f>C14</f>
        <v>16021</v>
      </c>
      <c r="Y39" s="289">
        <f t="shared" si="5"/>
        <v>17232</v>
      </c>
      <c r="Z39" s="289">
        <f t="shared" si="5"/>
        <v>6088</v>
      </c>
      <c r="AA39" s="289">
        <f t="shared" si="5"/>
        <v>12</v>
      </c>
      <c r="AB39" s="289">
        <f t="shared" si="5"/>
        <v>4</v>
      </c>
      <c r="AC39" s="289">
        <f t="shared" si="5"/>
        <v>0</v>
      </c>
      <c r="AD39" s="289">
        <f t="shared" si="5"/>
        <v>62</v>
      </c>
      <c r="AE39" s="289">
        <f t="shared" si="5"/>
        <v>372</v>
      </c>
      <c r="AF39" s="289">
        <f t="shared" si="5"/>
        <v>575</v>
      </c>
      <c r="AG39" s="289">
        <f t="shared" si="5"/>
        <v>1887</v>
      </c>
      <c r="AH39" s="289">
        <f t="shared" si="5"/>
        <v>8165</v>
      </c>
      <c r="AI39" s="289">
        <f t="shared" si="5"/>
        <v>19796</v>
      </c>
    </row>
  </sheetData>
  <mergeCells count="3">
    <mergeCell ref="A1:O1"/>
    <mergeCell ref="A2:O2"/>
    <mergeCell ref="M22:O22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52"/>
  <sheetViews>
    <sheetView zoomScale="98" zoomScaleNormal="98" workbookViewId="0">
      <selection activeCell="U47" sqref="U47"/>
    </sheetView>
  </sheetViews>
  <sheetFormatPr defaultColWidth="9.140625" defaultRowHeight="12.75"/>
  <cols>
    <col min="1" max="1" width="28.140625" style="307" customWidth="1"/>
    <col min="2" max="5" width="8.7109375" style="307" hidden="1" customWidth="1"/>
    <col min="6" max="13" width="8.7109375" style="307" customWidth="1"/>
    <col min="14" max="14" width="17" style="307" customWidth="1"/>
    <col min="15" max="15" width="23.28515625" style="307" customWidth="1"/>
    <col min="16" max="16" width="2" style="307" customWidth="1"/>
    <col min="17" max="25" width="9.140625" style="307"/>
    <col min="26" max="26" width="9.42578125" style="307" bestFit="1" customWidth="1"/>
    <col min="27" max="16384" width="9.140625" style="307"/>
  </cols>
  <sheetData>
    <row r="1" spans="1:30" ht="18.75" customHeight="1">
      <c r="A1" s="895" t="s">
        <v>1054</v>
      </c>
      <c r="B1" s="896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  <c r="N1" s="896"/>
      <c r="O1" s="897"/>
    </row>
    <row r="2" spans="1:30" ht="18.75" customHeight="1">
      <c r="A2" s="898" t="s">
        <v>1053</v>
      </c>
      <c r="B2" s="898"/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  <c r="O2" s="898"/>
      <c r="R2" s="308"/>
      <c r="S2" s="308"/>
      <c r="T2" s="308"/>
      <c r="U2" s="308"/>
      <c r="V2" s="308"/>
      <c r="W2" s="308"/>
      <c r="X2" s="308"/>
      <c r="Y2" s="308"/>
      <c r="Z2" s="308"/>
    </row>
    <row r="3" spans="1:30" ht="13.5" customHeight="1">
      <c r="A3" s="899" t="s">
        <v>275</v>
      </c>
      <c r="B3" s="904" t="s">
        <v>276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6"/>
      <c r="N3" s="309" t="s">
        <v>277</v>
      </c>
      <c r="O3" s="310"/>
      <c r="Q3" s="311"/>
      <c r="R3" s="312"/>
      <c r="S3" s="312"/>
      <c r="T3" s="312"/>
      <c r="U3" s="312"/>
      <c r="V3" s="312"/>
      <c r="W3" s="312"/>
      <c r="X3" s="312"/>
      <c r="Y3" s="312"/>
      <c r="Z3" s="312"/>
      <c r="AA3" s="313"/>
    </row>
    <row r="4" spans="1:30" ht="15.95" customHeight="1">
      <c r="A4" s="900"/>
      <c r="B4" s="314">
        <v>2009</v>
      </c>
      <c r="C4" s="314">
        <v>2010</v>
      </c>
      <c r="D4" s="314">
        <v>2011</v>
      </c>
      <c r="E4" s="314">
        <v>2012</v>
      </c>
      <c r="F4" s="315">
        <v>2013</v>
      </c>
      <c r="G4" s="314">
        <v>2014</v>
      </c>
      <c r="H4" s="314">
        <v>2015</v>
      </c>
      <c r="I4" s="314">
        <v>2016</v>
      </c>
      <c r="J4" s="314">
        <v>2017</v>
      </c>
      <c r="K4" s="314">
        <v>2018</v>
      </c>
      <c r="L4" s="314">
        <v>2019</v>
      </c>
      <c r="M4" s="314">
        <v>2020</v>
      </c>
      <c r="N4" s="316" t="s">
        <v>1052</v>
      </c>
      <c r="O4" s="317" t="s">
        <v>278</v>
      </c>
      <c r="Q4" s="311"/>
      <c r="R4" s="324"/>
      <c r="S4" s="324"/>
      <c r="T4" s="324"/>
      <c r="U4" s="324"/>
      <c r="V4" s="324"/>
      <c r="W4" s="312"/>
      <c r="X4" s="312"/>
      <c r="Y4" s="312"/>
      <c r="Z4" s="312"/>
      <c r="AA4" s="313"/>
    </row>
    <row r="5" spans="1:30" s="322" customFormat="1" ht="17.25" customHeight="1">
      <c r="A5" s="318" t="s">
        <v>279</v>
      </c>
      <c r="B5" s="319">
        <f t="shared" ref="B5:K5" si="0">SUM(B6:B24)</f>
        <v>20942</v>
      </c>
      <c r="C5" s="319">
        <f t="shared" si="0"/>
        <v>21342</v>
      </c>
      <c r="D5" s="319">
        <f>SUM(D6:D24)</f>
        <v>22120</v>
      </c>
      <c r="E5" s="319">
        <f t="shared" si="0"/>
        <v>22963</v>
      </c>
      <c r="F5" s="319">
        <f t="shared" si="0"/>
        <v>23487</v>
      </c>
      <c r="G5" s="319">
        <f t="shared" si="0"/>
        <v>24031</v>
      </c>
      <c r="H5" s="319">
        <f t="shared" si="0"/>
        <v>24877</v>
      </c>
      <c r="I5" s="319">
        <f t="shared" si="0"/>
        <v>27031</v>
      </c>
      <c r="J5" s="319">
        <f t="shared" si="0"/>
        <v>29977</v>
      </c>
      <c r="K5" s="319">
        <f t="shared" si="0"/>
        <v>31741</v>
      </c>
      <c r="L5" s="319">
        <f>SUM(L6:L24)</f>
        <v>37016</v>
      </c>
      <c r="M5" s="319">
        <f>SUM(M6:M24)</f>
        <v>37134</v>
      </c>
      <c r="N5" s="320">
        <f>M5/$M$5*100</f>
        <v>100</v>
      </c>
      <c r="O5" s="321" t="s">
        <v>17</v>
      </c>
      <c r="Q5" s="323"/>
      <c r="S5" s="328"/>
      <c r="T5" s="328"/>
      <c r="U5" s="328"/>
      <c r="V5" s="328"/>
      <c r="W5" s="324"/>
      <c r="X5" s="324"/>
      <c r="Y5" s="312"/>
      <c r="Z5" s="312"/>
      <c r="AA5" s="313"/>
      <c r="AB5" s="307"/>
      <c r="AC5" s="307"/>
      <c r="AD5" s="307"/>
    </row>
    <row r="6" spans="1:30" s="322" customFormat="1" ht="18.75" customHeight="1">
      <c r="A6" s="325" t="s">
        <v>280</v>
      </c>
      <c r="B6" s="326">
        <v>432</v>
      </c>
      <c r="C6" s="326">
        <v>456</v>
      </c>
      <c r="D6" s="326">
        <v>456</v>
      </c>
      <c r="E6" s="326">
        <v>456</v>
      </c>
      <c r="F6" s="326">
        <v>456</v>
      </c>
      <c r="G6" s="326">
        <v>464</v>
      </c>
      <c r="H6" s="326">
        <v>464</v>
      </c>
      <c r="I6" s="326">
        <v>464</v>
      </c>
      <c r="J6" s="326">
        <v>594</v>
      </c>
      <c r="K6" s="326">
        <v>594</v>
      </c>
      <c r="L6" s="326">
        <v>594</v>
      </c>
      <c r="M6" s="326">
        <v>394</v>
      </c>
      <c r="N6" s="637">
        <f t="shared" ref="N6:N24" si="1">M6/$M$5*100</f>
        <v>1.061022243765821</v>
      </c>
      <c r="O6" s="327" t="s">
        <v>281</v>
      </c>
      <c r="Q6" s="323"/>
      <c r="R6" s="312"/>
      <c r="S6" s="328"/>
      <c r="T6" s="328"/>
      <c r="U6" s="328"/>
      <c r="W6" s="324"/>
      <c r="X6" s="324"/>
      <c r="Y6" s="329"/>
      <c r="Z6" s="330"/>
      <c r="AA6" s="331"/>
      <c r="AB6" s="307"/>
      <c r="AC6" s="307"/>
      <c r="AD6" s="307"/>
    </row>
    <row r="7" spans="1:30" s="322" customFormat="1" ht="18.75" customHeight="1">
      <c r="A7" s="325" t="s">
        <v>282</v>
      </c>
      <c r="B7" s="326"/>
      <c r="C7" s="326"/>
      <c r="D7" s="326"/>
      <c r="E7" s="326"/>
      <c r="F7" s="428" t="s">
        <v>138</v>
      </c>
      <c r="G7" s="428" t="s">
        <v>138</v>
      </c>
      <c r="H7" s="428" t="s">
        <v>138</v>
      </c>
      <c r="I7" s="428" t="s">
        <v>138</v>
      </c>
      <c r="J7" s="428" t="s">
        <v>138</v>
      </c>
      <c r="K7" s="326">
        <v>118</v>
      </c>
      <c r="L7" s="326">
        <v>118</v>
      </c>
      <c r="M7" s="326">
        <v>118</v>
      </c>
      <c r="N7" s="533">
        <f t="shared" si="1"/>
        <v>0.31776808315829158</v>
      </c>
      <c r="O7" s="327" t="s">
        <v>561</v>
      </c>
      <c r="Q7" s="323"/>
      <c r="R7" s="312"/>
      <c r="S7" s="328"/>
      <c r="T7" s="328"/>
      <c r="U7" s="328"/>
      <c r="V7" s="328"/>
      <c r="X7" s="324"/>
      <c r="Y7" s="329"/>
      <c r="Z7" s="330"/>
      <c r="AA7" s="331"/>
      <c r="AB7" s="307"/>
      <c r="AC7" s="307"/>
      <c r="AD7" s="307"/>
    </row>
    <row r="8" spans="1:30" s="322" customFormat="1" ht="18.75" customHeight="1">
      <c r="A8" s="325" t="s">
        <v>283</v>
      </c>
      <c r="B8" s="326">
        <v>0</v>
      </c>
      <c r="C8" s="326">
        <v>0</v>
      </c>
      <c r="D8" s="326">
        <v>0</v>
      </c>
      <c r="E8" s="326">
        <v>159</v>
      </c>
      <c r="F8" s="326">
        <v>159</v>
      </c>
      <c r="G8" s="326">
        <v>159</v>
      </c>
      <c r="H8" s="326">
        <v>159</v>
      </c>
      <c r="I8" s="326">
        <v>159</v>
      </c>
      <c r="J8" s="326">
        <v>227</v>
      </c>
      <c r="K8" s="326">
        <v>227</v>
      </c>
      <c r="L8" s="326">
        <v>457</v>
      </c>
      <c r="M8" s="326">
        <v>457</v>
      </c>
      <c r="N8" s="533">
        <f t="shared" si="1"/>
        <v>1.2306780847740615</v>
      </c>
      <c r="O8" s="332" t="s">
        <v>284</v>
      </c>
      <c r="Q8" s="323"/>
      <c r="R8" s="324"/>
      <c r="S8" s="328"/>
      <c r="T8" s="328"/>
      <c r="U8" s="328"/>
      <c r="V8" s="328"/>
      <c r="W8" s="324"/>
      <c r="X8" s="324"/>
      <c r="Y8" s="329"/>
      <c r="Z8" s="330"/>
      <c r="AA8" s="331"/>
      <c r="AB8" s="307"/>
      <c r="AC8" s="307"/>
      <c r="AD8" s="307"/>
    </row>
    <row r="9" spans="1:30" s="322" customFormat="1" ht="18.75" customHeight="1">
      <c r="A9" s="325" t="s">
        <v>285</v>
      </c>
      <c r="B9" s="326">
        <v>490</v>
      </c>
      <c r="C9" s="326">
        <v>542</v>
      </c>
      <c r="D9" s="326">
        <v>542</v>
      </c>
      <c r="E9" s="326">
        <v>542</v>
      </c>
      <c r="F9" s="326">
        <v>796</v>
      </c>
      <c r="G9" s="326">
        <v>796</v>
      </c>
      <c r="H9" s="326">
        <v>796</v>
      </c>
      <c r="I9" s="326">
        <v>832</v>
      </c>
      <c r="J9" s="326">
        <v>1176</v>
      </c>
      <c r="K9" s="326">
        <v>1388</v>
      </c>
      <c r="L9" s="326">
        <v>1398</v>
      </c>
      <c r="M9" s="326">
        <v>1436</v>
      </c>
      <c r="N9" s="533">
        <f t="shared" si="1"/>
        <v>3.8670759950449725</v>
      </c>
      <c r="O9" s="332" t="s">
        <v>286</v>
      </c>
      <c r="Q9" s="323"/>
      <c r="R9" s="324"/>
      <c r="S9" s="328"/>
      <c r="T9" s="328"/>
      <c r="U9" s="328"/>
      <c r="V9" s="328"/>
      <c r="W9" s="324"/>
      <c r="X9" s="324"/>
      <c r="Y9" s="329"/>
      <c r="Z9" s="330"/>
      <c r="AA9" s="331"/>
      <c r="AB9" s="307"/>
      <c r="AC9" s="307"/>
      <c r="AD9" s="307"/>
    </row>
    <row r="10" spans="1:30" s="334" customFormat="1" ht="18.75" customHeight="1">
      <c r="A10" s="333" t="s">
        <v>287</v>
      </c>
      <c r="B10" s="326">
        <v>470</v>
      </c>
      <c r="C10" s="326">
        <v>470</v>
      </c>
      <c r="D10" s="326">
        <v>470</v>
      </c>
      <c r="E10" s="326">
        <v>470</v>
      </c>
      <c r="F10" s="326">
        <v>470</v>
      </c>
      <c r="G10" s="326">
        <v>656</v>
      </c>
      <c r="H10" s="326">
        <v>680</v>
      </c>
      <c r="I10" s="326">
        <v>810</v>
      </c>
      <c r="J10" s="326">
        <v>1616</v>
      </c>
      <c r="K10" s="326">
        <v>1960</v>
      </c>
      <c r="L10" s="326">
        <v>3324</v>
      </c>
      <c r="M10" s="326">
        <v>3288</v>
      </c>
      <c r="N10" s="533">
        <f t="shared" si="1"/>
        <v>8.8544191307157867</v>
      </c>
      <c r="O10" s="332" t="s">
        <v>288</v>
      </c>
      <c r="Q10" s="335"/>
      <c r="R10" s="324"/>
      <c r="S10" s="328"/>
      <c r="T10" s="328"/>
      <c r="U10" s="328"/>
      <c r="V10" s="328"/>
      <c r="W10" s="336"/>
      <c r="X10" s="336"/>
      <c r="Y10" s="337"/>
      <c r="Z10" s="330"/>
      <c r="AA10" s="331"/>
      <c r="AB10" s="307"/>
      <c r="AC10" s="307"/>
      <c r="AD10" s="307"/>
    </row>
    <row r="11" spans="1:30" s="334" customFormat="1" ht="18.75" customHeight="1">
      <c r="A11" s="333" t="s">
        <v>289</v>
      </c>
      <c r="B11" s="338">
        <v>1240</v>
      </c>
      <c r="C11" s="338">
        <v>1398</v>
      </c>
      <c r="D11" s="338">
        <v>1398</v>
      </c>
      <c r="E11" s="338">
        <v>1660</v>
      </c>
      <c r="F11" s="338">
        <v>1704</v>
      </c>
      <c r="G11" s="338">
        <v>1704</v>
      </c>
      <c r="H11" s="338">
        <v>1700</v>
      </c>
      <c r="I11" s="338">
        <v>2302</v>
      </c>
      <c r="J11" s="338">
        <v>2562</v>
      </c>
      <c r="K11" s="338">
        <v>2882</v>
      </c>
      <c r="L11" s="338">
        <v>2918</v>
      </c>
      <c r="M11" s="338">
        <v>3104</v>
      </c>
      <c r="N11" s="533">
        <f t="shared" si="1"/>
        <v>8.3589163569774332</v>
      </c>
      <c r="O11" s="332" t="s">
        <v>290</v>
      </c>
      <c r="Q11" s="335"/>
      <c r="R11" s="324"/>
      <c r="S11" s="328"/>
      <c r="T11" s="328"/>
      <c r="U11" s="328"/>
      <c r="V11" s="328"/>
      <c r="W11" s="336"/>
      <c r="X11" s="336"/>
      <c r="Y11" s="337"/>
      <c r="Z11" s="105"/>
      <c r="AA11" s="331"/>
      <c r="AB11" s="307"/>
      <c r="AC11" s="307"/>
      <c r="AD11" s="307"/>
    </row>
    <row r="12" spans="1:30" s="334" customFormat="1" ht="18.75" customHeight="1">
      <c r="A12" s="333" t="s">
        <v>291</v>
      </c>
      <c r="B12" s="338">
        <v>1336</v>
      </c>
      <c r="C12" s="338">
        <v>1336</v>
      </c>
      <c r="D12" s="338">
        <v>1336</v>
      </c>
      <c r="E12" s="338">
        <v>1336</v>
      </c>
      <c r="F12" s="338">
        <v>1476</v>
      </c>
      <c r="G12" s="338">
        <v>1636</v>
      </c>
      <c r="H12" s="338">
        <v>1636</v>
      </c>
      <c r="I12" s="338">
        <v>2138</v>
      </c>
      <c r="J12" s="338">
        <v>2250</v>
      </c>
      <c r="K12" s="338">
        <v>2284</v>
      </c>
      <c r="L12" s="338">
        <v>2440</v>
      </c>
      <c r="M12" s="338">
        <v>2468</v>
      </c>
      <c r="N12" s="533">
        <f t="shared" si="1"/>
        <v>6.6462002477513868</v>
      </c>
      <c r="O12" s="332" t="s">
        <v>292</v>
      </c>
      <c r="Q12" s="335"/>
      <c r="R12" s="336"/>
      <c r="S12" s="328"/>
      <c r="T12" s="328"/>
      <c r="U12" s="328"/>
      <c r="V12" s="328"/>
      <c r="W12" s="336"/>
      <c r="X12" s="336"/>
      <c r="Y12" s="337"/>
      <c r="Z12" s="105"/>
      <c r="AA12" s="331"/>
      <c r="AB12" s="307"/>
      <c r="AC12" s="307"/>
      <c r="AD12" s="307"/>
    </row>
    <row r="13" spans="1:30" s="334" customFormat="1" ht="18.75" customHeight="1">
      <c r="A13" s="333" t="s">
        <v>293</v>
      </c>
      <c r="B13" s="338">
        <v>8982</v>
      </c>
      <c r="C13" s="338">
        <v>9050</v>
      </c>
      <c r="D13" s="338">
        <v>9128</v>
      </c>
      <c r="E13" s="338">
        <v>9144</v>
      </c>
      <c r="F13" s="338">
        <v>8964</v>
      </c>
      <c r="G13" s="338">
        <v>8968</v>
      </c>
      <c r="H13" s="338">
        <v>9088</v>
      </c>
      <c r="I13" s="338">
        <v>9506</v>
      </c>
      <c r="J13" s="338">
        <v>10094</v>
      </c>
      <c r="K13" s="338">
        <v>10568</v>
      </c>
      <c r="L13" s="338">
        <v>12100</v>
      </c>
      <c r="M13" s="338">
        <v>12048</v>
      </c>
      <c r="N13" s="533">
        <f t="shared" si="1"/>
        <v>32.444659880433022</v>
      </c>
      <c r="O13" s="332" t="s">
        <v>294</v>
      </c>
      <c r="Q13" s="335"/>
      <c r="R13" s="336"/>
      <c r="S13" s="328"/>
      <c r="T13" s="328"/>
      <c r="U13" s="328"/>
      <c r="V13" s="328"/>
      <c r="W13" s="336"/>
      <c r="X13" s="336"/>
      <c r="Y13" s="337"/>
      <c r="Z13" s="105"/>
      <c r="AA13" s="331"/>
      <c r="AB13" s="307"/>
      <c r="AC13" s="307"/>
      <c r="AD13" s="307"/>
    </row>
    <row r="14" spans="1:30" s="334" customFormat="1" ht="18.75" customHeight="1">
      <c r="A14" s="333" t="s">
        <v>295</v>
      </c>
      <c r="B14" s="338">
        <v>1988</v>
      </c>
      <c r="C14" s="338">
        <v>1988</v>
      </c>
      <c r="D14" s="338">
        <v>1988</v>
      </c>
      <c r="E14" s="338">
        <v>1988</v>
      </c>
      <c r="F14" s="338">
        <v>2156</v>
      </c>
      <c r="G14" s="338">
        <v>2216</v>
      </c>
      <c r="H14" s="338">
        <v>2244</v>
      </c>
      <c r="I14" s="338">
        <v>2454</v>
      </c>
      <c r="J14" s="338">
        <v>2488</v>
      </c>
      <c r="K14" s="338">
        <v>2488</v>
      </c>
      <c r="L14" s="338">
        <v>2538</v>
      </c>
      <c r="M14" s="338">
        <v>2224</v>
      </c>
      <c r="N14" s="533">
        <f t="shared" si="1"/>
        <v>5.9891204825766149</v>
      </c>
      <c r="O14" s="332" t="s">
        <v>296</v>
      </c>
      <c r="Q14" s="335"/>
      <c r="R14" s="336"/>
      <c r="S14" s="328"/>
      <c r="T14" s="328"/>
      <c r="U14" s="328"/>
      <c r="V14" s="328"/>
      <c r="W14" s="336"/>
      <c r="X14" s="336"/>
      <c r="Y14" s="337"/>
      <c r="Z14" s="105"/>
      <c r="AA14" s="331"/>
      <c r="AB14" s="307"/>
      <c r="AC14" s="307"/>
      <c r="AD14" s="307"/>
    </row>
    <row r="15" spans="1:30" s="322" customFormat="1" ht="18.75" customHeight="1">
      <c r="A15" s="333" t="s">
        <v>297</v>
      </c>
      <c r="B15" s="338">
        <v>3538</v>
      </c>
      <c r="C15" s="338">
        <v>3586</v>
      </c>
      <c r="D15" s="338">
        <v>3818</v>
      </c>
      <c r="E15" s="338">
        <v>3818</v>
      </c>
      <c r="F15" s="338">
        <v>3818</v>
      </c>
      <c r="G15" s="338">
        <v>3862</v>
      </c>
      <c r="H15" s="338">
        <v>3982</v>
      </c>
      <c r="I15" s="338">
        <v>3982</v>
      </c>
      <c r="J15" s="338">
        <v>4036</v>
      </c>
      <c r="K15" s="338">
        <v>4056</v>
      </c>
      <c r="L15" s="338">
        <v>4056</v>
      </c>
      <c r="M15" s="338">
        <v>4350</v>
      </c>
      <c r="N15" s="533">
        <f t="shared" si="1"/>
        <v>11.71433187914041</v>
      </c>
      <c r="O15" s="332" t="s">
        <v>298</v>
      </c>
      <c r="Q15" s="323"/>
      <c r="R15" s="336"/>
      <c r="S15" s="328"/>
      <c r="T15" s="328"/>
      <c r="U15" s="328"/>
      <c r="V15" s="328"/>
      <c r="W15" s="324"/>
      <c r="X15" s="324"/>
      <c r="Y15" s="337"/>
      <c r="Z15" s="105"/>
      <c r="AA15" s="331"/>
      <c r="AB15" s="307"/>
      <c r="AC15" s="307"/>
      <c r="AD15" s="307"/>
    </row>
    <row r="16" spans="1:30" s="322" customFormat="1" ht="18.75" customHeight="1">
      <c r="A16" s="333" t="s">
        <v>299</v>
      </c>
      <c r="B16" s="326">
        <v>350</v>
      </c>
      <c r="C16" s="326">
        <v>350</v>
      </c>
      <c r="D16" s="326">
        <v>350</v>
      </c>
      <c r="E16" s="326">
        <v>402</v>
      </c>
      <c r="F16" s="326">
        <v>402</v>
      </c>
      <c r="G16" s="326">
        <v>402</v>
      </c>
      <c r="H16" s="326">
        <v>402</v>
      </c>
      <c r="I16" s="326">
        <v>434</v>
      </c>
      <c r="J16" s="326">
        <v>434</v>
      </c>
      <c r="K16" s="326">
        <v>434</v>
      </c>
      <c r="L16" s="326">
        <v>614</v>
      </c>
      <c r="M16" s="326">
        <v>614</v>
      </c>
      <c r="N16" s="533">
        <f t="shared" si="1"/>
        <v>1.653471212366026</v>
      </c>
      <c r="O16" s="332" t="s">
        <v>300</v>
      </c>
      <c r="Q16" s="323"/>
      <c r="R16" s="336"/>
      <c r="U16" s="328"/>
      <c r="V16" s="328"/>
      <c r="W16" s="324"/>
      <c r="X16" s="324"/>
      <c r="Y16" s="337"/>
      <c r="Z16" s="330"/>
      <c r="AA16" s="331"/>
      <c r="AB16" s="307"/>
      <c r="AC16" s="307"/>
      <c r="AD16" s="307"/>
    </row>
    <row r="17" spans="1:30" s="322" customFormat="1" ht="18.75" customHeight="1">
      <c r="A17" s="325" t="s">
        <v>301</v>
      </c>
      <c r="B17" s="326">
        <v>400</v>
      </c>
      <c r="C17" s="326">
        <v>400</v>
      </c>
      <c r="D17" s="326">
        <v>400</v>
      </c>
      <c r="E17" s="326">
        <v>400</v>
      </c>
      <c r="F17" s="326">
        <v>400</v>
      </c>
      <c r="G17" s="326">
        <v>400</v>
      </c>
      <c r="H17" s="326">
        <v>400</v>
      </c>
      <c r="I17" s="326">
        <v>400</v>
      </c>
      <c r="J17" s="326">
        <v>400</v>
      </c>
      <c r="K17" s="326">
        <v>400</v>
      </c>
      <c r="L17" s="326">
        <v>400</v>
      </c>
      <c r="M17" s="326">
        <v>440</v>
      </c>
      <c r="N17" s="533">
        <f t="shared" si="1"/>
        <v>1.1848979372004094</v>
      </c>
      <c r="O17" s="327" t="s">
        <v>302</v>
      </c>
      <c r="Q17" s="323"/>
      <c r="R17" s="324"/>
      <c r="S17" s="328"/>
      <c r="T17" s="328"/>
      <c r="U17" s="328"/>
      <c r="V17" s="328"/>
      <c r="W17" s="324"/>
      <c r="X17" s="324"/>
      <c r="Y17" s="329"/>
      <c r="Z17" s="330"/>
      <c r="AA17" s="331"/>
      <c r="AB17" s="307"/>
      <c r="AC17" s="307"/>
      <c r="AD17" s="307"/>
    </row>
    <row r="18" spans="1:30" s="322" customFormat="1" ht="18.75" customHeight="1">
      <c r="A18" s="325" t="s">
        <v>303</v>
      </c>
      <c r="B18" s="326">
        <v>250</v>
      </c>
      <c r="C18" s="326">
        <v>250</v>
      </c>
      <c r="D18" s="326">
        <v>250</v>
      </c>
      <c r="E18" s="326">
        <v>250</v>
      </c>
      <c r="F18" s="326">
        <v>250</v>
      </c>
      <c r="G18" s="326">
        <v>250</v>
      </c>
      <c r="H18" s="326">
        <v>250</v>
      </c>
      <c r="I18" s="326">
        <v>250</v>
      </c>
      <c r="J18" s="326">
        <v>250</v>
      </c>
      <c r="K18" s="326">
        <v>250</v>
      </c>
      <c r="L18" s="326">
        <v>250</v>
      </c>
      <c r="M18" s="326">
        <v>250</v>
      </c>
      <c r="N18" s="533">
        <f t="shared" si="1"/>
        <v>0.67323746431841447</v>
      </c>
      <c r="O18" s="332" t="s">
        <v>304</v>
      </c>
      <c r="Q18" s="323"/>
      <c r="R18" s="324"/>
      <c r="S18" s="328"/>
      <c r="T18" s="328"/>
      <c r="U18" s="328"/>
      <c r="V18" s="328"/>
      <c r="W18" s="324"/>
      <c r="X18" s="324"/>
      <c r="Y18" s="329"/>
      <c r="Z18" s="330"/>
      <c r="AA18" s="331"/>
      <c r="AB18" s="307"/>
      <c r="AC18" s="307"/>
      <c r="AD18" s="307"/>
    </row>
    <row r="19" spans="1:30" s="342" customFormat="1" ht="18.75" customHeight="1">
      <c r="A19" s="339" t="s">
        <v>305</v>
      </c>
      <c r="B19" s="340">
        <v>436</v>
      </c>
      <c r="C19" s="340">
        <v>436</v>
      </c>
      <c r="D19" s="340">
        <v>436</v>
      </c>
      <c r="E19" s="340">
        <v>590</v>
      </c>
      <c r="F19" s="340">
        <v>590</v>
      </c>
      <c r="G19" s="340">
        <v>590</v>
      </c>
      <c r="H19" s="340">
        <v>778</v>
      </c>
      <c r="I19" s="340">
        <v>962</v>
      </c>
      <c r="J19" s="340">
        <v>1512</v>
      </c>
      <c r="K19" s="340">
        <v>1754</v>
      </c>
      <c r="L19" s="340">
        <v>2798</v>
      </c>
      <c r="M19" s="340">
        <v>2806</v>
      </c>
      <c r="N19" s="533">
        <f t="shared" si="1"/>
        <v>7.5564172995098833</v>
      </c>
      <c r="O19" s="341" t="s">
        <v>306</v>
      </c>
      <c r="Q19" s="343"/>
      <c r="R19" s="324"/>
      <c r="S19" s="328"/>
      <c r="T19" s="328"/>
      <c r="U19" s="328"/>
      <c r="V19" s="328"/>
      <c r="W19" s="324"/>
      <c r="X19" s="324"/>
      <c r="Y19" s="329"/>
      <c r="Z19" s="330"/>
      <c r="AA19" s="331"/>
      <c r="AB19" s="307"/>
      <c r="AC19" s="307"/>
      <c r="AD19" s="307"/>
    </row>
    <row r="20" spans="1:30" s="324" customFormat="1" ht="18.75" customHeight="1">
      <c r="A20" s="344" t="s">
        <v>307</v>
      </c>
      <c r="B20" s="330">
        <v>0</v>
      </c>
      <c r="C20" s="330">
        <v>0</v>
      </c>
      <c r="D20" s="330">
        <v>0</v>
      </c>
      <c r="E20" s="330">
        <v>0</v>
      </c>
      <c r="F20" s="330">
        <v>46</v>
      </c>
      <c r="G20" s="330">
        <v>132</v>
      </c>
      <c r="H20" s="330">
        <v>152</v>
      </c>
      <c r="I20" s="330">
        <v>152</v>
      </c>
      <c r="J20" s="330">
        <v>152</v>
      </c>
      <c r="K20" s="330">
        <v>152</v>
      </c>
      <c r="L20" s="330">
        <v>152</v>
      </c>
      <c r="M20" s="330">
        <v>152</v>
      </c>
      <c r="N20" s="533">
        <f t="shared" si="1"/>
        <v>0.40932837830559593</v>
      </c>
      <c r="O20" s="345" t="s">
        <v>308</v>
      </c>
      <c r="S20" s="328"/>
      <c r="T20" s="328"/>
      <c r="U20" s="328"/>
      <c r="V20" s="328"/>
      <c r="Y20" s="329"/>
      <c r="Z20" s="330"/>
      <c r="AA20" s="331"/>
      <c r="AB20" s="307"/>
      <c r="AC20" s="307"/>
      <c r="AD20" s="307"/>
    </row>
    <row r="21" spans="1:30" s="336" customFormat="1" ht="18.75" customHeight="1">
      <c r="A21" s="344" t="s">
        <v>309</v>
      </c>
      <c r="B21" s="330">
        <v>0</v>
      </c>
      <c r="C21" s="330">
        <v>0</v>
      </c>
      <c r="D21" s="330">
        <v>194</v>
      </c>
      <c r="E21" s="330">
        <v>194</v>
      </c>
      <c r="F21" s="330">
        <v>194</v>
      </c>
      <c r="G21" s="330">
        <v>194</v>
      </c>
      <c r="H21" s="330">
        <v>194</v>
      </c>
      <c r="I21" s="330">
        <v>194</v>
      </c>
      <c r="J21" s="330">
        <v>194</v>
      </c>
      <c r="K21" s="330">
        <v>194</v>
      </c>
      <c r="L21" s="330">
        <v>242</v>
      </c>
      <c r="M21" s="330">
        <v>242</v>
      </c>
      <c r="N21" s="533">
        <f t="shared" si="1"/>
        <v>0.65169386546022512</v>
      </c>
      <c r="O21" s="346" t="s">
        <v>310</v>
      </c>
      <c r="R21" s="324"/>
      <c r="S21" s="328"/>
      <c r="T21" s="328"/>
      <c r="U21" s="328"/>
      <c r="V21" s="328"/>
      <c r="Y21" s="329"/>
      <c r="Z21" s="330"/>
      <c r="AA21" s="331"/>
      <c r="AB21" s="307"/>
      <c r="AC21" s="307"/>
      <c r="AD21" s="307"/>
    </row>
    <row r="22" spans="1:30" s="349" customFormat="1" ht="18.75" customHeight="1">
      <c r="A22" s="347" t="s">
        <v>311</v>
      </c>
      <c r="B22" s="348">
        <v>200</v>
      </c>
      <c r="C22" s="348">
        <v>250</v>
      </c>
      <c r="D22" s="348">
        <v>324</v>
      </c>
      <c r="E22" s="348">
        <v>524</v>
      </c>
      <c r="F22" s="348">
        <v>576</v>
      </c>
      <c r="G22" s="348">
        <v>576</v>
      </c>
      <c r="H22" s="348">
        <v>576</v>
      </c>
      <c r="I22" s="348">
        <v>616</v>
      </c>
      <c r="J22" s="348">
        <v>616</v>
      </c>
      <c r="K22" s="348">
        <v>616</v>
      </c>
      <c r="L22" s="348">
        <v>1141</v>
      </c>
      <c r="M22" s="348">
        <v>1267</v>
      </c>
      <c r="N22" s="533">
        <f t="shared" si="1"/>
        <v>3.4119674691657242</v>
      </c>
      <c r="O22" s="345" t="s">
        <v>312</v>
      </c>
      <c r="Q22" s="350"/>
      <c r="R22" s="324"/>
      <c r="S22" s="328"/>
      <c r="T22" s="328"/>
      <c r="U22" s="328"/>
      <c r="V22" s="328"/>
      <c r="W22" s="324"/>
      <c r="X22" s="324"/>
      <c r="Y22" s="329"/>
      <c r="Z22" s="330"/>
      <c r="AA22" s="331"/>
      <c r="AB22" s="307"/>
      <c r="AC22" s="307"/>
      <c r="AD22" s="307"/>
    </row>
    <row r="23" spans="1:30" s="322" customFormat="1" ht="18.75" customHeight="1">
      <c r="A23" s="325" t="s">
        <v>313</v>
      </c>
      <c r="B23" s="326">
        <v>0</v>
      </c>
      <c r="C23" s="326">
        <v>0</v>
      </c>
      <c r="D23" s="326">
        <v>200</v>
      </c>
      <c r="E23" s="326">
        <v>200</v>
      </c>
      <c r="F23" s="326">
        <v>200</v>
      </c>
      <c r="G23" s="326">
        <v>200</v>
      </c>
      <c r="H23" s="326">
        <v>550</v>
      </c>
      <c r="I23" s="326">
        <v>550</v>
      </c>
      <c r="J23" s="326">
        <v>550</v>
      </c>
      <c r="K23" s="326">
        <v>550</v>
      </c>
      <c r="L23" s="326">
        <v>550</v>
      </c>
      <c r="M23" s="326">
        <v>550</v>
      </c>
      <c r="N23" s="533">
        <f t="shared" si="1"/>
        <v>1.4811224215005117</v>
      </c>
      <c r="O23" s="345" t="s">
        <v>314</v>
      </c>
      <c r="Q23" s="323"/>
      <c r="R23" s="324"/>
      <c r="S23" s="328"/>
      <c r="T23" s="328"/>
      <c r="U23" s="328"/>
      <c r="V23" s="328"/>
      <c r="W23" s="324"/>
      <c r="X23" s="324"/>
      <c r="Y23" s="329"/>
      <c r="Z23" s="330"/>
      <c r="AA23" s="331"/>
      <c r="AB23" s="307"/>
      <c r="AC23" s="307"/>
      <c r="AD23" s="307"/>
    </row>
    <row r="24" spans="1:30" s="322" customFormat="1" ht="18.75" customHeight="1">
      <c r="A24" s="351" t="s">
        <v>315</v>
      </c>
      <c r="B24" s="352">
        <v>830</v>
      </c>
      <c r="C24" s="352">
        <v>830</v>
      </c>
      <c r="D24" s="352">
        <v>830</v>
      </c>
      <c r="E24" s="352">
        <v>830</v>
      </c>
      <c r="F24" s="352">
        <v>830</v>
      </c>
      <c r="G24" s="352">
        <v>826</v>
      </c>
      <c r="H24" s="352">
        <v>826</v>
      </c>
      <c r="I24" s="352">
        <v>826</v>
      </c>
      <c r="J24" s="352">
        <v>826</v>
      </c>
      <c r="K24" s="352">
        <v>826</v>
      </c>
      <c r="L24" s="352">
        <v>926</v>
      </c>
      <c r="M24" s="352">
        <v>926</v>
      </c>
      <c r="N24" s="638">
        <f t="shared" si="1"/>
        <v>2.4936715678354071</v>
      </c>
      <c r="O24" s="353" t="s">
        <v>316</v>
      </c>
      <c r="Q24" s="323"/>
      <c r="R24" s="307"/>
      <c r="S24" s="328"/>
      <c r="T24" s="328"/>
      <c r="U24" s="328"/>
      <c r="V24" s="307"/>
      <c r="W24" s="324"/>
      <c r="X24" s="324"/>
      <c r="Y24" s="329"/>
      <c r="Z24" s="330"/>
      <c r="AA24" s="893" t="s">
        <v>562</v>
      </c>
      <c r="AB24" s="893"/>
      <c r="AC24" s="894"/>
      <c r="AD24" s="307"/>
    </row>
    <row r="25" spans="1:30" ht="20.25" customHeight="1">
      <c r="A25" s="354" t="s">
        <v>142</v>
      </c>
      <c r="B25" s="355"/>
      <c r="C25" s="355"/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6"/>
      <c r="O25" s="241" t="s">
        <v>193</v>
      </c>
      <c r="AA25" s="307">
        <v>2017</v>
      </c>
      <c r="AB25" s="307">
        <v>2018</v>
      </c>
      <c r="AC25" s="307">
        <v>2019</v>
      </c>
      <c r="AD25" s="307">
        <v>2020</v>
      </c>
    </row>
    <row r="26" spans="1:30" ht="24" customHeight="1">
      <c r="V26" s="325"/>
      <c r="Y26" s="357" t="s">
        <v>317</v>
      </c>
      <c r="Z26" s="358">
        <f>M6</f>
        <v>394</v>
      </c>
      <c r="AA26" s="307">
        <v>3</v>
      </c>
      <c r="AB26" s="164">
        <v>3</v>
      </c>
      <c r="AC26" s="164">
        <v>3</v>
      </c>
      <c r="AD26" s="307">
        <v>2</v>
      </c>
    </row>
    <row r="27" spans="1:30">
      <c r="A27" s="359"/>
      <c r="V27" s="325"/>
      <c r="Y27" s="357" t="s">
        <v>558</v>
      </c>
      <c r="Z27" s="358">
        <f t="shared" ref="Z27:Z44" si="2">M7</f>
        <v>118</v>
      </c>
      <c r="AA27" s="307">
        <v>0</v>
      </c>
      <c r="AB27" s="164">
        <v>1</v>
      </c>
      <c r="AC27" s="164">
        <v>1</v>
      </c>
      <c r="AD27" s="307">
        <v>1</v>
      </c>
    </row>
    <row r="28" spans="1:30">
      <c r="A28" s="359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V28" s="325"/>
      <c r="Y28" s="357" t="s">
        <v>318</v>
      </c>
      <c r="Z28" s="358">
        <f t="shared" si="2"/>
        <v>457</v>
      </c>
      <c r="AA28" s="307">
        <v>2</v>
      </c>
      <c r="AB28" s="164">
        <v>2</v>
      </c>
      <c r="AC28" s="164">
        <v>2</v>
      </c>
      <c r="AD28" s="307">
        <v>2</v>
      </c>
    </row>
    <row r="29" spans="1:30">
      <c r="V29" s="333"/>
      <c r="Y29" s="357" t="s">
        <v>319</v>
      </c>
      <c r="Z29" s="358">
        <f t="shared" si="2"/>
        <v>1436</v>
      </c>
      <c r="AA29" s="307">
        <v>6</v>
      </c>
      <c r="AB29" s="164">
        <v>7</v>
      </c>
      <c r="AC29" s="164">
        <v>7</v>
      </c>
      <c r="AD29" s="307">
        <v>7</v>
      </c>
    </row>
    <row r="30" spans="1:30">
      <c r="V30" s="333"/>
      <c r="Y30" s="333" t="s">
        <v>320</v>
      </c>
      <c r="Z30" s="358">
        <f t="shared" si="2"/>
        <v>3288</v>
      </c>
      <c r="AA30" s="307">
        <v>6</v>
      </c>
      <c r="AB30" s="164">
        <v>8</v>
      </c>
      <c r="AC30" s="164">
        <v>13</v>
      </c>
      <c r="AD30" s="307">
        <v>13</v>
      </c>
    </row>
    <row r="31" spans="1:30">
      <c r="V31" s="333"/>
      <c r="Y31" s="333" t="s">
        <v>321</v>
      </c>
      <c r="Z31" s="358">
        <f t="shared" si="2"/>
        <v>3104</v>
      </c>
      <c r="AA31" s="307">
        <v>13</v>
      </c>
      <c r="AB31" s="164">
        <v>15</v>
      </c>
      <c r="AC31" s="164">
        <v>16</v>
      </c>
      <c r="AD31" s="307">
        <v>16</v>
      </c>
    </row>
    <row r="32" spans="1:30">
      <c r="V32" s="333"/>
      <c r="Y32" s="333" t="s">
        <v>322</v>
      </c>
      <c r="Z32" s="358">
        <f t="shared" si="2"/>
        <v>2468</v>
      </c>
      <c r="AA32" s="307">
        <v>8</v>
      </c>
      <c r="AB32" s="164">
        <v>9</v>
      </c>
      <c r="AC32" s="164">
        <v>10</v>
      </c>
      <c r="AD32" s="307">
        <v>10</v>
      </c>
    </row>
    <row r="33" spans="15:30">
      <c r="V33" s="333"/>
      <c r="Y33" s="333" t="s">
        <v>323</v>
      </c>
      <c r="Z33" s="358">
        <f t="shared" si="2"/>
        <v>12048</v>
      </c>
      <c r="AA33" s="307">
        <v>45</v>
      </c>
      <c r="AB33" s="164">
        <v>47</v>
      </c>
      <c r="AC33" s="164">
        <v>52</v>
      </c>
      <c r="AD33" s="307">
        <v>50</v>
      </c>
    </row>
    <row r="34" spans="15:30">
      <c r="O34" s="901"/>
      <c r="P34" s="902"/>
      <c r="Q34" s="902"/>
      <c r="R34" s="903"/>
      <c r="V34" s="333"/>
      <c r="Y34" s="333" t="s">
        <v>324</v>
      </c>
      <c r="Z34" s="358">
        <f t="shared" si="2"/>
        <v>2224</v>
      </c>
      <c r="AA34" s="307">
        <v>13</v>
      </c>
      <c r="AB34" s="164">
        <v>13</v>
      </c>
      <c r="AC34" s="164">
        <v>13</v>
      </c>
      <c r="AD34" s="307">
        <v>11</v>
      </c>
    </row>
    <row r="35" spans="15:30">
      <c r="V35" s="333"/>
      <c r="Y35" s="333" t="s">
        <v>325</v>
      </c>
      <c r="Z35" s="358">
        <f t="shared" si="2"/>
        <v>4350</v>
      </c>
      <c r="AA35" s="307">
        <v>17</v>
      </c>
      <c r="AB35" s="164">
        <v>17</v>
      </c>
      <c r="AC35" s="164">
        <v>17</v>
      </c>
      <c r="AD35" s="307">
        <v>17</v>
      </c>
    </row>
    <row r="36" spans="15:30">
      <c r="V36" s="325"/>
      <c r="Y36" s="333" t="s">
        <v>326</v>
      </c>
      <c r="Z36" s="358">
        <f t="shared" si="2"/>
        <v>614</v>
      </c>
      <c r="AA36" s="307">
        <v>2</v>
      </c>
      <c r="AB36" s="164">
        <v>2</v>
      </c>
      <c r="AC36" s="164">
        <v>3</v>
      </c>
      <c r="AD36" s="307">
        <v>3</v>
      </c>
    </row>
    <row r="37" spans="15:30">
      <c r="V37" s="325"/>
      <c r="Y37" s="357" t="s">
        <v>327</v>
      </c>
      <c r="Z37" s="358">
        <f t="shared" si="2"/>
        <v>440</v>
      </c>
      <c r="AA37" s="307">
        <v>2</v>
      </c>
      <c r="AB37" s="164">
        <v>2</v>
      </c>
      <c r="AC37" s="164">
        <v>2</v>
      </c>
      <c r="AD37" s="307">
        <v>2</v>
      </c>
    </row>
    <row r="38" spans="15:30">
      <c r="V38" s="339"/>
      <c r="W38" s="308"/>
      <c r="Y38" s="357" t="s">
        <v>328</v>
      </c>
      <c r="Z38" s="358">
        <f t="shared" si="2"/>
        <v>250</v>
      </c>
      <c r="AA38" s="307">
        <v>1</v>
      </c>
      <c r="AB38" s="164">
        <v>1</v>
      </c>
      <c r="AC38" s="164">
        <v>1</v>
      </c>
      <c r="AD38" s="307">
        <v>1</v>
      </c>
    </row>
    <row r="39" spans="15:30">
      <c r="U39" s="311"/>
      <c r="V39" s="344"/>
      <c r="W39" s="312"/>
      <c r="X39" s="313"/>
      <c r="Y39" s="361" t="s">
        <v>329</v>
      </c>
      <c r="Z39" s="358">
        <f t="shared" si="2"/>
        <v>2806</v>
      </c>
      <c r="AA39" s="307">
        <v>6</v>
      </c>
      <c r="AB39" s="164">
        <v>7</v>
      </c>
      <c r="AC39" s="164">
        <v>9</v>
      </c>
      <c r="AD39" s="307">
        <v>9</v>
      </c>
    </row>
    <row r="40" spans="15:30">
      <c r="U40" s="311"/>
      <c r="V40" s="344"/>
      <c r="W40" s="312"/>
      <c r="X40" s="313"/>
      <c r="Y40" s="329" t="s">
        <v>330</v>
      </c>
      <c r="Z40" s="358">
        <f t="shared" si="2"/>
        <v>152</v>
      </c>
      <c r="AA40" s="307">
        <v>1</v>
      </c>
      <c r="AB40" s="164">
        <v>1</v>
      </c>
      <c r="AC40" s="164">
        <v>1</v>
      </c>
      <c r="AD40" s="307">
        <v>1</v>
      </c>
    </row>
    <row r="41" spans="15:30">
      <c r="U41" s="311"/>
      <c r="V41" s="344"/>
      <c r="W41" s="312"/>
      <c r="X41" s="313"/>
      <c r="Y41" s="329" t="s">
        <v>331</v>
      </c>
      <c r="Z41" s="358">
        <f t="shared" si="2"/>
        <v>242</v>
      </c>
      <c r="AA41" s="307">
        <v>1</v>
      </c>
      <c r="AB41" s="164">
        <v>1</v>
      </c>
      <c r="AC41" s="164">
        <v>2</v>
      </c>
      <c r="AD41" s="307">
        <v>2</v>
      </c>
    </row>
    <row r="42" spans="15:30">
      <c r="U42" s="311"/>
      <c r="V42" s="344"/>
      <c r="W42" s="312"/>
      <c r="X42" s="313"/>
      <c r="Y42" s="363" t="s">
        <v>332</v>
      </c>
      <c r="Z42" s="358">
        <f t="shared" si="2"/>
        <v>1267</v>
      </c>
      <c r="AA42" s="307">
        <v>4</v>
      </c>
      <c r="AB42" s="164">
        <v>4</v>
      </c>
      <c r="AC42" s="164">
        <v>6</v>
      </c>
      <c r="AD42" s="307">
        <v>6</v>
      </c>
    </row>
    <row r="43" spans="15:30">
      <c r="U43" s="311"/>
      <c r="V43" s="344"/>
      <c r="W43" s="312"/>
      <c r="X43" s="313"/>
      <c r="Y43" s="357" t="s">
        <v>333</v>
      </c>
      <c r="Z43" s="358">
        <f t="shared" si="2"/>
        <v>550</v>
      </c>
      <c r="AA43" s="307">
        <v>3</v>
      </c>
      <c r="AB43" s="164">
        <v>3</v>
      </c>
      <c r="AC43" s="164">
        <v>3</v>
      </c>
      <c r="AD43" s="307">
        <v>3</v>
      </c>
    </row>
    <row r="44" spans="15:30">
      <c r="U44" s="311"/>
      <c r="V44" s="312"/>
      <c r="W44" s="312"/>
      <c r="X44" s="313"/>
      <c r="Y44" s="364" t="s">
        <v>334</v>
      </c>
      <c r="Z44" s="358">
        <f t="shared" si="2"/>
        <v>926</v>
      </c>
      <c r="AA44" s="307">
        <v>2</v>
      </c>
      <c r="AB44" s="307">
        <v>2</v>
      </c>
      <c r="AC44" s="307">
        <v>3</v>
      </c>
      <c r="AD44" s="307">
        <v>3</v>
      </c>
    </row>
    <row r="45" spans="15:30">
      <c r="U45" s="311"/>
      <c r="V45" s="312"/>
      <c r="W45" s="312"/>
      <c r="X45" s="313"/>
      <c r="Z45" s="307">
        <f>SUM(Z26:Z44)</f>
        <v>37134</v>
      </c>
      <c r="AA45" s="307">
        <f>SUM(AA26:AA44)</f>
        <v>135</v>
      </c>
      <c r="AB45" s="307">
        <f>SUM(AB26:AB44)</f>
        <v>145</v>
      </c>
      <c r="AC45" s="307">
        <f>SUM(AC26:AC44)</f>
        <v>164</v>
      </c>
      <c r="AD45" s="307">
        <f>SUM(AD26:AD44)</f>
        <v>159</v>
      </c>
    </row>
    <row r="46" spans="15:30">
      <c r="U46" s="311"/>
      <c r="V46" s="312"/>
      <c r="W46" s="312"/>
      <c r="X46" s="313"/>
    </row>
    <row r="47" spans="15:30">
      <c r="U47" s="311"/>
      <c r="V47" s="312"/>
      <c r="W47" s="312"/>
      <c r="X47" s="313"/>
    </row>
    <row r="48" spans="15:30">
      <c r="U48" s="311"/>
      <c r="V48" s="312"/>
      <c r="W48" s="312"/>
      <c r="X48" s="313"/>
    </row>
    <row r="49" spans="21:24">
      <c r="U49" s="311"/>
      <c r="V49" s="312"/>
      <c r="W49" s="312"/>
      <c r="X49" s="313"/>
    </row>
    <row r="50" spans="21:24">
      <c r="U50" s="311"/>
      <c r="V50" s="312"/>
      <c r="W50" s="312"/>
      <c r="X50" s="313"/>
    </row>
    <row r="51" spans="21:24">
      <c r="U51" s="311"/>
      <c r="V51" s="312"/>
      <c r="W51" s="312"/>
      <c r="X51" s="313"/>
    </row>
    <row r="52" spans="21:24">
      <c r="U52" s="311"/>
      <c r="V52" s="312"/>
      <c r="W52" s="312"/>
      <c r="X52" s="313"/>
    </row>
  </sheetData>
  <mergeCells count="6">
    <mergeCell ref="AA24:AC24"/>
    <mergeCell ref="A1:O1"/>
    <mergeCell ref="A2:O2"/>
    <mergeCell ref="A3:A4"/>
    <mergeCell ref="O34:R34"/>
    <mergeCell ref="B3:M3"/>
  </mergeCells>
  <pageMargins left="0.7" right="0.7" top="0.75" bottom="0.75" header="0.3" footer="0.3"/>
  <pageSetup paperSize="9" scale="71"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244"/>
  <sheetViews>
    <sheetView view="pageBreakPreview" zoomScale="95" zoomScaleNormal="100" zoomScaleSheetLayoutView="95" workbookViewId="0">
      <selection activeCell="A104" sqref="A104:A105"/>
    </sheetView>
  </sheetViews>
  <sheetFormatPr defaultColWidth="9.140625" defaultRowHeight="12.75"/>
  <cols>
    <col min="1" max="1" width="21" style="366" customWidth="1"/>
    <col min="2" max="2" width="11.5703125" style="366" bestFit="1" customWidth="1"/>
    <col min="3" max="10" width="10.28515625" style="366" bestFit="1" customWidth="1"/>
    <col min="11" max="11" width="9.85546875" style="366" bestFit="1" customWidth="1"/>
    <col min="12" max="14" width="10.28515625" style="366" bestFit="1" customWidth="1"/>
    <col min="15" max="15" width="18.28515625" style="366" customWidth="1"/>
    <col min="16" max="33" width="9.140625" style="366"/>
    <col min="34" max="34" width="11.140625" style="366" customWidth="1"/>
    <col min="35" max="16384" width="9.140625" style="366"/>
  </cols>
  <sheetData>
    <row r="1" spans="1:34" s="365" customFormat="1" ht="18.75" customHeight="1">
      <c r="A1" s="907" t="s">
        <v>1056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</row>
    <row r="2" spans="1:34" ht="17.25" customHeight="1">
      <c r="A2" s="908" t="s">
        <v>1055</v>
      </c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</row>
    <row r="3" spans="1:34" s="369" customFormat="1" ht="12.75" customHeight="1">
      <c r="A3" s="367"/>
      <c r="B3" s="368"/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</row>
    <row r="4" spans="1:34" s="374" customFormat="1" ht="18.75" customHeight="1">
      <c r="A4" s="370" t="s">
        <v>247</v>
      </c>
      <c r="B4" s="371" t="s">
        <v>335</v>
      </c>
      <c r="C4" s="371" t="s">
        <v>195</v>
      </c>
      <c r="D4" s="371" t="s">
        <v>196</v>
      </c>
      <c r="E4" s="371" t="s">
        <v>197</v>
      </c>
      <c r="F4" s="371" t="s">
        <v>198</v>
      </c>
      <c r="G4" s="371" t="s">
        <v>185</v>
      </c>
      <c r="H4" s="371" t="s">
        <v>199</v>
      </c>
      <c r="I4" s="371" t="s">
        <v>200</v>
      </c>
      <c r="J4" s="371" t="s">
        <v>201</v>
      </c>
      <c r="K4" s="371" t="s">
        <v>202</v>
      </c>
      <c r="L4" s="371" t="s">
        <v>203</v>
      </c>
      <c r="M4" s="371" t="s">
        <v>204</v>
      </c>
      <c r="N4" s="372" t="s">
        <v>205</v>
      </c>
      <c r="O4" s="373" t="s">
        <v>336</v>
      </c>
    </row>
    <row r="5" spans="1:34" s="378" customFormat="1" ht="18" customHeight="1">
      <c r="A5" s="375" t="s">
        <v>16</v>
      </c>
      <c r="B5" s="376">
        <f>SUM(C5:N5)</f>
        <v>555494</v>
      </c>
      <c r="C5" s="376">
        <f>C6+C50+C73+C78+C85+C89+C100+C101</f>
        <v>173347</v>
      </c>
      <c r="D5" s="376">
        <f>D6+D50+D73+D78+D85+D89+D100+D101</f>
        <v>149785</v>
      </c>
      <c r="E5" s="376">
        <f t="shared" ref="E5:N5" si="0">E6+E50+E73+E78+E85+E89+E100+E101</f>
        <v>59630</v>
      </c>
      <c r="F5" s="376">
        <f t="shared" si="0"/>
        <v>13</v>
      </c>
      <c r="G5" s="376">
        <f t="shared" si="0"/>
        <v>41</v>
      </c>
      <c r="H5" s="376">
        <f t="shared" si="0"/>
        <v>1</v>
      </c>
      <c r="I5" s="376">
        <f t="shared" si="0"/>
        <v>1752</v>
      </c>
      <c r="J5" s="376">
        <f t="shared" si="0"/>
        <v>7636</v>
      </c>
      <c r="K5" s="376">
        <f t="shared" si="0"/>
        <v>9605</v>
      </c>
      <c r="L5" s="376">
        <f t="shared" si="0"/>
        <v>21515</v>
      </c>
      <c r="M5" s="376">
        <f t="shared" si="0"/>
        <v>35757</v>
      </c>
      <c r="N5" s="376">
        <f t="shared" si="0"/>
        <v>96412</v>
      </c>
      <c r="O5" s="377" t="s">
        <v>17</v>
      </c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  <c r="AD5" s="379"/>
    </row>
    <row r="6" spans="1:34" s="378" customFormat="1" ht="18" customHeight="1">
      <c r="A6" s="380" t="s">
        <v>18</v>
      </c>
      <c r="B6" s="284">
        <f>SUM(C6:N6)</f>
        <v>348349</v>
      </c>
      <c r="C6" s="284">
        <f>C7+C21+C29+C38+C46</f>
        <v>94725</v>
      </c>
      <c r="D6" s="284">
        <f t="shared" ref="D6:N6" si="1">D7+D21+D29+D38+D46</f>
        <v>102348</v>
      </c>
      <c r="E6" s="284">
        <f t="shared" si="1"/>
        <v>42015</v>
      </c>
      <c r="F6" s="284">
        <f t="shared" si="1"/>
        <v>0</v>
      </c>
      <c r="G6" s="284">
        <f t="shared" si="1"/>
        <v>37</v>
      </c>
      <c r="H6" s="284">
        <f t="shared" si="1"/>
        <v>1</v>
      </c>
      <c r="I6" s="284">
        <f t="shared" si="1"/>
        <v>1044</v>
      </c>
      <c r="J6" s="284">
        <f t="shared" si="1"/>
        <v>3828</v>
      </c>
      <c r="K6" s="284">
        <f t="shared" si="1"/>
        <v>5519</v>
      </c>
      <c r="L6" s="284">
        <f t="shared" si="1"/>
        <v>14823</v>
      </c>
      <c r="M6" s="284">
        <f t="shared" si="1"/>
        <v>20522</v>
      </c>
      <c r="N6" s="284">
        <f t="shared" si="1"/>
        <v>63487</v>
      </c>
      <c r="O6" s="381" t="s">
        <v>19</v>
      </c>
      <c r="P6" s="382"/>
      <c r="Q6" s="382"/>
      <c r="R6" s="382"/>
      <c r="S6" s="382"/>
      <c r="T6" s="382"/>
      <c r="U6" s="382"/>
      <c r="V6" s="382"/>
      <c r="W6" s="382"/>
      <c r="X6" s="382"/>
      <c r="Y6" s="382"/>
      <c r="Z6" s="382"/>
      <c r="AA6" s="382"/>
    </row>
    <row r="7" spans="1:34" s="378" customFormat="1" ht="18" customHeight="1">
      <c r="A7" s="383" t="s">
        <v>249</v>
      </c>
      <c r="B7" s="284">
        <f>SUM(C7:N7)</f>
        <v>120383</v>
      </c>
      <c r="C7" s="284">
        <f>SUM(C8:C20)</f>
        <v>28280</v>
      </c>
      <c r="D7" s="284">
        <f>SUM(D8:D20)</f>
        <v>23141</v>
      </c>
      <c r="E7" s="284">
        <f t="shared" ref="E7:N7" si="2">SUM(E8:E20)</f>
        <v>12233</v>
      </c>
      <c r="F7" s="284">
        <f t="shared" si="2"/>
        <v>0</v>
      </c>
      <c r="G7" s="284">
        <f t="shared" si="2"/>
        <v>23</v>
      </c>
      <c r="H7" s="284">
        <f t="shared" si="2"/>
        <v>0</v>
      </c>
      <c r="I7" s="284">
        <f t="shared" si="2"/>
        <v>240</v>
      </c>
      <c r="J7" s="284">
        <f t="shared" si="2"/>
        <v>1197</v>
      </c>
      <c r="K7" s="284">
        <f t="shared" si="2"/>
        <v>2929</v>
      </c>
      <c r="L7" s="284">
        <f t="shared" si="2"/>
        <v>8581</v>
      </c>
      <c r="M7" s="284">
        <f t="shared" si="2"/>
        <v>12697</v>
      </c>
      <c r="N7" s="284">
        <f t="shared" si="2"/>
        <v>31062</v>
      </c>
      <c r="O7" s="384" t="s">
        <v>337</v>
      </c>
    </row>
    <row r="8" spans="1:34" s="378" customFormat="1" ht="18" customHeight="1">
      <c r="A8" s="385" t="s">
        <v>338</v>
      </c>
      <c r="B8" s="386">
        <f>SUM(C8:N8)</f>
        <v>1754</v>
      </c>
      <c r="C8" s="387">
        <v>417</v>
      </c>
      <c r="D8" s="387">
        <v>304</v>
      </c>
      <c r="E8" s="387">
        <v>187</v>
      </c>
      <c r="F8" s="387">
        <v>0</v>
      </c>
      <c r="G8" s="387">
        <v>0</v>
      </c>
      <c r="H8" s="387">
        <v>0</v>
      </c>
      <c r="I8" s="387">
        <v>6</v>
      </c>
      <c r="J8" s="387">
        <v>26</v>
      </c>
      <c r="K8" s="387">
        <v>21</v>
      </c>
      <c r="L8" s="387">
        <v>148</v>
      </c>
      <c r="M8" s="387">
        <v>245</v>
      </c>
      <c r="N8" s="387">
        <v>400</v>
      </c>
      <c r="O8" s="388" t="s">
        <v>339</v>
      </c>
      <c r="P8" s="374"/>
    </row>
    <row r="9" spans="1:34" s="378" customFormat="1" ht="18" customHeight="1">
      <c r="A9" s="385" t="s">
        <v>340</v>
      </c>
      <c r="B9" s="386">
        <f>SUM(C9:N9)</f>
        <v>4057</v>
      </c>
      <c r="C9" s="387">
        <v>941</v>
      </c>
      <c r="D9" s="387">
        <v>1072</v>
      </c>
      <c r="E9" s="387">
        <v>285</v>
      </c>
      <c r="F9" s="387">
        <v>0</v>
      </c>
      <c r="G9" s="387">
        <v>0</v>
      </c>
      <c r="H9" s="387">
        <v>0</v>
      </c>
      <c r="I9" s="387">
        <v>0</v>
      </c>
      <c r="J9" s="387">
        <v>10</v>
      </c>
      <c r="K9" s="387">
        <v>18</v>
      </c>
      <c r="L9" s="387">
        <v>166</v>
      </c>
      <c r="M9" s="387">
        <v>244</v>
      </c>
      <c r="N9" s="387">
        <v>1321</v>
      </c>
      <c r="O9" s="388" t="s">
        <v>341</v>
      </c>
    </row>
    <row r="10" spans="1:34" s="378" customFormat="1" ht="18" customHeight="1">
      <c r="A10" s="385" t="s">
        <v>342</v>
      </c>
      <c r="B10" s="386">
        <f t="shared" ref="B10:B84" si="3">SUM(C10:N10)</f>
        <v>7282</v>
      </c>
      <c r="C10" s="387">
        <v>1390</v>
      </c>
      <c r="D10" s="387">
        <v>2150</v>
      </c>
      <c r="E10" s="387">
        <v>813</v>
      </c>
      <c r="F10" s="387">
        <v>0</v>
      </c>
      <c r="G10" s="387">
        <v>22</v>
      </c>
      <c r="H10" s="387">
        <v>0</v>
      </c>
      <c r="I10" s="387">
        <v>36</v>
      </c>
      <c r="J10" s="387">
        <v>118</v>
      </c>
      <c r="K10" s="387">
        <v>162</v>
      </c>
      <c r="L10" s="387">
        <v>289</v>
      </c>
      <c r="M10" s="387">
        <v>580</v>
      </c>
      <c r="N10" s="387">
        <v>1722</v>
      </c>
      <c r="O10" s="388" t="s">
        <v>343</v>
      </c>
      <c r="P10" s="374"/>
    </row>
    <row r="11" spans="1:34" s="378" customFormat="1" ht="18" customHeight="1">
      <c r="A11" s="389" t="s">
        <v>344</v>
      </c>
      <c r="B11" s="386">
        <f t="shared" si="3"/>
        <v>5813</v>
      </c>
      <c r="C11" s="387">
        <v>2225</v>
      </c>
      <c r="D11" s="387">
        <v>1856</v>
      </c>
      <c r="E11" s="387">
        <v>655</v>
      </c>
      <c r="F11" s="387">
        <v>0</v>
      </c>
      <c r="G11" s="387">
        <v>0</v>
      </c>
      <c r="H11" s="387">
        <v>0</v>
      </c>
      <c r="I11" s="387">
        <v>44</v>
      </c>
      <c r="J11" s="387">
        <v>71</v>
      </c>
      <c r="K11" s="387">
        <v>26</v>
      </c>
      <c r="L11" s="387">
        <v>104</v>
      </c>
      <c r="M11" s="387">
        <v>118</v>
      </c>
      <c r="N11" s="387">
        <v>714</v>
      </c>
      <c r="O11" s="388" t="s">
        <v>345</v>
      </c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</row>
    <row r="12" spans="1:34" s="378" customFormat="1" ht="18" customHeight="1">
      <c r="A12" s="385" t="s">
        <v>346</v>
      </c>
      <c r="B12" s="386">
        <f t="shared" si="3"/>
        <v>6470</v>
      </c>
      <c r="C12" s="387">
        <v>1756</v>
      </c>
      <c r="D12" s="387">
        <v>346</v>
      </c>
      <c r="E12" s="387">
        <v>669</v>
      </c>
      <c r="F12" s="387">
        <v>0</v>
      </c>
      <c r="G12" s="387">
        <v>0</v>
      </c>
      <c r="H12" s="387">
        <v>0</v>
      </c>
      <c r="I12" s="387">
        <v>10</v>
      </c>
      <c r="J12" s="387">
        <v>113</v>
      </c>
      <c r="K12" s="387">
        <v>146</v>
      </c>
      <c r="L12" s="387">
        <v>265</v>
      </c>
      <c r="M12" s="387">
        <v>326</v>
      </c>
      <c r="N12" s="387">
        <v>2839</v>
      </c>
      <c r="O12" s="388" t="s">
        <v>347</v>
      </c>
      <c r="P12" s="374"/>
      <c r="U12" s="382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379"/>
    </row>
    <row r="13" spans="1:34" s="378" customFormat="1" ht="18" customHeight="1">
      <c r="A13" s="385" t="s">
        <v>348</v>
      </c>
      <c r="B13" s="386">
        <f t="shared" si="3"/>
        <v>718</v>
      </c>
      <c r="C13" s="387">
        <v>167</v>
      </c>
      <c r="D13" s="387">
        <v>202</v>
      </c>
      <c r="E13" s="387">
        <v>84</v>
      </c>
      <c r="F13" s="387">
        <v>0</v>
      </c>
      <c r="G13" s="387">
        <v>0</v>
      </c>
      <c r="H13" s="387">
        <v>0</v>
      </c>
      <c r="I13" s="387">
        <v>0</v>
      </c>
      <c r="J13" s="387">
        <v>3</v>
      </c>
      <c r="K13" s="387">
        <v>5</v>
      </c>
      <c r="L13" s="387">
        <v>22</v>
      </c>
      <c r="M13" s="387">
        <v>40</v>
      </c>
      <c r="N13" s="387">
        <v>195</v>
      </c>
      <c r="O13" s="388" t="s">
        <v>349</v>
      </c>
      <c r="P13" s="374"/>
      <c r="U13" s="382"/>
      <c r="V13" s="379"/>
      <c r="W13" s="379"/>
      <c r="X13" s="379"/>
      <c r="Y13" s="379"/>
      <c r="Z13" s="379"/>
      <c r="AA13" s="379"/>
      <c r="AB13" s="379"/>
      <c r="AC13" s="379"/>
      <c r="AD13" s="379"/>
      <c r="AE13" s="379"/>
      <c r="AF13" s="379"/>
      <c r="AG13" s="379"/>
      <c r="AH13" s="379"/>
    </row>
    <row r="14" spans="1:34" s="378" customFormat="1" ht="18" customHeight="1">
      <c r="A14" s="385" t="s">
        <v>350</v>
      </c>
      <c r="B14" s="386">
        <f t="shared" si="3"/>
        <v>1186</v>
      </c>
      <c r="C14" s="387">
        <v>223</v>
      </c>
      <c r="D14" s="387">
        <v>324</v>
      </c>
      <c r="E14" s="387">
        <v>139</v>
      </c>
      <c r="F14" s="387">
        <v>0</v>
      </c>
      <c r="G14" s="387">
        <v>0</v>
      </c>
      <c r="H14" s="387">
        <v>0</v>
      </c>
      <c r="I14" s="387">
        <v>0</v>
      </c>
      <c r="J14" s="387">
        <v>9</v>
      </c>
      <c r="K14" s="387">
        <v>4</v>
      </c>
      <c r="L14" s="387">
        <v>16</v>
      </c>
      <c r="M14" s="387">
        <v>80</v>
      </c>
      <c r="N14" s="387">
        <v>391</v>
      </c>
      <c r="O14" s="388" t="s">
        <v>351</v>
      </c>
      <c r="P14" s="374"/>
      <c r="U14" s="382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79"/>
      <c r="AG14" s="379"/>
      <c r="AH14" s="379"/>
    </row>
    <row r="15" spans="1:34" s="378" customFormat="1" ht="18" customHeight="1">
      <c r="A15" s="385" t="s">
        <v>352</v>
      </c>
      <c r="B15" s="386">
        <f t="shared" si="3"/>
        <v>7108</v>
      </c>
      <c r="C15" s="387">
        <v>2429</v>
      </c>
      <c r="D15" s="387">
        <v>2287</v>
      </c>
      <c r="E15" s="387">
        <v>821</v>
      </c>
      <c r="F15" s="387">
        <v>0</v>
      </c>
      <c r="G15" s="387">
        <v>0</v>
      </c>
      <c r="H15" s="387">
        <v>0</v>
      </c>
      <c r="I15" s="387">
        <v>29</v>
      </c>
      <c r="J15" s="387">
        <v>99</v>
      </c>
      <c r="K15" s="387">
        <v>162</v>
      </c>
      <c r="L15" s="387">
        <v>146</v>
      </c>
      <c r="M15" s="387">
        <v>278</v>
      </c>
      <c r="N15" s="387">
        <v>857</v>
      </c>
      <c r="O15" s="388" t="s">
        <v>353</v>
      </c>
      <c r="V15" s="379"/>
      <c r="W15" s="379"/>
      <c r="X15" s="379"/>
      <c r="Y15" s="379"/>
      <c r="Z15" s="379"/>
      <c r="AA15" s="379"/>
      <c r="AB15" s="379"/>
      <c r="AC15" s="379"/>
      <c r="AD15" s="379"/>
      <c r="AE15" s="379"/>
      <c r="AF15" s="379"/>
      <c r="AG15" s="379"/>
      <c r="AH15" s="379"/>
    </row>
    <row r="16" spans="1:34" s="378" customFormat="1" ht="18" customHeight="1">
      <c r="A16" s="385" t="s">
        <v>354</v>
      </c>
      <c r="B16" s="386">
        <f t="shared" si="3"/>
        <v>6800</v>
      </c>
      <c r="C16" s="387">
        <v>2026</v>
      </c>
      <c r="D16" s="387">
        <v>1482</v>
      </c>
      <c r="E16" s="387">
        <v>509</v>
      </c>
      <c r="F16" s="387">
        <v>0</v>
      </c>
      <c r="G16" s="387">
        <v>0</v>
      </c>
      <c r="H16" s="387">
        <v>0</v>
      </c>
      <c r="I16" s="387">
        <v>17</v>
      </c>
      <c r="J16" s="387">
        <v>29</v>
      </c>
      <c r="K16" s="387">
        <v>42</v>
      </c>
      <c r="L16" s="387">
        <v>160</v>
      </c>
      <c r="M16" s="387">
        <v>447</v>
      </c>
      <c r="N16" s="387">
        <v>2088</v>
      </c>
      <c r="O16" s="388" t="s">
        <v>355</v>
      </c>
      <c r="P16" s="374"/>
      <c r="V16" s="379"/>
      <c r="W16" s="379"/>
      <c r="X16" s="379"/>
      <c r="Y16" s="379"/>
      <c r="Z16" s="379"/>
      <c r="AA16" s="379"/>
      <c r="AB16" s="379"/>
      <c r="AC16" s="379"/>
      <c r="AD16" s="379"/>
      <c r="AE16" s="379"/>
      <c r="AF16" s="379"/>
      <c r="AG16" s="379"/>
      <c r="AH16" s="379"/>
    </row>
    <row r="17" spans="1:34" s="378" customFormat="1" ht="18" customHeight="1">
      <c r="A17" s="385" t="s">
        <v>356</v>
      </c>
      <c r="B17" s="386">
        <f t="shared" si="3"/>
        <v>61387</v>
      </c>
      <c r="C17" s="387">
        <v>12531</v>
      </c>
      <c r="D17" s="387">
        <v>9690</v>
      </c>
      <c r="E17" s="387">
        <v>6728</v>
      </c>
      <c r="F17" s="387">
        <v>0</v>
      </c>
      <c r="G17" s="387">
        <v>0</v>
      </c>
      <c r="H17" s="387">
        <v>0</v>
      </c>
      <c r="I17" s="387">
        <v>52</v>
      </c>
      <c r="J17" s="387">
        <v>423</v>
      </c>
      <c r="K17" s="387">
        <v>2065</v>
      </c>
      <c r="L17" s="387">
        <v>5995</v>
      </c>
      <c r="M17" s="387">
        <v>8580</v>
      </c>
      <c r="N17" s="387">
        <v>15323</v>
      </c>
      <c r="O17" s="388" t="s">
        <v>53</v>
      </c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79"/>
      <c r="AG17" s="379"/>
      <c r="AH17" s="379"/>
    </row>
    <row r="18" spans="1:34" s="378" customFormat="1" ht="18" customHeight="1">
      <c r="A18" s="385" t="s">
        <v>357</v>
      </c>
      <c r="B18" s="386">
        <f t="shared" si="3"/>
        <v>4498</v>
      </c>
      <c r="C18" s="387">
        <v>934</v>
      </c>
      <c r="D18" s="387">
        <v>1514</v>
      </c>
      <c r="E18" s="387">
        <v>440</v>
      </c>
      <c r="F18" s="387">
        <v>0</v>
      </c>
      <c r="G18" s="387">
        <v>1</v>
      </c>
      <c r="H18" s="387">
        <v>0</v>
      </c>
      <c r="I18" s="387">
        <v>6</v>
      </c>
      <c r="J18" s="387">
        <v>21</v>
      </c>
      <c r="K18" s="387">
        <v>15</v>
      </c>
      <c r="L18" s="387">
        <v>115</v>
      </c>
      <c r="M18" s="387">
        <v>239</v>
      </c>
      <c r="N18" s="387">
        <v>1213</v>
      </c>
      <c r="O18" s="388" t="s">
        <v>55</v>
      </c>
      <c r="P18" s="374"/>
      <c r="V18" s="379"/>
      <c r="W18" s="379"/>
      <c r="X18" s="379"/>
      <c r="Y18" s="379"/>
      <c r="Z18" s="379"/>
      <c r="AA18" s="379"/>
      <c r="AB18" s="379"/>
      <c r="AC18" s="379"/>
      <c r="AD18" s="379"/>
      <c r="AE18" s="379"/>
      <c r="AF18" s="379"/>
      <c r="AG18" s="379"/>
      <c r="AH18" s="379"/>
    </row>
    <row r="19" spans="1:34" s="378" customFormat="1" ht="18" customHeight="1">
      <c r="A19" s="385" t="s">
        <v>358</v>
      </c>
      <c r="B19" s="386">
        <f t="shared" si="3"/>
        <v>10343</v>
      </c>
      <c r="C19" s="387">
        <v>2434</v>
      </c>
      <c r="D19" s="387">
        <v>1389</v>
      </c>
      <c r="E19" s="387">
        <v>732</v>
      </c>
      <c r="F19" s="387">
        <v>0</v>
      </c>
      <c r="G19" s="387">
        <v>0</v>
      </c>
      <c r="H19" s="387">
        <v>0</v>
      </c>
      <c r="I19" s="387">
        <v>30</v>
      </c>
      <c r="J19" s="387">
        <v>252</v>
      </c>
      <c r="K19" s="387">
        <v>218</v>
      </c>
      <c r="L19" s="387">
        <v>1033</v>
      </c>
      <c r="M19" s="387">
        <v>1245</v>
      </c>
      <c r="N19" s="387">
        <v>3010</v>
      </c>
      <c r="O19" s="388" t="s">
        <v>359</v>
      </c>
    </row>
    <row r="20" spans="1:34" s="378" customFormat="1" ht="18" customHeight="1">
      <c r="A20" s="385" t="s">
        <v>360</v>
      </c>
      <c r="B20" s="386">
        <f t="shared" si="3"/>
        <v>2967</v>
      </c>
      <c r="C20" s="387">
        <v>807</v>
      </c>
      <c r="D20" s="387">
        <v>525</v>
      </c>
      <c r="E20" s="387">
        <v>171</v>
      </c>
      <c r="F20" s="387">
        <v>0</v>
      </c>
      <c r="G20" s="387">
        <v>0</v>
      </c>
      <c r="H20" s="387">
        <v>0</v>
      </c>
      <c r="I20" s="387">
        <v>10</v>
      </c>
      <c r="J20" s="387">
        <v>23</v>
      </c>
      <c r="K20" s="387">
        <v>45</v>
      </c>
      <c r="L20" s="387">
        <v>122</v>
      </c>
      <c r="M20" s="387">
        <v>275</v>
      </c>
      <c r="N20" s="387">
        <v>989</v>
      </c>
      <c r="O20" s="388" t="s">
        <v>71</v>
      </c>
      <c r="P20" s="374"/>
      <c r="V20" s="378" t="s">
        <v>195</v>
      </c>
      <c r="W20" s="378" t="s">
        <v>196</v>
      </c>
      <c r="X20" s="378" t="s">
        <v>197</v>
      </c>
      <c r="Y20" s="378" t="s">
        <v>198</v>
      </c>
      <c r="Z20" s="378" t="s">
        <v>185</v>
      </c>
      <c r="AA20" s="378" t="s">
        <v>199</v>
      </c>
      <c r="AB20" s="378" t="s">
        <v>200</v>
      </c>
      <c r="AC20" s="378" t="s">
        <v>201</v>
      </c>
      <c r="AD20" s="378" t="s">
        <v>202</v>
      </c>
      <c r="AE20" s="378" t="s">
        <v>203</v>
      </c>
      <c r="AF20" s="378" t="s">
        <v>204</v>
      </c>
      <c r="AG20" s="378" t="s">
        <v>205</v>
      </c>
    </row>
    <row r="21" spans="1:34" s="378" customFormat="1" ht="18" customHeight="1">
      <c r="A21" s="383" t="s">
        <v>251</v>
      </c>
      <c r="B21" s="386">
        <f t="shared" si="3"/>
        <v>67822</v>
      </c>
      <c r="C21" s="390">
        <f>SUM(C22:C28)</f>
        <v>15264</v>
      </c>
      <c r="D21" s="390">
        <f t="shared" ref="D21:N21" si="4">SUM(D22:D28)</f>
        <v>21059</v>
      </c>
      <c r="E21" s="390">
        <f t="shared" si="4"/>
        <v>8978</v>
      </c>
      <c r="F21" s="390">
        <f t="shared" si="4"/>
        <v>0</v>
      </c>
      <c r="G21" s="390">
        <f t="shared" si="4"/>
        <v>0</v>
      </c>
      <c r="H21" s="390">
        <f t="shared" si="4"/>
        <v>1</v>
      </c>
      <c r="I21" s="390">
        <f t="shared" si="4"/>
        <v>307</v>
      </c>
      <c r="J21" s="390">
        <f t="shared" si="4"/>
        <v>795</v>
      </c>
      <c r="K21" s="390">
        <f t="shared" si="4"/>
        <v>728</v>
      </c>
      <c r="L21" s="390">
        <f t="shared" si="4"/>
        <v>2216</v>
      </c>
      <c r="M21" s="390">
        <f t="shared" si="4"/>
        <v>2469</v>
      </c>
      <c r="N21" s="390">
        <f t="shared" si="4"/>
        <v>16005</v>
      </c>
      <c r="O21" s="391" t="s">
        <v>361</v>
      </c>
      <c r="U21" s="378" t="s">
        <v>16</v>
      </c>
      <c r="V21" s="379">
        <f>C5</f>
        <v>173347</v>
      </c>
      <c r="W21" s="379">
        <f t="shared" ref="W21:AG21" si="5">D5</f>
        <v>149785</v>
      </c>
      <c r="X21" s="379">
        <f t="shared" si="5"/>
        <v>59630</v>
      </c>
      <c r="Y21" s="379">
        <f t="shared" si="5"/>
        <v>13</v>
      </c>
      <c r="Z21" s="379">
        <f t="shared" si="5"/>
        <v>41</v>
      </c>
      <c r="AA21" s="379">
        <f t="shared" si="5"/>
        <v>1</v>
      </c>
      <c r="AB21" s="379">
        <f t="shared" si="5"/>
        <v>1752</v>
      </c>
      <c r="AC21" s="379">
        <f t="shared" si="5"/>
        <v>7636</v>
      </c>
      <c r="AD21" s="379">
        <f t="shared" si="5"/>
        <v>9605</v>
      </c>
      <c r="AE21" s="379">
        <f t="shared" si="5"/>
        <v>21515</v>
      </c>
      <c r="AF21" s="379">
        <f t="shared" si="5"/>
        <v>35757</v>
      </c>
      <c r="AG21" s="379">
        <f t="shared" si="5"/>
        <v>96412</v>
      </c>
      <c r="AH21" s="379">
        <f>SUM(V21:AG21)</f>
        <v>555494</v>
      </c>
    </row>
    <row r="22" spans="1:34" s="378" customFormat="1" ht="18" customHeight="1">
      <c r="A22" s="385" t="s">
        <v>362</v>
      </c>
      <c r="B22" s="386">
        <f t="shared" si="3"/>
        <v>3938</v>
      </c>
      <c r="C22" s="387">
        <v>1121</v>
      </c>
      <c r="D22" s="387">
        <v>1849</v>
      </c>
      <c r="E22" s="387">
        <v>460</v>
      </c>
      <c r="F22" s="387">
        <v>0</v>
      </c>
      <c r="G22" s="387">
        <v>0</v>
      </c>
      <c r="H22" s="387">
        <v>0</v>
      </c>
      <c r="I22" s="387">
        <v>28</v>
      </c>
      <c r="J22" s="387">
        <v>13</v>
      </c>
      <c r="K22" s="387">
        <v>29</v>
      </c>
      <c r="L22" s="387">
        <v>89</v>
      </c>
      <c r="M22" s="387">
        <v>76</v>
      </c>
      <c r="N22" s="387">
        <v>273</v>
      </c>
      <c r="O22" s="388" t="s">
        <v>363</v>
      </c>
      <c r="P22" s="374"/>
      <c r="U22" s="378" t="s">
        <v>18</v>
      </c>
      <c r="V22" s="379">
        <f>C7+C21+C29+C38+C46</f>
        <v>94725</v>
      </c>
      <c r="W22" s="379">
        <f t="shared" ref="W22:AG22" si="6">D7+D21+D29+D38+D46</f>
        <v>102348</v>
      </c>
      <c r="X22" s="379">
        <f t="shared" si="6"/>
        <v>42015</v>
      </c>
      <c r="Y22" s="379">
        <f t="shared" si="6"/>
        <v>0</v>
      </c>
      <c r="Z22" s="379">
        <f t="shared" si="6"/>
        <v>37</v>
      </c>
      <c r="AA22" s="379">
        <f t="shared" si="6"/>
        <v>1</v>
      </c>
      <c r="AB22" s="379">
        <f t="shared" si="6"/>
        <v>1044</v>
      </c>
      <c r="AC22" s="379">
        <f t="shared" si="6"/>
        <v>3828</v>
      </c>
      <c r="AD22" s="379">
        <f t="shared" si="6"/>
        <v>5519</v>
      </c>
      <c r="AE22" s="379">
        <f t="shared" si="6"/>
        <v>14823</v>
      </c>
      <c r="AF22" s="379">
        <f t="shared" si="6"/>
        <v>20522</v>
      </c>
      <c r="AG22" s="379">
        <f t="shared" si="6"/>
        <v>63487</v>
      </c>
      <c r="AH22" s="379">
        <f>SUM(V22:AG22)</f>
        <v>348349</v>
      </c>
    </row>
    <row r="23" spans="1:34" s="378" customFormat="1" ht="18" customHeight="1">
      <c r="A23" s="385" t="s">
        <v>364</v>
      </c>
      <c r="B23" s="386">
        <f t="shared" si="3"/>
        <v>2128</v>
      </c>
      <c r="C23" s="387">
        <v>771</v>
      </c>
      <c r="D23" s="387">
        <v>864</v>
      </c>
      <c r="E23" s="387">
        <v>263</v>
      </c>
      <c r="F23" s="387">
        <v>0</v>
      </c>
      <c r="G23" s="387">
        <v>0</v>
      </c>
      <c r="H23" s="387">
        <v>0</v>
      </c>
      <c r="I23" s="387">
        <v>4</v>
      </c>
      <c r="J23" s="387">
        <v>4</v>
      </c>
      <c r="K23" s="387">
        <v>7</v>
      </c>
      <c r="L23" s="387">
        <v>36</v>
      </c>
      <c r="M23" s="387">
        <v>46</v>
      </c>
      <c r="N23" s="387">
        <v>133</v>
      </c>
      <c r="O23" s="388" t="s">
        <v>29</v>
      </c>
      <c r="U23" s="378" t="s">
        <v>72</v>
      </c>
      <c r="V23" s="379">
        <f>C50</f>
        <v>58762</v>
      </c>
      <c r="W23" s="379">
        <f t="shared" ref="W23:AG23" si="7">D50</f>
        <v>31785</v>
      </c>
      <c r="X23" s="379">
        <f t="shared" si="7"/>
        <v>10953</v>
      </c>
      <c r="Y23" s="379">
        <f t="shared" si="7"/>
        <v>12</v>
      </c>
      <c r="Z23" s="379">
        <f t="shared" si="7"/>
        <v>4</v>
      </c>
      <c r="AA23" s="379">
        <v>0</v>
      </c>
      <c r="AB23" s="379">
        <f t="shared" si="7"/>
        <v>122</v>
      </c>
      <c r="AC23" s="379">
        <f t="shared" si="7"/>
        <v>545</v>
      </c>
      <c r="AD23" s="379">
        <f t="shared" si="7"/>
        <v>712</v>
      </c>
      <c r="AE23" s="379">
        <f t="shared" si="7"/>
        <v>2127</v>
      </c>
      <c r="AF23" s="379">
        <f t="shared" si="7"/>
        <v>8558</v>
      </c>
      <c r="AG23" s="379">
        <f t="shared" si="7"/>
        <v>20699</v>
      </c>
      <c r="AH23" s="379">
        <f>SUM(V23:AG23)</f>
        <v>134279</v>
      </c>
    </row>
    <row r="24" spans="1:34" s="378" customFormat="1" ht="18" customHeight="1">
      <c r="A24" s="385" t="s">
        <v>365</v>
      </c>
      <c r="B24" s="386">
        <f t="shared" si="3"/>
        <v>1688</v>
      </c>
      <c r="C24" s="387">
        <v>392</v>
      </c>
      <c r="D24" s="387">
        <v>413</v>
      </c>
      <c r="E24" s="387">
        <v>184</v>
      </c>
      <c r="F24" s="387">
        <v>0</v>
      </c>
      <c r="G24" s="387">
        <v>0</v>
      </c>
      <c r="H24" s="387">
        <v>0</v>
      </c>
      <c r="I24" s="387">
        <v>12</v>
      </c>
      <c r="J24" s="387">
        <v>22</v>
      </c>
      <c r="K24" s="387">
        <v>23</v>
      </c>
      <c r="L24" s="387">
        <v>77</v>
      </c>
      <c r="M24" s="387">
        <v>112</v>
      </c>
      <c r="N24" s="387">
        <v>453</v>
      </c>
      <c r="O24" s="388" t="s">
        <v>366</v>
      </c>
      <c r="P24" s="374"/>
      <c r="U24" s="378" t="s">
        <v>367</v>
      </c>
      <c r="V24" s="379">
        <f>V21-V22-V23</f>
        <v>19860</v>
      </c>
      <c r="W24" s="378">
        <f t="shared" ref="W24:AG24" si="8">W21-W22-W23</f>
        <v>15652</v>
      </c>
      <c r="X24" s="378">
        <f t="shared" si="8"/>
        <v>6662</v>
      </c>
      <c r="Y24" s="378">
        <f t="shared" si="8"/>
        <v>1</v>
      </c>
      <c r="Z24" s="378">
        <f t="shared" si="8"/>
        <v>0</v>
      </c>
      <c r="AA24" s="378">
        <f t="shared" si="8"/>
        <v>0</v>
      </c>
      <c r="AB24" s="378">
        <f t="shared" si="8"/>
        <v>586</v>
      </c>
      <c r="AC24" s="378">
        <f t="shared" si="8"/>
        <v>3263</v>
      </c>
      <c r="AD24" s="378">
        <f t="shared" si="8"/>
        <v>3374</v>
      </c>
      <c r="AE24" s="378">
        <f t="shared" si="8"/>
        <v>4565</v>
      </c>
      <c r="AF24" s="378">
        <f t="shared" si="8"/>
        <v>6677</v>
      </c>
      <c r="AG24" s="378">
        <f t="shared" si="8"/>
        <v>12226</v>
      </c>
      <c r="AH24" s="379">
        <f>SUM(V24:AG24)</f>
        <v>72866</v>
      </c>
    </row>
    <row r="25" spans="1:34" s="378" customFormat="1" ht="18" customHeight="1">
      <c r="A25" s="385" t="s">
        <v>368</v>
      </c>
      <c r="B25" s="386">
        <f t="shared" si="3"/>
        <v>1624</v>
      </c>
      <c r="C25" s="387">
        <v>435</v>
      </c>
      <c r="D25" s="387">
        <v>875</v>
      </c>
      <c r="E25" s="387">
        <v>179</v>
      </c>
      <c r="F25" s="387">
        <v>0</v>
      </c>
      <c r="G25" s="387">
        <v>0</v>
      </c>
      <c r="H25" s="387">
        <v>0</v>
      </c>
      <c r="I25" s="387">
        <v>0</v>
      </c>
      <c r="J25" s="387">
        <v>15</v>
      </c>
      <c r="K25" s="387">
        <v>5</v>
      </c>
      <c r="L25" s="387">
        <v>14</v>
      </c>
      <c r="M25" s="387">
        <v>21</v>
      </c>
      <c r="N25" s="387">
        <v>80</v>
      </c>
      <c r="O25" s="388" t="s">
        <v>369</v>
      </c>
      <c r="U25" s="283"/>
      <c r="V25" s="284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</row>
    <row r="26" spans="1:34" s="378" customFormat="1" ht="18" customHeight="1">
      <c r="A26" s="385" t="s">
        <v>370</v>
      </c>
      <c r="B26" s="386">
        <f t="shared" si="3"/>
        <v>5613</v>
      </c>
      <c r="C26" s="387">
        <v>1783</v>
      </c>
      <c r="D26" s="387">
        <v>2210</v>
      </c>
      <c r="E26" s="387">
        <v>592</v>
      </c>
      <c r="F26" s="387">
        <v>0</v>
      </c>
      <c r="G26" s="387">
        <v>0</v>
      </c>
      <c r="H26" s="387">
        <v>0</v>
      </c>
      <c r="I26" s="387">
        <v>6</v>
      </c>
      <c r="J26" s="387">
        <v>25</v>
      </c>
      <c r="K26" s="387">
        <v>36</v>
      </c>
      <c r="L26" s="387">
        <v>219</v>
      </c>
      <c r="M26" s="387">
        <v>120</v>
      </c>
      <c r="N26" s="387">
        <v>622</v>
      </c>
      <c r="O26" s="388" t="s">
        <v>371</v>
      </c>
      <c r="P26" s="374"/>
      <c r="U26" s="283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</row>
    <row r="27" spans="1:34" s="378" customFormat="1" ht="18" customHeight="1">
      <c r="A27" s="385" t="s">
        <v>372</v>
      </c>
      <c r="B27" s="386">
        <f t="shared" si="3"/>
        <v>52720</v>
      </c>
      <c r="C27" s="387">
        <v>10734</v>
      </c>
      <c r="D27" s="387">
        <v>14796</v>
      </c>
      <c r="E27" s="387">
        <v>7288</v>
      </c>
      <c r="F27" s="387">
        <v>0</v>
      </c>
      <c r="G27" s="387">
        <v>0</v>
      </c>
      <c r="H27" s="387">
        <v>1</v>
      </c>
      <c r="I27" s="387">
        <v>256</v>
      </c>
      <c r="J27" s="387">
        <v>715</v>
      </c>
      <c r="K27" s="387">
        <v>628</v>
      </c>
      <c r="L27" s="387">
        <v>1780</v>
      </c>
      <c r="M27" s="387">
        <v>2091</v>
      </c>
      <c r="N27" s="387">
        <v>14431</v>
      </c>
      <c r="O27" s="388" t="s">
        <v>69</v>
      </c>
      <c r="U27" s="379"/>
      <c r="V27" s="284"/>
      <c r="W27" s="284"/>
      <c r="X27" s="284"/>
      <c r="Y27" s="284"/>
      <c r="Z27" s="284"/>
      <c r="AA27" s="284"/>
      <c r="AB27" s="284"/>
      <c r="AC27" s="284"/>
      <c r="AD27" s="284"/>
      <c r="AE27" s="284"/>
      <c r="AF27" s="284"/>
      <c r="AG27" s="284"/>
    </row>
    <row r="28" spans="1:34" s="378" customFormat="1" ht="18" customHeight="1">
      <c r="A28" s="385" t="s">
        <v>360</v>
      </c>
      <c r="B28" s="386">
        <f t="shared" si="3"/>
        <v>111</v>
      </c>
      <c r="C28" s="387">
        <v>28</v>
      </c>
      <c r="D28" s="387">
        <v>52</v>
      </c>
      <c r="E28" s="387">
        <v>12</v>
      </c>
      <c r="F28" s="387">
        <v>0</v>
      </c>
      <c r="G28" s="387">
        <v>0</v>
      </c>
      <c r="H28" s="387">
        <v>0</v>
      </c>
      <c r="I28" s="387">
        <v>1</v>
      </c>
      <c r="J28" s="387">
        <v>1</v>
      </c>
      <c r="K28" s="387">
        <v>0</v>
      </c>
      <c r="L28" s="387">
        <v>1</v>
      </c>
      <c r="M28" s="387">
        <v>3</v>
      </c>
      <c r="N28" s="387">
        <v>13</v>
      </c>
      <c r="O28" s="388" t="s">
        <v>71</v>
      </c>
      <c r="P28" s="374"/>
      <c r="U28" s="382"/>
      <c r="V28" s="284"/>
      <c r="W28" s="379"/>
      <c r="X28" s="379"/>
      <c r="Y28" s="379"/>
      <c r="Z28" s="379"/>
      <c r="AA28" s="379"/>
      <c r="AB28" s="379"/>
      <c r="AC28" s="379"/>
      <c r="AD28" s="379"/>
      <c r="AE28" s="379"/>
      <c r="AF28" s="379"/>
      <c r="AG28" s="379"/>
    </row>
    <row r="29" spans="1:34" s="378" customFormat="1" ht="18" customHeight="1">
      <c r="A29" s="383" t="s">
        <v>253</v>
      </c>
      <c r="B29" s="386">
        <f>SUM(C29:N29)</f>
        <v>63150</v>
      </c>
      <c r="C29" s="390">
        <f>SUM(C30:C37)</f>
        <v>24902</v>
      </c>
      <c r="D29" s="390">
        <f t="shared" ref="D29:N29" si="9">SUM(D30:D37)</f>
        <v>24809</v>
      </c>
      <c r="E29" s="390">
        <f t="shared" si="9"/>
        <v>5700</v>
      </c>
      <c r="F29" s="390">
        <f t="shared" si="9"/>
        <v>0</v>
      </c>
      <c r="G29" s="390">
        <f t="shared" si="9"/>
        <v>1</v>
      </c>
      <c r="H29" s="390">
        <f t="shared" si="9"/>
        <v>0</v>
      </c>
      <c r="I29" s="390">
        <f t="shared" si="9"/>
        <v>153</v>
      </c>
      <c r="J29" s="390">
        <f t="shared" si="9"/>
        <v>939</v>
      </c>
      <c r="K29" s="390">
        <f t="shared" si="9"/>
        <v>786</v>
      </c>
      <c r="L29" s="390">
        <f t="shared" si="9"/>
        <v>1219</v>
      </c>
      <c r="M29" s="390">
        <f t="shared" si="9"/>
        <v>1209</v>
      </c>
      <c r="N29" s="390">
        <f t="shared" si="9"/>
        <v>3432</v>
      </c>
      <c r="O29" s="391" t="s">
        <v>373</v>
      </c>
      <c r="V29" s="284"/>
      <c r="W29" s="379"/>
      <c r="X29" s="379"/>
      <c r="Y29" s="379"/>
      <c r="Z29" s="379"/>
      <c r="AA29" s="379"/>
      <c r="AB29" s="379"/>
      <c r="AC29" s="379"/>
      <c r="AD29" s="379"/>
      <c r="AE29" s="379"/>
      <c r="AF29" s="379"/>
      <c r="AG29" s="379"/>
    </row>
    <row r="30" spans="1:34" s="378" customFormat="1" ht="18" customHeight="1">
      <c r="A30" s="385" t="s">
        <v>374</v>
      </c>
      <c r="B30" s="386">
        <f t="shared" si="3"/>
        <v>929</v>
      </c>
      <c r="C30" s="390">
        <v>433</v>
      </c>
      <c r="D30" s="390">
        <v>225</v>
      </c>
      <c r="E30" s="390">
        <v>115</v>
      </c>
      <c r="F30" s="387">
        <v>0</v>
      </c>
      <c r="G30" s="387">
        <v>0</v>
      </c>
      <c r="H30" s="387">
        <v>0</v>
      </c>
      <c r="I30" s="390">
        <v>4</v>
      </c>
      <c r="J30" s="390">
        <v>6</v>
      </c>
      <c r="K30" s="390">
        <v>7</v>
      </c>
      <c r="L30" s="390">
        <v>9</v>
      </c>
      <c r="M30" s="390">
        <v>45</v>
      </c>
      <c r="N30" s="390">
        <v>85</v>
      </c>
      <c r="O30" s="401" t="s">
        <v>375</v>
      </c>
      <c r="V30" s="284"/>
      <c r="W30" s="379"/>
      <c r="X30" s="379"/>
      <c r="Y30" s="379"/>
      <c r="Z30" s="379"/>
      <c r="AA30" s="379"/>
      <c r="AB30" s="379"/>
      <c r="AC30" s="379"/>
      <c r="AD30" s="379"/>
      <c r="AE30" s="379"/>
      <c r="AF30" s="379"/>
      <c r="AG30" s="379"/>
    </row>
    <row r="31" spans="1:34" s="378" customFormat="1" ht="18" customHeight="1">
      <c r="A31" s="385" t="s">
        <v>376</v>
      </c>
      <c r="B31" s="386">
        <f t="shared" si="3"/>
        <v>871</v>
      </c>
      <c r="C31" s="387">
        <v>245</v>
      </c>
      <c r="D31" s="387">
        <v>254</v>
      </c>
      <c r="E31" s="387">
        <v>102</v>
      </c>
      <c r="F31" s="387">
        <v>0</v>
      </c>
      <c r="G31" s="387">
        <v>0</v>
      </c>
      <c r="H31" s="387">
        <v>0</v>
      </c>
      <c r="I31" s="387">
        <v>8</v>
      </c>
      <c r="J31" s="387">
        <v>61</v>
      </c>
      <c r="K31" s="387">
        <v>24</v>
      </c>
      <c r="L31" s="387">
        <v>29</v>
      </c>
      <c r="M31" s="387">
        <v>36</v>
      </c>
      <c r="N31" s="387">
        <v>112</v>
      </c>
      <c r="O31" s="388" t="s">
        <v>35</v>
      </c>
      <c r="P31" s="374"/>
      <c r="V31" s="284"/>
      <c r="W31" s="379"/>
      <c r="X31" s="379"/>
      <c r="Y31" s="379"/>
      <c r="Z31" s="379"/>
      <c r="AA31" s="379"/>
      <c r="AB31" s="379"/>
      <c r="AC31" s="379"/>
      <c r="AD31" s="379"/>
      <c r="AE31" s="379"/>
      <c r="AF31" s="379"/>
      <c r="AG31" s="379"/>
    </row>
    <row r="32" spans="1:34" s="378" customFormat="1" ht="18" customHeight="1">
      <c r="A32" s="385" t="s">
        <v>377</v>
      </c>
      <c r="B32" s="386">
        <f t="shared" si="3"/>
        <v>46690</v>
      </c>
      <c r="C32" s="387">
        <v>20766</v>
      </c>
      <c r="D32" s="387">
        <v>19849</v>
      </c>
      <c r="E32" s="387">
        <v>3996</v>
      </c>
      <c r="F32" s="387">
        <v>0</v>
      </c>
      <c r="G32" s="387">
        <v>1</v>
      </c>
      <c r="H32" s="387">
        <v>0</v>
      </c>
      <c r="I32" s="387">
        <v>44</v>
      </c>
      <c r="J32" s="387">
        <v>513</v>
      </c>
      <c r="K32" s="387">
        <v>72</v>
      </c>
      <c r="L32" s="387">
        <v>137</v>
      </c>
      <c r="M32" s="387">
        <v>267</v>
      </c>
      <c r="N32" s="387">
        <v>1045</v>
      </c>
      <c r="O32" s="388" t="s">
        <v>43</v>
      </c>
      <c r="V32" s="284"/>
      <c r="W32" s="379"/>
      <c r="X32" s="379"/>
      <c r="Y32" s="379"/>
      <c r="Z32" s="379"/>
      <c r="AA32" s="379"/>
      <c r="AB32" s="379"/>
      <c r="AC32" s="379"/>
      <c r="AD32" s="379"/>
      <c r="AE32" s="379"/>
      <c r="AF32" s="379"/>
      <c r="AG32" s="379"/>
    </row>
    <row r="33" spans="1:22" s="378" customFormat="1" ht="18" customHeight="1">
      <c r="A33" s="385" t="s">
        <v>378</v>
      </c>
      <c r="B33" s="386">
        <f t="shared" si="3"/>
        <v>3206</v>
      </c>
      <c r="C33" s="387">
        <v>665</v>
      </c>
      <c r="D33" s="387">
        <v>1038</v>
      </c>
      <c r="E33" s="387">
        <v>352</v>
      </c>
      <c r="F33" s="387">
        <v>0</v>
      </c>
      <c r="G33" s="387">
        <v>0</v>
      </c>
      <c r="H33" s="387">
        <v>0</v>
      </c>
      <c r="I33" s="387">
        <v>12</v>
      </c>
      <c r="J33" s="387">
        <v>165</v>
      </c>
      <c r="K33" s="387">
        <v>150</v>
      </c>
      <c r="L33" s="387">
        <v>208</v>
      </c>
      <c r="M33" s="387">
        <v>162</v>
      </c>
      <c r="N33" s="387">
        <v>454</v>
      </c>
      <c r="O33" s="388" t="s">
        <v>51</v>
      </c>
      <c r="P33" s="374"/>
      <c r="V33" s="284"/>
    </row>
    <row r="34" spans="1:22" s="378" customFormat="1" ht="18" customHeight="1">
      <c r="A34" s="385" t="s">
        <v>379</v>
      </c>
      <c r="B34" s="386">
        <f t="shared" si="3"/>
        <v>1613</v>
      </c>
      <c r="C34" s="387">
        <v>396</v>
      </c>
      <c r="D34" s="387">
        <v>498</v>
      </c>
      <c r="E34" s="387">
        <v>122</v>
      </c>
      <c r="F34" s="387">
        <v>0</v>
      </c>
      <c r="G34" s="387">
        <v>0</v>
      </c>
      <c r="H34" s="387">
        <v>0</v>
      </c>
      <c r="I34" s="387">
        <v>10</v>
      </c>
      <c r="J34" s="387">
        <v>140</v>
      </c>
      <c r="K34" s="387">
        <v>51</v>
      </c>
      <c r="L34" s="387">
        <v>75</v>
      </c>
      <c r="M34" s="387">
        <v>108</v>
      </c>
      <c r="N34" s="387">
        <v>213</v>
      </c>
      <c r="O34" s="388" t="s">
        <v>380</v>
      </c>
      <c r="P34" s="374"/>
      <c r="V34" s="284"/>
    </row>
    <row r="35" spans="1:22" s="378" customFormat="1" ht="18" customHeight="1">
      <c r="A35" s="385" t="s">
        <v>381</v>
      </c>
      <c r="B35" s="386">
        <f t="shared" si="3"/>
        <v>1561</v>
      </c>
      <c r="C35" s="387">
        <v>405</v>
      </c>
      <c r="D35" s="387">
        <v>892</v>
      </c>
      <c r="E35" s="387">
        <v>126</v>
      </c>
      <c r="F35" s="387">
        <v>0</v>
      </c>
      <c r="G35" s="387">
        <v>0</v>
      </c>
      <c r="H35" s="387">
        <v>0</v>
      </c>
      <c r="I35" s="387">
        <v>2</v>
      </c>
      <c r="J35" s="387">
        <v>36</v>
      </c>
      <c r="K35" s="387">
        <v>0</v>
      </c>
      <c r="L35" s="387">
        <v>10</v>
      </c>
      <c r="M35" s="387">
        <v>18</v>
      </c>
      <c r="N35" s="387">
        <v>72</v>
      </c>
      <c r="O35" s="388" t="s">
        <v>382</v>
      </c>
      <c r="U35" s="379"/>
      <c r="V35" s="284"/>
    </row>
    <row r="36" spans="1:22" s="378" customFormat="1" ht="18" customHeight="1">
      <c r="A36" s="385" t="s">
        <v>383</v>
      </c>
      <c r="B36" s="386">
        <f t="shared" si="3"/>
        <v>6778</v>
      </c>
      <c r="C36" s="387">
        <v>1557</v>
      </c>
      <c r="D36" s="387">
        <v>1633</v>
      </c>
      <c r="E36" s="387">
        <v>713</v>
      </c>
      <c r="F36" s="387">
        <v>0</v>
      </c>
      <c r="G36" s="387">
        <v>0</v>
      </c>
      <c r="H36" s="387">
        <v>0</v>
      </c>
      <c r="I36" s="387">
        <v>62</v>
      </c>
      <c r="J36" s="387">
        <v>5</v>
      </c>
      <c r="K36" s="387">
        <v>466</v>
      </c>
      <c r="L36" s="387">
        <v>608</v>
      </c>
      <c r="M36" s="387">
        <v>492</v>
      </c>
      <c r="N36" s="387">
        <v>1242</v>
      </c>
      <c r="O36" s="388" t="s">
        <v>59</v>
      </c>
      <c r="P36" s="374"/>
      <c r="U36" s="382"/>
      <c r="V36" s="284"/>
    </row>
    <row r="37" spans="1:22" s="378" customFormat="1" ht="18" customHeight="1">
      <c r="A37" s="385" t="s">
        <v>360</v>
      </c>
      <c r="B37" s="386">
        <f t="shared" si="3"/>
        <v>1502</v>
      </c>
      <c r="C37" s="387">
        <v>435</v>
      </c>
      <c r="D37" s="387">
        <v>420</v>
      </c>
      <c r="E37" s="387">
        <v>174</v>
      </c>
      <c r="F37" s="387">
        <v>0</v>
      </c>
      <c r="G37" s="387">
        <v>0</v>
      </c>
      <c r="H37" s="387">
        <v>0</v>
      </c>
      <c r="I37" s="387">
        <v>11</v>
      </c>
      <c r="J37" s="387">
        <v>13</v>
      </c>
      <c r="K37" s="387">
        <v>16</v>
      </c>
      <c r="L37" s="387">
        <v>143</v>
      </c>
      <c r="M37" s="387">
        <v>81</v>
      </c>
      <c r="N37" s="387">
        <v>209</v>
      </c>
      <c r="O37" s="388" t="s">
        <v>71</v>
      </c>
      <c r="V37" s="284"/>
    </row>
    <row r="38" spans="1:22" s="378" customFormat="1" ht="18" customHeight="1">
      <c r="A38" s="383" t="s">
        <v>255</v>
      </c>
      <c r="B38" s="386">
        <f t="shared" si="3"/>
        <v>91696</v>
      </c>
      <c r="C38" s="390">
        <f>SUM(C39:C45)</f>
        <v>24416</v>
      </c>
      <c r="D38" s="390">
        <f t="shared" ref="D38:N38" si="10">SUM(D39:D45)</f>
        <v>32016</v>
      </c>
      <c r="E38" s="390">
        <f t="shared" si="10"/>
        <v>14672</v>
      </c>
      <c r="F38" s="390">
        <f t="shared" si="10"/>
        <v>0</v>
      </c>
      <c r="G38" s="390">
        <f t="shared" si="10"/>
        <v>13</v>
      </c>
      <c r="H38" s="390">
        <f t="shared" si="10"/>
        <v>0</v>
      </c>
      <c r="I38" s="390">
        <f t="shared" si="10"/>
        <v>298</v>
      </c>
      <c r="J38" s="390">
        <f t="shared" si="10"/>
        <v>771</v>
      </c>
      <c r="K38" s="390">
        <f t="shared" si="10"/>
        <v>831</v>
      </c>
      <c r="L38" s="390">
        <f t="shared" si="10"/>
        <v>2490</v>
      </c>
      <c r="M38" s="390">
        <f t="shared" si="10"/>
        <v>3907</v>
      </c>
      <c r="N38" s="390">
        <f t="shared" si="10"/>
        <v>12282</v>
      </c>
      <c r="O38" s="391" t="s">
        <v>384</v>
      </c>
      <c r="P38" s="374"/>
      <c r="V38" s="284"/>
    </row>
    <row r="39" spans="1:22" s="378" customFormat="1" ht="18" customHeight="1">
      <c r="A39" s="385" t="s">
        <v>385</v>
      </c>
      <c r="B39" s="386">
        <f t="shared" si="3"/>
        <v>8103</v>
      </c>
      <c r="C39" s="387">
        <v>2774</v>
      </c>
      <c r="D39" s="387">
        <v>3005</v>
      </c>
      <c r="E39" s="387">
        <v>1138</v>
      </c>
      <c r="F39" s="387">
        <v>0</v>
      </c>
      <c r="G39" s="387">
        <v>0</v>
      </c>
      <c r="H39" s="387">
        <v>0</v>
      </c>
      <c r="I39" s="387">
        <v>3</v>
      </c>
      <c r="J39" s="387">
        <v>65</v>
      </c>
      <c r="K39" s="387">
        <v>51</v>
      </c>
      <c r="L39" s="387">
        <v>136</v>
      </c>
      <c r="M39" s="387">
        <v>240</v>
      </c>
      <c r="N39" s="387">
        <v>691</v>
      </c>
      <c r="O39" s="388" t="s">
        <v>21</v>
      </c>
    </row>
    <row r="40" spans="1:22" s="378" customFormat="1" ht="18" customHeight="1">
      <c r="A40" s="385" t="s">
        <v>386</v>
      </c>
      <c r="B40" s="386">
        <f t="shared" si="3"/>
        <v>2921</v>
      </c>
      <c r="C40" s="387">
        <v>695</v>
      </c>
      <c r="D40" s="387">
        <v>1026</v>
      </c>
      <c r="E40" s="387">
        <v>418</v>
      </c>
      <c r="F40" s="387">
        <v>0</v>
      </c>
      <c r="G40" s="387">
        <v>0</v>
      </c>
      <c r="H40" s="387">
        <v>0</v>
      </c>
      <c r="I40" s="387">
        <v>9</v>
      </c>
      <c r="J40" s="387">
        <v>9</v>
      </c>
      <c r="K40" s="387">
        <v>19</v>
      </c>
      <c r="L40" s="387">
        <v>63</v>
      </c>
      <c r="M40" s="387">
        <v>125</v>
      </c>
      <c r="N40" s="387">
        <v>557</v>
      </c>
      <c r="O40" s="388" t="s">
        <v>23</v>
      </c>
      <c r="P40" s="374"/>
    </row>
    <row r="41" spans="1:22" s="378" customFormat="1" ht="18" customHeight="1">
      <c r="A41" s="385" t="s">
        <v>387</v>
      </c>
      <c r="B41" s="386">
        <f t="shared" si="3"/>
        <v>28031</v>
      </c>
      <c r="C41" s="387">
        <v>6955</v>
      </c>
      <c r="D41" s="387">
        <v>10787</v>
      </c>
      <c r="E41" s="387">
        <v>4042</v>
      </c>
      <c r="F41" s="387">
        <v>0</v>
      </c>
      <c r="G41" s="387">
        <v>1</v>
      </c>
      <c r="H41" s="387">
        <v>0</v>
      </c>
      <c r="I41" s="387">
        <v>58</v>
      </c>
      <c r="J41" s="387">
        <v>301</v>
      </c>
      <c r="K41" s="387">
        <v>279</v>
      </c>
      <c r="L41" s="387">
        <v>1093</v>
      </c>
      <c r="M41" s="387">
        <v>517</v>
      </c>
      <c r="N41" s="387">
        <v>3998</v>
      </c>
      <c r="O41" s="388" t="s">
        <v>31</v>
      </c>
    </row>
    <row r="42" spans="1:22" s="378" customFormat="1" ht="18" customHeight="1">
      <c r="A42" s="385" t="s">
        <v>388</v>
      </c>
      <c r="B42" s="386">
        <f t="shared" si="3"/>
        <v>36435</v>
      </c>
      <c r="C42" s="387">
        <v>9859</v>
      </c>
      <c r="D42" s="387">
        <v>11698</v>
      </c>
      <c r="E42" s="387">
        <v>6671</v>
      </c>
      <c r="F42" s="387">
        <v>0</v>
      </c>
      <c r="G42" s="387">
        <v>11</v>
      </c>
      <c r="H42" s="387">
        <v>0</v>
      </c>
      <c r="I42" s="387">
        <v>133</v>
      </c>
      <c r="J42" s="387">
        <v>306</v>
      </c>
      <c r="K42" s="387">
        <v>362</v>
      </c>
      <c r="L42" s="387">
        <v>949</v>
      </c>
      <c r="M42" s="387">
        <v>2083</v>
      </c>
      <c r="N42" s="387">
        <v>4363</v>
      </c>
      <c r="O42" s="388" t="s">
        <v>389</v>
      </c>
      <c r="P42" s="374"/>
    </row>
    <row r="43" spans="1:22" s="378" customFormat="1" ht="18" customHeight="1">
      <c r="A43" s="389" t="s">
        <v>390</v>
      </c>
      <c r="B43" s="386">
        <f t="shared" si="3"/>
        <v>3258</v>
      </c>
      <c r="C43" s="387">
        <v>1021</v>
      </c>
      <c r="D43" s="387">
        <v>1094</v>
      </c>
      <c r="E43" s="387">
        <v>472</v>
      </c>
      <c r="F43" s="387">
        <v>0</v>
      </c>
      <c r="G43" s="387">
        <v>1</v>
      </c>
      <c r="H43" s="387">
        <v>0</v>
      </c>
      <c r="I43" s="387">
        <v>16</v>
      </c>
      <c r="J43" s="387">
        <v>45</v>
      </c>
      <c r="K43" s="387">
        <v>55</v>
      </c>
      <c r="L43" s="387">
        <v>72</v>
      </c>
      <c r="M43" s="387">
        <v>120</v>
      </c>
      <c r="N43" s="387">
        <v>362</v>
      </c>
      <c r="O43" s="388" t="s">
        <v>391</v>
      </c>
    </row>
    <row r="44" spans="1:22" s="378" customFormat="1" ht="18" customHeight="1">
      <c r="A44" s="385" t="s">
        <v>392</v>
      </c>
      <c r="B44" s="386">
        <f t="shared" si="3"/>
        <v>12517</v>
      </c>
      <c r="C44" s="387">
        <v>3036</v>
      </c>
      <c r="D44" s="387">
        <v>4264</v>
      </c>
      <c r="E44" s="387">
        <v>1871</v>
      </c>
      <c r="F44" s="387">
        <v>0</v>
      </c>
      <c r="G44" s="387">
        <v>0</v>
      </c>
      <c r="H44" s="387">
        <v>0</v>
      </c>
      <c r="I44" s="387">
        <v>79</v>
      </c>
      <c r="J44" s="387">
        <v>42</v>
      </c>
      <c r="K44" s="387">
        <v>64</v>
      </c>
      <c r="L44" s="387">
        <v>165</v>
      </c>
      <c r="M44" s="387">
        <v>786</v>
      </c>
      <c r="N44" s="387">
        <v>2210</v>
      </c>
      <c r="O44" s="388" t="s">
        <v>393</v>
      </c>
      <c r="P44" s="374"/>
      <c r="S44" s="378" t="s">
        <v>394</v>
      </c>
    </row>
    <row r="45" spans="1:22" s="378" customFormat="1" ht="18" customHeight="1">
      <c r="A45" s="385" t="s">
        <v>360</v>
      </c>
      <c r="B45" s="386">
        <f t="shared" si="3"/>
        <v>431</v>
      </c>
      <c r="C45" s="387">
        <v>76</v>
      </c>
      <c r="D45" s="387">
        <v>142</v>
      </c>
      <c r="E45" s="387">
        <v>60</v>
      </c>
      <c r="F45" s="387">
        <v>0</v>
      </c>
      <c r="G45" s="387">
        <v>0</v>
      </c>
      <c r="H45" s="387">
        <v>0</v>
      </c>
      <c r="I45" s="387">
        <v>0</v>
      </c>
      <c r="J45" s="387">
        <v>3</v>
      </c>
      <c r="K45" s="387">
        <v>1</v>
      </c>
      <c r="L45" s="387">
        <v>12</v>
      </c>
      <c r="M45" s="387">
        <v>36</v>
      </c>
      <c r="N45" s="387">
        <v>101</v>
      </c>
      <c r="O45" s="388" t="s">
        <v>71</v>
      </c>
    </row>
    <row r="46" spans="1:22" s="378" customFormat="1" ht="23.25" customHeight="1">
      <c r="A46" s="392" t="s">
        <v>257</v>
      </c>
      <c r="B46" s="386">
        <f t="shared" si="3"/>
        <v>5298</v>
      </c>
      <c r="C46" s="390">
        <f>SUM(C47:C49)</f>
        <v>1863</v>
      </c>
      <c r="D46" s="390">
        <f t="shared" ref="D46:N46" si="11">SUM(D47:D49)</f>
        <v>1323</v>
      </c>
      <c r="E46" s="390">
        <f t="shared" si="11"/>
        <v>432</v>
      </c>
      <c r="F46" s="390">
        <f t="shared" si="11"/>
        <v>0</v>
      </c>
      <c r="G46" s="390">
        <f t="shared" si="11"/>
        <v>0</v>
      </c>
      <c r="H46" s="390">
        <f t="shared" si="11"/>
        <v>0</v>
      </c>
      <c r="I46" s="390">
        <f t="shared" si="11"/>
        <v>46</v>
      </c>
      <c r="J46" s="390">
        <f t="shared" si="11"/>
        <v>126</v>
      </c>
      <c r="K46" s="390">
        <f t="shared" si="11"/>
        <v>245</v>
      </c>
      <c r="L46" s="390">
        <f t="shared" si="11"/>
        <v>317</v>
      </c>
      <c r="M46" s="390">
        <f t="shared" si="11"/>
        <v>240</v>
      </c>
      <c r="N46" s="390">
        <f t="shared" si="11"/>
        <v>706</v>
      </c>
      <c r="O46" s="391" t="s">
        <v>395</v>
      </c>
      <c r="P46" s="374"/>
    </row>
    <row r="47" spans="1:22" s="378" customFormat="1" ht="18" customHeight="1">
      <c r="A47" s="389" t="s">
        <v>396</v>
      </c>
      <c r="B47" s="386">
        <f t="shared" si="3"/>
        <v>1782</v>
      </c>
      <c r="C47" s="387">
        <v>480</v>
      </c>
      <c r="D47" s="387">
        <v>519</v>
      </c>
      <c r="E47" s="387">
        <v>154</v>
      </c>
      <c r="F47" s="387">
        <v>0</v>
      </c>
      <c r="G47" s="387">
        <v>0</v>
      </c>
      <c r="H47" s="387">
        <v>0</v>
      </c>
      <c r="I47" s="387">
        <v>8</v>
      </c>
      <c r="J47" s="387">
        <v>47</v>
      </c>
      <c r="K47" s="387">
        <v>122</v>
      </c>
      <c r="L47" s="387">
        <v>138</v>
      </c>
      <c r="M47" s="387">
        <v>78</v>
      </c>
      <c r="N47" s="387">
        <v>236</v>
      </c>
      <c r="O47" s="388" t="s">
        <v>397</v>
      </c>
    </row>
    <row r="48" spans="1:22" s="378" customFormat="1" ht="18" customHeight="1">
      <c r="A48" s="385" t="s">
        <v>398</v>
      </c>
      <c r="B48" s="386">
        <f t="shared" si="3"/>
        <v>3164</v>
      </c>
      <c r="C48" s="387">
        <v>1327</v>
      </c>
      <c r="D48" s="387">
        <v>737</v>
      </c>
      <c r="E48" s="387">
        <v>257</v>
      </c>
      <c r="F48" s="387">
        <v>0</v>
      </c>
      <c r="G48" s="387">
        <v>0</v>
      </c>
      <c r="H48" s="387">
        <v>0</v>
      </c>
      <c r="I48" s="387">
        <v>34</v>
      </c>
      <c r="J48" s="387">
        <v>74</v>
      </c>
      <c r="K48" s="387">
        <v>118</v>
      </c>
      <c r="L48" s="387">
        <v>157</v>
      </c>
      <c r="M48" s="387">
        <v>121</v>
      </c>
      <c r="N48" s="387">
        <v>339</v>
      </c>
      <c r="O48" s="388" t="s">
        <v>399</v>
      </c>
      <c r="P48" s="374"/>
    </row>
    <row r="49" spans="1:16" s="378" customFormat="1" ht="18" customHeight="1">
      <c r="A49" s="393" t="s">
        <v>360</v>
      </c>
      <c r="B49" s="394">
        <f t="shared" si="3"/>
        <v>352</v>
      </c>
      <c r="C49" s="395">
        <v>56</v>
      </c>
      <c r="D49" s="395">
        <v>67</v>
      </c>
      <c r="E49" s="395">
        <v>21</v>
      </c>
      <c r="F49" s="395">
        <v>0</v>
      </c>
      <c r="G49" s="395">
        <v>0</v>
      </c>
      <c r="H49" s="395">
        <v>0</v>
      </c>
      <c r="I49" s="395">
        <v>4</v>
      </c>
      <c r="J49" s="395">
        <v>5</v>
      </c>
      <c r="K49" s="395">
        <v>5</v>
      </c>
      <c r="L49" s="395">
        <v>22</v>
      </c>
      <c r="M49" s="395">
        <v>41</v>
      </c>
      <c r="N49" s="395">
        <v>131</v>
      </c>
      <c r="O49" s="396" t="s">
        <v>71</v>
      </c>
    </row>
    <row r="50" spans="1:16" s="378" customFormat="1" ht="23.25" customHeight="1">
      <c r="A50" s="380" t="s">
        <v>72</v>
      </c>
      <c r="B50" s="284">
        <f t="shared" si="3"/>
        <v>134279</v>
      </c>
      <c r="C50" s="284">
        <f>C51+C57+C66</f>
        <v>58762</v>
      </c>
      <c r="D50" s="284">
        <f t="shared" ref="D50:N50" si="12">D51+D57+D66</f>
        <v>31785</v>
      </c>
      <c r="E50" s="284">
        <f t="shared" si="12"/>
        <v>10953</v>
      </c>
      <c r="F50" s="284">
        <f t="shared" si="12"/>
        <v>12</v>
      </c>
      <c r="G50" s="284">
        <f t="shared" si="12"/>
        <v>4</v>
      </c>
      <c r="H50" s="284">
        <f t="shared" si="12"/>
        <v>0</v>
      </c>
      <c r="I50" s="284">
        <f t="shared" si="12"/>
        <v>122</v>
      </c>
      <c r="J50" s="284">
        <f t="shared" si="12"/>
        <v>545</v>
      </c>
      <c r="K50" s="284">
        <f t="shared" si="12"/>
        <v>712</v>
      </c>
      <c r="L50" s="284">
        <f t="shared" si="12"/>
        <v>2127</v>
      </c>
      <c r="M50" s="284">
        <f t="shared" si="12"/>
        <v>8558</v>
      </c>
      <c r="N50" s="284">
        <f t="shared" si="12"/>
        <v>20699</v>
      </c>
      <c r="O50" s="397" t="s">
        <v>73</v>
      </c>
      <c r="P50" s="374"/>
    </row>
    <row r="51" spans="1:16" s="378" customFormat="1" ht="18" customHeight="1">
      <c r="A51" s="383" t="s">
        <v>259</v>
      </c>
      <c r="B51" s="386">
        <f t="shared" si="3"/>
        <v>51319</v>
      </c>
      <c r="C51" s="390">
        <f>SUM(C52:C56)</f>
        <v>38543</v>
      </c>
      <c r="D51" s="390">
        <f>SUM(D52:D56)</f>
        <v>9652</v>
      </c>
      <c r="E51" s="390">
        <f>SUM(E52:E56)</f>
        <v>2383</v>
      </c>
      <c r="F51" s="390">
        <f t="shared" ref="F51:N51" si="13">SUM(F52:F56)</f>
        <v>0</v>
      </c>
      <c r="G51" s="390">
        <f t="shared" si="13"/>
        <v>0</v>
      </c>
      <c r="H51" s="390">
        <f t="shared" si="13"/>
        <v>0</v>
      </c>
      <c r="I51" s="390">
        <f t="shared" si="13"/>
        <v>27</v>
      </c>
      <c r="J51" s="390">
        <f t="shared" si="13"/>
        <v>56</v>
      </c>
      <c r="K51" s="390">
        <f t="shared" si="13"/>
        <v>63</v>
      </c>
      <c r="L51" s="390">
        <f t="shared" si="13"/>
        <v>90</v>
      </c>
      <c r="M51" s="390">
        <f t="shared" si="13"/>
        <v>133</v>
      </c>
      <c r="N51" s="390">
        <f t="shared" si="13"/>
        <v>372</v>
      </c>
      <c r="O51" s="398" t="s">
        <v>400</v>
      </c>
    </row>
    <row r="52" spans="1:16" s="378" customFormat="1" ht="18" customHeight="1">
      <c r="A52" s="385" t="s">
        <v>401</v>
      </c>
      <c r="B52" s="386">
        <f t="shared" si="3"/>
        <v>34245</v>
      </c>
      <c r="C52" s="387">
        <v>31744</v>
      </c>
      <c r="D52" s="387">
        <v>1647</v>
      </c>
      <c r="E52" s="387">
        <v>498</v>
      </c>
      <c r="F52" s="387">
        <v>0</v>
      </c>
      <c r="G52" s="387">
        <v>0</v>
      </c>
      <c r="H52" s="387">
        <v>0</v>
      </c>
      <c r="I52" s="387">
        <v>16</v>
      </c>
      <c r="J52" s="387">
        <v>34</v>
      </c>
      <c r="K52" s="387">
        <v>33</v>
      </c>
      <c r="L52" s="387">
        <v>41</v>
      </c>
      <c r="M52" s="387">
        <v>61</v>
      </c>
      <c r="N52" s="387">
        <v>171</v>
      </c>
      <c r="O52" s="388" t="s">
        <v>77</v>
      </c>
      <c r="P52" s="374"/>
    </row>
    <row r="53" spans="1:16" s="378" customFormat="1" ht="18" customHeight="1">
      <c r="A53" s="385" t="s">
        <v>402</v>
      </c>
      <c r="B53" s="386">
        <f t="shared" si="3"/>
        <v>8479</v>
      </c>
      <c r="C53" s="387">
        <v>2808</v>
      </c>
      <c r="D53" s="387">
        <v>4052</v>
      </c>
      <c r="E53" s="387">
        <v>1442</v>
      </c>
      <c r="F53" s="387">
        <v>0</v>
      </c>
      <c r="G53" s="387">
        <v>0</v>
      </c>
      <c r="H53" s="387">
        <v>0</v>
      </c>
      <c r="I53" s="387">
        <v>6</v>
      </c>
      <c r="J53" s="387">
        <v>16</v>
      </c>
      <c r="K53" s="387">
        <v>14</v>
      </c>
      <c r="L53" s="387">
        <v>19</v>
      </c>
      <c r="M53" s="387">
        <v>27</v>
      </c>
      <c r="N53" s="387">
        <v>95</v>
      </c>
      <c r="O53" s="388" t="s">
        <v>83</v>
      </c>
    </row>
    <row r="54" spans="1:16" s="378" customFormat="1" ht="18" customHeight="1">
      <c r="A54" s="385" t="s">
        <v>403</v>
      </c>
      <c r="B54" s="386">
        <f t="shared" si="3"/>
        <v>5895</v>
      </c>
      <c r="C54" s="387">
        <v>2721</v>
      </c>
      <c r="D54" s="387">
        <v>2847</v>
      </c>
      <c r="E54" s="387">
        <v>154</v>
      </c>
      <c r="F54" s="387">
        <v>0</v>
      </c>
      <c r="G54" s="387">
        <v>0</v>
      </c>
      <c r="H54" s="387">
        <v>0</v>
      </c>
      <c r="I54" s="387">
        <v>4</v>
      </c>
      <c r="J54" s="387">
        <v>4</v>
      </c>
      <c r="K54" s="387">
        <v>14</v>
      </c>
      <c r="L54" s="387">
        <v>26</v>
      </c>
      <c r="M54" s="387">
        <v>38</v>
      </c>
      <c r="N54" s="387">
        <v>87</v>
      </c>
      <c r="O54" s="388" t="s">
        <v>85</v>
      </c>
      <c r="P54" s="374"/>
    </row>
    <row r="55" spans="1:16" s="378" customFormat="1" ht="18" customHeight="1">
      <c r="A55" s="385" t="s">
        <v>404</v>
      </c>
      <c r="B55" s="386">
        <f t="shared" si="3"/>
        <v>2628</v>
      </c>
      <c r="C55" s="387">
        <v>1226</v>
      </c>
      <c r="D55" s="387">
        <v>1093</v>
      </c>
      <c r="E55" s="387">
        <v>277</v>
      </c>
      <c r="F55" s="387">
        <v>0</v>
      </c>
      <c r="G55" s="387">
        <v>0</v>
      </c>
      <c r="H55" s="387">
        <v>0</v>
      </c>
      <c r="I55" s="387">
        <v>1</v>
      </c>
      <c r="J55" s="387">
        <v>2</v>
      </c>
      <c r="K55" s="387">
        <v>2</v>
      </c>
      <c r="L55" s="387">
        <v>3</v>
      </c>
      <c r="M55" s="387">
        <v>6</v>
      </c>
      <c r="N55" s="387">
        <v>18</v>
      </c>
      <c r="O55" s="388" t="s">
        <v>97</v>
      </c>
    </row>
    <row r="56" spans="1:16" s="378" customFormat="1" ht="18" customHeight="1">
      <c r="A56" s="385" t="s">
        <v>360</v>
      </c>
      <c r="B56" s="386">
        <f t="shared" si="3"/>
        <v>72</v>
      </c>
      <c r="C56" s="387">
        <v>44</v>
      </c>
      <c r="D56" s="387">
        <v>13</v>
      </c>
      <c r="E56" s="387">
        <v>12</v>
      </c>
      <c r="F56" s="387">
        <v>0</v>
      </c>
      <c r="G56" s="387">
        <v>0</v>
      </c>
      <c r="H56" s="387">
        <v>0</v>
      </c>
      <c r="I56" s="387">
        <v>0</v>
      </c>
      <c r="J56" s="387">
        <v>0</v>
      </c>
      <c r="K56" s="387">
        <v>0</v>
      </c>
      <c r="L56" s="387">
        <v>1</v>
      </c>
      <c r="M56" s="387">
        <v>1</v>
      </c>
      <c r="N56" s="387">
        <v>1</v>
      </c>
      <c r="O56" s="388" t="s">
        <v>71</v>
      </c>
      <c r="P56" s="374"/>
    </row>
    <row r="57" spans="1:16" s="378" customFormat="1" ht="18" customHeight="1">
      <c r="A57" s="383" t="s">
        <v>261</v>
      </c>
      <c r="B57" s="386">
        <f t="shared" si="3"/>
        <v>12746</v>
      </c>
      <c r="C57" s="390">
        <f>SUM(C58:C65)</f>
        <v>4198</v>
      </c>
      <c r="D57" s="390">
        <f t="shared" ref="D57:N57" si="14">SUM(D58:D65)</f>
        <v>4901</v>
      </c>
      <c r="E57" s="390">
        <f t="shared" si="14"/>
        <v>2482</v>
      </c>
      <c r="F57" s="390">
        <f t="shared" si="14"/>
        <v>0</v>
      </c>
      <c r="G57" s="390">
        <f t="shared" si="14"/>
        <v>0</v>
      </c>
      <c r="H57" s="390">
        <f t="shared" si="14"/>
        <v>0</v>
      </c>
      <c r="I57" s="390">
        <f t="shared" si="14"/>
        <v>33</v>
      </c>
      <c r="J57" s="390">
        <f t="shared" si="14"/>
        <v>117</v>
      </c>
      <c r="K57" s="390">
        <f t="shared" si="14"/>
        <v>74</v>
      </c>
      <c r="L57" s="390">
        <f t="shared" si="14"/>
        <v>150</v>
      </c>
      <c r="M57" s="390">
        <f t="shared" si="14"/>
        <v>260</v>
      </c>
      <c r="N57" s="390">
        <f t="shared" si="14"/>
        <v>531</v>
      </c>
      <c r="O57" s="398" t="s">
        <v>405</v>
      </c>
    </row>
    <row r="58" spans="1:16" s="378" customFormat="1" ht="18" customHeight="1">
      <c r="A58" s="385" t="s">
        <v>406</v>
      </c>
      <c r="B58" s="386">
        <f t="shared" si="3"/>
        <v>857</v>
      </c>
      <c r="C58" s="387">
        <v>292</v>
      </c>
      <c r="D58" s="387">
        <v>267</v>
      </c>
      <c r="E58" s="387">
        <v>141</v>
      </c>
      <c r="F58" s="387">
        <v>0</v>
      </c>
      <c r="G58" s="387">
        <v>0</v>
      </c>
      <c r="H58" s="387">
        <v>0</v>
      </c>
      <c r="I58" s="387">
        <v>9</v>
      </c>
      <c r="J58" s="387">
        <v>10</v>
      </c>
      <c r="K58" s="387">
        <v>6</v>
      </c>
      <c r="L58" s="387">
        <v>19</v>
      </c>
      <c r="M58" s="387">
        <v>55</v>
      </c>
      <c r="N58" s="387">
        <v>58</v>
      </c>
      <c r="O58" s="388" t="s">
        <v>81</v>
      </c>
      <c r="P58" s="374"/>
    </row>
    <row r="59" spans="1:16" s="378" customFormat="1" ht="18" customHeight="1">
      <c r="A59" s="385" t="s">
        <v>407</v>
      </c>
      <c r="B59" s="386">
        <f t="shared" si="3"/>
        <v>2946</v>
      </c>
      <c r="C59" s="387">
        <v>908</v>
      </c>
      <c r="D59" s="387">
        <v>1252</v>
      </c>
      <c r="E59" s="387">
        <v>714</v>
      </c>
      <c r="F59" s="387">
        <v>0</v>
      </c>
      <c r="G59" s="387">
        <v>0</v>
      </c>
      <c r="H59" s="387">
        <v>0</v>
      </c>
      <c r="I59" s="387">
        <v>1</v>
      </c>
      <c r="J59" s="387">
        <v>4</v>
      </c>
      <c r="K59" s="387">
        <v>10</v>
      </c>
      <c r="L59" s="387">
        <v>5</v>
      </c>
      <c r="M59" s="387">
        <v>9</v>
      </c>
      <c r="N59" s="387">
        <v>43</v>
      </c>
      <c r="O59" s="388" t="s">
        <v>87</v>
      </c>
    </row>
    <row r="60" spans="1:16" s="378" customFormat="1" ht="18" customHeight="1">
      <c r="A60" s="385" t="s">
        <v>408</v>
      </c>
      <c r="B60" s="386">
        <f t="shared" si="3"/>
        <v>171</v>
      </c>
      <c r="C60" s="387">
        <v>89</v>
      </c>
      <c r="D60" s="387">
        <v>57</v>
      </c>
      <c r="E60" s="387">
        <v>17</v>
      </c>
      <c r="F60" s="387">
        <v>0</v>
      </c>
      <c r="G60" s="387">
        <v>0</v>
      </c>
      <c r="H60" s="387">
        <v>0</v>
      </c>
      <c r="I60" s="387">
        <v>0</v>
      </c>
      <c r="J60" s="387">
        <v>0</v>
      </c>
      <c r="K60" s="387">
        <v>3</v>
      </c>
      <c r="L60" s="387">
        <v>2</v>
      </c>
      <c r="M60" s="387">
        <v>1</v>
      </c>
      <c r="N60" s="387">
        <v>2</v>
      </c>
      <c r="O60" s="388" t="s">
        <v>409</v>
      </c>
    </row>
    <row r="61" spans="1:16" s="378" customFormat="1" ht="18" customHeight="1">
      <c r="A61" s="385" t="s">
        <v>410</v>
      </c>
      <c r="B61" s="386">
        <f t="shared" si="3"/>
        <v>1756</v>
      </c>
      <c r="C61" s="387">
        <v>483</v>
      </c>
      <c r="D61" s="387">
        <v>496</v>
      </c>
      <c r="E61" s="387">
        <v>159</v>
      </c>
      <c r="F61" s="387">
        <v>0</v>
      </c>
      <c r="G61" s="387">
        <v>0</v>
      </c>
      <c r="H61" s="387">
        <v>0</v>
      </c>
      <c r="I61" s="387">
        <v>13</v>
      </c>
      <c r="J61" s="387">
        <v>78</v>
      </c>
      <c r="K61" s="387">
        <v>35</v>
      </c>
      <c r="L61" s="387">
        <v>92</v>
      </c>
      <c r="M61" s="387">
        <v>120</v>
      </c>
      <c r="N61" s="387">
        <v>280</v>
      </c>
      <c r="O61" s="388" t="s">
        <v>411</v>
      </c>
      <c r="P61" s="374"/>
    </row>
    <row r="62" spans="1:16" s="378" customFormat="1" ht="18" customHeight="1">
      <c r="A62" s="385" t="s">
        <v>412</v>
      </c>
      <c r="B62" s="386">
        <f t="shared" si="3"/>
        <v>2117</v>
      </c>
      <c r="C62" s="387">
        <v>692</v>
      </c>
      <c r="D62" s="387">
        <v>688</v>
      </c>
      <c r="E62" s="387">
        <v>640</v>
      </c>
      <c r="F62" s="387">
        <v>0</v>
      </c>
      <c r="G62" s="387">
        <v>0</v>
      </c>
      <c r="H62" s="387">
        <v>0</v>
      </c>
      <c r="I62" s="387">
        <v>4</v>
      </c>
      <c r="J62" s="387">
        <v>4</v>
      </c>
      <c r="K62" s="387">
        <v>5</v>
      </c>
      <c r="L62" s="387">
        <v>6</v>
      </c>
      <c r="M62" s="387">
        <v>29</v>
      </c>
      <c r="N62" s="387">
        <v>49</v>
      </c>
      <c r="O62" s="388" t="s">
        <v>413</v>
      </c>
    </row>
    <row r="63" spans="1:16" s="378" customFormat="1" ht="18" customHeight="1">
      <c r="A63" s="385" t="s">
        <v>414</v>
      </c>
      <c r="B63" s="386">
        <f t="shared" si="3"/>
        <v>3468</v>
      </c>
      <c r="C63" s="387">
        <v>939</v>
      </c>
      <c r="D63" s="387">
        <v>1704</v>
      </c>
      <c r="E63" s="387">
        <v>673</v>
      </c>
      <c r="F63" s="387">
        <v>0</v>
      </c>
      <c r="G63" s="387">
        <v>0</v>
      </c>
      <c r="H63" s="387">
        <v>0</v>
      </c>
      <c r="I63" s="387">
        <v>2</v>
      </c>
      <c r="J63" s="387">
        <v>15</v>
      </c>
      <c r="K63" s="387">
        <v>11</v>
      </c>
      <c r="L63" s="387">
        <v>18</v>
      </c>
      <c r="M63" s="387">
        <v>33</v>
      </c>
      <c r="N63" s="387">
        <v>73</v>
      </c>
      <c r="O63" s="388" t="s">
        <v>415</v>
      </c>
      <c r="P63" s="374"/>
    </row>
    <row r="64" spans="1:16" s="378" customFormat="1" ht="18" customHeight="1">
      <c r="A64" s="385" t="s">
        <v>416</v>
      </c>
      <c r="B64" s="386">
        <f t="shared" si="3"/>
        <v>1264</v>
      </c>
      <c r="C64" s="387">
        <v>744</v>
      </c>
      <c r="D64" s="387">
        <v>371</v>
      </c>
      <c r="E64" s="387">
        <v>100</v>
      </c>
      <c r="F64" s="387">
        <v>0</v>
      </c>
      <c r="G64" s="387">
        <v>0</v>
      </c>
      <c r="H64" s="387">
        <v>0</v>
      </c>
      <c r="I64" s="387">
        <v>3</v>
      </c>
      <c r="J64" s="387">
        <v>6</v>
      </c>
      <c r="K64" s="387">
        <v>2</v>
      </c>
      <c r="L64" s="387">
        <v>5</v>
      </c>
      <c r="M64" s="387">
        <v>10</v>
      </c>
      <c r="N64" s="387">
        <v>23</v>
      </c>
      <c r="O64" s="388" t="s">
        <v>417</v>
      </c>
      <c r="P64" s="374"/>
    </row>
    <row r="65" spans="1:16" s="378" customFormat="1" ht="18" customHeight="1">
      <c r="A65" s="385" t="s">
        <v>360</v>
      </c>
      <c r="B65" s="386">
        <f t="shared" si="3"/>
        <v>167</v>
      </c>
      <c r="C65" s="387">
        <v>51</v>
      </c>
      <c r="D65" s="387">
        <v>66</v>
      </c>
      <c r="E65" s="387">
        <v>38</v>
      </c>
      <c r="F65" s="387">
        <v>0</v>
      </c>
      <c r="G65" s="387">
        <v>0</v>
      </c>
      <c r="H65" s="387">
        <v>0</v>
      </c>
      <c r="I65" s="387">
        <v>1</v>
      </c>
      <c r="J65" s="387">
        <v>0</v>
      </c>
      <c r="K65" s="387">
        <v>2</v>
      </c>
      <c r="L65" s="387">
        <v>3</v>
      </c>
      <c r="M65" s="387">
        <v>3</v>
      </c>
      <c r="N65" s="387">
        <v>3</v>
      </c>
      <c r="O65" s="388" t="s">
        <v>71</v>
      </c>
    </row>
    <row r="66" spans="1:16" s="378" customFormat="1" ht="18" customHeight="1">
      <c r="A66" s="383" t="s">
        <v>263</v>
      </c>
      <c r="B66" s="386">
        <f t="shared" si="3"/>
        <v>70214</v>
      </c>
      <c r="C66" s="390">
        <f t="shared" ref="C66:N66" si="15">SUM(C67:C72)</f>
        <v>16021</v>
      </c>
      <c r="D66" s="390">
        <f t="shared" si="15"/>
        <v>17232</v>
      </c>
      <c r="E66" s="390">
        <f t="shared" si="15"/>
        <v>6088</v>
      </c>
      <c r="F66" s="390">
        <f t="shared" si="15"/>
        <v>12</v>
      </c>
      <c r="G66" s="390">
        <f t="shared" si="15"/>
        <v>4</v>
      </c>
      <c r="H66" s="390">
        <f t="shared" si="15"/>
        <v>0</v>
      </c>
      <c r="I66" s="390">
        <f t="shared" si="15"/>
        <v>62</v>
      </c>
      <c r="J66" s="390">
        <f t="shared" si="15"/>
        <v>372</v>
      </c>
      <c r="K66" s="390">
        <f t="shared" si="15"/>
        <v>575</v>
      </c>
      <c r="L66" s="390">
        <f t="shared" si="15"/>
        <v>1887</v>
      </c>
      <c r="M66" s="390">
        <f t="shared" si="15"/>
        <v>8165</v>
      </c>
      <c r="N66" s="390">
        <f t="shared" si="15"/>
        <v>19796</v>
      </c>
      <c r="O66" s="398" t="s">
        <v>418</v>
      </c>
      <c r="P66" s="374"/>
    </row>
    <row r="67" spans="1:16" s="378" customFormat="1" ht="18" customHeight="1">
      <c r="A67" s="385" t="s">
        <v>419</v>
      </c>
      <c r="B67" s="386">
        <f t="shared" si="3"/>
        <v>1139</v>
      </c>
      <c r="C67" s="387">
        <v>391</v>
      </c>
      <c r="D67" s="387">
        <v>296</v>
      </c>
      <c r="E67" s="387">
        <v>58</v>
      </c>
      <c r="F67" s="387">
        <v>11</v>
      </c>
      <c r="G67" s="387">
        <v>3</v>
      </c>
      <c r="H67" s="387">
        <v>0</v>
      </c>
      <c r="I67" s="387">
        <v>31</v>
      </c>
      <c r="J67" s="387">
        <v>27</v>
      </c>
      <c r="K67" s="387">
        <v>38</v>
      </c>
      <c r="L67" s="387">
        <v>73</v>
      </c>
      <c r="M67" s="387">
        <v>69</v>
      </c>
      <c r="N67" s="387">
        <v>142</v>
      </c>
      <c r="O67" s="399" t="s">
        <v>420</v>
      </c>
    </row>
    <row r="68" spans="1:16" s="378" customFormat="1" ht="18" customHeight="1">
      <c r="A68" s="385" t="s">
        <v>421</v>
      </c>
      <c r="B68" s="386">
        <f t="shared" si="3"/>
        <v>62931</v>
      </c>
      <c r="C68" s="387">
        <v>13845</v>
      </c>
      <c r="D68" s="387">
        <v>15521</v>
      </c>
      <c r="E68" s="387">
        <v>5496</v>
      </c>
      <c r="F68" s="387">
        <v>1</v>
      </c>
      <c r="G68" s="387">
        <v>1</v>
      </c>
      <c r="H68" s="387">
        <v>0</v>
      </c>
      <c r="I68" s="387">
        <v>2</v>
      </c>
      <c r="J68" s="387">
        <v>115</v>
      </c>
      <c r="K68" s="387">
        <v>308</v>
      </c>
      <c r="L68" s="387">
        <v>1396</v>
      </c>
      <c r="M68" s="387">
        <v>7609</v>
      </c>
      <c r="N68" s="387">
        <v>18637</v>
      </c>
      <c r="O68" s="399" t="s">
        <v>79</v>
      </c>
      <c r="P68" s="374"/>
    </row>
    <row r="69" spans="1:16" s="378" customFormat="1" ht="18" customHeight="1">
      <c r="A69" s="385" t="s">
        <v>422</v>
      </c>
      <c r="B69" s="386">
        <f t="shared" si="3"/>
        <v>642</v>
      </c>
      <c r="C69" s="387">
        <v>84</v>
      </c>
      <c r="D69" s="387">
        <v>62</v>
      </c>
      <c r="E69" s="387">
        <v>6</v>
      </c>
      <c r="F69" s="387">
        <v>0</v>
      </c>
      <c r="G69" s="387">
        <v>0</v>
      </c>
      <c r="H69" s="387">
        <v>0</v>
      </c>
      <c r="I69" s="387">
        <v>24</v>
      </c>
      <c r="J69" s="387">
        <v>56</v>
      </c>
      <c r="K69" s="387">
        <v>74</v>
      </c>
      <c r="L69" s="387">
        <v>129</v>
      </c>
      <c r="M69" s="387">
        <v>73</v>
      </c>
      <c r="N69" s="387">
        <v>134</v>
      </c>
      <c r="O69" s="399" t="s">
        <v>423</v>
      </c>
      <c r="P69" s="374"/>
    </row>
    <row r="70" spans="1:16" s="378" customFormat="1" ht="18" customHeight="1">
      <c r="A70" s="385" t="s">
        <v>424</v>
      </c>
      <c r="B70" s="386">
        <f t="shared" si="3"/>
        <v>2861</v>
      </c>
      <c r="C70" s="387">
        <v>568</v>
      </c>
      <c r="D70" s="387">
        <v>470</v>
      </c>
      <c r="E70" s="387">
        <v>176</v>
      </c>
      <c r="F70" s="387">
        <v>0</v>
      </c>
      <c r="G70" s="387">
        <v>0</v>
      </c>
      <c r="H70" s="387">
        <v>0</v>
      </c>
      <c r="I70" s="387">
        <v>3</v>
      </c>
      <c r="J70" s="387">
        <v>146</v>
      </c>
      <c r="K70" s="387">
        <v>145</v>
      </c>
      <c r="L70" s="387">
        <v>243</v>
      </c>
      <c r="M70" s="387">
        <v>358</v>
      </c>
      <c r="N70" s="387">
        <v>752</v>
      </c>
      <c r="O70" s="399" t="s">
        <v>89</v>
      </c>
    </row>
    <row r="71" spans="1:16" s="378" customFormat="1" ht="18" customHeight="1">
      <c r="A71" s="385" t="s">
        <v>425</v>
      </c>
      <c r="B71" s="386">
        <f t="shared" si="3"/>
        <v>2268</v>
      </c>
      <c r="C71" s="387">
        <v>1003</v>
      </c>
      <c r="D71" s="387">
        <v>773</v>
      </c>
      <c r="E71" s="387">
        <v>324</v>
      </c>
      <c r="F71" s="387">
        <v>0</v>
      </c>
      <c r="G71" s="387">
        <v>0</v>
      </c>
      <c r="H71" s="387">
        <v>0</v>
      </c>
      <c r="I71" s="387">
        <v>0</v>
      </c>
      <c r="J71" s="387">
        <v>22</v>
      </c>
      <c r="K71" s="387">
        <v>3</v>
      </c>
      <c r="L71" s="387">
        <v>30</v>
      </c>
      <c r="M71" s="387">
        <v>34</v>
      </c>
      <c r="N71" s="387">
        <v>79</v>
      </c>
      <c r="O71" s="399" t="s">
        <v>426</v>
      </c>
      <c r="P71" s="374"/>
    </row>
    <row r="72" spans="1:16" s="378" customFormat="1" ht="18" customHeight="1">
      <c r="A72" s="393" t="s">
        <v>360</v>
      </c>
      <c r="B72" s="394">
        <f t="shared" si="3"/>
        <v>373</v>
      </c>
      <c r="C72" s="395">
        <v>130</v>
      </c>
      <c r="D72" s="395">
        <v>110</v>
      </c>
      <c r="E72" s="395">
        <v>28</v>
      </c>
      <c r="F72" s="395">
        <v>0</v>
      </c>
      <c r="G72" s="395">
        <v>0</v>
      </c>
      <c r="H72" s="395">
        <v>0</v>
      </c>
      <c r="I72" s="395">
        <v>2</v>
      </c>
      <c r="J72" s="395">
        <v>6</v>
      </c>
      <c r="K72" s="395">
        <v>7</v>
      </c>
      <c r="L72" s="395">
        <v>16</v>
      </c>
      <c r="M72" s="395">
        <v>22</v>
      </c>
      <c r="N72" s="395">
        <v>52</v>
      </c>
      <c r="O72" s="396" t="s">
        <v>71</v>
      </c>
    </row>
    <row r="73" spans="1:16" s="378" customFormat="1" ht="20.25" customHeight="1">
      <c r="A73" s="380" t="s">
        <v>101</v>
      </c>
      <c r="B73" s="284">
        <f t="shared" si="3"/>
        <v>6458</v>
      </c>
      <c r="C73" s="284">
        <f>SUM(C74:C77)</f>
        <v>1536</v>
      </c>
      <c r="D73" s="284">
        <f t="shared" ref="D73:N73" si="16">SUM(D74:D77)</f>
        <v>1118</v>
      </c>
      <c r="E73" s="284">
        <f t="shared" si="16"/>
        <v>658</v>
      </c>
      <c r="F73" s="284">
        <f t="shared" si="16"/>
        <v>0</v>
      </c>
      <c r="G73" s="284">
        <f t="shared" si="16"/>
        <v>0</v>
      </c>
      <c r="H73" s="284">
        <f t="shared" si="16"/>
        <v>0</v>
      </c>
      <c r="I73" s="284">
        <f t="shared" si="16"/>
        <v>55</v>
      </c>
      <c r="J73" s="284">
        <f t="shared" si="16"/>
        <v>163</v>
      </c>
      <c r="K73" s="284">
        <f t="shared" si="16"/>
        <v>159</v>
      </c>
      <c r="L73" s="284">
        <f t="shared" si="16"/>
        <v>270</v>
      </c>
      <c r="M73" s="284">
        <f t="shared" si="16"/>
        <v>503</v>
      </c>
      <c r="N73" s="284">
        <f t="shared" si="16"/>
        <v>1996</v>
      </c>
      <c r="O73" s="397" t="s">
        <v>102</v>
      </c>
      <c r="P73" s="374"/>
    </row>
    <row r="74" spans="1:16" s="378" customFormat="1" ht="20.25" customHeight="1">
      <c r="A74" s="400" t="s">
        <v>427</v>
      </c>
      <c r="B74" s="284">
        <f>SUM(C74:N74)</f>
        <v>431</v>
      </c>
      <c r="C74" s="289">
        <v>104</v>
      </c>
      <c r="D74" s="289">
        <v>106</v>
      </c>
      <c r="E74" s="289">
        <v>104</v>
      </c>
      <c r="F74" s="387">
        <v>0</v>
      </c>
      <c r="G74" s="387">
        <v>0</v>
      </c>
      <c r="H74" s="387">
        <v>0</v>
      </c>
      <c r="I74" s="289">
        <v>1</v>
      </c>
      <c r="J74" s="289">
        <v>11</v>
      </c>
      <c r="K74" s="289">
        <v>5</v>
      </c>
      <c r="L74" s="289">
        <v>11</v>
      </c>
      <c r="M74" s="289">
        <v>21</v>
      </c>
      <c r="N74" s="289">
        <v>68</v>
      </c>
      <c r="O74" s="401" t="s">
        <v>428</v>
      </c>
      <c r="P74" s="374"/>
    </row>
    <row r="75" spans="1:16" s="378" customFormat="1" ht="20.25" customHeight="1">
      <c r="A75" s="400" t="s">
        <v>429</v>
      </c>
      <c r="B75" s="284">
        <f t="shared" si="3"/>
        <v>748</v>
      </c>
      <c r="C75" s="289">
        <v>164</v>
      </c>
      <c r="D75" s="289">
        <v>199</v>
      </c>
      <c r="E75" s="289">
        <v>103</v>
      </c>
      <c r="F75" s="387">
        <v>0</v>
      </c>
      <c r="G75" s="387">
        <v>0</v>
      </c>
      <c r="H75" s="387">
        <v>0</v>
      </c>
      <c r="I75" s="289">
        <v>17</v>
      </c>
      <c r="J75" s="289">
        <v>38</v>
      </c>
      <c r="K75" s="289">
        <v>26</v>
      </c>
      <c r="L75" s="289">
        <v>31</v>
      </c>
      <c r="M75" s="289">
        <v>40</v>
      </c>
      <c r="N75" s="289">
        <v>130</v>
      </c>
      <c r="O75" s="401" t="s">
        <v>430</v>
      </c>
      <c r="P75" s="374"/>
    </row>
    <row r="76" spans="1:16" s="378" customFormat="1" ht="18" customHeight="1">
      <c r="A76" s="400" t="s">
        <v>431</v>
      </c>
      <c r="B76" s="386">
        <f t="shared" si="3"/>
        <v>2685</v>
      </c>
      <c r="C76" s="387">
        <v>807</v>
      </c>
      <c r="D76" s="387">
        <v>338</v>
      </c>
      <c r="E76" s="387">
        <v>279</v>
      </c>
      <c r="F76" s="387">
        <v>0</v>
      </c>
      <c r="G76" s="387">
        <v>0</v>
      </c>
      <c r="H76" s="387">
        <v>0</v>
      </c>
      <c r="I76" s="387">
        <v>27</v>
      </c>
      <c r="J76" s="387">
        <v>48</v>
      </c>
      <c r="K76" s="387">
        <v>31</v>
      </c>
      <c r="L76" s="387">
        <v>56</v>
      </c>
      <c r="M76" s="387">
        <v>171</v>
      </c>
      <c r="N76" s="387">
        <v>928</v>
      </c>
      <c r="O76" s="401" t="s">
        <v>432</v>
      </c>
    </row>
    <row r="77" spans="1:16" s="378" customFormat="1" ht="18" customHeight="1">
      <c r="A77" s="402" t="s">
        <v>360</v>
      </c>
      <c r="B77" s="394">
        <f t="shared" si="3"/>
        <v>2594</v>
      </c>
      <c r="C77" s="395">
        <v>461</v>
      </c>
      <c r="D77" s="395">
        <v>475</v>
      </c>
      <c r="E77" s="395">
        <v>172</v>
      </c>
      <c r="F77" s="395">
        <v>0</v>
      </c>
      <c r="G77" s="395">
        <v>0</v>
      </c>
      <c r="H77" s="395">
        <v>0</v>
      </c>
      <c r="I77" s="395">
        <v>10</v>
      </c>
      <c r="J77" s="395">
        <v>66</v>
      </c>
      <c r="K77" s="395">
        <v>97</v>
      </c>
      <c r="L77" s="395">
        <v>172</v>
      </c>
      <c r="M77" s="395">
        <v>271</v>
      </c>
      <c r="N77" s="395">
        <v>870</v>
      </c>
      <c r="O77" s="403" t="s">
        <v>71</v>
      </c>
      <c r="P77" s="374"/>
    </row>
    <row r="78" spans="1:16" s="378" customFormat="1" ht="24.75" customHeight="1">
      <c r="A78" s="380" t="s">
        <v>266</v>
      </c>
      <c r="B78" s="284">
        <f t="shared" si="3"/>
        <v>32060</v>
      </c>
      <c r="C78" s="284">
        <f>SUM(C79:C84)</f>
        <v>8078</v>
      </c>
      <c r="D78" s="284">
        <f t="shared" ref="D78:N78" si="17">SUM(D79:D84)</f>
        <v>7460</v>
      </c>
      <c r="E78" s="284">
        <f t="shared" si="17"/>
        <v>3183</v>
      </c>
      <c r="F78" s="284">
        <f t="shared" si="17"/>
        <v>0</v>
      </c>
      <c r="G78" s="284">
        <f t="shared" si="17"/>
        <v>0</v>
      </c>
      <c r="H78" s="284">
        <f t="shared" si="17"/>
        <v>0</v>
      </c>
      <c r="I78" s="284">
        <f t="shared" si="17"/>
        <v>255</v>
      </c>
      <c r="J78" s="284">
        <f t="shared" si="17"/>
        <v>970</v>
      </c>
      <c r="K78" s="284">
        <f t="shared" si="17"/>
        <v>1519</v>
      </c>
      <c r="L78" s="284">
        <f t="shared" si="17"/>
        <v>2276</v>
      </c>
      <c r="M78" s="284">
        <f t="shared" si="17"/>
        <v>3390</v>
      </c>
      <c r="N78" s="284">
        <f t="shared" si="17"/>
        <v>4929</v>
      </c>
      <c r="O78" s="397" t="s">
        <v>265</v>
      </c>
    </row>
    <row r="79" spans="1:16" s="378" customFormat="1" ht="24.75" customHeight="1">
      <c r="A79" s="400" t="s">
        <v>433</v>
      </c>
      <c r="B79" s="386">
        <f t="shared" si="3"/>
        <v>956</v>
      </c>
      <c r="C79" s="289">
        <v>350</v>
      </c>
      <c r="D79" s="289">
        <v>334</v>
      </c>
      <c r="E79" s="289">
        <v>160</v>
      </c>
      <c r="F79" s="387">
        <v>0</v>
      </c>
      <c r="G79" s="387">
        <v>0</v>
      </c>
      <c r="H79" s="387">
        <v>0</v>
      </c>
      <c r="I79" s="387">
        <v>0</v>
      </c>
      <c r="J79" s="289">
        <v>7</v>
      </c>
      <c r="K79" s="289">
        <v>12</v>
      </c>
      <c r="L79" s="289">
        <v>31</v>
      </c>
      <c r="M79" s="289">
        <v>30</v>
      </c>
      <c r="N79" s="289">
        <v>32</v>
      </c>
      <c r="O79" s="401" t="s">
        <v>434</v>
      </c>
    </row>
    <row r="80" spans="1:16" s="378" customFormat="1" ht="18" customHeight="1">
      <c r="A80" s="400" t="s">
        <v>435</v>
      </c>
      <c r="B80" s="386">
        <f t="shared" si="3"/>
        <v>5497</v>
      </c>
      <c r="C80" s="387">
        <v>1036</v>
      </c>
      <c r="D80" s="387">
        <v>1038</v>
      </c>
      <c r="E80" s="387">
        <v>498</v>
      </c>
      <c r="F80" s="387">
        <v>0</v>
      </c>
      <c r="G80" s="387">
        <v>0</v>
      </c>
      <c r="H80" s="387">
        <v>0</v>
      </c>
      <c r="I80" s="387">
        <v>22</v>
      </c>
      <c r="J80" s="387">
        <v>168</v>
      </c>
      <c r="K80" s="387">
        <v>444</v>
      </c>
      <c r="L80" s="387">
        <v>540</v>
      </c>
      <c r="M80" s="387">
        <v>891</v>
      </c>
      <c r="N80" s="387">
        <v>860</v>
      </c>
      <c r="O80" s="401" t="s">
        <v>436</v>
      </c>
      <c r="P80" s="374"/>
    </row>
    <row r="81" spans="1:16" s="378" customFormat="1" ht="18" customHeight="1">
      <c r="A81" s="400" t="s">
        <v>437</v>
      </c>
      <c r="B81" s="386">
        <f t="shared" si="3"/>
        <v>3872</v>
      </c>
      <c r="C81" s="387">
        <v>1140</v>
      </c>
      <c r="D81" s="387">
        <v>1007</v>
      </c>
      <c r="E81" s="387">
        <v>414</v>
      </c>
      <c r="F81" s="387">
        <v>0</v>
      </c>
      <c r="G81" s="387">
        <v>0</v>
      </c>
      <c r="H81" s="387">
        <v>0</v>
      </c>
      <c r="I81" s="387">
        <v>22</v>
      </c>
      <c r="J81" s="387">
        <v>76</v>
      </c>
      <c r="K81" s="387">
        <v>73</v>
      </c>
      <c r="L81" s="387">
        <v>143</v>
      </c>
      <c r="M81" s="387">
        <v>254</v>
      </c>
      <c r="N81" s="387">
        <v>743</v>
      </c>
      <c r="O81" s="401" t="s">
        <v>111</v>
      </c>
    </row>
    <row r="82" spans="1:16" s="378" customFormat="1" ht="18" customHeight="1">
      <c r="A82" s="400" t="s">
        <v>438</v>
      </c>
      <c r="B82" s="386">
        <f t="shared" si="3"/>
        <v>512</v>
      </c>
      <c r="C82" s="387">
        <v>111</v>
      </c>
      <c r="D82" s="387">
        <v>135</v>
      </c>
      <c r="E82" s="387">
        <v>113</v>
      </c>
      <c r="F82" s="387">
        <v>0</v>
      </c>
      <c r="G82" s="387">
        <v>0</v>
      </c>
      <c r="H82" s="387">
        <v>0</v>
      </c>
      <c r="I82" s="387">
        <v>1</v>
      </c>
      <c r="J82" s="387">
        <v>5</v>
      </c>
      <c r="K82" s="387">
        <v>17</v>
      </c>
      <c r="L82" s="387">
        <v>42</v>
      </c>
      <c r="M82" s="387">
        <v>26</v>
      </c>
      <c r="N82" s="387">
        <v>62</v>
      </c>
      <c r="O82" s="401" t="s">
        <v>439</v>
      </c>
    </row>
    <row r="83" spans="1:16" s="378" customFormat="1" ht="18" customHeight="1">
      <c r="A83" s="400" t="s">
        <v>440</v>
      </c>
      <c r="B83" s="386">
        <f t="shared" si="3"/>
        <v>19759</v>
      </c>
      <c r="C83" s="387">
        <v>5051</v>
      </c>
      <c r="D83" s="387">
        <v>4543</v>
      </c>
      <c r="E83" s="387">
        <v>1820</v>
      </c>
      <c r="F83" s="387">
        <v>0</v>
      </c>
      <c r="G83" s="387">
        <v>0</v>
      </c>
      <c r="H83" s="387">
        <v>0</v>
      </c>
      <c r="I83" s="387">
        <v>189</v>
      </c>
      <c r="J83" s="387">
        <v>674</v>
      </c>
      <c r="K83" s="387">
        <v>935</v>
      </c>
      <c r="L83" s="387">
        <v>1449</v>
      </c>
      <c r="M83" s="387">
        <v>2093</v>
      </c>
      <c r="N83" s="387">
        <v>3005</v>
      </c>
      <c r="O83" s="401" t="s">
        <v>441</v>
      </c>
      <c r="P83" s="374"/>
    </row>
    <row r="84" spans="1:16" s="378" customFormat="1" ht="18" customHeight="1">
      <c r="A84" s="402" t="s">
        <v>360</v>
      </c>
      <c r="B84" s="394">
        <f t="shared" si="3"/>
        <v>1464</v>
      </c>
      <c r="C84" s="395">
        <v>390</v>
      </c>
      <c r="D84" s="395">
        <v>403</v>
      </c>
      <c r="E84" s="395">
        <v>178</v>
      </c>
      <c r="F84" s="395">
        <v>0</v>
      </c>
      <c r="G84" s="395">
        <v>0</v>
      </c>
      <c r="H84" s="395">
        <v>0</v>
      </c>
      <c r="I84" s="395">
        <v>21</v>
      </c>
      <c r="J84" s="395">
        <v>40</v>
      </c>
      <c r="K84" s="395">
        <v>38</v>
      </c>
      <c r="L84" s="395">
        <v>71</v>
      </c>
      <c r="M84" s="395">
        <v>96</v>
      </c>
      <c r="N84" s="395">
        <v>227</v>
      </c>
      <c r="O84" s="403" t="s">
        <v>71</v>
      </c>
    </row>
    <row r="85" spans="1:16" s="378" customFormat="1" ht="22.5" customHeight="1">
      <c r="A85" s="380" t="s">
        <v>115</v>
      </c>
      <c r="B85" s="284">
        <f t="shared" ref="B85:B98" si="18">SUM(C85:N85)</f>
        <v>7964</v>
      </c>
      <c r="C85" s="284">
        <f>SUM(C86:C88)</f>
        <v>2926</v>
      </c>
      <c r="D85" s="284">
        <f t="shared" ref="D85:N85" si="19">SUM(D86:D88)</f>
        <v>2260</v>
      </c>
      <c r="E85" s="284">
        <f t="shared" si="19"/>
        <v>1468</v>
      </c>
      <c r="F85" s="284">
        <f t="shared" si="19"/>
        <v>0</v>
      </c>
      <c r="G85" s="284">
        <f t="shared" si="19"/>
        <v>0</v>
      </c>
      <c r="H85" s="284">
        <f t="shared" si="19"/>
        <v>0</v>
      </c>
      <c r="I85" s="284">
        <f t="shared" si="19"/>
        <v>29</v>
      </c>
      <c r="J85" s="284">
        <f t="shared" si="19"/>
        <v>62</v>
      </c>
      <c r="K85" s="284">
        <f t="shared" si="19"/>
        <v>66</v>
      </c>
      <c r="L85" s="284">
        <f t="shared" si="19"/>
        <v>189</v>
      </c>
      <c r="M85" s="284">
        <f t="shared" si="19"/>
        <v>236</v>
      </c>
      <c r="N85" s="284">
        <f t="shared" si="19"/>
        <v>728</v>
      </c>
      <c r="O85" s="397" t="s">
        <v>442</v>
      </c>
      <c r="P85" s="374"/>
    </row>
    <row r="86" spans="1:16" s="378" customFormat="1" ht="18" customHeight="1">
      <c r="A86" s="400" t="s">
        <v>443</v>
      </c>
      <c r="B86" s="284">
        <f t="shared" si="18"/>
        <v>7220</v>
      </c>
      <c r="C86" s="387">
        <v>2689</v>
      </c>
      <c r="D86" s="387">
        <v>2040</v>
      </c>
      <c r="E86" s="387">
        <v>1388</v>
      </c>
      <c r="F86" s="387">
        <v>0</v>
      </c>
      <c r="G86" s="387">
        <v>0</v>
      </c>
      <c r="H86" s="387">
        <v>0</v>
      </c>
      <c r="I86" s="387">
        <v>17</v>
      </c>
      <c r="J86" s="387">
        <v>49</v>
      </c>
      <c r="K86" s="387">
        <v>61</v>
      </c>
      <c r="L86" s="387">
        <v>160</v>
      </c>
      <c r="M86" s="387">
        <v>209</v>
      </c>
      <c r="N86" s="387">
        <v>607</v>
      </c>
      <c r="O86" s="401" t="s">
        <v>118</v>
      </c>
    </row>
    <row r="87" spans="1:16" s="378" customFormat="1" ht="18" customHeight="1">
      <c r="A87" s="400" t="s">
        <v>444</v>
      </c>
      <c r="B87" s="284">
        <f t="shared" si="18"/>
        <v>719</v>
      </c>
      <c r="C87" s="387">
        <v>227</v>
      </c>
      <c r="D87" s="387">
        <v>210</v>
      </c>
      <c r="E87" s="387">
        <v>80</v>
      </c>
      <c r="F87" s="387">
        <v>0</v>
      </c>
      <c r="G87" s="387">
        <v>0</v>
      </c>
      <c r="H87" s="387">
        <v>0</v>
      </c>
      <c r="I87" s="387">
        <v>12</v>
      </c>
      <c r="J87" s="387">
        <v>11</v>
      </c>
      <c r="K87" s="387">
        <v>5</v>
      </c>
      <c r="L87" s="387">
        <v>27</v>
      </c>
      <c r="M87" s="387">
        <v>27</v>
      </c>
      <c r="N87" s="387">
        <v>120</v>
      </c>
      <c r="O87" s="401" t="s">
        <v>445</v>
      </c>
      <c r="P87" s="374"/>
    </row>
    <row r="88" spans="1:16" s="378" customFormat="1" ht="18" customHeight="1">
      <c r="A88" s="402" t="s">
        <v>360</v>
      </c>
      <c r="B88" s="296">
        <f t="shared" si="18"/>
        <v>25</v>
      </c>
      <c r="C88" s="395">
        <v>10</v>
      </c>
      <c r="D88" s="395">
        <v>10</v>
      </c>
      <c r="E88" s="395">
        <v>0</v>
      </c>
      <c r="F88" s="395">
        <v>0</v>
      </c>
      <c r="G88" s="395">
        <v>0</v>
      </c>
      <c r="H88" s="395">
        <v>0</v>
      </c>
      <c r="I88" s="395">
        <v>0</v>
      </c>
      <c r="J88" s="395">
        <v>2</v>
      </c>
      <c r="K88" s="395">
        <v>0</v>
      </c>
      <c r="L88" s="395">
        <v>2</v>
      </c>
      <c r="M88" s="395">
        <v>0</v>
      </c>
      <c r="N88" s="395">
        <v>1</v>
      </c>
      <c r="O88" s="403" t="s">
        <v>71</v>
      </c>
    </row>
    <row r="89" spans="1:16" s="378" customFormat="1" ht="18.75" customHeight="1">
      <c r="A89" s="380" t="s">
        <v>122</v>
      </c>
      <c r="B89" s="284">
        <f t="shared" si="18"/>
        <v>26286</v>
      </c>
      <c r="C89" s="284">
        <f>SUM(C90:C99)</f>
        <v>7297</v>
      </c>
      <c r="D89" s="284">
        <f t="shared" ref="D89:N89" si="20">SUM(D90:D99)</f>
        <v>4793</v>
      </c>
      <c r="E89" s="284">
        <f t="shared" si="20"/>
        <v>1346</v>
      </c>
      <c r="F89" s="284">
        <f t="shared" si="20"/>
        <v>1</v>
      </c>
      <c r="G89" s="284">
        <f t="shared" si="20"/>
        <v>0</v>
      </c>
      <c r="H89" s="284">
        <f t="shared" si="20"/>
        <v>0</v>
      </c>
      <c r="I89" s="284">
        <f t="shared" si="20"/>
        <v>247</v>
      </c>
      <c r="J89" s="284">
        <f t="shared" si="20"/>
        <v>2066</v>
      </c>
      <c r="K89" s="284">
        <f t="shared" si="20"/>
        <v>1627</v>
      </c>
      <c r="L89" s="284">
        <f t="shared" si="20"/>
        <v>1822</v>
      </c>
      <c r="M89" s="284">
        <f t="shared" si="20"/>
        <v>2530</v>
      </c>
      <c r="N89" s="284">
        <f t="shared" si="20"/>
        <v>4557</v>
      </c>
      <c r="O89" s="397" t="s">
        <v>446</v>
      </c>
      <c r="P89" s="374"/>
    </row>
    <row r="90" spans="1:16" s="378" customFormat="1" ht="18.75" customHeight="1">
      <c r="A90" s="400" t="s">
        <v>447</v>
      </c>
      <c r="B90" s="386">
        <f t="shared" si="18"/>
        <v>2543</v>
      </c>
      <c r="C90" s="289">
        <v>280</v>
      </c>
      <c r="D90" s="289">
        <v>286</v>
      </c>
      <c r="E90" s="289">
        <v>158</v>
      </c>
      <c r="F90" s="289">
        <v>1</v>
      </c>
      <c r="G90" s="387">
        <v>0</v>
      </c>
      <c r="H90" s="387">
        <v>0</v>
      </c>
      <c r="I90" s="289">
        <v>29</v>
      </c>
      <c r="J90" s="289">
        <v>179</v>
      </c>
      <c r="K90" s="289">
        <v>232</v>
      </c>
      <c r="L90" s="289">
        <v>398</v>
      </c>
      <c r="M90" s="289">
        <v>439</v>
      </c>
      <c r="N90" s="289">
        <v>541</v>
      </c>
      <c r="O90" s="401" t="s">
        <v>448</v>
      </c>
      <c r="P90" s="374"/>
    </row>
    <row r="91" spans="1:16" s="378" customFormat="1" ht="18.75" customHeight="1">
      <c r="A91" s="400" t="s">
        <v>449</v>
      </c>
      <c r="B91" s="386">
        <f t="shared" si="18"/>
        <v>750</v>
      </c>
      <c r="C91" s="289">
        <v>114</v>
      </c>
      <c r="D91" s="289">
        <v>119</v>
      </c>
      <c r="E91" s="289">
        <v>35</v>
      </c>
      <c r="F91" s="387">
        <v>0</v>
      </c>
      <c r="G91" s="387">
        <v>0</v>
      </c>
      <c r="H91" s="387">
        <v>0</v>
      </c>
      <c r="I91" s="289">
        <v>1</v>
      </c>
      <c r="J91" s="289">
        <v>20</v>
      </c>
      <c r="K91" s="289">
        <v>22</v>
      </c>
      <c r="L91" s="289">
        <v>83</v>
      </c>
      <c r="M91" s="289">
        <v>98</v>
      </c>
      <c r="N91" s="289">
        <v>258</v>
      </c>
      <c r="O91" s="401" t="s">
        <v>450</v>
      </c>
      <c r="P91" s="374"/>
    </row>
    <row r="92" spans="1:16" s="378" customFormat="1" ht="19.5" customHeight="1">
      <c r="A92" s="400" t="s">
        <v>451</v>
      </c>
      <c r="B92" s="386">
        <f t="shared" si="18"/>
        <v>2816</v>
      </c>
      <c r="C92" s="387">
        <v>585</v>
      </c>
      <c r="D92" s="387">
        <v>1252</v>
      </c>
      <c r="E92" s="387">
        <v>99</v>
      </c>
      <c r="F92" s="387">
        <v>0</v>
      </c>
      <c r="G92" s="387">
        <v>0</v>
      </c>
      <c r="H92" s="387">
        <v>0</v>
      </c>
      <c r="I92" s="387">
        <v>2</v>
      </c>
      <c r="J92" s="387">
        <v>40</v>
      </c>
      <c r="K92" s="387">
        <v>97</v>
      </c>
      <c r="L92" s="387">
        <v>141</v>
      </c>
      <c r="M92" s="387">
        <v>233</v>
      </c>
      <c r="N92" s="387">
        <v>367</v>
      </c>
      <c r="O92" s="401" t="s">
        <v>125</v>
      </c>
    </row>
    <row r="93" spans="1:16" s="378" customFormat="1" ht="18" customHeight="1">
      <c r="A93" s="400" t="s">
        <v>452</v>
      </c>
      <c r="B93" s="386">
        <f t="shared" si="18"/>
        <v>1049</v>
      </c>
      <c r="C93" s="387">
        <v>94</v>
      </c>
      <c r="D93" s="387">
        <v>161</v>
      </c>
      <c r="E93" s="387">
        <v>41</v>
      </c>
      <c r="F93" s="387">
        <v>0</v>
      </c>
      <c r="G93" s="387">
        <v>0</v>
      </c>
      <c r="H93" s="387">
        <v>0</v>
      </c>
      <c r="I93" s="387">
        <v>12</v>
      </c>
      <c r="J93" s="387">
        <v>34</v>
      </c>
      <c r="K93" s="387">
        <v>43</v>
      </c>
      <c r="L93" s="387">
        <v>85</v>
      </c>
      <c r="M93" s="387">
        <v>144</v>
      </c>
      <c r="N93" s="387">
        <v>435</v>
      </c>
      <c r="O93" s="401" t="s">
        <v>453</v>
      </c>
      <c r="P93" s="374"/>
    </row>
    <row r="94" spans="1:16" s="378" customFormat="1" ht="18" customHeight="1">
      <c r="A94" s="400" t="s">
        <v>454</v>
      </c>
      <c r="B94" s="386">
        <f t="shared" si="18"/>
        <v>440</v>
      </c>
      <c r="C94" s="387">
        <v>103</v>
      </c>
      <c r="D94" s="387">
        <v>107</v>
      </c>
      <c r="E94" s="387">
        <v>26</v>
      </c>
      <c r="F94" s="387">
        <v>0</v>
      </c>
      <c r="G94" s="387">
        <v>0</v>
      </c>
      <c r="H94" s="387">
        <v>0</v>
      </c>
      <c r="I94" s="387">
        <v>0</v>
      </c>
      <c r="J94" s="387">
        <v>10</v>
      </c>
      <c r="K94" s="387">
        <v>17</v>
      </c>
      <c r="L94" s="387">
        <v>30</v>
      </c>
      <c r="M94" s="387">
        <v>47</v>
      </c>
      <c r="N94" s="387">
        <v>100</v>
      </c>
      <c r="O94" s="401" t="s">
        <v>455</v>
      </c>
      <c r="P94" s="374"/>
    </row>
    <row r="95" spans="1:16" s="378" customFormat="1" ht="18" customHeight="1">
      <c r="A95" s="400" t="s">
        <v>456</v>
      </c>
      <c r="B95" s="386">
        <f t="shared" si="18"/>
        <v>1530</v>
      </c>
      <c r="C95" s="387">
        <v>239</v>
      </c>
      <c r="D95" s="387">
        <v>300</v>
      </c>
      <c r="E95" s="387">
        <v>103</v>
      </c>
      <c r="F95" s="387">
        <v>0</v>
      </c>
      <c r="G95" s="387">
        <v>0</v>
      </c>
      <c r="H95" s="387">
        <v>0</v>
      </c>
      <c r="I95" s="387">
        <v>3</v>
      </c>
      <c r="J95" s="387">
        <v>25</v>
      </c>
      <c r="K95" s="387">
        <v>35</v>
      </c>
      <c r="L95" s="387">
        <v>68</v>
      </c>
      <c r="M95" s="387">
        <v>181</v>
      </c>
      <c r="N95" s="387">
        <v>576</v>
      </c>
      <c r="O95" s="401" t="s">
        <v>457</v>
      </c>
      <c r="P95" s="374"/>
    </row>
    <row r="96" spans="1:16" s="378" customFormat="1" ht="18" customHeight="1">
      <c r="A96" s="400" t="s">
        <v>458</v>
      </c>
      <c r="B96" s="386">
        <f t="shared" si="18"/>
        <v>7578</v>
      </c>
      <c r="C96" s="387">
        <v>4992</v>
      </c>
      <c r="D96" s="387">
        <v>1705</v>
      </c>
      <c r="E96" s="387">
        <v>662</v>
      </c>
      <c r="F96" s="387">
        <v>0</v>
      </c>
      <c r="G96" s="387">
        <v>0</v>
      </c>
      <c r="H96" s="387">
        <v>0</v>
      </c>
      <c r="I96" s="387">
        <v>4</v>
      </c>
      <c r="J96" s="387">
        <v>31</v>
      </c>
      <c r="K96" s="387">
        <v>34</v>
      </c>
      <c r="L96" s="387">
        <v>27</v>
      </c>
      <c r="M96" s="387">
        <v>35</v>
      </c>
      <c r="N96" s="387">
        <v>88</v>
      </c>
      <c r="O96" s="401" t="s">
        <v>459</v>
      </c>
    </row>
    <row r="97" spans="1:16" s="378" customFormat="1" ht="18" customHeight="1">
      <c r="A97" s="400" t="s">
        <v>460</v>
      </c>
      <c r="B97" s="386">
        <f t="shared" si="18"/>
        <v>433</v>
      </c>
      <c r="C97" s="387">
        <v>84</v>
      </c>
      <c r="D97" s="387">
        <v>65</v>
      </c>
      <c r="E97" s="387">
        <v>23</v>
      </c>
      <c r="F97" s="387">
        <v>0</v>
      </c>
      <c r="G97" s="387">
        <v>0</v>
      </c>
      <c r="H97" s="387">
        <v>0</v>
      </c>
      <c r="I97" s="387">
        <v>9</v>
      </c>
      <c r="J97" s="387">
        <v>19</v>
      </c>
      <c r="K97" s="387">
        <v>28</v>
      </c>
      <c r="L97" s="387">
        <v>36</v>
      </c>
      <c r="M97" s="387">
        <v>56</v>
      </c>
      <c r="N97" s="387">
        <v>113</v>
      </c>
      <c r="O97" s="401" t="s">
        <v>461</v>
      </c>
    </row>
    <row r="98" spans="1:16" s="378" customFormat="1" ht="18" customHeight="1">
      <c r="A98" s="400" t="s">
        <v>462</v>
      </c>
      <c r="B98" s="386">
        <f t="shared" si="18"/>
        <v>7368</v>
      </c>
      <c r="C98" s="387">
        <v>506</v>
      </c>
      <c r="D98" s="387">
        <v>511</v>
      </c>
      <c r="E98" s="387">
        <v>115</v>
      </c>
      <c r="F98" s="387">
        <v>0</v>
      </c>
      <c r="G98" s="387">
        <v>0</v>
      </c>
      <c r="H98" s="387">
        <v>0</v>
      </c>
      <c r="I98" s="387">
        <v>167</v>
      </c>
      <c r="J98" s="387">
        <v>1627</v>
      </c>
      <c r="K98" s="387">
        <v>1041</v>
      </c>
      <c r="L98" s="387">
        <v>843</v>
      </c>
      <c r="M98" s="387">
        <v>1033</v>
      </c>
      <c r="N98" s="387">
        <v>1525</v>
      </c>
      <c r="O98" s="401" t="s">
        <v>463</v>
      </c>
      <c r="P98" s="374"/>
    </row>
    <row r="99" spans="1:16" s="378" customFormat="1" ht="18" customHeight="1">
      <c r="A99" s="402" t="s">
        <v>360</v>
      </c>
      <c r="B99" s="394">
        <f>SUM(C99:N99)</f>
        <v>1779</v>
      </c>
      <c r="C99" s="395">
        <v>300</v>
      </c>
      <c r="D99" s="395">
        <v>287</v>
      </c>
      <c r="E99" s="395">
        <v>84</v>
      </c>
      <c r="F99" s="395">
        <v>0</v>
      </c>
      <c r="G99" s="395">
        <v>0</v>
      </c>
      <c r="H99" s="395">
        <v>0</v>
      </c>
      <c r="I99" s="395">
        <v>20</v>
      </c>
      <c r="J99" s="395">
        <v>81</v>
      </c>
      <c r="K99" s="395">
        <v>78</v>
      </c>
      <c r="L99" s="395">
        <v>111</v>
      </c>
      <c r="M99" s="395">
        <v>264</v>
      </c>
      <c r="N99" s="395">
        <v>554</v>
      </c>
      <c r="O99" s="401" t="s">
        <v>71</v>
      </c>
    </row>
    <row r="100" spans="1:16" s="378" customFormat="1" ht="18" customHeight="1">
      <c r="A100" s="380" t="s">
        <v>464</v>
      </c>
      <c r="B100" s="284">
        <f>SUM(C100:N100)</f>
        <v>21</v>
      </c>
      <c r="C100" s="404">
        <v>11</v>
      </c>
      <c r="D100" s="404">
        <v>5</v>
      </c>
      <c r="E100" s="404">
        <v>3</v>
      </c>
      <c r="F100" s="404">
        <v>0</v>
      </c>
      <c r="G100" s="404">
        <v>0</v>
      </c>
      <c r="H100" s="404">
        <v>0</v>
      </c>
      <c r="I100" s="404">
        <v>0</v>
      </c>
      <c r="J100" s="404">
        <v>0</v>
      </c>
      <c r="K100" s="387">
        <v>0</v>
      </c>
      <c r="L100" s="387">
        <v>1</v>
      </c>
      <c r="M100" s="387">
        <v>1</v>
      </c>
      <c r="N100" s="387">
        <v>0</v>
      </c>
      <c r="O100" s="377" t="s">
        <v>465</v>
      </c>
    </row>
    <row r="101" spans="1:16" s="378" customFormat="1" ht="18" customHeight="1">
      <c r="A101" s="370" t="s">
        <v>466</v>
      </c>
      <c r="B101" s="296">
        <f>SUM(C101:N101)</f>
        <v>77</v>
      </c>
      <c r="C101" s="405">
        <v>12</v>
      </c>
      <c r="D101" s="405">
        <v>16</v>
      </c>
      <c r="E101" s="405">
        <v>4</v>
      </c>
      <c r="F101" s="405">
        <v>0</v>
      </c>
      <c r="G101" s="405">
        <v>0</v>
      </c>
      <c r="H101" s="405">
        <v>0</v>
      </c>
      <c r="I101" s="405">
        <v>0</v>
      </c>
      <c r="J101" s="405">
        <v>2</v>
      </c>
      <c r="K101" s="395">
        <v>3</v>
      </c>
      <c r="L101" s="395">
        <v>7</v>
      </c>
      <c r="M101" s="395">
        <v>17</v>
      </c>
      <c r="N101" s="395">
        <v>16</v>
      </c>
      <c r="O101" s="403" t="s">
        <v>71</v>
      </c>
    </row>
    <row r="102" spans="1:16" s="378" customFormat="1" ht="17.25" customHeight="1">
      <c r="A102" s="406" t="s">
        <v>142</v>
      </c>
      <c r="B102" s="406"/>
      <c r="C102" s="406"/>
      <c r="D102" s="406"/>
      <c r="E102" s="406"/>
      <c r="F102" s="406"/>
      <c r="G102" s="406"/>
      <c r="H102" s="406"/>
      <c r="I102" s="406"/>
      <c r="J102" s="406"/>
      <c r="K102" s="406"/>
      <c r="L102" s="406"/>
      <c r="M102" s="407"/>
      <c r="N102" s="407"/>
      <c r="O102" s="57" t="s">
        <v>193</v>
      </c>
      <c r="P102" s="374"/>
    </row>
    <row r="103" spans="1:16" s="378" customFormat="1" ht="17.25" customHeight="1">
      <c r="A103" s="408" t="s">
        <v>467</v>
      </c>
      <c r="B103" s="406"/>
      <c r="C103" s="406"/>
      <c r="D103" s="406"/>
      <c r="E103" s="406"/>
      <c r="F103" s="406"/>
      <c r="G103" s="406"/>
      <c r="H103" s="406"/>
      <c r="I103" s="406"/>
      <c r="J103" s="406"/>
      <c r="K103" s="406"/>
      <c r="L103" s="406"/>
      <c r="M103" s="406"/>
      <c r="O103" s="274" t="s">
        <v>468</v>
      </c>
    </row>
    <row r="104" spans="1:16" ht="12.75" customHeight="1">
      <c r="A104" s="735" t="s">
        <v>1078</v>
      </c>
      <c r="C104" s="409"/>
      <c r="D104" s="409"/>
      <c r="E104" s="409"/>
      <c r="F104" s="409"/>
      <c r="G104" s="409"/>
      <c r="H104" s="409"/>
      <c r="I104" s="409"/>
      <c r="J104" s="409"/>
      <c r="K104" s="409"/>
      <c r="L104" s="409"/>
      <c r="M104" s="409"/>
      <c r="N104" s="409"/>
    </row>
    <row r="105" spans="1:16" ht="12.75" customHeight="1">
      <c r="A105" s="736" t="s">
        <v>1079</v>
      </c>
      <c r="C105" s="409"/>
      <c r="D105" s="409"/>
      <c r="E105" s="409"/>
      <c r="F105" s="409"/>
      <c r="G105" s="409"/>
      <c r="H105" s="409"/>
      <c r="I105" s="409"/>
      <c r="J105" s="409"/>
      <c r="K105" s="409"/>
      <c r="L105" s="409"/>
      <c r="M105" s="409"/>
      <c r="N105" s="409"/>
    </row>
    <row r="106" spans="1:16">
      <c r="C106" s="409"/>
      <c r="D106" s="409"/>
      <c r="E106" s="409"/>
      <c r="F106" s="409"/>
      <c r="G106" s="409"/>
      <c r="H106" s="409"/>
      <c r="I106" s="409"/>
      <c r="J106" s="409"/>
      <c r="K106" s="409"/>
      <c r="L106" s="409"/>
      <c r="M106" s="409"/>
      <c r="N106" s="409"/>
    </row>
    <row r="142" spans="1:15" ht="21">
      <c r="A142" s="907" t="s">
        <v>564</v>
      </c>
      <c r="B142" s="907"/>
      <c r="C142" s="907"/>
      <c r="D142" s="907"/>
      <c r="E142" s="907"/>
      <c r="F142" s="907"/>
      <c r="G142" s="907"/>
      <c r="H142" s="907"/>
      <c r="I142" s="907"/>
      <c r="J142" s="907"/>
      <c r="K142" s="907"/>
      <c r="L142" s="907"/>
      <c r="M142" s="907"/>
      <c r="N142" s="907"/>
      <c r="O142" s="907"/>
    </row>
    <row r="143" spans="1:15" ht="15">
      <c r="A143" s="908" t="s">
        <v>563</v>
      </c>
      <c r="B143" s="908"/>
      <c r="C143" s="908"/>
      <c r="D143" s="908"/>
      <c r="E143" s="908"/>
      <c r="F143" s="908"/>
      <c r="G143" s="908"/>
      <c r="H143" s="908"/>
      <c r="I143" s="908"/>
      <c r="J143" s="908"/>
      <c r="K143" s="908"/>
      <c r="L143" s="908"/>
      <c r="M143" s="908"/>
      <c r="N143" s="908"/>
      <c r="O143" s="908"/>
    </row>
    <row r="144" spans="1:15">
      <c r="A144" s="367"/>
      <c r="B144" s="368"/>
      <c r="C144" s="368"/>
      <c r="D144" s="368"/>
      <c r="E144" s="368"/>
      <c r="F144" s="368"/>
      <c r="G144" s="368"/>
      <c r="H144" s="368"/>
      <c r="I144" s="368"/>
      <c r="J144" s="368"/>
      <c r="K144" s="368"/>
      <c r="L144" s="368"/>
      <c r="M144" s="368"/>
      <c r="N144" s="368"/>
      <c r="O144" s="369"/>
    </row>
    <row r="145" spans="1:15" ht="17.25">
      <c r="A145" s="370" t="s">
        <v>247</v>
      </c>
      <c r="B145" s="371" t="s">
        <v>335</v>
      </c>
      <c r="C145" s="371" t="s">
        <v>195</v>
      </c>
      <c r="D145" s="371" t="s">
        <v>196</v>
      </c>
      <c r="E145" s="371" t="s">
        <v>197</v>
      </c>
      <c r="F145" s="371" t="s">
        <v>198</v>
      </c>
      <c r="G145" s="371" t="s">
        <v>185</v>
      </c>
      <c r="H145" s="371" t="s">
        <v>199</v>
      </c>
      <c r="I145" s="371" t="s">
        <v>200</v>
      </c>
      <c r="J145" s="371" t="s">
        <v>201</v>
      </c>
      <c r="K145" s="371" t="s">
        <v>202</v>
      </c>
      <c r="L145" s="371" t="s">
        <v>203</v>
      </c>
      <c r="M145" s="371" t="s">
        <v>204</v>
      </c>
      <c r="N145" s="372" t="s">
        <v>205</v>
      </c>
      <c r="O145" s="373" t="s">
        <v>336</v>
      </c>
    </row>
    <row r="146" spans="1:15" ht="17.25">
      <c r="A146" s="375" t="s">
        <v>16</v>
      </c>
      <c r="B146" s="376">
        <f>SUM(C146:N146)</f>
        <v>1702887</v>
      </c>
      <c r="C146" s="376">
        <f>C147+C191+C214+C219+C226+C230+C241+C242</f>
        <v>151552</v>
      </c>
      <c r="D146" s="376">
        <f>D147+D191+D214+D219+D226+D230+D241+D242</f>
        <v>168583</v>
      </c>
      <c r="E146" s="376">
        <f t="shared" ref="E146:K146" si="21">E147+E191+E214+E219+E226+E230+E241+E242</f>
        <v>162843</v>
      </c>
      <c r="F146" s="376">
        <f t="shared" si="21"/>
        <v>163114</v>
      </c>
      <c r="G146" s="376">
        <f t="shared" si="21"/>
        <v>103022</v>
      </c>
      <c r="H146" s="376">
        <f t="shared" si="21"/>
        <v>113475</v>
      </c>
      <c r="I146" s="376">
        <f t="shared" si="21"/>
        <v>132144</v>
      </c>
      <c r="J146" s="376">
        <f t="shared" si="21"/>
        <v>139338</v>
      </c>
      <c r="K146" s="376">
        <f t="shared" si="21"/>
        <v>117619</v>
      </c>
      <c r="L146" s="376">
        <f>L147+L191+L214+L219+L226+L230+L241+L242</f>
        <v>141928</v>
      </c>
      <c r="M146" s="376">
        <f>M147+M191+M214+M219+M226+M230+M241+M242</f>
        <v>137921</v>
      </c>
      <c r="N146" s="376">
        <f>N147+N191+N214+N219+N226+N230+N241+N242</f>
        <v>171348</v>
      </c>
      <c r="O146" s="377" t="s">
        <v>17</v>
      </c>
    </row>
    <row r="147" spans="1:15" ht="17.25">
      <c r="A147" s="380" t="s">
        <v>18</v>
      </c>
      <c r="B147" s="284">
        <f>SUM(C147:N147)</f>
        <v>833939</v>
      </c>
      <c r="C147" s="284">
        <f>C148+C162+C170+C179+C187</f>
        <v>83528</v>
      </c>
      <c r="D147" s="284">
        <f>D148+D162+D170+D179+D187</f>
        <v>93617</v>
      </c>
      <c r="E147" s="284">
        <v>92474</v>
      </c>
      <c r="F147" s="284">
        <v>88031</v>
      </c>
      <c r="G147" s="284">
        <v>38519</v>
      </c>
      <c r="H147" s="284">
        <v>37678</v>
      </c>
      <c r="I147" s="284">
        <v>53318</v>
      </c>
      <c r="J147" s="284">
        <f>J148+J162+J170+J179+J187</f>
        <v>59208</v>
      </c>
      <c r="K147" s="284">
        <v>48284</v>
      </c>
      <c r="L147" s="284">
        <v>70888</v>
      </c>
      <c r="M147" s="284">
        <v>74548</v>
      </c>
      <c r="N147" s="284">
        <v>93846</v>
      </c>
      <c r="O147" s="381" t="s">
        <v>19</v>
      </c>
    </row>
    <row r="148" spans="1:15" ht="18.75">
      <c r="A148" s="383" t="s">
        <v>249</v>
      </c>
      <c r="B148" s="284">
        <f>SUM(C148:N148)</f>
        <v>179865</v>
      </c>
      <c r="C148" s="284">
        <f>SUM(C149:C161)</f>
        <v>22079</v>
      </c>
      <c r="D148" s="284">
        <f>SUM(D149:D161)</f>
        <v>19730</v>
      </c>
      <c r="E148" s="284">
        <v>19553</v>
      </c>
      <c r="F148" s="284">
        <v>13586</v>
      </c>
      <c r="G148" s="284">
        <v>8933</v>
      </c>
      <c r="H148" s="284">
        <v>8882</v>
      </c>
      <c r="I148" s="284">
        <v>11409</v>
      </c>
      <c r="J148" s="284">
        <v>10713</v>
      </c>
      <c r="K148" s="284">
        <v>9953</v>
      </c>
      <c r="L148" s="284">
        <v>15812</v>
      </c>
      <c r="M148" s="284">
        <v>17655</v>
      </c>
      <c r="N148" s="284">
        <v>21560</v>
      </c>
      <c r="O148" s="384" t="s">
        <v>337</v>
      </c>
    </row>
    <row r="149" spans="1:15" ht="17.25">
      <c r="A149" s="385" t="s">
        <v>338</v>
      </c>
      <c r="B149" s="386">
        <f>SUM(C149:N149)</f>
        <v>2718</v>
      </c>
      <c r="C149" s="387">
        <v>346</v>
      </c>
      <c r="D149" s="387">
        <v>259</v>
      </c>
      <c r="E149" s="387">
        <v>351</v>
      </c>
      <c r="F149" s="387">
        <v>189</v>
      </c>
      <c r="G149" s="387">
        <v>190</v>
      </c>
      <c r="H149" s="387">
        <v>159</v>
      </c>
      <c r="I149" s="387">
        <v>132</v>
      </c>
      <c r="J149" s="387">
        <v>174</v>
      </c>
      <c r="K149" s="387">
        <v>137</v>
      </c>
      <c r="L149" s="387">
        <v>182</v>
      </c>
      <c r="M149" s="387">
        <v>295</v>
      </c>
      <c r="N149" s="387">
        <v>304</v>
      </c>
      <c r="O149" s="388" t="s">
        <v>339</v>
      </c>
    </row>
    <row r="150" spans="1:15" ht="17.25">
      <c r="A150" s="385" t="s">
        <v>340</v>
      </c>
      <c r="B150" s="386">
        <f>SUM(C150:N150)</f>
        <v>6085</v>
      </c>
      <c r="C150" s="387">
        <v>910</v>
      </c>
      <c r="D150" s="387">
        <v>1143</v>
      </c>
      <c r="E150" s="387">
        <v>887</v>
      </c>
      <c r="F150" s="387">
        <v>529</v>
      </c>
      <c r="G150" s="387">
        <v>195</v>
      </c>
      <c r="H150" s="387">
        <v>110</v>
      </c>
      <c r="I150" s="387">
        <v>154</v>
      </c>
      <c r="J150" s="387">
        <v>161</v>
      </c>
      <c r="K150" s="387">
        <v>187</v>
      </c>
      <c r="L150" s="387">
        <v>351</v>
      </c>
      <c r="M150" s="387">
        <v>485</v>
      </c>
      <c r="N150" s="387">
        <v>973</v>
      </c>
      <c r="O150" s="388" t="s">
        <v>341</v>
      </c>
    </row>
    <row r="151" spans="1:15" ht="17.25">
      <c r="A151" s="385" t="s">
        <v>342</v>
      </c>
      <c r="B151" s="386">
        <f t="shared" ref="B151:B169" si="22">SUM(C151:N151)</f>
        <v>13423</v>
      </c>
      <c r="C151" s="387">
        <v>1274</v>
      </c>
      <c r="D151" s="387">
        <v>2366</v>
      </c>
      <c r="E151" s="387">
        <v>1743</v>
      </c>
      <c r="F151" s="387">
        <v>1228</v>
      </c>
      <c r="G151" s="387">
        <v>514</v>
      </c>
      <c r="H151" s="387">
        <v>484</v>
      </c>
      <c r="I151" s="387">
        <v>976</v>
      </c>
      <c r="J151" s="387">
        <v>684</v>
      </c>
      <c r="K151" s="387">
        <v>547</v>
      </c>
      <c r="L151" s="387">
        <v>966</v>
      </c>
      <c r="M151" s="387">
        <v>1179</v>
      </c>
      <c r="N151" s="387">
        <v>1462</v>
      </c>
      <c r="O151" s="388" t="s">
        <v>343</v>
      </c>
    </row>
    <row r="152" spans="1:15" ht="17.25">
      <c r="A152" s="389" t="s">
        <v>344</v>
      </c>
      <c r="B152" s="386">
        <f t="shared" si="22"/>
        <v>10025</v>
      </c>
      <c r="C152" s="387">
        <v>1824</v>
      </c>
      <c r="D152" s="387">
        <v>1712</v>
      </c>
      <c r="E152" s="387">
        <v>928</v>
      </c>
      <c r="F152" s="387">
        <v>643</v>
      </c>
      <c r="G152" s="387">
        <v>287</v>
      </c>
      <c r="H152" s="387">
        <v>269</v>
      </c>
      <c r="I152" s="387">
        <v>462</v>
      </c>
      <c r="J152" s="387">
        <v>367</v>
      </c>
      <c r="K152" s="387">
        <v>361</v>
      </c>
      <c r="L152" s="387">
        <v>899</v>
      </c>
      <c r="M152" s="387">
        <v>726</v>
      </c>
      <c r="N152" s="387">
        <v>1547</v>
      </c>
      <c r="O152" s="388" t="s">
        <v>345</v>
      </c>
    </row>
    <row r="153" spans="1:15" ht="17.25">
      <c r="A153" s="385" t="s">
        <v>346</v>
      </c>
      <c r="B153" s="386">
        <f t="shared" si="22"/>
        <v>4984</v>
      </c>
      <c r="C153" s="387">
        <v>749</v>
      </c>
      <c r="D153" s="387">
        <v>299</v>
      </c>
      <c r="E153" s="387">
        <v>765</v>
      </c>
      <c r="F153" s="387">
        <v>198</v>
      </c>
      <c r="G153" s="387">
        <v>187</v>
      </c>
      <c r="H153" s="387">
        <v>269</v>
      </c>
      <c r="I153" s="387">
        <v>430</v>
      </c>
      <c r="J153" s="387">
        <v>390</v>
      </c>
      <c r="K153" s="387">
        <v>214</v>
      </c>
      <c r="L153" s="387">
        <v>319</v>
      </c>
      <c r="M153" s="387">
        <v>262</v>
      </c>
      <c r="N153" s="387">
        <v>902</v>
      </c>
      <c r="O153" s="388" t="s">
        <v>347</v>
      </c>
    </row>
    <row r="154" spans="1:15" ht="17.25">
      <c r="A154" s="385" t="s">
        <v>348</v>
      </c>
      <c r="B154" s="386">
        <f t="shared" si="22"/>
        <v>1362</v>
      </c>
      <c r="C154" s="387">
        <v>166</v>
      </c>
      <c r="D154" s="387">
        <v>184</v>
      </c>
      <c r="E154" s="387">
        <v>175</v>
      </c>
      <c r="F154" s="387">
        <v>105</v>
      </c>
      <c r="G154" s="387">
        <v>38</v>
      </c>
      <c r="H154" s="387">
        <v>29</v>
      </c>
      <c r="I154" s="387">
        <v>61</v>
      </c>
      <c r="J154" s="387">
        <v>37</v>
      </c>
      <c r="K154" s="387">
        <v>59</v>
      </c>
      <c r="L154" s="387">
        <v>190</v>
      </c>
      <c r="M154" s="387">
        <v>149</v>
      </c>
      <c r="N154" s="387">
        <v>169</v>
      </c>
      <c r="O154" s="388" t="s">
        <v>349</v>
      </c>
    </row>
    <row r="155" spans="1:15" ht="17.25">
      <c r="A155" s="385" t="s">
        <v>350</v>
      </c>
      <c r="B155" s="386">
        <f t="shared" si="22"/>
        <v>2125</v>
      </c>
      <c r="C155" s="387">
        <v>280</v>
      </c>
      <c r="D155" s="387">
        <v>365</v>
      </c>
      <c r="E155" s="387">
        <v>265</v>
      </c>
      <c r="F155" s="387">
        <v>217</v>
      </c>
      <c r="G155" s="387">
        <v>98</v>
      </c>
      <c r="H155" s="387">
        <v>65</v>
      </c>
      <c r="I155" s="387">
        <v>70</v>
      </c>
      <c r="J155" s="387">
        <v>87</v>
      </c>
      <c r="K155" s="387">
        <v>137</v>
      </c>
      <c r="L155" s="387">
        <v>100</v>
      </c>
      <c r="M155" s="387">
        <v>197</v>
      </c>
      <c r="N155" s="387">
        <v>244</v>
      </c>
      <c r="O155" s="388" t="s">
        <v>351</v>
      </c>
    </row>
    <row r="156" spans="1:15" ht="17.25">
      <c r="A156" s="385" t="s">
        <v>352</v>
      </c>
      <c r="B156" s="386">
        <f t="shared" si="22"/>
        <v>20961</v>
      </c>
      <c r="C156" s="387">
        <v>2048</v>
      </c>
      <c r="D156" s="387">
        <v>1751</v>
      </c>
      <c r="E156" s="387">
        <v>1445</v>
      </c>
      <c r="F156" s="387">
        <v>1187</v>
      </c>
      <c r="G156" s="387">
        <v>715</v>
      </c>
      <c r="H156" s="387">
        <v>1074</v>
      </c>
      <c r="I156" s="387">
        <v>1937</v>
      </c>
      <c r="J156" s="387">
        <v>1934</v>
      </c>
      <c r="K156" s="387">
        <v>1697</v>
      </c>
      <c r="L156" s="387">
        <v>2047</v>
      </c>
      <c r="M156" s="387">
        <v>2821</v>
      </c>
      <c r="N156" s="387">
        <v>2305</v>
      </c>
      <c r="O156" s="388" t="s">
        <v>353</v>
      </c>
    </row>
    <row r="157" spans="1:15" ht="17.25">
      <c r="A157" s="385" t="s">
        <v>354</v>
      </c>
      <c r="B157" s="386">
        <f t="shared" si="22"/>
        <v>10137</v>
      </c>
      <c r="C157" s="387">
        <v>1461</v>
      </c>
      <c r="D157" s="387">
        <v>1280</v>
      </c>
      <c r="E157" s="387">
        <v>795</v>
      </c>
      <c r="F157" s="387">
        <v>983</v>
      </c>
      <c r="G157" s="387">
        <v>282</v>
      </c>
      <c r="H157" s="387">
        <v>425</v>
      </c>
      <c r="I157" s="387">
        <v>446</v>
      </c>
      <c r="J157" s="387">
        <v>389</v>
      </c>
      <c r="K157" s="387">
        <v>439</v>
      </c>
      <c r="L157" s="387">
        <v>869</v>
      </c>
      <c r="M157" s="387">
        <v>1209</v>
      </c>
      <c r="N157" s="387">
        <v>1559</v>
      </c>
      <c r="O157" s="388" t="s">
        <v>355</v>
      </c>
    </row>
    <row r="158" spans="1:15" ht="17.25">
      <c r="A158" s="385" t="s">
        <v>356</v>
      </c>
      <c r="B158" s="386">
        <f t="shared" si="22"/>
        <v>83369</v>
      </c>
      <c r="C158" s="387">
        <v>9668</v>
      </c>
      <c r="D158" s="387">
        <v>7334</v>
      </c>
      <c r="E158" s="387">
        <v>9282</v>
      </c>
      <c r="F158" s="387">
        <v>6475</v>
      </c>
      <c r="G158" s="387">
        <v>5397</v>
      </c>
      <c r="H158" s="387">
        <v>4793</v>
      </c>
      <c r="I158" s="387">
        <v>5345</v>
      </c>
      <c r="J158" s="387">
        <v>5175</v>
      </c>
      <c r="K158" s="387">
        <v>4837</v>
      </c>
      <c r="L158" s="387">
        <v>7855</v>
      </c>
      <c r="M158" s="387">
        <v>8171</v>
      </c>
      <c r="N158" s="387">
        <v>9037</v>
      </c>
      <c r="O158" s="388" t="s">
        <v>53</v>
      </c>
    </row>
    <row r="159" spans="1:15" ht="17.25">
      <c r="A159" s="385" t="s">
        <v>357</v>
      </c>
      <c r="B159" s="386">
        <f t="shared" si="22"/>
        <v>6910</v>
      </c>
      <c r="C159" s="387">
        <v>795</v>
      </c>
      <c r="D159" s="387">
        <v>1272</v>
      </c>
      <c r="E159" s="387">
        <v>887</v>
      </c>
      <c r="F159" s="387">
        <v>719</v>
      </c>
      <c r="G159" s="387">
        <v>261</v>
      </c>
      <c r="H159" s="387">
        <v>206</v>
      </c>
      <c r="I159" s="387">
        <v>392</v>
      </c>
      <c r="J159" s="387">
        <v>234</v>
      </c>
      <c r="K159" s="387">
        <v>239</v>
      </c>
      <c r="L159" s="387">
        <v>523</v>
      </c>
      <c r="M159" s="387">
        <v>580</v>
      </c>
      <c r="N159" s="387">
        <v>802</v>
      </c>
      <c r="O159" s="388" t="s">
        <v>55</v>
      </c>
    </row>
    <row r="160" spans="1:15" ht="17.25">
      <c r="A160" s="385" t="s">
        <v>358</v>
      </c>
      <c r="B160" s="386">
        <f t="shared" si="22"/>
        <v>13253</v>
      </c>
      <c r="C160" s="387">
        <v>1883</v>
      </c>
      <c r="D160" s="387">
        <v>1267</v>
      </c>
      <c r="E160" s="387">
        <v>1491</v>
      </c>
      <c r="F160" s="387">
        <v>821</v>
      </c>
      <c r="G160" s="387">
        <v>604</v>
      </c>
      <c r="H160" s="387">
        <v>788</v>
      </c>
      <c r="I160" s="387">
        <v>769</v>
      </c>
      <c r="J160" s="387">
        <v>840</v>
      </c>
      <c r="K160" s="387">
        <v>840</v>
      </c>
      <c r="L160" s="387">
        <v>1178</v>
      </c>
      <c r="M160" s="387">
        <v>1234</v>
      </c>
      <c r="N160" s="387">
        <v>1538</v>
      </c>
      <c r="O160" s="388" t="s">
        <v>359</v>
      </c>
    </row>
    <row r="161" spans="1:15" ht="17.25">
      <c r="A161" s="385" t="s">
        <v>360</v>
      </c>
      <c r="B161" s="386">
        <f t="shared" si="22"/>
        <v>4513</v>
      </c>
      <c r="C161" s="387">
        <v>675</v>
      </c>
      <c r="D161" s="387">
        <v>498</v>
      </c>
      <c r="E161" s="387">
        <v>539</v>
      </c>
      <c r="F161" s="387">
        <v>292</v>
      </c>
      <c r="G161" s="387">
        <v>165</v>
      </c>
      <c r="H161" s="387">
        <v>211</v>
      </c>
      <c r="I161" s="387">
        <v>235</v>
      </c>
      <c r="J161" s="387">
        <v>241</v>
      </c>
      <c r="K161" s="387">
        <v>259</v>
      </c>
      <c r="L161" s="387">
        <v>333</v>
      </c>
      <c r="M161" s="387">
        <v>347</v>
      </c>
      <c r="N161" s="387">
        <v>718</v>
      </c>
      <c r="O161" s="388" t="s">
        <v>71</v>
      </c>
    </row>
    <row r="162" spans="1:15" ht="17.25">
      <c r="A162" s="383" t="s">
        <v>251</v>
      </c>
      <c r="B162" s="386">
        <f t="shared" si="22"/>
        <v>165546</v>
      </c>
      <c r="C162" s="390">
        <f>SUM(C163:C169)</f>
        <v>14867</v>
      </c>
      <c r="D162" s="390">
        <f>SUM(D163:D169)</f>
        <v>19804</v>
      </c>
      <c r="E162" s="390">
        <v>15837</v>
      </c>
      <c r="F162" s="390">
        <v>16391</v>
      </c>
      <c r="G162" s="390">
        <v>9948</v>
      </c>
      <c r="H162" s="390">
        <v>8871</v>
      </c>
      <c r="I162" s="390">
        <v>12079</v>
      </c>
      <c r="J162" s="390">
        <v>11203</v>
      </c>
      <c r="K162" s="390">
        <v>9506</v>
      </c>
      <c r="L162" s="390">
        <v>14982</v>
      </c>
      <c r="M162" s="390">
        <v>14868</v>
      </c>
      <c r="N162" s="390">
        <v>17190</v>
      </c>
      <c r="O162" s="391" t="s">
        <v>361</v>
      </c>
    </row>
    <row r="163" spans="1:15" ht="17.25">
      <c r="A163" s="385" t="s">
        <v>362</v>
      </c>
      <c r="B163" s="386">
        <f t="shared" si="22"/>
        <v>10621</v>
      </c>
      <c r="C163" s="387">
        <v>1348</v>
      </c>
      <c r="D163" s="387">
        <v>2242</v>
      </c>
      <c r="E163" s="387">
        <v>1019</v>
      </c>
      <c r="F163" s="387">
        <v>1123</v>
      </c>
      <c r="G163" s="387">
        <v>331</v>
      </c>
      <c r="H163" s="387">
        <v>262</v>
      </c>
      <c r="I163" s="387">
        <v>1207</v>
      </c>
      <c r="J163" s="387">
        <v>322</v>
      </c>
      <c r="K163" s="387">
        <v>364</v>
      </c>
      <c r="L163" s="387">
        <v>1014</v>
      </c>
      <c r="M163" s="387">
        <v>615</v>
      </c>
      <c r="N163" s="387">
        <v>774</v>
      </c>
      <c r="O163" s="388" t="s">
        <v>363</v>
      </c>
    </row>
    <row r="164" spans="1:15" ht="17.25">
      <c r="A164" s="385" t="s">
        <v>364</v>
      </c>
      <c r="B164" s="386">
        <f t="shared" si="22"/>
        <v>5315</v>
      </c>
      <c r="C164" s="387">
        <v>689</v>
      </c>
      <c r="D164" s="387">
        <v>806</v>
      </c>
      <c r="E164" s="387">
        <v>452</v>
      </c>
      <c r="F164" s="387">
        <v>356</v>
      </c>
      <c r="G164" s="387">
        <v>187</v>
      </c>
      <c r="H164" s="387">
        <v>200</v>
      </c>
      <c r="I164" s="387">
        <v>253</v>
      </c>
      <c r="J164" s="387">
        <v>154</v>
      </c>
      <c r="K164" s="387">
        <v>245</v>
      </c>
      <c r="L164" s="387">
        <v>501</v>
      </c>
      <c r="M164" s="387">
        <v>568</v>
      </c>
      <c r="N164" s="387">
        <v>904</v>
      </c>
      <c r="O164" s="388" t="s">
        <v>29</v>
      </c>
    </row>
    <row r="165" spans="1:15" ht="17.25">
      <c r="A165" s="385" t="s">
        <v>365</v>
      </c>
      <c r="B165" s="386">
        <f t="shared" si="22"/>
        <v>4287</v>
      </c>
      <c r="C165" s="387">
        <v>368</v>
      </c>
      <c r="D165" s="387">
        <v>347</v>
      </c>
      <c r="E165" s="387">
        <v>377</v>
      </c>
      <c r="F165" s="387">
        <v>491</v>
      </c>
      <c r="G165" s="387">
        <v>253</v>
      </c>
      <c r="H165" s="387">
        <v>363</v>
      </c>
      <c r="I165" s="387">
        <v>386</v>
      </c>
      <c r="J165" s="387">
        <v>339</v>
      </c>
      <c r="K165" s="387">
        <v>326</v>
      </c>
      <c r="L165" s="387">
        <v>316</v>
      </c>
      <c r="M165" s="387">
        <v>348</v>
      </c>
      <c r="N165" s="387">
        <v>373</v>
      </c>
      <c r="O165" s="388" t="s">
        <v>366</v>
      </c>
    </row>
    <row r="166" spans="1:15" ht="17.25">
      <c r="A166" s="385" t="s">
        <v>368</v>
      </c>
      <c r="B166" s="386">
        <f t="shared" si="22"/>
        <v>5641</v>
      </c>
      <c r="C166" s="387">
        <v>537</v>
      </c>
      <c r="D166" s="387">
        <v>746</v>
      </c>
      <c r="E166" s="387">
        <v>387</v>
      </c>
      <c r="F166" s="387">
        <v>516</v>
      </c>
      <c r="G166" s="387">
        <v>146</v>
      </c>
      <c r="H166" s="387">
        <v>398</v>
      </c>
      <c r="I166" s="387">
        <v>1029</v>
      </c>
      <c r="J166" s="387">
        <v>222</v>
      </c>
      <c r="K166" s="387">
        <v>322</v>
      </c>
      <c r="L166" s="387">
        <v>345</v>
      </c>
      <c r="M166" s="387">
        <v>416</v>
      </c>
      <c r="N166" s="387">
        <v>577</v>
      </c>
      <c r="O166" s="388" t="s">
        <v>369</v>
      </c>
    </row>
    <row r="167" spans="1:15" ht="17.25">
      <c r="A167" s="385" t="s">
        <v>370</v>
      </c>
      <c r="B167" s="386">
        <f t="shared" si="22"/>
        <v>13245</v>
      </c>
      <c r="C167" s="387">
        <v>1707</v>
      </c>
      <c r="D167" s="387">
        <v>2063</v>
      </c>
      <c r="E167" s="387">
        <v>1197</v>
      </c>
      <c r="F167" s="387">
        <v>998</v>
      </c>
      <c r="G167" s="387">
        <v>369</v>
      </c>
      <c r="H167" s="387">
        <v>492</v>
      </c>
      <c r="I167" s="387">
        <v>727</v>
      </c>
      <c r="J167" s="387">
        <v>333</v>
      </c>
      <c r="K167" s="387">
        <v>370</v>
      </c>
      <c r="L167" s="387">
        <v>1455</v>
      </c>
      <c r="M167" s="387">
        <v>972</v>
      </c>
      <c r="N167" s="387">
        <v>2562</v>
      </c>
      <c r="O167" s="388" t="s">
        <v>371</v>
      </c>
    </row>
    <row r="168" spans="1:15" ht="17.25">
      <c r="A168" s="385" t="s">
        <v>372</v>
      </c>
      <c r="B168" s="386">
        <f t="shared" si="22"/>
        <v>126199</v>
      </c>
      <c r="C168" s="387">
        <v>10175</v>
      </c>
      <c r="D168" s="387">
        <v>13564</v>
      </c>
      <c r="E168" s="387">
        <v>12377</v>
      </c>
      <c r="F168" s="387">
        <v>12876</v>
      </c>
      <c r="G168" s="387">
        <v>8655</v>
      </c>
      <c r="H168" s="387">
        <v>7145</v>
      </c>
      <c r="I168" s="387">
        <v>8470</v>
      </c>
      <c r="J168" s="387">
        <v>9827</v>
      </c>
      <c r="K168" s="387">
        <v>7876</v>
      </c>
      <c r="L168" s="387">
        <v>11321</v>
      </c>
      <c r="M168" s="387">
        <v>11936</v>
      </c>
      <c r="N168" s="387">
        <v>11977</v>
      </c>
      <c r="O168" s="388" t="s">
        <v>69</v>
      </c>
    </row>
    <row r="169" spans="1:15" ht="17.25">
      <c r="A169" s="385" t="s">
        <v>360</v>
      </c>
      <c r="B169" s="386">
        <f t="shared" si="22"/>
        <v>238</v>
      </c>
      <c r="C169" s="387">
        <v>43</v>
      </c>
      <c r="D169" s="387">
        <v>36</v>
      </c>
      <c r="E169" s="387">
        <v>28</v>
      </c>
      <c r="F169" s="387">
        <v>31</v>
      </c>
      <c r="G169" s="387">
        <v>7</v>
      </c>
      <c r="H169" s="387">
        <v>11</v>
      </c>
      <c r="I169" s="387">
        <v>7</v>
      </c>
      <c r="J169" s="387">
        <v>6</v>
      </c>
      <c r="K169" s="387">
        <v>3</v>
      </c>
      <c r="L169" s="387">
        <v>30</v>
      </c>
      <c r="M169" s="387">
        <v>13</v>
      </c>
      <c r="N169" s="387">
        <v>23</v>
      </c>
      <c r="O169" s="388" t="s">
        <v>71</v>
      </c>
    </row>
    <row r="170" spans="1:15" ht="17.25">
      <c r="A170" s="383" t="s">
        <v>253</v>
      </c>
      <c r="B170" s="386">
        <f>SUM(C170:N170)</f>
        <v>199553</v>
      </c>
      <c r="C170" s="390">
        <f>SUM(C171:C178)</f>
        <v>20372</v>
      </c>
      <c r="D170" s="390">
        <f>SUM(D171:D178)</f>
        <v>21644</v>
      </c>
      <c r="E170" s="390">
        <v>22136</v>
      </c>
      <c r="F170" s="390">
        <v>20877</v>
      </c>
      <c r="G170" s="390">
        <v>6396</v>
      </c>
      <c r="H170" s="390">
        <v>8071</v>
      </c>
      <c r="I170" s="390">
        <v>11816</v>
      </c>
      <c r="J170" s="390">
        <v>20516</v>
      </c>
      <c r="K170" s="390">
        <v>11435</v>
      </c>
      <c r="L170" s="390">
        <v>12712</v>
      </c>
      <c r="M170" s="390">
        <v>16310</v>
      </c>
      <c r="N170" s="390">
        <v>27268</v>
      </c>
      <c r="O170" s="391" t="s">
        <v>373</v>
      </c>
    </row>
    <row r="171" spans="1:15" ht="17.25">
      <c r="A171" s="385" t="s">
        <v>374</v>
      </c>
      <c r="B171" s="386">
        <f t="shared" ref="B171:B214" si="23">SUM(C171:N171)</f>
        <v>2192</v>
      </c>
      <c r="C171" s="390">
        <v>429</v>
      </c>
      <c r="D171" s="390">
        <v>258</v>
      </c>
      <c r="E171" s="390">
        <v>178</v>
      </c>
      <c r="F171" s="390">
        <v>196</v>
      </c>
      <c r="G171" s="390">
        <v>97</v>
      </c>
      <c r="H171" s="390">
        <v>80</v>
      </c>
      <c r="I171" s="390">
        <v>94</v>
      </c>
      <c r="J171" s="390">
        <v>109</v>
      </c>
      <c r="K171" s="390">
        <v>88</v>
      </c>
      <c r="L171" s="390">
        <v>213</v>
      </c>
      <c r="M171" s="390">
        <v>179</v>
      </c>
      <c r="N171" s="390">
        <v>271</v>
      </c>
      <c r="O171" s="401" t="s">
        <v>375</v>
      </c>
    </row>
    <row r="172" spans="1:15" ht="17.25">
      <c r="A172" s="385" t="s">
        <v>376</v>
      </c>
      <c r="B172" s="386">
        <f t="shared" si="23"/>
        <v>2805</v>
      </c>
      <c r="C172" s="387">
        <v>276</v>
      </c>
      <c r="D172" s="387">
        <v>258</v>
      </c>
      <c r="E172" s="387">
        <v>252</v>
      </c>
      <c r="F172" s="387">
        <v>293</v>
      </c>
      <c r="G172" s="387">
        <v>63</v>
      </c>
      <c r="H172" s="387">
        <v>119</v>
      </c>
      <c r="I172" s="387">
        <v>143</v>
      </c>
      <c r="J172" s="387">
        <v>284</v>
      </c>
      <c r="K172" s="387">
        <v>156</v>
      </c>
      <c r="L172" s="387">
        <v>241</v>
      </c>
      <c r="M172" s="387">
        <v>264</v>
      </c>
      <c r="N172" s="387">
        <v>456</v>
      </c>
      <c r="O172" s="388" t="s">
        <v>35</v>
      </c>
    </row>
    <row r="173" spans="1:15" ht="17.25">
      <c r="A173" s="385" t="s">
        <v>377</v>
      </c>
      <c r="B173" s="386">
        <f t="shared" si="23"/>
        <v>136343</v>
      </c>
      <c r="C173" s="387">
        <v>16768</v>
      </c>
      <c r="D173" s="387">
        <v>17795</v>
      </c>
      <c r="E173" s="387">
        <v>18285</v>
      </c>
      <c r="F173" s="387">
        <v>15043</v>
      </c>
      <c r="G173" s="387">
        <v>3443</v>
      </c>
      <c r="H173" s="387">
        <v>4042</v>
      </c>
      <c r="I173" s="387">
        <v>5337</v>
      </c>
      <c r="J173" s="387">
        <v>11449</v>
      </c>
      <c r="K173" s="387">
        <v>5213</v>
      </c>
      <c r="L173" s="387">
        <v>6560</v>
      </c>
      <c r="M173" s="387">
        <v>11114</v>
      </c>
      <c r="N173" s="387">
        <v>21294</v>
      </c>
      <c r="O173" s="388" t="s">
        <v>43</v>
      </c>
    </row>
    <row r="174" spans="1:15" ht="17.25">
      <c r="A174" s="385" t="s">
        <v>378</v>
      </c>
      <c r="B174" s="386">
        <f t="shared" si="23"/>
        <v>11428</v>
      </c>
      <c r="C174" s="387">
        <v>532</v>
      </c>
      <c r="D174" s="387">
        <v>509</v>
      </c>
      <c r="E174" s="387">
        <v>757</v>
      </c>
      <c r="F174" s="387">
        <v>1528</v>
      </c>
      <c r="G174" s="387">
        <v>728</v>
      </c>
      <c r="H174" s="387">
        <v>946</v>
      </c>
      <c r="I174" s="387">
        <v>1105</v>
      </c>
      <c r="J174" s="387">
        <v>1343</v>
      </c>
      <c r="K174" s="387">
        <v>1089</v>
      </c>
      <c r="L174" s="387">
        <v>1062</v>
      </c>
      <c r="M174" s="387">
        <v>822</v>
      </c>
      <c r="N174" s="387">
        <v>1007</v>
      </c>
      <c r="O174" s="388" t="s">
        <v>51</v>
      </c>
    </row>
    <row r="175" spans="1:15" ht="17.25">
      <c r="A175" s="385" t="s">
        <v>379</v>
      </c>
      <c r="B175" s="386">
        <f t="shared" si="23"/>
        <v>3130</v>
      </c>
      <c r="C175" s="387">
        <v>305</v>
      </c>
      <c r="D175" s="387">
        <v>411</v>
      </c>
      <c r="E175" s="387">
        <v>225</v>
      </c>
      <c r="F175" s="387">
        <v>247</v>
      </c>
      <c r="G175" s="387">
        <v>157</v>
      </c>
      <c r="H175" s="387">
        <v>203</v>
      </c>
      <c r="I175" s="387">
        <v>228</v>
      </c>
      <c r="J175" s="387">
        <v>237</v>
      </c>
      <c r="K175" s="387">
        <v>297</v>
      </c>
      <c r="L175" s="387">
        <v>216</v>
      </c>
      <c r="M175" s="387">
        <v>301</v>
      </c>
      <c r="N175" s="387">
        <v>303</v>
      </c>
      <c r="O175" s="388" t="s">
        <v>380</v>
      </c>
    </row>
    <row r="176" spans="1:15" ht="17.25">
      <c r="A176" s="385" t="s">
        <v>381</v>
      </c>
      <c r="B176" s="386">
        <f t="shared" si="23"/>
        <v>3693</v>
      </c>
      <c r="C176" s="387">
        <v>356</v>
      </c>
      <c r="D176" s="387">
        <v>708</v>
      </c>
      <c r="E176" s="387">
        <v>306</v>
      </c>
      <c r="F176" s="387">
        <v>271</v>
      </c>
      <c r="G176" s="387">
        <v>85</v>
      </c>
      <c r="H176" s="387">
        <v>99</v>
      </c>
      <c r="I176" s="387">
        <v>327</v>
      </c>
      <c r="J176" s="387">
        <v>202</v>
      </c>
      <c r="K176" s="387">
        <v>118</v>
      </c>
      <c r="L176" s="387">
        <v>480</v>
      </c>
      <c r="M176" s="387">
        <v>265</v>
      </c>
      <c r="N176" s="387">
        <v>476</v>
      </c>
      <c r="O176" s="388" t="s">
        <v>382</v>
      </c>
    </row>
    <row r="177" spans="1:15" ht="17.25">
      <c r="A177" s="385" t="s">
        <v>383</v>
      </c>
      <c r="B177" s="386">
        <f t="shared" si="23"/>
        <v>36064</v>
      </c>
      <c r="C177" s="387">
        <v>1385</v>
      </c>
      <c r="D177" s="387">
        <v>1392</v>
      </c>
      <c r="E177" s="387">
        <v>1778</v>
      </c>
      <c r="F177" s="387">
        <v>2936</v>
      </c>
      <c r="G177" s="387">
        <v>1669</v>
      </c>
      <c r="H177" s="387">
        <v>2364</v>
      </c>
      <c r="I177" s="387">
        <v>4313</v>
      </c>
      <c r="J177" s="387">
        <v>6555</v>
      </c>
      <c r="K177" s="387">
        <v>4046</v>
      </c>
      <c r="L177" s="387">
        <v>3609</v>
      </c>
      <c r="M177" s="387">
        <v>3004</v>
      </c>
      <c r="N177" s="387">
        <v>3013</v>
      </c>
      <c r="O177" s="388" t="s">
        <v>59</v>
      </c>
    </row>
    <row r="178" spans="1:15" ht="17.25">
      <c r="A178" s="385" t="s">
        <v>360</v>
      </c>
      <c r="B178" s="386">
        <f t="shared" si="23"/>
        <v>3898</v>
      </c>
      <c r="C178" s="387">
        <v>321</v>
      </c>
      <c r="D178" s="387">
        <v>313</v>
      </c>
      <c r="E178" s="387">
        <v>355</v>
      </c>
      <c r="F178" s="387">
        <v>363</v>
      </c>
      <c r="G178" s="387">
        <v>154</v>
      </c>
      <c r="H178" s="387">
        <v>218</v>
      </c>
      <c r="I178" s="387">
        <v>269</v>
      </c>
      <c r="J178" s="387">
        <v>337</v>
      </c>
      <c r="K178" s="387">
        <v>428</v>
      </c>
      <c r="L178" s="387">
        <v>331</v>
      </c>
      <c r="M178" s="387">
        <v>361</v>
      </c>
      <c r="N178" s="387">
        <v>448</v>
      </c>
      <c r="O178" s="388" t="s">
        <v>71</v>
      </c>
    </row>
    <row r="179" spans="1:15" ht="17.25">
      <c r="A179" s="383" t="s">
        <v>255</v>
      </c>
      <c r="B179" s="386">
        <f t="shared" si="23"/>
        <v>267702</v>
      </c>
      <c r="C179" s="390">
        <f>SUM(C180:C186)</f>
        <v>24323</v>
      </c>
      <c r="D179" s="390">
        <f>SUM(D180:D186)</f>
        <v>30889</v>
      </c>
      <c r="E179" s="390">
        <v>33506</v>
      </c>
      <c r="F179" s="390">
        <v>35207</v>
      </c>
      <c r="G179" s="390">
        <v>12423</v>
      </c>
      <c r="H179" s="390">
        <v>10540</v>
      </c>
      <c r="I179" s="390">
        <v>16273</v>
      </c>
      <c r="J179" s="390">
        <v>14641</v>
      </c>
      <c r="K179" s="390">
        <v>15168</v>
      </c>
      <c r="L179" s="390">
        <v>24577</v>
      </c>
      <c r="M179" s="390">
        <v>24044</v>
      </c>
      <c r="N179" s="390">
        <v>26111</v>
      </c>
      <c r="O179" s="391" t="s">
        <v>384</v>
      </c>
    </row>
    <row r="180" spans="1:15" ht="17.25">
      <c r="A180" s="385" t="s">
        <v>385</v>
      </c>
      <c r="B180" s="386">
        <f t="shared" si="23"/>
        <v>21839</v>
      </c>
      <c r="C180" s="387">
        <v>2593</v>
      </c>
      <c r="D180" s="387">
        <v>3285</v>
      </c>
      <c r="E180" s="387">
        <v>2340</v>
      </c>
      <c r="F180" s="387">
        <v>2257</v>
      </c>
      <c r="G180" s="387">
        <v>933</v>
      </c>
      <c r="H180" s="387">
        <v>592</v>
      </c>
      <c r="I180" s="387">
        <v>1415</v>
      </c>
      <c r="J180" s="387">
        <v>1108</v>
      </c>
      <c r="K180" s="387">
        <v>877</v>
      </c>
      <c r="L180" s="387">
        <v>1613</v>
      </c>
      <c r="M180" s="387">
        <v>2229</v>
      </c>
      <c r="N180" s="387">
        <v>2597</v>
      </c>
      <c r="O180" s="388" t="s">
        <v>21</v>
      </c>
    </row>
    <row r="181" spans="1:15" ht="17.25">
      <c r="A181" s="385" t="s">
        <v>386</v>
      </c>
      <c r="B181" s="386">
        <f t="shared" si="23"/>
        <v>7305</v>
      </c>
      <c r="C181" s="387">
        <v>676</v>
      </c>
      <c r="D181" s="387">
        <v>669</v>
      </c>
      <c r="E181" s="387">
        <v>844</v>
      </c>
      <c r="F181" s="387">
        <v>1052</v>
      </c>
      <c r="G181" s="387">
        <v>281</v>
      </c>
      <c r="H181" s="387">
        <v>294</v>
      </c>
      <c r="I181" s="387">
        <v>713</v>
      </c>
      <c r="J181" s="387">
        <v>460</v>
      </c>
      <c r="K181" s="387">
        <v>478</v>
      </c>
      <c r="L181" s="387">
        <v>559</v>
      </c>
      <c r="M181" s="387">
        <v>518</v>
      </c>
      <c r="N181" s="387">
        <v>761</v>
      </c>
      <c r="O181" s="388" t="s">
        <v>23</v>
      </c>
    </row>
    <row r="182" spans="1:15" ht="17.25">
      <c r="A182" s="385" t="s">
        <v>387</v>
      </c>
      <c r="B182" s="386">
        <f t="shared" si="23"/>
        <v>59738</v>
      </c>
      <c r="C182" s="387">
        <v>7153</v>
      </c>
      <c r="D182" s="387">
        <v>10730</v>
      </c>
      <c r="E182" s="387">
        <v>8809</v>
      </c>
      <c r="F182" s="387">
        <v>7244</v>
      </c>
      <c r="G182" s="387">
        <v>2008</v>
      </c>
      <c r="H182" s="387">
        <v>1439</v>
      </c>
      <c r="I182" s="387">
        <v>2242</v>
      </c>
      <c r="J182" s="387">
        <v>3173</v>
      </c>
      <c r="K182" s="387">
        <v>1924</v>
      </c>
      <c r="L182" s="387">
        <v>3940</v>
      </c>
      <c r="M182" s="387">
        <v>4229</v>
      </c>
      <c r="N182" s="387">
        <v>6847</v>
      </c>
      <c r="O182" s="388" t="s">
        <v>31</v>
      </c>
    </row>
    <row r="183" spans="1:15" ht="17.25">
      <c r="A183" s="385" t="s">
        <v>388</v>
      </c>
      <c r="B183" s="386">
        <f t="shared" si="23"/>
        <v>131561</v>
      </c>
      <c r="C183" s="387">
        <v>9819</v>
      </c>
      <c r="D183" s="387">
        <v>11140</v>
      </c>
      <c r="E183" s="387">
        <v>16320</v>
      </c>
      <c r="F183" s="387">
        <v>17583</v>
      </c>
      <c r="G183" s="387">
        <v>7545</v>
      </c>
      <c r="H183" s="387">
        <v>6830</v>
      </c>
      <c r="I183" s="387">
        <v>8266</v>
      </c>
      <c r="J183" s="387">
        <v>7242</v>
      </c>
      <c r="K183" s="387">
        <v>8982</v>
      </c>
      <c r="L183" s="387">
        <v>13625</v>
      </c>
      <c r="M183" s="387">
        <v>12816</v>
      </c>
      <c r="N183" s="387">
        <v>11393</v>
      </c>
      <c r="O183" s="388" t="s">
        <v>389</v>
      </c>
    </row>
    <row r="184" spans="1:15" ht="17.25">
      <c r="A184" s="389" t="s">
        <v>390</v>
      </c>
      <c r="B184" s="386">
        <f t="shared" si="23"/>
        <v>12261</v>
      </c>
      <c r="C184" s="387">
        <v>1057</v>
      </c>
      <c r="D184" s="387">
        <v>1127</v>
      </c>
      <c r="E184" s="387">
        <v>1142</v>
      </c>
      <c r="F184" s="387">
        <v>1162</v>
      </c>
      <c r="G184" s="387">
        <v>482</v>
      </c>
      <c r="H184" s="387">
        <v>537</v>
      </c>
      <c r="I184" s="387">
        <v>1296</v>
      </c>
      <c r="J184" s="387">
        <v>1772</v>
      </c>
      <c r="K184" s="387">
        <v>1063</v>
      </c>
      <c r="L184" s="387">
        <v>840</v>
      </c>
      <c r="M184" s="387">
        <v>789</v>
      </c>
      <c r="N184" s="387">
        <v>994</v>
      </c>
      <c r="O184" s="388" t="s">
        <v>391</v>
      </c>
    </row>
    <row r="185" spans="1:15" ht="17.25">
      <c r="A185" s="385" t="s">
        <v>392</v>
      </c>
      <c r="B185" s="386">
        <f t="shared" si="23"/>
        <v>33829</v>
      </c>
      <c r="C185" s="387">
        <v>2966</v>
      </c>
      <c r="D185" s="387">
        <v>3819</v>
      </c>
      <c r="E185" s="387">
        <v>3911</v>
      </c>
      <c r="F185" s="387">
        <v>5656</v>
      </c>
      <c r="G185" s="387">
        <v>1148</v>
      </c>
      <c r="H185" s="387">
        <v>814</v>
      </c>
      <c r="I185" s="387">
        <v>2273</v>
      </c>
      <c r="J185" s="387">
        <v>766</v>
      </c>
      <c r="K185" s="387">
        <v>1804</v>
      </c>
      <c r="L185" s="387">
        <v>3892</v>
      </c>
      <c r="M185" s="387">
        <v>3387</v>
      </c>
      <c r="N185" s="387">
        <v>3393</v>
      </c>
      <c r="O185" s="388" t="s">
        <v>393</v>
      </c>
    </row>
    <row r="186" spans="1:15" ht="17.25">
      <c r="A186" s="385" t="s">
        <v>360</v>
      </c>
      <c r="B186" s="386">
        <f t="shared" si="23"/>
        <v>1169</v>
      </c>
      <c r="C186" s="387">
        <v>59</v>
      </c>
      <c r="D186" s="387">
        <v>119</v>
      </c>
      <c r="E186" s="387">
        <v>140</v>
      </c>
      <c r="F186" s="387">
        <v>253</v>
      </c>
      <c r="G186" s="387">
        <v>26</v>
      </c>
      <c r="H186" s="387">
        <v>34</v>
      </c>
      <c r="I186" s="387">
        <v>68</v>
      </c>
      <c r="J186" s="387">
        <v>120</v>
      </c>
      <c r="K186" s="387">
        <v>40</v>
      </c>
      <c r="L186" s="387">
        <v>108</v>
      </c>
      <c r="M186" s="387">
        <v>76</v>
      </c>
      <c r="N186" s="387">
        <v>126</v>
      </c>
      <c r="O186" s="388" t="s">
        <v>71</v>
      </c>
    </row>
    <row r="187" spans="1:15" ht="25.5">
      <c r="A187" s="392" t="s">
        <v>257</v>
      </c>
      <c r="B187" s="386">
        <f t="shared" si="23"/>
        <v>21273</v>
      </c>
      <c r="C187" s="390">
        <f>SUM(C188:C190)</f>
        <v>1887</v>
      </c>
      <c r="D187" s="390">
        <f>SUM(D188:D190)</f>
        <v>1550</v>
      </c>
      <c r="E187" s="390">
        <v>1442</v>
      </c>
      <c r="F187" s="390">
        <v>1970</v>
      </c>
      <c r="G187" s="390">
        <v>819</v>
      </c>
      <c r="H187" s="390">
        <v>1314</v>
      </c>
      <c r="I187" s="390">
        <v>1741</v>
      </c>
      <c r="J187" s="390">
        <v>2135</v>
      </c>
      <c r="K187" s="390">
        <v>2222</v>
      </c>
      <c r="L187" s="390">
        <v>2805</v>
      </c>
      <c r="M187" s="390">
        <v>1671</v>
      </c>
      <c r="N187" s="390">
        <v>1717</v>
      </c>
      <c r="O187" s="391" t="s">
        <v>395</v>
      </c>
    </row>
    <row r="188" spans="1:15" ht="17.25">
      <c r="A188" s="389" t="s">
        <v>396</v>
      </c>
      <c r="B188" s="386">
        <f t="shared" si="23"/>
        <v>10424</v>
      </c>
      <c r="C188" s="387">
        <v>570</v>
      </c>
      <c r="D188" s="387">
        <v>462</v>
      </c>
      <c r="E188" s="387">
        <v>648</v>
      </c>
      <c r="F188" s="387">
        <v>1109</v>
      </c>
      <c r="G188" s="387">
        <v>408</v>
      </c>
      <c r="H188" s="387">
        <v>439</v>
      </c>
      <c r="I188" s="387">
        <v>841</v>
      </c>
      <c r="J188" s="387">
        <v>1255</v>
      </c>
      <c r="K188" s="387">
        <v>1287</v>
      </c>
      <c r="L188" s="387">
        <v>2153</v>
      </c>
      <c r="M188" s="387">
        <v>492</v>
      </c>
      <c r="N188" s="387">
        <v>760</v>
      </c>
      <c r="O188" s="388" t="s">
        <v>397</v>
      </c>
    </row>
    <row r="189" spans="1:15" ht="17.25">
      <c r="A189" s="385" t="s">
        <v>398</v>
      </c>
      <c r="B189" s="386">
        <f t="shared" si="23"/>
        <v>9976</v>
      </c>
      <c r="C189" s="387">
        <v>1256</v>
      </c>
      <c r="D189" s="387">
        <v>1001</v>
      </c>
      <c r="E189" s="387">
        <v>735</v>
      </c>
      <c r="F189" s="387">
        <v>746</v>
      </c>
      <c r="G189" s="387">
        <v>382</v>
      </c>
      <c r="H189" s="387">
        <v>843</v>
      </c>
      <c r="I189" s="387">
        <v>848</v>
      </c>
      <c r="J189" s="387">
        <v>745</v>
      </c>
      <c r="K189" s="387">
        <v>907</v>
      </c>
      <c r="L189" s="387">
        <v>596</v>
      </c>
      <c r="M189" s="387">
        <v>1115</v>
      </c>
      <c r="N189" s="387">
        <v>802</v>
      </c>
      <c r="O189" s="388" t="s">
        <v>399</v>
      </c>
    </row>
    <row r="190" spans="1:15" ht="17.25">
      <c r="A190" s="393" t="s">
        <v>360</v>
      </c>
      <c r="B190" s="394">
        <f t="shared" si="23"/>
        <v>873</v>
      </c>
      <c r="C190" s="395">
        <v>61</v>
      </c>
      <c r="D190" s="395">
        <v>87</v>
      </c>
      <c r="E190" s="395">
        <v>59</v>
      </c>
      <c r="F190" s="395">
        <v>115</v>
      </c>
      <c r="G190" s="395">
        <v>29</v>
      </c>
      <c r="H190" s="395">
        <v>32</v>
      </c>
      <c r="I190" s="395">
        <v>52</v>
      </c>
      <c r="J190" s="395">
        <v>135</v>
      </c>
      <c r="K190" s="395">
        <v>28</v>
      </c>
      <c r="L190" s="395">
        <v>56</v>
      </c>
      <c r="M190" s="395">
        <v>64</v>
      </c>
      <c r="N190" s="395">
        <v>155</v>
      </c>
      <c r="O190" s="396" t="s">
        <v>71</v>
      </c>
    </row>
    <row r="191" spans="1:15" ht="17.25">
      <c r="A191" s="380" t="s">
        <v>72</v>
      </c>
      <c r="B191" s="284">
        <f t="shared" si="23"/>
        <v>661000</v>
      </c>
      <c r="C191" s="284">
        <f>C192+C198+C207</f>
        <v>51613</v>
      </c>
      <c r="D191" s="284">
        <f t="shared" ref="D191:N191" si="24">D192+D198+D207</f>
        <v>59047</v>
      </c>
      <c r="E191" s="284">
        <f t="shared" si="24"/>
        <v>49491</v>
      </c>
      <c r="F191" s="284">
        <f t="shared" si="24"/>
        <v>54400</v>
      </c>
      <c r="G191" s="284">
        <f t="shared" si="24"/>
        <v>54073</v>
      </c>
      <c r="H191" s="284">
        <f t="shared" si="24"/>
        <v>58110</v>
      </c>
      <c r="I191" s="284">
        <f t="shared" si="24"/>
        <v>60212</v>
      </c>
      <c r="J191" s="284">
        <f t="shared" si="24"/>
        <v>61791</v>
      </c>
      <c r="K191" s="284">
        <f t="shared" si="24"/>
        <v>53026</v>
      </c>
      <c r="L191" s="284">
        <f t="shared" si="24"/>
        <v>55839</v>
      </c>
      <c r="M191" s="284">
        <f t="shared" si="24"/>
        <v>46243</v>
      </c>
      <c r="N191" s="284">
        <f t="shared" si="24"/>
        <v>57155</v>
      </c>
      <c r="O191" s="397" t="s">
        <v>73</v>
      </c>
    </row>
    <row r="192" spans="1:15" ht="17.25">
      <c r="A192" s="383" t="s">
        <v>259</v>
      </c>
      <c r="B192" s="386">
        <f t="shared" si="23"/>
        <v>380623</v>
      </c>
      <c r="C192" s="390">
        <f>SUM(C193:C197)</f>
        <v>33201</v>
      </c>
      <c r="D192" s="390">
        <f>SUM(D193:D197)</f>
        <v>39347</v>
      </c>
      <c r="E192" s="390">
        <f>SUM(E193:E197)</f>
        <v>27554</v>
      </c>
      <c r="F192" s="390">
        <v>29402</v>
      </c>
      <c r="G192" s="390">
        <v>27118</v>
      </c>
      <c r="H192" s="390">
        <v>31442</v>
      </c>
      <c r="I192" s="390">
        <v>39328</v>
      </c>
      <c r="J192" s="390">
        <v>40718</v>
      </c>
      <c r="K192" s="390">
        <v>32449</v>
      </c>
      <c r="L192" s="390">
        <v>31557</v>
      </c>
      <c r="M192" s="390">
        <v>23457</v>
      </c>
      <c r="N192" s="390">
        <v>25050</v>
      </c>
      <c r="O192" s="398" t="s">
        <v>400</v>
      </c>
    </row>
    <row r="193" spans="1:15" ht="17.25">
      <c r="A193" s="385" t="s">
        <v>401</v>
      </c>
      <c r="B193" s="386">
        <f t="shared" si="23"/>
        <v>284029</v>
      </c>
      <c r="C193" s="387">
        <v>25804</v>
      </c>
      <c r="D193" s="387">
        <v>31285</v>
      </c>
      <c r="E193" s="387">
        <v>19479</v>
      </c>
      <c r="F193" s="387">
        <v>18704</v>
      </c>
      <c r="G193" s="387">
        <v>21010</v>
      </c>
      <c r="H193" s="387">
        <v>23983</v>
      </c>
      <c r="I193" s="387">
        <v>32569</v>
      </c>
      <c r="J193" s="387">
        <v>32757</v>
      </c>
      <c r="K193" s="387">
        <v>24758</v>
      </c>
      <c r="L193" s="387">
        <v>21926</v>
      </c>
      <c r="M193" s="387">
        <v>15600</v>
      </c>
      <c r="N193" s="387">
        <v>16154</v>
      </c>
      <c r="O193" s="388" t="s">
        <v>77</v>
      </c>
    </row>
    <row r="194" spans="1:15" ht="17.25">
      <c r="A194" s="385" t="s">
        <v>402</v>
      </c>
      <c r="B194" s="386">
        <f t="shared" si="23"/>
        <v>44251</v>
      </c>
      <c r="C194" s="387">
        <v>3126</v>
      </c>
      <c r="D194" s="387">
        <v>3957</v>
      </c>
      <c r="E194" s="387">
        <v>4080</v>
      </c>
      <c r="F194" s="387">
        <v>6389</v>
      </c>
      <c r="G194" s="387">
        <v>2204</v>
      </c>
      <c r="H194" s="387">
        <v>2868</v>
      </c>
      <c r="I194" s="387">
        <v>2802</v>
      </c>
      <c r="J194" s="387">
        <v>4623</v>
      </c>
      <c r="K194" s="387">
        <v>3318</v>
      </c>
      <c r="L194" s="387">
        <v>3349</v>
      </c>
      <c r="M194" s="387">
        <v>3110</v>
      </c>
      <c r="N194" s="387">
        <v>4425</v>
      </c>
      <c r="O194" s="388" t="s">
        <v>83</v>
      </c>
    </row>
    <row r="195" spans="1:15" ht="17.25">
      <c r="A195" s="385" t="s">
        <v>403</v>
      </c>
      <c r="B195" s="386">
        <f t="shared" si="23"/>
        <v>37073</v>
      </c>
      <c r="C195" s="387">
        <v>3069</v>
      </c>
      <c r="D195" s="387">
        <v>2582</v>
      </c>
      <c r="E195" s="387">
        <v>2505</v>
      </c>
      <c r="F195" s="387">
        <v>3103</v>
      </c>
      <c r="G195" s="387">
        <v>2875</v>
      </c>
      <c r="H195" s="387">
        <v>3224</v>
      </c>
      <c r="I195" s="387">
        <v>2522</v>
      </c>
      <c r="J195" s="387">
        <v>2308</v>
      </c>
      <c r="K195" s="387">
        <v>2815</v>
      </c>
      <c r="L195" s="387">
        <v>4587</v>
      </c>
      <c r="M195" s="387">
        <v>3851</v>
      </c>
      <c r="N195" s="387">
        <v>3632</v>
      </c>
      <c r="O195" s="388" t="s">
        <v>85</v>
      </c>
    </row>
    <row r="196" spans="1:15" ht="17.25">
      <c r="A196" s="385" t="s">
        <v>404</v>
      </c>
      <c r="B196" s="386">
        <f t="shared" si="23"/>
        <v>14972</v>
      </c>
      <c r="C196" s="387">
        <v>1141</v>
      </c>
      <c r="D196" s="387">
        <v>1491</v>
      </c>
      <c r="E196" s="387">
        <v>1454</v>
      </c>
      <c r="F196" s="387">
        <v>1200</v>
      </c>
      <c r="G196" s="387">
        <v>1017</v>
      </c>
      <c r="H196" s="387">
        <v>1342</v>
      </c>
      <c r="I196" s="387">
        <v>1418</v>
      </c>
      <c r="J196" s="387">
        <v>1015</v>
      </c>
      <c r="K196" s="387">
        <v>1526</v>
      </c>
      <c r="L196" s="387">
        <v>1687</v>
      </c>
      <c r="M196" s="387">
        <v>872</v>
      </c>
      <c r="N196" s="387">
        <v>809</v>
      </c>
      <c r="O196" s="388" t="s">
        <v>97</v>
      </c>
    </row>
    <row r="197" spans="1:15" ht="17.25">
      <c r="A197" s="385" t="s">
        <v>360</v>
      </c>
      <c r="B197" s="386">
        <f t="shared" si="23"/>
        <v>298</v>
      </c>
      <c r="C197" s="387">
        <v>61</v>
      </c>
      <c r="D197" s="387">
        <v>32</v>
      </c>
      <c r="E197" s="387">
        <v>36</v>
      </c>
      <c r="F197" s="387">
        <v>6</v>
      </c>
      <c r="G197" s="387">
        <v>12</v>
      </c>
      <c r="H197" s="387">
        <v>25</v>
      </c>
      <c r="I197" s="387">
        <v>17</v>
      </c>
      <c r="J197" s="387">
        <v>15</v>
      </c>
      <c r="K197" s="387">
        <v>32</v>
      </c>
      <c r="L197" s="387">
        <v>8</v>
      </c>
      <c r="M197" s="387">
        <v>24</v>
      </c>
      <c r="N197" s="387">
        <v>30</v>
      </c>
      <c r="O197" s="388" t="s">
        <v>71</v>
      </c>
    </row>
    <row r="198" spans="1:15" ht="17.25">
      <c r="A198" s="383" t="s">
        <v>261</v>
      </c>
      <c r="B198" s="386">
        <f t="shared" si="23"/>
        <v>87636</v>
      </c>
      <c r="C198" s="390">
        <f>SUM(C199:C206)</f>
        <v>4771</v>
      </c>
      <c r="D198" s="390">
        <f>SUM(D199:D206)</f>
        <v>5305</v>
      </c>
      <c r="E198" s="390">
        <f>SUM(E199:E206)</f>
        <v>7852</v>
      </c>
      <c r="F198" s="390">
        <v>9745</v>
      </c>
      <c r="G198" s="390">
        <v>8457</v>
      </c>
      <c r="H198" s="390">
        <v>8708</v>
      </c>
      <c r="I198" s="390">
        <v>7433</v>
      </c>
      <c r="J198" s="390">
        <v>6736</v>
      </c>
      <c r="K198" s="390">
        <v>6913</v>
      </c>
      <c r="L198" s="390">
        <v>7171</v>
      </c>
      <c r="M198" s="390">
        <v>6411</v>
      </c>
      <c r="N198" s="390">
        <v>8134</v>
      </c>
      <c r="O198" s="398" t="s">
        <v>405</v>
      </c>
    </row>
    <row r="199" spans="1:15" ht="17.25">
      <c r="A199" s="385" t="s">
        <v>406</v>
      </c>
      <c r="B199" s="386">
        <f t="shared" si="23"/>
        <v>4646</v>
      </c>
      <c r="C199" s="387">
        <v>292</v>
      </c>
      <c r="D199" s="387">
        <v>266</v>
      </c>
      <c r="E199" s="387">
        <v>512</v>
      </c>
      <c r="F199" s="387">
        <v>337</v>
      </c>
      <c r="G199" s="387">
        <v>230</v>
      </c>
      <c r="H199" s="387">
        <v>465</v>
      </c>
      <c r="I199" s="387">
        <v>533</v>
      </c>
      <c r="J199" s="387">
        <v>400</v>
      </c>
      <c r="K199" s="387">
        <v>390</v>
      </c>
      <c r="L199" s="387">
        <v>427</v>
      </c>
      <c r="M199" s="387">
        <v>416</v>
      </c>
      <c r="N199" s="387">
        <v>378</v>
      </c>
      <c r="O199" s="388" t="s">
        <v>81</v>
      </c>
    </row>
    <row r="200" spans="1:15" ht="17.25">
      <c r="A200" s="385" t="s">
        <v>407</v>
      </c>
      <c r="B200" s="386">
        <f t="shared" si="23"/>
        <v>21605</v>
      </c>
      <c r="C200" s="387">
        <v>1476</v>
      </c>
      <c r="D200" s="387">
        <v>1565</v>
      </c>
      <c r="E200" s="387">
        <v>2345</v>
      </c>
      <c r="F200" s="387">
        <v>2414</v>
      </c>
      <c r="G200" s="387">
        <v>1433</v>
      </c>
      <c r="H200" s="387">
        <v>2023</v>
      </c>
      <c r="I200" s="387">
        <v>1750</v>
      </c>
      <c r="J200" s="387">
        <v>1755</v>
      </c>
      <c r="K200" s="387">
        <v>1583</v>
      </c>
      <c r="L200" s="387">
        <v>1611</v>
      </c>
      <c r="M200" s="387">
        <v>1585</v>
      </c>
      <c r="N200" s="387">
        <v>2065</v>
      </c>
      <c r="O200" s="388" t="s">
        <v>87</v>
      </c>
    </row>
    <row r="201" spans="1:15" ht="17.25">
      <c r="A201" s="385" t="s">
        <v>408</v>
      </c>
      <c r="B201" s="386">
        <f t="shared" si="23"/>
        <v>1286</v>
      </c>
      <c r="C201" s="387">
        <v>71</v>
      </c>
      <c r="D201" s="387">
        <v>61</v>
      </c>
      <c r="E201" s="387">
        <v>86</v>
      </c>
      <c r="F201" s="387">
        <v>186</v>
      </c>
      <c r="G201" s="387">
        <v>105</v>
      </c>
      <c r="H201" s="387">
        <v>98</v>
      </c>
      <c r="I201" s="387">
        <v>66</v>
      </c>
      <c r="J201" s="387">
        <v>57</v>
      </c>
      <c r="K201" s="387">
        <v>175</v>
      </c>
      <c r="L201" s="387">
        <v>135</v>
      </c>
      <c r="M201" s="387">
        <v>131</v>
      </c>
      <c r="N201" s="387">
        <v>115</v>
      </c>
      <c r="O201" s="388" t="s">
        <v>409</v>
      </c>
    </row>
    <row r="202" spans="1:15" ht="17.25">
      <c r="A202" s="385" t="s">
        <v>410</v>
      </c>
      <c r="B202" s="386">
        <f t="shared" si="23"/>
        <v>8461</v>
      </c>
      <c r="C202" s="387">
        <v>578</v>
      </c>
      <c r="D202" s="387">
        <v>605</v>
      </c>
      <c r="E202" s="387">
        <v>684</v>
      </c>
      <c r="F202" s="387">
        <v>1271</v>
      </c>
      <c r="G202" s="387">
        <v>768</v>
      </c>
      <c r="H202" s="387">
        <v>921</v>
      </c>
      <c r="I202" s="387">
        <v>602</v>
      </c>
      <c r="J202" s="387">
        <v>661</v>
      </c>
      <c r="K202" s="387">
        <v>463</v>
      </c>
      <c r="L202" s="387">
        <v>576</v>
      </c>
      <c r="M202" s="387">
        <v>722</v>
      </c>
      <c r="N202" s="387">
        <v>610</v>
      </c>
      <c r="O202" s="388" t="s">
        <v>411</v>
      </c>
    </row>
    <row r="203" spans="1:15" ht="17.25">
      <c r="A203" s="385" t="s">
        <v>412</v>
      </c>
      <c r="B203" s="386">
        <f t="shared" si="23"/>
        <v>14990</v>
      </c>
      <c r="C203" s="387">
        <v>846</v>
      </c>
      <c r="D203" s="387">
        <v>755</v>
      </c>
      <c r="E203" s="387">
        <v>1473</v>
      </c>
      <c r="F203" s="387">
        <v>1142</v>
      </c>
      <c r="G203" s="387">
        <v>971</v>
      </c>
      <c r="H203" s="387">
        <v>1880</v>
      </c>
      <c r="I203" s="387">
        <v>860</v>
      </c>
      <c r="J203" s="387">
        <v>1212</v>
      </c>
      <c r="K203" s="387">
        <v>1268</v>
      </c>
      <c r="L203" s="387">
        <v>1067</v>
      </c>
      <c r="M203" s="387">
        <v>1274</v>
      </c>
      <c r="N203" s="387">
        <v>2242</v>
      </c>
      <c r="O203" s="388" t="s">
        <v>413</v>
      </c>
    </row>
    <row r="204" spans="1:15" ht="17.25">
      <c r="A204" s="385" t="s">
        <v>414</v>
      </c>
      <c r="B204" s="386">
        <f t="shared" si="23"/>
        <v>29211</v>
      </c>
      <c r="C204" s="387">
        <v>1130</v>
      </c>
      <c r="D204" s="387">
        <v>1414</v>
      </c>
      <c r="E204" s="387">
        <v>2250</v>
      </c>
      <c r="F204" s="387">
        <v>3423</v>
      </c>
      <c r="G204" s="387">
        <v>4238</v>
      </c>
      <c r="H204" s="387">
        <v>2417</v>
      </c>
      <c r="I204" s="387">
        <v>2825</v>
      </c>
      <c r="J204" s="387">
        <v>2174</v>
      </c>
      <c r="K204" s="387">
        <v>2533</v>
      </c>
      <c r="L204" s="387">
        <v>2940</v>
      </c>
      <c r="M204" s="387">
        <v>1708</v>
      </c>
      <c r="N204" s="387">
        <v>2159</v>
      </c>
      <c r="O204" s="388" t="s">
        <v>415</v>
      </c>
    </row>
    <row r="205" spans="1:15" ht="17.25">
      <c r="A205" s="385" t="s">
        <v>416</v>
      </c>
      <c r="B205" s="386">
        <f t="shared" si="23"/>
        <v>6191</v>
      </c>
      <c r="C205" s="387">
        <v>261</v>
      </c>
      <c r="D205" s="387">
        <v>582</v>
      </c>
      <c r="E205" s="387">
        <v>399</v>
      </c>
      <c r="F205" s="387">
        <v>848</v>
      </c>
      <c r="G205" s="387">
        <v>550</v>
      </c>
      <c r="H205" s="387">
        <v>727</v>
      </c>
      <c r="I205" s="387">
        <v>697</v>
      </c>
      <c r="J205" s="387">
        <v>422</v>
      </c>
      <c r="K205" s="387">
        <v>367</v>
      </c>
      <c r="L205" s="387">
        <v>351</v>
      </c>
      <c r="M205" s="387">
        <v>517</v>
      </c>
      <c r="N205" s="387">
        <v>470</v>
      </c>
      <c r="O205" s="388" t="s">
        <v>417</v>
      </c>
    </row>
    <row r="206" spans="1:15" ht="17.25">
      <c r="A206" s="385" t="s">
        <v>360</v>
      </c>
      <c r="B206" s="386">
        <f t="shared" si="23"/>
        <v>1246</v>
      </c>
      <c r="C206" s="387">
        <v>117</v>
      </c>
      <c r="D206" s="387">
        <v>57</v>
      </c>
      <c r="E206" s="387">
        <v>103</v>
      </c>
      <c r="F206" s="387">
        <v>124</v>
      </c>
      <c r="G206" s="387">
        <v>162</v>
      </c>
      <c r="H206" s="387">
        <v>177</v>
      </c>
      <c r="I206" s="387">
        <v>100</v>
      </c>
      <c r="J206" s="387">
        <v>55</v>
      </c>
      <c r="K206" s="387">
        <v>134</v>
      </c>
      <c r="L206" s="387">
        <v>64</v>
      </c>
      <c r="M206" s="387">
        <v>58</v>
      </c>
      <c r="N206" s="387">
        <v>95</v>
      </c>
      <c r="O206" s="388" t="s">
        <v>71</v>
      </c>
    </row>
    <row r="207" spans="1:15" ht="17.25">
      <c r="A207" s="383" t="s">
        <v>263</v>
      </c>
      <c r="B207" s="386">
        <f t="shared" si="23"/>
        <v>192741</v>
      </c>
      <c r="C207" s="390">
        <f>SUM(C208:C213)</f>
        <v>13641</v>
      </c>
      <c r="D207" s="390">
        <f>SUM(D208:D213)</f>
        <v>14395</v>
      </c>
      <c r="E207" s="390">
        <f>SUM(E208:E213)</f>
        <v>14085</v>
      </c>
      <c r="F207" s="390">
        <v>15253</v>
      </c>
      <c r="G207" s="390">
        <v>18498</v>
      </c>
      <c r="H207" s="390">
        <v>17960</v>
      </c>
      <c r="I207" s="390">
        <v>13451</v>
      </c>
      <c r="J207" s="390">
        <v>14337</v>
      </c>
      <c r="K207" s="390">
        <v>13664</v>
      </c>
      <c r="L207" s="390">
        <v>17111</v>
      </c>
      <c r="M207" s="390">
        <v>16375</v>
      </c>
      <c r="N207" s="390">
        <v>23971</v>
      </c>
      <c r="O207" s="398" t="s">
        <v>418</v>
      </c>
    </row>
    <row r="208" spans="1:15" ht="17.25">
      <c r="A208" s="385" t="s">
        <v>419</v>
      </c>
      <c r="B208" s="386">
        <f t="shared" si="23"/>
        <v>3918</v>
      </c>
      <c r="C208" s="387">
        <v>373</v>
      </c>
      <c r="D208" s="387">
        <v>287</v>
      </c>
      <c r="E208" s="387">
        <v>291</v>
      </c>
      <c r="F208" s="387">
        <v>305</v>
      </c>
      <c r="G208" s="387">
        <v>112</v>
      </c>
      <c r="H208" s="387">
        <v>465</v>
      </c>
      <c r="I208" s="387">
        <v>213</v>
      </c>
      <c r="J208" s="387">
        <v>580</v>
      </c>
      <c r="K208" s="387">
        <v>237</v>
      </c>
      <c r="L208" s="387">
        <v>242</v>
      </c>
      <c r="M208" s="387">
        <v>220</v>
      </c>
      <c r="N208" s="387">
        <v>593</v>
      </c>
      <c r="O208" s="399" t="s">
        <v>420</v>
      </c>
    </row>
    <row r="209" spans="1:15" ht="17.25">
      <c r="A209" s="385" t="s">
        <v>421</v>
      </c>
      <c r="B209" s="386">
        <f t="shared" si="23"/>
        <v>166030</v>
      </c>
      <c r="C209" s="387">
        <v>11633</v>
      </c>
      <c r="D209" s="387">
        <v>12584</v>
      </c>
      <c r="E209" s="387">
        <v>11836</v>
      </c>
      <c r="F209" s="387">
        <v>12823</v>
      </c>
      <c r="G209" s="387">
        <v>17389</v>
      </c>
      <c r="H209" s="387">
        <v>15875</v>
      </c>
      <c r="I209" s="387">
        <v>11035</v>
      </c>
      <c r="J209" s="387">
        <v>11067</v>
      </c>
      <c r="K209" s="387">
        <v>11265</v>
      </c>
      <c r="L209" s="387">
        <v>15110</v>
      </c>
      <c r="M209" s="387">
        <v>14430</v>
      </c>
      <c r="N209" s="387">
        <v>20983</v>
      </c>
      <c r="O209" s="399" t="s">
        <v>79</v>
      </c>
    </row>
    <row r="210" spans="1:15" ht="17.25">
      <c r="A210" s="385" t="s">
        <v>422</v>
      </c>
      <c r="B210" s="386">
        <f t="shared" si="23"/>
        <v>1534</v>
      </c>
      <c r="C210" s="387">
        <v>73</v>
      </c>
      <c r="D210" s="387">
        <v>101</v>
      </c>
      <c r="E210" s="387">
        <v>438</v>
      </c>
      <c r="F210" s="387">
        <v>90</v>
      </c>
      <c r="G210" s="387">
        <v>67</v>
      </c>
      <c r="H210" s="387">
        <v>127</v>
      </c>
      <c r="I210" s="387">
        <v>96</v>
      </c>
      <c r="J210" s="387">
        <v>143</v>
      </c>
      <c r="K210" s="387">
        <v>131</v>
      </c>
      <c r="L210" s="387">
        <v>91</v>
      </c>
      <c r="M210" s="387">
        <v>99</v>
      </c>
      <c r="N210" s="387">
        <v>78</v>
      </c>
      <c r="O210" s="399" t="s">
        <v>423</v>
      </c>
    </row>
    <row r="211" spans="1:15" ht="17.25">
      <c r="A211" s="385" t="s">
        <v>424</v>
      </c>
      <c r="B211" s="386">
        <f t="shared" si="23"/>
        <v>6095</v>
      </c>
      <c r="C211" s="387">
        <v>500</v>
      </c>
      <c r="D211" s="387">
        <v>457</v>
      </c>
      <c r="E211" s="387">
        <v>389</v>
      </c>
      <c r="F211" s="387">
        <v>357</v>
      </c>
      <c r="G211" s="387">
        <v>98</v>
      </c>
      <c r="H211" s="387">
        <v>502</v>
      </c>
      <c r="I211" s="387">
        <v>1390</v>
      </c>
      <c r="J211" s="387">
        <v>538</v>
      </c>
      <c r="K211" s="387">
        <v>648</v>
      </c>
      <c r="L211" s="387">
        <v>308</v>
      </c>
      <c r="M211" s="387">
        <v>388</v>
      </c>
      <c r="N211" s="387">
        <v>520</v>
      </c>
      <c r="O211" s="399" t="s">
        <v>89</v>
      </c>
    </row>
    <row r="212" spans="1:15" ht="17.25">
      <c r="A212" s="385" t="s">
        <v>425</v>
      </c>
      <c r="B212" s="386">
        <f t="shared" si="23"/>
        <v>13623</v>
      </c>
      <c r="C212" s="387">
        <v>971</v>
      </c>
      <c r="D212" s="387">
        <v>874</v>
      </c>
      <c r="E212" s="387">
        <v>975</v>
      </c>
      <c r="F212" s="387">
        <v>1586</v>
      </c>
      <c r="G212" s="387">
        <v>749</v>
      </c>
      <c r="H212" s="387">
        <v>882</v>
      </c>
      <c r="I212" s="387">
        <v>561</v>
      </c>
      <c r="J212" s="387">
        <v>1874</v>
      </c>
      <c r="K212" s="387">
        <v>1233</v>
      </c>
      <c r="L212" s="387">
        <v>1108</v>
      </c>
      <c r="M212" s="387">
        <v>1140</v>
      </c>
      <c r="N212" s="387">
        <v>1670</v>
      </c>
      <c r="O212" s="399" t="s">
        <v>426</v>
      </c>
    </row>
    <row r="213" spans="1:15" ht="17.25">
      <c r="A213" s="393" t="s">
        <v>360</v>
      </c>
      <c r="B213" s="394">
        <f t="shared" si="23"/>
        <v>1541</v>
      </c>
      <c r="C213" s="395">
        <v>91</v>
      </c>
      <c r="D213" s="395">
        <v>92</v>
      </c>
      <c r="E213" s="395">
        <v>156</v>
      </c>
      <c r="F213" s="395">
        <v>92</v>
      </c>
      <c r="G213" s="395">
        <v>83</v>
      </c>
      <c r="H213" s="395">
        <v>109</v>
      </c>
      <c r="I213" s="395">
        <v>156</v>
      </c>
      <c r="J213" s="395">
        <v>135</v>
      </c>
      <c r="K213" s="395">
        <v>150</v>
      </c>
      <c r="L213" s="395">
        <v>252</v>
      </c>
      <c r="M213" s="395">
        <v>98</v>
      </c>
      <c r="N213" s="395">
        <v>127</v>
      </c>
      <c r="O213" s="396" t="s">
        <v>71</v>
      </c>
    </row>
    <row r="214" spans="1:15" ht="17.25">
      <c r="A214" s="380" t="s">
        <v>101</v>
      </c>
      <c r="B214" s="284">
        <f t="shared" si="23"/>
        <v>18695</v>
      </c>
      <c r="C214" s="284">
        <f>SUM(C215:C218)</f>
        <v>1453</v>
      </c>
      <c r="D214" s="284">
        <f t="shared" ref="D214:N214" si="25">SUM(D215:D218)</f>
        <v>1050</v>
      </c>
      <c r="E214" s="284">
        <f t="shared" si="25"/>
        <v>1585</v>
      </c>
      <c r="F214" s="284">
        <f t="shared" si="25"/>
        <v>1833</v>
      </c>
      <c r="G214" s="284">
        <f t="shared" si="25"/>
        <v>734</v>
      </c>
      <c r="H214" s="284">
        <f t="shared" si="25"/>
        <v>1549</v>
      </c>
      <c r="I214" s="284">
        <f t="shared" si="25"/>
        <v>1526</v>
      </c>
      <c r="J214" s="284">
        <f t="shared" si="25"/>
        <v>1825</v>
      </c>
      <c r="K214" s="284">
        <f t="shared" si="25"/>
        <v>1730</v>
      </c>
      <c r="L214" s="284">
        <f t="shared" si="25"/>
        <v>1059</v>
      </c>
      <c r="M214" s="284">
        <f t="shared" si="25"/>
        <v>1192</v>
      </c>
      <c r="N214" s="284">
        <f t="shared" si="25"/>
        <v>3159</v>
      </c>
      <c r="O214" s="397" t="s">
        <v>102</v>
      </c>
    </row>
    <row r="215" spans="1:15" ht="17.25">
      <c r="A215" s="400" t="s">
        <v>427</v>
      </c>
      <c r="B215" s="284">
        <f>SUM(C215:N215)</f>
        <v>1729</v>
      </c>
      <c r="C215" s="289">
        <v>130</v>
      </c>
      <c r="D215" s="289">
        <v>61</v>
      </c>
      <c r="E215" s="289">
        <v>139</v>
      </c>
      <c r="F215" s="289">
        <v>154</v>
      </c>
      <c r="G215" s="289">
        <v>18</v>
      </c>
      <c r="H215" s="289">
        <v>93</v>
      </c>
      <c r="I215" s="289">
        <v>279</v>
      </c>
      <c r="J215" s="289">
        <v>336</v>
      </c>
      <c r="K215" s="289">
        <v>211</v>
      </c>
      <c r="L215" s="289">
        <v>88</v>
      </c>
      <c r="M215" s="289">
        <v>93</v>
      </c>
      <c r="N215" s="289">
        <v>127</v>
      </c>
      <c r="O215" s="401" t="s">
        <v>428</v>
      </c>
    </row>
    <row r="216" spans="1:15" ht="17.25">
      <c r="A216" s="400" t="s">
        <v>429</v>
      </c>
      <c r="B216" s="284">
        <f t="shared" ref="B216:B239" si="26">SUM(C216:N216)</f>
        <v>2108</v>
      </c>
      <c r="C216" s="289">
        <v>207</v>
      </c>
      <c r="D216" s="289">
        <v>148</v>
      </c>
      <c r="E216" s="289">
        <v>179</v>
      </c>
      <c r="F216" s="289">
        <v>251</v>
      </c>
      <c r="G216" s="289">
        <v>38</v>
      </c>
      <c r="H216" s="289">
        <v>197</v>
      </c>
      <c r="I216" s="289">
        <v>190</v>
      </c>
      <c r="J216" s="289">
        <v>259</v>
      </c>
      <c r="K216" s="289">
        <v>149</v>
      </c>
      <c r="L216" s="289">
        <v>139</v>
      </c>
      <c r="M216" s="289">
        <v>167</v>
      </c>
      <c r="N216" s="289">
        <v>184</v>
      </c>
      <c r="O216" s="401" t="s">
        <v>430</v>
      </c>
    </row>
    <row r="217" spans="1:15" ht="17.25">
      <c r="A217" s="400" t="s">
        <v>431</v>
      </c>
      <c r="B217" s="386">
        <f t="shared" si="26"/>
        <v>9545</v>
      </c>
      <c r="C217" s="387">
        <v>720</v>
      </c>
      <c r="D217" s="387">
        <v>484</v>
      </c>
      <c r="E217" s="387">
        <v>851</v>
      </c>
      <c r="F217" s="387">
        <v>936</v>
      </c>
      <c r="G217" s="387">
        <v>483</v>
      </c>
      <c r="H217" s="387">
        <v>870</v>
      </c>
      <c r="I217" s="387">
        <v>549</v>
      </c>
      <c r="J217" s="387">
        <v>677</v>
      </c>
      <c r="K217" s="387">
        <v>887</v>
      </c>
      <c r="L217" s="387">
        <v>513</v>
      </c>
      <c r="M217" s="387">
        <v>459</v>
      </c>
      <c r="N217" s="387">
        <v>2116</v>
      </c>
      <c r="O217" s="401" t="s">
        <v>432</v>
      </c>
    </row>
    <row r="218" spans="1:15" ht="17.25">
      <c r="A218" s="402" t="s">
        <v>360</v>
      </c>
      <c r="B218" s="394">
        <f t="shared" si="26"/>
        <v>5313</v>
      </c>
      <c r="C218" s="395">
        <v>396</v>
      </c>
      <c r="D218" s="395">
        <v>357</v>
      </c>
      <c r="E218" s="395">
        <v>416</v>
      </c>
      <c r="F218" s="395">
        <v>492</v>
      </c>
      <c r="G218" s="395">
        <v>195</v>
      </c>
      <c r="H218" s="395">
        <v>389</v>
      </c>
      <c r="I218" s="395">
        <v>508</v>
      </c>
      <c r="J218" s="395">
        <v>553</v>
      </c>
      <c r="K218" s="395">
        <v>483</v>
      </c>
      <c r="L218" s="395">
        <v>319</v>
      </c>
      <c r="M218" s="395">
        <v>473</v>
      </c>
      <c r="N218" s="395">
        <v>732</v>
      </c>
      <c r="O218" s="403" t="s">
        <v>71</v>
      </c>
    </row>
    <row r="219" spans="1:15" ht="17.25">
      <c r="A219" s="380" t="s">
        <v>266</v>
      </c>
      <c r="B219" s="284">
        <f t="shared" si="26"/>
        <v>84794</v>
      </c>
      <c r="C219" s="284">
        <f>SUM(C220:C225)</f>
        <v>7239</v>
      </c>
      <c r="D219" s="284">
        <f t="shared" ref="D219:N219" si="27">SUM(D220:D225)</f>
        <v>8358</v>
      </c>
      <c r="E219" s="284">
        <f t="shared" si="27"/>
        <v>10207</v>
      </c>
      <c r="F219" s="284">
        <f t="shared" si="27"/>
        <v>7393</v>
      </c>
      <c r="G219" s="284">
        <f t="shared" si="27"/>
        <v>5395</v>
      </c>
      <c r="H219" s="284">
        <f t="shared" si="27"/>
        <v>5356</v>
      </c>
      <c r="I219" s="284">
        <f t="shared" si="27"/>
        <v>5873</v>
      </c>
      <c r="J219" s="284">
        <f t="shared" si="27"/>
        <v>5310</v>
      </c>
      <c r="K219" s="284">
        <f t="shared" si="27"/>
        <v>5982</v>
      </c>
      <c r="L219" s="284">
        <f t="shared" si="27"/>
        <v>6496</v>
      </c>
      <c r="M219" s="284">
        <f t="shared" si="27"/>
        <v>8020</v>
      </c>
      <c r="N219" s="284">
        <f t="shared" si="27"/>
        <v>9165</v>
      </c>
      <c r="O219" s="397" t="s">
        <v>265</v>
      </c>
    </row>
    <row r="220" spans="1:15" ht="17.25">
      <c r="A220" s="400" t="s">
        <v>433</v>
      </c>
      <c r="B220" s="386">
        <f t="shared" si="26"/>
        <v>2596</v>
      </c>
      <c r="C220" s="289">
        <v>434</v>
      </c>
      <c r="D220" s="289">
        <v>298</v>
      </c>
      <c r="E220" s="289">
        <v>311</v>
      </c>
      <c r="F220" s="289">
        <v>369</v>
      </c>
      <c r="G220" s="289">
        <v>214</v>
      </c>
      <c r="H220" s="289">
        <v>70</v>
      </c>
      <c r="I220" s="289">
        <v>110</v>
      </c>
      <c r="J220" s="289">
        <v>109</v>
      </c>
      <c r="K220" s="289">
        <v>118</v>
      </c>
      <c r="L220" s="289">
        <v>183</v>
      </c>
      <c r="M220" s="289">
        <v>235</v>
      </c>
      <c r="N220" s="289">
        <v>145</v>
      </c>
      <c r="O220" s="401" t="s">
        <v>434</v>
      </c>
    </row>
    <row r="221" spans="1:15" ht="17.25">
      <c r="A221" s="400" t="s">
        <v>435</v>
      </c>
      <c r="B221" s="386">
        <f t="shared" si="26"/>
        <v>9868</v>
      </c>
      <c r="C221" s="387">
        <v>800</v>
      </c>
      <c r="D221" s="387">
        <v>654</v>
      </c>
      <c r="E221" s="387">
        <v>1235</v>
      </c>
      <c r="F221" s="387">
        <v>976</v>
      </c>
      <c r="G221" s="387">
        <v>831</v>
      </c>
      <c r="H221" s="387">
        <v>598</v>
      </c>
      <c r="I221" s="387">
        <v>647</v>
      </c>
      <c r="J221" s="387">
        <v>518</v>
      </c>
      <c r="K221" s="387">
        <v>820</v>
      </c>
      <c r="L221" s="387">
        <v>906</v>
      </c>
      <c r="M221" s="387">
        <v>866</v>
      </c>
      <c r="N221" s="387">
        <v>1017</v>
      </c>
      <c r="O221" s="401" t="s">
        <v>436</v>
      </c>
    </row>
    <row r="222" spans="1:15" ht="17.25">
      <c r="A222" s="400" t="s">
        <v>437</v>
      </c>
      <c r="B222" s="386">
        <f t="shared" si="26"/>
        <v>11473</v>
      </c>
      <c r="C222" s="387">
        <v>1151</v>
      </c>
      <c r="D222" s="387">
        <v>1667</v>
      </c>
      <c r="E222" s="387">
        <v>1484</v>
      </c>
      <c r="F222" s="387">
        <v>1009</v>
      </c>
      <c r="G222" s="387">
        <v>528</v>
      </c>
      <c r="H222" s="387">
        <v>526</v>
      </c>
      <c r="I222" s="387">
        <v>686</v>
      </c>
      <c r="J222" s="387">
        <v>708</v>
      </c>
      <c r="K222" s="387">
        <v>700</v>
      </c>
      <c r="L222" s="387">
        <v>795</v>
      </c>
      <c r="M222" s="387">
        <v>1015</v>
      </c>
      <c r="N222" s="387">
        <v>1204</v>
      </c>
      <c r="O222" s="401" t="s">
        <v>111</v>
      </c>
    </row>
    <row r="223" spans="1:15" ht="17.25">
      <c r="A223" s="400" t="s">
        <v>438</v>
      </c>
      <c r="B223" s="386">
        <f t="shared" si="26"/>
        <v>2237</v>
      </c>
      <c r="C223" s="387">
        <v>99</v>
      </c>
      <c r="D223" s="387">
        <v>107</v>
      </c>
      <c r="E223" s="387">
        <v>198</v>
      </c>
      <c r="F223" s="387">
        <v>221</v>
      </c>
      <c r="G223" s="387">
        <v>125</v>
      </c>
      <c r="H223" s="387">
        <v>167</v>
      </c>
      <c r="I223" s="387">
        <v>170</v>
      </c>
      <c r="J223" s="387">
        <v>152</v>
      </c>
      <c r="K223" s="387">
        <v>162</v>
      </c>
      <c r="L223" s="387">
        <v>199</v>
      </c>
      <c r="M223" s="387">
        <v>379</v>
      </c>
      <c r="N223" s="387">
        <v>258</v>
      </c>
      <c r="O223" s="401" t="s">
        <v>439</v>
      </c>
    </row>
    <row r="224" spans="1:15" ht="17.25">
      <c r="A224" s="400" t="s">
        <v>440</v>
      </c>
      <c r="B224" s="386">
        <f t="shared" si="26"/>
        <v>54474</v>
      </c>
      <c r="C224" s="387">
        <v>4454</v>
      </c>
      <c r="D224" s="387">
        <v>5302</v>
      </c>
      <c r="E224" s="387">
        <v>6583</v>
      </c>
      <c r="F224" s="387">
        <v>4423</v>
      </c>
      <c r="G224" s="387">
        <v>3389</v>
      </c>
      <c r="H224" s="387">
        <v>3533</v>
      </c>
      <c r="I224" s="387">
        <v>3997</v>
      </c>
      <c r="J224" s="387">
        <v>3513</v>
      </c>
      <c r="K224" s="387">
        <v>3819</v>
      </c>
      <c r="L224" s="387">
        <v>4078</v>
      </c>
      <c r="M224" s="387">
        <v>5176</v>
      </c>
      <c r="N224" s="387">
        <v>6207</v>
      </c>
      <c r="O224" s="401" t="s">
        <v>441</v>
      </c>
    </row>
    <row r="225" spans="1:15" ht="17.25">
      <c r="A225" s="402" t="s">
        <v>360</v>
      </c>
      <c r="B225" s="394">
        <f t="shared" si="26"/>
        <v>4146</v>
      </c>
      <c r="C225" s="395">
        <v>301</v>
      </c>
      <c r="D225" s="395">
        <v>330</v>
      </c>
      <c r="E225" s="395">
        <v>396</v>
      </c>
      <c r="F225" s="395">
        <v>395</v>
      </c>
      <c r="G225" s="395">
        <v>308</v>
      </c>
      <c r="H225" s="395">
        <v>462</v>
      </c>
      <c r="I225" s="395">
        <v>263</v>
      </c>
      <c r="J225" s="395">
        <v>310</v>
      </c>
      <c r="K225" s="395">
        <v>363</v>
      </c>
      <c r="L225" s="395">
        <v>335</v>
      </c>
      <c r="M225" s="395">
        <v>349</v>
      </c>
      <c r="N225" s="395">
        <v>334</v>
      </c>
      <c r="O225" s="403" t="s">
        <v>71</v>
      </c>
    </row>
    <row r="226" spans="1:15" ht="17.25">
      <c r="A226" s="380" t="s">
        <v>115</v>
      </c>
      <c r="B226" s="284">
        <f t="shared" si="26"/>
        <v>44140</v>
      </c>
      <c r="C226" s="284">
        <f>SUM(C227:C229)</f>
        <v>3503</v>
      </c>
      <c r="D226" s="284">
        <f t="shared" ref="D226:N226" si="28">SUM(D227:D229)</f>
        <v>2843</v>
      </c>
      <c r="E226" s="284">
        <f t="shared" si="28"/>
        <v>4105</v>
      </c>
      <c r="F226" s="284">
        <f t="shared" si="28"/>
        <v>4990</v>
      </c>
      <c r="G226" s="284">
        <f t="shared" si="28"/>
        <v>3542</v>
      </c>
      <c r="H226" s="284">
        <f t="shared" si="28"/>
        <v>3062</v>
      </c>
      <c r="I226" s="284">
        <f t="shared" si="28"/>
        <v>4075</v>
      </c>
      <c r="J226" s="284">
        <f t="shared" si="28"/>
        <v>3191</v>
      </c>
      <c r="K226" s="284">
        <f t="shared" si="28"/>
        <v>3952</v>
      </c>
      <c r="L226" s="284">
        <f t="shared" si="28"/>
        <v>4146</v>
      </c>
      <c r="M226" s="284">
        <f t="shared" si="28"/>
        <v>3621</v>
      </c>
      <c r="N226" s="284">
        <f t="shared" si="28"/>
        <v>3110</v>
      </c>
      <c r="O226" s="397" t="s">
        <v>442</v>
      </c>
    </row>
    <row r="227" spans="1:15" ht="17.25">
      <c r="A227" s="400" t="s">
        <v>443</v>
      </c>
      <c r="B227" s="284">
        <f t="shared" si="26"/>
        <v>39928</v>
      </c>
      <c r="C227" s="387">
        <v>3203</v>
      </c>
      <c r="D227" s="387">
        <v>2570</v>
      </c>
      <c r="E227" s="387">
        <v>3842</v>
      </c>
      <c r="F227" s="387">
        <v>4517</v>
      </c>
      <c r="G227" s="387">
        <v>3239</v>
      </c>
      <c r="H227" s="387">
        <v>2713</v>
      </c>
      <c r="I227" s="387">
        <v>3701</v>
      </c>
      <c r="J227" s="387">
        <v>2711</v>
      </c>
      <c r="K227" s="387">
        <v>3570</v>
      </c>
      <c r="L227" s="387">
        <v>3710</v>
      </c>
      <c r="M227" s="387">
        <v>3308</v>
      </c>
      <c r="N227" s="387">
        <v>2844</v>
      </c>
      <c r="O227" s="401" t="s">
        <v>118</v>
      </c>
    </row>
    <row r="228" spans="1:15" ht="17.25">
      <c r="A228" s="400" t="s">
        <v>444</v>
      </c>
      <c r="B228" s="284">
        <f t="shared" si="26"/>
        <v>4082</v>
      </c>
      <c r="C228" s="387">
        <v>288</v>
      </c>
      <c r="D228" s="387">
        <v>269</v>
      </c>
      <c r="E228" s="387">
        <v>257</v>
      </c>
      <c r="F228" s="387">
        <v>472</v>
      </c>
      <c r="G228" s="387">
        <v>299</v>
      </c>
      <c r="H228" s="387">
        <v>343</v>
      </c>
      <c r="I228" s="387">
        <v>371</v>
      </c>
      <c r="J228" s="387">
        <v>455</v>
      </c>
      <c r="K228" s="387">
        <v>366</v>
      </c>
      <c r="L228" s="387">
        <v>431</v>
      </c>
      <c r="M228" s="387">
        <v>273</v>
      </c>
      <c r="N228" s="387">
        <v>258</v>
      </c>
      <c r="O228" s="401" t="s">
        <v>445</v>
      </c>
    </row>
    <row r="229" spans="1:15" ht="17.25">
      <c r="A229" s="402" t="s">
        <v>360</v>
      </c>
      <c r="B229" s="296">
        <f t="shared" si="26"/>
        <v>130</v>
      </c>
      <c r="C229" s="395">
        <v>12</v>
      </c>
      <c r="D229" s="395">
        <v>4</v>
      </c>
      <c r="E229" s="395">
        <v>6</v>
      </c>
      <c r="F229" s="395">
        <v>1</v>
      </c>
      <c r="G229" s="395">
        <v>4</v>
      </c>
      <c r="H229" s="395">
        <v>6</v>
      </c>
      <c r="I229" s="395">
        <v>3</v>
      </c>
      <c r="J229" s="395">
        <v>25</v>
      </c>
      <c r="K229" s="395">
        <v>16</v>
      </c>
      <c r="L229" s="395">
        <v>5</v>
      </c>
      <c r="M229" s="395">
        <v>40</v>
      </c>
      <c r="N229" s="395">
        <v>8</v>
      </c>
      <c r="O229" s="403" t="s">
        <v>71</v>
      </c>
    </row>
    <row r="230" spans="1:15" ht="17.25">
      <c r="A230" s="380" t="s">
        <v>122</v>
      </c>
      <c r="B230" s="284">
        <f t="shared" si="26"/>
        <v>60003</v>
      </c>
      <c r="C230" s="284">
        <f>SUM(C231:C240)</f>
        <v>4200</v>
      </c>
      <c r="D230" s="284">
        <f t="shared" ref="D230:N230" si="29">SUM(D231:D240)</f>
        <v>3651</v>
      </c>
      <c r="E230" s="284">
        <f t="shared" si="29"/>
        <v>4959</v>
      </c>
      <c r="F230" s="284">
        <f t="shared" si="29"/>
        <v>6443</v>
      </c>
      <c r="G230" s="284">
        <f t="shared" si="29"/>
        <v>741</v>
      </c>
      <c r="H230" s="284">
        <f t="shared" si="29"/>
        <v>7685</v>
      </c>
      <c r="I230" s="284">
        <f t="shared" si="29"/>
        <v>7105</v>
      </c>
      <c r="J230" s="284">
        <f t="shared" si="29"/>
        <v>7990</v>
      </c>
      <c r="K230" s="284">
        <f t="shared" si="29"/>
        <v>4613</v>
      </c>
      <c r="L230" s="284">
        <f t="shared" si="29"/>
        <v>3477</v>
      </c>
      <c r="M230" s="284">
        <f t="shared" si="29"/>
        <v>4255</v>
      </c>
      <c r="N230" s="284">
        <f t="shared" si="29"/>
        <v>4884</v>
      </c>
      <c r="O230" s="397" t="s">
        <v>446</v>
      </c>
    </row>
    <row r="231" spans="1:15" ht="17.25">
      <c r="A231" s="400" t="s">
        <v>447</v>
      </c>
      <c r="B231" s="386">
        <f t="shared" si="26"/>
        <v>3824</v>
      </c>
      <c r="C231" s="289">
        <v>248</v>
      </c>
      <c r="D231" s="289">
        <v>265</v>
      </c>
      <c r="E231" s="289">
        <v>274</v>
      </c>
      <c r="F231" s="289">
        <v>322</v>
      </c>
      <c r="G231" s="289">
        <v>98</v>
      </c>
      <c r="H231" s="289">
        <v>385</v>
      </c>
      <c r="I231" s="289">
        <v>456</v>
      </c>
      <c r="J231" s="289">
        <v>512</v>
      </c>
      <c r="K231" s="289">
        <v>338</v>
      </c>
      <c r="L231" s="289">
        <v>270</v>
      </c>
      <c r="M231" s="289">
        <v>312</v>
      </c>
      <c r="N231" s="289">
        <v>344</v>
      </c>
      <c r="O231" s="401" t="s">
        <v>448</v>
      </c>
    </row>
    <row r="232" spans="1:15" ht="17.25">
      <c r="A232" s="400" t="s">
        <v>449</v>
      </c>
      <c r="B232" s="386">
        <f t="shared" si="26"/>
        <v>1877</v>
      </c>
      <c r="C232" s="289">
        <v>128</v>
      </c>
      <c r="D232" s="289">
        <v>100</v>
      </c>
      <c r="E232" s="289">
        <v>101</v>
      </c>
      <c r="F232" s="289">
        <v>190</v>
      </c>
      <c r="G232" s="289">
        <v>26</v>
      </c>
      <c r="H232" s="289">
        <v>230</v>
      </c>
      <c r="I232" s="289">
        <v>223</v>
      </c>
      <c r="J232" s="289">
        <v>215</v>
      </c>
      <c r="K232" s="289">
        <v>111</v>
      </c>
      <c r="L232" s="289">
        <v>155</v>
      </c>
      <c r="M232" s="289">
        <v>198</v>
      </c>
      <c r="N232" s="289">
        <v>200</v>
      </c>
      <c r="O232" s="401" t="s">
        <v>450</v>
      </c>
    </row>
    <row r="233" spans="1:15" ht="17.25">
      <c r="A233" s="400" t="s">
        <v>451</v>
      </c>
      <c r="B233" s="386">
        <f t="shared" si="26"/>
        <v>5420</v>
      </c>
      <c r="C233" s="387">
        <v>433</v>
      </c>
      <c r="D233" s="387">
        <v>999</v>
      </c>
      <c r="E233" s="387">
        <v>674</v>
      </c>
      <c r="F233" s="387">
        <v>753</v>
      </c>
      <c r="G233" s="387">
        <v>46</v>
      </c>
      <c r="H233" s="387">
        <v>383</v>
      </c>
      <c r="I233" s="387">
        <v>404</v>
      </c>
      <c r="J233" s="387">
        <v>512</v>
      </c>
      <c r="K233" s="387">
        <v>185</v>
      </c>
      <c r="L233" s="387">
        <v>228</v>
      </c>
      <c r="M233" s="387">
        <v>295</v>
      </c>
      <c r="N233" s="387">
        <v>508</v>
      </c>
      <c r="O233" s="401" t="s">
        <v>125</v>
      </c>
    </row>
    <row r="234" spans="1:15" ht="17.25">
      <c r="A234" s="400" t="s">
        <v>452</v>
      </c>
      <c r="B234" s="386">
        <f t="shared" si="26"/>
        <v>1940</v>
      </c>
      <c r="C234" s="387">
        <v>146</v>
      </c>
      <c r="D234" s="387">
        <v>145</v>
      </c>
      <c r="E234" s="387">
        <v>202</v>
      </c>
      <c r="F234" s="387">
        <v>260</v>
      </c>
      <c r="G234" s="387">
        <v>72</v>
      </c>
      <c r="H234" s="387">
        <v>175</v>
      </c>
      <c r="I234" s="387">
        <v>172</v>
      </c>
      <c r="J234" s="387">
        <v>192</v>
      </c>
      <c r="K234" s="387">
        <v>110</v>
      </c>
      <c r="L234" s="387">
        <v>116</v>
      </c>
      <c r="M234" s="387">
        <v>156</v>
      </c>
      <c r="N234" s="387">
        <v>194</v>
      </c>
      <c r="O234" s="401" t="s">
        <v>453</v>
      </c>
    </row>
    <row r="235" spans="1:15" ht="17.25">
      <c r="A235" s="400" t="s">
        <v>454</v>
      </c>
      <c r="B235" s="386">
        <f t="shared" si="26"/>
        <v>1157</v>
      </c>
      <c r="C235" s="387">
        <v>160</v>
      </c>
      <c r="D235" s="387">
        <v>99</v>
      </c>
      <c r="E235" s="387">
        <v>115</v>
      </c>
      <c r="F235" s="387">
        <v>152</v>
      </c>
      <c r="G235" s="387">
        <v>3</v>
      </c>
      <c r="H235" s="387">
        <v>78</v>
      </c>
      <c r="I235" s="387">
        <v>97</v>
      </c>
      <c r="J235" s="387">
        <v>84</v>
      </c>
      <c r="K235" s="387">
        <v>57</v>
      </c>
      <c r="L235" s="387">
        <v>47</v>
      </c>
      <c r="M235" s="387">
        <v>143</v>
      </c>
      <c r="N235" s="387">
        <v>122</v>
      </c>
      <c r="O235" s="401" t="s">
        <v>455</v>
      </c>
    </row>
    <row r="236" spans="1:15" ht="17.25">
      <c r="A236" s="400" t="s">
        <v>456</v>
      </c>
      <c r="B236" s="386">
        <f t="shared" si="26"/>
        <v>4554</v>
      </c>
      <c r="C236" s="387">
        <v>180</v>
      </c>
      <c r="D236" s="387">
        <v>150</v>
      </c>
      <c r="E236" s="387">
        <v>365</v>
      </c>
      <c r="F236" s="387">
        <v>824</v>
      </c>
      <c r="G236" s="387">
        <v>32</v>
      </c>
      <c r="H236" s="387">
        <v>616</v>
      </c>
      <c r="I236" s="387">
        <v>578</v>
      </c>
      <c r="J236" s="387">
        <v>729</v>
      </c>
      <c r="K236" s="387">
        <v>132</v>
      </c>
      <c r="L236" s="387">
        <v>252</v>
      </c>
      <c r="M236" s="387">
        <v>196</v>
      </c>
      <c r="N236" s="387">
        <v>500</v>
      </c>
      <c r="O236" s="401" t="s">
        <v>457</v>
      </c>
    </row>
    <row r="237" spans="1:15" ht="17.25">
      <c r="A237" s="400" t="s">
        <v>458</v>
      </c>
      <c r="B237" s="386">
        <f t="shared" si="26"/>
        <v>25865</v>
      </c>
      <c r="C237" s="387">
        <v>2162</v>
      </c>
      <c r="D237" s="387">
        <v>1269</v>
      </c>
      <c r="E237" s="387">
        <v>2023</v>
      </c>
      <c r="F237" s="387">
        <v>2038</v>
      </c>
      <c r="G237" s="387">
        <v>287</v>
      </c>
      <c r="H237" s="387">
        <v>3841</v>
      </c>
      <c r="I237" s="387">
        <v>3493</v>
      </c>
      <c r="J237" s="387">
        <v>3768</v>
      </c>
      <c r="K237" s="387">
        <v>2640</v>
      </c>
      <c r="L237" s="387">
        <v>1427</v>
      </c>
      <c r="M237" s="387">
        <v>1373</v>
      </c>
      <c r="N237" s="387">
        <v>1544</v>
      </c>
      <c r="O237" s="401" t="s">
        <v>459</v>
      </c>
    </row>
    <row r="238" spans="1:15" ht="17.25">
      <c r="A238" s="400" t="s">
        <v>460</v>
      </c>
      <c r="B238" s="386">
        <f t="shared" si="26"/>
        <v>1290</v>
      </c>
      <c r="C238" s="387">
        <v>76</v>
      </c>
      <c r="D238" s="387">
        <v>43</v>
      </c>
      <c r="E238" s="387">
        <v>91</v>
      </c>
      <c r="F238" s="387">
        <v>121</v>
      </c>
      <c r="G238" s="387">
        <v>38</v>
      </c>
      <c r="H238" s="387">
        <v>155</v>
      </c>
      <c r="I238" s="387">
        <v>137</v>
      </c>
      <c r="J238" s="387">
        <v>158</v>
      </c>
      <c r="K238" s="387">
        <v>107</v>
      </c>
      <c r="L238" s="387">
        <v>92</v>
      </c>
      <c r="M238" s="387">
        <v>166</v>
      </c>
      <c r="N238" s="387">
        <v>106</v>
      </c>
      <c r="O238" s="401" t="s">
        <v>461</v>
      </c>
    </row>
    <row r="239" spans="1:15" ht="17.25">
      <c r="A239" s="400" t="s">
        <v>462</v>
      </c>
      <c r="B239" s="386">
        <f t="shared" si="26"/>
        <v>10493</v>
      </c>
      <c r="C239" s="387">
        <v>485</v>
      </c>
      <c r="D239" s="387">
        <v>389</v>
      </c>
      <c r="E239" s="387">
        <v>836</v>
      </c>
      <c r="F239" s="387">
        <v>1453</v>
      </c>
      <c r="G239" s="387">
        <v>79</v>
      </c>
      <c r="H239" s="387">
        <v>1453</v>
      </c>
      <c r="I239" s="387">
        <v>1206</v>
      </c>
      <c r="J239" s="387">
        <v>1349</v>
      </c>
      <c r="K239" s="387">
        <v>592</v>
      </c>
      <c r="L239" s="387">
        <v>627</v>
      </c>
      <c r="M239" s="387">
        <v>1126</v>
      </c>
      <c r="N239" s="387">
        <v>898</v>
      </c>
      <c r="O239" s="401" t="s">
        <v>463</v>
      </c>
    </row>
    <row r="240" spans="1:15" ht="17.25">
      <c r="A240" s="402" t="s">
        <v>360</v>
      </c>
      <c r="B240" s="394">
        <f>SUM(C240:N240)</f>
        <v>3583</v>
      </c>
      <c r="C240" s="395">
        <v>182</v>
      </c>
      <c r="D240" s="395">
        <v>192</v>
      </c>
      <c r="E240" s="395">
        <v>278</v>
      </c>
      <c r="F240" s="395">
        <v>330</v>
      </c>
      <c r="G240" s="395">
        <v>60</v>
      </c>
      <c r="H240" s="395">
        <v>369</v>
      </c>
      <c r="I240" s="395">
        <v>339</v>
      </c>
      <c r="J240" s="395">
        <v>471</v>
      </c>
      <c r="K240" s="395">
        <v>341</v>
      </c>
      <c r="L240" s="395">
        <v>263</v>
      </c>
      <c r="M240" s="395">
        <v>290</v>
      </c>
      <c r="N240" s="395">
        <v>468</v>
      </c>
      <c r="O240" s="401" t="s">
        <v>71</v>
      </c>
    </row>
    <row r="241" spans="1:15" ht="17.25">
      <c r="A241" s="380" t="s">
        <v>464</v>
      </c>
      <c r="B241" s="284">
        <f>SUM(C241:N241)</f>
        <v>138</v>
      </c>
      <c r="C241" s="404">
        <v>5</v>
      </c>
      <c r="D241" s="404">
        <v>6</v>
      </c>
      <c r="E241" s="404">
        <v>11</v>
      </c>
      <c r="F241" s="404">
        <v>5</v>
      </c>
      <c r="G241" s="404">
        <v>5</v>
      </c>
      <c r="H241" s="404">
        <v>21</v>
      </c>
      <c r="I241" s="404">
        <v>21</v>
      </c>
      <c r="J241" s="404">
        <v>11</v>
      </c>
      <c r="K241" s="387">
        <v>15</v>
      </c>
      <c r="L241" s="387">
        <v>8</v>
      </c>
      <c r="M241" s="387">
        <v>23</v>
      </c>
      <c r="N241" s="387">
        <v>7</v>
      </c>
      <c r="O241" s="377" t="s">
        <v>465</v>
      </c>
    </row>
    <row r="242" spans="1:15" ht="17.25">
      <c r="A242" s="370" t="s">
        <v>466</v>
      </c>
      <c r="B242" s="296">
        <f>SUM(C242:N242)</f>
        <v>178</v>
      </c>
      <c r="C242" s="405">
        <v>11</v>
      </c>
      <c r="D242" s="405">
        <v>11</v>
      </c>
      <c r="E242" s="405">
        <v>11</v>
      </c>
      <c r="F242" s="405">
        <v>19</v>
      </c>
      <c r="G242" s="405">
        <v>13</v>
      </c>
      <c r="H242" s="405">
        <v>14</v>
      </c>
      <c r="I242" s="405">
        <v>14</v>
      </c>
      <c r="J242" s="405">
        <v>12</v>
      </c>
      <c r="K242" s="395">
        <v>17</v>
      </c>
      <c r="L242" s="395">
        <v>15</v>
      </c>
      <c r="M242" s="395">
        <v>19</v>
      </c>
      <c r="N242" s="395">
        <v>22</v>
      </c>
      <c r="O242" s="403" t="s">
        <v>71</v>
      </c>
    </row>
    <row r="243" spans="1:15">
      <c r="A243" s="406" t="s">
        <v>142</v>
      </c>
      <c r="B243" s="406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7"/>
      <c r="N243" s="407"/>
      <c r="O243" s="57" t="s">
        <v>193</v>
      </c>
    </row>
    <row r="244" spans="1:15" ht="17.25">
      <c r="A244" s="408" t="s">
        <v>467</v>
      </c>
      <c r="B244" s="406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378"/>
      <c r="O244" s="274" t="s">
        <v>468</v>
      </c>
    </row>
  </sheetData>
  <mergeCells count="4">
    <mergeCell ref="A1:O1"/>
    <mergeCell ref="A2:O2"/>
    <mergeCell ref="A142:O142"/>
    <mergeCell ref="A143:O143"/>
  </mergeCells>
  <pageMargins left="0.7" right="0.7" top="0.75" bottom="0.75" header="0.3" footer="0.3"/>
  <pageSetup paperSize="9" scale="50" orientation="portrait" horizontalDpi="4294967295" verticalDpi="4294967295" r:id="rId1"/>
  <rowBreaks count="1" manualBreakCount="1">
    <brk id="77" max="14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A319"/>
  <sheetViews>
    <sheetView tabSelected="1" view="pageBreakPreview" topLeftCell="A184" zoomScale="89" zoomScaleNormal="100" zoomScaleSheetLayoutView="89" workbookViewId="0">
      <pane xSplit="2" topLeftCell="C1" activePane="topRight" state="frozen"/>
      <selection activeCell="A81" sqref="A81"/>
      <selection pane="topRight" activeCell="A195" sqref="A195:A196"/>
    </sheetView>
  </sheetViews>
  <sheetFormatPr defaultColWidth="9.140625" defaultRowHeight="12.75"/>
  <cols>
    <col min="1" max="1" width="5.7109375" style="412" customWidth="1"/>
    <col min="2" max="2" width="56.5703125" style="414" customWidth="1"/>
    <col min="3" max="3" width="23.85546875" style="609" customWidth="1"/>
    <col min="4" max="5" width="9.28515625" style="415" customWidth="1"/>
    <col min="6" max="6" width="14" style="415" customWidth="1"/>
    <col min="7" max="12" width="8" style="415" hidden="1" customWidth="1"/>
    <col min="13" max="20" width="8" style="415" customWidth="1"/>
    <col min="21" max="21" width="13.85546875" style="416" customWidth="1"/>
    <col min="22" max="22" width="7.5703125" style="413" customWidth="1"/>
    <col min="23" max="16384" width="9.140625" style="413"/>
  </cols>
  <sheetData>
    <row r="1" spans="1:24" s="312" customFormat="1" ht="21" customHeight="1">
      <c r="A1" s="410"/>
      <c r="B1" s="843" t="s">
        <v>1057</v>
      </c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3"/>
      <c r="N1" s="843"/>
      <c r="O1" s="843"/>
      <c r="P1" s="843"/>
      <c r="Q1" s="843"/>
      <c r="R1" s="843"/>
      <c r="S1" s="843"/>
      <c r="T1" s="843"/>
      <c r="U1" s="843"/>
      <c r="V1" s="411"/>
    </row>
    <row r="2" spans="1:24" ht="15.75" customHeight="1">
      <c r="B2" s="914" t="s">
        <v>1058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411"/>
    </row>
    <row r="3" spans="1:24" ht="4.5" customHeight="1"/>
    <row r="4" spans="1:24" ht="22.5" customHeight="1">
      <c r="A4" s="417"/>
      <c r="B4" s="909" t="s">
        <v>275</v>
      </c>
      <c r="C4" s="912" t="s">
        <v>985</v>
      </c>
      <c r="D4" s="754" t="s">
        <v>469</v>
      </c>
      <c r="E4" s="418" t="s">
        <v>470</v>
      </c>
      <c r="F4" s="418" t="s">
        <v>471</v>
      </c>
      <c r="G4" s="419"/>
      <c r="H4" s="420"/>
      <c r="I4" s="420"/>
      <c r="J4" s="420"/>
      <c r="K4" s="911" t="s">
        <v>472</v>
      </c>
      <c r="L4" s="911"/>
      <c r="M4" s="911"/>
      <c r="N4" s="911"/>
      <c r="O4" s="911"/>
      <c r="P4" s="911"/>
      <c r="Q4" s="911"/>
      <c r="R4" s="911"/>
      <c r="S4" s="911"/>
      <c r="T4" s="639"/>
      <c r="U4" s="421" t="s">
        <v>277</v>
      </c>
      <c r="V4" s="422"/>
    </row>
    <row r="5" spans="1:24" ht="13.5" customHeight="1">
      <c r="A5" s="423"/>
      <c r="B5" s="910"/>
      <c r="C5" s="913"/>
      <c r="D5" s="424" t="s">
        <v>473</v>
      </c>
      <c r="E5" s="424" t="s">
        <v>474</v>
      </c>
      <c r="F5" s="424" t="s">
        <v>475</v>
      </c>
      <c r="G5" s="425">
        <v>2007</v>
      </c>
      <c r="H5" s="425">
        <v>2008</v>
      </c>
      <c r="I5" s="425">
        <v>2009</v>
      </c>
      <c r="J5" s="425">
        <v>2010</v>
      </c>
      <c r="K5" s="425">
        <v>2011</v>
      </c>
      <c r="L5" s="425">
        <v>2012</v>
      </c>
      <c r="M5" s="425">
        <v>2013</v>
      </c>
      <c r="N5" s="425">
        <v>2014</v>
      </c>
      <c r="O5" s="425">
        <v>2015</v>
      </c>
      <c r="P5" s="425">
        <v>2016</v>
      </c>
      <c r="Q5" s="425">
        <v>2017</v>
      </c>
      <c r="R5" s="425">
        <v>2018</v>
      </c>
      <c r="S5" s="425">
        <v>2019</v>
      </c>
      <c r="T5" s="425">
        <v>2020</v>
      </c>
      <c r="U5" s="426" t="s">
        <v>1052</v>
      </c>
      <c r="V5" s="422"/>
    </row>
    <row r="6" spans="1:24" ht="20.25" customHeight="1">
      <c r="A6" s="410"/>
      <c r="B6" s="427" t="s">
        <v>476</v>
      </c>
      <c r="C6" s="610"/>
      <c r="D6" s="428" t="s">
        <v>138</v>
      </c>
      <c r="E6" s="428" t="s">
        <v>138</v>
      </c>
      <c r="F6" s="428" t="s">
        <v>138</v>
      </c>
      <c r="G6" s="429">
        <f>G24+G39+G56+G67+G121+G135+G154+G158+G161+G163+G7+G189</f>
        <v>18724</v>
      </c>
      <c r="H6" s="429">
        <f>H24+H39+H56+H67+H121+H135+H154+H158+H161+H163+H7+H189+H16</f>
        <v>19556</v>
      </c>
      <c r="I6" s="429">
        <f>I24+I39+I56+I67+I121+I135+I154+I158+I161+I163+I7+I189+I16+I178</f>
        <v>20638</v>
      </c>
      <c r="J6" s="429">
        <f>J24+J39+J56+J67+J121+J135+J154+J158+J161+J163+J7+J189+J16+J178</f>
        <v>21046</v>
      </c>
      <c r="K6" s="429">
        <f>K24+K39+K56+K67+K121+K135+K154+K158+K161+K163+K7+K189+K16+K178+K175+K185</f>
        <v>21816</v>
      </c>
      <c r="L6" s="429">
        <f>L24+L39+L56+L67+L121+L135+L154+L158+L161+L163+L7+L189+L16+L178+L175+L185+L13</f>
        <v>22585</v>
      </c>
      <c r="M6" s="429">
        <f>M7+M13+M16+M24+M39+M56+M67+M121+M135+M154+M158+M161+M163+M175+M178+M185+M189+M173</f>
        <v>23487</v>
      </c>
      <c r="N6" s="429">
        <f>N7+N13+N16+N24+N39+N56+N67+N121+N135+N154+N158+N161+N163+N175+N178+N185+N189+N173</f>
        <v>24031</v>
      </c>
      <c r="O6" s="429">
        <f>O7+O13+O16+O24+O39+O56+O67+O121+O135+O154+O158+O161+O163+O175+O178+O185+O189+O173</f>
        <v>24877</v>
      </c>
      <c r="P6" s="429">
        <f>P7+P13+P16+P24+P39+P56+P67+P121+P135+P154+P158+P161+P163+P175+P178+P185+P189+P173</f>
        <v>26933</v>
      </c>
      <c r="Q6" s="429">
        <f>Q7+Q13+Q16+Q24+Q39+Q56+Q67+Q121+Q135+Q154+Q158+Q161+Q163+Q175+Q178+Q185+Q189+Q173</f>
        <v>29977</v>
      </c>
      <c r="R6" s="429">
        <f>R7+R13+R16+R24+R39+R56+R67+R121+R135+R154+R158+R161+R163+R175+R178+R185+R189+R173+R11</f>
        <v>31721</v>
      </c>
      <c r="S6" s="429">
        <f>S7+S13+S16+S24+S39+S56+S67+S121+S135+S154+S158+S161+S163+S175+S178+S185+S189+S173+S11</f>
        <v>37016</v>
      </c>
      <c r="T6" s="429">
        <f>T7+T13+T16+T24+T39+T56+T67+T121+T135+T154+T158+T161+T163+T175+T178+T185+T189+T173+T11</f>
        <v>37134</v>
      </c>
      <c r="U6" s="586">
        <f t="shared" ref="U6:U37" si="0">T6/T$6*100</f>
        <v>100</v>
      </c>
      <c r="V6" s="431"/>
      <c r="X6" s="709"/>
    </row>
    <row r="7" spans="1:24" ht="20.25" customHeight="1">
      <c r="A7" s="410"/>
      <c r="B7" s="432" t="s">
        <v>280</v>
      </c>
      <c r="C7" s="608"/>
      <c r="D7" s="428" t="s">
        <v>138</v>
      </c>
      <c r="E7" s="428" t="s">
        <v>138</v>
      </c>
      <c r="F7" s="428" t="s">
        <v>138</v>
      </c>
      <c r="G7" s="429">
        <f t="shared" ref="G7:M7" si="1">SUM(G8:G10)</f>
        <v>390</v>
      </c>
      <c r="H7" s="429">
        <f t="shared" si="1"/>
        <v>432</v>
      </c>
      <c r="I7" s="429">
        <f t="shared" si="1"/>
        <v>432</v>
      </c>
      <c r="J7" s="429">
        <f t="shared" si="1"/>
        <v>456</v>
      </c>
      <c r="K7" s="429">
        <f t="shared" si="1"/>
        <v>456</v>
      </c>
      <c r="L7" s="429">
        <f t="shared" si="1"/>
        <v>456</v>
      </c>
      <c r="M7" s="429">
        <f t="shared" si="1"/>
        <v>456</v>
      </c>
      <c r="N7" s="429">
        <f t="shared" ref="N7:S7" si="2">SUM(N8:N10)</f>
        <v>464</v>
      </c>
      <c r="O7" s="429">
        <f t="shared" si="2"/>
        <v>464</v>
      </c>
      <c r="P7" s="429">
        <f t="shared" si="2"/>
        <v>464</v>
      </c>
      <c r="Q7" s="429">
        <f t="shared" si="2"/>
        <v>594</v>
      </c>
      <c r="R7" s="429">
        <f t="shared" si="2"/>
        <v>594</v>
      </c>
      <c r="S7" s="429">
        <f t="shared" si="2"/>
        <v>594</v>
      </c>
      <c r="T7" s="429">
        <f>SUM(T8:T10)</f>
        <v>394</v>
      </c>
      <c r="U7" s="586">
        <f t="shared" si="0"/>
        <v>1.061022243765821</v>
      </c>
      <c r="V7" s="431"/>
    </row>
    <row r="8" spans="1:24" s="438" customFormat="1" ht="20.25" customHeight="1">
      <c r="A8" s="433">
        <v>1</v>
      </c>
      <c r="B8" s="434" t="s">
        <v>768</v>
      </c>
      <c r="C8" s="337" t="s">
        <v>981</v>
      </c>
      <c r="D8" s="435">
        <v>2007</v>
      </c>
      <c r="E8" s="105">
        <v>66</v>
      </c>
      <c r="F8" s="105">
        <v>300</v>
      </c>
      <c r="G8" s="105">
        <v>200</v>
      </c>
      <c r="H8" s="105">
        <v>200</v>
      </c>
      <c r="I8" s="105">
        <v>200</v>
      </c>
      <c r="J8" s="105">
        <v>200</v>
      </c>
      <c r="K8" s="105">
        <v>200</v>
      </c>
      <c r="L8" s="105">
        <v>200</v>
      </c>
      <c r="M8" s="105">
        <v>200</v>
      </c>
      <c r="N8" s="105">
        <v>200</v>
      </c>
      <c r="O8" s="105">
        <v>200</v>
      </c>
      <c r="P8" s="105">
        <v>200</v>
      </c>
      <c r="Q8" s="105">
        <v>200</v>
      </c>
      <c r="R8" s="105">
        <v>200</v>
      </c>
      <c r="S8" s="105">
        <v>200</v>
      </c>
      <c r="T8" s="105">
        <v>0</v>
      </c>
      <c r="U8" s="587">
        <f t="shared" si="0"/>
        <v>0</v>
      </c>
      <c r="V8" s="436"/>
    </row>
    <row r="9" spans="1:24" s="438" customFormat="1" ht="20.25" customHeight="1">
      <c r="A9" s="433">
        <v>2</v>
      </c>
      <c r="B9" s="434" t="s">
        <v>477</v>
      </c>
      <c r="C9" s="337" t="s">
        <v>980</v>
      </c>
      <c r="D9" s="435">
        <v>2005</v>
      </c>
      <c r="E9" s="105">
        <v>50</v>
      </c>
      <c r="F9" s="105">
        <v>250</v>
      </c>
      <c r="G9" s="105">
        <v>90</v>
      </c>
      <c r="H9" s="105">
        <v>90</v>
      </c>
      <c r="I9" s="105">
        <v>90</v>
      </c>
      <c r="J9" s="105">
        <v>90</v>
      </c>
      <c r="K9" s="105">
        <v>90</v>
      </c>
      <c r="L9" s="105">
        <v>90</v>
      </c>
      <c r="M9" s="105">
        <v>90</v>
      </c>
      <c r="N9" s="105">
        <v>90</v>
      </c>
      <c r="O9" s="105">
        <v>90</v>
      </c>
      <c r="P9" s="105">
        <v>90</v>
      </c>
      <c r="Q9" s="105">
        <v>220</v>
      </c>
      <c r="R9" s="105">
        <v>220</v>
      </c>
      <c r="S9" s="105">
        <v>220</v>
      </c>
      <c r="T9" s="105">
        <v>220</v>
      </c>
      <c r="U9" s="587">
        <f t="shared" si="0"/>
        <v>0.59244896860020468</v>
      </c>
      <c r="V9" s="362"/>
    </row>
    <row r="10" spans="1:24" s="438" customFormat="1" ht="20.25" customHeight="1">
      <c r="A10" s="439">
        <v>3</v>
      </c>
      <c r="B10" s="440" t="s">
        <v>769</v>
      </c>
      <c r="C10" s="611" t="s">
        <v>979</v>
      </c>
      <c r="D10" s="441">
        <v>2007</v>
      </c>
      <c r="E10" s="442">
        <v>100</v>
      </c>
      <c r="F10" s="442">
        <v>337</v>
      </c>
      <c r="G10" s="442">
        <v>100</v>
      </c>
      <c r="H10" s="442">
        <v>142</v>
      </c>
      <c r="I10" s="442">
        <v>142</v>
      </c>
      <c r="J10" s="442">
        <v>166</v>
      </c>
      <c r="K10" s="442">
        <v>166</v>
      </c>
      <c r="L10" s="442">
        <v>166</v>
      </c>
      <c r="M10" s="443">
        <v>166</v>
      </c>
      <c r="N10" s="443">
        <v>174</v>
      </c>
      <c r="O10" s="443">
        <v>174</v>
      </c>
      <c r="P10" s="443">
        <v>174</v>
      </c>
      <c r="Q10" s="443">
        <v>174</v>
      </c>
      <c r="R10" s="443">
        <v>174</v>
      </c>
      <c r="S10" s="443">
        <v>174</v>
      </c>
      <c r="T10" s="443">
        <v>174</v>
      </c>
      <c r="U10" s="588">
        <f t="shared" si="0"/>
        <v>0.46857327516561642</v>
      </c>
      <c r="V10" s="436"/>
    </row>
    <row r="11" spans="1:24" s="438" customFormat="1" ht="20.25" customHeight="1">
      <c r="A11" s="433"/>
      <c r="B11" s="432" t="s">
        <v>478</v>
      </c>
      <c r="C11" s="608"/>
      <c r="D11" s="428" t="s">
        <v>138</v>
      </c>
      <c r="E11" s="428" t="s">
        <v>138</v>
      </c>
      <c r="F11" s="428" t="s">
        <v>138</v>
      </c>
      <c r="G11" s="428" t="s">
        <v>138</v>
      </c>
      <c r="H11" s="428" t="s">
        <v>138</v>
      </c>
      <c r="I11" s="428" t="s">
        <v>138</v>
      </c>
      <c r="J11" s="428" t="s">
        <v>138</v>
      </c>
      <c r="K11" s="428" t="s">
        <v>138</v>
      </c>
      <c r="L11" s="428" t="s">
        <v>138</v>
      </c>
      <c r="M11" s="428" t="s">
        <v>138</v>
      </c>
      <c r="N11" s="428" t="s">
        <v>138</v>
      </c>
      <c r="O11" s="428" t="s">
        <v>138</v>
      </c>
      <c r="P11" s="428" t="s">
        <v>138</v>
      </c>
      <c r="Q11" s="428" t="s">
        <v>138</v>
      </c>
      <c r="R11" s="105">
        <f>SUM(R12)</f>
        <v>118</v>
      </c>
      <c r="S11" s="105">
        <f>SUM(S12)</f>
        <v>118</v>
      </c>
      <c r="T11" s="105">
        <f>SUM(T12)</f>
        <v>118</v>
      </c>
      <c r="U11" s="587">
        <f t="shared" si="0"/>
        <v>0.31776808315829158</v>
      </c>
      <c r="V11" s="436"/>
    </row>
    <row r="12" spans="1:24" s="438" customFormat="1" ht="20.25" customHeight="1">
      <c r="A12" s="433">
        <v>4</v>
      </c>
      <c r="B12" s="434" t="s">
        <v>770</v>
      </c>
      <c r="C12" s="337" t="s">
        <v>982</v>
      </c>
      <c r="D12" s="435" t="s">
        <v>15</v>
      </c>
      <c r="E12" s="105">
        <v>118</v>
      </c>
      <c r="F12" s="105">
        <v>291</v>
      </c>
      <c r="G12" s="105"/>
      <c r="H12" s="105"/>
      <c r="I12" s="105"/>
      <c r="J12" s="105"/>
      <c r="K12" s="105"/>
      <c r="L12" s="105"/>
      <c r="M12" s="429" t="s">
        <v>138</v>
      </c>
      <c r="N12" s="429" t="s">
        <v>138</v>
      </c>
      <c r="O12" s="429" t="s">
        <v>138</v>
      </c>
      <c r="P12" s="429" t="s">
        <v>138</v>
      </c>
      <c r="Q12" s="429" t="s">
        <v>138</v>
      </c>
      <c r="R12" s="105">
        <v>118</v>
      </c>
      <c r="S12" s="105">
        <v>118</v>
      </c>
      <c r="T12" s="105">
        <v>118</v>
      </c>
      <c r="U12" s="587">
        <f t="shared" si="0"/>
        <v>0.31776808315829158</v>
      </c>
      <c r="V12" s="436"/>
    </row>
    <row r="13" spans="1:24" s="438" customFormat="1" ht="20.25" customHeight="1">
      <c r="A13" s="433"/>
      <c r="B13" s="432" t="s">
        <v>283</v>
      </c>
      <c r="C13" s="608"/>
      <c r="D13" s="428" t="s">
        <v>138</v>
      </c>
      <c r="E13" s="428" t="s">
        <v>138</v>
      </c>
      <c r="F13" s="428" t="s">
        <v>138</v>
      </c>
      <c r="G13" s="429">
        <f t="shared" ref="G13:L13" si="3">SUM(G15)</f>
        <v>0</v>
      </c>
      <c r="H13" s="429">
        <f t="shared" si="3"/>
        <v>0</v>
      </c>
      <c r="I13" s="429">
        <f t="shared" si="3"/>
        <v>0</v>
      </c>
      <c r="J13" s="429">
        <f t="shared" si="3"/>
        <v>0</v>
      </c>
      <c r="K13" s="429">
        <f t="shared" si="3"/>
        <v>0</v>
      </c>
      <c r="L13" s="429">
        <f t="shared" si="3"/>
        <v>97</v>
      </c>
      <c r="M13" s="429">
        <f>SUM(M15)</f>
        <v>159</v>
      </c>
      <c r="N13" s="429">
        <f>SUM(N15)</f>
        <v>159</v>
      </c>
      <c r="O13" s="429">
        <f>SUM(O15)</f>
        <v>159</v>
      </c>
      <c r="P13" s="429">
        <f>SUM(P15)</f>
        <v>159</v>
      </c>
      <c r="Q13" s="429">
        <f>SUM(Q14:Q15)</f>
        <v>227</v>
      </c>
      <c r="R13" s="429">
        <f>SUM(R14:R15)</f>
        <v>227</v>
      </c>
      <c r="S13" s="429">
        <f>SUM(S14:S15)</f>
        <v>457</v>
      </c>
      <c r="T13" s="429">
        <f>SUM(T14:T15)</f>
        <v>457</v>
      </c>
      <c r="U13" s="586">
        <f t="shared" si="0"/>
        <v>1.2306780847740615</v>
      </c>
      <c r="V13" s="362"/>
    </row>
    <row r="14" spans="1:24" s="438" customFormat="1" ht="20.25" customHeight="1">
      <c r="A14" s="433">
        <v>5</v>
      </c>
      <c r="B14" s="444" t="s">
        <v>771</v>
      </c>
      <c r="C14" s="344" t="s">
        <v>983</v>
      </c>
      <c r="D14" s="445">
        <v>2017</v>
      </c>
      <c r="E14" s="105">
        <v>68</v>
      </c>
      <c r="F14" s="428">
        <v>240</v>
      </c>
      <c r="G14" s="429"/>
      <c r="H14" s="429"/>
      <c r="I14" s="429"/>
      <c r="J14" s="429"/>
      <c r="K14" s="429"/>
      <c r="L14" s="429"/>
      <c r="M14" s="105" t="s">
        <v>138</v>
      </c>
      <c r="N14" s="105" t="s">
        <v>138</v>
      </c>
      <c r="O14" s="105" t="s">
        <v>138</v>
      </c>
      <c r="P14" s="429" t="s">
        <v>138</v>
      </c>
      <c r="Q14" s="330">
        <v>68</v>
      </c>
      <c r="R14" s="330">
        <v>68</v>
      </c>
      <c r="S14" s="330">
        <v>298</v>
      </c>
      <c r="T14" s="330">
        <v>298</v>
      </c>
      <c r="U14" s="589">
        <f t="shared" si="0"/>
        <v>0.8024990574675499</v>
      </c>
      <c r="V14" s="362"/>
    </row>
    <row r="15" spans="1:24" s="438" customFormat="1" ht="20.25" customHeight="1">
      <c r="A15" s="439">
        <v>6</v>
      </c>
      <c r="B15" s="440" t="s">
        <v>759</v>
      </c>
      <c r="C15" s="611" t="s">
        <v>984</v>
      </c>
      <c r="D15" s="446">
        <v>2012</v>
      </c>
      <c r="E15" s="447">
        <v>97</v>
      </c>
      <c r="F15" s="442" t="s">
        <v>138</v>
      </c>
      <c r="G15" s="447" t="s">
        <v>138</v>
      </c>
      <c r="H15" s="447" t="s">
        <v>138</v>
      </c>
      <c r="I15" s="447" t="s">
        <v>138</v>
      </c>
      <c r="J15" s="447" t="s">
        <v>138</v>
      </c>
      <c r="K15" s="447" t="s">
        <v>138</v>
      </c>
      <c r="L15" s="448">
        <v>97</v>
      </c>
      <c r="M15" s="443">
        <v>159</v>
      </c>
      <c r="N15" s="443">
        <v>159</v>
      </c>
      <c r="O15" s="443">
        <v>159</v>
      </c>
      <c r="P15" s="443">
        <v>159</v>
      </c>
      <c r="Q15" s="443">
        <v>159</v>
      </c>
      <c r="R15" s="443">
        <v>159</v>
      </c>
      <c r="S15" s="443">
        <v>159</v>
      </c>
      <c r="T15" s="443">
        <v>159</v>
      </c>
      <c r="U15" s="588">
        <f t="shared" si="0"/>
        <v>0.42817902730651153</v>
      </c>
      <c r="V15" s="362"/>
    </row>
    <row r="16" spans="1:24" ht="20.25" customHeight="1">
      <c r="A16" s="433"/>
      <c r="B16" s="432" t="s">
        <v>285</v>
      </c>
      <c r="C16" s="608"/>
      <c r="D16" s="428" t="s">
        <v>138</v>
      </c>
      <c r="E16" s="428" t="s">
        <v>138</v>
      </c>
      <c r="F16" s="428" t="s">
        <v>138</v>
      </c>
      <c r="G16" s="429">
        <f t="shared" ref="G16:L16" si="4">SUM(G19:G23)</f>
        <v>0</v>
      </c>
      <c r="H16" s="429">
        <f t="shared" si="4"/>
        <v>400</v>
      </c>
      <c r="I16" s="429">
        <f t="shared" si="4"/>
        <v>490</v>
      </c>
      <c r="J16" s="429">
        <f t="shared" si="4"/>
        <v>542</v>
      </c>
      <c r="K16" s="429">
        <f t="shared" si="4"/>
        <v>542</v>
      </c>
      <c r="L16" s="429">
        <f t="shared" si="4"/>
        <v>542</v>
      </c>
      <c r="M16" s="429">
        <f t="shared" ref="M16:R16" si="5">SUM(M17:M23)</f>
        <v>796</v>
      </c>
      <c r="N16" s="429">
        <f t="shared" si="5"/>
        <v>796</v>
      </c>
      <c r="O16" s="429">
        <f t="shared" si="5"/>
        <v>796</v>
      </c>
      <c r="P16" s="429">
        <f t="shared" si="5"/>
        <v>832</v>
      </c>
      <c r="Q16" s="429">
        <f t="shared" si="5"/>
        <v>1176</v>
      </c>
      <c r="R16" s="429">
        <f t="shared" si="5"/>
        <v>1388</v>
      </c>
      <c r="S16" s="429">
        <f>SUM(S17:S23)</f>
        <v>1398</v>
      </c>
      <c r="T16" s="429">
        <f>SUM(T17:T23)</f>
        <v>1436</v>
      </c>
      <c r="U16" s="586">
        <f t="shared" si="0"/>
        <v>3.8670759950449725</v>
      </c>
      <c r="V16" s="362"/>
    </row>
    <row r="17" spans="1:22" ht="20.25" customHeight="1">
      <c r="A17" s="433">
        <v>7</v>
      </c>
      <c r="B17" s="434" t="s">
        <v>772</v>
      </c>
      <c r="C17" s="337" t="s">
        <v>986</v>
      </c>
      <c r="D17" s="449">
        <v>2013</v>
      </c>
      <c r="E17" s="449">
        <v>120</v>
      </c>
      <c r="F17" s="449">
        <v>169</v>
      </c>
      <c r="G17" s="449" t="s">
        <v>138</v>
      </c>
      <c r="H17" s="449" t="s">
        <v>138</v>
      </c>
      <c r="I17" s="449" t="s">
        <v>138</v>
      </c>
      <c r="J17" s="449" t="s">
        <v>138</v>
      </c>
      <c r="K17" s="449" t="s">
        <v>138</v>
      </c>
      <c r="L17" s="449" t="s">
        <v>138</v>
      </c>
      <c r="M17" s="105">
        <v>120</v>
      </c>
      <c r="N17" s="105">
        <v>120</v>
      </c>
      <c r="O17" s="105">
        <v>120</v>
      </c>
      <c r="P17" s="105">
        <v>120</v>
      </c>
      <c r="Q17" s="105">
        <v>120</v>
      </c>
      <c r="R17" s="105">
        <v>120</v>
      </c>
      <c r="S17" s="105">
        <v>120</v>
      </c>
      <c r="T17" s="105">
        <v>120</v>
      </c>
      <c r="U17" s="587">
        <f t="shared" si="0"/>
        <v>0.32315398287283892</v>
      </c>
      <c r="V17" s="362"/>
    </row>
    <row r="18" spans="1:22" ht="20.25" customHeight="1">
      <c r="A18" s="433">
        <v>8</v>
      </c>
      <c r="B18" s="434" t="s">
        <v>480</v>
      </c>
      <c r="C18" s="337" t="s">
        <v>987</v>
      </c>
      <c r="D18" s="435" t="s">
        <v>15</v>
      </c>
      <c r="E18" s="449">
        <v>212</v>
      </c>
      <c r="F18" s="105" t="s">
        <v>479</v>
      </c>
      <c r="G18" s="105"/>
      <c r="H18" s="105"/>
      <c r="I18" s="105"/>
      <c r="J18" s="105"/>
      <c r="K18" s="105"/>
      <c r="L18" s="105"/>
      <c r="M18" s="429" t="s">
        <v>138</v>
      </c>
      <c r="N18" s="429" t="s">
        <v>138</v>
      </c>
      <c r="O18" s="429" t="s">
        <v>138</v>
      </c>
      <c r="P18" s="429" t="s">
        <v>138</v>
      </c>
      <c r="Q18" s="429" t="s">
        <v>138</v>
      </c>
      <c r="R18" s="105">
        <v>212</v>
      </c>
      <c r="S18" s="105">
        <v>222</v>
      </c>
      <c r="T18" s="105">
        <v>222</v>
      </c>
      <c r="U18" s="587">
        <f t="shared" si="0"/>
        <v>0.59783486831475197</v>
      </c>
      <c r="V18" s="362"/>
    </row>
    <row r="19" spans="1:22" ht="20.25" customHeight="1">
      <c r="A19" s="433">
        <v>9</v>
      </c>
      <c r="B19" s="434" t="s">
        <v>773</v>
      </c>
      <c r="C19" s="337" t="s">
        <v>988</v>
      </c>
      <c r="D19" s="445">
        <v>2008</v>
      </c>
      <c r="E19" s="105">
        <v>100</v>
      </c>
      <c r="F19" s="105">
        <v>180</v>
      </c>
      <c r="G19" s="105" t="s">
        <v>138</v>
      </c>
      <c r="H19" s="105">
        <v>100</v>
      </c>
      <c r="I19" s="105">
        <v>100</v>
      </c>
      <c r="J19" s="105">
        <v>100</v>
      </c>
      <c r="K19" s="105">
        <v>100</v>
      </c>
      <c r="L19" s="105">
        <v>100</v>
      </c>
      <c r="M19" s="105">
        <v>100</v>
      </c>
      <c r="N19" s="105">
        <v>100</v>
      </c>
      <c r="O19" s="105">
        <v>100</v>
      </c>
      <c r="P19" s="105">
        <v>100</v>
      </c>
      <c r="Q19" s="105">
        <v>100</v>
      </c>
      <c r="R19" s="105">
        <v>100</v>
      </c>
      <c r="S19" s="105">
        <v>100</v>
      </c>
      <c r="T19" s="105">
        <v>100</v>
      </c>
      <c r="U19" s="587">
        <f t="shared" si="0"/>
        <v>0.26929498572736577</v>
      </c>
      <c r="V19" s="362"/>
    </row>
    <row r="20" spans="1:22" ht="20.25" customHeight="1">
      <c r="A20" s="433">
        <v>10</v>
      </c>
      <c r="B20" s="434" t="s">
        <v>774</v>
      </c>
      <c r="C20" s="337" t="s">
        <v>989</v>
      </c>
      <c r="D20" s="445">
        <v>2017</v>
      </c>
      <c r="E20" s="428" t="s">
        <v>138</v>
      </c>
      <c r="F20" s="105" t="s">
        <v>479</v>
      </c>
      <c r="G20" s="449"/>
      <c r="H20" s="449"/>
      <c r="I20" s="449"/>
      <c r="J20" s="449"/>
      <c r="K20" s="449"/>
      <c r="L20" s="449"/>
      <c r="M20" s="105" t="s">
        <v>138</v>
      </c>
      <c r="N20" s="105" t="s">
        <v>138</v>
      </c>
      <c r="O20" s="105" t="s">
        <v>138</v>
      </c>
      <c r="P20" s="429" t="s">
        <v>138</v>
      </c>
      <c r="Q20" s="105">
        <v>300</v>
      </c>
      <c r="R20" s="105">
        <v>300</v>
      </c>
      <c r="S20" s="105">
        <v>300</v>
      </c>
      <c r="T20" s="105">
        <v>300</v>
      </c>
      <c r="U20" s="587">
        <f t="shared" si="0"/>
        <v>0.8078849571820973</v>
      </c>
      <c r="V20" s="362"/>
    </row>
    <row r="21" spans="1:22" ht="20.25" customHeight="1">
      <c r="A21" s="433">
        <v>11</v>
      </c>
      <c r="B21" s="434" t="s">
        <v>775</v>
      </c>
      <c r="C21" s="337" t="s">
        <v>990</v>
      </c>
      <c r="D21" s="445">
        <v>2016</v>
      </c>
      <c r="E21" s="105">
        <v>36</v>
      </c>
      <c r="F21" s="105">
        <v>170</v>
      </c>
      <c r="G21" s="105" t="s">
        <v>138</v>
      </c>
      <c r="H21" s="105" t="s">
        <v>138</v>
      </c>
      <c r="I21" s="105" t="s">
        <v>138</v>
      </c>
      <c r="J21" s="105" t="s">
        <v>138</v>
      </c>
      <c r="K21" s="105" t="s">
        <v>138</v>
      </c>
      <c r="L21" s="105" t="s">
        <v>138</v>
      </c>
      <c r="M21" s="105" t="s">
        <v>138</v>
      </c>
      <c r="N21" s="105" t="s">
        <v>138</v>
      </c>
      <c r="O21" s="105" t="s">
        <v>138</v>
      </c>
      <c r="P21" s="105">
        <v>36</v>
      </c>
      <c r="Q21" s="105">
        <v>74</v>
      </c>
      <c r="R21" s="105">
        <v>74</v>
      </c>
      <c r="S21" s="105">
        <v>74</v>
      </c>
      <c r="T21" s="105">
        <v>112</v>
      </c>
      <c r="U21" s="587">
        <f t="shared" si="0"/>
        <v>0.30161038401464968</v>
      </c>
      <c r="V21" s="362"/>
    </row>
    <row r="22" spans="1:22" ht="20.25" customHeight="1">
      <c r="A22" s="433">
        <v>12</v>
      </c>
      <c r="B22" s="434" t="s">
        <v>776</v>
      </c>
      <c r="C22" s="337" t="s">
        <v>991</v>
      </c>
      <c r="D22" s="445">
        <v>2008</v>
      </c>
      <c r="E22" s="105">
        <v>200</v>
      </c>
      <c r="F22" s="105">
        <v>238</v>
      </c>
      <c r="G22" s="105" t="s">
        <v>138</v>
      </c>
      <c r="H22" s="105">
        <v>300</v>
      </c>
      <c r="I22" s="105">
        <v>390</v>
      </c>
      <c r="J22" s="105">
        <v>442</v>
      </c>
      <c r="K22" s="105">
        <v>442</v>
      </c>
      <c r="L22" s="105">
        <v>442</v>
      </c>
      <c r="M22" s="105">
        <v>442</v>
      </c>
      <c r="N22" s="105">
        <v>442</v>
      </c>
      <c r="O22" s="105">
        <v>442</v>
      </c>
      <c r="P22" s="105">
        <v>442</v>
      </c>
      <c r="Q22" s="105">
        <v>448</v>
      </c>
      <c r="R22" s="105">
        <v>448</v>
      </c>
      <c r="S22" s="105">
        <v>448</v>
      </c>
      <c r="T22" s="105">
        <v>448</v>
      </c>
      <c r="U22" s="587">
        <f t="shared" si="0"/>
        <v>1.2064415360585987</v>
      </c>
      <c r="V22" s="362"/>
    </row>
    <row r="23" spans="1:22" s="438" customFormat="1" ht="20.25" customHeight="1">
      <c r="A23" s="433">
        <v>13</v>
      </c>
      <c r="B23" s="434" t="s">
        <v>777</v>
      </c>
      <c r="C23" s="337" t="s">
        <v>992</v>
      </c>
      <c r="D23" s="450">
        <v>2013</v>
      </c>
      <c r="E23" s="450">
        <v>100</v>
      </c>
      <c r="F23" s="450">
        <v>186</v>
      </c>
      <c r="G23" s="450" t="s">
        <v>138</v>
      </c>
      <c r="H23" s="449" t="s">
        <v>138</v>
      </c>
      <c r="I23" s="449" t="s">
        <v>138</v>
      </c>
      <c r="J23" s="449" t="s">
        <v>138</v>
      </c>
      <c r="K23" s="449" t="s">
        <v>138</v>
      </c>
      <c r="L23" s="449" t="s">
        <v>138</v>
      </c>
      <c r="M23" s="105">
        <v>134</v>
      </c>
      <c r="N23" s="105">
        <v>134</v>
      </c>
      <c r="O23" s="105">
        <v>134</v>
      </c>
      <c r="P23" s="105">
        <v>134</v>
      </c>
      <c r="Q23" s="105">
        <v>134</v>
      </c>
      <c r="R23" s="105">
        <v>134</v>
      </c>
      <c r="S23" s="105">
        <v>134</v>
      </c>
      <c r="T23" s="105">
        <v>134</v>
      </c>
      <c r="U23" s="587">
        <f t="shared" si="0"/>
        <v>0.36085528087467011</v>
      </c>
      <c r="V23" s="362"/>
    </row>
    <row r="24" spans="1:22" s="438" customFormat="1" ht="20.25" customHeight="1">
      <c r="A24" s="451"/>
      <c r="B24" s="452" t="s">
        <v>287</v>
      </c>
      <c r="C24" s="612"/>
      <c r="D24" s="428" t="s">
        <v>138</v>
      </c>
      <c r="E24" s="428" t="s">
        <v>138</v>
      </c>
      <c r="F24" s="428" t="s">
        <v>138</v>
      </c>
      <c r="G24" s="453">
        <f t="shared" ref="G24:L24" si="6">SUM(G25)</f>
        <v>470</v>
      </c>
      <c r="H24" s="453">
        <f t="shared" si="6"/>
        <v>470</v>
      </c>
      <c r="I24" s="453">
        <f t="shared" si="6"/>
        <v>470</v>
      </c>
      <c r="J24" s="453">
        <f t="shared" si="6"/>
        <v>470</v>
      </c>
      <c r="K24" s="453">
        <f t="shared" si="6"/>
        <v>470</v>
      </c>
      <c r="L24" s="453">
        <f t="shared" si="6"/>
        <v>470</v>
      </c>
      <c r="M24" s="453">
        <f>SUM(M25)</f>
        <v>470</v>
      </c>
      <c r="N24" s="453">
        <f>SUM(N25:N37)</f>
        <v>656</v>
      </c>
      <c r="O24" s="453">
        <f>SUM(O25:O37)</f>
        <v>680</v>
      </c>
      <c r="P24" s="453">
        <f>SUM(P25:P37)</f>
        <v>810</v>
      </c>
      <c r="Q24" s="453">
        <f>SUM(Q25:Q37)</f>
        <v>1616</v>
      </c>
      <c r="R24" s="453">
        <f>SUM(R25:R37)</f>
        <v>1960</v>
      </c>
      <c r="S24" s="453">
        <f>SUM(S25:S38)</f>
        <v>3324</v>
      </c>
      <c r="T24" s="453">
        <f>SUM(T25:T38)</f>
        <v>3288</v>
      </c>
      <c r="U24" s="590">
        <f t="shared" si="0"/>
        <v>8.8544191307157867</v>
      </c>
      <c r="V24" s="362"/>
    </row>
    <row r="25" spans="1:22" s="438" customFormat="1" ht="20.25" customHeight="1">
      <c r="A25" s="433">
        <v>14</v>
      </c>
      <c r="B25" s="434" t="s">
        <v>778</v>
      </c>
      <c r="C25" s="337" t="s">
        <v>993</v>
      </c>
      <c r="D25" s="445">
        <v>2000</v>
      </c>
      <c r="E25" s="449">
        <v>430</v>
      </c>
      <c r="F25" s="105">
        <v>130.30000000000001</v>
      </c>
      <c r="G25" s="454">
        <v>470</v>
      </c>
      <c r="H25" s="454">
        <v>470</v>
      </c>
      <c r="I25" s="454">
        <v>470</v>
      </c>
      <c r="J25" s="454">
        <v>470</v>
      </c>
      <c r="K25" s="454">
        <v>470</v>
      </c>
      <c r="L25" s="454">
        <v>470</v>
      </c>
      <c r="M25" s="454">
        <v>470</v>
      </c>
      <c r="N25" s="454">
        <v>470</v>
      </c>
      <c r="O25" s="454">
        <v>470</v>
      </c>
      <c r="P25" s="454">
        <v>470</v>
      </c>
      <c r="Q25" s="454">
        <v>470</v>
      </c>
      <c r="R25" s="454">
        <v>470</v>
      </c>
      <c r="S25" s="454">
        <v>470</v>
      </c>
      <c r="T25" s="454">
        <v>470</v>
      </c>
      <c r="U25" s="591">
        <f t="shared" si="0"/>
        <v>1.265686432918619</v>
      </c>
      <c r="V25" s="362"/>
    </row>
    <row r="26" spans="1:22" s="438" customFormat="1" ht="20.25" customHeight="1">
      <c r="A26" s="433">
        <v>15</v>
      </c>
      <c r="B26" s="434" t="s">
        <v>1065</v>
      </c>
      <c r="C26" s="337" t="s">
        <v>1066</v>
      </c>
      <c r="D26" s="445">
        <v>2020</v>
      </c>
      <c r="E26" s="449">
        <v>158</v>
      </c>
      <c r="F26" s="105"/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454"/>
      <c r="T26" s="454">
        <v>158</v>
      </c>
      <c r="U26" s="591">
        <f t="shared" si="0"/>
        <v>0.42548607744923794</v>
      </c>
      <c r="V26" s="362"/>
    </row>
    <row r="27" spans="1:22" s="438" customFormat="1" ht="20.25" customHeight="1">
      <c r="A27" s="433">
        <v>16</v>
      </c>
      <c r="B27" s="434" t="s">
        <v>779</v>
      </c>
      <c r="C27" s="337" t="s">
        <v>994</v>
      </c>
      <c r="D27" s="435" t="s">
        <v>15</v>
      </c>
      <c r="E27" s="449">
        <v>244</v>
      </c>
      <c r="F27" s="105" t="s">
        <v>479</v>
      </c>
      <c r="G27" s="105"/>
      <c r="H27" s="105"/>
      <c r="I27" s="105"/>
      <c r="J27" s="105"/>
      <c r="K27" s="105"/>
      <c r="L27" s="105"/>
      <c r="M27" s="429" t="s">
        <v>138</v>
      </c>
      <c r="N27" s="429" t="s">
        <v>138</v>
      </c>
      <c r="O27" s="429" t="s">
        <v>138</v>
      </c>
      <c r="P27" s="429" t="s">
        <v>138</v>
      </c>
      <c r="Q27" s="429" t="s">
        <v>138</v>
      </c>
      <c r="R27" s="454">
        <v>244</v>
      </c>
      <c r="S27" s="454">
        <v>244</v>
      </c>
      <c r="T27" s="454">
        <v>244</v>
      </c>
      <c r="U27" s="591">
        <f t="shared" si="0"/>
        <v>0.6570797651747724</v>
      </c>
      <c r="V27" s="362"/>
    </row>
    <row r="28" spans="1:22" s="438" customFormat="1" ht="20.25" customHeight="1">
      <c r="A28" s="433">
        <v>17</v>
      </c>
      <c r="B28" s="434" t="s">
        <v>481</v>
      </c>
      <c r="C28" s="337" t="s">
        <v>995</v>
      </c>
      <c r="D28" s="445">
        <v>2017</v>
      </c>
      <c r="E28" s="449">
        <v>358</v>
      </c>
      <c r="F28" s="105" t="s">
        <v>479</v>
      </c>
      <c r="G28" s="454"/>
      <c r="H28" s="454"/>
      <c r="I28" s="454"/>
      <c r="J28" s="454"/>
      <c r="K28" s="454"/>
      <c r="L28" s="454"/>
      <c r="M28" s="105" t="s">
        <v>138</v>
      </c>
      <c r="N28" s="105" t="s">
        <v>138</v>
      </c>
      <c r="O28" s="105" t="s">
        <v>138</v>
      </c>
      <c r="P28" s="429" t="s">
        <v>138</v>
      </c>
      <c r="Q28" s="454">
        <v>358</v>
      </c>
      <c r="R28" s="454">
        <v>358</v>
      </c>
      <c r="S28" s="454">
        <v>358</v>
      </c>
      <c r="T28" s="454">
        <v>362</v>
      </c>
      <c r="U28" s="591">
        <f t="shared" si="0"/>
        <v>0.97484784833306404</v>
      </c>
      <c r="V28" s="362"/>
    </row>
    <row r="29" spans="1:22" s="438" customFormat="1" ht="20.25" customHeight="1">
      <c r="A29" s="433">
        <v>18</v>
      </c>
      <c r="B29" s="434" t="s">
        <v>757</v>
      </c>
      <c r="C29" s="337" t="s">
        <v>996</v>
      </c>
      <c r="D29" s="445">
        <v>2019</v>
      </c>
      <c r="E29" s="449">
        <v>266</v>
      </c>
      <c r="F29" s="105" t="s">
        <v>138</v>
      </c>
      <c r="G29" s="105" t="s">
        <v>138</v>
      </c>
      <c r="H29" s="105" t="s">
        <v>138</v>
      </c>
      <c r="I29" s="105" t="s">
        <v>138</v>
      </c>
      <c r="J29" s="105" t="s">
        <v>138</v>
      </c>
      <c r="K29" s="105" t="s">
        <v>138</v>
      </c>
      <c r="L29" s="105" t="s">
        <v>138</v>
      </c>
      <c r="M29" s="105" t="s">
        <v>138</v>
      </c>
      <c r="N29" s="105" t="s">
        <v>138</v>
      </c>
      <c r="O29" s="105" t="s">
        <v>138</v>
      </c>
      <c r="P29" s="105" t="s">
        <v>138</v>
      </c>
      <c r="Q29" s="105" t="s">
        <v>138</v>
      </c>
      <c r="R29" s="105" t="s">
        <v>138</v>
      </c>
      <c r="S29" s="454">
        <v>266</v>
      </c>
      <c r="T29" s="454">
        <v>266</v>
      </c>
      <c r="U29" s="591">
        <f t="shared" si="0"/>
        <v>0.71632466203479295</v>
      </c>
      <c r="V29" s="362"/>
    </row>
    <row r="30" spans="1:22" s="438" customFormat="1" ht="20.25" customHeight="1">
      <c r="A30" s="433">
        <v>19</v>
      </c>
      <c r="B30" s="434" t="s">
        <v>780</v>
      </c>
      <c r="C30" s="337" t="s">
        <v>997</v>
      </c>
      <c r="D30" s="445">
        <v>2019</v>
      </c>
      <c r="E30" s="449">
        <v>160</v>
      </c>
      <c r="F30" s="105" t="s">
        <v>138</v>
      </c>
      <c r="G30" s="105" t="s">
        <v>138</v>
      </c>
      <c r="H30" s="105" t="s">
        <v>138</v>
      </c>
      <c r="I30" s="105" t="s">
        <v>138</v>
      </c>
      <c r="J30" s="105" t="s">
        <v>138</v>
      </c>
      <c r="K30" s="105" t="s">
        <v>138</v>
      </c>
      <c r="L30" s="105" t="s">
        <v>138</v>
      </c>
      <c r="M30" s="105" t="s">
        <v>138</v>
      </c>
      <c r="N30" s="105" t="s">
        <v>138</v>
      </c>
      <c r="O30" s="105" t="s">
        <v>138</v>
      </c>
      <c r="P30" s="105" t="s">
        <v>138</v>
      </c>
      <c r="Q30" s="105" t="s">
        <v>138</v>
      </c>
      <c r="R30" s="105" t="s">
        <v>138</v>
      </c>
      <c r="S30" s="454">
        <v>160</v>
      </c>
      <c r="T30" s="454">
        <v>160</v>
      </c>
      <c r="U30" s="591">
        <f t="shared" si="0"/>
        <v>0.43087197716378522</v>
      </c>
      <c r="V30" s="362"/>
    </row>
    <row r="31" spans="1:22" s="438" customFormat="1" ht="20.25" customHeight="1">
      <c r="A31" s="433">
        <v>20</v>
      </c>
      <c r="B31" s="434" t="s">
        <v>482</v>
      </c>
      <c r="C31" s="337" t="s">
        <v>998</v>
      </c>
      <c r="D31" s="445">
        <v>2016</v>
      </c>
      <c r="E31" s="449">
        <v>130</v>
      </c>
      <c r="F31" s="105">
        <v>155</v>
      </c>
      <c r="G31" s="454" t="s">
        <v>138</v>
      </c>
      <c r="H31" s="454" t="s">
        <v>138</v>
      </c>
      <c r="I31" s="454" t="s">
        <v>138</v>
      </c>
      <c r="J31" s="454" t="s">
        <v>138</v>
      </c>
      <c r="K31" s="454" t="s">
        <v>138</v>
      </c>
      <c r="L31" s="454" t="s">
        <v>138</v>
      </c>
      <c r="M31" s="454" t="s">
        <v>138</v>
      </c>
      <c r="N31" s="454" t="s">
        <v>138</v>
      </c>
      <c r="O31" s="454" t="s">
        <v>138</v>
      </c>
      <c r="P31" s="454">
        <v>130</v>
      </c>
      <c r="Q31" s="454">
        <v>202</v>
      </c>
      <c r="R31" s="454">
        <v>202</v>
      </c>
      <c r="S31" s="454">
        <v>202</v>
      </c>
      <c r="T31" s="454">
        <v>214</v>
      </c>
      <c r="U31" s="591">
        <f t="shared" si="0"/>
        <v>0.57629126945656273</v>
      </c>
      <c r="V31" s="362"/>
    </row>
    <row r="32" spans="1:22" s="438" customFormat="1" ht="20.25" customHeight="1">
      <c r="A32" s="433">
        <v>21</v>
      </c>
      <c r="B32" s="434" t="s">
        <v>781</v>
      </c>
      <c r="C32" s="337" t="s">
        <v>999</v>
      </c>
      <c r="D32" s="445">
        <v>2019</v>
      </c>
      <c r="E32" s="449">
        <v>300</v>
      </c>
      <c r="F32" s="105" t="s">
        <v>138</v>
      </c>
      <c r="G32" s="105" t="s">
        <v>138</v>
      </c>
      <c r="H32" s="105" t="s">
        <v>138</v>
      </c>
      <c r="I32" s="105" t="s">
        <v>138</v>
      </c>
      <c r="J32" s="105" t="s">
        <v>138</v>
      </c>
      <c r="K32" s="105" t="s">
        <v>138</v>
      </c>
      <c r="L32" s="105" t="s">
        <v>138</v>
      </c>
      <c r="M32" s="105" t="s">
        <v>138</v>
      </c>
      <c r="N32" s="105" t="s">
        <v>138</v>
      </c>
      <c r="O32" s="105" t="s">
        <v>138</v>
      </c>
      <c r="P32" s="105" t="s">
        <v>138</v>
      </c>
      <c r="Q32" s="105" t="s">
        <v>138</v>
      </c>
      <c r="R32" s="105" t="s">
        <v>138</v>
      </c>
      <c r="S32" s="454">
        <v>300</v>
      </c>
      <c r="T32" s="454">
        <v>300</v>
      </c>
      <c r="U32" s="591">
        <f t="shared" si="0"/>
        <v>0.8078849571820973</v>
      </c>
      <c r="V32" s="362"/>
    </row>
    <row r="33" spans="1:22" s="438" customFormat="1" ht="20.25" customHeight="1">
      <c r="A33" s="433">
        <v>22</v>
      </c>
      <c r="B33" s="434" t="s">
        <v>758</v>
      </c>
      <c r="C33" s="337" t="s">
        <v>1000</v>
      </c>
      <c r="D33" s="445">
        <v>2019</v>
      </c>
      <c r="E33" s="449">
        <v>194</v>
      </c>
      <c r="F33" s="105" t="s">
        <v>138</v>
      </c>
      <c r="G33" s="105" t="s">
        <v>138</v>
      </c>
      <c r="H33" s="105" t="s">
        <v>138</v>
      </c>
      <c r="I33" s="105" t="s">
        <v>138</v>
      </c>
      <c r="J33" s="105" t="s">
        <v>138</v>
      </c>
      <c r="K33" s="105" t="s">
        <v>138</v>
      </c>
      <c r="L33" s="105" t="s">
        <v>138</v>
      </c>
      <c r="M33" s="105" t="s">
        <v>138</v>
      </c>
      <c r="N33" s="105" t="s">
        <v>138</v>
      </c>
      <c r="O33" s="105" t="s">
        <v>138</v>
      </c>
      <c r="P33" s="105" t="s">
        <v>138</v>
      </c>
      <c r="Q33" s="105" t="s">
        <v>138</v>
      </c>
      <c r="R33" s="105" t="s">
        <v>138</v>
      </c>
      <c r="S33" s="454">
        <v>194</v>
      </c>
      <c r="T33" s="454">
        <v>194</v>
      </c>
      <c r="U33" s="591">
        <f t="shared" si="0"/>
        <v>0.52243227231108957</v>
      </c>
      <c r="V33" s="362"/>
    </row>
    <row r="34" spans="1:22" s="438" customFormat="1" ht="20.25" customHeight="1">
      <c r="A34" s="433">
        <v>23</v>
      </c>
      <c r="B34" s="434" t="s">
        <v>483</v>
      </c>
      <c r="C34" s="337" t="s">
        <v>1001</v>
      </c>
      <c r="D34" s="435" t="s">
        <v>15</v>
      </c>
      <c r="E34" s="449">
        <v>100</v>
      </c>
      <c r="F34" s="105" t="s">
        <v>479</v>
      </c>
      <c r="G34" s="105"/>
      <c r="H34" s="105"/>
      <c r="I34" s="105"/>
      <c r="J34" s="105"/>
      <c r="K34" s="105"/>
      <c r="L34" s="105"/>
      <c r="M34" s="429" t="s">
        <v>138</v>
      </c>
      <c r="N34" s="429" t="s">
        <v>138</v>
      </c>
      <c r="O34" s="429" t="s">
        <v>138</v>
      </c>
      <c r="P34" s="429" t="s">
        <v>138</v>
      </c>
      <c r="Q34" s="429" t="s">
        <v>138</v>
      </c>
      <c r="R34" s="454">
        <v>100</v>
      </c>
      <c r="S34" s="454">
        <v>160</v>
      </c>
      <c r="T34" s="454">
        <v>160</v>
      </c>
      <c r="U34" s="591">
        <f t="shared" si="0"/>
        <v>0.43087197716378522</v>
      </c>
      <c r="V34" s="362"/>
    </row>
    <row r="35" spans="1:22" s="438" customFormat="1" ht="20.25" customHeight="1">
      <c r="A35" s="433">
        <v>24</v>
      </c>
      <c r="B35" s="434" t="s">
        <v>782</v>
      </c>
      <c r="C35" s="337" t="s">
        <v>1002</v>
      </c>
      <c r="D35" s="445">
        <v>2017</v>
      </c>
      <c r="E35" s="105">
        <v>214</v>
      </c>
      <c r="F35" s="105" t="s">
        <v>479</v>
      </c>
      <c r="G35" s="454"/>
      <c r="H35" s="454"/>
      <c r="I35" s="454"/>
      <c r="J35" s="454"/>
      <c r="K35" s="454"/>
      <c r="L35" s="454"/>
      <c r="M35" s="105" t="s">
        <v>138</v>
      </c>
      <c r="N35" s="105" t="s">
        <v>138</v>
      </c>
      <c r="O35" s="105" t="s">
        <v>138</v>
      </c>
      <c r="P35" s="429" t="s">
        <v>138</v>
      </c>
      <c r="Q35" s="454">
        <v>214</v>
      </c>
      <c r="R35" s="454">
        <v>214</v>
      </c>
      <c r="S35" s="454">
        <v>214</v>
      </c>
      <c r="T35" s="454">
        <v>214</v>
      </c>
      <c r="U35" s="591">
        <f t="shared" si="0"/>
        <v>0.57629126945656273</v>
      </c>
      <c r="V35" s="362"/>
    </row>
    <row r="36" spans="1:22" s="438" customFormat="1" ht="20.25" customHeight="1">
      <c r="A36" s="433">
        <v>25</v>
      </c>
      <c r="B36" s="434" t="s">
        <v>783</v>
      </c>
      <c r="C36" s="337" t="s">
        <v>683</v>
      </c>
      <c r="D36" s="445">
        <v>2014</v>
      </c>
      <c r="E36" s="105">
        <v>40</v>
      </c>
      <c r="F36" s="105">
        <v>177</v>
      </c>
      <c r="G36" s="105" t="s">
        <v>138</v>
      </c>
      <c r="H36" s="105" t="s">
        <v>138</v>
      </c>
      <c r="I36" s="105" t="s">
        <v>138</v>
      </c>
      <c r="J36" s="105" t="s">
        <v>138</v>
      </c>
      <c r="K36" s="105" t="s">
        <v>138</v>
      </c>
      <c r="L36" s="105" t="s">
        <v>138</v>
      </c>
      <c r="M36" s="105" t="s">
        <v>138</v>
      </c>
      <c r="N36" s="105">
        <v>186</v>
      </c>
      <c r="O36" s="105">
        <v>210</v>
      </c>
      <c r="P36" s="105">
        <v>210</v>
      </c>
      <c r="Q36" s="105">
        <v>210</v>
      </c>
      <c r="R36" s="105">
        <v>210</v>
      </c>
      <c r="S36" s="105">
        <v>210</v>
      </c>
      <c r="T36" s="105">
        <v>0</v>
      </c>
      <c r="U36" s="587">
        <f t="shared" si="0"/>
        <v>0</v>
      </c>
      <c r="V36" s="362"/>
    </row>
    <row r="37" spans="1:22" s="438" customFormat="1" ht="20.25" customHeight="1">
      <c r="A37" s="433">
        <v>26</v>
      </c>
      <c r="B37" s="434" t="s">
        <v>784</v>
      </c>
      <c r="C37" s="337" t="s">
        <v>1003</v>
      </c>
      <c r="D37" s="445">
        <v>2017</v>
      </c>
      <c r="E37" s="105">
        <v>162</v>
      </c>
      <c r="F37" s="105" t="s">
        <v>479</v>
      </c>
      <c r="G37" s="445"/>
      <c r="H37" s="105"/>
      <c r="I37" s="105"/>
      <c r="J37" s="445"/>
      <c r="K37" s="105"/>
      <c r="L37" s="105"/>
      <c r="M37" s="445" t="s">
        <v>138</v>
      </c>
      <c r="N37" s="105" t="s">
        <v>138</v>
      </c>
      <c r="O37" s="105" t="s">
        <v>138</v>
      </c>
      <c r="P37" s="429" t="s">
        <v>138</v>
      </c>
      <c r="Q37" s="454">
        <v>162</v>
      </c>
      <c r="R37" s="454">
        <v>162</v>
      </c>
      <c r="S37" s="454">
        <v>328</v>
      </c>
      <c r="T37" s="454">
        <v>328</v>
      </c>
      <c r="U37" s="591">
        <f t="shared" si="0"/>
        <v>0.88328755318575969</v>
      </c>
      <c r="V37" s="362"/>
    </row>
    <row r="38" spans="1:22" s="438" customFormat="1" ht="20.25" customHeight="1">
      <c r="A38" s="433">
        <v>27</v>
      </c>
      <c r="B38" s="434" t="s">
        <v>785</v>
      </c>
      <c r="C38" s="337" t="s">
        <v>1004</v>
      </c>
      <c r="D38" s="450">
        <v>2019</v>
      </c>
      <c r="E38" s="450">
        <v>218</v>
      </c>
      <c r="F38" s="450" t="s">
        <v>138</v>
      </c>
      <c r="G38" s="450" t="s">
        <v>138</v>
      </c>
      <c r="H38" s="450" t="s">
        <v>138</v>
      </c>
      <c r="I38" s="450" t="s">
        <v>138</v>
      </c>
      <c r="J38" s="450" t="s">
        <v>138</v>
      </c>
      <c r="K38" s="450" t="s">
        <v>138</v>
      </c>
      <c r="L38" s="450" t="s">
        <v>138</v>
      </c>
      <c r="M38" s="450" t="s">
        <v>138</v>
      </c>
      <c r="N38" s="450" t="s">
        <v>138</v>
      </c>
      <c r="O38" s="450" t="s">
        <v>138</v>
      </c>
      <c r="P38" s="450" t="s">
        <v>138</v>
      </c>
      <c r="Q38" s="450" t="s">
        <v>138</v>
      </c>
      <c r="R38" s="450" t="s">
        <v>138</v>
      </c>
      <c r="S38" s="585">
        <v>218</v>
      </c>
      <c r="T38" s="585">
        <v>218</v>
      </c>
      <c r="U38" s="592">
        <f t="shared" ref="U38:U69" si="7">T38/T$6*100</f>
        <v>0.58706306888565729</v>
      </c>
      <c r="V38" s="362"/>
    </row>
    <row r="39" spans="1:22" s="438" customFormat="1" ht="20.25" customHeight="1">
      <c r="A39" s="451"/>
      <c r="B39" s="452" t="s">
        <v>289</v>
      </c>
      <c r="C39" s="612"/>
      <c r="D39" s="428" t="s">
        <v>138</v>
      </c>
      <c r="E39" s="428" t="s">
        <v>138</v>
      </c>
      <c r="F39" s="428" t="s">
        <v>138</v>
      </c>
      <c r="G39" s="453">
        <f t="shared" ref="G39:R39" si="8">SUM(G40:G55)</f>
        <v>1240</v>
      </c>
      <c r="H39" s="453">
        <f t="shared" si="8"/>
        <v>1240</v>
      </c>
      <c r="I39" s="453">
        <f t="shared" si="8"/>
        <v>1240</v>
      </c>
      <c r="J39" s="453">
        <f t="shared" si="8"/>
        <v>1398</v>
      </c>
      <c r="K39" s="453">
        <f t="shared" si="8"/>
        <v>1398</v>
      </c>
      <c r="L39" s="453">
        <f t="shared" si="8"/>
        <v>1660</v>
      </c>
      <c r="M39" s="453">
        <f t="shared" si="8"/>
        <v>1704</v>
      </c>
      <c r="N39" s="453">
        <f t="shared" si="8"/>
        <v>1704</v>
      </c>
      <c r="O39" s="453">
        <f t="shared" si="8"/>
        <v>1700</v>
      </c>
      <c r="P39" s="453">
        <f t="shared" si="8"/>
        <v>2204</v>
      </c>
      <c r="Q39" s="453">
        <f t="shared" si="8"/>
        <v>2562</v>
      </c>
      <c r="R39" s="453">
        <f t="shared" si="8"/>
        <v>2882</v>
      </c>
      <c r="S39" s="453">
        <f>SUM(S40:S55)</f>
        <v>2918</v>
      </c>
      <c r="T39" s="453">
        <f>SUM(T40:T55)</f>
        <v>3104</v>
      </c>
      <c r="U39" s="590">
        <f t="shared" si="7"/>
        <v>8.3589163569774332</v>
      </c>
      <c r="V39" s="362"/>
    </row>
    <row r="40" spans="1:22" s="438" customFormat="1" ht="20.25" customHeight="1">
      <c r="A40" s="433">
        <v>28</v>
      </c>
      <c r="B40" s="434" t="s">
        <v>786</v>
      </c>
      <c r="C40" s="337" t="s">
        <v>1005</v>
      </c>
      <c r="D40" s="445">
        <v>2010</v>
      </c>
      <c r="E40" s="449">
        <v>110</v>
      </c>
      <c r="F40" s="105">
        <v>125</v>
      </c>
      <c r="G40" s="105" t="s">
        <v>138</v>
      </c>
      <c r="H40" s="105" t="s">
        <v>138</v>
      </c>
      <c r="I40" s="105" t="s">
        <v>138</v>
      </c>
      <c r="J40" s="105">
        <v>110</v>
      </c>
      <c r="K40" s="105">
        <v>110</v>
      </c>
      <c r="L40" s="105">
        <v>164</v>
      </c>
      <c r="M40" s="105">
        <v>172</v>
      </c>
      <c r="N40" s="105">
        <v>172</v>
      </c>
      <c r="O40" s="105">
        <v>172</v>
      </c>
      <c r="P40" s="105">
        <v>172</v>
      </c>
      <c r="Q40" s="105">
        <v>172</v>
      </c>
      <c r="R40" s="105">
        <v>178</v>
      </c>
      <c r="S40" s="105">
        <v>178</v>
      </c>
      <c r="T40" s="105">
        <v>178</v>
      </c>
      <c r="U40" s="587">
        <f t="shared" si="7"/>
        <v>0.4793450745947111</v>
      </c>
      <c r="V40" s="436"/>
    </row>
    <row r="41" spans="1:22" s="438" customFormat="1" ht="20.25" customHeight="1">
      <c r="A41" s="433">
        <v>29</v>
      </c>
      <c r="B41" s="434" t="s">
        <v>787</v>
      </c>
      <c r="C41" s="337" t="s">
        <v>1006</v>
      </c>
      <c r="D41" s="455">
        <v>1998</v>
      </c>
      <c r="E41" s="449">
        <v>192</v>
      </c>
      <c r="F41" s="105">
        <v>124</v>
      </c>
      <c r="G41" s="330">
        <v>200</v>
      </c>
      <c r="H41" s="330">
        <v>200</v>
      </c>
      <c r="I41" s="330">
        <v>200</v>
      </c>
      <c r="J41" s="330">
        <v>200</v>
      </c>
      <c r="K41" s="330">
        <v>200</v>
      </c>
      <c r="L41" s="330">
        <v>200</v>
      </c>
      <c r="M41" s="330">
        <v>200</v>
      </c>
      <c r="N41" s="330">
        <v>200</v>
      </c>
      <c r="O41" s="330">
        <v>196</v>
      </c>
      <c r="P41" s="330">
        <v>196</v>
      </c>
      <c r="Q41" s="330">
        <v>196</v>
      </c>
      <c r="R41" s="330">
        <v>196</v>
      </c>
      <c r="S41" s="330">
        <v>196</v>
      </c>
      <c r="T41" s="330">
        <v>196</v>
      </c>
      <c r="U41" s="589">
        <f t="shared" si="7"/>
        <v>0.52781817202563697</v>
      </c>
      <c r="V41" s="362"/>
    </row>
    <row r="42" spans="1:22" s="438" customFormat="1" ht="20.25" customHeight="1">
      <c r="A42" s="433">
        <v>30</v>
      </c>
      <c r="B42" s="434" t="s">
        <v>788</v>
      </c>
      <c r="C42" s="337" t="s">
        <v>1007</v>
      </c>
      <c r="D42" s="455" t="s">
        <v>13</v>
      </c>
      <c r="E42" s="449">
        <v>80</v>
      </c>
      <c r="F42" s="105">
        <v>121</v>
      </c>
      <c r="G42" s="330" t="s">
        <v>138</v>
      </c>
      <c r="H42" s="330" t="s">
        <v>138</v>
      </c>
      <c r="I42" s="330" t="s">
        <v>138</v>
      </c>
      <c r="J42" s="330" t="s">
        <v>138</v>
      </c>
      <c r="K42" s="330" t="s">
        <v>138</v>
      </c>
      <c r="L42" s="330" t="s">
        <v>138</v>
      </c>
      <c r="M42" s="330" t="s">
        <v>138</v>
      </c>
      <c r="N42" s="330" t="s">
        <v>138</v>
      </c>
      <c r="O42" s="330" t="s">
        <v>138</v>
      </c>
      <c r="P42" s="330">
        <v>80</v>
      </c>
      <c r="Q42" s="330">
        <v>80</v>
      </c>
      <c r="R42" s="330">
        <v>80</v>
      </c>
      <c r="S42" s="330">
        <v>80</v>
      </c>
      <c r="T42" s="330">
        <v>170</v>
      </c>
      <c r="U42" s="589">
        <f t="shared" si="7"/>
        <v>0.45780147573652175</v>
      </c>
      <c r="V42" s="362"/>
    </row>
    <row r="43" spans="1:22" s="438" customFormat="1" ht="20.25" customHeight="1">
      <c r="A43" s="433">
        <v>31</v>
      </c>
      <c r="B43" s="456" t="s">
        <v>1008</v>
      </c>
      <c r="C43" s="456" t="s">
        <v>789</v>
      </c>
      <c r="D43" s="445">
        <v>2018</v>
      </c>
      <c r="E43" s="105">
        <v>180</v>
      </c>
      <c r="F43" s="105" t="s">
        <v>479</v>
      </c>
      <c r="G43" s="105"/>
      <c r="H43" s="105"/>
      <c r="I43" s="105"/>
      <c r="J43" s="105"/>
      <c r="K43" s="105"/>
      <c r="L43" s="105"/>
      <c r="M43" s="429" t="s">
        <v>138</v>
      </c>
      <c r="N43" s="429" t="s">
        <v>138</v>
      </c>
      <c r="O43" s="429" t="s">
        <v>138</v>
      </c>
      <c r="P43" s="429" t="s">
        <v>138</v>
      </c>
      <c r="Q43" s="429" t="s">
        <v>138</v>
      </c>
      <c r="R43" s="330">
        <v>180</v>
      </c>
      <c r="S43" s="330">
        <v>180</v>
      </c>
      <c r="T43" s="330">
        <v>180</v>
      </c>
      <c r="U43" s="589">
        <f t="shared" si="7"/>
        <v>0.48473097430925832</v>
      </c>
      <c r="V43" s="436"/>
    </row>
    <row r="44" spans="1:22" s="438" customFormat="1" ht="20.25" customHeight="1">
      <c r="A44" s="433">
        <v>32</v>
      </c>
      <c r="B44" s="434" t="s">
        <v>790</v>
      </c>
      <c r="C44" s="337" t="s">
        <v>1009</v>
      </c>
      <c r="D44" s="455" t="s">
        <v>9</v>
      </c>
      <c r="E44" s="449">
        <v>20</v>
      </c>
      <c r="F44" s="105">
        <v>120</v>
      </c>
      <c r="G44" s="449" t="s">
        <v>138</v>
      </c>
      <c r="H44" s="449" t="s">
        <v>138</v>
      </c>
      <c r="I44" s="449" t="s">
        <v>138</v>
      </c>
      <c r="J44" s="449" t="s">
        <v>138</v>
      </c>
      <c r="K44" s="449" t="s">
        <v>138</v>
      </c>
      <c r="L44" s="330">
        <v>208</v>
      </c>
      <c r="M44" s="330">
        <v>208</v>
      </c>
      <c r="N44" s="330">
        <v>208</v>
      </c>
      <c r="O44" s="330">
        <v>208</v>
      </c>
      <c r="P44" s="330">
        <v>208</v>
      </c>
      <c r="Q44" s="330">
        <v>208</v>
      </c>
      <c r="R44" s="330">
        <v>208</v>
      </c>
      <c r="S44" s="330">
        <v>208</v>
      </c>
      <c r="T44" s="330">
        <v>208</v>
      </c>
      <c r="U44" s="589">
        <f t="shared" si="7"/>
        <v>0.56013357031292077</v>
      </c>
      <c r="V44" s="362"/>
    </row>
    <row r="45" spans="1:22" s="438" customFormat="1" ht="20.25" customHeight="1">
      <c r="A45" s="433">
        <v>33</v>
      </c>
      <c r="B45" s="434" t="s">
        <v>791</v>
      </c>
      <c r="C45" s="337" t="s">
        <v>1010</v>
      </c>
      <c r="D45" s="455" t="s">
        <v>13</v>
      </c>
      <c r="E45" s="449">
        <v>272</v>
      </c>
      <c r="F45" s="105">
        <v>132</v>
      </c>
      <c r="G45" s="449" t="s">
        <v>138</v>
      </c>
      <c r="H45" s="449" t="s">
        <v>138</v>
      </c>
      <c r="I45" s="449" t="s">
        <v>138</v>
      </c>
      <c r="J45" s="449" t="s">
        <v>138</v>
      </c>
      <c r="K45" s="449" t="s">
        <v>138</v>
      </c>
      <c r="L45" s="330" t="s">
        <v>138</v>
      </c>
      <c r="M45" s="330" t="s">
        <v>138</v>
      </c>
      <c r="N45" s="330" t="s">
        <v>138</v>
      </c>
      <c r="O45" s="330" t="s">
        <v>138</v>
      </c>
      <c r="P45" s="330">
        <v>272</v>
      </c>
      <c r="Q45" s="330">
        <v>272</v>
      </c>
      <c r="R45" s="330">
        <v>272</v>
      </c>
      <c r="S45" s="330">
        <v>272</v>
      </c>
      <c r="T45" s="330">
        <v>272</v>
      </c>
      <c r="U45" s="589">
        <f t="shared" si="7"/>
        <v>0.73248236117843479</v>
      </c>
      <c r="V45" s="362"/>
    </row>
    <row r="46" spans="1:22" s="438" customFormat="1" ht="20.25" customHeight="1">
      <c r="A46" s="433">
        <v>34</v>
      </c>
      <c r="B46" s="434" t="s">
        <v>792</v>
      </c>
      <c r="C46" s="337" t="s">
        <v>1011</v>
      </c>
      <c r="D46" s="455" t="s">
        <v>13</v>
      </c>
      <c r="E46" s="449">
        <v>26</v>
      </c>
      <c r="F46" s="105">
        <v>135</v>
      </c>
      <c r="G46" s="449" t="s">
        <v>138</v>
      </c>
      <c r="H46" s="449" t="s">
        <v>138</v>
      </c>
      <c r="I46" s="449" t="s">
        <v>138</v>
      </c>
      <c r="J46" s="449" t="s">
        <v>138</v>
      </c>
      <c r="K46" s="449" t="s">
        <v>138</v>
      </c>
      <c r="L46" s="330" t="s">
        <v>138</v>
      </c>
      <c r="M46" s="330" t="s">
        <v>138</v>
      </c>
      <c r="N46" s="330" t="s">
        <v>138</v>
      </c>
      <c r="O46" s="330" t="s">
        <v>138</v>
      </c>
      <c r="P46" s="330">
        <v>26</v>
      </c>
      <c r="Q46" s="330">
        <v>26</v>
      </c>
      <c r="R46" s="330">
        <v>26</v>
      </c>
      <c r="S46" s="330">
        <v>26</v>
      </c>
      <c r="T46" s="330">
        <v>26</v>
      </c>
      <c r="U46" s="589">
        <f t="shared" si="7"/>
        <v>7.0016696289115096E-2</v>
      </c>
      <c r="V46" s="362"/>
    </row>
    <row r="47" spans="1:22" s="438" customFormat="1" ht="20.25" customHeight="1">
      <c r="A47" s="433">
        <v>35</v>
      </c>
      <c r="B47" s="434" t="s">
        <v>484</v>
      </c>
      <c r="C47" s="337" t="s">
        <v>1012</v>
      </c>
      <c r="D47" s="455" t="s">
        <v>485</v>
      </c>
      <c r="E47" s="449">
        <v>206</v>
      </c>
      <c r="F47" s="105">
        <v>120</v>
      </c>
      <c r="G47" s="330">
        <v>206</v>
      </c>
      <c r="H47" s="330">
        <v>206</v>
      </c>
      <c r="I47" s="330">
        <v>206</v>
      </c>
      <c r="J47" s="330">
        <v>206</v>
      </c>
      <c r="K47" s="330">
        <v>206</v>
      </c>
      <c r="L47" s="330">
        <v>206</v>
      </c>
      <c r="M47" s="330">
        <v>206</v>
      </c>
      <c r="N47" s="330">
        <v>206</v>
      </c>
      <c r="O47" s="330">
        <v>206</v>
      </c>
      <c r="P47" s="330">
        <v>244</v>
      </c>
      <c r="Q47" s="330">
        <v>244</v>
      </c>
      <c r="R47" s="330">
        <v>244</v>
      </c>
      <c r="S47" s="330">
        <v>244</v>
      </c>
      <c r="T47" s="330">
        <v>244</v>
      </c>
      <c r="U47" s="589">
        <f t="shared" si="7"/>
        <v>0.6570797651747724</v>
      </c>
      <c r="V47" s="362"/>
    </row>
    <row r="48" spans="1:22" s="438" customFormat="1" ht="20.25" customHeight="1">
      <c r="A48" s="433">
        <v>36</v>
      </c>
      <c r="B48" s="434" t="s">
        <v>793</v>
      </c>
      <c r="C48" s="337" t="s">
        <v>1013</v>
      </c>
      <c r="D48" s="435" t="s">
        <v>486</v>
      </c>
      <c r="E48" s="449">
        <v>200</v>
      </c>
      <c r="F48" s="105">
        <v>104.6</v>
      </c>
      <c r="G48" s="330">
        <v>200</v>
      </c>
      <c r="H48" s="330">
        <v>200</v>
      </c>
      <c r="I48" s="330">
        <v>200</v>
      </c>
      <c r="J48" s="330">
        <v>200</v>
      </c>
      <c r="K48" s="330">
        <v>200</v>
      </c>
      <c r="L48" s="330">
        <v>200</v>
      </c>
      <c r="M48" s="330">
        <v>236</v>
      </c>
      <c r="N48" s="330">
        <v>236</v>
      </c>
      <c r="O48" s="330">
        <v>236</v>
      </c>
      <c r="P48" s="330">
        <v>236</v>
      </c>
      <c r="Q48" s="330">
        <v>236</v>
      </c>
      <c r="R48" s="330">
        <v>236</v>
      </c>
      <c r="S48" s="330">
        <v>236</v>
      </c>
      <c r="T48" s="330">
        <v>236</v>
      </c>
      <c r="U48" s="589">
        <f t="shared" si="7"/>
        <v>0.63553616631658316</v>
      </c>
      <c r="V48" s="362"/>
    </row>
    <row r="49" spans="1:22" s="438" customFormat="1" ht="20.25" customHeight="1">
      <c r="A49" s="433">
        <v>37</v>
      </c>
      <c r="B49" s="434" t="s">
        <v>794</v>
      </c>
      <c r="C49" s="337" t="s">
        <v>1014</v>
      </c>
      <c r="D49" s="435" t="s">
        <v>13</v>
      </c>
      <c r="E49" s="449">
        <v>30</v>
      </c>
      <c r="F49" s="105">
        <v>128</v>
      </c>
      <c r="G49" s="330" t="s">
        <v>138</v>
      </c>
      <c r="H49" s="330" t="s">
        <v>138</v>
      </c>
      <c r="I49" s="330" t="s">
        <v>138</v>
      </c>
      <c r="J49" s="330" t="s">
        <v>138</v>
      </c>
      <c r="K49" s="330" t="s">
        <v>138</v>
      </c>
      <c r="L49" s="330" t="s">
        <v>138</v>
      </c>
      <c r="M49" s="330" t="s">
        <v>138</v>
      </c>
      <c r="N49" s="330" t="s">
        <v>138</v>
      </c>
      <c r="O49" s="330" t="s">
        <v>138</v>
      </c>
      <c r="P49" s="330">
        <v>88</v>
      </c>
      <c r="Q49" s="330">
        <v>100</v>
      </c>
      <c r="R49" s="330">
        <v>100</v>
      </c>
      <c r="S49" s="330">
        <v>100</v>
      </c>
      <c r="T49" s="330">
        <v>100</v>
      </c>
      <c r="U49" s="589">
        <f t="shared" si="7"/>
        <v>0.26929498572736577</v>
      </c>
      <c r="V49" s="362"/>
    </row>
    <row r="50" spans="1:22" s="438" customFormat="1" ht="20.25" customHeight="1">
      <c r="A50" s="433">
        <v>38</v>
      </c>
      <c r="B50" s="434" t="s">
        <v>487</v>
      </c>
      <c r="C50" s="337" t="s">
        <v>1015</v>
      </c>
      <c r="D50" s="435">
        <v>1998</v>
      </c>
      <c r="E50" s="449">
        <v>200</v>
      </c>
      <c r="F50" s="105">
        <v>104.6</v>
      </c>
      <c r="G50" s="330">
        <v>200</v>
      </c>
      <c r="H50" s="330">
        <v>200</v>
      </c>
      <c r="I50" s="330">
        <v>200</v>
      </c>
      <c r="J50" s="330">
        <v>248</v>
      </c>
      <c r="K50" s="330">
        <v>248</v>
      </c>
      <c r="L50" s="330">
        <v>248</v>
      </c>
      <c r="M50" s="330">
        <v>248</v>
      </c>
      <c r="N50" s="330">
        <v>248</v>
      </c>
      <c r="O50" s="330">
        <v>248</v>
      </c>
      <c r="P50" s="330">
        <v>248</v>
      </c>
      <c r="Q50" s="330">
        <v>248</v>
      </c>
      <c r="R50" s="330">
        <v>248</v>
      </c>
      <c r="S50" s="330">
        <v>248</v>
      </c>
      <c r="T50" s="330">
        <v>248</v>
      </c>
      <c r="U50" s="589">
        <f t="shared" si="7"/>
        <v>0.66785156460386708</v>
      </c>
      <c r="V50" s="362"/>
    </row>
    <row r="51" spans="1:22" s="438" customFormat="1" ht="20.25" customHeight="1">
      <c r="A51" s="433">
        <v>39</v>
      </c>
      <c r="B51" s="434" t="s">
        <v>488</v>
      </c>
      <c r="C51" s="337" t="s">
        <v>1016</v>
      </c>
      <c r="D51" s="445">
        <v>2001</v>
      </c>
      <c r="E51" s="449">
        <v>304</v>
      </c>
      <c r="F51" s="105">
        <v>110</v>
      </c>
      <c r="G51" s="330">
        <v>304</v>
      </c>
      <c r="H51" s="330">
        <v>304</v>
      </c>
      <c r="I51" s="330">
        <v>304</v>
      </c>
      <c r="J51" s="330">
        <v>304</v>
      </c>
      <c r="K51" s="330">
        <v>304</v>
      </c>
      <c r="L51" s="330">
        <v>304</v>
      </c>
      <c r="M51" s="330">
        <v>304</v>
      </c>
      <c r="N51" s="330">
        <v>304</v>
      </c>
      <c r="O51" s="330">
        <v>304</v>
      </c>
      <c r="P51" s="330">
        <v>304</v>
      </c>
      <c r="Q51" s="330">
        <v>304</v>
      </c>
      <c r="R51" s="330">
        <v>304</v>
      </c>
      <c r="S51" s="330">
        <v>304</v>
      </c>
      <c r="T51" s="330">
        <v>304</v>
      </c>
      <c r="U51" s="589">
        <f t="shared" si="7"/>
        <v>0.81865675661119186</v>
      </c>
      <c r="V51" s="436"/>
    </row>
    <row r="52" spans="1:22" s="438" customFormat="1" ht="20.25" customHeight="1">
      <c r="A52" s="433">
        <v>40</v>
      </c>
      <c r="B52" s="434" t="s">
        <v>489</v>
      </c>
      <c r="C52" s="337" t="s">
        <v>1017</v>
      </c>
      <c r="D52" s="454" t="s">
        <v>490</v>
      </c>
      <c r="E52" s="449">
        <v>50</v>
      </c>
      <c r="F52" s="105">
        <v>104.6</v>
      </c>
      <c r="G52" s="454">
        <v>130</v>
      </c>
      <c r="H52" s="454">
        <v>130</v>
      </c>
      <c r="I52" s="454">
        <v>130</v>
      </c>
      <c r="J52" s="454">
        <v>130</v>
      </c>
      <c r="K52" s="454">
        <v>130</v>
      </c>
      <c r="L52" s="454">
        <v>130</v>
      </c>
      <c r="M52" s="454">
        <v>130</v>
      </c>
      <c r="N52" s="454">
        <v>130</v>
      </c>
      <c r="O52" s="454">
        <v>130</v>
      </c>
      <c r="P52" s="454">
        <v>130</v>
      </c>
      <c r="Q52" s="454">
        <v>228</v>
      </c>
      <c r="R52" s="454">
        <v>228</v>
      </c>
      <c r="S52" s="454">
        <v>228</v>
      </c>
      <c r="T52" s="454">
        <v>286</v>
      </c>
      <c r="U52" s="591">
        <f t="shared" si="7"/>
        <v>0.7701836591802661</v>
      </c>
      <c r="V52" s="362"/>
    </row>
    <row r="53" spans="1:22" s="438" customFormat="1" ht="20.25" customHeight="1">
      <c r="A53" s="433">
        <v>41</v>
      </c>
      <c r="B53" s="434" t="s">
        <v>795</v>
      </c>
      <c r="C53" s="337" t="s">
        <v>1018</v>
      </c>
      <c r="D53" s="454">
        <v>2019</v>
      </c>
      <c r="E53" s="449">
        <v>24</v>
      </c>
      <c r="F53" s="105" t="s">
        <v>479</v>
      </c>
      <c r="G53" s="454"/>
      <c r="H53" s="454"/>
      <c r="I53" s="454"/>
      <c r="J53" s="454"/>
      <c r="K53" s="454"/>
      <c r="L53" s="454"/>
      <c r="M53" s="454" t="s">
        <v>138</v>
      </c>
      <c r="N53" s="454" t="s">
        <v>138</v>
      </c>
      <c r="O53" s="454" t="s">
        <v>138</v>
      </c>
      <c r="P53" s="454" t="s">
        <v>138</v>
      </c>
      <c r="Q53" s="454" t="s">
        <v>138</v>
      </c>
      <c r="R53" s="454" t="s">
        <v>138</v>
      </c>
      <c r="S53" s="454">
        <v>24</v>
      </c>
      <c r="T53" s="454">
        <v>62</v>
      </c>
      <c r="U53" s="591">
        <f t="shared" si="7"/>
        <v>0.16696289115096677</v>
      </c>
      <c r="V53" s="362"/>
    </row>
    <row r="54" spans="1:22" s="438" customFormat="1" ht="20.25" customHeight="1">
      <c r="A54" s="433">
        <v>42</v>
      </c>
      <c r="B54" s="456" t="s">
        <v>796</v>
      </c>
      <c r="C54" s="456" t="s">
        <v>1019</v>
      </c>
      <c r="D54" s="445">
        <v>2018</v>
      </c>
      <c r="E54" s="105">
        <v>134</v>
      </c>
      <c r="F54" s="105" t="s">
        <v>479</v>
      </c>
      <c r="G54" s="105"/>
      <c r="H54" s="105"/>
      <c r="I54" s="105"/>
      <c r="J54" s="105"/>
      <c r="K54" s="105"/>
      <c r="L54" s="105"/>
      <c r="M54" s="429" t="s">
        <v>138</v>
      </c>
      <c r="N54" s="429" t="s">
        <v>138</v>
      </c>
      <c r="O54" s="429" t="s">
        <v>138</v>
      </c>
      <c r="P54" s="429" t="s">
        <v>138</v>
      </c>
      <c r="Q54" s="429" t="s">
        <v>138</v>
      </c>
      <c r="R54" s="330">
        <v>134</v>
      </c>
      <c r="S54" s="330">
        <v>146</v>
      </c>
      <c r="T54" s="330">
        <v>146</v>
      </c>
      <c r="U54" s="589">
        <f t="shared" si="7"/>
        <v>0.39317067916195397</v>
      </c>
      <c r="V54" s="436"/>
    </row>
    <row r="55" spans="1:22" ht="20.25" customHeight="1">
      <c r="A55" s="439">
        <v>43</v>
      </c>
      <c r="B55" s="457" t="s">
        <v>797</v>
      </c>
      <c r="C55" s="457" t="s">
        <v>1020</v>
      </c>
      <c r="D55" s="446">
        <v>2017</v>
      </c>
      <c r="E55" s="458" t="s">
        <v>138</v>
      </c>
      <c r="F55" s="458" t="s">
        <v>138</v>
      </c>
      <c r="G55" s="459"/>
      <c r="H55" s="459"/>
      <c r="I55" s="459"/>
      <c r="J55" s="459"/>
      <c r="K55" s="459"/>
      <c r="L55" s="459"/>
      <c r="M55" s="459" t="s">
        <v>138</v>
      </c>
      <c r="N55" s="459" t="s">
        <v>138</v>
      </c>
      <c r="O55" s="459" t="s">
        <v>138</v>
      </c>
      <c r="P55" s="459" t="s">
        <v>138</v>
      </c>
      <c r="Q55" s="459">
        <v>248</v>
      </c>
      <c r="R55" s="459">
        <v>248</v>
      </c>
      <c r="S55" s="459">
        <v>248</v>
      </c>
      <c r="T55" s="459">
        <v>248</v>
      </c>
      <c r="U55" s="593">
        <f t="shared" si="7"/>
        <v>0.66785156460386708</v>
      </c>
      <c r="V55" s="436"/>
    </row>
    <row r="56" spans="1:22" s="438" customFormat="1" ht="20.25" customHeight="1">
      <c r="A56" s="460"/>
      <c r="B56" s="427" t="s">
        <v>291</v>
      </c>
      <c r="C56" s="610"/>
      <c r="D56" s="428" t="s">
        <v>138</v>
      </c>
      <c r="E56" s="428" t="s">
        <v>138</v>
      </c>
      <c r="F56" s="428" t="s">
        <v>138</v>
      </c>
      <c r="G56" s="428">
        <f t="shared" ref="G56:L56" si="9">SUM(G62:G66)</f>
        <v>1276</v>
      </c>
      <c r="H56" s="428">
        <f t="shared" si="9"/>
        <v>1294</v>
      </c>
      <c r="I56" s="428">
        <f t="shared" si="9"/>
        <v>1336</v>
      </c>
      <c r="J56" s="428">
        <f t="shared" si="9"/>
        <v>1336</v>
      </c>
      <c r="K56" s="428">
        <f t="shared" si="9"/>
        <v>1336</v>
      </c>
      <c r="L56" s="428">
        <f t="shared" si="9"/>
        <v>1336</v>
      </c>
      <c r="M56" s="428">
        <f t="shared" ref="M56:R56" si="10">SUM(M57:M66)</f>
        <v>1476</v>
      </c>
      <c r="N56" s="428">
        <f t="shared" si="10"/>
        <v>1636</v>
      </c>
      <c r="O56" s="428">
        <f t="shared" si="10"/>
        <v>1636</v>
      </c>
      <c r="P56" s="428">
        <f t="shared" si="10"/>
        <v>2138</v>
      </c>
      <c r="Q56" s="428">
        <f t="shared" si="10"/>
        <v>2250</v>
      </c>
      <c r="R56" s="428">
        <f t="shared" si="10"/>
        <v>2284</v>
      </c>
      <c r="S56" s="428">
        <f>SUM(S57:S66)</f>
        <v>2440</v>
      </c>
      <c r="T56" s="428">
        <f>SUM(T57:T66)</f>
        <v>2468</v>
      </c>
      <c r="U56" s="594">
        <f t="shared" si="7"/>
        <v>6.6462002477513868</v>
      </c>
      <c r="V56" s="362"/>
    </row>
    <row r="57" spans="1:22" s="438" customFormat="1" ht="20.25" customHeight="1">
      <c r="A57" s="433">
        <v>44</v>
      </c>
      <c r="B57" s="434" t="s">
        <v>798</v>
      </c>
      <c r="C57" s="337" t="s">
        <v>1021</v>
      </c>
      <c r="D57" s="445">
        <v>2013</v>
      </c>
      <c r="E57" s="105">
        <v>140</v>
      </c>
      <c r="F57" s="105">
        <v>133</v>
      </c>
      <c r="G57" s="105" t="s">
        <v>138</v>
      </c>
      <c r="H57" s="105" t="s">
        <v>138</v>
      </c>
      <c r="I57" s="105" t="s">
        <v>138</v>
      </c>
      <c r="J57" s="105" t="s">
        <v>138</v>
      </c>
      <c r="K57" s="105" t="s">
        <v>138</v>
      </c>
      <c r="L57" s="105" t="s">
        <v>138</v>
      </c>
      <c r="M57" s="330">
        <v>140</v>
      </c>
      <c r="N57" s="330">
        <v>300</v>
      </c>
      <c r="O57" s="330">
        <v>300</v>
      </c>
      <c r="P57" s="330">
        <v>300</v>
      </c>
      <c r="Q57" s="330">
        <v>300</v>
      </c>
      <c r="R57" s="330">
        <v>300</v>
      </c>
      <c r="S57" s="330">
        <v>300</v>
      </c>
      <c r="T57" s="330">
        <v>300</v>
      </c>
      <c r="U57" s="589">
        <f t="shared" si="7"/>
        <v>0.8078849571820973</v>
      </c>
      <c r="V57" s="362"/>
    </row>
    <row r="58" spans="1:22" s="438" customFormat="1" ht="20.25" customHeight="1">
      <c r="A58" s="433">
        <v>45</v>
      </c>
      <c r="B58" s="434" t="s">
        <v>799</v>
      </c>
      <c r="C58" s="337" t="s">
        <v>1022</v>
      </c>
      <c r="D58" s="435" t="s">
        <v>13</v>
      </c>
      <c r="E58" s="105">
        <v>302</v>
      </c>
      <c r="F58" s="105">
        <v>122</v>
      </c>
      <c r="G58" s="105" t="s">
        <v>138</v>
      </c>
      <c r="H58" s="105" t="s">
        <v>138</v>
      </c>
      <c r="I58" s="105" t="s">
        <v>138</v>
      </c>
      <c r="J58" s="105" t="s">
        <v>138</v>
      </c>
      <c r="K58" s="105" t="s">
        <v>138</v>
      </c>
      <c r="L58" s="105" t="s">
        <v>138</v>
      </c>
      <c r="M58" s="330" t="s">
        <v>138</v>
      </c>
      <c r="N58" s="330" t="s">
        <v>138</v>
      </c>
      <c r="O58" s="330" t="s">
        <v>138</v>
      </c>
      <c r="P58" s="330">
        <v>302</v>
      </c>
      <c r="Q58" s="330">
        <v>302</v>
      </c>
      <c r="R58" s="330">
        <v>302</v>
      </c>
      <c r="S58" s="330">
        <v>302</v>
      </c>
      <c r="T58" s="330">
        <v>302</v>
      </c>
      <c r="U58" s="589">
        <f t="shared" si="7"/>
        <v>0.81327085689664458</v>
      </c>
      <c r="V58" s="362"/>
    </row>
    <row r="59" spans="1:22" s="438" customFormat="1" ht="20.25" customHeight="1">
      <c r="A59" s="433">
        <v>46</v>
      </c>
      <c r="B59" s="434" t="s">
        <v>800</v>
      </c>
      <c r="C59" s="337" t="s">
        <v>1023</v>
      </c>
      <c r="D59" s="435" t="s">
        <v>14</v>
      </c>
      <c r="E59" s="105">
        <v>98</v>
      </c>
      <c r="F59" s="428" t="s">
        <v>479</v>
      </c>
      <c r="G59" s="105"/>
      <c r="H59" s="105"/>
      <c r="I59" s="105"/>
      <c r="J59" s="105"/>
      <c r="K59" s="105"/>
      <c r="L59" s="105"/>
      <c r="M59" s="105" t="s">
        <v>138</v>
      </c>
      <c r="N59" s="105" t="s">
        <v>138</v>
      </c>
      <c r="O59" s="105" t="s">
        <v>138</v>
      </c>
      <c r="P59" s="429" t="s">
        <v>138</v>
      </c>
      <c r="Q59" s="330">
        <v>98</v>
      </c>
      <c r="R59" s="330">
        <v>98</v>
      </c>
      <c r="S59" s="330">
        <v>98</v>
      </c>
      <c r="T59" s="330">
        <v>126</v>
      </c>
      <c r="U59" s="589">
        <f t="shared" si="7"/>
        <v>0.33931168201648088</v>
      </c>
      <c r="V59" s="362"/>
    </row>
    <row r="60" spans="1:22" s="438" customFormat="1" ht="20.25" customHeight="1">
      <c r="A60" s="433">
        <v>47</v>
      </c>
      <c r="B60" s="434" t="s">
        <v>801</v>
      </c>
      <c r="C60" s="337" t="s">
        <v>1024</v>
      </c>
      <c r="D60" s="435" t="s">
        <v>13</v>
      </c>
      <c r="E60" s="105">
        <v>180</v>
      </c>
      <c r="F60" s="105">
        <v>148</v>
      </c>
      <c r="G60" s="105" t="s">
        <v>138</v>
      </c>
      <c r="H60" s="105" t="s">
        <v>138</v>
      </c>
      <c r="I60" s="105" t="s">
        <v>138</v>
      </c>
      <c r="J60" s="105" t="s">
        <v>138</v>
      </c>
      <c r="K60" s="105" t="s">
        <v>138</v>
      </c>
      <c r="L60" s="105" t="s">
        <v>138</v>
      </c>
      <c r="M60" s="330" t="s">
        <v>138</v>
      </c>
      <c r="N60" s="330" t="s">
        <v>138</v>
      </c>
      <c r="O60" s="330" t="s">
        <v>138</v>
      </c>
      <c r="P60" s="330">
        <v>180</v>
      </c>
      <c r="Q60" s="330">
        <v>180</v>
      </c>
      <c r="R60" s="330">
        <v>180</v>
      </c>
      <c r="S60" s="330">
        <v>180</v>
      </c>
      <c r="T60" s="330">
        <v>180</v>
      </c>
      <c r="U60" s="589">
        <f t="shared" si="7"/>
        <v>0.48473097430925832</v>
      </c>
      <c r="V60" s="362"/>
    </row>
    <row r="61" spans="1:22" s="438" customFormat="1" ht="20.25" customHeight="1">
      <c r="A61" s="433">
        <v>48</v>
      </c>
      <c r="B61" s="434" t="s">
        <v>802</v>
      </c>
      <c r="C61" s="337" t="s">
        <v>1070</v>
      </c>
      <c r="D61" s="435" t="s">
        <v>560</v>
      </c>
      <c r="E61" s="105">
        <v>156</v>
      </c>
      <c r="F61" s="105" t="s">
        <v>479</v>
      </c>
      <c r="G61" s="105"/>
      <c r="H61" s="105"/>
      <c r="I61" s="105"/>
      <c r="J61" s="105"/>
      <c r="K61" s="105"/>
      <c r="L61" s="105"/>
      <c r="M61" s="330" t="s">
        <v>138</v>
      </c>
      <c r="N61" s="330" t="s">
        <v>138</v>
      </c>
      <c r="O61" s="330" t="s">
        <v>138</v>
      </c>
      <c r="P61" s="330" t="s">
        <v>138</v>
      </c>
      <c r="Q61" s="330" t="s">
        <v>138</v>
      </c>
      <c r="R61" s="330" t="s">
        <v>138</v>
      </c>
      <c r="S61" s="330">
        <v>156</v>
      </c>
      <c r="T61" s="330">
        <v>156</v>
      </c>
      <c r="U61" s="589">
        <f t="shared" si="7"/>
        <v>0.42010017773469061</v>
      </c>
      <c r="V61" s="362"/>
    </row>
    <row r="62" spans="1:22" s="312" customFormat="1" ht="20.25" customHeight="1">
      <c r="A62" s="433">
        <v>49</v>
      </c>
      <c r="B62" s="434" t="s">
        <v>803</v>
      </c>
      <c r="C62" s="337" t="s">
        <v>804</v>
      </c>
      <c r="D62" s="435" t="s">
        <v>486</v>
      </c>
      <c r="E62" s="449">
        <v>200</v>
      </c>
      <c r="F62" s="105">
        <v>125.5</v>
      </c>
      <c r="G62" s="105">
        <v>200</v>
      </c>
      <c r="H62" s="105">
        <v>200</v>
      </c>
      <c r="I62" s="105">
        <v>200</v>
      </c>
      <c r="J62" s="105">
        <v>200</v>
      </c>
      <c r="K62" s="105">
        <v>200</v>
      </c>
      <c r="L62" s="105">
        <v>200</v>
      </c>
      <c r="M62" s="330">
        <v>200</v>
      </c>
      <c r="N62" s="330">
        <v>200</v>
      </c>
      <c r="O62" s="330">
        <v>200</v>
      </c>
      <c r="P62" s="330">
        <v>200</v>
      </c>
      <c r="Q62" s="330">
        <v>192</v>
      </c>
      <c r="R62" s="330">
        <v>192</v>
      </c>
      <c r="S62" s="330">
        <v>192</v>
      </c>
      <c r="T62" s="330">
        <v>192</v>
      </c>
      <c r="U62" s="589">
        <f t="shared" si="7"/>
        <v>0.51704637259654229</v>
      </c>
      <c r="V62" s="362"/>
    </row>
    <row r="63" spans="1:22" s="437" customFormat="1" ht="20.25" customHeight="1">
      <c r="A63" s="433">
        <v>50</v>
      </c>
      <c r="B63" s="434" t="s">
        <v>491</v>
      </c>
      <c r="C63" s="337" t="s">
        <v>805</v>
      </c>
      <c r="D63" s="435">
        <v>1998</v>
      </c>
      <c r="E63" s="449">
        <v>90</v>
      </c>
      <c r="F63" s="105">
        <v>128.69999999999999</v>
      </c>
      <c r="G63" s="105">
        <v>120</v>
      </c>
      <c r="H63" s="105">
        <v>120</v>
      </c>
      <c r="I63" s="105">
        <v>120</v>
      </c>
      <c r="J63" s="105">
        <v>120</v>
      </c>
      <c r="K63" s="105">
        <v>120</v>
      </c>
      <c r="L63" s="105">
        <v>120</v>
      </c>
      <c r="M63" s="330">
        <v>120</v>
      </c>
      <c r="N63" s="330">
        <v>120</v>
      </c>
      <c r="O63" s="330">
        <v>120</v>
      </c>
      <c r="P63" s="330">
        <v>130</v>
      </c>
      <c r="Q63" s="330">
        <v>130</v>
      </c>
      <c r="R63" s="330">
        <v>130</v>
      </c>
      <c r="S63" s="330">
        <v>130</v>
      </c>
      <c r="T63" s="330">
        <v>130</v>
      </c>
      <c r="U63" s="589">
        <f t="shared" si="7"/>
        <v>0.3500834814455755</v>
      </c>
      <c r="V63" s="362"/>
    </row>
    <row r="64" spans="1:22" s="437" customFormat="1" ht="20.25" customHeight="1">
      <c r="A64" s="433">
        <v>51</v>
      </c>
      <c r="B64" s="434" t="s">
        <v>806</v>
      </c>
      <c r="C64" s="337" t="s">
        <v>807</v>
      </c>
      <c r="D64" s="435" t="s">
        <v>15</v>
      </c>
      <c r="E64" s="449">
        <v>34</v>
      </c>
      <c r="F64" s="105" t="s">
        <v>479</v>
      </c>
      <c r="G64" s="105"/>
      <c r="H64" s="105"/>
      <c r="I64" s="105"/>
      <c r="J64" s="105"/>
      <c r="K64" s="105"/>
      <c r="L64" s="105"/>
      <c r="M64" s="429" t="s">
        <v>138</v>
      </c>
      <c r="N64" s="429" t="s">
        <v>138</v>
      </c>
      <c r="O64" s="429" t="s">
        <v>138</v>
      </c>
      <c r="P64" s="429" t="s">
        <v>138</v>
      </c>
      <c r="Q64" s="429" t="s">
        <v>138</v>
      </c>
      <c r="R64" s="330">
        <v>34</v>
      </c>
      <c r="S64" s="330">
        <v>34</v>
      </c>
      <c r="T64" s="330">
        <v>34</v>
      </c>
      <c r="U64" s="589">
        <f t="shared" si="7"/>
        <v>9.1560295147304349E-2</v>
      </c>
      <c r="V64" s="362"/>
    </row>
    <row r="65" spans="1:23" ht="20.25" customHeight="1">
      <c r="A65" s="433">
        <v>52</v>
      </c>
      <c r="B65" s="434" t="s">
        <v>808</v>
      </c>
      <c r="C65" s="337" t="s">
        <v>809</v>
      </c>
      <c r="D65" s="454" t="s">
        <v>492</v>
      </c>
      <c r="E65" s="449">
        <v>18</v>
      </c>
      <c r="F65" s="105">
        <v>128.69999999999999</v>
      </c>
      <c r="G65" s="105">
        <v>740</v>
      </c>
      <c r="H65" s="105">
        <v>746</v>
      </c>
      <c r="I65" s="105">
        <v>768</v>
      </c>
      <c r="J65" s="105">
        <v>768</v>
      </c>
      <c r="K65" s="105">
        <v>768</v>
      </c>
      <c r="L65" s="105">
        <v>768</v>
      </c>
      <c r="M65" s="330">
        <v>768</v>
      </c>
      <c r="N65" s="330">
        <v>768</v>
      </c>
      <c r="O65" s="330">
        <v>768</v>
      </c>
      <c r="P65" s="330">
        <v>778</v>
      </c>
      <c r="Q65" s="330">
        <v>778</v>
      </c>
      <c r="R65" s="330">
        <v>778</v>
      </c>
      <c r="S65" s="330">
        <v>778</v>
      </c>
      <c r="T65" s="330">
        <v>778</v>
      </c>
      <c r="U65" s="589">
        <f t="shared" si="7"/>
        <v>2.0951149889589056</v>
      </c>
      <c r="V65" s="362"/>
    </row>
    <row r="66" spans="1:23" ht="20.25" customHeight="1">
      <c r="A66" s="439">
        <v>53</v>
      </c>
      <c r="B66" s="440" t="s">
        <v>810</v>
      </c>
      <c r="C66" s="611" t="s">
        <v>811</v>
      </c>
      <c r="D66" s="446">
        <v>1999</v>
      </c>
      <c r="E66" s="447">
        <v>200</v>
      </c>
      <c r="F66" s="442">
        <v>128.69999999999999</v>
      </c>
      <c r="G66" s="442">
        <v>216</v>
      </c>
      <c r="H66" s="442">
        <v>228</v>
      </c>
      <c r="I66" s="442">
        <v>248</v>
      </c>
      <c r="J66" s="442">
        <v>248</v>
      </c>
      <c r="K66" s="442">
        <v>248</v>
      </c>
      <c r="L66" s="442">
        <v>248</v>
      </c>
      <c r="M66" s="461">
        <v>248</v>
      </c>
      <c r="N66" s="461">
        <v>248</v>
      </c>
      <c r="O66" s="461">
        <v>248</v>
      </c>
      <c r="P66" s="461">
        <v>248</v>
      </c>
      <c r="Q66" s="461">
        <v>270</v>
      </c>
      <c r="R66" s="461">
        <v>270</v>
      </c>
      <c r="S66" s="461">
        <v>270</v>
      </c>
      <c r="T66" s="461">
        <v>270</v>
      </c>
      <c r="U66" s="595">
        <f t="shared" si="7"/>
        <v>0.72709646146388762</v>
      </c>
      <c r="V66" s="362"/>
    </row>
    <row r="67" spans="1:23" s="438" customFormat="1" ht="20.25" customHeight="1">
      <c r="A67" s="433"/>
      <c r="B67" s="427" t="s">
        <v>293</v>
      </c>
      <c r="C67" s="610"/>
      <c r="D67" s="428" t="s">
        <v>138</v>
      </c>
      <c r="E67" s="428" t="s">
        <v>138</v>
      </c>
      <c r="F67" s="428" t="s">
        <v>138</v>
      </c>
      <c r="G67" s="428">
        <f t="shared" ref="G67:S67" si="11">SUM(G68:G120)</f>
        <v>8420</v>
      </c>
      <c r="H67" s="428">
        <f t="shared" si="11"/>
        <v>8610</v>
      </c>
      <c r="I67" s="428">
        <f t="shared" si="11"/>
        <v>8678</v>
      </c>
      <c r="J67" s="428">
        <f t="shared" si="11"/>
        <v>8754</v>
      </c>
      <c r="K67" s="428">
        <f t="shared" si="11"/>
        <v>8824</v>
      </c>
      <c r="L67" s="428">
        <f t="shared" si="11"/>
        <v>8828</v>
      </c>
      <c r="M67" s="428">
        <f t="shared" si="11"/>
        <v>8964</v>
      </c>
      <c r="N67" s="428">
        <f t="shared" si="11"/>
        <v>8968</v>
      </c>
      <c r="O67" s="428">
        <f t="shared" si="11"/>
        <v>9088</v>
      </c>
      <c r="P67" s="428">
        <f t="shared" si="11"/>
        <v>9506</v>
      </c>
      <c r="Q67" s="428">
        <f t="shared" si="11"/>
        <v>10094</v>
      </c>
      <c r="R67" s="428">
        <f t="shared" si="11"/>
        <v>10568</v>
      </c>
      <c r="S67" s="428">
        <f t="shared" si="11"/>
        <v>12100</v>
      </c>
      <c r="T67" s="428">
        <f>SUM(T68:T120)</f>
        <v>12048</v>
      </c>
      <c r="U67" s="594">
        <f t="shared" si="7"/>
        <v>32.444659880433022</v>
      </c>
      <c r="V67" s="362"/>
    </row>
    <row r="68" spans="1:23" ht="20.25" customHeight="1">
      <c r="A68" s="433">
        <v>54</v>
      </c>
      <c r="B68" s="434" t="s">
        <v>812</v>
      </c>
      <c r="C68" s="337" t="s">
        <v>813</v>
      </c>
      <c r="D68" s="455">
        <v>1978</v>
      </c>
      <c r="E68" s="449">
        <v>34</v>
      </c>
      <c r="F68" s="105">
        <v>34</v>
      </c>
      <c r="G68" s="105">
        <v>232</v>
      </c>
      <c r="H68" s="105">
        <v>256</v>
      </c>
      <c r="I68" s="105">
        <v>256</v>
      </c>
      <c r="J68" s="105">
        <v>256</v>
      </c>
      <c r="K68" s="105">
        <v>256</v>
      </c>
      <c r="L68" s="105">
        <v>256</v>
      </c>
      <c r="M68" s="105">
        <v>256</v>
      </c>
      <c r="N68" s="105">
        <v>256</v>
      </c>
      <c r="O68" s="105">
        <v>256</v>
      </c>
      <c r="P68" s="105">
        <v>256</v>
      </c>
      <c r="Q68" s="105">
        <v>260</v>
      </c>
      <c r="R68" s="105">
        <v>260</v>
      </c>
      <c r="S68" s="105">
        <v>260</v>
      </c>
      <c r="T68" s="105">
        <v>260</v>
      </c>
      <c r="U68" s="587">
        <f t="shared" si="7"/>
        <v>0.70016696289115099</v>
      </c>
      <c r="V68" s="362"/>
    </row>
    <row r="69" spans="1:23" ht="20.25" customHeight="1">
      <c r="A69" s="433">
        <v>55</v>
      </c>
      <c r="B69" s="434" t="s">
        <v>814</v>
      </c>
      <c r="C69" s="337" t="s">
        <v>815</v>
      </c>
      <c r="D69" s="454" t="s">
        <v>492</v>
      </c>
      <c r="E69" s="449">
        <v>18</v>
      </c>
      <c r="F69" s="105">
        <v>8</v>
      </c>
      <c r="G69" s="105">
        <v>66</v>
      </c>
      <c r="H69" s="105">
        <v>66</v>
      </c>
      <c r="I69" s="105">
        <v>100</v>
      </c>
      <c r="J69" s="105">
        <v>100</v>
      </c>
      <c r="K69" s="105">
        <v>100</v>
      </c>
      <c r="L69" s="105">
        <v>100</v>
      </c>
      <c r="M69" s="105">
        <v>100</v>
      </c>
      <c r="N69" s="105">
        <v>100</v>
      </c>
      <c r="O69" s="105">
        <v>100</v>
      </c>
      <c r="P69" s="105">
        <v>100</v>
      </c>
      <c r="Q69" s="105">
        <v>100</v>
      </c>
      <c r="R69" s="105">
        <v>100</v>
      </c>
      <c r="S69" s="105">
        <v>100</v>
      </c>
      <c r="T69" s="105">
        <v>100</v>
      </c>
      <c r="U69" s="587">
        <f t="shared" si="7"/>
        <v>0.26929498572736577</v>
      </c>
      <c r="V69" s="362"/>
      <c r="W69" s="438"/>
    </row>
    <row r="70" spans="1:23" ht="20.25" customHeight="1">
      <c r="A70" s="433">
        <v>56</v>
      </c>
      <c r="B70" s="434" t="s">
        <v>816</v>
      </c>
      <c r="C70" s="337" t="s">
        <v>817</v>
      </c>
      <c r="D70" s="454" t="s">
        <v>493</v>
      </c>
      <c r="E70" s="449">
        <v>40</v>
      </c>
      <c r="F70" s="105">
        <v>22.5</v>
      </c>
      <c r="G70" s="105">
        <v>354</v>
      </c>
      <c r="H70" s="105">
        <v>354</v>
      </c>
      <c r="I70" s="105">
        <v>354</v>
      </c>
      <c r="J70" s="105">
        <v>354</v>
      </c>
      <c r="K70" s="105">
        <v>354</v>
      </c>
      <c r="L70" s="105">
        <v>354</v>
      </c>
      <c r="M70" s="105">
        <v>354</v>
      </c>
      <c r="N70" s="105">
        <v>354</v>
      </c>
      <c r="O70" s="105">
        <v>354</v>
      </c>
      <c r="P70" s="105">
        <v>354</v>
      </c>
      <c r="Q70" s="105">
        <v>404</v>
      </c>
      <c r="R70" s="105">
        <v>404</v>
      </c>
      <c r="S70" s="105">
        <v>404</v>
      </c>
      <c r="T70" s="105">
        <v>404</v>
      </c>
      <c r="U70" s="587">
        <f t="shared" ref="U70:U101" si="12">T70/T$6*100</f>
        <v>1.0879517423385576</v>
      </c>
      <c r="V70" s="362"/>
    </row>
    <row r="71" spans="1:23" ht="20.25" customHeight="1">
      <c r="A71" s="433">
        <v>57</v>
      </c>
      <c r="B71" s="434" t="s">
        <v>818</v>
      </c>
      <c r="C71" s="337" t="s">
        <v>819</v>
      </c>
      <c r="D71" s="455" t="s">
        <v>494</v>
      </c>
      <c r="E71" s="449">
        <v>24</v>
      </c>
      <c r="F71" s="105">
        <v>40</v>
      </c>
      <c r="G71" s="105">
        <v>220</v>
      </c>
      <c r="H71" s="105">
        <v>220</v>
      </c>
      <c r="I71" s="105">
        <v>220</v>
      </c>
      <c r="J71" s="105">
        <v>220</v>
      </c>
      <c r="K71" s="105">
        <v>220</v>
      </c>
      <c r="L71" s="105">
        <v>220</v>
      </c>
      <c r="M71" s="105">
        <v>220</v>
      </c>
      <c r="N71" s="105">
        <v>220</v>
      </c>
      <c r="O71" s="105">
        <v>220</v>
      </c>
      <c r="P71" s="105">
        <v>220</v>
      </c>
      <c r="Q71" s="105">
        <v>226</v>
      </c>
      <c r="R71" s="105">
        <v>226</v>
      </c>
      <c r="S71" s="105">
        <v>226</v>
      </c>
      <c r="T71" s="105">
        <v>226</v>
      </c>
      <c r="U71" s="587">
        <f t="shared" si="12"/>
        <v>0.60860666774384653</v>
      </c>
      <c r="V71" s="362"/>
    </row>
    <row r="72" spans="1:23" s="438" customFormat="1" ht="20.25" customHeight="1">
      <c r="A72" s="433">
        <v>58</v>
      </c>
      <c r="B72" s="434" t="s">
        <v>820</v>
      </c>
      <c r="C72" s="337" t="s">
        <v>821</v>
      </c>
      <c r="D72" s="435" t="s">
        <v>492</v>
      </c>
      <c r="E72" s="449">
        <v>20</v>
      </c>
      <c r="F72" s="105">
        <v>17</v>
      </c>
      <c r="G72" s="105">
        <v>90</v>
      </c>
      <c r="H72" s="105">
        <v>90</v>
      </c>
      <c r="I72" s="105">
        <v>90</v>
      </c>
      <c r="J72" s="105">
        <v>90</v>
      </c>
      <c r="K72" s="105">
        <v>90</v>
      </c>
      <c r="L72" s="105">
        <v>90</v>
      </c>
      <c r="M72" s="105">
        <v>90</v>
      </c>
      <c r="N72" s="105">
        <v>90</v>
      </c>
      <c r="O72" s="105">
        <v>90</v>
      </c>
      <c r="P72" s="105">
        <v>90</v>
      </c>
      <c r="Q72" s="105">
        <v>90</v>
      </c>
      <c r="R72" s="105">
        <v>90</v>
      </c>
      <c r="S72" s="105">
        <v>90</v>
      </c>
      <c r="T72" s="105">
        <v>90</v>
      </c>
      <c r="U72" s="587">
        <f t="shared" si="12"/>
        <v>0.24236548715462916</v>
      </c>
      <c r="V72" s="362"/>
    </row>
    <row r="73" spans="1:23" ht="20.25" customHeight="1">
      <c r="A73" s="433">
        <v>59</v>
      </c>
      <c r="B73" s="434" t="s">
        <v>495</v>
      </c>
      <c r="C73" s="337" t="s">
        <v>822</v>
      </c>
      <c r="D73" s="455" t="s">
        <v>496</v>
      </c>
      <c r="E73" s="449">
        <v>36</v>
      </c>
      <c r="F73" s="105">
        <v>32</v>
      </c>
      <c r="G73" s="105">
        <v>60</v>
      </c>
      <c r="H73" s="105">
        <v>60</v>
      </c>
      <c r="I73" s="105">
        <v>60</v>
      </c>
      <c r="J73" s="105">
        <v>60</v>
      </c>
      <c r="K73" s="105">
        <v>60</v>
      </c>
      <c r="L73" s="105">
        <v>60</v>
      </c>
      <c r="M73" s="105">
        <v>60</v>
      </c>
      <c r="N73" s="105">
        <v>60</v>
      </c>
      <c r="O73" s="105">
        <v>60</v>
      </c>
      <c r="P73" s="105">
        <v>60</v>
      </c>
      <c r="Q73" s="105">
        <v>60</v>
      </c>
      <c r="R73" s="105">
        <v>60</v>
      </c>
      <c r="S73" s="105">
        <v>60</v>
      </c>
      <c r="T73" s="105">
        <v>0</v>
      </c>
      <c r="U73" s="587">
        <f t="shared" si="12"/>
        <v>0</v>
      </c>
      <c r="V73" s="362"/>
    </row>
    <row r="74" spans="1:23" s="438" customFormat="1" ht="20.25" customHeight="1">
      <c r="A74" s="433">
        <v>60</v>
      </c>
      <c r="B74" s="434" t="s">
        <v>823</v>
      </c>
      <c r="C74" s="337" t="s">
        <v>824</v>
      </c>
      <c r="D74" s="455" t="s">
        <v>497</v>
      </c>
      <c r="E74" s="449">
        <v>220</v>
      </c>
      <c r="F74" s="105">
        <v>8</v>
      </c>
      <c r="G74" s="105">
        <v>450</v>
      </c>
      <c r="H74" s="105">
        <v>450</v>
      </c>
      <c r="I74" s="105">
        <v>450</v>
      </c>
      <c r="J74" s="105">
        <v>450</v>
      </c>
      <c r="K74" s="105">
        <v>450</v>
      </c>
      <c r="L74" s="105">
        <v>450</v>
      </c>
      <c r="M74" s="105">
        <v>450</v>
      </c>
      <c r="N74" s="105">
        <v>430</v>
      </c>
      <c r="O74" s="105">
        <v>430</v>
      </c>
      <c r="P74" s="105">
        <v>430</v>
      </c>
      <c r="Q74" s="105">
        <v>430</v>
      </c>
      <c r="R74" s="105">
        <v>430</v>
      </c>
      <c r="S74" s="105">
        <v>430</v>
      </c>
      <c r="T74" s="105">
        <v>430</v>
      </c>
      <c r="U74" s="587">
        <f t="shared" si="12"/>
        <v>1.1579684386276727</v>
      </c>
      <c r="V74" s="362"/>
    </row>
    <row r="75" spans="1:23" s="438" customFormat="1" ht="20.25" customHeight="1">
      <c r="A75" s="433">
        <v>61</v>
      </c>
      <c r="B75" s="434" t="s">
        <v>498</v>
      </c>
      <c r="C75" s="337" t="s">
        <v>825</v>
      </c>
      <c r="D75" s="454" t="s">
        <v>499</v>
      </c>
      <c r="E75" s="449">
        <v>24</v>
      </c>
      <c r="F75" s="105">
        <v>12</v>
      </c>
      <c r="G75" s="105">
        <v>96</v>
      </c>
      <c r="H75" s="105">
        <v>96</v>
      </c>
      <c r="I75" s="105">
        <v>96</v>
      </c>
      <c r="J75" s="105">
        <v>96</v>
      </c>
      <c r="K75" s="105">
        <v>96</v>
      </c>
      <c r="L75" s="105">
        <v>96</v>
      </c>
      <c r="M75" s="105">
        <v>96</v>
      </c>
      <c r="N75" s="105">
        <v>96</v>
      </c>
      <c r="O75" s="105">
        <v>96</v>
      </c>
      <c r="P75" s="105">
        <v>96</v>
      </c>
      <c r="Q75" s="105">
        <v>96</v>
      </c>
      <c r="R75" s="105">
        <v>96</v>
      </c>
      <c r="S75" s="105">
        <v>96</v>
      </c>
      <c r="T75" s="105">
        <v>96</v>
      </c>
      <c r="U75" s="587">
        <f t="shared" si="12"/>
        <v>0.25852318629827115</v>
      </c>
      <c r="V75" s="362"/>
    </row>
    <row r="76" spans="1:23" ht="20.25" customHeight="1">
      <c r="A76" s="433">
        <v>62</v>
      </c>
      <c r="B76" s="434" t="s">
        <v>826</v>
      </c>
      <c r="C76" s="337" t="s">
        <v>827</v>
      </c>
      <c r="D76" s="455" t="s">
        <v>500</v>
      </c>
      <c r="E76" s="449">
        <v>56</v>
      </c>
      <c r="F76" s="105">
        <v>16</v>
      </c>
      <c r="G76" s="105">
        <v>150</v>
      </c>
      <c r="H76" s="105">
        <v>150</v>
      </c>
      <c r="I76" s="105">
        <v>150</v>
      </c>
      <c r="J76" s="105">
        <v>150</v>
      </c>
      <c r="K76" s="105">
        <v>150</v>
      </c>
      <c r="L76" s="105">
        <v>150</v>
      </c>
      <c r="M76" s="105">
        <v>150</v>
      </c>
      <c r="N76" s="105">
        <v>150</v>
      </c>
      <c r="O76" s="105">
        <v>150</v>
      </c>
      <c r="P76" s="105">
        <v>150</v>
      </c>
      <c r="Q76" s="105">
        <v>150</v>
      </c>
      <c r="R76" s="105">
        <v>150</v>
      </c>
      <c r="S76" s="105">
        <v>150</v>
      </c>
      <c r="T76" s="105">
        <v>150</v>
      </c>
      <c r="U76" s="587">
        <f t="shared" si="12"/>
        <v>0.40394247859104865</v>
      </c>
      <c r="V76" s="362"/>
    </row>
    <row r="77" spans="1:23" s="437" customFormat="1" ht="20.25" customHeight="1">
      <c r="A77" s="433">
        <v>63</v>
      </c>
      <c r="B77" s="434" t="s">
        <v>828</v>
      </c>
      <c r="C77" s="337" t="s">
        <v>829</v>
      </c>
      <c r="D77" s="455" t="s">
        <v>501</v>
      </c>
      <c r="E77" s="449">
        <v>192</v>
      </c>
      <c r="F77" s="105">
        <v>18</v>
      </c>
      <c r="G77" s="105">
        <v>192</v>
      </c>
      <c r="H77" s="105">
        <v>192</v>
      </c>
      <c r="I77" s="105">
        <v>192</v>
      </c>
      <c r="J77" s="105">
        <v>192</v>
      </c>
      <c r="K77" s="105">
        <v>192</v>
      </c>
      <c r="L77" s="105">
        <v>192</v>
      </c>
      <c r="M77" s="105">
        <v>192</v>
      </c>
      <c r="N77" s="105">
        <v>192</v>
      </c>
      <c r="O77" s="105">
        <v>192</v>
      </c>
      <c r="P77" s="105">
        <v>192</v>
      </c>
      <c r="Q77" s="105">
        <v>192</v>
      </c>
      <c r="R77" s="105">
        <v>192</v>
      </c>
      <c r="S77" s="105">
        <v>192</v>
      </c>
      <c r="T77" s="105">
        <v>192</v>
      </c>
      <c r="U77" s="587">
        <f t="shared" si="12"/>
        <v>0.51704637259654229</v>
      </c>
      <c r="V77" s="362"/>
    </row>
    <row r="78" spans="1:23" s="437" customFormat="1" ht="20.25" customHeight="1">
      <c r="A78" s="433">
        <v>64</v>
      </c>
      <c r="B78" s="434" t="s">
        <v>830</v>
      </c>
      <c r="C78" s="337" t="s">
        <v>831</v>
      </c>
      <c r="D78" s="435" t="s">
        <v>494</v>
      </c>
      <c r="E78" s="449">
        <v>40</v>
      </c>
      <c r="F78" s="105">
        <v>11.3</v>
      </c>
      <c r="G78" s="105">
        <v>132</v>
      </c>
      <c r="H78" s="105">
        <v>132</v>
      </c>
      <c r="I78" s="105">
        <v>132</v>
      </c>
      <c r="J78" s="105">
        <v>132</v>
      </c>
      <c r="K78" s="105">
        <v>132</v>
      </c>
      <c r="L78" s="105">
        <v>132</v>
      </c>
      <c r="M78" s="105">
        <v>220</v>
      </c>
      <c r="N78" s="105">
        <v>220</v>
      </c>
      <c r="O78" s="105">
        <v>220</v>
      </c>
      <c r="P78" s="105">
        <v>220</v>
      </c>
      <c r="Q78" s="105">
        <v>280</v>
      </c>
      <c r="R78" s="105">
        <v>280</v>
      </c>
      <c r="S78" s="105">
        <v>280</v>
      </c>
      <c r="T78" s="105">
        <v>280</v>
      </c>
      <c r="U78" s="587">
        <f t="shared" si="12"/>
        <v>0.75402596003662403</v>
      </c>
      <c r="V78" s="362"/>
    </row>
    <row r="79" spans="1:23" s="437" customFormat="1" ht="20.25" customHeight="1">
      <c r="A79" s="433">
        <v>65</v>
      </c>
      <c r="B79" s="434" t="s">
        <v>502</v>
      </c>
      <c r="C79" s="337" t="s">
        <v>832</v>
      </c>
      <c r="D79" s="454" t="s">
        <v>496</v>
      </c>
      <c r="E79" s="449">
        <v>20</v>
      </c>
      <c r="F79" s="105">
        <v>13</v>
      </c>
      <c r="G79" s="105">
        <v>292</v>
      </c>
      <c r="H79" s="105">
        <v>292</v>
      </c>
      <c r="I79" s="105">
        <v>296</v>
      </c>
      <c r="J79" s="105">
        <v>296</v>
      </c>
      <c r="K79" s="105">
        <v>296</v>
      </c>
      <c r="L79" s="105">
        <v>296</v>
      </c>
      <c r="M79" s="105">
        <v>296</v>
      </c>
      <c r="N79" s="105">
        <v>296</v>
      </c>
      <c r="O79" s="105">
        <v>296</v>
      </c>
      <c r="P79" s="105">
        <v>296</v>
      </c>
      <c r="Q79" s="105">
        <v>296</v>
      </c>
      <c r="R79" s="105">
        <v>296</v>
      </c>
      <c r="S79" s="105">
        <v>296</v>
      </c>
      <c r="T79" s="105">
        <v>296</v>
      </c>
      <c r="U79" s="587">
        <f t="shared" si="12"/>
        <v>0.79711315775300262</v>
      </c>
      <c r="V79" s="362"/>
    </row>
    <row r="80" spans="1:23" s="438" customFormat="1" ht="20.25" customHeight="1">
      <c r="A80" s="433">
        <v>66</v>
      </c>
      <c r="B80" s="434" t="s">
        <v>833</v>
      </c>
      <c r="C80" s="337" t="s">
        <v>834</v>
      </c>
      <c r="D80" s="435" t="s">
        <v>494</v>
      </c>
      <c r="E80" s="449">
        <v>18</v>
      </c>
      <c r="F80" s="105">
        <v>23</v>
      </c>
      <c r="G80" s="105">
        <v>80</v>
      </c>
      <c r="H80" s="105">
        <v>80</v>
      </c>
      <c r="I80" s="105">
        <v>80</v>
      </c>
      <c r="J80" s="105">
        <v>80</v>
      </c>
      <c r="K80" s="105">
        <v>80</v>
      </c>
      <c r="L80" s="105">
        <v>80</v>
      </c>
      <c r="M80" s="105">
        <v>80</v>
      </c>
      <c r="N80" s="105">
        <v>104</v>
      </c>
      <c r="O80" s="105">
        <v>104</v>
      </c>
      <c r="P80" s="105">
        <v>104</v>
      </c>
      <c r="Q80" s="105">
        <v>104</v>
      </c>
      <c r="R80" s="105">
        <v>104</v>
      </c>
      <c r="S80" s="105">
        <v>104</v>
      </c>
      <c r="T80" s="105">
        <v>104</v>
      </c>
      <c r="U80" s="587">
        <f t="shared" si="12"/>
        <v>0.28006678515646038</v>
      </c>
      <c r="V80" s="362"/>
    </row>
    <row r="81" spans="1:22" s="438" customFormat="1" ht="20.25" customHeight="1">
      <c r="A81" s="433">
        <v>67</v>
      </c>
      <c r="B81" s="434" t="s">
        <v>503</v>
      </c>
      <c r="C81" s="337" t="s">
        <v>835</v>
      </c>
      <c r="D81" s="435" t="s">
        <v>492</v>
      </c>
      <c r="E81" s="449">
        <v>18</v>
      </c>
      <c r="F81" s="105">
        <v>19.3</v>
      </c>
      <c r="G81" s="105">
        <v>444</v>
      </c>
      <c r="H81" s="105">
        <v>444</v>
      </c>
      <c r="I81" s="105">
        <v>444</v>
      </c>
      <c r="J81" s="105">
        <v>456</v>
      </c>
      <c r="K81" s="105">
        <v>448</v>
      </c>
      <c r="L81" s="105">
        <v>448</v>
      </c>
      <c r="M81" s="105">
        <v>492</v>
      </c>
      <c r="N81" s="105">
        <v>492</v>
      </c>
      <c r="O81" s="105">
        <v>492</v>
      </c>
      <c r="P81" s="105">
        <v>492</v>
      </c>
      <c r="Q81" s="105">
        <v>492</v>
      </c>
      <c r="R81" s="105">
        <v>544</v>
      </c>
      <c r="S81" s="105">
        <v>544</v>
      </c>
      <c r="T81" s="105">
        <v>544</v>
      </c>
      <c r="U81" s="587">
        <f t="shared" si="12"/>
        <v>1.4649647223568696</v>
      </c>
      <c r="V81" s="362"/>
    </row>
    <row r="82" spans="1:22" s="438" customFormat="1" ht="20.25" customHeight="1">
      <c r="A82" s="433">
        <v>68</v>
      </c>
      <c r="B82" s="434" t="s">
        <v>504</v>
      </c>
      <c r="C82" s="337" t="s">
        <v>836</v>
      </c>
      <c r="D82" s="455" t="s">
        <v>493</v>
      </c>
      <c r="E82" s="449">
        <v>50</v>
      </c>
      <c r="F82" s="105">
        <v>29</v>
      </c>
      <c r="G82" s="105">
        <v>206</v>
      </c>
      <c r="H82" s="105">
        <v>206</v>
      </c>
      <c r="I82" s="105">
        <v>206</v>
      </c>
      <c r="J82" s="105">
        <v>206</v>
      </c>
      <c r="K82" s="105">
        <v>206</v>
      </c>
      <c r="L82" s="105">
        <v>206</v>
      </c>
      <c r="M82" s="105">
        <v>206</v>
      </c>
      <c r="N82" s="105">
        <v>206</v>
      </c>
      <c r="O82" s="105">
        <v>206</v>
      </c>
      <c r="P82" s="105">
        <v>206</v>
      </c>
      <c r="Q82" s="105">
        <v>200</v>
      </c>
      <c r="R82" s="105">
        <v>200</v>
      </c>
      <c r="S82" s="105">
        <v>200</v>
      </c>
      <c r="T82" s="105">
        <v>200</v>
      </c>
      <c r="U82" s="587">
        <f t="shared" si="12"/>
        <v>0.53858997145473153</v>
      </c>
      <c r="V82" s="362"/>
    </row>
    <row r="83" spans="1:22" s="438" customFormat="1" ht="20.25" customHeight="1">
      <c r="A83" s="433">
        <v>69</v>
      </c>
      <c r="B83" s="434" t="s">
        <v>505</v>
      </c>
      <c r="C83" s="337" t="s">
        <v>837</v>
      </c>
      <c r="D83" s="435" t="s">
        <v>506</v>
      </c>
      <c r="E83" s="449">
        <v>12</v>
      </c>
      <c r="F83" s="105">
        <v>27.4</v>
      </c>
      <c r="G83" s="105">
        <v>14</v>
      </c>
      <c r="H83" s="105">
        <v>14</v>
      </c>
      <c r="I83" s="105">
        <v>14</v>
      </c>
      <c r="J83" s="105">
        <v>14</v>
      </c>
      <c r="K83" s="105">
        <v>14</v>
      </c>
      <c r="L83" s="105">
        <v>14</v>
      </c>
      <c r="M83" s="105">
        <v>14</v>
      </c>
      <c r="N83" s="105">
        <v>14</v>
      </c>
      <c r="O83" s="105">
        <v>14</v>
      </c>
      <c r="P83" s="105">
        <v>14</v>
      </c>
      <c r="Q83" s="105">
        <v>14</v>
      </c>
      <c r="R83" s="105">
        <v>14</v>
      </c>
      <c r="S83" s="105">
        <v>14</v>
      </c>
      <c r="T83" s="105">
        <v>0</v>
      </c>
      <c r="U83" s="587">
        <f t="shared" si="12"/>
        <v>0</v>
      </c>
      <c r="V83" s="362"/>
    </row>
    <row r="84" spans="1:22" s="438" customFormat="1" ht="20.25" customHeight="1">
      <c r="A84" s="433">
        <v>70</v>
      </c>
      <c r="B84" s="434" t="s">
        <v>507</v>
      </c>
      <c r="C84" s="337" t="s">
        <v>838</v>
      </c>
      <c r="D84" s="455">
        <v>1981</v>
      </c>
      <c r="E84" s="449">
        <v>12</v>
      </c>
      <c r="F84" s="105">
        <v>30</v>
      </c>
      <c r="G84" s="105">
        <v>70</v>
      </c>
      <c r="H84" s="105">
        <v>70</v>
      </c>
      <c r="I84" s="105">
        <v>70</v>
      </c>
      <c r="J84" s="105">
        <v>70</v>
      </c>
      <c r="K84" s="105">
        <v>70</v>
      </c>
      <c r="L84" s="105">
        <v>70</v>
      </c>
      <c r="M84" s="105">
        <v>70</v>
      </c>
      <c r="N84" s="105">
        <v>70</v>
      </c>
      <c r="O84" s="105">
        <v>70</v>
      </c>
      <c r="P84" s="105">
        <v>70</v>
      </c>
      <c r="Q84" s="105">
        <v>70</v>
      </c>
      <c r="R84" s="105">
        <v>70</v>
      </c>
      <c r="S84" s="105">
        <v>70</v>
      </c>
      <c r="T84" s="105">
        <v>66</v>
      </c>
      <c r="U84" s="587">
        <f t="shared" si="12"/>
        <v>0.17773469058006139</v>
      </c>
      <c r="V84" s="362"/>
    </row>
    <row r="85" spans="1:22" ht="20.25" customHeight="1">
      <c r="A85" s="433">
        <v>71</v>
      </c>
      <c r="B85" s="434" t="s">
        <v>508</v>
      </c>
      <c r="C85" s="337" t="s">
        <v>839</v>
      </c>
      <c r="D85" s="454" t="s">
        <v>496</v>
      </c>
      <c r="E85" s="449">
        <v>120</v>
      </c>
      <c r="F85" s="105">
        <v>29</v>
      </c>
      <c r="G85" s="105">
        <v>120</v>
      </c>
      <c r="H85" s="105">
        <v>120</v>
      </c>
      <c r="I85" s="105">
        <v>120</v>
      </c>
      <c r="J85" s="105">
        <v>120</v>
      </c>
      <c r="K85" s="105">
        <v>120</v>
      </c>
      <c r="L85" s="105">
        <v>120</v>
      </c>
      <c r="M85" s="105">
        <v>120</v>
      </c>
      <c r="N85" s="105">
        <v>120</v>
      </c>
      <c r="O85" s="105">
        <v>120</v>
      </c>
      <c r="P85" s="105">
        <v>120</v>
      </c>
      <c r="Q85" s="105">
        <v>120</v>
      </c>
      <c r="R85" s="105">
        <v>120</v>
      </c>
      <c r="S85" s="105">
        <v>120</v>
      </c>
      <c r="T85" s="105">
        <v>0</v>
      </c>
      <c r="U85" s="587">
        <f t="shared" si="12"/>
        <v>0</v>
      </c>
      <c r="V85" s="362"/>
    </row>
    <row r="86" spans="1:22" s="438" customFormat="1" ht="20.25" customHeight="1">
      <c r="A86" s="433">
        <v>72</v>
      </c>
      <c r="B86" s="434" t="s">
        <v>840</v>
      </c>
      <c r="C86" s="337" t="s">
        <v>841</v>
      </c>
      <c r="D86" s="435" t="s">
        <v>493</v>
      </c>
      <c r="E86" s="449">
        <v>44</v>
      </c>
      <c r="F86" s="105">
        <v>8</v>
      </c>
      <c r="G86" s="105">
        <v>236</v>
      </c>
      <c r="H86" s="105">
        <v>236</v>
      </c>
      <c r="I86" s="105">
        <v>236</v>
      </c>
      <c r="J86" s="105">
        <v>236</v>
      </c>
      <c r="K86" s="105">
        <v>236</v>
      </c>
      <c r="L86" s="105">
        <v>236</v>
      </c>
      <c r="M86" s="105">
        <v>236</v>
      </c>
      <c r="N86" s="105">
        <v>236</v>
      </c>
      <c r="O86" s="105">
        <v>236</v>
      </c>
      <c r="P86" s="105">
        <v>236</v>
      </c>
      <c r="Q86" s="105">
        <v>236</v>
      </c>
      <c r="R86" s="105">
        <v>236</v>
      </c>
      <c r="S86" s="105">
        <v>236</v>
      </c>
      <c r="T86" s="105">
        <v>236</v>
      </c>
      <c r="U86" s="587">
        <f t="shared" si="12"/>
        <v>0.63553616631658316</v>
      </c>
      <c r="V86" s="362"/>
    </row>
    <row r="87" spans="1:22" s="438" customFormat="1" ht="20.25" customHeight="1">
      <c r="A87" s="433">
        <v>73</v>
      </c>
      <c r="B87" s="434" t="s">
        <v>842</v>
      </c>
      <c r="C87" s="337" t="s">
        <v>843</v>
      </c>
      <c r="D87" s="435" t="s">
        <v>501</v>
      </c>
      <c r="E87" s="449">
        <v>40</v>
      </c>
      <c r="F87" s="105">
        <v>40</v>
      </c>
      <c r="G87" s="105">
        <v>114</v>
      </c>
      <c r="H87" s="105">
        <v>114</v>
      </c>
      <c r="I87" s="105">
        <v>114</v>
      </c>
      <c r="J87" s="105">
        <v>114</v>
      </c>
      <c r="K87" s="105">
        <v>114</v>
      </c>
      <c r="L87" s="105">
        <v>114</v>
      </c>
      <c r="M87" s="105">
        <v>114</v>
      </c>
      <c r="N87" s="105">
        <v>114</v>
      </c>
      <c r="O87" s="105">
        <v>114</v>
      </c>
      <c r="P87" s="105">
        <v>152</v>
      </c>
      <c r="Q87" s="105">
        <v>152</v>
      </c>
      <c r="R87" s="105">
        <v>152</v>
      </c>
      <c r="S87" s="105">
        <v>152</v>
      </c>
      <c r="T87" s="105">
        <v>152</v>
      </c>
      <c r="U87" s="587">
        <f t="shared" si="12"/>
        <v>0.40932837830559593</v>
      </c>
      <c r="V87" s="362"/>
    </row>
    <row r="88" spans="1:22" s="438" customFormat="1" ht="20.25" customHeight="1">
      <c r="A88" s="433">
        <v>74</v>
      </c>
      <c r="B88" s="434" t="s">
        <v>844</v>
      </c>
      <c r="C88" s="337" t="s">
        <v>845</v>
      </c>
      <c r="D88" s="435" t="s">
        <v>496</v>
      </c>
      <c r="E88" s="449">
        <v>90</v>
      </c>
      <c r="F88" s="105">
        <v>28</v>
      </c>
      <c r="G88" s="105">
        <v>300</v>
      </c>
      <c r="H88" s="105">
        <v>300</v>
      </c>
      <c r="I88" s="105">
        <v>300</v>
      </c>
      <c r="J88" s="105">
        <v>300</v>
      </c>
      <c r="K88" s="105">
        <v>300</v>
      </c>
      <c r="L88" s="105">
        <v>300</v>
      </c>
      <c r="M88" s="105">
        <v>300</v>
      </c>
      <c r="N88" s="105">
        <v>300</v>
      </c>
      <c r="O88" s="105">
        <v>300</v>
      </c>
      <c r="P88" s="105">
        <v>300</v>
      </c>
      <c r="Q88" s="105">
        <v>300</v>
      </c>
      <c r="R88" s="105">
        <v>300</v>
      </c>
      <c r="S88" s="105">
        <v>300</v>
      </c>
      <c r="T88" s="105">
        <v>300</v>
      </c>
      <c r="U88" s="587">
        <f t="shared" si="12"/>
        <v>0.8078849571820973</v>
      </c>
      <c r="V88" s="362"/>
    </row>
    <row r="89" spans="1:22" s="438" customFormat="1" ht="20.25" customHeight="1">
      <c r="A89" s="433">
        <v>75</v>
      </c>
      <c r="B89" s="434" t="s">
        <v>509</v>
      </c>
      <c r="C89" s="337" t="s">
        <v>846</v>
      </c>
      <c r="D89" s="435" t="s">
        <v>510</v>
      </c>
      <c r="E89" s="449">
        <v>32</v>
      </c>
      <c r="F89" s="105">
        <v>12.9</v>
      </c>
      <c r="G89" s="105">
        <v>212</v>
      </c>
      <c r="H89" s="105">
        <v>212</v>
      </c>
      <c r="I89" s="105">
        <v>212</v>
      </c>
      <c r="J89" s="105">
        <v>212</v>
      </c>
      <c r="K89" s="105">
        <v>212</v>
      </c>
      <c r="L89" s="105">
        <v>212</v>
      </c>
      <c r="M89" s="105">
        <v>212</v>
      </c>
      <c r="N89" s="105">
        <v>212</v>
      </c>
      <c r="O89" s="105">
        <v>212</v>
      </c>
      <c r="P89" s="105">
        <v>212</v>
      </c>
      <c r="Q89" s="105">
        <v>220</v>
      </c>
      <c r="R89" s="105">
        <v>220</v>
      </c>
      <c r="S89" s="105">
        <v>220</v>
      </c>
      <c r="T89" s="105">
        <v>220</v>
      </c>
      <c r="U89" s="587">
        <f t="shared" si="12"/>
        <v>0.59244896860020468</v>
      </c>
      <c r="V89" s="362"/>
    </row>
    <row r="90" spans="1:22" s="438" customFormat="1" ht="20.25" customHeight="1">
      <c r="A90" s="433">
        <v>76</v>
      </c>
      <c r="B90" s="434" t="s">
        <v>511</v>
      </c>
      <c r="C90" s="337" t="s">
        <v>847</v>
      </c>
      <c r="D90" s="435" t="s">
        <v>494</v>
      </c>
      <c r="E90" s="449">
        <v>44</v>
      </c>
      <c r="F90" s="105">
        <v>38</v>
      </c>
      <c r="G90" s="105">
        <v>200</v>
      </c>
      <c r="H90" s="105">
        <v>200</v>
      </c>
      <c r="I90" s="105">
        <v>200</v>
      </c>
      <c r="J90" s="105">
        <v>200</v>
      </c>
      <c r="K90" s="105">
        <v>200</v>
      </c>
      <c r="L90" s="105">
        <v>200</v>
      </c>
      <c r="M90" s="105">
        <v>200</v>
      </c>
      <c r="N90" s="105">
        <v>200</v>
      </c>
      <c r="O90" s="105">
        <v>200</v>
      </c>
      <c r="P90" s="105">
        <v>200</v>
      </c>
      <c r="Q90" s="105">
        <v>150</v>
      </c>
      <c r="R90" s="105">
        <v>150</v>
      </c>
      <c r="S90" s="105">
        <v>150</v>
      </c>
      <c r="T90" s="105">
        <v>150</v>
      </c>
      <c r="U90" s="587">
        <f t="shared" si="12"/>
        <v>0.40394247859104865</v>
      </c>
      <c r="V90" s="362"/>
    </row>
    <row r="91" spans="1:22" ht="20.25" customHeight="1">
      <c r="A91" s="433">
        <v>77</v>
      </c>
      <c r="B91" s="434" t="s">
        <v>520</v>
      </c>
      <c r="C91" s="337" t="s">
        <v>848</v>
      </c>
      <c r="D91" s="435" t="s">
        <v>494</v>
      </c>
      <c r="E91" s="449">
        <v>12</v>
      </c>
      <c r="F91" s="105">
        <v>9.6999999999999993</v>
      </c>
      <c r="G91" s="105">
        <v>94</v>
      </c>
      <c r="H91" s="105">
        <v>94</v>
      </c>
      <c r="I91" s="105">
        <v>94</v>
      </c>
      <c r="J91" s="105">
        <v>94</v>
      </c>
      <c r="K91" s="105">
        <v>94</v>
      </c>
      <c r="L91" s="105">
        <v>94</v>
      </c>
      <c r="M91" s="105">
        <v>94</v>
      </c>
      <c r="N91" s="105">
        <v>94</v>
      </c>
      <c r="O91" s="105">
        <v>94</v>
      </c>
      <c r="P91" s="105">
        <v>94</v>
      </c>
      <c r="Q91" s="105">
        <v>94</v>
      </c>
      <c r="R91" s="105">
        <v>94</v>
      </c>
      <c r="S91" s="105">
        <v>94</v>
      </c>
      <c r="T91" s="105">
        <v>94</v>
      </c>
      <c r="U91" s="587">
        <f t="shared" si="12"/>
        <v>0.25313728658372381</v>
      </c>
      <c r="V91" s="362"/>
    </row>
    <row r="92" spans="1:22" s="438" customFormat="1" ht="20.25" customHeight="1">
      <c r="A92" s="433">
        <v>78</v>
      </c>
      <c r="B92" s="434" t="s">
        <v>849</v>
      </c>
      <c r="C92" s="337" t="s">
        <v>850</v>
      </c>
      <c r="D92" s="435" t="s">
        <v>14</v>
      </c>
      <c r="E92" s="428" t="s">
        <v>138</v>
      </c>
      <c r="F92" s="105" t="s">
        <v>479</v>
      </c>
      <c r="G92" s="105"/>
      <c r="H92" s="105"/>
      <c r="I92" s="105"/>
      <c r="J92" s="105"/>
      <c r="K92" s="105"/>
      <c r="L92" s="105"/>
      <c r="M92" s="105" t="s">
        <v>138</v>
      </c>
      <c r="N92" s="105" t="s">
        <v>138</v>
      </c>
      <c r="O92" s="105" t="s">
        <v>138</v>
      </c>
      <c r="P92" s="429" t="s">
        <v>138</v>
      </c>
      <c r="Q92" s="105">
        <v>250</v>
      </c>
      <c r="R92" s="105">
        <v>250</v>
      </c>
      <c r="S92" s="105">
        <v>250</v>
      </c>
      <c r="T92" s="105">
        <v>250</v>
      </c>
      <c r="U92" s="587">
        <f t="shared" si="12"/>
        <v>0.67323746431841447</v>
      </c>
      <c r="V92" s="362"/>
    </row>
    <row r="93" spans="1:22" s="438" customFormat="1" ht="20.25" customHeight="1">
      <c r="A93" s="433">
        <v>79</v>
      </c>
      <c r="B93" s="434" t="s">
        <v>851</v>
      </c>
      <c r="C93" s="434" t="s">
        <v>881</v>
      </c>
      <c r="D93" s="435" t="s">
        <v>560</v>
      </c>
      <c r="E93" s="428">
        <v>394</v>
      </c>
      <c r="F93" s="105" t="s">
        <v>479</v>
      </c>
      <c r="G93" s="105"/>
      <c r="H93" s="105"/>
      <c r="I93" s="105"/>
      <c r="J93" s="105"/>
      <c r="K93" s="105"/>
      <c r="L93" s="105"/>
      <c r="M93" s="105" t="s">
        <v>138</v>
      </c>
      <c r="N93" s="105" t="s">
        <v>138</v>
      </c>
      <c r="O93" s="105" t="s">
        <v>138</v>
      </c>
      <c r="P93" s="429" t="s">
        <v>138</v>
      </c>
      <c r="Q93" s="429" t="s">
        <v>138</v>
      </c>
      <c r="R93" s="429" t="s">
        <v>138</v>
      </c>
      <c r="S93" s="105">
        <v>394</v>
      </c>
      <c r="T93" s="105">
        <v>396</v>
      </c>
      <c r="U93" s="587">
        <f t="shared" si="12"/>
        <v>1.0664081434803683</v>
      </c>
      <c r="V93" s="362"/>
    </row>
    <row r="94" spans="1:22" s="438" customFormat="1" ht="20.25" customHeight="1">
      <c r="A94" s="433">
        <v>80</v>
      </c>
      <c r="B94" s="434" t="s">
        <v>852</v>
      </c>
      <c r="C94" s="337" t="s">
        <v>853</v>
      </c>
      <c r="D94" s="435" t="s">
        <v>512</v>
      </c>
      <c r="E94" s="449">
        <v>98</v>
      </c>
      <c r="F94" s="105">
        <v>27.4</v>
      </c>
      <c r="G94" s="105">
        <v>204</v>
      </c>
      <c r="H94" s="105">
        <v>322</v>
      </c>
      <c r="I94" s="105">
        <v>322</v>
      </c>
      <c r="J94" s="105">
        <v>322</v>
      </c>
      <c r="K94" s="105">
        <v>322</v>
      </c>
      <c r="L94" s="105">
        <v>322</v>
      </c>
      <c r="M94" s="105">
        <v>322</v>
      </c>
      <c r="N94" s="105">
        <v>322</v>
      </c>
      <c r="O94" s="105">
        <v>322</v>
      </c>
      <c r="P94" s="105">
        <v>322</v>
      </c>
      <c r="Q94" s="105">
        <v>322</v>
      </c>
      <c r="R94" s="105">
        <v>322</v>
      </c>
      <c r="S94" s="105">
        <v>322</v>
      </c>
      <c r="T94" s="105">
        <v>322</v>
      </c>
      <c r="U94" s="587">
        <f t="shared" si="12"/>
        <v>0.86712985404211773</v>
      </c>
      <c r="V94" s="362"/>
    </row>
    <row r="95" spans="1:22" s="437" customFormat="1" ht="20.25" customHeight="1">
      <c r="A95" s="433">
        <v>81</v>
      </c>
      <c r="B95" s="434" t="s">
        <v>513</v>
      </c>
      <c r="C95" s="337" t="s">
        <v>854</v>
      </c>
      <c r="D95" s="454" t="s">
        <v>493</v>
      </c>
      <c r="E95" s="449">
        <v>80</v>
      </c>
      <c r="F95" s="105">
        <v>25.7</v>
      </c>
      <c r="G95" s="105">
        <v>102</v>
      </c>
      <c r="H95" s="105">
        <v>102</v>
      </c>
      <c r="I95" s="105">
        <v>102</v>
      </c>
      <c r="J95" s="105">
        <v>102</v>
      </c>
      <c r="K95" s="105">
        <v>102</v>
      </c>
      <c r="L95" s="105">
        <v>102</v>
      </c>
      <c r="M95" s="105">
        <v>102</v>
      </c>
      <c r="N95" s="105">
        <v>102</v>
      </c>
      <c r="O95" s="105">
        <v>102</v>
      </c>
      <c r="P95" s="105">
        <v>102</v>
      </c>
      <c r="Q95" s="105">
        <v>98</v>
      </c>
      <c r="R95" s="105">
        <v>98</v>
      </c>
      <c r="S95" s="105">
        <v>98</v>
      </c>
      <c r="T95" s="105">
        <v>98</v>
      </c>
      <c r="U95" s="587">
        <f t="shared" si="12"/>
        <v>0.26390908601281848</v>
      </c>
      <c r="V95" s="362"/>
    </row>
    <row r="96" spans="1:22" s="438" customFormat="1" ht="20.25" customHeight="1">
      <c r="A96" s="433">
        <v>82</v>
      </c>
      <c r="B96" s="434" t="s">
        <v>1067</v>
      </c>
      <c r="C96" s="337" t="s">
        <v>855</v>
      </c>
      <c r="D96" s="455" t="s">
        <v>501</v>
      </c>
      <c r="E96" s="449">
        <v>64</v>
      </c>
      <c r="F96" s="105">
        <v>12</v>
      </c>
      <c r="G96" s="105">
        <v>110</v>
      </c>
      <c r="H96" s="105">
        <v>110</v>
      </c>
      <c r="I96" s="105">
        <v>110</v>
      </c>
      <c r="J96" s="105">
        <v>110</v>
      </c>
      <c r="K96" s="105">
        <v>174</v>
      </c>
      <c r="L96" s="105">
        <v>178</v>
      </c>
      <c r="M96" s="105">
        <v>178</v>
      </c>
      <c r="N96" s="105">
        <v>178</v>
      </c>
      <c r="O96" s="105">
        <v>178</v>
      </c>
      <c r="P96" s="105">
        <v>178</v>
      </c>
      <c r="Q96" s="105">
        <v>196</v>
      </c>
      <c r="R96" s="105">
        <v>196</v>
      </c>
      <c r="S96" s="105">
        <v>196</v>
      </c>
      <c r="T96" s="105">
        <v>222</v>
      </c>
      <c r="U96" s="587">
        <f t="shared" si="12"/>
        <v>0.59783486831475197</v>
      </c>
      <c r="V96" s="362"/>
    </row>
    <row r="97" spans="1:22" s="438" customFormat="1" ht="20.25" customHeight="1">
      <c r="A97" s="433">
        <v>83</v>
      </c>
      <c r="B97" s="434" t="s">
        <v>1068</v>
      </c>
      <c r="C97" s="337" t="s">
        <v>1069</v>
      </c>
      <c r="D97" s="455" t="s">
        <v>1030</v>
      </c>
      <c r="E97" s="449">
        <v>100</v>
      </c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>
        <v>100</v>
      </c>
      <c r="U97" s="587">
        <f t="shared" si="12"/>
        <v>0.26929498572736577</v>
      </c>
      <c r="V97" s="362"/>
    </row>
    <row r="98" spans="1:22" s="438" customFormat="1" ht="20.25" customHeight="1">
      <c r="A98" s="433">
        <v>84</v>
      </c>
      <c r="B98" s="434" t="s">
        <v>514</v>
      </c>
      <c r="C98" s="337" t="s">
        <v>856</v>
      </c>
      <c r="D98" s="454" t="s">
        <v>497</v>
      </c>
      <c r="E98" s="449">
        <v>60</v>
      </c>
      <c r="F98" s="105">
        <v>3.2</v>
      </c>
      <c r="G98" s="105">
        <v>362</v>
      </c>
      <c r="H98" s="105">
        <v>362</v>
      </c>
      <c r="I98" s="105">
        <v>362</v>
      </c>
      <c r="J98" s="105">
        <v>362</v>
      </c>
      <c r="K98" s="105">
        <v>362</v>
      </c>
      <c r="L98" s="105">
        <v>362</v>
      </c>
      <c r="M98" s="105">
        <v>362</v>
      </c>
      <c r="N98" s="105">
        <v>362</v>
      </c>
      <c r="O98" s="105">
        <v>362</v>
      </c>
      <c r="P98" s="105">
        <v>362</v>
      </c>
      <c r="Q98" s="105">
        <v>362</v>
      </c>
      <c r="R98" s="105">
        <v>362</v>
      </c>
      <c r="S98" s="105">
        <v>362</v>
      </c>
      <c r="T98" s="105">
        <v>362</v>
      </c>
      <c r="U98" s="587">
        <f t="shared" si="12"/>
        <v>0.97484784833306404</v>
      </c>
      <c r="V98" s="362"/>
    </row>
    <row r="99" spans="1:22" s="438" customFormat="1" ht="20.25" customHeight="1">
      <c r="A99" s="433">
        <v>85</v>
      </c>
      <c r="B99" s="434" t="s">
        <v>857</v>
      </c>
      <c r="C99" s="337" t="s">
        <v>858</v>
      </c>
      <c r="D99" s="454">
        <v>2018</v>
      </c>
      <c r="E99" s="449">
        <v>362</v>
      </c>
      <c r="F99" s="105" t="s">
        <v>479</v>
      </c>
      <c r="G99" s="105"/>
      <c r="H99" s="105"/>
      <c r="I99" s="105"/>
      <c r="J99" s="105"/>
      <c r="K99" s="105"/>
      <c r="L99" s="105"/>
      <c r="M99" s="429" t="s">
        <v>138</v>
      </c>
      <c r="N99" s="429" t="s">
        <v>138</v>
      </c>
      <c r="O99" s="429" t="s">
        <v>138</v>
      </c>
      <c r="P99" s="429" t="s">
        <v>138</v>
      </c>
      <c r="Q99" s="429" t="s">
        <v>138</v>
      </c>
      <c r="R99" s="105">
        <v>94</v>
      </c>
      <c r="S99" s="105">
        <v>182</v>
      </c>
      <c r="T99" s="105">
        <v>182</v>
      </c>
      <c r="U99" s="587">
        <f t="shared" si="12"/>
        <v>0.49011687402380566</v>
      </c>
      <c r="V99" s="362"/>
    </row>
    <row r="100" spans="1:22" s="438" customFormat="1" ht="20.25" customHeight="1">
      <c r="A100" s="433">
        <v>86</v>
      </c>
      <c r="B100" s="434" t="s">
        <v>859</v>
      </c>
      <c r="C100" s="337" t="s">
        <v>860</v>
      </c>
      <c r="D100" s="454" t="s">
        <v>490</v>
      </c>
      <c r="E100" s="449">
        <v>58</v>
      </c>
      <c r="F100" s="105">
        <v>38.6</v>
      </c>
      <c r="G100" s="105">
        <v>74</v>
      </c>
      <c r="H100" s="105">
        <v>74</v>
      </c>
      <c r="I100" s="105">
        <v>74</v>
      </c>
      <c r="J100" s="105">
        <v>74</v>
      </c>
      <c r="K100" s="105">
        <v>74</v>
      </c>
      <c r="L100" s="105">
        <v>74</v>
      </c>
      <c r="M100" s="105">
        <v>74</v>
      </c>
      <c r="N100" s="105">
        <v>74</v>
      </c>
      <c r="O100" s="105">
        <v>74</v>
      </c>
      <c r="P100" s="105">
        <v>74</v>
      </c>
      <c r="Q100" s="105">
        <v>72</v>
      </c>
      <c r="R100" s="105">
        <v>72</v>
      </c>
      <c r="S100" s="105">
        <v>72</v>
      </c>
      <c r="T100" s="105">
        <v>72</v>
      </c>
      <c r="U100" s="587">
        <f t="shared" si="12"/>
        <v>0.19389238972370335</v>
      </c>
      <c r="V100" s="362"/>
    </row>
    <row r="101" spans="1:22" s="438" customFormat="1" ht="20.25" customHeight="1">
      <c r="A101" s="433">
        <v>87</v>
      </c>
      <c r="B101" s="434" t="s">
        <v>861</v>
      </c>
      <c r="C101" s="337" t="s">
        <v>862</v>
      </c>
      <c r="D101" s="445">
        <v>2016</v>
      </c>
      <c r="E101" s="449">
        <v>164</v>
      </c>
      <c r="F101" s="105">
        <v>8</v>
      </c>
      <c r="G101" s="105" t="s">
        <v>138</v>
      </c>
      <c r="H101" s="105" t="s">
        <v>138</v>
      </c>
      <c r="I101" s="105" t="s">
        <v>138</v>
      </c>
      <c r="J101" s="105" t="s">
        <v>138</v>
      </c>
      <c r="K101" s="105" t="s">
        <v>138</v>
      </c>
      <c r="L101" s="105" t="s">
        <v>138</v>
      </c>
      <c r="M101" s="105" t="s">
        <v>138</v>
      </c>
      <c r="N101" s="105" t="s">
        <v>138</v>
      </c>
      <c r="O101" s="105" t="s">
        <v>138</v>
      </c>
      <c r="P101" s="105">
        <v>164</v>
      </c>
      <c r="Q101" s="105">
        <v>164</v>
      </c>
      <c r="R101" s="105">
        <v>164</v>
      </c>
      <c r="S101" s="105">
        <v>164</v>
      </c>
      <c r="T101" s="105">
        <v>164</v>
      </c>
      <c r="U101" s="587">
        <f t="shared" si="12"/>
        <v>0.44164377659287984</v>
      </c>
      <c r="V101" s="362"/>
    </row>
    <row r="102" spans="1:22" s="438" customFormat="1" ht="20.25" customHeight="1">
      <c r="A102" s="433">
        <v>88</v>
      </c>
      <c r="B102" s="434" t="s">
        <v>515</v>
      </c>
      <c r="C102" s="337" t="s">
        <v>863</v>
      </c>
      <c r="D102" s="454" t="s">
        <v>492</v>
      </c>
      <c r="E102" s="449">
        <v>128</v>
      </c>
      <c r="F102" s="105">
        <v>37</v>
      </c>
      <c r="G102" s="105">
        <v>570</v>
      </c>
      <c r="H102" s="105">
        <v>570</v>
      </c>
      <c r="I102" s="105">
        <v>570</v>
      </c>
      <c r="J102" s="105">
        <v>570</v>
      </c>
      <c r="K102" s="105">
        <v>570</v>
      </c>
      <c r="L102" s="105">
        <v>570</v>
      </c>
      <c r="M102" s="105">
        <v>570</v>
      </c>
      <c r="N102" s="105">
        <v>570</v>
      </c>
      <c r="O102" s="105">
        <v>570</v>
      </c>
      <c r="P102" s="105">
        <v>570</v>
      </c>
      <c r="Q102" s="105">
        <v>572</v>
      </c>
      <c r="R102" s="105">
        <v>572</v>
      </c>
      <c r="S102" s="105">
        <v>572</v>
      </c>
      <c r="T102" s="105">
        <v>572</v>
      </c>
      <c r="U102" s="587">
        <f t="shared" ref="U102:U133" si="13">T102/T$6*100</f>
        <v>1.5403673183605322</v>
      </c>
      <c r="V102" s="362"/>
    </row>
    <row r="103" spans="1:22" s="438" customFormat="1" ht="20.25" customHeight="1">
      <c r="A103" s="433">
        <v>89</v>
      </c>
      <c r="B103" s="434" t="s">
        <v>516</v>
      </c>
      <c r="C103" s="337" t="s">
        <v>864</v>
      </c>
      <c r="D103" s="445">
        <v>1986</v>
      </c>
      <c r="E103" s="449">
        <v>32</v>
      </c>
      <c r="F103" s="105">
        <v>27</v>
      </c>
      <c r="G103" s="105">
        <v>138</v>
      </c>
      <c r="H103" s="105">
        <v>138</v>
      </c>
      <c r="I103" s="105">
        <v>138</v>
      </c>
      <c r="J103" s="105">
        <v>138</v>
      </c>
      <c r="K103" s="105">
        <v>138</v>
      </c>
      <c r="L103" s="105">
        <v>138</v>
      </c>
      <c r="M103" s="105">
        <v>138</v>
      </c>
      <c r="N103" s="105">
        <v>138</v>
      </c>
      <c r="O103" s="105">
        <v>138</v>
      </c>
      <c r="P103" s="105">
        <v>138</v>
      </c>
      <c r="Q103" s="105">
        <v>176</v>
      </c>
      <c r="R103" s="105">
        <v>176</v>
      </c>
      <c r="S103" s="105">
        <v>176</v>
      </c>
      <c r="T103" s="105">
        <v>176</v>
      </c>
      <c r="U103" s="587">
        <f t="shared" si="13"/>
        <v>0.47395917488016376</v>
      </c>
      <c r="V103" s="362"/>
    </row>
    <row r="104" spans="1:22" s="437" customFormat="1" ht="20.25" customHeight="1">
      <c r="A104" s="433">
        <v>90</v>
      </c>
      <c r="B104" s="434" t="s">
        <v>517</v>
      </c>
      <c r="C104" s="337" t="s">
        <v>865</v>
      </c>
      <c r="D104" s="435" t="s">
        <v>493</v>
      </c>
      <c r="E104" s="449">
        <v>20</v>
      </c>
      <c r="F104" s="105">
        <v>46.7</v>
      </c>
      <c r="G104" s="105">
        <v>100</v>
      </c>
      <c r="H104" s="105">
        <v>100</v>
      </c>
      <c r="I104" s="105">
        <v>100</v>
      </c>
      <c r="J104" s="105">
        <v>100</v>
      </c>
      <c r="K104" s="105">
        <v>100</v>
      </c>
      <c r="L104" s="105">
        <v>100</v>
      </c>
      <c r="M104" s="105">
        <v>100</v>
      </c>
      <c r="N104" s="105">
        <v>100</v>
      </c>
      <c r="O104" s="105">
        <v>220</v>
      </c>
      <c r="P104" s="105">
        <v>236</v>
      </c>
      <c r="Q104" s="105">
        <v>236</v>
      </c>
      <c r="R104" s="105">
        <v>236</v>
      </c>
      <c r="S104" s="105">
        <v>236</v>
      </c>
      <c r="T104" s="105">
        <v>236</v>
      </c>
      <c r="U104" s="587">
        <f t="shared" si="13"/>
        <v>0.63553616631658316</v>
      </c>
      <c r="V104" s="362"/>
    </row>
    <row r="105" spans="1:22" s="437" customFormat="1" ht="20.25" customHeight="1">
      <c r="A105" s="433">
        <v>91</v>
      </c>
      <c r="B105" s="434" t="s">
        <v>866</v>
      </c>
      <c r="C105" s="337" t="s">
        <v>867</v>
      </c>
      <c r="D105" s="435" t="s">
        <v>15</v>
      </c>
      <c r="E105" s="449">
        <v>236</v>
      </c>
      <c r="F105" s="105" t="s">
        <v>479</v>
      </c>
      <c r="G105" s="105"/>
      <c r="H105" s="105"/>
      <c r="I105" s="105"/>
      <c r="J105" s="105"/>
      <c r="K105" s="105"/>
      <c r="L105" s="105"/>
      <c r="M105" s="429" t="s">
        <v>138</v>
      </c>
      <c r="N105" s="429" t="s">
        <v>138</v>
      </c>
      <c r="O105" s="429" t="s">
        <v>138</v>
      </c>
      <c r="P105" s="429" t="s">
        <v>138</v>
      </c>
      <c r="Q105" s="429" t="s">
        <v>138</v>
      </c>
      <c r="R105" s="105">
        <v>288</v>
      </c>
      <c r="S105" s="105">
        <v>288</v>
      </c>
      <c r="T105" s="105">
        <v>288</v>
      </c>
      <c r="U105" s="587">
        <f t="shared" si="13"/>
        <v>0.77556955889481338</v>
      </c>
      <c r="V105" s="362"/>
    </row>
    <row r="106" spans="1:22" s="437" customFormat="1" ht="20.25" customHeight="1">
      <c r="A106" s="433">
        <v>92</v>
      </c>
      <c r="B106" s="434" t="s">
        <v>518</v>
      </c>
      <c r="C106" s="337" t="s">
        <v>868</v>
      </c>
      <c r="D106" s="454" t="s">
        <v>493</v>
      </c>
      <c r="E106" s="449">
        <v>36</v>
      </c>
      <c r="F106" s="105">
        <v>51.5</v>
      </c>
      <c r="G106" s="105">
        <v>268</v>
      </c>
      <c r="H106" s="105">
        <v>268</v>
      </c>
      <c r="I106" s="105">
        <v>268</v>
      </c>
      <c r="J106" s="105">
        <v>332</v>
      </c>
      <c r="K106" s="105">
        <v>332</v>
      </c>
      <c r="L106" s="105">
        <v>332</v>
      </c>
      <c r="M106" s="105">
        <v>332</v>
      </c>
      <c r="N106" s="105">
        <v>332</v>
      </c>
      <c r="O106" s="105">
        <v>332</v>
      </c>
      <c r="P106" s="105">
        <v>332</v>
      </c>
      <c r="Q106" s="105">
        <v>416</v>
      </c>
      <c r="R106" s="105">
        <v>456</v>
      </c>
      <c r="S106" s="105">
        <v>602</v>
      </c>
      <c r="T106" s="105">
        <v>602</v>
      </c>
      <c r="U106" s="587">
        <f t="shared" si="13"/>
        <v>1.6211558140787417</v>
      </c>
      <c r="V106" s="362"/>
    </row>
    <row r="107" spans="1:22" s="437" customFormat="1" ht="20.25" customHeight="1">
      <c r="A107" s="433">
        <v>93</v>
      </c>
      <c r="B107" s="434" t="s">
        <v>869</v>
      </c>
      <c r="C107" s="337" t="s">
        <v>870</v>
      </c>
      <c r="D107" s="454" t="s">
        <v>493</v>
      </c>
      <c r="E107" s="449">
        <v>24</v>
      </c>
      <c r="F107" s="105">
        <v>64.400000000000006</v>
      </c>
      <c r="G107" s="105">
        <v>264</v>
      </c>
      <c r="H107" s="105">
        <v>264</v>
      </c>
      <c r="I107" s="105">
        <v>268</v>
      </c>
      <c r="J107" s="105">
        <v>268</v>
      </c>
      <c r="K107" s="105">
        <v>268</v>
      </c>
      <c r="L107" s="105">
        <v>268</v>
      </c>
      <c r="M107" s="105">
        <v>268</v>
      </c>
      <c r="N107" s="105">
        <v>268</v>
      </c>
      <c r="O107" s="105">
        <v>268</v>
      </c>
      <c r="P107" s="105">
        <v>268</v>
      </c>
      <c r="Q107" s="105">
        <v>268</v>
      </c>
      <c r="R107" s="105">
        <v>268</v>
      </c>
      <c r="S107" s="105">
        <v>268</v>
      </c>
      <c r="T107" s="105">
        <v>268</v>
      </c>
      <c r="U107" s="587">
        <f t="shared" si="13"/>
        <v>0.72171056174934023</v>
      </c>
      <c r="V107" s="362"/>
    </row>
    <row r="108" spans="1:22" s="437" customFormat="1" ht="20.25" customHeight="1">
      <c r="A108" s="433">
        <v>94</v>
      </c>
      <c r="B108" s="434" t="s">
        <v>871</v>
      </c>
      <c r="C108" s="337" t="s">
        <v>872</v>
      </c>
      <c r="D108" s="445">
        <v>2016</v>
      </c>
      <c r="E108" s="449">
        <v>198</v>
      </c>
      <c r="F108" s="105">
        <v>36.4</v>
      </c>
      <c r="G108" s="105" t="s">
        <v>138</v>
      </c>
      <c r="H108" s="105" t="s">
        <v>138</v>
      </c>
      <c r="I108" s="105" t="s">
        <v>138</v>
      </c>
      <c r="J108" s="105" t="s">
        <v>138</v>
      </c>
      <c r="K108" s="105" t="s">
        <v>138</v>
      </c>
      <c r="L108" s="105" t="s">
        <v>138</v>
      </c>
      <c r="M108" s="105" t="s">
        <v>138</v>
      </c>
      <c r="N108" s="105" t="s">
        <v>138</v>
      </c>
      <c r="O108" s="105" t="s">
        <v>138</v>
      </c>
      <c r="P108" s="105">
        <v>204</v>
      </c>
      <c r="Q108" s="105">
        <v>204</v>
      </c>
      <c r="R108" s="105">
        <v>204</v>
      </c>
      <c r="S108" s="105">
        <v>204</v>
      </c>
      <c r="T108" s="105">
        <v>204</v>
      </c>
      <c r="U108" s="587">
        <f t="shared" si="13"/>
        <v>0.54936177088382621</v>
      </c>
      <c r="V108" s="362"/>
    </row>
    <row r="109" spans="1:22" s="438" customFormat="1" ht="20.25" customHeight="1">
      <c r="A109" s="433">
        <v>95</v>
      </c>
      <c r="B109" s="434" t="s">
        <v>519</v>
      </c>
      <c r="C109" s="337" t="s">
        <v>873</v>
      </c>
      <c r="D109" s="454" t="s">
        <v>493</v>
      </c>
      <c r="E109" s="449">
        <v>24</v>
      </c>
      <c r="F109" s="105">
        <v>9.6</v>
      </c>
      <c r="G109" s="105">
        <v>520</v>
      </c>
      <c r="H109" s="105">
        <v>568</v>
      </c>
      <c r="I109" s="105">
        <v>568</v>
      </c>
      <c r="J109" s="105">
        <v>568</v>
      </c>
      <c r="K109" s="105">
        <v>568</v>
      </c>
      <c r="L109" s="105">
        <v>568</v>
      </c>
      <c r="M109" s="105">
        <v>568</v>
      </c>
      <c r="N109" s="105">
        <v>568</v>
      </c>
      <c r="O109" s="105">
        <v>568</v>
      </c>
      <c r="P109" s="105">
        <v>568</v>
      </c>
      <c r="Q109" s="105">
        <v>568</v>
      </c>
      <c r="R109" s="105">
        <v>568</v>
      </c>
      <c r="S109" s="105">
        <v>568</v>
      </c>
      <c r="T109" s="105">
        <v>568</v>
      </c>
      <c r="U109" s="587">
        <f t="shared" si="13"/>
        <v>1.5295955189314374</v>
      </c>
      <c r="V109" s="362"/>
    </row>
    <row r="110" spans="1:22" s="438" customFormat="1" ht="20.25" customHeight="1">
      <c r="A110" s="433">
        <v>96</v>
      </c>
      <c r="B110" s="434" t="s">
        <v>874</v>
      </c>
      <c r="C110" s="337" t="s">
        <v>875</v>
      </c>
      <c r="D110" s="454" t="s">
        <v>494</v>
      </c>
      <c r="E110" s="449">
        <v>40</v>
      </c>
      <c r="F110" s="105">
        <v>40.200000000000003</v>
      </c>
      <c r="G110" s="105">
        <v>100</v>
      </c>
      <c r="H110" s="105">
        <v>100</v>
      </c>
      <c r="I110" s="105">
        <v>100</v>
      </c>
      <c r="J110" s="105">
        <v>100</v>
      </c>
      <c r="K110" s="105">
        <v>100</v>
      </c>
      <c r="L110" s="105">
        <v>100</v>
      </c>
      <c r="M110" s="105">
        <v>100</v>
      </c>
      <c r="N110" s="105">
        <v>100</v>
      </c>
      <c r="O110" s="105">
        <v>100</v>
      </c>
      <c r="P110" s="105">
        <v>100</v>
      </c>
      <c r="Q110" s="105">
        <v>100</v>
      </c>
      <c r="R110" s="105">
        <v>100</v>
      </c>
      <c r="S110" s="105">
        <v>100</v>
      </c>
      <c r="T110" s="105">
        <v>100</v>
      </c>
      <c r="U110" s="587">
        <f t="shared" si="13"/>
        <v>0.26929498572736577</v>
      </c>
      <c r="V110" s="362"/>
    </row>
    <row r="111" spans="1:22" s="438" customFormat="1" ht="20.25" customHeight="1">
      <c r="A111" s="433">
        <v>97</v>
      </c>
      <c r="B111" s="434" t="s">
        <v>876</v>
      </c>
      <c r="C111" s="337" t="s">
        <v>881</v>
      </c>
      <c r="D111" s="454">
        <v>2019</v>
      </c>
      <c r="E111" s="449">
        <v>340</v>
      </c>
      <c r="F111" s="105" t="s">
        <v>479</v>
      </c>
      <c r="G111" s="105"/>
      <c r="H111" s="105"/>
      <c r="I111" s="105"/>
      <c r="J111" s="105"/>
      <c r="K111" s="105"/>
      <c r="L111" s="105"/>
      <c r="M111" s="105" t="s">
        <v>138</v>
      </c>
      <c r="N111" s="105" t="s">
        <v>138</v>
      </c>
      <c r="O111" s="105" t="s">
        <v>138</v>
      </c>
      <c r="P111" s="429" t="s">
        <v>138</v>
      </c>
      <c r="Q111" s="429" t="s">
        <v>138</v>
      </c>
      <c r="R111" s="429" t="s">
        <v>138</v>
      </c>
      <c r="S111" s="105">
        <v>340</v>
      </c>
      <c r="T111" s="105">
        <v>340</v>
      </c>
      <c r="U111" s="587">
        <f t="shared" si="13"/>
        <v>0.91560295147304349</v>
      </c>
      <c r="V111" s="362"/>
    </row>
    <row r="112" spans="1:22" s="438" customFormat="1" ht="20.25" customHeight="1">
      <c r="A112" s="433">
        <v>98</v>
      </c>
      <c r="B112" s="434" t="s">
        <v>877</v>
      </c>
      <c r="C112" s="337" t="s">
        <v>878</v>
      </c>
      <c r="D112" s="435">
        <v>1973</v>
      </c>
      <c r="E112" s="449">
        <v>112</v>
      </c>
      <c r="F112" s="105">
        <v>5.6</v>
      </c>
      <c r="G112" s="105">
        <v>312</v>
      </c>
      <c r="H112" s="105">
        <v>312</v>
      </c>
      <c r="I112" s="105">
        <v>312</v>
      </c>
      <c r="J112" s="105">
        <v>312</v>
      </c>
      <c r="K112" s="105">
        <v>312</v>
      </c>
      <c r="L112" s="105">
        <v>312</v>
      </c>
      <c r="M112" s="105">
        <v>312</v>
      </c>
      <c r="N112" s="105">
        <v>312</v>
      </c>
      <c r="O112" s="105">
        <v>312</v>
      </c>
      <c r="P112" s="105">
        <v>312</v>
      </c>
      <c r="Q112" s="105">
        <v>352</v>
      </c>
      <c r="R112" s="105">
        <v>352</v>
      </c>
      <c r="S112" s="105">
        <v>352</v>
      </c>
      <c r="T112" s="105">
        <v>352</v>
      </c>
      <c r="U112" s="587">
        <f t="shared" si="13"/>
        <v>0.94791834976032752</v>
      </c>
      <c r="V112" s="362"/>
    </row>
    <row r="113" spans="1:23" ht="20.25" customHeight="1">
      <c r="A113" s="433">
        <v>99</v>
      </c>
      <c r="B113" s="434" t="s">
        <v>521</v>
      </c>
      <c r="C113" s="337" t="s">
        <v>879</v>
      </c>
      <c r="D113" s="445">
        <v>1983</v>
      </c>
      <c r="E113" s="449">
        <v>58</v>
      </c>
      <c r="F113" s="105">
        <v>35</v>
      </c>
      <c r="G113" s="105">
        <v>216</v>
      </c>
      <c r="H113" s="105">
        <v>216</v>
      </c>
      <c r="I113" s="105">
        <v>216</v>
      </c>
      <c r="J113" s="105">
        <v>216</v>
      </c>
      <c r="K113" s="105">
        <v>230</v>
      </c>
      <c r="L113" s="105">
        <v>230</v>
      </c>
      <c r="M113" s="105">
        <v>230</v>
      </c>
      <c r="N113" s="105">
        <v>230</v>
      </c>
      <c r="O113" s="105">
        <v>230</v>
      </c>
      <c r="P113" s="105">
        <v>230</v>
      </c>
      <c r="Q113" s="105">
        <v>314</v>
      </c>
      <c r="R113" s="105">
        <v>314</v>
      </c>
      <c r="S113" s="105">
        <v>314</v>
      </c>
      <c r="T113" s="105">
        <v>314</v>
      </c>
      <c r="U113" s="587">
        <f t="shared" si="13"/>
        <v>0.84558625518392838</v>
      </c>
      <c r="V113" s="362"/>
    </row>
    <row r="114" spans="1:23" s="438" customFormat="1" ht="20.25" customHeight="1">
      <c r="A114" s="433">
        <v>100</v>
      </c>
      <c r="B114" s="434" t="s">
        <v>522</v>
      </c>
      <c r="C114" s="337" t="s">
        <v>880</v>
      </c>
      <c r="D114" s="445">
        <v>1983</v>
      </c>
      <c r="E114" s="449">
        <v>20</v>
      </c>
      <c r="F114" s="105">
        <v>12.9</v>
      </c>
      <c r="G114" s="105">
        <v>128</v>
      </c>
      <c r="H114" s="105">
        <v>128</v>
      </c>
      <c r="I114" s="105">
        <v>128</v>
      </c>
      <c r="J114" s="105">
        <v>128</v>
      </c>
      <c r="K114" s="105">
        <v>128</v>
      </c>
      <c r="L114" s="105">
        <v>128</v>
      </c>
      <c r="M114" s="105">
        <v>128</v>
      </c>
      <c r="N114" s="105">
        <v>128</v>
      </c>
      <c r="O114" s="105">
        <v>128</v>
      </c>
      <c r="P114" s="105">
        <v>128</v>
      </c>
      <c r="Q114" s="105">
        <v>134</v>
      </c>
      <c r="R114" s="105">
        <v>134</v>
      </c>
      <c r="S114" s="105">
        <v>134</v>
      </c>
      <c r="T114" s="105">
        <v>134</v>
      </c>
      <c r="U114" s="587">
        <f t="shared" si="13"/>
        <v>0.36085528087467011</v>
      </c>
      <c r="V114" s="362"/>
    </row>
    <row r="115" spans="1:23" ht="20.25" customHeight="1">
      <c r="A115" s="433">
        <v>101</v>
      </c>
      <c r="B115" s="434" t="s">
        <v>763</v>
      </c>
      <c r="C115" s="337" t="s">
        <v>881</v>
      </c>
      <c r="D115" s="445">
        <v>2019</v>
      </c>
      <c r="E115" s="449">
        <v>60</v>
      </c>
      <c r="F115" s="105" t="s">
        <v>479</v>
      </c>
      <c r="G115" s="105"/>
      <c r="H115" s="105"/>
      <c r="I115" s="105"/>
      <c r="J115" s="105"/>
      <c r="K115" s="105"/>
      <c r="L115" s="105"/>
      <c r="M115" s="105" t="s">
        <v>138</v>
      </c>
      <c r="N115" s="105" t="s">
        <v>138</v>
      </c>
      <c r="O115" s="105" t="s">
        <v>138</v>
      </c>
      <c r="P115" s="429" t="s">
        <v>138</v>
      </c>
      <c r="Q115" s="429" t="s">
        <v>138</v>
      </c>
      <c r="R115" s="429" t="s">
        <v>138</v>
      </c>
      <c r="S115" s="105">
        <v>60</v>
      </c>
      <c r="T115" s="105">
        <v>60</v>
      </c>
      <c r="U115" s="587">
        <f t="shared" si="13"/>
        <v>0.16157699143641946</v>
      </c>
      <c r="V115" s="362"/>
    </row>
    <row r="116" spans="1:23" s="438" customFormat="1" ht="20.25" customHeight="1">
      <c r="A116" s="433">
        <v>102</v>
      </c>
      <c r="B116" s="434" t="s">
        <v>523</v>
      </c>
      <c r="C116" s="337" t="s">
        <v>882</v>
      </c>
      <c r="D116" s="454" t="s">
        <v>494</v>
      </c>
      <c r="E116" s="449">
        <v>44</v>
      </c>
      <c r="F116" s="105">
        <v>11</v>
      </c>
      <c r="G116" s="105">
        <v>138</v>
      </c>
      <c r="H116" s="105">
        <v>138</v>
      </c>
      <c r="I116" s="105">
        <v>172</v>
      </c>
      <c r="J116" s="105">
        <v>172</v>
      </c>
      <c r="K116" s="105">
        <v>172</v>
      </c>
      <c r="L116" s="105">
        <v>172</v>
      </c>
      <c r="M116" s="105">
        <v>172</v>
      </c>
      <c r="N116" s="105">
        <v>172</v>
      </c>
      <c r="O116" s="105">
        <v>172</v>
      </c>
      <c r="P116" s="105">
        <v>168</v>
      </c>
      <c r="Q116" s="105">
        <v>168</v>
      </c>
      <c r="R116" s="105">
        <v>168</v>
      </c>
      <c r="S116" s="105">
        <v>168</v>
      </c>
      <c r="T116" s="105">
        <v>174</v>
      </c>
      <c r="U116" s="587">
        <f t="shared" si="13"/>
        <v>0.46857327516561642</v>
      </c>
      <c r="V116" s="362"/>
    </row>
    <row r="117" spans="1:23" s="438" customFormat="1" ht="20.25" customHeight="1">
      <c r="A117" s="433">
        <v>103</v>
      </c>
      <c r="B117" s="434" t="s">
        <v>1071</v>
      </c>
      <c r="C117" s="337" t="s">
        <v>883</v>
      </c>
      <c r="D117" s="454">
        <v>2019</v>
      </c>
      <c r="E117" s="449">
        <v>232</v>
      </c>
      <c r="F117" s="105" t="s">
        <v>479</v>
      </c>
      <c r="G117" s="105"/>
      <c r="H117" s="105"/>
      <c r="I117" s="105"/>
      <c r="J117" s="105"/>
      <c r="K117" s="105"/>
      <c r="L117" s="105"/>
      <c r="M117" s="105" t="s">
        <v>138</v>
      </c>
      <c r="N117" s="105" t="s">
        <v>138</v>
      </c>
      <c r="O117" s="105" t="s">
        <v>138</v>
      </c>
      <c r="P117" s="429" t="s">
        <v>138</v>
      </c>
      <c r="Q117" s="429" t="s">
        <v>138</v>
      </c>
      <c r="R117" s="429" t="s">
        <v>138</v>
      </c>
      <c r="S117" s="105">
        <v>232</v>
      </c>
      <c r="T117" s="105">
        <v>244</v>
      </c>
      <c r="U117" s="587">
        <f t="shared" si="13"/>
        <v>0.6570797651747724</v>
      </c>
      <c r="V117" s="362"/>
    </row>
    <row r="118" spans="1:23" s="438" customFormat="1" ht="20.25" customHeight="1">
      <c r="A118" s="433">
        <v>104</v>
      </c>
      <c r="B118" s="434" t="s">
        <v>884</v>
      </c>
      <c r="C118" s="337" t="s">
        <v>885</v>
      </c>
      <c r="D118" s="454" t="s">
        <v>524</v>
      </c>
      <c r="E118" s="449">
        <v>90</v>
      </c>
      <c r="F118" s="105">
        <v>11.3</v>
      </c>
      <c r="G118" s="105">
        <v>258</v>
      </c>
      <c r="H118" s="105">
        <v>258</v>
      </c>
      <c r="I118" s="105">
        <v>258</v>
      </c>
      <c r="J118" s="105">
        <v>258</v>
      </c>
      <c r="K118" s="105">
        <v>258</v>
      </c>
      <c r="L118" s="105">
        <v>258</v>
      </c>
      <c r="M118" s="105">
        <v>258</v>
      </c>
      <c r="N118" s="105">
        <v>258</v>
      </c>
      <c r="O118" s="105">
        <v>258</v>
      </c>
      <c r="P118" s="105">
        <v>258</v>
      </c>
      <c r="Q118" s="105">
        <v>258</v>
      </c>
      <c r="R118" s="105">
        <v>258</v>
      </c>
      <c r="S118" s="105">
        <v>258</v>
      </c>
      <c r="T118" s="105">
        <v>258</v>
      </c>
      <c r="U118" s="587">
        <f t="shared" si="13"/>
        <v>0.69478106317660371</v>
      </c>
      <c r="V118" s="362"/>
    </row>
    <row r="119" spans="1:23" s="438" customFormat="1" ht="20.25" customHeight="1">
      <c r="A119" s="433">
        <v>105</v>
      </c>
      <c r="B119" s="434" t="s">
        <v>525</v>
      </c>
      <c r="C119" s="337" t="s">
        <v>886</v>
      </c>
      <c r="D119" s="454">
        <v>1982</v>
      </c>
      <c r="E119" s="449">
        <v>68</v>
      </c>
      <c r="F119" s="105">
        <v>32.200000000000003</v>
      </c>
      <c r="G119" s="105">
        <v>132</v>
      </c>
      <c r="H119" s="105">
        <v>132</v>
      </c>
      <c r="I119" s="105">
        <v>124</v>
      </c>
      <c r="J119" s="105">
        <v>124</v>
      </c>
      <c r="K119" s="105">
        <v>124</v>
      </c>
      <c r="L119" s="105">
        <v>124</v>
      </c>
      <c r="M119" s="105">
        <v>128</v>
      </c>
      <c r="N119" s="105">
        <v>128</v>
      </c>
      <c r="O119" s="105">
        <v>128</v>
      </c>
      <c r="P119" s="429">
        <v>128</v>
      </c>
      <c r="Q119" s="429">
        <v>128</v>
      </c>
      <c r="R119" s="429">
        <v>128</v>
      </c>
      <c r="S119" s="105">
        <v>128</v>
      </c>
      <c r="T119" s="105">
        <v>128</v>
      </c>
      <c r="U119" s="587">
        <f t="shared" si="13"/>
        <v>0.34469758173102816</v>
      </c>
      <c r="V119" s="362"/>
    </row>
    <row r="120" spans="1:23" ht="20.25" customHeight="1">
      <c r="A120" s="439">
        <v>106</v>
      </c>
      <c r="B120" s="440" t="s">
        <v>765</v>
      </c>
      <c r="C120" s="611" t="s">
        <v>887</v>
      </c>
      <c r="D120" s="446">
        <v>2019</v>
      </c>
      <c r="E120" s="442">
        <v>272</v>
      </c>
      <c r="F120" s="442" t="s">
        <v>479</v>
      </c>
      <c r="G120" s="442"/>
      <c r="H120" s="442"/>
      <c r="I120" s="442"/>
      <c r="J120" s="442"/>
      <c r="K120" s="442"/>
      <c r="L120" s="442"/>
      <c r="M120" s="443" t="s">
        <v>138</v>
      </c>
      <c r="N120" s="443" t="s">
        <v>138</v>
      </c>
      <c r="O120" s="443" t="s">
        <v>138</v>
      </c>
      <c r="P120" s="599" t="s">
        <v>138</v>
      </c>
      <c r="Q120" s="599" t="s">
        <v>138</v>
      </c>
      <c r="R120" s="599" t="s">
        <v>138</v>
      </c>
      <c r="S120" s="442">
        <v>272</v>
      </c>
      <c r="T120" s="442">
        <v>272</v>
      </c>
      <c r="U120" s="596">
        <f t="shared" si="13"/>
        <v>0.73248236117843479</v>
      </c>
      <c r="V120" s="362"/>
    </row>
    <row r="121" spans="1:23" s="438" customFormat="1" ht="20.25" customHeight="1">
      <c r="A121" s="460"/>
      <c r="B121" s="427" t="s">
        <v>295</v>
      </c>
      <c r="C121" s="610"/>
      <c r="D121" s="428" t="s">
        <v>138</v>
      </c>
      <c r="E121" s="428" t="s">
        <v>138</v>
      </c>
      <c r="F121" s="428" t="s">
        <v>138</v>
      </c>
      <c r="G121" s="428">
        <f t="shared" ref="G121:N121" si="14">SUM(G122:G134)</f>
        <v>1858</v>
      </c>
      <c r="H121" s="428">
        <f t="shared" si="14"/>
        <v>1928</v>
      </c>
      <c r="I121" s="428">
        <f t="shared" si="14"/>
        <v>1988</v>
      </c>
      <c r="J121" s="428">
        <f t="shared" si="14"/>
        <v>1988</v>
      </c>
      <c r="K121" s="428">
        <f t="shared" si="14"/>
        <v>1988</v>
      </c>
      <c r="L121" s="428">
        <f t="shared" si="14"/>
        <v>1988</v>
      </c>
      <c r="M121" s="428">
        <f t="shared" si="14"/>
        <v>2156</v>
      </c>
      <c r="N121" s="428">
        <f t="shared" si="14"/>
        <v>2216</v>
      </c>
      <c r="O121" s="428">
        <f t="shared" ref="O121:T121" si="15">SUM(O122:O134)</f>
        <v>2244</v>
      </c>
      <c r="P121" s="428">
        <f t="shared" si="15"/>
        <v>2454</v>
      </c>
      <c r="Q121" s="428">
        <f t="shared" si="15"/>
        <v>2488</v>
      </c>
      <c r="R121" s="428">
        <f t="shared" si="15"/>
        <v>2488</v>
      </c>
      <c r="S121" s="428">
        <f t="shared" si="15"/>
        <v>2538</v>
      </c>
      <c r="T121" s="428">
        <f t="shared" si="15"/>
        <v>2224</v>
      </c>
      <c r="U121" s="594">
        <f t="shared" si="13"/>
        <v>5.9891204825766149</v>
      </c>
      <c r="V121" s="362"/>
      <c r="W121" s="413"/>
    </row>
    <row r="122" spans="1:23" s="438" customFormat="1" ht="20.25" customHeight="1">
      <c r="A122" s="433">
        <v>107</v>
      </c>
      <c r="B122" s="434" t="s">
        <v>888</v>
      </c>
      <c r="C122" s="337" t="s">
        <v>889</v>
      </c>
      <c r="D122" s="455" t="s">
        <v>490</v>
      </c>
      <c r="E122" s="449">
        <v>20</v>
      </c>
      <c r="F122" s="105">
        <v>48.3</v>
      </c>
      <c r="G122" s="105">
        <v>90</v>
      </c>
      <c r="H122" s="105">
        <v>90</v>
      </c>
      <c r="I122" s="105">
        <v>90</v>
      </c>
      <c r="J122" s="105">
        <v>90</v>
      </c>
      <c r="K122" s="105">
        <v>90</v>
      </c>
      <c r="L122" s="105">
        <v>90</v>
      </c>
      <c r="M122" s="105">
        <v>90</v>
      </c>
      <c r="N122" s="105">
        <v>90</v>
      </c>
      <c r="O122" s="105">
        <v>90</v>
      </c>
      <c r="P122" s="105">
        <v>90</v>
      </c>
      <c r="Q122" s="105">
        <v>90</v>
      </c>
      <c r="R122" s="105">
        <v>90</v>
      </c>
      <c r="S122" s="105">
        <v>140</v>
      </c>
      <c r="T122" s="105">
        <v>140</v>
      </c>
      <c r="U122" s="587">
        <f t="shared" si="13"/>
        <v>0.37701298001831202</v>
      </c>
      <c r="V122" s="362"/>
    </row>
    <row r="123" spans="1:23" s="438" customFormat="1" ht="20.25" customHeight="1">
      <c r="A123" s="433">
        <v>108</v>
      </c>
      <c r="B123" s="434" t="s">
        <v>526</v>
      </c>
      <c r="C123" s="337" t="s">
        <v>890</v>
      </c>
      <c r="D123" s="435" t="s">
        <v>501</v>
      </c>
      <c r="E123" s="449">
        <v>30</v>
      </c>
      <c r="F123" s="105">
        <v>36</v>
      </c>
      <c r="G123" s="105">
        <v>112</v>
      </c>
      <c r="H123" s="105">
        <v>112</v>
      </c>
      <c r="I123" s="105">
        <v>172</v>
      </c>
      <c r="J123" s="105">
        <v>172</v>
      </c>
      <c r="K123" s="105">
        <v>172</v>
      </c>
      <c r="L123" s="105">
        <v>172</v>
      </c>
      <c r="M123" s="105">
        <v>172</v>
      </c>
      <c r="N123" s="105">
        <v>172</v>
      </c>
      <c r="O123" s="105">
        <v>172</v>
      </c>
      <c r="P123" s="105">
        <v>172</v>
      </c>
      <c r="Q123" s="105">
        <v>172</v>
      </c>
      <c r="R123" s="105">
        <v>172</v>
      </c>
      <c r="S123" s="105">
        <v>172</v>
      </c>
      <c r="T123" s="105">
        <v>172</v>
      </c>
      <c r="U123" s="587">
        <f t="shared" si="13"/>
        <v>0.46318737545106908</v>
      </c>
      <c r="V123" s="362"/>
    </row>
    <row r="124" spans="1:23" s="437" customFormat="1" ht="20.25" customHeight="1">
      <c r="A124" s="433">
        <v>109</v>
      </c>
      <c r="B124" s="434" t="s">
        <v>527</v>
      </c>
      <c r="C124" s="337" t="s">
        <v>891</v>
      </c>
      <c r="D124" s="455" t="s">
        <v>512</v>
      </c>
      <c r="E124" s="449">
        <v>32</v>
      </c>
      <c r="F124" s="105">
        <v>54</v>
      </c>
      <c r="G124" s="105">
        <v>176</v>
      </c>
      <c r="H124" s="105">
        <v>224</v>
      </c>
      <c r="I124" s="105">
        <v>224</v>
      </c>
      <c r="J124" s="105">
        <v>224</v>
      </c>
      <c r="K124" s="105">
        <v>224</v>
      </c>
      <c r="L124" s="105">
        <v>224</v>
      </c>
      <c r="M124" s="105">
        <v>224</v>
      </c>
      <c r="N124" s="105">
        <v>224</v>
      </c>
      <c r="O124" s="105">
        <v>224</v>
      </c>
      <c r="P124" s="105">
        <v>224</v>
      </c>
      <c r="Q124" s="105">
        <v>224</v>
      </c>
      <c r="R124" s="105">
        <v>224</v>
      </c>
      <c r="S124" s="105">
        <v>224</v>
      </c>
      <c r="T124" s="105">
        <v>224</v>
      </c>
      <c r="U124" s="587">
        <f t="shared" si="13"/>
        <v>0.60322076802929936</v>
      </c>
      <c r="V124" s="362"/>
    </row>
    <row r="125" spans="1:23" s="438" customFormat="1" ht="20.25" customHeight="1">
      <c r="A125" s="433">
        <v>110</v>
      </c>
      <c r="B125" s="434" t="s">
        <v>528</v>
      </c>
      <c r="C125" s="337" t="s">
        <v>892</v>
      </c>
      <c r="D125" s="435" t="s">
        <v>529</v>
      </c>
      <c r="E125" s="449">
        <v>50</v>
      </c>
      <c r="F125" s="105">
        <v>77.2</v>
      </c>
      <c r="G125" s="105">
        <v>50</v>
      </c>
      <c r="H125" s="105">
        <v>72</v>
      </c>
      <c r="I125" s="105">
        <v>72</v>
      </c>
      <c r="J125" s="105">
        <v>72</v>
      </c>
      <c r="K125" s="105">
        <v>72</v>
      </c>
      <c r="L125" s="105">
        <v>72</v>
      </c>
      <c r="M125" s="105">
        <v>72</v>
      </c>
      <c r="N125" s="105">
        <v>72</v>
      </c>
      <c r="O125" s="105">
        <v>72</v>
      </c>
      <c r="P125" s="105">
        <v>72</v>
      </c>
      <c r="Q125" s="105">
        <v>72</v>
      </c>
      <c r="R125" s="105">
        <v>72</v>
      </c>
      <c r="S125" s="105">
        <v>72</v>
      </c>
      <c r="T125" s="105">
        <v>72</v>
      </c>
      <c r="U125" s="587">
        <f t="shared" si="13"/>
        <v>0.19389238972370335</v>
      </c>
      <c r="V125" s="362"/>
    </row>
    <row r="126" spans="1:23" s="438" customFormat="1" ht="20.25" customHeight="1">
      <c r="A126" s="433">
        <v>111</v>
      </c>
      <c r="B126" s="434" t="s">
        <v>530</v>
      </c>
      <c r="C126" s="337" t="s">
        <v>893</v>
      </c>
      <c r="D126" s="435" t="s">
        <v>11</v>
      </c>
      <c r="E126" s="449">
        <v>60</v>
      </c>
      <c r="F126" s="105">
        <v>74.599999999999994</v>
      </c>
      <c r="G126" s="105" t="s">
        <v>138</v>
      </c>
      <c r="H126" s="105" t="s">
        <v>138</v>
      </c>
      <c r="I126" s="105" t="s">
        <v>138</v>
      </c>
      <c r="J126" s="105" t="s">
        <v>138</v>
      </c>
      <c r="K126" s="105" t="s">
        <v>138</v>
      </c>
      <c r="L126" s="105" t="s">
        <v>138</v>
      </c>
      <c r="M126" s="105" t="s">
        <v>138</v>
      </c>
      <c r="N126" s="105">
        <v>60</v>
      </c>
      <c r="O126" s="105">
        <v>60</v>
      </c>
      <c r="P126" s="105">
        <v>60</v>
      </c>
      <c r="Q126" s="105">
        <v>60</v>
      </c>
      <c r="R126" s="105">
        <v>60</v>
      </c>
      <c r="S126" s="105">
        <v>60</v>
      </c>
      <c r="T126" s="105">
        <v>60</v>
      </c>
      <c r="U126" s="587">
        <f t="shared" si="13"/>
        <v>0.16157699143641946</v>
      </c>
      <c r="V126" s="362"/>
    </row>
    <row r="127" spans="1:23" s="438" customFormat="1" ht="20.25" customHeight="1">
      <c r="A127" s="433">
        <v>112</v>
      </c>
      <c r="B127" s="434" t="s">
        <v>531</v>
      </c>
      <c r="C127" s="337" t="s">
        <v>894</v>
      </c>
      <c r="D127" s="454" t="s">
        <v>499</v>
      </c>
      <c r="E127" s="449">
        <v>48</v>
      </c>
      <c r="F127" s="105">
        <v>56.3</v>
      </c>
      <c r="G127" s="105">
        <v>580</v>
      </c>
      <c r="H127" s="105">
        <v>580</v>
      </c>
      <c r="I127" s="105">
        <v>580</v>
      </c>
      <c r="J127" s="105">
        <v>580</v>
      </c>
      <c r="K127" s="105">
        <v>580</v>
      </c>
      <c r="L127" s="105">
        <v>580</v>
      </c>
      <c r="M127" s="105">
        <v>580</v>
      </c>
      <c r="N127" s="105">
        <v>580</v>
      </c>
      <c r="O127" s="105">
        <v>580</v>
      </c>
      <c r="P127" s="105">
        <v>790</v>
      </c>
      <c r="Q127" s="105">
        <v>790</v>
      </c>
      <c r="R127" s="105">
        <v>790</v>
      </c>
      <c r="S127" s="105">
        <v>790</v>
      </c>
      <c r="T127" s="105">
        <v>790</v>
      </c>
      <c r="U127" s="587">
        <f t="shared" si="13"/>
        <v>2.1274303872461897</v>
      </c>
      <c r="V127" s="362"/>
    </row>
    <row r="128" spans="1:23" ht="20.25" customHeight="1">
      <c r="A128" s="433">
        <v>113</v>
      </c>
      <c r="B128" s="434" t="s">
        <v>532</v>
      </c>
      <c r="C128" s="337" t="s">
        <v>895</v>
      </c>
      <c r="D128" s="454" t="s">
        <v>490</v>
      </c>
      <c r="E128" s="449">
        <v>48</v>
      </c>
      <c r="F128" s="105">
        <v>63</v>
      </c>
      <c r="G128" s="105">
        <v>150</v>
      </c>
      <c r="H128" s="105">
        <v>150</v>
      </c>
      <c r="I128" s="105">
        <v>150</v>
      </c>
      <c r="J128" s="105">
        <v>150</v>
      </c>
      <c r="K128" s="105">
        <v>150</v>
      </c>
      <c r="L128" s="105">
        <v>150</v>
      </c>
      <c r="M128" s="105">
        <v>150</v>
      </c>
      <c r="N128" s="105">
        <v>150</v>
      </c>
      <c r="O128" s="105">
        <v>150</v>
      </c>
      <c r="P128" s="105">
        <v>150</v>
      </c>
      <c r="Q128" s="105">
        <v>150</v>
      </c>
      <c r="R128" s="105">
        <v>150</v>
      </c>
      <c r="S128" s="105">
        <v>150</v>
      </c>
      <c r="T128" s="105">
        <v>150</v>
      </c>
      <c r="U128" s="587">
        <f t="shared" si="13"/>
        <v>0.40394247859104865</v>
      </c>
      <c r="V128" s="362"/>
    </row>
    <row r="129" spans="1:24" ht="20.25" customHeight="1">
      <c r="A129" s="433">
        <v>114</v>
      </c>
      <c r="B129" s="434" t="s">
        <v>533</v>
      </c>
      <c r="C129" s="337" t="s">
        <v>896</v>
      </c>
      <c r="D129" s="454" t="s">
        <v>534</v>
      </c>
      <c r="E129" s="449">
        <v>70</v>
      </c>
      <c r="F129" s="105">
        <v>77.2</v>
      </c>
      <c r="G129" s="105">
        <v>112</v>
      </c>
      <c r="H129" s="105">
        <v>112</v>
      </c>
      <c r="I129" s="105">
        <v>112</v>
      </c>
      <c r="J129" s="105">
        <v>112</v>
      </c>
      <c r="K129" s="105">
        <v>112</v>
      </c>
      <c r="L129" s="105">
        <v>112</v>
      </c>
      <c r="M129" s="105">
        <v>112</v>
      </c>
      <c r="N129" s="105">
        <v>112</v>
      </c>
      <c r="O129" s="105">
        <v>112</v>
      </c>
      <c r="P129" s="105">
        <v>112</v>
      </c>
      <c r="Q129" s="105">
        <v>112</v>
      </c>
      <c r="R129" s="105">
        <v>112</v>
      </c>
      <c r="S129" s="105">
        <v>112</v>
      </c>
      <c r="T129" s="105">
        <v>0</v>
      </c>
      <c r="U129" s="587">
        <f t="shared" si="13"/>
        <v>0</v>
      </c>
      <c r="V129" s="362"/>
    </row>
    <row r="130" spans="1:24" ht="20.25" customHeight="1">
      <c r="A130" s="433">
        <v>115</v>
      </c>
      <c r="B130" s="434" t="s">
        <v>535</v>
      </c>
      <c r="C130" s="337" t="s">
        <v>897</v>
      </c>
      <c r="D130" s="454" t="s">
        <v>490</v>
      </c>
      <c r="E130" s="449">
        <v>30</v>
      </c>
      <c r="F130" s="105">
        <v>69.2</v>
      </c>
      <c r="G130" s="105">
        <v>76</v>
      </c>
      <c r="H130" s="105">
        <v>76</v>
      </c>
      <c r="I130" s="105">
        <v>76</v>
      </c>
      <c r="J130" s="105">
        <v>76</v>
      </c>
      <c r="K130" s="105">
        <v>76</v>
      </c>
      <c r="L130" s="105">
        <v>76</v>
      </c>
      <c r="M130" s="105">
        <v>76</v>
      </c>
      <c r="N130" s="105">
        <v>76</v>
      </c>
      <c r="O130" s="105">
        <v>104</v>
      </c>
      <c r="P130" s="105">
        <v>104</v>
      </c>
      <c r="Q130" s="105">
        <v>104</v>
      </c>
      <c r="R130" s="105">
        <v>104</v>
      </c>
      <c r="S130" s="105">
        <v>104</v>
      </c>
      <c r="T130" s="105">
        <v>104</v>
      </c>
      <c r="U130" s="587">
        <f t="shared" si="13"/>
        <v>0.28006678515646038</v>
      </c>
      <c r="V130" s="362"/>
    </row>
    <row r="131" spans="1:24" ht="20.25" customHeight="1">
      <c r="A131" s="433">
        <v>116</v>
      </c>
      <c r="B131" s="434" t="s">
        <v>898</v>
      </c>
      <c r="C131" s="337" t="s">
        <v>899</v>
      </c>
      <c r="D131" s="435">
        <v>2014</v>
      </c>
      <c r="E131" s="449">
        <v>168</v>
      </c>
      <c r="F131" s="105">
        <v>60</v>
      </c>
      <c r="G131" s="105" t="s">
        <v>138</v>
      </c>
      <c r="H131" s="105" t="s">
        <v>138</v>
      </c>
      <c r="I131" s="105" t="s">
        <v>138</v>
      </c>
      <c r="J131" s="105" t="s">
        <v>138</v>
      </c>
      <c r="K131" s="105" t="s">
        <v>138</v>
      </c>
      <c r="L131" s="105" t="s">
        <v>138</v>
      </c>
      <c r="M131" s="105">
        <v>168</v>
      </c>
      <c r="N131" s="105">
        <v>168</v>
      </c>
      <c r="O131" s="105">
        <v>168</v>
      </c>
      <c r="P131" s="105">
        <v>168</v>
      </c>
      <c r="Q131" s="105">
        <v>168</v>
      </c>
      <c r="R131" s="105">
        <v>168</v>
      </c>
      <c r="S131" s="105">
        <v>168</v>
      </c>
      <c r="T131" s="105">
        <v>168</v>
      </c>
      <c r="U131" s="587">
        <f t="shared" si="13"/>
        <v>0.45241557602197452</v>
      </c>
      <c r="V131" s="362"/>
    </row>
    <row r="132" spans="1:24" s="438" customFormat="1" ht="20.25" customHeight="1">
      <c r="A132" s="433">
        <v>117</v>
      </c>
      <c r="B132" s="434" t="s">
        <v>900</v>
      </c>
      <c r="C132" s="337" t="s">
        <v>901</v>
      </c>
      <c r="D132" s="445">
        <v>1989</v>
      </c>
      <c r="E132" s="449">
        <v>22</v>
      </c>
      <c r="F132" s="105">
        <v>80.5</v>
      </c>
      <c r="G132" s="105">
        <v>200</v>
      </c>
      <c r="H132" s="105">
        <v>200</v>
      </c>
      <c r="I132" s="105">
        <v>200</v>
      </c>
      <c r="J132" s="105">
        <v>200</v>
      </c>
      <c r="K132" s="105">
        <v>200</v>
      </c>
      <c r="L132" s="105">
        <v>200</v>
      </c>
      <c r="M132" s="105">
        <v>200</v>
      </c>
      <c r="N132" s="105">
        <v>200</v>
      </c>
      <c r="O132" s="105">
        <v>200</v>
      </c>
      <c r="P132" s="105">
        <v>200</v>
      </c>
      <c r="Q132" s="105">
        <v>200</v>
      </c>
      <c r="R132" s="105">
        <v>200</v>
      </c>
      <c r="S132" s="105">
        <v>200</v>
      </c>
      <c r="T132" s="105">
        <v>0</v>
      </c>
      <c r="U132" s="587">
        <f t="shared" si="13"/>
        <v>0</v>
      </c>
      <c r="V132" s="362"/>
    </row>
    <row r="133" spans="1:24" s="437" customFormat="1" ht="20.25" customHeight="1">
      <c r="A133" s="433">
        <v>118</v>
      </c>
      <c r="B133" s="434" t="s">
        <v>536</v>
      </c>
      <c r="C133" s="337" t="s">
        <v>902</v>
      </c>
      <c r="D133" s="454" t="s">
        <v>537</v>
      </c>
      <c r="E133" s="449">
        <v>34</v>
      </c>
      <c r="F133" s="105">
        <v>51</v>
      </c>
      <c r="G133" s="105">
        <v>148</v>
      </c>
      <c r="H133" s="105">
        <v>148</v>
      </c>
      <c r="I133" s="105">
        <v>148</v>
      </c>
      <c r="J133" s="105">
        <v>148</v>
      </c>
      <c r="K133" s="105">
        <v>148</v>
      </c>
      <c r="L133" s="105">
        <v>148</v>
      </c>
      <c r="M133" s="105">
        <v>148</v>
      </c>
      <c r="N133" s="105">
        <v>148</v>
      </c>
      <c r="O133" s="105">
        <v>148</v>
      </c>
      <c r="P133" s="105">
        <v>148</v>
      </c>
      <c r="Q133" s="105">
        <v>182</v>
      </c>
      <c r="R133" s="105">
        <v>182</v>
      </c>
      <c r="S133" s="105">
        <v>182</v>
      </c>
      <c r="T133" s="105">
        <v>182</v>
      </c>
      <c r="U133" s="587">
        <f t="shared" si="13"/>
        <v>0.49011687402380566</v>
      </c>
      <c r="V133" s="362"/>
      <c r="W133" s="362"/>
    </row>
    <row r="134" spans="1:24" s="437" customFormat="1" ht="20.25" customHeight="1">
      <c r="A134" s="439">
        <v>119</v>
      </c>
      <c r="B134" s="440" t="s">
        <v>1072</v>
      </c>
      <c r="C134" s="611" t="s">
        <v>903</v>
      </c>
      <c r="D134" s="441" t="s">
        <v>501</v>
      </c>
      <c r="E134" s="447">
        <v>90</v>
      </c>
      <c r="F134" s="442">
        <v>72.400000000000006</v>
      </c>
      <c r="G134" s="442">
        <v>164</v>
      </c>
      <c r="H134" s="442">
        <v>164</v>
      </c>
      <c r="I134" s="442">
        <v>164</v>
      </c>
      <c r="J134" s="442">
        <v>164</v>
      </c>
      <c r="K134" s="442">
        <v>164</v>
      </c>
      <c r="L134" s="442">
        <v>164</v>
      </c>
      <c r="M134" s="442">
        <v>164</v>
      </c>
      <c r="N134" s="442">
        <v>164</v>
      </c>
      <c r="O134" s="442">
        <v>164</v>
      </c>
      <c r="P134" s="442">
        <v>164</v>
      </c>
      <c r="Q134" s="442">
        <v>164</v>
      </c>
      <c r="R134" s="442">
        <v>164</v>
      </c>
      <c r="S134" s="442">
        <v>164</v>
      </c>
      <c r="T134" s="442">
        <v>162</v>
      </c>
      <c r="U134" s="596">
        <f t="shared" ref="U134:U165" si="16">T134/T$6*100</f>
        <v>0.43625787687833251</v>
      </c>
      <c r="V134" s="362"/>
      <c r="W134" s="362"/>
    </row>
    <row r="135" spans="1:24" s="437" customFormat="1" ht="20.25" customHeight="1">
      <c r="A135" s="433"/>
      <c r="B135" s="427" t="s">
        <v>297</v>
      </c>
      <c r="C135" s="610"/>
      <c r="D135" s="428" t="s">
        <v>138</v>
      </c>
      <c r="E135" s="428" t="s">
        <v>138</v>
      </c>
      <c r="F135" s="428" t="s">
        <v>138</v>
      </c>
      <c r="G135" s="428">
        <f t="shared" ref="G135:M135" si="17">SUM(G136:G153)</f>
        <v>3200</v>
      </c>
      <c r="H135" s="428">
        <f t="shared" si="17"/>
        <v>3312</v>
      </c>
      <c r="I135" s="428">
        <f t="shared" si="17"/>
        <v>3538</v>
      </c>
      <c r="J135" s="428">
        <f t="shared" si="17"/>
        <v>3586</v>
      </c>
      <c r="K135" s="428">
        <f t="shared" si="17"/>
        <v>3818</v>
      </c>
      <c r="L135" s="428">
        <f t="shared" si="17"/>
        <v>3818</v>
      </c>
      <c r="M135" s="428">
        <f t="shared" si="17"/>
        <v>3818</v>
      </c>
      <c r="N135" s="428">
        <f t="shared" ref="N135:T135" si="18">SUM(N136:N153)</f>
        <v>3862</v>
      </c>
      <c r="O135" s="428">
        <f t="shared" si="18"/>
        <v>3982</v>
      </c>
      <c r="P135" s="428">
        <f t="shared" si="18"/>
        <v>3982</v>
      </c>
      <c r="Q135" s="428">
        <f t="shared" si="18"/>
        <v>4036</v>
      </c>
      <c r="R135" s="428">
        <f t="shared" si="18"/>
        <v>4036</v>
      </c>
      <c r="S135" s="428">
        <f t="shared" si="18"/>
        <v>4056</v>
      </c>
      <c r="T135" s="428">
        <f t="shared" si="18"/>
        <v>4350</v>
      </c>
      <c r="U135" s="594">
        <f t="shared" si="16"/>
        <v>11.71433187914041</v>
      </c>
      <c r="V135" s="362"/>
      <c r="W135" s="362"/>
      <c r="X135" s="710"/>
    </row>
    <row r="136" spans="1:24" s="437" customFormat="1" ht="20.25" customHeight="1">
      <c r="A136" s="433">
        <v>120</v>
      </c>
      <c r="B136" s="434" t="s">
        <v>914</v>
      </c>
      <c r="C136" s="337" t="s">
        <v>915</v>
      </c>
      <c r="D136" s="435">
        <v>1991</v>
      </c>
      <c r="E136" s="449">
        <v>50</v>
      </c>
      <c r="F136" s="105">
        <v>88.5</v>
      </c>
      <c r="G136" s="105">
        <v>60</v>
      </c>
      <c r="H136" s="105">
        <v>60</v>
      </c>
      <c r="I136" s="105">
        <v>60</v>
      </c>
      <c r="J136" s="105">
        <v>60</v>
      </c>
      <c r="K136" s="105">
        <v>60</v>
      </c>
      <c r="L136" s="105">
        <v>60</v>
      </c>
      <c r="M136" s="105">
        <v>60</v>
      </c>
      <c r="N136" s="105">
        <v>60</v>
      </c>
      <c r="O136" s="105">
        <v>120</v>
      </c>
      <c r="P136" s="105">
        <v>120</v>
      </c>
      <c r="Q136" s="105">
        <v>102</v>
      </c>
      <c r="R136" s="105">
        <v>102</v>
      </c>
      <c r="S136" s="105">
        <v>102</v>
      </c>
      <c r="T136" s="105">
        <v>102</v>
      </c>
      <c r="U136" s="587">
        <f t="shared" si="16"/>
        <v>0.2746808854419131</v>
      </c>
      <c r="W136" s="362"/>
    </row>
    <row r="137" spans="1:24" s="438" customFormat="1" ht="20.25" customHeight="1">
      <c r="A137" s="433">
        <v>121</v>
      </c>
      <c r="B137" s="434" t="s">
        <v>538</v>
      </c>
      <c r="C137" s="337" t="s">
        <v>904</v>
      </c>
      <c r="D137" s="455" t="s">
        <v>534</v>
      </c>
      <c r="E137" s="449">
        <v>100</v>
      </c>
      <c r="F137" s="105">
        <v>85</v>
      </c>
      <c r="G137" s="105">
        <v>140</v>
      </c>
      <c r="H137" s="105">
        <v>140</v>
      </c>
      <c r="I137" s="105">
        <v>140</v>
      </c>
      <c r="J137" s="105">
        <v>140</v>
      </c>
      <c r="K137" s="105">
        <v>140</v>
      </c>
      <c r="L137" s="105">
        <v>140</v>
      </c>
      <c r="M137" s="105">
        <v>140</v>
      </c>
      <c r="N137" s="105">
        <v>180</v>
      </c>
      <c r="O137" s="105">
        <v>180</v>
      </c>
      <c r="P137" s="105">
        <v>180</v>
      </c>
      <c r="Q137" s="105">
        <v>180</v>
      </c>
      <c r="R137" s="105">
        <v>180</v>
      </c>
      <c r="S137" s="105">
        <v>180</v>
      </c>
      <c r="T137" s="105">
        <v>180</v>
      </c>
      <c r="U137" s="587">
        <f t="shared" si="16"/>
        <v>0.48473097430925832</v>
      </c>
      <c r="W137" s="362"/>
    </row>
    <row r="138" spans="1:24" s="438" customFormat="1" ht="20.25" customHeight="1">
      <c r="A138" s="433">
        <v>122</v>
      </c>
      <c r="B138" s="434" t="s">
        <v>540</v>
      </c>
      <c r="C138" s="337" t="s">
        <v>907</v>
      </c>
      <c r="D138" s="454" t="s">
        <v>541</v>
      </c>
      <c r="E138" s="449">
        <v>96</v>
      </c>
      <c r="F138" s="105">
        <v>95</v>
      </c>
      <c r="G138" s="105">
        <v>128</v>
      </c>
      <c r="H138" s="105">
        <v>128</v>
      </c>
      <c r="I138" s="105">
        <v>224</v>
      </c>
      <c r="J138" s="105">
        <v>224</v>
      </c>
      <c r="K138" s="105">
        <v>224</v>
      </c>
      <c r="L138" s="105">
        <v>224</v>
      </c>
      <c r="M138" s="105">
        <v>224</v>
      </c>
      <c r="N138" s="105">
        <v>224</v>
      </c>
      <c r="O138" s="105">
        <v>224</v>
      </c>
      <c r="P138" s="105">
        <v>224</v>
      </c>
      <c r="Q138" s="105">
        <v>224</v>
      </c>
      <c r="R138" s="105">
        <v>224</v>
      </c>
      <c r="S138" s="105">
        <v>224</v>
      </c>
      <c r="T138" s="105">
        <v>224</v>
      </c>
      <c r="U138" s="587">
        <f t="shared" si="16"/>
        <v>0.60322076802929936</v>
      </c>
      <c r="W138" s="362"/>
    </row>
    <row r="139" spans="1:24" s="438" customFormat="1" ht="20.25" customHeight="1">
      <c r="A139" s="433">
        <v>123</v>
      </c>
      <c r="B139" s="434" t="s">
        <v>908</v>
      </c>
      <c r="C139" s="337" t="s">
        <v>909</v>
      </c>
      <c r="D139" s="445">
        <v>1992</v>
      </c>
      <c r="E139" s="449">
        <v>80</v>
      </c>
      <c r="F139" s="105">
        <v>96.6</v>
      </c>
      <c r="G139" s="105">
        <v>304</v>
      </c>
      <c r="H139" s="105">
        <v>304</v>
      </c>
      <c r="I139" s="105">
        <v>304</v>
      </c>
      <c r="J139" s="105">
        <v>304</v>
      </c>
      <c r="K139" s="105">
        <v>304</v>
      </c>
      <c r="L139" s="105">
        <v>304</v>
      </c>
      <c r="M139" s="105">
        <v>304</v>
      </c>
      <c r="N139" s="105">
        <v>304</v>
      </c>
      <c r="O139" s="105">
        <v>304</v>
      </c>
      <c r="P139" s="105">
        <v>304</v>
      </c>
      <c r="Q139" s="105">
        <v>304</v>
      </c>
      <c r="R139" s="105">
        <v>304</v>
      </c>
      <c r="S139" s="105">
        <v>304</v>
      </c>
      <c r="T139" s="105">
        <v>310</v>
      </c>
      <c r="U139" s="587">
        <f t="shared" si="16"/>
        <v>0.83481445575483393</v>
      </c>
      <c r="W139" s="362"/>
    </row>
    <row r="140" spans="1:24" s="438" customFormat="1" ht="20.25" customHeight="1">
      <c r="A140" s="433">
        <v>124</v>
      </c>
      <c r="B140" s="434" t="s">
        <v>542</v>
      </c>
      <c r="C140" s="337" t="s">
        <v>910</v>
      </c>
      <c r="D140" s="454" t="s">
        <v>539</v>
      </c>
      <c r="E140" s="105">
        <v>84</v>
      </c>
      <c r="F140" s="105">
        <v>80</v>
      </c>
      <c r="G140" s="105">
        <v>124</v>
      </c>
      <c r="H140" s="105">
        <v>124</v>
      </c>
      <c r="I140" s="105">
        <v>124</v>
      </c>
      <c r="J140" s="105">
        <v>124</v>
      </c>
      <c r="K140" s="105">
        <v>220</v>
      </c>
      <c r="L140" s="105">
        <v>220</v>
      </c>
      <c r="M140" s="105">
        <v>220</v>
      </c>
      <c r="N140" s="105">
        <v>220</v>
      </c>
      <c r="O140" s="105">
        <v>220</v>
      </c>
      <c r="P140" s="105">
        <v>220</v>
      </c>
      <c r="Q140" s="105">
        <v>220</v>
      </c>
      <c r="R140" s="105">
        <v>220</v>
      </c>
      <c r="S140" s="105">
        <v>220</v>
      </c>
      <c r="T140" s="105">
        <v>220</v>
      </c>
      <c r="U140" s="587">
        <f t="shared" si="16"/>
        <v>0.59244896860020468</v>
      </c>
      <c r="W140" s="362"/>
    </row>
    <row r="141" spans="1:24" s="438" customFormat="1" ht="20.25" customHeight="1">
      <c r="A141" s="433">
        <v>125</v>
      </c>
      <c r="B141" s="434" t="s">
        <v>905</v>
      </c>
      <c r="C141" s="337" t="s">
        <v>906</v>
      </c>
      <c r="D141" s="455" t="s">
        <v>539</v>
      </c>
      <c r="E141" s="449">
        <v>79</v>
      </c>
      <c r="F141" s="105">
        <v>90</v>
      </c>
      <c r="G141" s="105">
        <v>98</v>
      </c>
      <c r="H141" s="105">
        <v>98</v>
      </c>
      <c r="I141" s="105">
        <v>98</v>
      </c>
      <c r="J141" s="105">
        <v>146</v>
      </c>
      <c r="K141" s="105">
        <v>146</v>
      </c>
      <c r="L141" s="105">
        <v>146</v>
      </c>
      <c r="M141" s="105">
        <v>146</v>
      </c>
      <c r="N141" s="105">
        <v>146</v>
      </c>
      <c r="O141" s="105">
        <v>146</v>
      </c>
      <c r="P141" s="105">
        <v>146</v>
      </c>
      <c r="Q141" s="105">
        <v>146</v>
      </c>
      <c r="R141" s="105">
        <v>146</v>
      </c>
      <c r="S141" s="105">
        <v>146</v>
      </c>
      <c r="T141" s="105">
        <v>146</v>
      </c>
      <c r="U141" s="587">
        <f t="shared" si="16"/>
        <v>0.39317067916195397</v>
      </c>
      <c r="W141" s="362"/>
    </row>
    <row r="142" spans="1:24" s="438" customFormat="1" ht="20.25" customHeight="1">
      <c r="A142" s="433">
        <v>126</v>
      </c>
      <c r="B142" s="434" t="s">
        <v>924</v>
      </c>
      <c r="C142" s="337" t="s">
        <v>925</v>
      </c>
      <c r="D142" s="454" t="s">
        <v>539</v>
      </c>
      <c r="E142" s="105">
        <v>74</v>
      </c>
      <c r="F142" s="105">
        <v>80.5</v>
      </c>
      <c r="G142" s="105">
        <v>94</v>
      </c>
      <c r="H142" s="105">
        <v>94</v>
      </c>
      <c r="I142" s="105">
        <v>94</v>
      </c>
      <c r="J142" s="105">
        <v>94</v>
      </c>
      <c r="K142" s="105">
        <v>144</v>
      </c>
      <c r="L142" s="105">
        <v>144</v>
      </c>
      <c r="M142" s="105">
        <v>144</v>
      </c>
      <c r="N142" s="105">
        <v>144</v>
      </c>
      <c r="O142" s="105">
        <v>144</v>
      </c>
      <c r="P142" s="105">
        <v>144</v>
      </c>
      <c r="Q142" s="105">
        <v>144</v>
      </c>
      <c r="R142" s="105">
        <v>144</v>
      </c>
      <c r="S142" s="105">
        <v>144</v>
      </c>
      <c r="T142" s="105">
        <v>144</v>
      </c>
      <c r="U142" s="587">
        <f t="shared" si="16"/>
        <v>0.38778477944740669</v>
      </c>
      <c r="W142" s="362"/>
    </row>
    <row r="143" spans="1:24" s="438" customFormat="1" ht="20.25" customHeight="1">
      <c r="A143" s="433">
        <v>127</v>
      </c>
      <c r="B143" s="434" t="s">
        <v>911</v>
      </c>
      <c r="C143" s="337" t="s">
        <v>912</v>
      </c>
      <c r="D143" s="445">
        <v>2015</v>
      </c>
      <c r="E143" s="449">
        <v>60</v>
      </c>
      <c r="F143" s="105">
        <v>90</v>
      </c>
      <c r="G143" s="105" t="s">
        <v>138</v>
      </c>
      <c r="H143" s="105" t="s">
        <v>138</v>
      </c>
      <c r="I143" s="105" t="s">
        <v>138</v>
      </c>
      <c r="J143" s="105" t="s">
        <v>138</v>
      </c>
      <c r="K143" s="105" t="s">
        <v>138</v>
      </c>
      <c r="L143" s="105" t="s">
        <v>138</v>
      </c>
      <c r="M143" s="105" t="s">
        <v>138</v>
      </c>
      <c r="N143" s="105" t="s">
        <v>138</v>
      </c>
      <c r="O143" s="105">
        <v>60</v>
      </c>
      <c r="P143" s="105">
        <v>60</v>
      </c>
      <c r="Q143" s="105">
        <v>60</v>
      </c>
      <c r="R143" s="105">
        <v>60</v>
      </c>
      <c r="S143" s="105">
        <v>60</v>
      </c>
      <c r="T143" s="105">
        <v>60</v>
      </c>
      <c r="U143" s="587">
        <f t="shared" si="16"/>
        <v>0.16157699143641946</v>
      </c>
      <c r="W143" s="362"/>
    </row>
    <row r="144" spans="1:24" s="438" customFormat="1" ht="20.25" customHeight="1">
      <c r="A144" s="433">
        <v>128</v>
      </c>
      <c r="B144" s="434" t="s">
        <v>543</v>
      </c>
      <c r="C144" s="337" t="s">
        <v>913</v>
      </c>
      <c r="D144" s="435">
        <v>1994</v>
      </c>
      <c r="E144" s="449">
        <v>284</v>
      </c>
      <c r="F144" s="105">
        <v>93</v>
      </c>
      <c r="G144" s="105">
        <v>284</v>
      </c>
      <c r="H144" s="105">
        <v>284</v>
      </c>
      <c r="I144" s="105">
        <v>284</v>
      </c>
      <c r="J144" s="105">
        <v>284</v>
      </c>
      <c r="K144" s="105">
        <v>284</v>
      </c>
      <c r="L144" s="105">
        <v>284</v>
      </c>
      <c r="M144" s="105">
        <v>284</v>
      </c>
      <c r="N144" s="105">
        <v>284</v>
      </c>
      <c r="O144" s="105">
        <v>284</v>
      </c>
      <c r="P144" s="105">
        <v>284</v>
      </c>
      <c r="Q144" s="105">
        <v>284</v>
      </c>
      <c r="R144" s="105">
        <v>284</v>
      </c>
      <c r="S144" s="105">
        <v>284</v>
      </c>
      <c r="T144" s="105">
        <v>284</v>
      </c>
      <c r="U144" s="587">
        <f t="shared" si="16"/>
        <v>0.76479775946571871</v>
      </c>
      <c r="W144" s="362"/>
    </row>
    <row r="145" spans="1:23" ht="20.25" customHeight="1">
      <c r="A145" s="433">
        <v>129</v>
      </c>
      <c r="B145" s="434" t="s">
        <v>544</v>
      </c>
      <c r="C145" s="337" t="s">
        <v>916</v>
      </c>
      <c r="D145" s="445">
        <v>1994</v>
      </c>
      <c r="E145" s="449">
        <v>168</v>
      </c>
      <c r="F145" s="105">
        <v>85</v>
      </c>
      <c r="G145" s="105">
        <v>170</v>
      </c>
      <c r="H145" s="105">
        <v>170</v>
      </c>
      <c r="I145" s="105">
        <v>250</v>
      </c>
      <c r="J145" s="105">
        <v>250</v>
      </c>
      <c r="K145" s="105">
        <v>250</v>
      </c>
      <c r="L145" s="105">
        <v>250</v>
      </c>
      <c r="M145" s="105">
        <v>250</v>
      </c>
      <c r="N145" s="105">
        <v>250</v>
      </c>
      <c r="O145" s="105">
        <v>250</v>
      </c>
      <c r="P145" s="105">
        <v>250</v>
      </c>
      <c r="Q145" s="105">
        <v>250</v>
      </c>
      <c r="R145" s="105">
        <v>250</v>
      </c>
      <c r="S145" s="105">
        <v>250</v>
      </c>
      <c r="T145" s="105">
        <v>250</v>
      </c>
      <c r="U145" s="587">
        <f t="shared" si="16"/>
        <v>0.67323746431841447</v>
      </c>
      <c r="W145" s="362"/>
    </row>
    <row r="146" spans="1:23" ht="20.25" customHeight="1">
      <c r="A146" s="433">
        <v>130</v>
      </c>
      <c r="B146" s="434" t="s">
        <v>917</v>
      </c>
      <c r="C146" s="337" t="s">
        <v>918</v>
      </c>
      <c r="D146" s="455">
        <v>1988</v>
      </c>
      <c r="E146" s="449">
        <v>180</v>
      </c>
      <c r="F146" s="105">
        <v>104</v>
      </c>
      <c r="G146" s="105">
        <v>282</v>
      </c>
      <c r="H146" s="105">
        <v>394</v>
      </c>
      <c r="I146" s="105">
        <v>394</v>
      </c>
      <c r="J146" s="105">
        <v>394</v>
      </c>
      <c r="K146" s="105">
        <v>394</v>
      </c>
      <c r="L146" s="105">
        <v>394</v>
      </c>
      <c r="M146" s="105">
        <v>394</v>
      </c>
      <c r="N146" s="105">
        <v>394</v>
      </c>
      <c r="O146" s="105">
        <v>394</v>
      </c>
      <c r="P146" s="105">
        <v>394</v>
      </c>
      <c r="Q146" s="105">
        <v>394</v>
      </c>
      <c r="R146" s="105">
        <v>394</v>
      </c>
      <c r="S146" s="105">
        <v>394</v>
      </c>
      <c r="T146" s="105">
        <v>394</v>
      </c>
      <c r="U146" s="587">
        <f t="shared" si="16"/>
        <v>1.061022243765821</v>
      </c>
      <c r="W146" s="362"/>
    </row>
    <row r="147" spans="1:23" ht="20.25" customHeight="1">
      <c r="A147" s="433">
        <v>131</v>
      </c>
      <c r="B147" s="434" t="s">
        <v>1075</v>
      </c>
      <c r="C147" s="337" t="s">
        <v>926</v>
      </c>
      <c r="D147" s="454" t="s">
        <v>546</v>
      </c>
      <c r="E147" s="105">
        <v>60</v>
      </c>
      <c r="F147" s="105">
        <v>54.7</v>
      </c>
      <c r="G147" s="105">
        <v>98</v>
      </c>
      <c r="H147" s="105">
        <v>98</v>
      </c>
      <c r="I147" s="105">
        <v>98</v>
      </c>
      <c r="J147" s="105">
        <v>98</v>
      </c>
      <c r="K147" s="105">
        <v>98</v>
      </c>
      <c r="L147" s="105">
        <v>98</v>
      </c>
      <c r="M147" s="105">
        <v>98</v>
      </c>
      <c r="N147" s="105">
        <v>98</v>
      </c>
      <c r="O147" s="105">
        <v>98</v>
      </c>
      <c r="P147" s="105">
        <v>98</v>
      </c>
      <c r="Q147" s="105">
        <v>98</v>
      </c>
      <c r="R147" s="105">
        <v>98</v>
      </c>
      <c r="S147" s="105">
        <v>98</v>
      </c>
      <c r="T147" s="105">
        <v>178</v>
      </c>
      <c r="U147" s="587">
        <f t="shared" si="16"/>
        <v>0.4793450745947111</v>
      </c>
      <c r="W147" s="362"/>
    </row>
    <row r="148" spans="1:23" ht="20.25" customHeight="1">
      <c r="A148" s="433">
        <v>132</v>
      </c>
      <c r="B148" s="434" t="s">
        <v>545</v>
      </c>
      <c r="C148" s="337" t="s">
        <v>919</v>
      </c>
      <c r="D148" s="454" t="s">
        <v>534</v>
      </c>
      <c r="E148" s="449">
        <v>36</v>
      </c>
      <c r="F148" s="105">
        <v>112.6</v>
      </c>
      <c r="G148" s="105">
        <v>72</v>
      </c>
      <c r="H148" s="105">
        <v>72</v>
      </c>
      <c r="I148" s="105">
        <v>72</v>
      </c>
      <c r="J148" s="105">
        <v>72</v>
      </c>
      <c r="K148" s="105">
        <v>72</v>
      </c>
      <c r="L148" s="105">
        <v>72</v>
      </c>
      <c r="M148" s="105">
        <v>72</v>
      </c>
      <c r="N148" s="105">
        <v>76</v>
      </c>
      <c r="O148" s="105">
        <v>76</v>
      </c>
      <c r="P148" s="105">
        <v>76</v>
      </c>
      <c r="Q148" s="105">
        <v>76</v>
      </c>
      <c r="R148" s="105">
        <v>76</v>
      </c>
      <c r="S148" s="105">
        <v>76</v>
      </c>
      <c r="T148" s="105">
        <v>76</v>
      </c>
      <c r="U148" s="587">
        <f t="shared" si="16"/>
        <v>0.20466418915279797</v>
      </c>
      <c r="W148" s="362"/>
    </row>
    <row r="149" spans="1:23" ht="20.25" customHeight="1">
      <c r="A149" s="433">
        <v>133</v>
      </c>
      <c r="B149" s="434" t="s">
        <v>1073</v>
      </c>
      <c r="C149" s="337" t="s">
        <v>1074</v>
      </c>
      <c r="D149" s="445">
        <v>2020</v>
      </c>
      <c r="E149" s="449">
        <v>232</v>
      </c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>
        <v>320</v>
      </c>
      <c r="U149" s="587">
        <f t="shared" si="16"/>
        <v>0.86174395432757045</v>
      </c>
      <c r="W149" s="362"/>
    </row>
    <row r="150" spans="1:23" ht="20.25" customHeight="1">
      <c r="A150" s="433">
        <v>134</v>
      </c>
      <c r="B150" s="434" t="s">
        <v>920</v>
      </c>
      <c r="C150" s="337" t="s">
        <v>921</v>
      </c>
      <c r="D150" s="445">
        <v>1991</v>
      </c>
      <c r="E150" s="449">
        <v>112</v>
      </c>
      <c r="F150" s="105">
        <v>77</v>
      </c>
      <c r="G150" s="105">
        <v>112</v>
      </c>
      <c r="H150" s="105">
        <v>112</v>
      </c>
      <c r="I150" s="105">
        <v>112</v>
      </c>
      <c r="J150" s="105">
        <v>112</v>
      </c>
      <c r="K150" s="105">
        <v>112</v>
      </c>
      <c r="L150" s="105">
        <v>112</v>
      </c>
      <c r="M150" s="105">
        <v>112</v>
      </c>
      <c r="N150" s="105">
        <v>112</v>
      </c>
      <c r="O150" s="105">
        <v>112</v>
      </c>
      <c r="P150" s="105">
        <v>112</v>
      </c>
      <c r="Q150" s="105">
        <v>112</v>
      </c>
      <c r="R150" s="105">
        <v>112</v>
      </c>
      <c r="S150" s="105">
        <v>112</v>
      </c>
      <c r="T150" s="105">
        <v>0</v>
      </c>
      <c r="U150" s="587">
        <f t="shared" si="16"/>
        <v>0</v>
      </c>
      <c r="W150" s="362"/>
    </row>
    <row r="151" spans="1:23" s="438" customFormat="1" ht="20.25" customHeight="1">
      <c r="A151" s="433">
        <v>135</v>
      </c>
      <c r="B151" s="434" t="s">
        <v>922</v>
      </c>
      <c r="C151" s="337" t="s">
        <v>923</v>
      </c>
      <c r="D151" s="445">
        <v>1998</v>
      </c>
      <c r="E151" s="105">
        <v>700</v>
      </c>
      <c r="F151" s="105">
        <v>99.8</v>
      </c>
      <c r="G151" s="105">
        <v>852</v>
      </c>
      <c r="H151" s="105">
        <v>852</v>
      </c>
      <c r="I151" s="105">
        <v>852</v>
      </c>
      <c r="J151" s="105">
        <v>852</v>
      </c>
      <c r="K151" s="105">
        <v>852</v>
      </c>
      <c r="L151" s="105">
        <v>852</v>
      </c>
      <c r="M151" s="105">
        <v>852</v>
      </c>
      <c r="N151" s="105">
        <v>852</v>
      </c>
      <c r="O151" s="105">
        <v>852</v>
      </c>
      <c r="P151" s="105">
        <v>852</v>
      </c>
      <c r="Q151" s="105">
        <v>924</v>
      </c>
      <c r="R151" s="105">
        <v>924</v>
      </c>
      <c r="S151" s="105">
        <v>924</v>
      </c>
      <c r="T151" s="105">
        <v>924</v>
      </c>
      <c r="U151" s="587">
        <f t="shared" si="16"/>
        <v>2.4882856681208594</v>
      </c>
      <c r="W151" s="362"/>
    </row>
    <row r="152" spans="1:23" s="438" customFormat="1" ht="20.25" customHeight="1">
      <c r="A152" s="433">
        <v>136</v>
      </c>
      <c r="B152" s="434" t="s">
        <v>547</v>
      </c>
      <c r="C152" s="337" t="s">
        <v>927</v>
      </c>
      <c r="D152" s="445">
        <v>1994</v>
      </c>
      <c r="E152" s="105">
        <v>100</v>
      </c>
      <c r="F152" s="105">
        <v>90</v>
      </c>
      <c r="G152" s="105">
        <v>100</v>
      </c>
      <c r="H152" s="105">
        <v>100</v>
      </c>
      <c r="I152" s="105">
        <v>150</v>
      </c>
      <c r="J152" s="105">
        <v>150</v>
      </c>
      <c r="K152" s="105">
        <v>150</v>
      </c>
      <c r="L152" s="105">
        <v>150</v>
      </c>
      <c r="M152" s="105">
        <v>150</v>
      </c>
      <c r="N152" s="105">
        <v>150</v>
      </c>
      <c r="O152" s="105">
        <v>150</v>
      </c>
      <c r="P152" s="105">
        <v>150</v>
      </c>
      <c r="Q152" s="105">
        <v>150</v>
      </c>
      <c r="R152" s="105">
        <v>150</v>
      </c>
      <c r="S152" s="105">
        <v>150</v>
      </c>
      <c r="T152" s="105">
        <v>150</v>
      </c>
      <c r="U152" s="587">
        <f t="shared" si="16"/>
        <v>0.40394247859104865</v>
      </c>
    </row>
    <row r="153" spans="1:23" ht="20.25" customHeight="1">
      <c r="A153" s="439">
        <v>137</v>
      </c>
      <c r="B153" s="440" t="s">
        <v>548</v>
      </c>
      <c r="C153" s="611" t="s">
        <v>928</v>
      </c>
      <c r="D153" s="446">
        <v>1994</v>
      </c>
      <c r="E153" s="442">
        <v>200</v>
      </c>
      <c r="F153" s="442">
        <v>48.3</v>
      </c>
      <c r="G153" s="442">
        <v>282</v>
      </c>
      <c r="H153" s="442">
        <v>282</v>
      </c>
      <c r="I153" s="442">
        <v>282</v>
      </c>
      <c r="J153" s="442">
        <v>282</v>
      </c>
      <c r="K153" s="442">
        <v>368</v>
      </c>
      <c r="L153" s="442">
        <v>368</v>
      </c>
      <c r="M153" s="442">
        <v>368</v>
      </c>
      <c r="N153" s="442">
        <v>368</v>
      </c>
      <c r="O153" s="442">
        <v>368</v>
      </c>
      <c r="P153" s="442">
        <v>368</v>
      </c>
      <c r="Q153" s="442">
        <v>368</v>
      </c>
      <c r="R153" s="442">
        <v>368</v>
      </c>
      <c r="S153" s="442">
        <v>388</v>
      </c>
      <c r="T153" s="442">
        <v>388</v>
      </c>
      <c r="U153" s="596">
        <f t="shared" si="16"/>
        <v>1.0448645446221791</v>
      </c>
    </row>
    <row r="154" spans="1:23" s="438" customFormat="1" ht="20.25" customHeight="1">
      <c r="A154" s="433"/>
      <c r="B154" s="427" t="s">
        <v>299</v>
      </c>
      <c r="C154" s="610"/>
      <c r="D154" s="428" t="s">
        <v>138</v>
      </c>
      <c r="E154" s="428" t="s">
        <v>138</v>
      </c>
      <c r="F154" s="428" t="s">
        <v>138</v>
      </c>
      <c r="G154" s="429">
        <f t="shared" ref="G154:O154" si="19">SUM(G155:G157)</f>
        <v>350</v>
      </c>
      <c r="H154" s="429">
        <f t="shared" si="19"/>
        <v>350</v>
      </c>
      <c r="I154" s="429">
        <f t="shared" si="19"/>
        <v>350</v>
      </c>
      <c r="J154" s="429">
        <f t="shared" si="19"/>
        <v>350</v>
      </c>
      <c r="K154" s="429">
        <f t="shared" si="19"/>
        <v>350</v>
      </c>
      <c r="L154" s="429">
        <f t="shared" si="19"/>
        <v>402</v>
      </c>
      <c r="M154" s="429">
        <f t="shared" si="19"/>
        <v>402</v>
      </c>
      <c r="N154" s="429">
        <f t="shared" si="19"/>
        <v>402</v>
      </c>
      <c r="O154" s="429">
        <f t="shared" si="19"/>
        <v>402</v>
      </c>
      <c r="P154" s="429">
        <f>SUM(P155:P157)</f>
        <v>434</v>
      </c>
      <c r="Q154" s="429">
        <f>SUM(Q155:Q157)</f>
        <v>434</v>
      </c>
      <c r="R154" s="429">
        <f>SUM(R155:R157)</f>
        <v>434</v>
      </c>
      <c r="S154" s="429">
        <f>SUM(S155:S157)</f>
        <v>614</v>
      </c>
      <c r="T154" s="429">
        <f>SUM(T155:T157)</f>
        <v>614</v>
      </c>
      <c r="U154" s="586">
        <f t="shared" si="16"/>
        <v>1.653471212366026</v>
      </c>
    </row>
    <row r="155" spans="1:23" ht="20.25" customHeight="1">
      <c r="A155" s="433">
        <v>138</v>
      </c>
      <c r="B155" s="434" t="s">
        <v>549</v>
      </c>
      <c r="C155" s="337" t="s">
        <v>929</v>
      </c>
      <c r="D155" s="455" t="s">
        <v>550</v>
      </c>
      <c r="E155" s="105">
        <v>20</v>
      </c>
      <c r="F155" s="105">
        <v>48</v>
      </c>
      <c r="G155" s="105">
        <v>260</v>
      </c>
      <c r="H155" s="105">
        <v>260</v>
      </c>
      <c r="I155" s="105">
        <v>260</v>
      </c>
      <c r="J155" s="105">
        <v>260</v>
      </c>
      <c r="K155" s="105">
        <v>260</v>
      </c>
      <c r="L155" s="105">
        <v>312</v>
      </c>
      <c r="M155" s="105">
        <v>312</v>
      </c>
      <c r="N155" s="105">
        <v>312</v>
      </c>
      <c r="O155" s="105">
        <v>312</v>
      </c>
      <c r="P155" s="105">
        <v>312</v>
      </c>
      <c r="Q155" s="105">
        <v>312</v>
      </c>
      <c r="R155" s="105">
        <v>312</v>
      </c>
      <c r="S155" s="105">
        <v>312</v>
      </c>
      <c r="T155" s="105">
        <v>312</v>
      </c>
      <c r="U155" s="587">
        <f t="shared" si="16"/>
        <v>0.84020035546938121</v>
      </c>
      <c r="V155" s="362"/>
    </row>
    <row r="156" spans="1:23" ht="20.25" customHeight="1">
      <c r="A156" s="433">
        <v>139</v>
      </c>
      <c r="B156" s="434" t="s">
        <v>930</v>
      </c>
      <c r="C156" s="337" t="s">
        <v>931</v>
      </c>
      <c r="D156" s="455" t="s">
        <v>560</v>
      </c>
      <c r="E156" s="105">
        <v>180</v>
      </c>
      <c r="F156" s="105" t="s">
        <v>479</v>
      </c>
      <c r="G156" s="105" t="s">
        <v>138</v>
      </c>
      <c r="H156" s="105" t="s">
        <v>138</v>
      </c>
      <c r="I156" s="105" t="s">
        <v>138</v>
      </c>
      <c r="J156" s="105" t="s">
        <v>138</v>
      </c>
      <c r="K156" s="105" t="s">
        <v>138</v>
      </c>
      <c r="L156" s="105" t="s">
        <v>138</v>
      </c>
      <c r="M156" s="105" t="s">
        <v>138</v>
      </c>
      <c r="N156" s="105" t="s">
        <v>138</v>
      </c>
      <c r="O156" s="105" t="s">
        <v>138</v>
      </c>
      <c r="P156" s="105" t="s">
        <v>138</v>
      </c>
      <c r="Q156" s="105" t="s">
        <v>138</v>
      </c>
      <c r="R156" s="105" t="s">
        <v>138</v>
      </c>
      <c r="S156" s="105">
        <v>180</v>
      </c>
      <c r="T156" s="105">
        <v>180</v>
      </c>
      <c r="U156" s="587">
        <f t="shared" si="16"/>
        <v>0.48473097430925832</v>
      </c>
      <c r="V156" s="362"/>
    </row>
    <row r="157" spans="1:23" s="438" customFormat="1" ht="20.25" customHeight="1">
      <c r="A157" s="439">
        <v>140</v>
      </c>
      <c r="B157" s="440" t="s">
        <v>551</v>
      </c>
      <c r="C157" s="611" t="s">
        <v>932</v>
      </c>
      <c r="D157" s="463" t="s">
        <v>501</v>
      </c>
      <c r="E157" s="442">
        <v>50</v>
      </c>
      <c r="F157" s="442">
        <v>32</v>
      </c>
      <c r="G157" s="442">
        <v>90</v>
      </c>
      <c r="H157" s="442">
        <v>90</v>
      </c>
      <c r="I157" s="442">
        <v>90</v>
      </c>
      <c r="J157" s="442">
        <v>90</v>
      </c>
      <c r="K157" s="442">
        <v>90</v>
      </c>
      <c r="L157" s="442">
        <v>90</v>
      </c>
      <c r="M157" s="442">
        <v>90</v>
      </c>
      <c r="N157" s="442">
        <v>90</v>
      </c>
      <c r="O157" s="442">
        <v>90</v>
      </c>
      <c r="P157" s="442">
        <v>122</v>
      </c>
      <c r="Q157" s="442">
        <v>122</v>
      </c>
      <c r="R157" s="442">
        <v>122</v>
      </c>
      <c r="S157" s="442">
        <v>122</v>
      </c>
      <c r="T157" s="442">
        <v>122</v>
      </c>
      <c r="U157" s="596">
        <f t="shared" si="16"/>
        <v>0.3285398825873862</v>
      </c>
      <c r="V157" s="362"/>
    </row>
    <row r="158" spans="1:23" s="438" customFormat="1" ht="20.25" customHeight="1">
      <c r="A158" s="433"/>
      <c r="B158" s="432" t="s">
        <v>301</v>
      </c>
      <c r="C158" s="608"/>
      <c r="D158" s="428" t="s">
        <v>138</v>
      </c>
      <c r="E158" s="428" t="s">
        <v>138</v>
      </c>
      <c r="F158" s="428" t="s">
        <v>138</v>
      </c>
      <c r="G158" s="429">
        <f t="shared" ref="G158:S158" si="20">SUM(G159:G160)</f>
        <v>400</v>
      </c>
      <c r="H158" s="429">
        <f t="shared" si="20"/>
        <v>400</v>
      </c>
      <c r="I158" s="429">
        <f t="shared" si="20"/>
        <v>400</v>
      </c>
      <c r="J158" s="429">
        <f t="shared" si="20"/>
        <v>400</v>
      </c>
      <c r="K158" s="429">
        <f t="shared" si="20"/>
        <v>400</v>
      </c>
      <c r="L158" s="429">
        <f t="shared" si="20"/>
        <v>400</v>
      </c>
      <c r="M158" s="429">
        <f t="shared" si="20"/>
        <v>400</v>
      </c>
      <c r="N158" s="429">
        <f t="shared" si="20"/>
        <v>400</v>
      </c>
      <c r="O158" s="429">
        <f t="shared" si="20"/>
        <v>400</v>
      </c>
      <c r="P158" s="429">
        <f t="shared" si="20"/>
        <v>400</v>
      </c>
      <c r="Q158" s="429">
        <f t="shared" si="20"/>
        <v>400</v>
      </c>
      <c r="R158" s="429">
        <f t="shared" si="20"/>
        <v>400</v>
      </c>
      <c r="S158" s="429">
        <f t="shared" si="20"/>
        <v>400</v>
      </c>
      <c r="T158" s="429">
        <f>SUM(T159:T160)</f>
        <v>440</v>
      </c>
      <c r="U158" s="586">
        <f t="shared" si="16"/>
        <v>1.1848979372004094</v>
      </c>
      <c r="V158" s="362"/>
    </row>
    <row r="159" spans="1:23" ht="20.25" customHeight="1">
      <c r="A159" s="433">
        <v>141</v>
      </c>
      <c r="B159" s="434" t="s">
        <v>552</v>
      </c>
      <c r="C159" s="337" t="s">
        <v>933</v>
      </c>
      <c r="D159" s="435" t="s">
        <v>486</v>
      </c>
      <c r="E159" s="105">
        <v>72</v>
      </c>
      <c r="F159" s="105">
        <v>128.69999999999999</v>
      </c>
      <c r="G159" s="105">
        <v>160</v>
      </c>
      <c r="H159" s="105">
        <v>160</v>
      </c>
      <c r="I159" s="105">
        <v>160</v>
      </c>
      <c r="J159" s="105">
        <v>160</v>
      </c>
      <c r="K159" s="105">
        <v>160</v>
      </c>
      <c r="L159" s="105">
        <v>160</v>
      </c>
      <c r="M159" s="105">
        <v>160</v>
      </c>
      <c r="N159" s="105">
        <v>160</v>
      </c>
      <c r="O159" s="105">
        <v>160</v>
      </c>
      <c r="P159" s="105">
        <v>160</v>
      </c>
      <c r="Q159" s="105">
        <v>160</v>
      </c>
      <c r="R159" s="105">
        <v>160</v>
      </c>
      <c r="S159" s="105">
        <v>160</v>
      </c>
      <c r="T159" s="105">
        <v>200</v>
      </c>
      <c r="U159" s="587">
        <f t="shared" si="16"/>
        <v>0.53858997145473153</v>
      </c>
      <c r="V159" s="362"/>
    </row>
    <row r="160" spans="1:23" s="438" customFormat="1" ht="20.25" customHeight="1">
      <c r="A160" s="439">
        <v>142</v>
      </c>
      <c r="B160" s="464" t="s">
        <v>553</v>
      </c>
      <c r="C160" s="613" t="s">
        <v>934</v>
      </c>
      <c r="D160" s="465">
        <v>2000</v>
      </c>
      <c r="E160" s="465">
        <v>240</v>
      </c>
      <c r="F160" s="459">
        <v>128.69999999999999</v>
      </c>
      <c r="G160" s="465">
        <v>240</v>
      </c>
      <c r="H160" s="465">
        <v>240</v>
      </c>
      <c r="I160" s="465">
        <v>240</v>
      </c>
      <c r="J160" s="465">
        <v>240</v>
      </c>
      <c r="K160" s="465">
        <v>240</v>
      </c>
      <c r="L160" s="465">
        <v>240</v>
      </c>
      <c r="M160" s="465">
        <v>240</v>
      </c>
      <c r="N160" s="465">
        <v>240</v>
      </c>
      <c r="O160" s="465">
        <v>240</v>
      </c>
      <c r="P160" s="465">
        <v>240</v>
      </c>
      <c r="Q160" s="465">
        <v>240</v>
      </c>
      <c r="R160" s="465">
        <v>240</v>
      </c>
      <c r="S160" s="465">
        <v>240</v>
      </c>
      <c r="T160" s="465">
        <v>240</v>
      </c>
      <c r="U160" s="593">
        <f t="shared" si="16"/>
        <v>0.64630796574567784</v>
      </c>
      <c r="V160" s="362"/>
    </row>
    <row r="161" spans="1:24" s="438" customFormat="1" ht="20.25" customHeight="1">
      <c r="A161" s="433"/>
      <c r="B161" s="432" t="s">
        <v>303</v>
      </c>
      <c r="C161" s="608"/>
      <c r="D161" s="428" t="s">
        <v>138</v>
      </c>
      <c r="E161" s="428" t="s">
        <v>138</v>
      </c>
      <c r="F161" s="428" t="s">
        <v>138</v>
      </c>
      <c r="G161" s="429">
        <f t="shared" ref="G161:T161" si="21">SUM(G162)</f>
        <v>250</v>
      </c>
      <c r="H161" s="429">
        <f t="shared" si="21"/>
        <v>250</v>
      </c>
      <c r="I161" s="429">
        <f t="shared" si="21"/>
        <v>250</v>
      </c>
      <c r="J161" s="429">
        <f t="shared" si="21"/>
        <v>250</v>
      </c>
      <c r="K161" s="429">
        <f t="shared" si="21"/>
        <v>250</v>
      </c>
      <c r="L161" s="429">
        <f t="shared" si="21"/>
        <v>250</v>
      </c>
      <c r="M161" s="429">
        <f t="shared" si="21"/>
        <v>250</v>
      </c>
      <c r="N161" s="429">
        <f t="shared" si="21"/>
        <v>250</v>
      </c>
      <c r="O161" s="429">
        <f t="shared" si="21"/>
        <v>250</v>
      </c>
      <c r="P161" s="429">
        <f t="shared" si="21"/>
        <v>250</v>
      </c>
      <c r="Q161" s="429">
        <f t="shared" si="21"/>
        <v>250</v>
      </c>
      <c r="R161" s="429">
        <f t="shared" si="21"/>
        <v>250</v>
      </c>
      <c r="S161" s="429">
        <f t="shared" si="21"/>
        <v>250</v>
      </c>
      <c r="T161" s="429">
        <f t="shared" si="21"/>
        <v>250</v>
      </c>
      <c r="U161" s="586">
        <f t="shared" si="16"/>
        <v>0.67323746431841447</v>
      </c>
      <c r="V161" s="362"/>
    </row>
    <row r="162" spans="1:24" s="438" customFormat="1" ht="20.25" customHeight="1">
      <c r="A162" s="439">
        <v>143</v>
      </c>
      <c r="B162" s="440" t="s">
        <v>554</v>
      </c>
      <c r="C162" s="611" t="s">
        <v>935</v>
      </c>
      <c r="D162" s="441" t="s">
        <v>486</v>
      </c>
      <c r="E162" s="442">
        <v>250</v>
      </c>
      <c r="F162" s="442">
        <v>120.7</v>
      </c>
      <c r="G162" s="442">
        <v>250</v>
      </c>
      <c r="H162" s="442">
        <v>250</v>
      </c>
      <c r="I162" s="442">
        <v>250</v>
      </c>
      <c r="J162" s="442">
        <v>250</v>
      </c>
      <c r="K162" s="442">
        <v>250</v>
      </c>
      <c r="L162" s="442">
        <v>250</v>
      </c>
      <c r="M162" s="465">
        <v>250</v>
      </c>
      <c r="N162" s="465">
        <v>250</v>
      </c>
      <c r="O162" s="465">
        <v>250</v>
      </c>
      <c r="P162" s="465">
        <v>250</v>
      </c>
      <c r="Q162" s="465">
        <v>250</v>
      </c>
      <c r="R162" s="465">
        <v>250</v>
      </c>
      <c r="S162" s="465">
        <v>250</v>
      </c>
      <c r="T162" s="465">
        <v>250</v>
      </c>
      <c r="U162" s="593">
        <f t="shared" si="16"/>
        <v>0.67323746431841447</v>
      </c>
      <c r="V162" s="362"/>
    </row>
    <row r="163" spans="1:24" s="466" customFormat="1" ht="20.25" customHeight="1">
      <c r="A163" s="433"/>
      <c r="B163" s="432" t="s">
        <v>305</v>
      </c>
      <c r="C163" s="608"/>
      <c r="D163" s="428" t="s">
        <v>138</v>
      </c>
      <c r="E163" s="428" t="s">
        <v>138</v>
      </c>
      <c r="F163" s="428" t="s">
        <v>138</v>
      </c>
      <c r="G163" s="429">
        <f>SUM(G164:G172)</f>
        <v>324</v>
      </c>
      <c r="H163" s="429">
        <f t="shared" ref="H163:P163" si="22">SUM(H164:H172)</f>
        <v>324</v>
      </c>
      <c r="I163" s="429">
        <f t="shared" si="22"/>
        <v>436</v>
      </c>
      <c r="J163" s="429">
        <f t="shared" si="22"/>
        <v>436</v>
      </c>
      <c r="K163" s="429">
        <f t="shared" si="22"/>
        <v>436</v>
      </c>
      <c r="L163" s="429">
        <f t="shared" si="22"/>
        <v>590</v>
      </c>
      <c r="M163" s="429">
        <f t="shared" si="22"/>
        <v>590</v>
      </c>
      <c r="N163" s="429">
        <f t="shared" si="22"/>
        <v>590</v>
      </c>
      <c r="O163" s="429">
        <f t="shared" si="22"/>
        <v>778</v>
      </c>
      <c r="P163" s="429">
        <f t="shared" si="22"/>
        <v>962</v>
      </c>
      <c r="Q163" s="429">
        <f>SUM(Q164:Q172)</f>
        <v>1512</v>
      </c>
      <c r="R163" s="429">
        <f>SUM(R164:R172)</f>
        <v>1754</v>
      </c>
      <c r="S163" s="429">
        <f>SUM(S164:S172)</f>
        <v>2798</v>
      </c>
      <c r="T163" s="429">
        <f>SUM(T164:T172)</f>
        <v>2806</v>
      </c>
      <c r="U163" s="586">
        <f t="shared" si="16"/>
        <v>7.5564172995098833</v>
      </c>
      <c r="V163" s="362"/>
    </row>
    <row r="164" spans="1:24" s="438" customFormat="1" ht="20.25" customHeight="1">
      <c r="A164" s="433">
        <v>144</v>
      </c>
      <c r="B164" s="434" t="s">
        <v>936</v>
      </c>
      <c r="C164" s="337" t="s">
        <v>937</v>
      </c>
      <c r="D164" s="445">
        <v>2015</v>
      </c>
      <c r="E164" s="105">
        <v>66</v>
      </c>
      <c r="F164" s="105">
        <v>158</v>
      </c>
      <c r="G164" s="105" t="s">
        <v>138</v>
      </c>
      <c r="H164" s="105" t="s">
        <v>138</v>
      </c>
      <c r="I164" s="105" t="s">
        <v>138</v>
      </c>
      <c r="J164" s="105" t="s">
        <v>138</v>
      </c>
      <c r="K164" s="105" t="s">
        <v>138</v>
      </c>
      <c r="L164" s="105" t="s">
        <v>138</v>
      </c>
      <c r="M164" s="105" t="s">
        <v>138</v>
      </c>
      <c r="N164" s="105" t="s">
        <v>138</v>
      </c>
      <c r="O164" s="105">
        <v>66</v>
      </c>
      <c r="P164" s="105">
        <v>66</v>
      </c>
      <c r="Q164" s="105">
        <v>66</v>
      </c>
      <c r="R164" s="105">
        <v>66</v>
      </c>
      <c r="S164" s="105">
        <v>66</v>
      </c>
      <c r="T164" s="105">
        <v>66</v>
      </c>
      <c r="U164" s="587">
        <f t="shared" si="16"/>
        <v>0.17773469058006139</v>
      </c>
      <c r="V164" s="704"/>
      <c r="W164" s="705"/>
      <c r="X164" s="707"/>
    </row>
    <row r="165" spans="1:24" s="438" customFormat="1" ht="20.25" customHeight="1">
      <c r="A165" s="433">
        <v>145</v>
      </c>
      <c r="B165" s="434" t="s">
        <v>938</v>
      </c>
      <c r="C165" s="337" t="s">
        <v>939</v>
      </c>
      <c r="D165" s="445">
        <v>1998</v>
      </c>
      <c r="E165" s="105">
        <v>50</v>
      </c>
      <c r="F165" s="105">
        <v>146</v>
      </c>
      <c r="G165" s="105">
        <v>168</v>
      </c>
      <c r="H165" s="105">
        <v>168</v>
      </c>
      <c r="I165" s="105">
        <v>236</v>
      </c>
      <c r="J165" s="105">
        <v>236</v>
      </c>
      <c r="K165" s="105">
        <v>236</v>
      </c>
      <c r="L165" s="105">
        <v>236</v>
      </c>
      <c r="M165" s="105">
        <v>236</v>
      </c>
      <c r="N165" s="105">
        <v>236</v>
      </c>
      <c r="O165" s="105">
        <v>238</v>
      </c>
      <c r="P165" s="105">
        <v>238</v>
      </c>
      <c r="Q165" s="105">
        <v>238</v>
      </c>
      <c r="R165" s="105">
        <v>238</v>
      </c>
      <c r="S165" s="105">
        <v>238</v>
      </c>
      <c r="T165" s="105">
        <v>238</v>
      </c>
      <c r="U165" s="587">
        <f t="shared" si="16"/>
        <v>0.64092206603113044</v>
      </c>
      <c r="V165" s="704"/>
      <c r="W165" s="705"/>
      <c r="X165" s="707"/>
    </row>
    <row r="166" spans="1:24" s="438" customFormat="1" ht="20.25" customHeight="1">
      <c r="A166" s="433">
        <v>146</v>
      </c>
      <c r="B166" s="434" t="s">
        <v>940</v>
      </c>
      <c r="C166" s="337" t="s">
        <v>941</v>
      </c>
      <c r="D166" s="445">
        <v>2019</v>
      </c>
      <c r="E166" s="105">
        <v>152</v>
      </c>
      <c r="F166" s="428" t="s">
        <v>138</v>
      </c>
      <c r="G166" s="105"/>
      <c r="H166" s="105"/>
      <c r="I166" s="105"/>
      <c r="J166" s="105"/>
      <c r="K166" s="105"/>
      <c r="L166" s="105"/>
      <c r="M166" s="105" t="s">
        <v>138</v>
      </c>
      <c r="N166" s="105" t="s">
        <v>138</v>
      </c>
      <c r="O166" s="105" t="s">
        <v>138</v>
      </c>
      <c r="P166" s="105" t="s">
        <v>138</v>
      </c>
      <c r="Q166" s="105" t="s">
        <v>138</v>
      </c>
      <c r="R166" s="105" t="s">
        <v>138</v>
      </c>
      <c r="S166" s="105">
        <v>152</v>
      </c>
      <c r="T166" s="105">
        <v>152</v>
      </c>
      <c r="U166" s="587">
        <f t="shared" ref="U166:U192" si="23">T166/T$6*100</f>
        <v>0.40932837830559593</v>
      </c>
      <c r="V166" s="704"/>
      <c r="W166" s="705"/>
      <c r="X166" s="707"/>
    </row>
    <row r="167" spans="1:24" s="438" customFormat="1" ht="20.25" customHeight="1">
      <c r="A167" s="433">
        <v>147</v>
      </c>
      <c r="B167" s="434" t="s">
        <v>942</v>
      </c>
      <c r="C167" s="337" t="s">
        <v>943</v>
      </c>
      <c r="D167" s="445">
        <v>2017</v>
      </c>
      <c r="E167" s="428" t="s">
        <v>138</v>
      </c>
      <c r="F167" s="428" t="s">
        <v>138</v>
      </c>
      <c r="G167" s="105"/>
      <c r="H167" s="105"/>
      <c r="I167" s="105"/>
      <c r="J167" s="105"/>
      <c r="K167" s="105"/>
      <c r="L167" s="105"/>
      <c r="M167" s="105" t="s">
        <v>138</v>
      </c>
      <c r="N167" s="105" t="s">
        <v>138</v>
      </c>
      <c r="O167" s="105" t="s">
        <v>138</v>
      </c>
      <c r="P167" s="429" t="s">
        <v>138</v>
      </c>
      <c r="Q167" s="105">
        <v>544</v>
      </c>
      <c r="R167" s="105">
        <v>544</v>
      </c>
      <c r="S167" s="105">
        <v>544</v>
      </c>
      <c r="T167" s="105">
        <v>544</v>
      </c>
      <c r="U167" s="587">
        <f t="shared" si="23"/>
        <v>1.4649647223568696</v>
      </c>
      <c r="V167" s="704"/>
      <c r="W167" s="705"/>
      <c r="X167" s="707"/>
    </row>
    <row r="168" spans="1:24" s="438" customFormat="1" ht="20.25" customHeight="1">
      <c r="A168" s="433">
        <v>148</v>
      </c>
      <c r="B168" s="434" t="s">
        <v>944</v>
      </c>
      <c r="C168" s="337" t="s">
        <v>945</v>
      </c>
      <c r="D168" s="445">
        <v>2012</v>
      </c>
      <c r="E168" s="105">
        <v>56</v>
      </c>
      <c r="F168" s="105">
        <v>180</v>
      </c>
      <c r="G168" s="105" t="s">
        <v>138</v>
      </c>
      <c r="H168" s="105" t="s">
        <v>138</v>
      </c>
      <c r="I168" s="105" t="s">
        <v>138</v>
      </c>
      <c r="J168" s="105" t="s">
        <v>138</v>
      </c>
      <c r="K168" s="105" t="s">
        <v>138</v>
      </c>
      <c r="L168" s="105">
        <v>154</v>
      </c>
      <c r="M168" s="105">
        <v>154</v>
      </c>
      <c r="N168" s="105">
        <v>154</v>
      </c>
      <c r="O168" s="105">
        <v>274</v>
      </c>
      <c r="P168" s="105">
        <v>274</v>
      </c>
      <c r="Q168" s="105">
        <v>274</v>
      </c>
      <c r="R168" s="105">
        <v>274</v>
      </c>
      <c r="S168" s="105">
        <v>274</v>
      </c>
      <c r="T168" s="105">
        <v>274</v>
      </c>
      <c r="U168" s="587">
        <f t="shared" si="23"/>
        <v>0.73786826089298219</v>
      </c>
      <c r="V168" s="704"/>
      <c r="W168" s="705"/>
      <c r="X168" s="707"/>
    </row>
    <row r="169" spans="1:24" s="438" customFormat="1" ht="20.25" customHeight="1">
      <c r="A169" s="433">
        <v>149</v>
      </c>
      <c r="B169" s="434" t="s">
        <v>946</v>
      </c>
      <c r="C169" s="337" t="s">
        <v>947</v>
      </c>
      <c r="D169" s="445">
        <v>2019</v>
      </c>
      <c r="E169" s="105">
        <v>880</v>
      </c>
      <c r="F169" s="105" t="s">
        <v>479</v>
      </c>
      <c r="G169" s="105"/>
      <c r="H169" s="105"/>
      <c r="I169" s="105"/>
      <c r="J169" s="105"/>
      <c r="K169" s="105"/>
      <c r="L169" s="105"/>
      <c r="M169" s="105" t="s">
        <v>138</v>
      </c>
      <c r="N169" s="105" t="s">
        <v>138</v>
      </c>
      <c r="O169" s="105" t="s">
        <v>138</v>
      </c>
      <c r="P169" s="429" t="s">
        <v>138</v>
      </c>
      <c r="Q169" s="429" t="s">
        <v>138</v>
      </c>
      <c r="R169" s="429" t="s">
        <v>138</v>
      </c>
      <c r="S169" s="105">
        <v>880</v>
      </c>
      <c r="T169" s="105">
        <v>880</v>
      </c>
      <c r="U169" s="587">
        <f t="shared" si="23"/>
        <v>2.3697958744008187</v>
      </c>
      <c r="V169" s="704"/>
      <c r="W169" s="705"/>
      <c r="X169" s="707"/>
    </row>
    <row r="170" spans="1:24" s="438" customFormat="1" ht="20.25" customHeight="1">
      <c r="A170" s="433">
        <v>150</v>
      </c>
      <c r="B170" s="434" t="s">
        <v>948</v>
      </c>
      <c r="C170" s="337" t="s">
        <v>949</v>
      </c>
      <c r="D170" s="445">
        <v>2018</v>
      </c>
      <c r="E170" s="105">
        <v>242</v>
      </c>
      <c r="F170" s="105" t="s">
        <v>479</v>
      </c>
      <c r="G170" s="105"/>
      <c r="H170" s="105"/>
      <c r="I170" s="105"/>
      <c r="J170" s="105"/>
      <c r="K170" s="105"/>
      <c r="L170" s="105"/>
      <c r="M170" s="429" t="s">
        <v>138</v>
      </c>
      <c r="N170" s="429" t="s">
        <v>138</v>
      </c>
      <c r="O170" s="429" t="s">
        <v>138</v>
      </c>
      <c r="P170" s="429" t="s">
        <v>138</v>
      </c>
      <c r="Q170" s="429" t="s">
        <v>138</v>
      </c>
      <c r="R170" s="105">
        <v>242</v>
      </c>
      <c r="S170" s="708">
        <v>254</v>
      </c>
      <c r="T170" s="105">
        <v>254</v>
      </c>
      <c r="U170" s="587">
        <f t="shared" si="23"/>
        <v>0.68400926374750903</v>
      </c>
      <c r="V170" s="704"/>
      <c r="W170" s="705"/>
      <c r="X170" s="707"/>
    </row>
    <row r="171" spans="1:24" s="438" customFormat="1" ht="20.25" customHeight="1">
      <c r="A171" s="433">
        <v>151</v>
      </c>
      <c r="B171" s="434" t="s">
        <v>950</v>
      </c>
      <c r="C171" s="337" t="s">
        <v>951</v>
      </c>
      <c r="D171" s="435">
        <v>1998</v>
      </c>
      <c r="E171" s="105">
        <v>136</v>
      </c>
      <c r="F171" s="105">
        <v>144</v>
      </c>
      <c r="G171" s="105">
        <v>156</v>
      </c>
      <c r="H171" s="105">
        <v>156</v>
      </c>
      <c r="I171" s="105">
        <v>200</v>
      </c>
      <c r="J171" s="105">
        <v>200</v>
      </c>
      <c r="K171" s="105">
        <v>200</v>
      </c>
      <c r="L171" s="105">
        <v>200</v>
      </c>
      <c r="M171" s="105">
        <v>200</v>
      </c>
      <c r="N171" s="105">
        <v>200</v>
      </c>
      <c r="O171" s="105">
        <v>200</v>
      </c>
      <c r="P171" s="105">
        <v>200</v>
      </c>
      <c r="Q171" s="105">
        <v>200</v>
      </c>
      <c r="R171" s="105">
        <v>200</v>
      </c>
      <c r="S171" s="105">
        <v>200</v>
      </c>
      <c r="T171" s="105">
        <v>208</v>
      </c>
      <c r="U171" s="587">
        <f t="shared" si="23"/>
        <v>0.56013357031292077</v>
      </c>
      <c r="V171" s="704"/>
      <c r="W171" s="705"/>
      <c r="X171" s="707"/>
    </row>
    <row r="172" spans="1:24" ht="20.25" customHeight="1">
      <c r="A172" s="439">
        <v>152</v>
      </c>
      <c r="B172" s="440" t="s">
        <v>952</v>
      </c>
      <c r="C172" s="611" t="s">
        <v>953</v>
      </c>
      <c r="D172" s="446">
        <v>2016</v>
      </c>
      <c r="E172" s="442">
        <v>28</v>
      </c>
      <c r="F172" s="442">
        <v>160</v>
      </c>
      <c r="G172" s="442" t="s">
        <v>138</v>
      </c>
      <c r="H172" s="442" t="s">
        <v>138</v>
      </c>
      <c r="I172" s="442" t="s">
        <v>138</v>
      </c>
      <c r="J172" s="442" t="s">
        <v>138</v>
      </c>
      <c r="K172" s="442" t="s">
        <v>138</v>
      </c>
      <c r="L172" s="442" t="s">
        <v>138</v>
      </c>
      <c r="M172" s="442" t="s">
        <v>138</v>
      </c>
      <c r="N172" s="442" t="s">
        <v>138</v>
      </c>
      <c r="O172" s="442" t="s">
        <v>138</v>
      </c>
      <c r="P172" s="442">
        <v>184</v>
      </c>
      <c r="Q172" s="442">
        <v>190</v>
      </c>
      <c r="R172" s="442">
        <v>190</v>
      </c>
      <c r="S172" s="442">
        <v>190</v>
      </c>
      <c r="T172" s="442">
        <v>190</v>
      </c>
      <c r="U172" s="596">
        <f t="shared" si="23"/>
        <v>0.5116604728819949</v>
      </c>
      <c r="V172" s="704"/>
      <c r="W172" s="706"/>
      <c r="X172" s="707"/>
    </row>
    <row r="173" spans="1:24" s="438" customFormat="1" ht="20.25" customHeight="1">
      <c r="A173" s="433"/>
      <c r="B173" s="427" t="s">
        <v>307</v>
      </c>
      <c r="C173" s="610"/>
      <c r="D173" s="428" t="s">
        <v>138</v>
      </c>
      <c r="E173" s="428" t="s">
        <v>138</v>
      </c>
      <c r="F173" s="428" t="s">
        <v>138</v>
      </c>
      <c r="G173" s="428" t="s">
        <v>138</v>
      </c>
      <c r="H173" s="428" t="s">
        <v>138</v>
      </c>
      <c r="I173" s="428" t="s">
        <v>138</v>
      </c>
      <c r="J173" s="428" t="s">
        <v>138</v>
      </c>
      <c r="K173" s="428" t="s">
        <v>138</v>
      </c>
      <c r="L173" s="428" t="s">
        <v>138</v>
      </c>
      <c r="M173" s="428">
        <f t="shared" ref="M173:T173" si="24">SUM(M174)</f>
        <v>46</v>
      </c>
      <c r="N173" s="428">
        <f t="shared" si="24"/>
        <v>132</v>
      </c>
      <c r="O173" s="428">
        <f t="shared" si="24"/>
        <v>152</v>
      </c>
      <c r="P173" s="428">
        <f t="shared" si="24"/>
        <v>152</v>
      </c>
      <c r="Q173" s="428">
        <f t="shared" si="24"/>
        <v>152</v>
      </c>
      <c r="R173" s="428">
        <f t="shared" si="24"/>
        <v>152</v>
      </c>
      <c r="S173" s="428">
        <f t="shared" si="24"/>
        <v>152</v>
      </c>
      <c r="T173" s="428">
        <f t="shared" si="24"/>
        <v>152</v>
      </c>
      <c r="U173" s="594">
        <f t="shared" si="23"/>
        <v>0.40932837830559593</v>
      </c>
      <c r="V173" s="362"/>
    </row>
    <row r="174" spans="1:24" s="438" customFormat="1" ht="20.25" customHeight="1">
      <c r="A174" s="439">
        <v>153</v>
      </c>
      <c r="B174" s="440" t="s">
        <v>954</v>
      </c>
      <c r="C174" s="611" t="s">
        <v>955</v>
      </c>
      <c r="D174" s="441" t="s">
        <v>10</v>
      </c>
      <c r="E174" s="442">
        <v>66</v>
      </c>
      <c r="F174" s="442">
        <v>260</v>
      </c>
      <c r="G174" s="442" t="s">
        <v>138</v>
      </c>
      <c r="H174" s="442" t="s">
        <v>138</v>
      </c>
      <c r="I174" s="442" t="s">
        <v>138</v>
      </c>
      <c r="J174" s="442" t="s">
        <v>138</v>
      </c>
      <c r="K174" s="442" t="s">
        <v>138</v>
      </c>
      <c r="L174" s="442" t="s">
        <v>138</v>
      </c>
      <c r="M174" s="442">
        <v>46</v>
      </c>
      <c r="N174" s="442">
        <v>132</v>
      </c>
      <c r="O174" s="442">
        <v>152</v>
      </c>
      <c r="P174" s="442">
        <v>152</v>
      </c>
      <c r="Q174" s="442">
        <v>152</v>
      </c>
      <c r="R174" s="442">
        <v>152</v>
      </c>
      <c r="S174" s="442">
        <v>152</v>
      </c>
      <c r="T174" s="442">
        <v>152</v>
      </c>
      <c r="U174" s="596">
        <f t="shared" si="23"/>
        <v>0.40932837830559593</v>
      </c>
      <c r="V174" s="362"/>
    </row>
    <row r="175" spans="1:24" s="438" customFormat="1" ht="20.25" customHeight="1">
      <c r="A175" s="433"/>
      <c r="B175" s="427" t="s">
        <v>309</v>
      </c>
      <c r="C175" s="610"/>
      <c r="D175" s="428" t="s">
        <v>138</v>
      </c>
      <c r="E175" s="428" t="s">
        <v>138</v>
      </c>
      <c r="F175" s="428" t="s">
        <v>138</v>
      </c>
      <c r="G175" s="428" t="s">
        <v>138</v>
      </c>
      <c r="H175" s="428" t="s">
        <v>138</v>
      </c>
      <c r="I175" s="428" t="s">
        <v>138</v>
      </c>
      <c r="J175" s="428" t="s">
        <v>138</v>
      </c>
      <c r="K175" s="428">
        <f t="shared" ref="K175:P175" si="25">SUM(K176)</f>
        <v>194</v>
      </c>
      <c r="L175" s="428">
        <f t="shared" si="25"/>
        <v>194</v>
      </c>
      <c r="M175" s="428">
        <f t="shared" si="25"/>
        <v>194</v>
      </c>
      <c r="N175" s="428">
        <f t="shared" si="25"/>
        <v>194</v>
      </c>
      <c r="O175" s="428">
        <f t="shared" si="25"/>
        <v>194</v>
      </c>
      <c r="P175" s="428">
        <f t="shared" si="25"/>
        <v>194</v>
      </c>
      <c r="Q175" s="428">
        <f>SUM(Q176)</f>
        <v>194</v>
      </c>
      <c r="R175" s="428">
        <f>SUM(R176)</f>
        <v>194</v>
      </c>
      <c r="S175" s="428">
        <f>SUM(S176:S177)</f>
        <v>242</v>
      </c>
      <c r="T175" s="428">
        <f>SUM(T176:T177)</f>
        <v>242</v>
      </c>
      <c r="U175" s="594">
        <f t="shared" si="23"/>
        <v>0.65169386546022512</v>
      </c>
      <c r="V175" s="362"/>
    </row>
    <row r="176" spans="1:24" s="437" customFormat="1" ht="20.25" customHeight="1">
      <c r="A176" s="433">
        <v>154</v>
      </c>
      <c r="B176" s="434" t="s">
        <v>956</v>
      </c>
      <c r="C176" s="337" t="s">
        <v>957</v>
      </c>
      <c r="D176" s="435">
        <v>2011</v>
      </c>
      <c r="E176" s="105">
        <v>66</v>
      </c>
      <c r="F176" s="105">
        <v>260</v>
      </c>
      <c r="G176" s="105" t="s">
        <v>138</v>
      </c>
      <c r="H176" s="105" t="s">
        <v>138</v>
      </c>
      <c r="I176" s="105" t="s">
        <v>138</v>
      </c>
      <c r="J176" s="105" t="s">
        <v>138</v>
      </c>
      <c r="K176" s="105">
        <v>194</v>
      </c>
      <c r="L176" s="105">
        <v>194</v>
      </c>
      <c r="M176" s="105">
        <v>194</v>
      </c>
      <c r="N176" s="105">
        <v>194</v>
      </c>
      <c r="O176" s="105">
        <v>194</v>
      </c>
      <c r="P176" s="105">
        <v>194</v>
      </c>
      <c r="Q176" s="105">
        <v>194</v>
      </c>
      <c r="R176" s="105">
        <v>194</v>
      </c>
      <c r="S176" s="105">
        <v>194</v>
      </c>
      <c r="T176" s="105">
        <v>194</v>
      </c>
      <c r="U176" s="587">
        <f t="shared" si="23"/>
        <v>0.52243227231108957</v>
      </c>
      <c r="V176" s="362"/>
    </row>
    <row r="177" spans="1:27" s="438" customFormat="1" ht="20.25" customHeight="1">
      <c r="A177" s="439">
        <v>155</v>
      </c>
      <c r="B177" s="440" t="s">
        <v>761</v>
      </c>
      <c r="C177" s="611" t="s">
        <v>958</v>
      </c>
      <c r="D177" s="441" t="s">
        <v>560</v>
      </c>
      <c r="E177" s="442">
        <v>48</v>
      </c>
      <c r="F177" s="442" t="s">
        <v>479</v>
      </c>
      <c r="G177" s="442"/>
      <c r="H177" s="442"/>
      <c r="I177" s="442"/>
      <c r="J177" s="442"/>
      <c r="K177" s="442"/>
      <c r="L177" s="442"/>
      <c r="M177" s="443" t="s">
        <v>138</v>
      </c>
      <c r="N177" s="443" t="s">
        <v>138</v>
      </c>
      <c r="O177" s="443" t="s">
        <v>138</v>
      </c>
      <c r="P177" s="599" t="s">
        <v>138</v>
      </c>
      <c r="Q177" s="599" t="s">
        <v>138</v>
      </c>
      <c r="R177" s="599" t="s">
        <v>138</v>
      </c>
      <c r="S177" s="442">
        <v>48</v>
      </c>
      <c r="T177" s="442">
        <v>48</v>
      </c>
      <c r="U177" s="596">
        <f t="shared" si="23"/>
        <v>0.12926159314913557</v>
      </c>
      <c r="V177" s="362"/>
    </row>
    <row r="178" spans="1:27" s="312" customFormat="1" ht="20.25" customHeight="1">
      <c r="A178" s="433"/>
      <c r="B178" s="432" t="s">
        <v>311</v>
      </c>
      <c r="C178" s="608"/>
      <c r="D178" s="428" t="s">
        <v>138</v>
      </c>
      <c r="E178" s="428" t="s">
        <v>138</v>
      </c>
      <c r="F178" s="428" t="s">
        <v>138</v>
      </c>
      <c r="G178" s="428" t="s">
        <v>138</v>
      </c>
      <c r="H178" s="428" t="s">
        <v>138</v>
      </c>
      <c r="I178" s="429">
        <f t="shared" ref="I178:R178" si="26">SUM(I179:I183)</f>
        <v>200</v>
      </c>
      <c r="J178" s="429">
        <f t="shared" si="26"/>
        <v>250</v>
      </c>
      <c r="K178" s="429">
        <f t="shared" si="26"/>
        <v>324</v>
      </c>
      <c r="L178" s="429">
        <f t="shared" si="26"/>
        <v>524</v>
      </c>
      <c r="M178" s="429">
        <f t="shared" si="26"/>
        <v>576</v>
      </c>
      <c r="N178" s="429">
        <f t="shared" si="26"/>
        <v>576</v>
      </c>
      <c r="O178" s="429">
        <f t="shared" si="26"/>
        <v>576</v>
      </c>
      <c r="P178" s="429">
        <f t="shared" si="26"/>
        <v>616</v>
      </c>
      <c r="Q178" s="429">
        <f t="shared" si="26"/>
        <v>616</v>
      </c>
      <c r="R178" s="429">
        <f t="shared" si="26"/>
        <v>616</v>
      </c>
      <c r="S178" s="429">
        <f>SUM(S179:S184)</f>
        <v>1141</v>
      </c>
      <c r="T178" s="429">
        <f>SUM(T179:T184)</f>
        <v>1267</v>
      </c>
      <c r="U178" s="586">
        <f t="shared" si="23"/>
        <v>3.4119674691657242</v>
      </c>
      <c r="V178" s="362"/>
    </row>
    <row r="179" spans="1:27" ht="20.25" customHeight="1">
      <c r="A179" s="433">
        <v>156</v>
      </c>
      <c r="B179" s="434" t="s">
        <v>1076</v>
      </c>
      <c r="C179" s="337" t="s">
        <v>959</v>
      </c>
      <c r="D179" s="467">
        <v>2011</v>
      </c>
      <c r="E179" s="467">
        <v>74</v>
      </c>
      <c r="F179" s="105">
        <v>400</v>
      </c>
      <c r="G179" s="105" t="s">
        <v>138</v>
      </c>
      <c r="H179" s="105" t="s">
        <v>138</v>
      </c>
      <c r="I179" s="105" t="s">
        <v>138</v>
      </c>
      <c r="J179" s="105" t="s">
        <v>138</v>
      </c>
      <c r="K179" s="105">
        <v>74</v>
      </c>
      <c r="L179" s="105">
        <v>74</v>
      </c>
      <c r="M179" s="105">
        <v>74</v>
      </c>
      <c r="N179" s="105">
        <v>74</v>
      </c>
      <c r="O179" s="105">
        <v>74</v>
      </c>
      <c r="P179" s="105">
        <v>74</v>
      </c>
      <c r="Q179" s="105">
        <v>74</v>
      </c>
      <c r="R179" s="105">
        <v>74</v>
      </c>
      <c r="S179" s="105">
        <v>74</v>
      </c>
      <c r="T179" s="105">
        <v>84</v>
      </c>
      <c r="U179" s="587">
        <f t="shared" si="23"/>
        <v>0.22620778801098726</v>
      </c>
      <c r="V179" s="362"/>
    </row>
    <row r="180" spans="1:27" ht="20.25" customHeight="1">
      <c r="A180" s="433">
        <v>157</v>
      </c>
      <c r="B180" s="434" t="s">
        <v>960</v>
      </c>
      <c r="C180" s="337" t="s">
        <v>961</v>
      </c>
      <c r="D180" s="445">
        <v>2009</v>
      </c>
      <c r="E180" s="105">
        <v>100</v>
      </c>
      <c r="F180" s="105">
        <v>405</v>
      </c>
      <c r="G180" s="105" t="s">
        <v>138</v>
      </c>
      <c r="H180" s="105" t="s">
        <v>138</v>
      </c>
      <c r="I180" s="105">
        <v>100</v>
      </c>
      <c r="J180" s="105">
        <v>100</v>
      </c>
      <c r="K180" s="105">
        <v>100</v>
      </c>
      <c r="L180" s="105">
        <v>100</v>
      </c>
      <c r="M180" s="105">
        <v>100</v>
      </c>
      <c r="N180" s="105">
        <v>100</v>
      </c>
      <c r="O180" s="105">
        <v>100</v>
      </c>
      <c r="P180" s="105">
        <v>100</v>
      </c>
      <c r="Q180" s="105">
        <v>100</v>
      </c>
      <c r="R180" s="105">
        <v>100</v>
      </c>
      <c r="S180" s="105">
        <v>100</v>
      </c>
      <c r="T180" s="105">
        <v>100</v>
      </c>
      <c r="U180" s="587">
        <f t="shared" si="23"/>
        <v>0.26929498572736577</v>
      </c>
      <c r="V180" s="362"/>
    </row>
    <row r="181" spans="1:27" s="437" customFormat="1" ht="20.25" customHeight="1">
      <c r="A181" s="433">
        <v>158</v>
      </c>
      <c r="B181" s="434" t="s">
        <v>760</v>
      </c>
      <c r="C181" s="337" t="s">
        <v>962</v>
      </c>
      <c r="D181" s="445">
        <v>2019</v>
      </c>
      <c r="E181" s="105"/>
      <c r="F181" s="105" t="s">
        <v>479</v>
      </c>
      <c r="G181" s="105"/>
      <c r="H181" s="105"/>
      <c r="I181" s="105"/>
      <c r="J181" s="105"/>
      <c r="K181" s="105"/>
      <c r="L181" s="105"/>
      <c r="M181" s="105" t="s">
        <v>138</v>
      </c>
      <c r="N181" s="105" t="s">
        <v>138</v>
      </c>
      <c r="O181" s="105" t="s">
        <v>138</v>
      </c>
      <c r="P181" s="429" t="s">
        <v>138</v>
      </c>
      <c r="Q181" s="429" t="s">
        <v>138</v>
      </c>
      <c r="R181" s="429" t="s">
        <v>138</v>
      </c>
      <c r="S181" s="105">
        <v>271</v>
      </c>
      <c r="T181" s="105">
        <v>271</v>
      </c>
      <c r="U181" s="587">
        <f t="shared" si="23"/>
        <v>0.72978941132116115</v>
      </c>
      <c r="V181" s="362"/>
    </row>
    <row r="182" spans="1:27" s="437" customFormat="1" ht="20.25" customHeight="1">
      <c r="A182" s="433">
        <v>159</v>
      </c>
      <c r="B182" s="434" t="s">
        <v>963</v>
      </c>
      <c r="C182" s="337" t="s">
        <v>964</v>
      </c>
      <c r="D182" s="445">
        <v>2009</v>
      </c>
      <c r="E182" s="105">
        <v>100</v>
      </c>
      <c r="F182" s="105">
        <v>400</v>
      </c>
      <c r="G182" s="105" t="s">
        <v>138</v>
      </c>
      <c r="H182" s="105" t="s">
        <v>138</v>
      </c>
      <c r="I182" s="105">
        <v>100</v>
      </c>
      <c r="J182" s="105">
        <v>150</v>
      </c>
      <c r="K182" s="105">
        <v>150</v>
      </c>
      <c r="L182" s="105">
        <v>150</v>
      </c>
      <c r="M182" s="105">
        <v>202</v>
      </c>
      <c r="N182" s="105">
        <v>202</v>
      </c>
      <c r="O182" s="105">
        <v>202</v>
      </c>
      <c r="P182" s="105">
        <v>242</v>
      </c>
      <c r="Q182" s="105">
        <v>242</v>
      </c>
      <c r="R182" s="105">
        <v>242</v>
      </c>
      <c r="S182" s="105">
        <v>242</v>
      </c>
      <c r="T182" s="105">
        <v>242</v>
      </c>
      <c r="U182" s="587">
        <f t="shared" si="23"/>
        <v>0.65169386546022512</v>
      </c>
      <c r="V182" s="362"/>
    </row>
    <row r="183" spans="1:27" s="437" customFormat="1" ht="20.25" customHeight="1">
      <c r="A183" s="433">
        <v>160</v>
      </c>
      <c r="B183" s="434" t="s">
        <v>965</v>
      </c>
      <c r="C183" s="337" t="s">
        <v>966</v>
      </c>
      <c r="D183" s="445">
        <v>2012</v>
      </c>
      <c r="E183" s="105">
        <v>108</v>
      </c>
      <c r="F183" s="105">
        <v>405</v>
      </c>
      <c r="G183" s="105" t="s">
        <v>138</v>
      </c>
      <c r="H183" s="105" t="s">
        <v>138</v>
      </c>
      <c r="I183" s="105" t="s">
        <v>138</v>
      </c>
      <c r="J183" s="105" t="s">
        <v>138</v>
      </c>
      <c r="K183" s="105" t="s">
        <v>138</v>
      </c>
      <c r="L183" s="105">
        <v>200</v>
      </c>
      <c r="M183" s="105">
        <v>200</v>
      </c>
      <c r="N183" s="105">
        <v>200</v>
      </c>
      <c r="O183" s="105">
        <v>200</v>
      </c>
      <c r="P183" s="105">
        <v>200</v>
      </c>
      <c r="Q183" s="105">
        <v>200</v>
      </c>
      <c r="R183" s="105">
        <v>200</v>
      </c>
      <c r="S183" s="105">
        <v>200</v>
      </c>
      <c r="T183" s="105">
        <v>200</v>
      </c>
      <c r="U183" s="587">
        <f t="shared" si="23"/>
        <v>0.53858997145473153</v>
      </c>
      <c r="V183" s="362"/>
    </row>
    <row r="184" spans="1:27" s="438" customFormat="1" ht="20.25" customHeight="1">
      <c r="A184" s="439">
        <v>161</v>
      </c>
      <c r="B184" s="440" t="s">
        <v>764</v>
      </c>
      <c r="C184" s="611" t="s">
        <v>967</v>
      </c>
      <c r="D184" s="441">
        <v>2019</v>
      </c>
      <c r="E184" s="442">
        <v>254</v>
      </c>
      <c r="F184" s="442" t="s">
        <v>479</v>
      </c>
      <c r="G184" s="442"/>
      <c r="H184" s="442"/>
      <c r="I184" s="442"/>
      <c r="J184" s="442"/>
      <c r="K184" s="442"/>
      <c r="L184" s="442"/>
      <c r="M184" s="443" t="s">
        <v>138</v>
      </c>
      <c r="N184" s="443" t="s">
        <v>138</v>
      </c>
      <c r="O184" s="443" t="s">
        <v>138</v>
      </c>
      <c r="P184" s="599" t="s">
        <v>138</v>
      </c>
      <c r="Q184" s="599" t="s">
        <v>138</v>
      </c>
      <c r="R184" s="599" t="s">
        <v>138</v>
      </c>
      <c r="S184" s="442">
        <v>254</v>
      </c>
      <c r="T184" s="442">
        <v>370</v>
      </c>
      <c r="U184" s="596">
        <f t="shared" si="23"/>
        <v>0.99639144719125328</v>
      </c>
      <c r="V184" s="362"/>
    </row>
    <row r="185" spans="1:27" s="468" customFormat="1" ht="20.25" customHeight="1">
      <c r="A185" s="433"/>
      <c r="B185" s="432" t="s">
        <v>313</v>
      </c>
      <c r="C185" s="608"/>
      <c r="D185" s="428" t="s">
        <v>138</v>
      </c>
      <c r="E185" s="428" t="s">
        <v>138</v>
      </c>
      <c r="F185" s="428" t="s">
        <v>138</v>
      </c>
      <c r="G185" s="428" t="s">
        <v>138</v>
      </c>
      <c r="H185" s="428" t="s">
        <v>138</v>
      </c>
      <c r="I185" s="428" t="s">
        <v>138</v>
      </c>
      <c r="J185" s="428" t="s">
        <v>138</v>
      </c>
      <c r="K185" s="429">
        <f t="shared" ref="K185:T185" si="27">SUM(K186:K188)</f>
        <v>200</v>
      </c>
      <c r="L185" s="429">
        <f t="shared" si="27"/>
        <v>200</v>
      </c>
      <c r="M185" s="429">
        <f t="shared" si="27"/>
        <v>200</v>
      </c>
      <c r="N185" s="429">
        <f t="shared" si="27"/>
        <v>200</v>
      </c>
      <c r="O185" s="429">
        <f t="shared" si="27"/>
        <v>550</v>
      </c>
      <c r="P185" s="429">
        <f t="shared" si="27"/>
        <v>550</v>
      </c>
      <c r="Q185" s="429">
        <f t="shared" si="27"/>
        <v>550</v>
      </c>
      <c r="R185" s="429">
        <f t="shared" si="27"/>
        <v>550</v>
      </c>
      <c r="S185" s="429">
        <f t="shared" si="27"/>
        <v>550</v>
      </c>
      <c r="T185" s="429">
        <f t="shared" si="27"/>
        <v>550</v>
      </c>
      <c r="U185" s="586">
        <f t="shared" si="23"/>
        <v>1.4811224215005117</v>
      </c>
      <c r="V185" s="362"/>
      <c r="AA185" s="439"/>
    </row>
    <row r="186" spans="1:27" s="468" customFormat="1" ht="20.25" customHeight="1">
      <c r="A186" s="433">
        <v>162</v>
      </c>
      <c r="B186" s="469" t="s">
        <v>968</v>
      </c>
      <c r="C186" s="469" t="s">
        <v>969</v>
      </c>
      <c r="D186" s="470">
        <v>2015</v>
      </c>
      <c r="E186" s="470">
        <v>240</v>
      </c>
      <c r="F186" s="105">
        <v>240</v>
      </c>
      <c r="G186" s="105" t="s">
        <v>138</v>
      </c>
      <c r="H186" s="105" t="s">
        <v>138</v>
      </c>
      <c r="I186" s="105" t="s">
        <v>138</v>
      </c>
      <c r="J186" s="105" t="s">
        <v>138</v>
      </c>
      <c r="K186" s="105" t="s">
        <v>138</v>
      </c>
      <c r="L186" s="105" t="s">
        <v>138</v>
      </c>
      <c r="M186" s="105" t="s">
        <v>138</v>
      </c>
      <c r="N186" s="105" t="s">
        <v>138</v>
      </c>
      <c r="O186" s="105">
        <v>240</v>
      </c>
      <c r="P186" s="105">
        <v>240</v>
      </c>
      <c r="Q186" s="105">
        <v>240</v>
      </c>
      <c r="R186" s="105">
        <v>240</v>
      </c>
      <c r="S186" s="105">
        <v>240</v>
      </c>
      <c r="T186" s="105">
        <v>240</v>
      </c>
      <c r="U186" s="587">
        <f t="shared" si="23"/>
        <v>0.64630796574567784</v>
      </c>
      <c r="V186" s="362"/>
      <c r="AA186" s="439"/>
    </row>
    <row r="187" spans="1:27" s="468" customFormat="1" ht="20.25" customHeight="1">
      <c r="A187" s="433">
        <v>163</v>
      </c>
      <c r="B187" s="444" t="s">
        <v>970</v>
      </c>
      <c r="C187" s="344" t="s">
        <v>971</v>
      </c>
      <c r="D187" s="470">
        <v>2011</v>
      </c>
      <c r="E187" s="470">
        <v>200</v>
      </c>
      <c r="F187" s="105">
        <v>420</v>
      </c>
      <c r="G187" s="105" t="s">
        <v>138</v>
      </c>
      <c r="H187" s="105" t="s">
        <v>138</v>
      </c>
      <c r="I187" s="105" t="s">
        <v>138</v>
      </c>
      <c r="J187" s="105" t="s">
        <v>138</v>
      </c>
      <c r="K187" s="105">
        <v>200</v>
      </c>
      <c r="L187" s="105">
        <v>200</v>
      </c>
      <c r="M187" s="105">
        <v>200</v>
      </c>
      <c r="N187" s="105">
        <v>200</v>
      </c>
      <c r="O187" s="105">
        <v>200</v>
      </c>
      <c r="P187" s="105">
        <v>200</v>
      </c>
      <c r="Q187" s="105">
        <v>200</v>
      </c>
      <c r="R187" s="105">
        <v>200</v>
      </c>
      <c r="S187" s="105">
        <v>200</v>
      </c>
      <c r="T187" s="105">
        <v>200</v>
      </c>
      <c r="U187" s="587">
        <f t="shared" si="23"/>
        <v>0.53858997145473153</v>
      </c>
      <c r="V187" s="362"/>
    </row>
    <row r="188" spans="1:27" s="468" customFormat="1" ht="20.25" customHeight="1">
      <c r="A188" s="439">
        <v>164</v>
      </c>
      <c r="B188" s="471" t="s">
        <v>972</v>
      </c>
      <c r="C188" s="471" t="s">
        <v>973</v>
      </c>
      <c r="D188" s="472">
        <v>2015</v>
      </c>
      <c r="E188" s="472">
        <v>110</v>
      </c>
      <c r="F188" s="443">
        <v>110</v>
      </c>
      <c r="G188" s="443" t="s">
        <v>138</v>
      </c>
      <c r="H188" s="443" t="s">
        <v>138</v>
      </c>
      <c r="I188" s="443" t="s">
        <v>138</v>
      </c>
      <c r="J188" s="443" t="s">
        <v>138</v>
      </c>
      <c r="K188" s="443" t="s">
        <v>138</v>
      </c>
      <c r="L188" s="443" t="s">
        <v>138</v>
      </c>
      <c r="M188" s="443" t="s">
        <v>138</v>
      </c>
      <c r="N188" s="443" t="s">
        <v>138</v>
      </c>
      <c r="O188" s="443">
        <v>110</v>
      </c>
      <c r="P188" s="443">
        <v>110</v>
      </c>
      <c r="Q188" s="443">
        <v>110</v>
      </c>
      <c r="R188" s="443">
        <v>110</v>
      </c>
      <c r="S188" s="443">
        <v>110</v>
      </c>
      <c r="T188" s="443">
        <v>110</v>
      </c>
      <c r="U188" s="588">
        <f t="shared" si="23"/>
        <v>0.29622448430010234</v>
      </c>
      <c r="V188" s="362"/>
    </row>
    <row r="189" spans="1:27" s="438" customFormat="1" ht="20.25" customHeight="1">
      <c r="A189" s="433"/>
      <c r="B189" s="432" t="s">
        <v>315</v>
      </c>
      <c r="C189" s="608"/>
      <c r="D189" s="428" t="s">
        <v>138</v>
      </c>
      <c r="E189" s="428" t="s">
        <v>138</v>
      </c>
      <c r="F189" s="428" t="s">
        <v>138</v>
      </c>
      <c r="G189" s="429">
        <f>SUM(G190)</f>
        <v>546</v>
      </c>
      <c r="H189" s="429">
        <f>SUM(H190)</f>
        <v>546</v>
      </c>
      <c r="I189" s="429">
        <f t="shared" ref="I189:N189" si="28">SUM(I190:I192)</f>
        <v>830</v>
      </c>
      <c r="J189" s="429">
        <f t="shared" si="28"/>
        <v>830</v>
      </c>
      <c r="K189" s="429">
        <f t="shared" si="28"/>
        <v>830</v>
      </c>
      <c r="L189" s="429">
        <f t="shared" si="28"/>
        <v>830</v>
      </c>
      <c r="M189" s="429">
        <f t="shared" si="28"/>
        <v>830</v>
      </c>
      <c r="N189" s="429">
        <f t="shared" si="28"/>
        <v>826</v>
      </c>
      <c r="O189" s="429">
        <f t="shared" ref="O189:T189" si="29">SUM(O190:O192)</f>
        <v>826</v>
      </c>
      <c r="P189" s="429">
        <f t="shared" si="29"/>
        <v>826</v>
      </c>
      <c r="Q189" s="429">
        <f t="shared" si="29"/>
        <v>826</v>
      </c>
      <c r="R189" s="429">
        <f t="shared" si="29"/>
        <v>826</v>
      </c>
      <c r="S189" s="429">
        <f t="shared" si="29"/>
        <v>926</v>
      </c>
      <c r="T189" s="429">
        <f t="shared" si="29"/>
        <v>926</v>
      </c>
      <c r="U189" s="586">
        <f t="shared" si="23"/>
        <v>2.4936715678354071</v>
      </c>
      <c r="V189" s="362"/>
    </row>
    <row r="190" spans="1:27" s="438" customFormat="1" ht="20.25" customHeight="1">
      <c r="A190" s="433">
        <v>165</v>
      </c>
      <c r="B190" s="434" t="s">
        <v>974</v>
      </c>
      <c r="C190" s="337" t="s">
        <v>975</v>
      </c>
      <c r="D190" s="435">
        <v>2007</v>
      </c>
      <c r="E190" s="105">
        <v>106</v>
      </c>
      <c r="F190" s="105">
        <v>480</v>
      </c>
      <c r="G190" s="105">
        <v>546</v>
      </c>
      <c r="H190" s="105">
        <v>546</v>
      </c>
      <c r="I190" s="105">
        <v>546</v>
      </c>
      <c r="J190" s="105">
        <v>546</v>
      </c>
      <c r="K190" s="105">
        <v>546</v>
      </c>
      <c r="L190" s="105">
        <v>546</v>
      </c>
      <c r="M190" s="105">
        <v>546</v>
      </c>
      <c r="N190" s="105">
        <v>542</v>
      </c>
      <c r="O190" s="105">
        <v>542</v>
      </c>
      <c r="P190" s="105">
        <v>542</v>
      </c>
      <c r="Q190" s="105">
        <v>542</v>
      </c>
      <c r="R190" s="105">
        <v>542</v>
      </c>
      <c r="S190" s="105">
        <v>542</v>
      </c>
      <c r="T190" s="105">
        <v>542</v>
      </c>
      <c r="U190" s="587">
        <f t="shared" si="23"/>
        <v>1.4595788226423223</v>
      </c>
      <c r="V190" s="362"/>
    </row>
    <row r="191" spans="1:27" s="437" customFormat="1" ht="20.25" customHeight="1">
      <c r="A191" s="433">
        <v>166</v>
      </c>
      <c r="B191" s="434" t="s">
        <v>976</v>
      </c>
      <c r="C191" s="337" t="s">
        <v>977</v>
      </c>
      <c r="D191" s="435" t="s">
        <v>126</v>
      </c>
      <c r="E191" s="105">
        <v>284</v>
      </c>
      <c r="F191" s="105">
        <v>478</v>
      </c>
      <c r="G191" s="105" t="s">
        <v>138</v>
      </c>
      <c r="H191" s="105" t="s">
        <v>138</v>
      </c>
      <c r="I191" s="105">
        <v>284</v>
      </c>
      <c r="J191" s="105">
        <v>284</v>
      </c>
      <c r="K191" s="105">
        <v>284</v>
      </c>
      <c r="L191" s="105">
        <v>284</v>
      </c>
      <c r="M191" s="105">
        <v>284</v>
      </c>
      <c r="N191" s="105">
        <v>284</v>
      </c>
      <c r="O191" s="105">
        <v>284</v>
      </c>
      <c r="P191" s="105">
        <v>284</v>
      </c>
      <c r="Q191" s="105">
        <v>284</v>
      </c>
      <c r="R191" s="105">
        <v>284</v>
      </c>
      <c r="S191" s="105">
        <v>284</v>
      </c>
      <c r="T191" s="105">
        <v>284</v>
      </c>
      <c r="U191" s="587">
        <f t="shared" si="23"/>
        <v>0.76479775946571871</v>
      </c>
      <c r="V191" s="362"/>
    </row>
    <row r="192" spans="1:27" s="438" customFormat="1" ht="20.25" customHeight="1">
      <c r="A192" s="473">
        <v>167</v>
      </c>
      <c r="B192" s="474" t="s">
        <v>762</v>
      </c>
      <c r="C192" s="614" t="s">
        <v>978</v>
      </c>
      <c r="D192" s="475" t="s">
        <v>560</v>
      </c>
      <c r="E192" s="111">
        <v>100</v>
      </c>
      <c r="F192" s="111" t="s">
        <v>479</v>
      </c>
      <c r="G192" s="111"/>
      <c r="H192" s="111"/>
      <c r="I192" s="111"/>
      <c r="J192" s="111"/>
      <c r="K192" s="111"/>
      <c r="L192" s="111"/>
      <c r="M192" s="111" t="s">
        <v>138</v>
      </c>
      <c r="N192" s="111" t="s">
        <v>138</v>
      </c>
      <c r="O192" s="111" t="s">
        <v>138</v>
      </c>
      <c r="P192" s="600" t="s">
        <v>138</v>
      </c>
      <c r="Q192" s="600" t="s">
        <v>138</v>
      </c>
      <c r="R192" s="600" t="s">
        <v>138</v>
      </c>
      <c r="S192" s="111">
        <v>100</v>
      </c>
      <c r="T192" s="111">
        <v>100</v>
      </c>
      <c r="U192" s="597">
        <f t="shared" si="23"/>
        <v>0.26929498572736577</v>
      </c>
      <c r="V192" s="362"/>
    </row>
    <row r="193" spans="1:22" s="438" customFormat="1" ht="11.25" customHeight="1">
      <c r="A193" s="410"/>
      <c r="B193" s="476" t="s">
        <v>555</v>
      </c>
      <c r="C193" s="615"/>
      <c r="D193" s="477"/>
      <c r="E193" s="462"/>
      <c r="F193" s="478"/>
      <c r="G193" s="462"/>
      <c r="H193" s="462"/>
      <c r="I193" s="462"/>
      <c r="J193" s="462"/>
      <c r="K193" s="462"/>
      <c r="L193" s="462"/>
      <c r="M193" s="462"/>
      <c r="N193" s="462"/>
      <c r="O193" s="462"/>
      <c r="P193" s="462"/>
      <c r="Q193" s="462"/>
      <c r="R193" s="462"/>
      <c r="S193" s="462"/>
      <c r="T193" s="462"/>
      <c r="U193" s="598"/>
      <c r="V193" s="480"/>
    </row>
    <row r="194" spans="1:22">
      <c r="A194" s="460"/>
      <c r="B194" s="476" t="s">
        <v>142</v>
      </c>
      <c r="C194" s="615"/>
      <c r="D194" s="479"/>
      <c r="E194" s="479"/>
      <c r="F194" s="479"/>
      <c r="G194" s="479"/>
      <c r="H194" s="479"/>
      <c r="I194" s="479"/>
      <c r="J194" s="479"/>
      <c r="K194" s="479"/>
      <c r="L194" s="479"/>
      <c r="M194" s="479"/>
      <c r="N194" s="479"/>
      <c r="O194" s="479"/>
      <c r="P194" s="479"/>
      <c r="Q194" s="479"/>
      <c r="R194" s="479"/>
      <c r="S194" s="479"/>
      <c r="T194" s="479"/>
      <c r="U194" s="429"/>
    </row>
    <row r="195" spans="1:22">
      <c r="A195" s="735" t="s">
        <v>1078</v>
      </c>
      <c r="B195" s="481"/>
      <c r="C195" s="616"/>
    </row>
    <row r="196" spans="1:22">
      <c r="A196" s="736" t="s">
        <v>1079</v>
      </c>
      <c r="B196" s="481"/>
      <c r="C196" s="616"/>
    </row>
    <row r="198" spans="1:22">
      <c r="B198" s="482"/>
      <c r="C198" s="617"/>
    </row>
    <row r="200" spans="1:22">
      <c r="B200" s="482"/>
      <c r="C200" s="617"/>
    </row>
    <row r="312" spans="2:21">
      <c r="U312" s="430"/>
    </row>
    <row r="313" spans="2:21">
      <c r="B313" s="483"/>
      <c r="C313" s="618"/>
      <c r="D313" s="484"/>
      <c r="E313" s="484"/>
      <c r="F313" s="484"/>
      <c r="G313" s="484"/>
      <c r="H313" s="484"/>
      <c r="I313" s="484"/>
      <c r="J313" s="484"/>
      <c r="K313" s="484"/>
      <c r="L313" s="484"/>
      <c r="M313" s="484"/>
      <c r="N313" s="484"/>
      <c r="O313" s="484"/>
      <c r="P313" s="484"/>
      <c r="Q313" s="484"/>
      <c r="R313" s="484"/>
      <c r="S313" s="484"/>
      <c r="T313" s="484"/>
      <c r="U313" s="430"/>
    </row>
    <row r="314" spans="2:21">
      <c r="U314" s="430"/>
    </row>
    <row r="315" spans="2:21">
      <c r="U315" s="430"/>
    </row>
    <row r="316" spans="2:21">
      <c r="I316" s="415" t="s">
        <v>556</v>
      </c>
      <c r="U316" s="430"/>
    </row>
    <row r="317" spans="2:21">
      <c r="U317" s="430"/>
    </row>
    <row r="318" spans="2:21">
      <c r="U318" s="430"/>
    </row>
    <row r="319" spans="2:21">
      <c r="U319" s="430"/>
    </row>
  </sheetData>
  <sortState ref="Y136:Z152">
    <sortCondition ref="Y136:Y152"/>
  </sortState>
  <mergeCells count="5">
    <mergeCell ref="B4:B5"/>
    <mergeCell ref="K4:S4"/>
    <mergeCell ref="C4:C5"/>
    <mergeCell ref="B2:U2"/>
    <mergeCell ref="B1:U1"/>
  </mergeCells>
  <phoneticPr fontId="75" type="noConversion"/>
  <pageMargins left="0.7" right="0.7" top="0.75" bottom="0.75" header="0.3" footer="0.3"/>
  <pageSetup paperSize="9" scale="43" orientation="portrait" horizontalDpi="4294967295" verticalDpi="4294967295" r:id="rId1"/>
  <ignoredErrors>
    <ignoredError sqref="M135:R135 M178:R178 M121:R121 M173:R176" unlocked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O250"/>
  <sheetViews>
    <sheetView zoomScale="106" zoomScaleNormal="106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M19" sqref="M19"/>
    </sheetView>
  </sheetViews>
  <sheetFormatPr defaultColWidth="6.85546875" defaultRowHeight="15"/>
  <cols>
    <col min="1" max="1" width="27.85546875" style="604" customWidth="1"/>
    <col min="2" max="5" width="12.28515625" style="605" customWidth="1"/>
    <col min="6" max="6" width="14.85546875" style="605" customWidth="1"/>
    <col min="7" max="7" width="16" style="605" customWidth="1"/>
    <col min="8" max="8" width="6.85546875" style="604"/>
    <col min="9" max="13" width="6.85546875" style="640"/>
    <col min="14" max="16384" width="6.85546875" style="604"/>
  </cols>
  <sheetData>
    <row r="1" spans="1:13">
      <c r="A1" s="603"/>
    </row>
    <row r="2" spans="1:13">
      <c r="A2" s="917" t="s">
        <v>1064</v>
      </c>
      <c r="B2" s="917"/>
      <c r="C2" s="917"/>
      <c r="D2" s="917"/>
      <c r="E2" s="917"/>
      <c r="F2" s="917"/>
      <c r="G2" s="917"/>
    </row>
    <row r="3" spans="1:13" s="605" customFormat="1">
      <c r="B3" s="606"/>
      <c r="C3" s="606"/>
      <c r="D3" s="606"/>
      <c r="E3" s="606"/>
      <c r="F3" s="606"/>
      <c r="G3" s="606"/>
      <c r="I3" s="641"/>
      <c r="J3" s="641"/>
      <c r="K3" s="641"/>
      <c r="L3" s="641"/>
      <c r="M3" s="641"/>
    </row>
    <row r="4" spans="1:13" s="534" customFormat="1" ht="18.75" customHeight="1">
      <c r="A4" s="918" t="s">
        <v>565</v>
      </c>
      <c r="B4" s="920" t="s">
        <v>275</v>
      </c>
      <c r="C4" s="921"/>
      <c r="D4" s="922" t="s">
        <v>151</v>
      </c>
      <c r="E4" s="923"/>
      <c r="F4" s="921" t="s">
        <v>153</v>
      </c>
      <c r="G4" s="921"/>
      <c r="H4" s="642"/>
      <c r="I4" s="643"/>
      <c r="J4" s="643"/>
      <c r="K4" s="644"/>
      <c r="L4" s="645"/>
      <c r="M4" s="645"/>
    </row>
    <row r="5" spans="1:13" s="534" customFormat="1" ht="16.5" customHeight="1">
      <c r="A5" s="919"/>
      <c r="B5" s="601" t="s">
        <v>566</v>
      </c>
      <c r="C5" s="601" t="s">
        <v>567</v>
      </c>
      <c r="D5" s="646" t="s">
        <v>566</v>
      </c>
      <c r="E5" s="602" t="s">
        <v>567</v>
      </c>
      <c r="F5" s="601" t="s">
        <v>566</v>
      </c>
      <c r="G5" s="601" t="s">
        <v>567</v>
      </c>
      <c r="H5" s="624"/>
      <c r="I5" s="915"/>
      <c r="J5" s="916"/>
      <c r="K5" s="916"/>
      <c r="L5" s="645"/>
      <c r="M5" s="645"/>
    </row>
    <row r="6" spans="1:13" s="535" customFormat="1" ht="22.5" customHeight="1">
      <c r="A6" s="536" t="s">
        <v>756</v>
      </c>
      <c r="B6" s="647">
        <f t="shared" ref="B6:G6" si="0">SUM(B7:B10)</f>
        <v>159</v>
      </c>
      <c r="C6" s="647">
        <f t="shared" si="0"/>
        <v>37134</v>
      </c>
      <c r="D6" s="648">
        <f t="shared" si="0"/>
        <v>13</v>
      </c>
      <c r="E6" s="649">
        <f t="shared" si="0"/>
        <v>1698</v>
      </c>
      <c r="F6" s="765">
        <f t="shared" si="0"/>
        <v>661</v>
      </c>
      <c r="G6" s="647">
        <f t="shared" si="0"/>
        <v>10343</v>
      </c>
      <c r="H6" s="650"/>
      <c r="I6" s="651"/>
      <c r="J6" s="651"/>
      <c r="K6" s="652"/>
      <c r="L6" s="653"/>
      <c r="M6" s="653"/>
    </row>
    <row r="7" spans="1:13" s="535" customFormat="1" ht="15.75" customHeight="1">
      <c r="A7" s="536" t="s">
        <v>753</v>
      </c>
      <c r="B7" s="654" t="s">
        <v>138</v>
      </c>
      <c r="C7" s="654" t="s">
        <v>138</v>
      </c>
      <c r="D7" s="658">
        <v>6</v>
      </c>
      <c r="E7" s="654">
        <v>744</v>
      </c>
      <c r="F7" s="654">
        <v>28</v>
      </c>
      <c r="G7" s="654">
        <v>979</v>
      </c>
      <c r="H7" s="655"/>
      <c r="I7" s="656"/>
      <c r="J7" s="656"/>
      <c r="K7" s="657"/>
      <c r="L7" s="653"/>
      <c r="M7" s="653"/>
    </row>
    <row r="8" spans="1:13" s="535" customFormat="1" ht="16.5" customHeight="1">
      <c r="A8" s="536" t="s">
        <v>755</v>
      </c>
      <c r="B8" s="654" t="s">
        <v>138</v>
      </c>
      <c r="C8" s="654" t="s">
        <v>138</v>
      </c>
      <c r="D8" s="658" t="s">
        <v>138</v>
      </c>
      <c r="E8" s="654" t="s">
        <v>138</v>
      </c>
      <c r="F8" s="654">
        <v>4</v>
      </c>
      <c r="G8" s="654">
        <v>140</v>
      </c>
      <c r="H8" s="659"/>
      <c r="I8" s="656"/>
      <c r="J8" s="656"/>
      <c r="K8" s="657"/>
      <c r="L8" s="653"/>
      <c r="M8" s="653"/>
    </row>
    <row r="9" spans="1:13" s="535" customFormat="1" ht="16.5" customHeight="1">
      <c r="A9" s="537" t="s">
        <v>754</v>
      </c>
      <c r="B9" s="660" t="s">
        <v>138</v>
      </c>
      <c r="C9" s="660" t="s">
        <v>138</v>
      </c>
      <c r="D9" s="661" t="s">
        <v>138</v>
      </c>
      <c r="E9" s="660" t="s">
        <v>138</v>
      </c>
      <c r="F9" s="660">
        <v>92</v>
      </c>
      <c r="G9" s="660">
        <v>1948</v>
      </c>
      <c r="H9" s="655"/>
      <c r="I9" s="656"/>
      <c r="J9" s="656"/>
      <c r="K9" s="657"/>
      <c r="L9" s="653"/>
      <c r="M9" s="653"/>
    </row>
    <row r="10" spans="1:13" s="538" customFormat="1" ht="16.5" customHeight="1">
      <c r="A10" s="536" t="s">
        <v>756</v>
      </c>
      <c r="B10" s="647">
        <f t="shared" ref="B10:G10" si="1">B11+B27+B45+B61+B76+B93+B109+B116+B128+B138+B150+B157+B167+B174+B182+B197+B211+B223+B236+B239</f>
        <v>159</v>
      </c>
      <c r="C10" s="647">
        <f t="shared" si="1"/>
        <v>37134</v>
      </c>
      <c r="D10" s="648">
        <f t="shared" si="1"/>
        <v>7</v>
      </c>
      <c r="E10" s="649">
        <f t="shared" si="1"/>
        <v>954</v>
      </c>
      <c r="F10" s="647">
        <f t="shared" si="1"/>
        <v>537</v>
      </c>
      <c r="G10" s="647">
        <f t="shared" si="1"/>
        <v>7276</v>
      </c>
      <c r="H10" s="662"/>
      <c r="I10" s="663"/>
      <c r="J10" s="663"/>
      <c r="K10" s="664"/>
      <c r="L10" s="665"/>
      <c r="M10" s="665"/>
    </row>
    <row r="11" spans="1:13" s="538" customFormat="1">
      <c r="A11" s="666" t="s">
        <v>568</v>
      </c>
      <c r="B11" s="667">
        <v>2</v>
      </c>
      <c r="C11" s="668">
        <v>394</v>
      </c>
      <c r="D11" s="755">
        <f>SUM(D12:D25)</f>
        <v>0</v>
      </c>
      <c r="E11" s="756">
        <f>SUM(E12:E25)</f>
        <v>0</v>
      </c>
      <c r="F11" s="667">
        <f>SUM(F12:F25)</f>
        <v>13</v>
      </c>
      <c r="G11" s="668">
        <f>SUM(G12:G25)</f>
        <v>135</v>
      </c>
      <c r="H11" s="669"/>
      <c r="I11" s="663"/>
      <c r="J11" s="663"/>
      <c r="K11" s="664"/>
      <c r="L11" s="665"/>
      <c r="M11" s="665"/>
    </row>
    <row r="12" spans="1:13" s="535" customFormat="1">
      <c r="A12" s="670" t="s">
        <v>582</v>
      </c>
      <c r="B12" s="671" t="s">
        <v>138</v>
      </c>
      <c r="C12" s="671" t="s">
        <v>138</v>
      </c>
      <c r="D12" s="672" t="s">
        <v>138</v>
      </c>
      <c r="E12" s="671" t="s">
        <v>138</v>
      </c>
      <c r="F12" s="671" t="s">
        <v>138</v>
      </c>
      <c r="G12" s="671" t="s">
        <v>138</v>
      </c>
      <c r="H12" s="659"/>
      <c r="I12" s="656"/>
      <c r="J12" s="656"/>
      <c r="K12" s="657"/>
      <c r="L12" s="653"/>
      <c r="M12" s="653"/>
    </row>
    <row r="13" spans="1:13" s="535" customFormat="1">
      <c r="A13" s="670" t="s">
        <v>576</v>
      </c>
      <c r="B13" s="671" t="s">
        <v>138</v>
      </c>
      <c r="C13" s="671" t="s">
        <v>138</v>
      </c>
      <c r="D13" s="672" t="s">
        <v>138</v>
      </c>
      <c r="E13" s="671" t="s">
        <v>138</v>
      </c>
      <c r="F13" s="671">
        <v>2</v>
      </c>
      <c r="G13" s="671">
        <v>13</v>
      </c>
      <c r="H13" s="655"/>
      <c r="I13" s="656"/>
      <c r="J13" s="656"/>
      <c r="K13" s="657"/>
      <c r="L13" s="653"/>
      <c r="M13" s="653"/>
    </row>
    <row r="14" spans="1:13" s="535" customFormat="1">
      <c r="A14" s="670" t="s">
        <v>577</v>
      </c>
      <c r="B14" s="671" t="s">
        <v>138</v>
      </c>
      <c r="C14" s="671" t="s">
        <v>138</v>
      </c>
      <c r="D14" s="672" t="s">
        <v>138</v>
      </c>
      <c r="E14" s="671" t="s">
        <v>138</v>
      </c>
      <c r="F14" s="671" t="s">
        <v>138</v>
      </c>
      <c r="G14" s="671" t="s">
        <v>138</v>
      </c>
      <c r="H14" s="659"/>
      <c r="I14" s="656"/>
      <c r="J14" s="656"/>
      <c r="K14" s="657"/>
      <c r="L14" s="653"/>
      <c r="M14" s="653"/>
    </row>
    <row r="15" spans="1:13" s="535" customFormat="1">
      <c r="A15" s="670" t="s">
        <v>572</v>
      </c>
      <c r="B15" s="671" t="s">
        <v>138</v>
      </c>
      <c r="C15" s="671" t="s">
        <v>138</v>
      </c>
      <c r="D15" s="672" t="s">
        <v>138</v>
      </c>
      <c r="E15" s="671" t="s">
        <v>138</v>
      </c>
      <c r="F15" s="671">
        <v>1</v>
      </c>
      <c r="G15" s="671">
        <v>14</v>
      </c>
      <c r="H15" s="655"/>
      <c r="I15" s="656"/>
      <c r="J15" s="656"/>
      <c r="K15" s="657"/>
      <c r="L15" s="653"/>
      <c r="M15" s="653"/>
    </row>
    <row r="16" spans="1:13" s="535" customFormat="1">
      <c r="A16" s="670" t="s">
        <v>573</v>
      </c>
      <c r="B16" s="671" t="s">
        <v>138</v>
      </c>
      <c r="C16" s="671" t="s">
        <v>138</v>
      </c>
      <c r="D16" s="672" t="s">
        <v>138</v>
      </c>
      <c r="E16" s="671" t="s">
        <v>138</v>
      </c>
      <c r="F16" s="671" t="s">
        <v>138</v>
      </c>
      <c r="G16" s="671" t="s">
        <v>138</v>
      </c>
      <c r="H16" s="659"/>
      <c r="I16" s="656"/>
      <c r="J16" s="656"/>
      <c r="K16" s="657"/>
      <c r="L16" s="653"/>
      <c r="M16" s="653"/>
    </row>
    <row r="17" spans="1:13" s="535" customFormat="1">
      <c r="A17" s="670" t="s">
        <v>574</v>
      </c>
      <c r="B17" s="671" t="s">
        <v>138</v>
      </c>
      <c r="C17" s="671" t="s">
        <v>138</v>
      </c>
      <c r="D17" s="672" t="s">
        <v>138</v>
      </c>
      <c r="E17" s="671" t="s">
        <v>138</v>
      </c>
      <c r="F17" s="671">
        <v>6</v>
      </c>
      <c r="G17" s="671">
        <v>68</v>
      </c>
      <c r="H17" s="655"/>
      <c r="I17" s="656"/>
      <c r="J17" s="656"/>
      <c r="K17" s="657"/>
      <c r="L17" s="653"/>
      <c r="M17" s="653"/>
    </row>
    <row r="18" spans="1:13" s="535" customFormat="1">
      <c r="A18" s="670" t="s">
        <v>578</v>
      </c>
      <c r="B18" s="671" t="s">
        <v>138</v>
      </c>
      <c r="C18" s="671" t="s">
        <v>138</v>
      </c>
      <c r="D18" s="672" t="s">
        <v>138</v>
      </c>
      <c r="E18" s="671" t="s">
        <v>138</v>
      </c>
      <c r="F18" s="671" t="s">
        <v>138</v>
      </c>
      <c r="G18" s="671" t="s">
        <v>138</v>
      </c>
      <c r="H18" s="659"/>
      <c r="I18" s="656"/>
      <c r="J18" s="656"/>
      <c r="K18" s="657"/>
      <c r="L18" s="653"/>
      <c r="M18" s="653"/>
    </row>
    <row r="19" spans="1:13" s="535" customFormat="1">
      <c r="A19" s="670" t="s">
        <v>571</v>
      </c>
      <c r="B19" s="671" t="s">
        <v>138</v>
      </c>
      <c r="C19" s="671" t="s">
        <v>138</v>
      </c>
      <c r="D19" s="672" t="s">
        <v>138</v>
      </c>
      <c r="E19" s="671" t="s">
        <v>138</v>
      </c>
      <c r="F19" s="671" t="s">
        <v>138</v>
      </c>
      <c r="G19" s="671" t="s">
        <v>138</v>
      </c>
      <c r="H19" s="655"/>
      <c r="I19" s="656"/>
      <c r="J19" s="656"/>
      <c r="K19" s="657"/>
      <c r="L19" s="653"/>
      <c r="M19" s="653"/>
    </row>
    <row r="20" spans="1:13" s="535" customFormat="1">
      <c r="A20" s="670" t="s">
        <v>581</v>
      </c>
      <c r="B20" s="671" t="s">
        <v>138</v>
      </c>
      <c r="C20" s="671" t="s">
        <v>138</v>
      </c>
      <c r="D20" s="672" t="s">
        <v>138</v>
      </c>
      <c r="E20" s="671" t="s">
        <v>138</v>
      </c>
      <c r="F20" s="671" t="s">
        <v>138</v>
      </c>
      <c r="G20" s="671" t="s">
        <v>138</v>
      </c>
      <c r="H20" s="659"/>
      <c r="I20" s="656"/>
      <c r="J20" s="656"/>
      <c r="K20" s="657"/>
      <c r="L20" s="653"/>
      <c r="M20" s="653"/>
    </row>
    <row r="21" spans="1:13" s="535" customFormat="1">
      <c r="A21" s="670" t="s">
        <v>579</v>
      </c>
      <c r="B21" s="671" t="s">
        <v>138</v>
      </c>
      <c r="C21" s="671" t="s">
        <v>138</v>
      </c>
      <c r="D21" s="672" t="s">
        <v>138</v>
      </c>
      <c r="E21" s="671" t="s">
        <v>138</v>
      </c>
      <c r="F21" s="671" t="s">
        <v>138</v>
      </c>
      <c r="G21" s="671" t="s">
        <v>138</v>
      </c>
      <c r="H21" s="655"/>
      <c r="I21" s="656"/>
      <c r="J21" s="656"/>
      <c r="K21" s="657"/>
      <c r="L21" s="653"/>
      <c r="M21" s="653"/>
    </row>
    <row r="22" spans="1:13" s="535" customFormat="1">
      <c r="A22" s="670" t="s">
        <v>569</v>
      </c>
      <c r="B22" s="671" t="s">
        <v>138</v>
      </c>
      <c r="C22" s="671" t="s">
        <v>138</v>
      </c>
      <c r="D22" s="672" t="s">
        <v>138</v>
      </c>
      <c r="E22" s="671" t="s">
        <v>138</v>
      </c>
      <c r="F22" s="671" t="s">
        <v>138</v>
      </c>
      <c r="G22" s="671" t="s">
        <v>138</v>
      </c>
      <c r="H22" s="659"/>
      <c r="I22" s="656"/>
      <c r="J22" s="656"/>
      <c r="K22" s="657"/>
      <c r="L22" s="653"/>
      <c r="M22" s="653"/>
    </row>
    <row r="23" spans="1:13" s="535" customFormat="1">
      <c r="A23" s="670" t="s">
        <v>570</v>
      </c>
      <c r="B23" s="671" t="s">
        <v>138</v>
      </c>
      <c r="C23" s="671" t="s">
        <v>138</v>
      </c>
      <c r="D23" s="672" t="s">
        <v>138</v>
      </c>
      <c r="E23" s="671" t="s">
        <v>138</v>
      </c>
      <c r="F23" s="671" t="s">
        <v>138</v>
      </c>
      <c r="G23" s="671" t="s">
        <v>138</v>
      </c>
      <c r="H23" s="655"/>
      <c r="I23" s="656"/>
      <c r="J23" s="656"/>
      <c r="K23" s="657"/>
      <c r="L23" s="653"/>
      <c r="M23" s="653"/>
    </row>
    <row r="24" spans="1:13" s="535" customFormat="1">
      <c r="A24" s="670" t="s">
        <v>580</v>
      </c>
      <c r="B24" s="671" t="s">
        <v>138</v>
      </c>
      <c r="C24" s="671" t="s">
        <v>138</v>
      </c>
      <c r="D24" s="672" t="s">
        <v>138</v>
      </c>
      <c r="E24" s="671" t="s">
        <v>138</v>
      </c>
      <c r="F24" s="671" t="s">
        <v>138</v>
      </c>
      <c r="G24" s="671" t="s">
        <v>138</v>
      </c>
      <c r="H24" s="659"/>
      <c r="I24" s="656"/>
      <c r="J24" s="656"/>
      <c r="K24" s="657"/>
      <c r="L24" s="653"/>
      <c r="M24" s="653"/>
    </row>
    <row r="25" spans="1:13" s="535" customFormat="1">
      <c r="A25" s="675" t="s">
        <v>575</v>
      </c>
      <c r="B25" s="676" t="s">
        <v>138</v>
      </c>
      <c r="C25" s="676" t="s">
        <v>138</v>
      </c>
      <c r="D25" s="677" t="s">
        <v>138</v>
      </c>
      <c r="E25" s="676" t="s">
        <v>138</v>
      </c>
      <c r="F25" s="676">
        <v>4</v>
      </c>
      <c r="G25" s="676">
        <v>40</v>
      </c>
      <c r="H25" s="655"/>
      <c r="I25" s="656"/>
      <c r="J25" s="656"/>
      <c r="K25" s="657"/>
      <c r="L25" s="653"/>
      <c r="M25" s="653"/>
    </row>
    <row r="26" spans="1:13" s="535" customFormat="1">
      <c r="A26" s="678"/>
      <c r="B26" s="679"/>
      <c r="C26" s="679"/>
      <c r="D26" s="673"/>
      <c r="E26" s="674"/>
      <c r="F26" s="679"/>
      <c r="G26" s="679"/>
      <c r="H26" s="659"/>
      <c r="I26" s="656"/>
      <c r="J26" s="656"/>
      <c r="K26" s="657"/>
      <c r="L26" s="653"/>
      <c r="M26" s="653"/>
    </row>
    <row r="27" spans="1:13" s="538" customFormat="1">
      <c r="A27" s="666" t="s">
        <v>583</v>
      </c>
      <c r="B27" s="667">
        <v>1</v>
      </c>
      <c r="C27" s="668">
        <v>118</v>
      </c>
      <c r="D27" s="755">
        <f>SUM(D28:D43)</f>
        <v>1</v>
      </c>
      <c r="E27" s="756">
        <f>SUM(E28:E43)</f>
        <v>104</v>
      </c>
      <c r="F27" s="667">
        <f>SUM(F28:F43)</f>
        <v>12</v>
      </c>
      <c r="G27" s="668">
        <f>SUM(G28:G43)</f>
        <v>118</v>
      </c>
      <c r="H27" s="680"/>
      <c r="I27" s="681"/>
      <c r="J27" s="681"/>
      <c r="K27" s="682"/>
      <c r="L27" s="665"/>
      <c r="M27" s="665"/>
    </row>
    <row r="28" spans="1:13" s="535" customFormat="1">
      <c r="A28" s="670" t="s">
        <v>584</v>
      </c>
      <c r="B28" s="671" t="s">
        <v>138</v>
      </c>
      <c r="C28" s="671" t="s">
        <v>138</v>
      </c>
      <c r="D28" s="672" t="s">
        <v>138</v>
      </c>
      <c r="E28" s="671" t="s">
        <v>138</v>
      </c>
      <c r="F28" s="671" t="s">
        <v>138</v>
      </c>
      <c r="G28" s="671" t="s">
        <v>138</v>
      </c>
      <c r="H28" s="683"/>
      <c r="I28" s="684"/>
      <c r="J28" s="684"/>
      <c r="K28" s="684"/>
      <c r="L28" s="653"/>
      <c r="M28" s="653"/>
    </row>
    <row r="29" spans="1:13" s="535" customFormat="1">
      <c r="A29" s="670" t="s">
        <v>586</v>
      </c>
      <c r="B29" s="671" t="s">
        <v>138</v>
      </c>
      <c r="C29" s="671" t="s">
        <v>138</v>
      </c>
      <c r="D29" s="672" t="s">
        <v>138</v>
      </c>
      <c r="E29" s="671" t="s">
        <v>138</v>
      </c>
      <c r="F29" s="671" t="s">
        <v>138</v>
      </c>
      <c r="G29" s="671" t="s">
        <v>138</v>
      </c>
      <c r="I29" s="653"/>
      <c r="J29" s="653"/>
      <c r="K29" s="653"/>
      <c r="L29" s="653"/>
      <c r="M29" s="653"/>
    </row>
    <row r="30" spans="1:13" s="535" customFormat="1">
      <c r="A30" s="670" t="s">
        <v>585</v>
      </c>
      <c r="B30" s="671" t="s">
        <v>138</v>
      </c>
      <c r="C30" s="671" t="s">
        <v>138</v>
      </c>
      <c r="D30" s="672">
        <v>1</v>
      </c>
      <c r="E30" s="671">
        <v>104</v>
      </c>
      <c r="F30" s="671">
        <v>7</v>
      </c>
      <c r="G30" s="671">
        <v>82</v>
      </c>
      <c r="I30" s="653"/>
      <c r="J30" s="653"/>
      <c r="K30" s="653"/>
      <c r="L30" s="653"/>
      <c r="M30" s="653"/>
    </row>
    <row r="31" spans="1:13" s="535" customFormat="1">
      <c r="A31" s="670" t="s">
        <v>588</v>
      </c>
      <c r="B31" s="671" t="s">
        <v>138</v>
      </c>
      <c r="C31" s="671" t="s">
        <v>138</v>
      </c>
      <c r="D31" s="672" t="s">
        <v>138</v>
      </c>
      <c r="E31" s="671" t="s">
        <v>138</v>
      </c>
      <c r="F31" s="671" t="s">
        <v>138</v>
      </c>
      <c r="G31" s="671" t="s">
        <v>138</v>
      </c>
      <c r="I31" s="653"/>
      <c r="J31" s="653"/>
      <c r="K31" s="653"/>
      <c r="L31" s="653"/>
      <c r="M31" s="653"/>
    </row>
    <row r="32" spans="1:13" s="535" customFormat="1">
      <c r="A32" s="670" t="s">
        <v>594</v>
      </c>
      <c r="B32" s="671" t="s">
        <v>138</v>
      </c>
      <c r="C32" s="671" t="s">
        <v>138</v>
      </c>
      <c r="D32" s="672" t="s">
        <v>138</v>
      </c>
      <c r="E32" s="671" t="s">
        <v>138</v>
      </c>
      <c r="F32" s="671">
        <v>2</v>
      </c>
      <c r="G32" s="671">
        <v>14</v>
      </c>
      <c r="I32" s="653"/>
      <c r="J32" s="653"/>
      <c r="K32" s="653"/>
      <c r="L32" s="653"/>
      <c r="M32" s="653"/>
    </row>
    <row r="33" spans="1:13" s="535" customFormat="1">
      <c r="A33" s="670" t="s">
        <v>595</v>
      </c>
      <c r="B33" s="671" t="s">
        <v>138</v>
      </c>
      <c r="C33" s="671" t="s">
        <v>138</v>
      </c>
      <c r="D33" s="672" t="s">
        <v>138</v>
      </c>
      <c r="E33" s="671" t="s">
        <v>138</v>
      </c>
      <c r="F33" s="671" t="s">
        <v>138</v>
      </c>
      <c r="G33" s="671" t="s">
        <v>138</v>
      </c>
      <c r="I33" s="653"/>
      <c r="J33" s="653"/>
      <c r="K33" s="653"/>
      <c r="L33" s="653"/>
      <c r="M33" s="653"/>
    </row>
    <row r="34" spans="1:13" s="535" customFormat="1">
      <c r="A34" s="670" t="s">
        <v>593</v>
      </c>
      <c r="B34" s="671" t="s">
        <v>138</v>
      </c>
      <c r="C34" s="671" t="s">
        <v>138</v>
      </c>
      <c r="D34" s="672" t="s">
        <v>138</v>
      </c>
      <c r="E34" s="671" t="s">
        <v>138</v>
      </c>
      <c r="F34" s="671" t="s">
        <v>138</v>
      </c>
      <c r="G34" s="671" t="s">
        <v>138</v>
      </c>
      <c r="I34" s="653"/>
      <c r="J34" s="653"/>
      <c r="K34" s="653"/>
      <c r="L34" s="653"/>
      <c r="M34" s="653"/>
    </row>
    <row r="35" spans="1:13" s="535" customFormat="1">
      <c r="A35" s="670" t="s">
        <v>592</v>
      </c>
      <c r="B35" s="671" t="s">
        <v>138</v>
      </c>
      <c r="C35" s="671" t="s">
        <v>138</v>
      </c>
      <c r="D35" s="672" t="s">
        <v>138</v>
      </c>
      <c r="E35" s="671" t="s">
        <v>138</v>
      </c>
      <c r="F35" s="671" t="s">
        <v>138</v>
      </c>
      <c r="G35" s="671" t="s">
        <v>138</v>
      </c>
      <c r="I35" s="653"/>
      <c r="J35" s="653"/>
      <c r="K35" s="653"/>
      <c r="L35" s="653"/>
      <c r="M35" s="653"/>
    </row>
    <row r="36" spans="1:13" s="535" customFormat="1">
      <c r="A36" s="670" t="s">
        <v>598</v>
      </c>
      <c r="B36" s="671" t="s">
        <v>138</v>
      </c>
      <c r="C36" s="671" t="s">
        <v>138</v>
      </c>
      <c r="D36" s="672" t="s">
        <v>138</v>
      </c>
      <c r="E36" s="671" t="s">
        <v>138</v>
      </c>
      <c r="F36" s="671" t="s">
        <v>138</v>
      </c>
      <c r="G36" s="671" t="s">
        <v>138</v>
      </c>
      <c r="I36" s="653"/>
      <c r="J36" s="653"/>
      <c r="K36" s="653"/>
      <c r="L36" s="653"/>
      <c r="M36" s="653"/>
    </row>
    <row r="37" spans="1:13" s="535" customFormat="1">
      <c r="A37" s="670" t="s">
        <v>599</v>
      </c>
      <c r="B37" s="671" t="s">
        <v>138</v>
      </c>
      <c r="C37" s="671" t="s">
        <v>138</v>
      </c>
      <c r="D37" s="672" t="s">
        <v>138</v>
      </c>
      <c r="E37" s="671" t="s">
        <v>138</v>
      </c>
      <c r="F37" s="671" t="s">
        <v>138</v>
      </c>
      <c r="G37" s="671" t="s">
        <v>138</v>
      </c>
      <c r="I37" s="653"/>
      <c r="J37" s="653"/>
      <c r="K37" s="653"/>
      <c r="L37" s="653"/>
      <c r="M37" s="653"/>
    </row>
    <row r="38" spans="1:13" s="535" customFormat="1">
      <c r="A38" s="670" t="s">
        <v>587</v>
      </c>
      <c r="B38" s="671" t="s">
        <v>138</v>
      </c>
      <c r="C38" s="671" t="s">
        <v>138</v>
      </c>
      <c r="D38" s="672" t="s">
        <v>138</v>
      </c>
      <c r="E38" s="671" t="s">
        <v>138</v>
      </c>
      <c r="F38" s="671" t="s">
        <v>138</v>
      </c>
      <c r="G38" s="671" t="s">
        <v>138</v>
      </c>
      <c r="I38" s="653"/>
      <c r="J38" s="653"/>
      <c r="K38" s="653"/>
      <c r="L38" s="653"/>
      <c r="M38" s="653"/>
    </row>
    <row r="39" spans="1:13" s="535" customFormat="1">
      <c r="A39" s="670" t="s">
        <v>590</v>
      </c>
      <c r="B39" s="671" t="s">
        <v>138</v>
      </c>
      <c r="C39" s="671" t="s">
        <v>138</v>
      </c>
      <c r="D39" s="672" t="s">
        <v>138</v>
      </c>
      <c r="E39" s="671" t="s">
        <v>138</v>
      </c>
      <c r="F39" s="671">
        <v>1</v>
      </c>
      <c r="G39" s="671">
        <v>6</v>
      </c>
      <c r="I39" s="653"/>
      <c r="J39" s="653"/>
      <c r="K39" s="653"/>
      <c r="L39" s="653"/>
      <c r="M39" s="653"/>
    </row>
    <row r="40" spans="1:13" s="535" customFormat="1">
      <c r="A40" s="670" t="s">
        <v>596</v>
      </c>
      <c r="B40" s="671" t="s">
        <v>138</v>
      </c>
      <c r="C40" s="671" t="s">
        <v>138</v>
      </c>
      <c r="D40" s="672" t="s">
        <v>138</v>
      </c>
      <c r="E40" s="671" t="s">
        <v>138</v>
      </c>
      <c r="F40" s="671" t="s">
        <v>138</v>
      </c>
      <c r="G40" s="671" t="s">
        <v>138</v>
      </c>
      <c r="I40" s="653"/>
      <c r="J40" s="653"/>
      <c r="K40" s="653"/>
      <c r="L40" s="653"/>
      <c r="M40" s="653"/>
    </row>
    <row r="41" spans="1:13" s="535" customFormat="1">
      <c r="A41" s="670" t="s">
        <v>591</v>
      </c>
      <c r="B41" s="671" t="s">
        <v>138</v>
      </c>
      <c r="C41" s="671" t="s">
        <v>138</v>
      </c>
      <c r="D41" s="672" t="s">
        <v>138</v>
      </c>
      <c r="E41" s="671" t="s">
        <v>138</v>
      </c>
      <c r="F41" s="671" t="s">
        <v>138</v>
      </c>
      <c r="G41" s="671" t="s">
        <v>138</v>
      </c>
      <c r="I41" s="653"/>
      <c r="J41" s="653"/>
      <c r="K41" s="653"/>
      <c r="L41" s="653"/>
      <c r="M41" s="653"/>
    </row>
    <row r="42" spans="1:13" s="535" customFormat="1">
      <c r="A42" s="670" t="s">
        <v>589</v>
      </c>
      <c r="B42" s="671" t="s">
        <v>138</v>
      </c>
      <c r="C42" s="671" t="s">
        <v>138</v>
      </c>
      <c r="D42" s="672" t="s">
        <v>138</v>
      </c>
      <c r="E42" s="671" t="s">
        <v>138</v>
      </c>
      <c r="F42" s="671">
        <v>1</v>
      </c>
      <c r="G42" s="671">
        <v>10</v>
      </c>
      <c r="I42" s="653"/>
      <c r="J42" s="653"/>
      <c r="K42" s="653"/>
      <c r="L42" s="653"/>
      <c r="M42" s="653"/>
    </row>
    <row r="43" spans="1:13" s="535" customFormat="1">
      <c r="A43" s="675" t="s">
        <v>597</v>
      </c>
      <c r="B43" s="676" t="s">
        <v>138</v>
      </c>
      <c r="C43" s="676" t="s">
        <v>138</v>
      </c>
      <c r="D43" s="677" t="s">
        <v>138</v>
      </c>
      <c r="E43" s="676" t="s">
        <v>138</v>
      </c>
      <c r="F43" s="676">
        <v>1</v>
      </c>
      <c r="G43" s="676">
        <v>6</v>
      </c>
      <c r="I43" s="653"/>
      <c r="J43" s="653"/>
      <c r="K43" s="653"/>
      <c r="L43" s="653"/>
      <c r="M43" s="653"/>
    </row>
    <row r="44" spans="1:13" s="535" customFormat="1">
      <c r="A44" s="685"/>
      <c r="B44" s="679"/>
      <c r="C44" s="679"/>
      <c r="D44" s="673"/>
      <c r="E44" s="674"/>
      <c r="F44" s="679"/>
      <c r="G44" s="679"/>
      <c r="I44" s="653"/>
      <c r="J44" s="653"/>
      <c r="K44" s="653"/>
      <c r="L44" s="653"/>
      <c r="M44" s="653"/>
    </row>
    <row r="45" spans="1:13" s="538" customFormat="1">
      <c r="A45" s="666" t="s">
        <v>600</v>
      </c>
      <c r="B45" s="538">
        <v>2</v>
      </c>
      <c r="C45" s="667">
        <f>'10.14'!T13</f>
        <v>457</v>
      </c>
      <c r="D45" s="757">
        <f>SUM(D46:D59)</f>
        <v>0</v>
      </c>
      <c r="E45" s="758">
        <f>SUM(E46:E59)</f>
        <v>0</v>
      </c>
      <c r="F45" s="538">
        <f>SUM(F46:F59)</f>
        <v>2</v>
      </c>
      <c r="G45" s="667">
        <f>SUM(G46:G59)</f>
        <v>16</v>
      </c>
      <c r="I45" s="665"/>
      <c r="J45" s="665"/>
      <c r="K45" s="665"/>
      <c r="L45" s="665"/>
      <c r="M45" s="665"/>
    </row>
    <row r="46" spans="1:13">
      <c r="A46" s="670" t="s">
        <v>606</v>
      </c>
      <c r="B46" s="671" t="s">
        <v>138</v>
      </c>
      <c r="C46" s="671" t="s">
        <v>138</v>
      </c>
      <c r="D46" s="672" t="s">
        <v>138</v>
      </c>
      <c r="E46" s="671" t="s">
        <v>138</v>
      </c>
      <c r="F46" s="671" t="s">
        <v>138</v>
      </c>
      <c r="G46" s="671" t="s">
        <v>138</v>
      </c>
    </row>
    <row r="47" spans="1:13">
      <c r="A47" s="670" t="s">
        <v>605</v>
      </c>
      <c r="B47" s="671" t="s">
        <v>138</v>
      </c>
      <c r="C47" s="671" t="s">
        <v>138</v>
      </c>
      <c r="D47" s="672" t="s">
        <v>138</v>
      </c>
      <c r="E47" s="671" t="s">
        <v>138</v>
      </c>
      <c r="F47" s="671" t="s">
        <v>138</v>
      </c>
      <c r="G47" s="671" t="s">
        <v>138</v>
      </c>
    </row>
    <row r="48" spans="1:13">
      <c r="A48" s="670" t="s">
        <v>604</v>
      </c>
      <c r="B48" s="671" t="s">
        <v>138</v>
      </c>
      <c r="C48" s="671" t="s">
        <v>138</v>
      </c>
      <c r="D48" s="672" t="s">
        <v>138</v>
      </c>
      <c r="E48" s="671" t="s">
        <v>138</v>
      </c>
      <c r="F48" s="671" t="s">
        <v>138</v>
      </c>
      <c r="G48" s="671" t="s">
        <v>138</v>
      </c>
    </row>
    <row r="49" spans="1:13">
      <c r="A49" s="670" t="s">
        <v>607</v>
      </c>
      <c r="B49" s="671" t="s">
        <v>138</v>
      </c>
      <c r="C49" s="671" t="s">
        <v>138</v>
      </c>
      <c r="D49" s="672" t="s">
        <v>138</v>
      </c>
      <c r="E49" s="671" t="s">
        <v>138</v>
      </c>
      <c r="F49" s="671" t="s">
        <v>138</v>
      </c>
      <c r="G49" s="671" t="s">
        <v>138</v>
      </c>
    </row>
    <row r="50" spans="1:13">
      <c r="A50" s="670" t="s">
        <v>613</v>
      </c>
      <c r="B50" s="671" t="s">
        <v>138</v>
      </c>
      <c r="C50" s="671" t="s">
        <v>138</v>
      </c>
      <c r="D50" s="672" t="s">
        <v>138</v>
      </c>
      <c r="E50" s="671" t="s">
        <v>138</v>
      </c>
      <c r="F50" s="671" t="s">
        <v>138</v>
      </c>
      <c r="G50" s="671" t="s">
        <v>138</v>
      </c>
    </row>
    <row r="51" spans="1:13">
      <c r="A51" s="670" t="s">
        <v>603</v>
      </c>
      <c r="B51" s="671" t="s">
        <v>138</v>
      </c>
      <c r="C51" s="671" t="s">
        <v>138</v>
      </c>
      <c r="D51" s="672" t="s">
        <v>138</v>
      </c>
      <c r="E51" s="671" t="s">
        <v>138</v>
      </c>
      <c r="F51" s="671" t="s">
        <v>138</v>
      </c>
      <c r="G51" s="671" t="s">
        <v>138</v>
      </c>
    </row>
    <row r="52" spans="1:13">
      <c r="A52" s="670" t="s">
        <v>601</v>
      </c>
      <c r="B52" s="671" t="s">
        <v>138</v>
      </c>
      <c r="C52" s="671" t="s">
        <v>138</v>
      </c>
      <c r="D52" s="672" t="s">
        <v>138</v>
      </c>
      <c r="E52" s="671" t="s">
        <v>138</v>
      </c>
      <c r="F52" s="671">
        <v>1</v>
      </c>
      <c r="G52" s="671">
        <v>8</v>
      </c>
    </row>
    <row r="53" spans="1:13">
      <c r="A53" s="670" t="s">
        <v>611</v>
      </c>
      <c r="B53" s="671" t="s">
        <v>138</v>
      </c>
      <c r="C53" s="671" t="s">
        <v>138</v>
      </c>
      <c r="D53" s="672" t="s">
        <v>138</v>
      </c>
      <c r="E53" s="671" t="s">
        <v>138</v>
      </c>
      <c r="F53" s="671">
        <v>1</v>
      </c>
      <c r="G53" s="671">
        <v>8</v>
      </c>
    </row>
    <row r="54" spans="1:13">
      <c r="A54" s="670" t="s">
        <v>610</v>
      </c>
      <c r="B54" s="671" t="s">
        <v>138</v>
      </c>
      <c r="C54" s="671" t="s">
        <v>138</v>
      </c>
      <c r="D54" s="672" t="s">
        <v>138</v>
      </c>
      <c r="E54" s="671" t="s">
        <v>138</v>
      </c>
      <c r="F54" s="671" t="s">
        <v>138</v>
      </c>
      <c r="G54" s="671" t="s">
        <v>138</v>
      </c>
    </row>
    <row r="55" spans="1:13">
      <c r="A55" s="670" t="s">
        <v>612</v>
      </c>
      <c r="B55" s="671" t="s">
        <v>138</v>
      </c>
      <c r="C55" s="671" t="s">
        <v>138</v>
      </c>
      <c r="D55" s="672" t="s">
        <v>138</v>
      </c>
      <c r="E55" s="671" t="s">
        <v>138</v>
      </c>
      <c r="F55" s="671" t="s">
        <v>138</v>
      </c>
      <c r="G55" s="671" t="s">
        <v>138</v>
      </c>
    </row>
    <row r="56" spans="1:13">
      <c r="A56" s="670" t="s">
        <v>609</v>
      </c>
      <c r="B56" s="671" t="s">
        <v>138</v>
      </c>
      <c r="C56" s="671" t="s">
        <v>138</v>
      </c>
      <c r="D56" s="672" t="s">
        <v>138</v>
      </c>
      <c r="E56" s="671" t="s">
        <v>138</v>
      </c>
      <c r="F56" s="671" t="s">
        <v>138</v>
      </c>
      <c r="G56" s="671" t="s">
        <v>138</v>
      </c>
    </row>
    <row r="57" spans="1:13">
      <c r="A57" s="670" t="s">
        <v>1059</v>
      </c>
      <c r="B57" s="671" t="s">
        <v>138</v>
      </c>
      <c r="C57" s="671" t="s">
        <v>138</v>
      </c>
      <c r="D57" s="672" t="s">
        <v>138</v>
      </c>
      <c r="E57" s="671" t="s">
        <v>138</v>
      </c>
      <c r="F57" s="671" t="s">
        <v>138</v>
      </c>
      <c r="G57" s="671" t="s">
        <v>138</v>
      </c>
    </row>
    <row r="58" spans="1:13">
      <c r="A58" s="670" t="s">
        <v>608</v>
      </c>
      <c r="B58" s="671" t="s">
        <v>138</v>
      </c>
      <c r="C58" s="671" t="s">
        <v>138</v>
      </c>
      <c r="D58" s="672" t="s">
        <v>138</v>
      </c>
      <c r="E58" s="671" t="s">
        <v>138</v>
      </c>
      <c r="F58" s="671" t="s">
        <v>138</v>
      </c>
      <c r="G58" s="671" t="s">
        <v>138</v>
      </c>
    </row>
    <row r="59" spans="1:13">
      <c r="A59" s="675" t="s">
        <v>602</v>
      </c>
      <c r="B59" s="676" t="s">
        <v>138</v>
      </c>
      <c r="C59" s="676" t="s">
        <v>138</v>
      </c>
      <c r="D59" s="677" t="s">
        <v>138</v>
      </c>
      <c r="E59" s="676" t="s">
        <v>138</v>
      </c>
      <c r="F59" s="676" t="s">
        <v>138</v>
      </c>
      <c r="G59" s="676" t="s">
        <v>138</v>
      </c>
    </row>
    <row r="60" spans="1:13">
      <c r="A60" s="678"/>
      <c r="B60" s="641"/>
      <c r="C60" s="641"/>
      <c r="D60" s="759"/>
      <c r="E60" s="641"/>
      <c r="F60" s="641"/>
      <c r="G60" s="641"/>
    </row>
    <row r="61" spans="1:13" s="607" customFormat="1">
      <c r="A61" s="666" t="s">
        <v>614</v>
      </c>
      <c r="B61" s="667">
        <v>7</v>
      </c>
      <c r="C61" s="668">
        <f>'10.14'!T16</f>
        <v>1436</v>
      </c>
      <c r="D61" s="755">
        <f>SUM(D62:D74)</f>
        <v>0</v>
      </c>
      <c r="E61" s="756">
        <f>SUM(E62:E74)</f>
        <v>0</v>
      </c>
      <c r="F61" s="667">
        <f>SUM(F62:F74)</f>
        <v>7</v>
      </c>
      <c r="G61" s="668">
        <f>SUM(G62:G74)</f>
        <v>72</v>
      </c>
      <c r="I61" s="686"/>
      <c r="J61" s="686"/>
      <c r="K61" s="686"/>
      <c r="L61" s="686"/>
      <c r="M61" s="686"/>
    </row>
    <row r="62" spans="1:13">
      <c r="A62" s="670" t="s">
        <v>615</v>
      </c>
      <c r="B62" s="671" t="s">
        <v>138</v>
      </c>
      <c r="C62" s="671" t="s">
        <v>138</v>
      </c>
      <c r="D62" s="672" t="s">
        <v>138</v>
      </c>
      <c r="E62" s="671" t="s">
        <v>138</v>
      </c>
      <c r="F62" s="671" t="s">
        <v>138</v>
      </c>
      <c r="G62" s="671" t="s">
        <v>138</v>
      </c>
    </row>
    <row r="63" spans="1:13">
      <c r="A63" s="670" t="s">
        <v>616</v>
      </c>
      <c r="B63" s="671" t="s">
        <v>138</v>
      </c>
      <c r="C63" s="671" t="s">
        <v>138</v>
      </c>
      <c r="D63" s="672" t="s">
        <v>138</v>
      </c>
      <c r="E63" s="671" t="s">
        <v>138</v>
      </c>
      <c r="F63" s="671" t="s">
        <v>138</v>
      </c>
      <c r="G63" s="671" t="s">
        <v>138</v>
      </c>
    </row>
    <row r="64" spans="1:13">
      <c r="A64" s="670" t="s">
        <v>617</v>
      </c>
      <c r="B64" s="671" t="s">
        <v>138</v>
      </c>
      <c r="C64" s="671" t="s">
        <v>138</v>
      </c>
      <c r="D64" s="672" t="s">
        <v>138</v>
      </c>
      <c r="E64" s="671" t="s">
        <v>138</v>
      </c>
      <c r="F64" s="671" t="s">
        <v>138</v>
      </c>
      <c r="G64" s="671" t="s">
        <v>138</v>
      </c>
    </row>
    <row r="65" spans="1:13">
      <c r="A65" s="670" t="s">
        <v>618</v>
      </c>
      <c r="B65" s="671" t="s">
        <v>138</v>
      </c>
      <c r="C65" s="671" t="s">
        <v>138</v>
      </c>
      <c r="D65" s="672" t="s">
        <v>138</v>
      </c>
      <c r="E65" s="671" t="s">
        <v>138</v>
      </c>
      <c r="F65" s="671" t="s">
        <v>138</v>
      </c>
      <c r="G65" s="671" t="s">
        <v>138</v>
      </c>
    </row>
    <row r="66" spans="1:13">
      <c r="A66" s="670" t="s">
        <v>619</v>
      </c>
      <c r="B66" s="671" t="s">
        <v>138</v>
      </c>
      <c r="C66" s="671" t="s">
        <v>138</v>
      </c>
      <c r="D66" s="672" t="s">
        <v>138</v>
      </c>
      <c r="E66" s="671" t="s">
        <v>138</v>
      </c>
      <c r="F66" s="671" t="s">
        <v>138</v>
      </c>
      <c r="G66" s="671" t="s">
        <v>138</v>
      </c>
    </row>
    <row r="67" spans="1:13">
      <c r="A67" s="670" t="s">
        <v>620</v>
      </c>
      <c r="B67" s="671" t="s">
        <v>138</v>
      </c>
      <c r="C67" s="671" t="s">
        <v>138</v>
      </c>
      <c r="D67" s="672" t="s">
        <v>138</v>
      </c>
      <c r="E67" s="671" t="s">
        <v>138</v>
      </c>
      <c r="F67" s="671" t="s">
        <v>138</v>
      </c>
      <c r="G67" s="671" t="s">
        <v>138</v>
      </c>
    </row>
    <row r="68" spans="1:13">
      <c r="A68" s="670" t="s">
        <v>621</v>
      </c>
      <c r="B68" s="671" t="s">
        <v>138</v>
      </c>
      <c r="C68" s="671" t="s">
        <v>138</v>
      </c>
      <c r="D68" s="672" t="s">
        <v>138</v>
      </c>
      <c r="E68" s="671" t="s">
        <v>138</v>
      </c>
      <c r="F68" s="671" t="s">
        <v>138</v>
      </c>
      <c r="G68" s="671" t="s">
        <v>138</v>
      </c>
    </row>
    <row r="69" spans="1:13">
      <c r="A69" s="670" t="s">
        <v>622</v>
      </c>
      <c r="B69" s="671" t="s">
        <v>138</v>
      </c>
      <c r="C69" s="671" t="s">
        <v>138</v>
      </c>
      <c r="D69" s="672" t="s">
        <v>138</v>
      </c>
      <c r="E69" s="671" t="s">
        <v>138</v>
      </c>
      <c r="F69" s="671" t="s">
        <v>138</v>
      </c>
      <c r="G69" s="671" t="s">
        <v>138</v>
      </c>
    </row>
    <row r="70" spans="1:13">
      <c r="A70" s="670" t="s">
        <v>623</v>
      </c>
      <c r="B70" s="671" t="s">
        <v>138</v>
      </c>
      <c r="C70" s="671" t="s">
        <v>138</v>
      </c>
      <c r="D70" s="672" t="s">
        <v>138</v>
      </c>
      <c r="E70" s="671" t="s">
        <v>138</v>
      </c>
      <c r="F70" s="671" t="s">
        <v>138</v>
      </c>
      <c r="G70" s="671" t="s">
        <v>138</v>
      </c>
    </row>
    <row r="71" spans="1:13">
      <c r="A71" s="670" t="s">
        <v>624</v>
      </c>
      <c r="B71" s="671" t="s">
        <v>138</v>
      </c>
      <c r="C71" s="671" t="s">
        <v>138</v>
      </c>
      <c r="D71" s="672" t="s">
        <v>138</v>
      </c>
      <c r="E71" s="671" t="s">
        <v>138</v>
      </c>
      <c r="F71" s="671" t="s">
        <v>138</v>
      </c>
      <c r="G71" s="671" t="s">
        <v>138</v>
      </c>
    </row>
    <row r="72" spans="1:13">
      <c r="A72" s="670" t="s">
        <v>625</v>
      </c>
      <c r="B72" s="671" t="s">
        <v>138</v>
      </c>
      <c r="C72" s="671" t="s">
        <v>138</v>
      </c>
      <c r="D72" s="672" t="s">
        <v>138</v>
      </c>
      <c r="E72" s="671" t="s">
        <v>138</v>
      </c>
      <c r="F72" s="671">
        <v>3</v>
      </c>
      <c r="G72" s="671">
        <v>20</v>
      </c>
    </row>
    <row r="73" spans="1:13">
      <c r="A73" s="670" t="s">
        <v>626</v>
      </c>
      <c r="B73" s="671" t="s">
        <v>138</v>
      </c>
      <c r="C73" s="671" t="s">
        <v>138</v>
      </c>
      <c r="D73" s="672" t="s">
        <v>138</v>
      </c>
      <c r="E73" s="671" t="s">
        <v>138</v>
      </c>
      <c r="F73" s="671">
        <v>2</v>
      </c>
      <c r="G73" s="671">
        <v>34</v>
      </c>
    </row>
    <row r="74" spans="1:13">
      <c r="A74" s="675" t="s">
        <v>627</v>
      </c>
      <c r="B74" s="676" t="s">
        <v>138</v>
      </c>
      <c r="C74" s="676" t="s">
        <v>138</v>
      </c>
      <c r="D74" s="677" t="s">
        <v>138</v>
      </c>
      <c r="E74" s="676" t="s">
        <v>138</v>
      </c>
      <c r="F74" s="676">
        <v>2</v>
      </c>
      <c r="G74" s="676">
        <v>18</v>
      </c>
    </row>
    <row r="75" spans="1:13">
      <c r="A75" s="685"/>
      <c r="B75" s="641"/>
      <c r="C75" s="641"/>
      <c r="D75" s="759"/>
      <c r="E75" s="641"/>
      <c r="F75" s="641"/>
      <c r="G75" s="641"/>
    </row>
    <row r="76" spans="1:13" s="607" customFormat="1">
      <c r="A76" s="666" t="s">
        <v>287</v>
      </c>
      <c r="B76" s="667">
        <v>13</v>
      </c>
      <c r="C76" s="668">
        <f>'10.14'!T24</f>
        <v>3288</v>
      </c>
      <c r="D76" s="755">
        <f>SUM(D77:D91)</f>
        <v>0</v>
      </c>
      <c r="E76" s="756">
        <f>SUM(E77:E91)</f>
        <v>0</v>
      </c>
      <c r="F76" s="667">
        <f>SUM(F77:F91)</f>
        <v>4</v>
      </c>
      <c r="G76" s="668">
        <f>SUM(G77:G91)</f>
        <v>30</v>
      </c>
      <c r="I76" s="686"/>
      <c r="J76" s="686"/>
      <c r="K76" s="686"/>
      <c r="L76" s="686"/>
      <c r="M76" s="686"/>
    </row>
    <row r="77" spans="1:13">
      <c r="A77" s="670" t="s">
        <v>633</v>
      </c>
      <c r="B77" s="671" t="s">
        <v>138</v>
      </c>
      <c r="C77" s="671" t="s">
        <v>138</v>
      </c>
      <c r="D77" s="672" t="s">
        <v>138</v>
      </c>
      <c r="E77" s="671" t="s">
        <v>138</v>
      </c>
      <c r="F77" s="671" t="s">
        <v>138</v>
      </c>
      <c r="G77" s="671" t="s">
        <v>138</v>
      </c>
    </row>
    <row r="78" spans="1:13">
      <c r="A78" s="670" t="s">
        <v>628</v>
      </c>
      <c r="B78" s="671" t="s">
        <v>138</v>
      </c>
      <c r="C78" s="671" t="s">
        <v>138</v>
      </c>
      <c r="D78" s="672" t="s">
        <v>138</v>
      </c>
      <c r="E78" s="671" t="s">
        <v>138</v>
      </c>
      <c r="F78" s="671" t="s">
        <v>138</v>
      </c>
      <c r="G78" s="671" t="s">
        <v>138</v>
      </c>
    </row>
    <row r="79" spans="1:13">
      <c r="A79" s="670" t="s">
        <v>631</v>
      </c>
      <c r="B79" s="671" t="s">
        <v>138</v>
      </c>
      <c r="C79" s="671" t="s">
        <v>138</v>
      </c>
      <c r="D79" s="672" t="s">
        <v>138</v>
      </c>
      <c r="E79" s="671" t="s">
        <v>138</v>
      </c>
      <c r="F79" s="671" t="s">
        <v>138</v>
      </c>
      <c r="G79" s="671" t="s">
        <v>138</v>
      </c>
    </row>
    <row r="80" spans="1:13">
      <c r="A80" s="670" t="s">
        <v>639</v>
      </c>
      <c r="B80" s="671" t="s">
        <v>138</v>
      </c>
      <c r="C80" s="671" t="s">
        <v>138</v>
      </c>
      <c r="D80" s="672" t="s">
        <v>138</v>
      </c>
      <c r="E80" s="671" t="s">
        <v>138</v>
      </c>
      <c r="F80" s="671" t="s">
        <v>138</v>
      </c>
      <c r="G80" s="671" t="s">
        <v>138</v>
      </c>
    </row>
    <row r="81" spans="1:13">
      <c r="A81" s="670" t="s">
        <v>642</v>
      </c>
      <c r="B81" s="671" t="s">
        <v>138</v>
      </c>
      <c r="C81" s="671" t="s">
        <v>138</v>
      </c>
      <c r="D81" s="672" t="s">
        <v>138</v>
      </c>
      <c r="E81" s="671" t="s">
        <v>138</v>
      </c>
      <c r="F81" s="671">
        <v>1</v>
      </c>
      <c r="G81" s="671">
        <v>6</v>
      </c>
    </row>
    <row r="82" spans="1:13">
      <c r="A82" s="670" t="s">
        <v>638</v>
      </c>
      <c r="B82" s="671" t="s">
        <v>138</v>
      </c>
      <c r="C82" s="671" t="s">
        <v>138</v>
      </c>
      <c r="D82" s="672" t="s">
        <v>138</v>
      </c>
      <c r="E82" s="671" t="s">
        <v>138</v>
      </c>
      <c r="F82" s="671" t="s">
        <v>138</v>
      </c>
      <c r="G82" s="671" t="s">
        <v>138</v>
      </c>
    </row>
    <row r="83" spans="1:13">
      <c r="A83" s="670" t="s">
        <v>636</v>
      </c>
      <c r="B83" s="671" t="s">
        <v>138</v>
      </c>
      <c r="C83" s="671" t="s">
        <v>138</v>
      </c>
      <c r="D83" s="672" t="s">
        <v>138</v>
      </c>
      <c r="E83" s="671" t="s">
        <v>138</v>
      </c>
      <c r="F83" s="671" t="s">
        <v>138</v>
      </c>
      <c r="G83" s="671" t="s">
        <v>138</v>
      </c>
    </row>
    <row r="84" spans="1:13">
      <c r="A84" s="670" t="s">
        <v>641</v>
      </c>
      <c r="B84" s="671" t="s">
        <v>138</v>
      </c>
      <c r="C84" s="671" t="s">
        <v>138</v>
      </c>
      <c r="D84" s="672" t="s">
        <v>138</v>
      </c>
      <c r="E84" s="671" t="s">
        <v>138</v>
      </c>
      <c r="F84" s="671" t="s">
        <v>138</v>
      </c>
      <c r="G84" s="671" t="s">
        <v>138</v>
      </c>
    </row>
    <row r="85" spans="1:13">
      <c r="A85" s="670" t="s">
        <v>634</v>
      </c>
      <c r="B85" s="671" t="s">
        <v>138</v>
      </c>
      <c r="C85" s="671" t="s">
        <v>138</v>
      </c>
      <c r="D85" s="672" t="s">
        <v>138</v>
      </c>
      <c r="E85" s="671" t="s">
        <v>138</v>
      </c>
      <c r="F85" s="671">
        <v>1</v>
      </c>
      <c r="G85" s="671">
        <v>10</v>
      </c>
    </row>
    <row r="86" spans="1:13">
      <c r="A86" s="670" t="s">
        <v>637</v>
      </c>
      <c r="B86" s="671" t="s">
        <v>138</v>
      </c>
      <c r="C86" s="671" t="s">
        <v>138</v>
      </c>
      <c r="D86" s="672" t="s">
        <v>138</v>
      </c>
      <c r="E86" s="671" t="s">
        <v>138</v>
      </c>
      <c r="F86" s="671" t="s">
        <v>138</v>
      </c>
      <c r="G86" s="671" t="s">
        <v>138</v>
      </c>
    </row>
    <row r="87" spans="1:13">
      <c r="A87" s="670" t="s">
        <v>640</v>
      </c>
      <c r="B87" s="671" t="s">
        <v>138</v>
      </c>
      <c r="C87" s="671" t="s">
        <v>138</v>
      </c>
      <c r="D87" s="672" t="s">
        <v>138</v>
      </c>
      <c r="E87" s="671" t="s">
        <v>138</v>
      </c>
      <c r="F87" s="671">
        <v>1</v>
      </c>
      <c r="G87" s="671">
        <v>8</v>
      </c>
    </row>
    <row r="88" spans="1:13">
      <c r="A88" s="670" t="s">
        <v>630</v>
      </c>
      <c r="B88" s="671" t="s">
        <v>138</v>
      </c>
      <c r="C88" s="671" t="s">
        <v>138</v>
      </c>
      <c r="D88" s="672" t="s">
        <v>138</v>
      </c>
      <c r="E88" s="671" t="s">
        <v>138</v>
      </c>
      <c r="F88" s="671" t="s">
        <v>138</v>
      </c>
      <c r="G88" s="671" t="s">
        <v>138</v>
      </c>
    </row>
    <row r="89" spans="1:13">
      <c r="A89" s="670" t="s">
        <v>635</v>
      </c>
      <c r="B89" s="671" t="s">
        <v>138</v>
      </c>
      <c r="C89" s="671" t="s">
        <v>138</v>
      </c>
      <c r="D89" s="672" t="s">
        <v>138</v>
      </c>
      <c r="E89" s="671" t="s">
        <v>138</v>
      </c>
      <c r="F89" s="671" t="s">
        <v>138</v>
      </c>
      <c r="G89" s="671" t="s">
        <v>138</v>
      </c>
    </row>
    <row r="90" spans="1:13">
      <c r="A90" s="670" t="s">
        <v>632</v>
      </c>
      <c r="B90" s="671" t="s">
        <v>138</v>
      </c>
      <c r="C90" s="671" t="s">
        <v>138</v>
      </c>
      <c r="D90" s="672" t="s">
        <v>138</v>
      </c>
      <c r="E90" s="671" t="s">
        <v>138</v>
      </c>
      <c r="F90" s="671">
        <v>1</v>
      </c>
      <c r="G90" s="671">
        <v>6</v>
      </c>
    </row>
    <row r="91" spans="1:13">
      <c r="A91" s="675" t="s">
        <v>629</v>
      </c>
      <c r="B91" s="676" t="s">
        <v>138</v>
      </c>
      <c r="C91" s="676" t="s">
        <v>138</v>
      </c>
      <c r="D91" s="677" t="s">
        <v>138</v>
      </c>
      <c r="E91" s="676" t="s">
        <v>138</v>
      </c>
      <c r="F91" s="676" t="s">
        <v>138</v>
      </c>
      <c r="G91" s="676" t="s">
        <v>138</v>
      </c>
    </row>
    <row r="92" spans="1:13">
      <c r="A92" s="685"/>
      <c r="B92" s="641"/>
      <c r="C92" s="641"/>
      <c r="D92" s="759"/>
      <c r="E92" s="641"/>
      <c r="F92" s="641"/>
      <c r="G92" s="641"/>
    </row>
    <row r="93" spans="1:13" s="607" customFormat="1">
      <c r="A93" s="666" t="s">
        <v>289</v>
      </c>
      <c r="B93" s="667">
        <v>16</v>
      </c>
      <c r="C93" s="687">
        <f>'10.14'!T39</f>
        <v>3104</v>
      </c>
      <c r="D93" s="755">
        <f>SUM(D94:D107)</f>
        <v>1</v>
      </c>
      <c r="E93" s="760">
        <f>SUM(E94:E107)</f>
        <v>150</v>
      </c>
      <c r="F93" s="667">
        <f>SUM(F94:F107)</f>
        <v>45</v>
      </c>
      <c r="G93" s="687">
        <f>SUM(G94:G107)</f>
        <v>634</v>
      </c>
      <c r="I93" s="686"/>
      <c r="J93" s="686"/>
      <c r="K93" s="686"/>
      <c r="L93" s="686"/>
      <c r="M93" s="686"/>
    </row>
    <row r="94" spans="1:13">
      <c r="A94" s="670" t="s">
        <v>648</v>
      </c>
      <c r="B94" s="671" t="s">
        <v>138</v>
      </c>
      <c r="C94" s="671" t="s">
        <v>138</v>
      </c>
      <c r="D94" s="672" t="s">
        <v>138</v>
      </c>
      <c r="E94" s="671" t="s">
        <v>138</v>
      </c>
      <c r="F94" s="671">
        <v>14</v>
      </c>
      <c r="G94" s="671">
        <v>180</v>
      </c>
    </row>
    <row r="95" spans="1:13">
      <c r="A95" s="670" t="s">
        <v>647</v>
      </c>
      <c r="B95" s="671" t="s">
        <v>138</v>
      </c>
      <c r="C95" s="671" t="s">
        <v>138</v>
      </c>
      <c r="D95" s="672" t="s">
        <v>138</v>
      </c>
      <c r="E95" s="671" t="s">
        <v>138</v>
      </c>
      <c r="F95" s="671">
        <v>1</v>
      </c>
      <c r="G95" s="671">
        <v>8</v>
      </c>
    </row>
    <row r="96" spans="1:13">
      <c r="A96" s="670" t="s">
        <v>650</v>
      </c>
      <c r="B96" s="671" t="s">
        <v>138</v>
      </c>
      <c r="C96" s="671" t="s">
        <v>138</v>
      </c>
      <c r="D96" s="672" t="s">
        <v>138</v>
      </c>
      <c r="E96" s="671" t="s">
        <v>138</v>
      </c>
      <c r="F96" s="671" t="s">
        <v>138</v>
      </c>
      <c r="G96" s="671" t="s">
        <v>138</v>
      </c>
    </row>
    <row r="97" spans="1:13">
      <c r="A97" s="670" t="s">
        <v>654</v>
      </c>
      <c r="B97" s="671" t="s">
        <v>138</v>
      </c>
      <c r="C97" s="671" t="s">
        <v>138</v>
      </c>
      <c r="D97" s="672" t="s">
        <v>138</v>
      </c>
      <c r="E97" s="671" t="s">
        <v>138</v>
      </c>
      <c r="F97" s="671">
        <v>3</v>
      </c>
      <c r="G97" s="671">
        <v>46</v>
      </c>
    </row>
    <row r="98" spans="1:13">
      <c r="A98" s="670" t="s">
        <v>1060</v>
      </c>
      <c r="B98" s="671" t="s">
        <v>138</v>
      </c>
      <c r="C98" s="671" t="s">
        <v>138</v>
      </c>
      <c r="D98" s="672">
        <v>1</v>
      </c>
      <c r="E98" s="671">
        <v>150</v>
      </c>
      <c r="F98" s="671">
        <v>1</v>
      </c>
      <c r="G98" s="671">
        <v>62</v>
      </c>
    </row>
    <row r="99" spans="1:13">
      <c r="A99" s="670" t="s">
        <v>653</v>
      </c>
      <c r="B99" s="671" t="s">
        <v>138</v>
      </c>
      <c r="C99" s="671" t="s">
        <v>138</v>
      </c>
      <c r="D99" s="672" t="s">
        <v>138</v>
      </c>
      <c r="E99" s="671" t="s">
        <v>138</v>
      </c>
      <c r="F99" s="671">
        <v>6</v>
      </c>
      <c r="G99" s="671">
        <v>88</v>
      </c>
    </row>
    <row r="100" spans="1:13">
      <c r="A100" s="670" t="s">
        <v>603</v>
      </c>
      <c r="B100" s="671" t="s">
        <v>138</v>
      </c>
      <c r="C100" s="671" t="s">
        <v>138</v>
      </c>
      <c r="D100" s="672" t="s">
        <v>138</v>
      </c>
      <c r="E100" s="671" t="s">
        <v>138</v>
      </c>
      <c r="F100" s="671">
        <v>2</v>
      </c>
      <c r="G100" s="671">
        <v>34</v>
      </c>
    </row>
    <row r="101" spans="1:13">
      <c r="A101" s="670" t="s">
        <v>652</v>
      </c>
      <c r="B101" s="671" t="s">
        <v>138</v>
      </c>
      <c r="C101" s="671" t="s">
        <v>138</v>
      </c>
      <c r="D101" s="672" t="s">
        <v>138</v>
      </c>
      <c r="E101" s="671" t="s">
        <v>138</v>
      </c>
      <c r="F101" s="671">
        <v>1</v>
      </c>
      <c r="G101" s="671">
        <v>10</v>
      </c>
    </row>
    <row r="102" spans="1:13">
      <c r="A102" s="670" t="s">
        <v>644</v>
      </c>
      <c r="B102" s="671" t="s">
        <v>138</v>
      </c>
      <c r="C102" s="671" t="s">
        <v>138</v>
      </c>
      <c r="D102" s="672" t="s">
        <v>138</v>
      </c>
      <c r="E102" s="671" t="s">
        <v>138</v>
      </c>
      <c r="F102" s="671">
        <v>6</v>
      </c>
      <c r="G102" s="671">
        <v>74</v>
      </c>
    </row>
    <row r="103" spans="1:13">
      <c r="A103" s="670" t="s">
        <v>645</v>
      </c>
      <c r="B103" s="671" t="s">
        <v>138</v>
      </c>
      <c r="C103" s="671" t="s">
        <v>138</v>
      </c>
      <c r="D103" s="672" t="s">
        <v>138</v>
      </c>
      <c r="E103" s="671" t="s">
        <v>138</v>
      </c>
      <c r="F103" s="671">
        <v>3</v>
      </c>
      <c r="G103" s="671">
        <v>26</v>
      </c>
    </row>
    <row r="104" spans="1:13">
      <c r="A104" s="670" t="s">
        <v>646</v>
      </c>
      <c r="B104" s="671" t="s">
        <v>138</v>
      </c>
      <c r="C104" s="671" t="s">
        <v>138</v>
      </c>
      <c r="D104" s="672" t="s">
        <v>138</v>
      </c>
      <c r="E104" s="671" t="s">
        <v>138</v>
      </c>
      <c r="F104" s="671" t="s">
        <v>138</v>
      </c>
      <c r="G104" s="671" t="s">
        <v>138</v>
      </c>
    </row>
    <row r="105" spans="1:13">
      <c r="A105" s="670" t="s">
        <v>643</v>
      </c>
      <c r="B105" s="671" t="s">
        <v>138</v>
      </c>
      <c r="C105" s="671" t="s">
        <v>138</v>
      </c>
      <c r="D105" s="672" t="s">
        <v>138</v>
      </c>
      <c r="E105" s="671" t="s">
        <v>138</v>
      </c>
      <c r="F105" s="671">
        <v>1</v>
      </c>
      <c r="G105" s="671">
        <v>20</v>
      </c>
    </row>
    <row r="106" spans="1:13">
      <c r="A106" s="670" t="s">
        <v>649</v>
      </c>
      <c r="B106" s="671" t="s">
        <v>138</v>
      </c>
      <c r="C106" s="671" t="s">
        <v>138</v>
      </c>
      <c r="D106" s="672" t="s">
        <v>138</v>
      </c>
      <c r="E106" s="671" t="s">
        <v>138</v>
      </c>
      <c r="F106" s="671">
        <v>6</v>
      </c>
      <c r="G106" s="671">
        <v>74</v>
      </c>
    </row>
    <row r="107" spans="1:13">
      <c r="A107" s="675" t="s">
        <v>651</v>
      </c>
      <c r="B107" s="676" t="s">
        <v>138</v>
      </c>
      <c r="C107" s="676" t="s">
        <v>138</v>
      </c>
      <c r="D107" s="677" t="s">
        <v>138</v>
      </c>
      <c r="E107" s="676" t="s">
        <v>138</v>
      </c>
      <c r="F107" s="676">
        <v>1</v>
      </c>
      <c r="G107" s="676">
        <v>12</v>
      </c>
    </row>
    <row r="108" spans="1:13">
      <c r="A108" s="685"/>
      <c r="B108" s="641"/>
      <c r="C108" s="641"/>
      <c r="D108" s="759"/>
      <c r="E108" s="641"/>
      <c r="F108" s="641"/>
      <c r="G108" s="641"/>
    </row>
    <row r="109" spans="1:13" s="607" customFormat="1">
      <c r="A109" s="666" t="s">
        <v>291</v>
      </c>
      <c r="B109" s="667">
        <v>10</v>
      </c>
      <c r="C109" s="687">
        <f>'10.14'!T56</f>
        <v>2468</v>
      </c>
      <c r="D109" s="755">
        <f>SUM(D110:D114)</f>
        <v>0</v>
      </c>
      <c r="E109" s="760">
        <f>SUM(E110:E114)</f>
        <v>0</v>
      </c>
      <c r="F109" s="667">
        <f>SUM(F110:F114)</f>
        <v>7</v>
      </c>
      <c r="G109" s="687">
        <f>SUM(G110:G114)</f>
        <v>60</v>
      </c>
      <c r="I109" s="686"/>
      <c r="J109" s="686"/>
      <c r="K109" s="686"/>
      <c r="L109" s="686"/>
      <c r="M109" s="686"/>
    </row>
    <row r="110" spans="1:13">
      <c r="A110" s="670" t="s">
        <v>655</v>
      </c>
      <c r="B110" s="671" t="s">
        <v>138</v>
      </c>
      <c r="C110" s="671" t="s">
        <v>138</v>
      </c>
      <c r="D110" s="672" t="s">
        <v>138</v>
      </c>
      <c r="E110" s="671" t="s">
        <v>138</v>
      </c>
      <c r="F110" s="671">
        <v>1</v>
      </c>
      <c r="G110" s="671">
        <v>12</v>
      </c>
    </row>
    <row r="111" spans="1:13">
      <c r="A111" s="670" t="s">
        <v>657</v>
      </c>
      <c r="B111" s="671" t="s">
        <v>138</v>
      </c>
      <c r="C111" s="671" t="s">
        <v>138</v>
      </c>
      <c r="D111" s="672" t="s">
        <v>138</v>
      </c>
      <c r="E111" s="671" t="s">
        <v>138</v>
      </c>
      <c r="F111" s="671">
        <v>3</v>
      </c>
      <c r="G111" s="671">
        <v>24</v>
      </c>
    </row>
    <row r="112" spans="1:13">
      <c r="A112" s="670" t="s">
        <v>659</v>
      </c>
      <c r="B112" s="671" t="s">
        <v>138</v>
      </c>
      <c r="C112" s="671" t="s">
        <v>138</v>
      </c>
      <c r="D112" s="672" t="s">
        <v>138</v>
      </c>
      <c r="E112" s="671" t="s">
        <v>138</v>
      </c>
      <c r="F112" s="671" t="s">
        <v>138</v>
      </c>
      <c r="G112" s="671" t="s">
        <v>138</v>
      </c>
    </row>
    <row r="113" spans="1:13">
      <c r="A113" s="670" t="s">
        <v>656</v>
      </c>
      <c r="B113" s="671" t="s">
        <v>138</v>
      </c>
      <c r="C113" s="671" t="s">
        <v>138</v>
      </c>
      <c r="D113" s="672" t="s">
        <v>138</v>
      </c>
      <c r="E113" s="671" t="s">
        <v>138</v>
      </c>
      <c r="F113" s="671">
        <v>2</v>
      </c>
      <c r="G113" s="671">
        <v>14</v>
      </c>
    </row>
    <row r="114" spans="1:13">
      <c r="A114" s="675" t="s">
        <v>658</v>
      </c>
      <c r="B114" s="676" t="s">
        <v>138</v>
      </c>
      <c r="C114" s="676" t="s">
        <v>138</v>
      </c>
      <c r="D114" s="677" t="s">
        <v>138</v>
      </c>
      <c r="E114" s="676" t="s">
        <v>138</v>
      </c>
      <c r="F114" s="676">
        <v>1</v>
      </c>
      <c r="G114" s="676">
        <v>10</v>
      </c>
    </row>
    <row r="115" spans="1:13">
      <c r="A115" s="688"/>
      <c r="B115" s="641"/>
      <c r="C115" s="641"/>
      <c r="D115" s="759"/>
      <c r="E115" s="641"/>
      <c r="F115" s="641"/>
      <c r="G115" s="641"/>
    </row>
    <row r="116" spans="1:13" s="607" customFormat="1">
      <c r="A116" s="666" t="s">
        <v>293</v>
      </c>
      <c r="B116" s="667">
        <v>50</v>
      </c>
      <c r="C116" s="687">
        <f>'10.14'!T67</f>
        <v>12048</v>
      </c>
      <c r="D116" s="755">
        <f>SUM(D117:D126)</f>
        <v>2</v>
      </c>
      <c r="E116" s="760">
        <f>SUM(E117:E126)</f>
        <v>344</v>
      </c>
      <c r="F116" s="667">
        <f>SUM(F117:F126)</f>
        <v>162</v>
      </c>
      <c r="G116" s="687">
        <f>SUM(G117:G126)</f>
        <v>2875</v>
      </c>
      <c r="I116" s="686"/>
      <c r="J116" s="686"/>
      <c r="K116" s="686"/>
      <c r="L116" s="686"/>
      <c r="M116" s="686"/>
    </row>
    <row r="117" spans="1:13">
      <c r="A117" s="670" t="s">
        <v>662</v>
      </c>
      <c r="B117" s="671" t="s">
        <v>138</v>
      </c>
      <c r="C117" s="671" t="s">
        <v>138</v>
      </c>
      <c r="D117" s="672" t="s">
        <v>138</v>
      </c>
      <c r="E117" s="671" t="s">
        <v>138</v>
      </c>
      <c r="F117" s="671">
        <v>18</v>
      </c>
      <c r="G117" s="671">
        <v>300</v>
      </c>
    </row>
    <row r="118" spans="1:13">
      <c r="A118" s="670" t="s">
        <v>661</v>
      </c>
      <c r="B118" s="671" t="s">
        <v>138</v>
      </c>
      <c r="C118" s="671" t="s">
        <v>138</v>
      </c>
      <c r="D118" s="672" t="s">
        <v>138</v>
      </c>
      <c r="E118" s="671" t="s">
        <v>138</v>
      </c>
      <c r="F118" s="671">
        <v>4</v>
      </c>
      <c r="G118" s="671">
        <v>42</v>
      </c>
    </row>
    <row r="119" spans="1:13">
      <c r="A119" s="670" t="s">
        <v>666</v>
      </c>
      <c r="B119" s="671" t="s">
        <v>138</v>
      </c>
      <c r="C119" s="671" t="s">
        <v>138</v>
      </c>
      <c r="D119" s="672" t="s">
        <v>138</v>
      </c>
      <c r="E119" s="671" t="s">
        <v>138</v>
      </c>
      <c r="F119" s="671">
        <v>12</v>
      </c>
      <c r="G119" s="671">
        <v>126</v>
      </c>
    </row>
    <row r="120" spans="1:13">
      <c r="A120" s="670" t="s">
        <v>668</v>
      </c>
      <c r="B120" s="671" t="s">
        <v>138</v>
      </c>
      <c r="C120" s="671" t="s">
        <v>138</v>
      </c>
      <c r="D120" s="672" t="s">
        <v>138</v>
      </c>
      <c r="E120" s="671" t="s">
        <v>138</v>
      </c>
      <c r="F120" s="671">
        <v>22</v>
      </c>
      <c r="G120" s="671">
        <v>284</v>
      </c>
    </row>
    <row r="121" spans="1:13">
      <c r="A121" s="670" t="s">
        <v>665</v>
      </c>
      <c r="B121" s="671" t="s">
        <v>138</v>
      </c>
      <c r="C121" s="671" t="s">
        <v>138</v>
      </c>
      <c r="D121" s="672" t="s">
        <v>138</v>
      </c>
      <c r="E121" s="671" t="s">
        <v>138</v>
      </c>
      <c r="F121" s="671">
        <v>12</v>
      </c>
      <c r="G121" s="671">
        <v>118</v>
      </c>
    </row>
    <row r="122" spans="1:13">
      <c r="A122" s="670" t="s">
        <v>767</v>
      </c>
      <c r="B122" s="671" t="s">
        <v>138</v>
      </c>
      <c r="C122" s="671" t="s">
        <v>138</v>
      </c>
      <c r="D122" s="672">
        <v>1</v>
      </c>
      <c r="E122" s="671">
        <v>272</v>
      </c>
      <c r="F122" s="671" t="s">
        <v>138</v>
      </c>
      <c r="G122" s="671" t="s">
        <v>138</v>
      </c>
    </row>
    <row r="123" spans="1:13">
      <c r="A123" s="670" t="s">
        <v>664</v>
      </c>
      <c r="B123" s="671" t="s">
        <v>138</v>
      </c>
      <c r="C123" s="671" t="s">
        <v>138</v>
      </c>
      <c r="D123" s="672" t="s">
        <v>138</v>
      </c>
      <c r="E123" s="671" t="s">
        <v>138</v>
      </c>
      <c r="F123" s="671">
        <v>12</v>
      </c>
      <c r="G123" s="671">
        <v>180</v>
      </c>
    </row>
    <row r="124" spans="1:13">
      <c r="A124" s="670" t="s">
        <v>660</v>
      </c>
      <c r="B124" s="671" t="s">
        <v>138</v>
      </c>
      <c r="C124" s="671" t="s">
        <v>138</v>
      </c>
      <c r="D124" s="672" t="s">
        <v>138</v>
      </c>
      <c r="E124" s="671" t="s">
        <v>138</v>
      </c>
      <c r="F124" s="671">
        <v>4</v>
      </c>
      <c r="G124" s="671">
        <v>50</v>
      </c>
    </row>
    <row r="125" spans="1:13">
      <c r="A125" s="670" t="s">
        <v>667</v>
      </c>
      <c r="B125" s="671" t="s">
        <v>138</v>
      </c>
      <c r="C125" s="671" t="s">
        <v>138</v>
      </c>
      <c r="D125" s="672">
        <v>1</v>
      </c>
      <c r="E125" s="671">
        <v>72</v>
      </c>
      <c r="F125" s="671">
        <v>49</v>
      </c>
      <c r="G125" s="671">
        <v>1373</v>
      </c>
    </row>
    <row r="126" spans="1:13">
      <c r="A126" s="675" t="s">
        <v>663</v>
      </c>
      <c r="B126" s="676" t="s">
        <v>138</v>
      </c>
      <c r="C126" s="676" t="s">
        <v>138</v>
      </c>
      <c r="D126" s="677" t="s">
        <v>138</v>
      </c>
      <c r="E126" s="676" t="s">
        <v>138</v>
      </c>
      <c r="F126" s="676">
        <v>29</v>
      </c>
      <c r="G126" s="676">
        <v>402</v>
      </c>
    </row>
    <row r="127" spans="1:13">
      <c r="A127" s="685"/>
      <c r="B127" s="641"/>
      <c r="C127" s="641"/>
      <c r="D127" s="759"/>
      <c r="E127" s="641"/>
      <c r="F127" s="641"/>
      <c r="G127" s="641"/>
    </row>
    <row r="128" spans="1:13" s="607" customFormat="1">
      <c r="A128" s="666" t="s">
        <v>295</v>
      </c>
      <c r="B128" s="667">
        <v>11</v>
      </c>
      <c r="C128" s="687">
        <f>'10.14'!T121</f>
        <v>2224</v>
      </c>
      <c r="D128" s="755">
        <f>SUM(D129:D136)</f>
        <v>0</v>
      </c>
      <c r="E128" s="760">
        <f>SUM(E129:E136)</f>
        <v>0</v>
      </c>
      <c r="F128" s="667">
        <f>SUM(F129:F136)</f>
        <v>114</v>
      </c>
      <c r="G128" s="687">
        <f>SUM(G129:G136)</f>
        <v>1270</v>
      </c>
      <c r="I128" s="686"/>
      <c r="J128" s="686"/>
      <c r="K128" s="686"/>
      <c r="L128" s="686"/>
      <c r="M128" s="686"/>
    </row>
    <row r="129" spans="1:13">
      <c r="A129" s="670" t="s">
        <v>673</v>
      </c>
      <c r="B129" s="671" t="s">
        <v>138</v>
      </c>
      <c r="C129" s="671" t="s">
        <v>138</v>
      </c>
      <c r="D129" s="672" t="s">
        <v>138</v>
      </c>
      <c r="E129" s="671" t="s">
        <v>138</v>
      </c>
      <c r="F129" s="671">
        <v>6</v>
      </c>
      <c r="G129" s="671">
        <v>60</v>
      </c>
    </row>
    <row r="130" spans="1:13">
      <c r="A130" s="670" t="s">
        <v>674</v>
      </c>
      <c r="B130" s="671" t="s">
        <v>138</v>
      </c>
      <c r="C130" s="671" t="s">
        <v>138</v>
      </c>
      <c r="D130" s="672" t="s">
        <v>138</v>
      </c>
      <c r="E130" s="671" t="s">
        <v>138</v>
      </c>
      <c r="F130" s="671">
        <v>7</v>
      </c>
      <c r="G130" s="671">
        <v>76</v>
      </c>
    </row>
    <row r="131" spans="1:13">
      <c r="A131" s="670" t="s">
        <v>675</v>
      </c>
      <c r="B131" s="671" t="s">
        <v>138</v>
      </c>
      <c r="C131" s="671" t="s">
        <v>138</v>
      </c>
      <c r="D131" s="672" t="s">
        <v>138</v>
      </c>
      <c r="E131" s="671" t="s">
        <v>138</v>
      </c>
      <c r="F131" s="671">
        <v>3</v>
      </c>
      <c r="G131" s="671">
        <v>24</v>
      </c>
    </row>
    <row r="132" spans="1:13">
      <c r="A132" s="670" t="s">
        <v>649</v>
      </c>
      <c r="B132" s="671" t="s">
        <v>138</v>
      </c>
      <c r="C132" s="671" t="s">
        <v>138</v>
      </c>
      <c r="D132" s="672" t="s">
        <v>138</v>
      </c>
      <c r="E132" s="671" t="s">
        <v>138</v>
      </c>
      <c r="F132" s="671">
        <v>3</v>
      </c>
      <c r="G132" s="671">
        <v>16</v>
      </c>
    </row>
    <row r="133" spans="1:13">
      <c r="A133" s="670" t="s">
        <v>672</v>
      </c>
      <c r="B133" s="671" t="s">
        <v>138</v>
      </c>
      <c r="C133" s="671" t="s">
        <v>138</v>
      </c>
      <c r="D133" s="672" t="s">
        <v>138</v>
      </c>
      <c r="E133" s="671" t="s">
        <v>138</v>
      </c>
      <c r="F133" s="671">
        <v>11</v>
      </c>
      <c r="G133" s="671">
        <v>100</v>
      </c>
    </row>
    <row r="134" spans="1:13">
      <c r="A134" s="670" t="s">
        <v>670</v>
      </c>
      <c r="B134" s="671" t="s">
        <v>138</v>
      </c>
      <c r="C134" s="671" t="s">
        <v>138</v>
      </c>
      <c r="D134" s="672" t="s">
        <v>138</v>
      </c>
      <c r="E134" s="671" t="s">
        <v>138</v>
      </c>
      <c r="F134" s="671">
        <v>24</v>
      </c>
      <c r="G134" s="671">
        <v>290</v>
      </c>
    </row>
    <row r="135" spans="1:13">
      <c r="A135" s="670" t="s">
        <v>669</v>
      </c>
      <c r="B135" s="671" t="s">
        <v>138</v>
      </c>
      <c r="C135" s="671" t="s">
        <v>138</v>
      </c>
      <c r="D135" s="672" t="s">
        <v>138</v>
      </c>
      <c r="E135" s="671" t="s">
        <v>138</v>
      </c>
      <c r="F135" s="671">
        <v>39</v>
      </c>
      <c r="G135" s="671">
        <v>436</v>
      </c>
    </row>
    <row r="136" spans="1:13">
      <c r="A136" s="675" t="s">
        <v>671</v>
      </c>
      <c r="B136" s="676" t="s">
        <v>138</v>
      </c>
      <c r="C136" s="676" t="s">
        <v>138</v>
      </c>
      <c r="D136" s="677" t="s">
        <v>138</v>
      </c>
      <c r="E136" s="676" t="s">
        <v>138</v>
      </c>
      <c r="F136" s="676">
        <v>21</v>
      </c>
      <c r="G136" s="676">
        <v>268</v>
      </c>
    </row>
    <row r="137" spans="1:13">
      <c r="A137" s="689"/>
      <c r="B137" s="641"/>
      <c r="C137" s="641"/>
      <c r="D137" s="759"/>
      <c r="E137" s="641"/>
      <c r="F137" s="641"/>
      <c r="G137" s="641"/>
    </row>
    <row r="138" spans="1:13" s="607" customFormat="1">
      <c r="A138" s="666" t="s">
        <v>297</v>
      </c>
      <c r="B138" s="667">
        <v>17</v>
      </c>
      <c r="C138" s="687">
        <f>'10.14'!T135</f>
        <v>4350</v>
      </c>
      <c r="D138" s="755">
        <f>SUM(D139:D148)</f>
        <v>1</v>
      </c>
      <c r="E138" s="760">
        <f>SUM(E139:E148)</f>
        <v>56</v>
      </c>
      <c r="F138" s="667">
        <f>SUM(F139:F148)</f>
        <v>71</v>
      </c>
      <c r="G138" s="687">
        <f>SUM(G139:G148)</f>
        <v>880</v>
      </c>
      <c r="I138" s="686"/>
      <c r="J138" s="686"/>
      <c r="K138" s="686"/>
      <c r="L138" s="686"/>
      <c r="M138" s="686"/>
    </row>
    <row r="139" spans="1:13">
      <c r="A139" s="670" t="s">
        <v>766</v>
      </c>
      <c r="B139" s="671" t="s">
        <v>138</v>
      </c>
      <c r="C139" s="671" t="s">
        <v>138</v>
      </c>
      <c r="D139" s="672" t="s">
        <v>138</v>
      </c>
      <c r="E139" s="671" t="s">
        <v>138</v>
      </c>
      <c r="F139" s="671">
        <v>10</v>
      </c>
      <c r="G139" s="671">
        <v>148</v>
      </c>
    </row>
    <row r="140" spans="1:13">
      <c r="A140" s="670" t="s">
        <v>576</v>
      </c>
      <c r="B140" s="671" t="s">
        <v>138</v>
      </c>
      <c r="C140" s="671" t="s">
        <v>138</v>
      </c>
      <c r="D140" s="672" t="s">
        <v>138</v>
      </c>
      <c r="E140" s="671" t="s">
        <v>138</v>
      </c>
      <c r="F140" s="671">
        <v>1</v>
      </c>
      <c r="G140" s="671">
        <v>12</v>
      </c>
    </row>
    <row r="141" spans="1:13">
      <c r="A141" s="670" t="s">
        <v>681</v>
      </c>
      <c r="B141" s="671" t="s">
        <v>138</v>
      </c>
      <c r="C141" s="671" t="s">
        <v>138</v>
      </c>
      <c r="D141" s="672" t="s">
        <v>138</v>
      </c>
      <c r="E141" s="671" t="s">
        <v>138</v>
      </c>
      <c r="F141" s="671">
        <v>15</v>
      </c>
      <c r="G141" s="671">
        <v>284</v>
      </c>
    </row>
    <row r="142" spans="1:13">
      <c r="A142" s="670" t="s">
        <v>682</v>
      </c>
      <c r="B142" s="671" t="s">
        <v>138</v>
      </c>
      <c r="C142" s="671" t="s">
        <v>138</v>
      </c>
      <c r="D142" s="672" t="s">
        <v>138</v>
      </c>
      <c r="E142" s="671" t="s">
        <v>138</v>
      </c>
      <c r="F142" s="671">
        <v>2</v>
      </c>
      <c r="G142" s="671">
        <v>18</v>
      </c>
    </row>
    <row r="143" spans="1:13">
      <c r="A143" s="670" t="s">
        <v>676</v>
      </c>
      <c r="B143" s="671" t="s">
        <v>138</v>
      </c>
      <c r="C143" s="671" t="s">
        <v>138</v>
      </c>
      <c r="D143" s="672" t="s">
        <v>138</v>
      </c>
      <c r="E143" s="671" t="s">
        <v>138</v>
      </c>
      <c r="F143" s="671">
        <v>13</v>
      </c>
      <c r="G143" s="671">
        <v>122</v>
      </c>
    </row>
    <row r="144" spans="1:13">
      <c r="A144" s="670" t="s">
        <v>678</v>
      </c>
      <c r="B144" s="671" t="s">
        <v>138</v>
      </c>
      <c r="C144" s="671" t="s">
        <v>138</v>
      </c>
      <c r="D144" s="672" t="s">
        <v>138</v>
      </c>
      <c r="E144" s="671" t="s">
        <v>138</v>
      </c>
      <c r="F144" s="671">
        <v>1</v>
      </c>
      <c r="G144" s="671">
        <v>12</v>
      </c>
    </row>
    <row r="145" spans="1:15">
      <c r="A145" s="670" t="s">
        <v>683</v>
      </c>
      <c r="B145" s="671" t="s">
        <v>138</v>
      </c>
      <c r="C145" s="671" t="s">
        <v>138</v>
      </c>
      <c r="D145" s="672" t="s">
        <v>138</v>
      </c>
      <c r="E145" s="671" t="s">
        <v>138</v>
      </c>
      <c r="F145" s="671">
        <v>7</v>
      </c>
      <c r="G145" s="671">
        <v>64</v>
      </c>
    </row>
    <row r="146" spans="1:15">
      <c r="A146" s="670" t="s">
        <v>679</v>
      </c>
      <c r="B146" s="671" t="s">
        <v>138</v>
      </c>
      <c r="C146" s="671" t="s">
        <v>138</v>
      </c>
      <c r="D146" s="672" t="s">
        <v>138</v>
      </c>
      <c r="E146" s="671" t="s">
        <v>138</v>
      </c>
      <c r="F146" s="671">
        <v>8</v>
      </c>
      <c r="G146" s="671">
        <v>98</v>
      </c>
    </row>
    <row r="147" spans="1:15">
      <c r="A147" s="670" t="s">
        <v>680</v>
      </c>
      <c r="B147" s="671" t="s">
        <v>138</v>
      </c>
      <c r="C147" s="671" t="s">
        <v>138</v>
      </c>
      <c r="D147" s="672">
        <v>1</v>
      </c>
      <c r="E147" s="671">
        <v>56</v>
      </c>
      <c r="F147" s="671">
        <v>4</v>
      </c>
      <c r="G147" s="671">
        <v>28</v>
      </c>
    </row>
    <row r="148" spans="1:15">
      <c r="A148" s="675" t="s">
        <v>677</v>
      </c>
      <c r="B148" s="676" t="s">
        <v>138</v>
      </c>
      <c r="C148" s="676" t="s">
        <v>138</v>
      </c>
      <c r="D148" s="677" t="s">
        <v>138</v>
      </c>
      <c r="E148" s="676" t="s">
        <v>138</v>
      </c>
      <c r="F148" s="676">
        <v>10</v>
      </c>
      <c r="G148" s="676">
        <v>94</v>
      </c>
    </row>
    <row r="149" spans="1:15">
      <c r="A149" s="685"/>
      <c r="B149" s="641"/>
      <c r="C149" s="641"/>
      <c r="D149" s="759"/>
      <c r="E149" s="641"/>
      <c r="F149" s="641"/>
      <c r="G149" s="641"/>
    </row>
    <row r="150" spans="1:15" s="607" customFormat="1">
      <c r="A150" s="666" t="s">
        <v>299</v>
      </c>
      <c r="B150" s="667">
        <v>3</v>
      </c>
      <c r="C150" s="668">
        <f>'10.14'!T154</f>
        <v>614</v>
      </c>
      <c r="D150" s="755">
        <f>SUM(D151:D155)</f>
        <v>0</v>
      </c>
      <c r="E150" s="756">
        <f>SUM(E151:E155)</f>
        <v>0</v>
      </c>
      <c r="F150" s="667">
        <f>SUM(F151:F155)</f>
        <v>40</v>
      </c>
      <c r="G150" s="668">
        <f>SUM(G151:G155)</f>
        <v>466</v>
      </c>
      <c r="I150" s="686"/>
      <c r="J150" s="686"/>
      <c r="K150" s="640"/>
      <c r="L150" s="640"/>
      <c r="M150" s="640"/>
      <c r="N150" s="604"/>
      <c r="O150" s="604"/>
    </row>
    <row r="151" spans="1:15">
      <c r="A151" s="670" t="s">
        <v>686</v>
      </c>
      <c r="B151" s="671" t="s">
        <v>138</v>
      </c>
      <c r="C151" s="671" t="s">
        <v>138</v>
      </c>
      <c r="D151" s="672" t="s">
        <v>138</v>
      </c>
      <c r="E151" s="671" t="s">
        <v>138</v>
      </c>
      <c r="F151" s="671">
        <v>5</v>
      </c>
      <c r="G151" s="671">
        <v>46</v>
      </c>
    </row>
    <row r="152" spans="1:15">
      <c r="A152" s="670" t="s">
        <v>684</v>
      </c>
      <c r="B152" s="671" t="s">
        <v>138</v>
      </c>
      <c r="C152" s="671" t="s">
        <v>138</v>
      </c>
      <c r="D152" s="672" t="s">
        <v>138</v>
      </c>
      <c r="E152" s="671" t="s">
        <v>138</v>
      </c>
      <c r="F152" s="671">
        <v>16</v>
      </c>
      <c r="G152" s="671">
        <v>164</v>
      </c>
    </row>
    <row r="153" spans="1:15">
      <c r="A153" s="670" t="s">
        <v>687</v>
      </c>
      <c r="B153" s="671" t="s">
        <v>138</v>
      </c>
      <c r="C153" s="671" t="s">
        <v>138</v>
      </c>
      <c r="D153" s="672" t="s">
        <v>138</v>
      </c>
      <c r="E153" s="671" t="s">
        <v>138</v>
      </c>
      <c r="F153" s="671">
        <v>13</v>
      </c>
      <c r="G153" s="671">
        <v>106</v>
      </c>
    </row>
    <row r="154" spans="1:15">
      <c r="A154" s="670" t="s">
        <v>688</v>
      </c>
      <c r="B154" s="671" t="s">
        <v>138</v>
      </c>
      <c r="C154" s="671" t="s">
        <v>138</v>
      </c>
      <c r="D154" s="672" t="s">
        <v>138</v>
      </c>
      <c r="E154" s="671" t="s">
        <v>138</v>
      </c>
      <c r="F154" s="671">
        <v>1</v>
      </c>
      <c r="G154" s="671">
        <v>26</v>
      </c>
    </row>
    <row r="155" spans="1:15">
      <c r="A155" s="675" t="s">
        <v>685</v>
      </c>
      <c r="B155" s="676" t="s">
        <v>138</v>
      </c>
      <c r="C155" s="676" t="s">
        <v>138</v>
      </c>
      <c r="D155" s="677" t="s">
        <v>138</v>
      </c>
      <c r="E155" s="676" t="s">
        <v>138</v>
      </c>
      <c r="F155" s="676">
        <v>5</v>
      </c>
      <c r="G155" s="676">
        <v>124</v>
      </c>
    </row>
    <row r="156" spans="1:15">
      <c r="A156" s="685"/>
      <c r="B156" s="641"/>
      <c r="C156" s="641"/>
      <c r="D156" s="759"/>
      <c r="E156" s="641"/>
      <c r="F156" s="641"/>
      <c r="G156" s="641"/>
    </row>
    <row r="157" spans="1:15" s="607" customFormat="1">
      <c r="A157" s="688" t="s">
        <v>301</v>
      </c>
      <c r="B157" s="667">
        <v>2</v>
      </c>
      <c r="C157" s="668">
        <f>'10.14'!T158</f>
        <v>440</v>
      </c>
      <c r="D157" s="755">
        <f>SUM(D158:D165)</f>
        <v>0</v>
      </c>
      <c r="E157" s="756">
        <f>SUM(E158:E165)</f>
        <v>0</v>
      </c>
      <c r="F157" s="667">
        <f>SUM(F158:F165)</f>
        <v>3</v>
      </c>
      <c r="G157" s="668">
        <f>SUM(G158:G165)</f>
        <v>30</v>
      </c>
      <c r="I157" s="686"/>
      <c r="J157" s="686"/>
      <c r="K157" s="640"/>
      <c r="L157" s="640"/>
      <c r="M157" s="640"/>
      <c r="N157" s="604"/>
      <c r="O157" s="604"/>
    </row>
    <row r="158" spans="1:15">
      <c r="A158" s="670" t="s">
        <v>695</v>
      </c>
      <c r="B158" s="671" t="s">
        <v>138</v>
      </c>
      <c r="C158" s="671" t="s">
        <v>138</v>
      </c>
      <c r="D158" s="672" t="s">
        <v>138</v>
      </c>
      <c r="E158" s="671" t="s">
        <v>138</v>
      </c>
      <c r="F158" s="671" t="s">
        <v>138</v>
      </c>
      <c r="G158" s="671" t="s">
        <v>138</v>
      </c>
    </row>
    <row r="159" spans="1:15">
      <c r="A159" s="670" t="s">
        <v>694</v>
      </c>
      <c r="B159" s="671" t="s">
        <v>138</v>
      </c>
      <c r="C159" s="671" t="s">
        <v>138</v>
      </c>
      <c r="D159" s="672" t="s">
        <v>138</v>
      </c>
      <c r="E159" s="671" t="s">
        <v>138</v>
      </c>
      <c r="F159" s="671" t="s">
        <v>138</v>
      </c>
      <c r="G159" s="671" t="s">
        <v>138</v>
      </c>
    </row>
    <row r="160" spans="1:15">
      <c r="A160" s="670" t="s">
        <v>637</v>
      </c>
      <c r="B160" s="671" t="s">
        <v>138</v>
      </c>
      <c r="C160" s="671" t="s">
        <v>138</v>
      </c>
      <c r="D160" s="672" t="s">
        <v>138</v>
      </c>
      <c r="E160" s="671" t="s">
        <v>138</v>
      </c>
      <c r="F160" s="671">
        <v>1</v>
      </c>
      <c r="G160" s="671">
        <v>8</v>
      </c>
    </row>
    <row r="161" spans="1:15">
      <c r="A161" s="670" t="s">
        <v>691</v>
      </c>
      <c r="B161" s="671" t="s">
        <v>138</v>
      </c>
      <c r="C161" s="671" t="s">
        <v>138</v>
      </c>
      <c r="D161" s="672" t="s">
        <v>138</v>
      </c>
      <c r="E161" s="671" t="s">
        <v>138</v>
      </c>
      <c r="F161" s="671">
        <v>1</v>
      </c>
      <c r="G161" s="671">
        <v>12</v>
      </c>
    </row>
    <row r="162" spans="1:15">
      <c r="A162" s="670" t="s">
        <v>692</v>
      </c>
      <c r="B162" s="671" t="s">
        <v>138</v>
      </c>
      <c r="C162" s="671" t="s">
        <v>138</v>
      </c>
      <c r="D162" s="672" t="s">
        <v>138</v>
      </c>
      <c r="E162" s="671" t="s">
        <v>138</v>
      </c>
      <c r="F162" s="671">
        <v>1</v>
      </c>
      <c r="G162" s="671">
        <v>10</v>
      </c>
    </row>
    <row r="163" spans="1:15">
      <c r="A163" s="670" t="s">
        <v>693</v>
      </c>
      <c r="B163" s="671" t="s">
        <v>138</v>
      </c>
      <c r="C163" s="671" t="s">
        <v>138</v>
      </c>
      <c r="D163" s="672" t="s">
        <v>138</v>
      </c>
      <c r="E163" s="671" t="s">
        <v>138</v>
      </c>
      <c r="F163" s="671" t="s">
        <v>138</v>
      </c>
      <c r="G163" s="671" t="s">
        <v>138</v>
      </c>
    </row>
    <row r="164" spans="1:15">
      <c r="A164" s="670" t="s">
        <v>689</v>
      </c>
      <c r="B164" s="671" t="s">
        <v>138</v>
      </c>
      <c r="C164" s="671" t="s">
        <v>138</v>
      </c>
      <c r="D164" s="672" t="s">
        <v>138</v>
      </c>
      <c r="E164" s="671" t="s">
        <v>138</v>
      </c>
      <c r="F164" s="671" t="s">
        <v>138</v>
      </c>
      <c r="G164" s="671" t="s">
        <v>138</v>
      </c>
    </row>
    <row r="165" spans="1:15">
      <c r="A165" s="675" t="s">
        <v>690</v>
      </c>
      <c r="B165" s="676" t="s">
        <v>138</v>
      </c>
      <c r="C165" s="676" t="s">
        <v>138</v>
      </c>
      <c r="D165" s="677" t="s">
        <v>138</v>
      </c>
      <c r="E165" s="676" t="s">
        <v>138</v>
      </c>
      <c r="F165" s="676" t="s">
        <v>138</v>
      </c>
      <c r="G165" s="676" t="s">
        <v>138</v>
      </c>
    </row>
    <row r="166" spans="1:15">
      <c r="A166" s="685"/>
      <c r="B166" s="641"/>
      <c r="C166" s="641"/>
      <c r="D166" s="759"/>
      <c r="E166" s="641"/>
      <c r="F166" s="641"/>
      <c r="G166" s="641"/>
    </row>
    <row r="167" spans="1:15" s="607" customFormat="1">
      <c r="A167" s="666" t="s">
        <v>303</v>
      </c>
      <c r="B167" s="667">
        <v>1</v>
      </c>
      <c r="C167" s="668">
        <f>'10.14'!T161</f>
        <v>250</v>
      </c>
      <c r="D167" s="755">
        <f>SUM(D168:D172)</f>
        <v>0</v>
      </c>
      <c r="E167" s="756">
        <f>SUM(E168:E172)</f>
        <v>0</v>
      </c>
      <c r="F167" s="667">
        <f>SUM(F168:F172)</f>
        <v>4</v>
      </c>
      <c r="G167" s="668">
        <f>SUM(G168:G172)</f>
        <v>40</v>
      </c>
      <c r="I167" s="686"/>
      <c r="J167" s="686"/>
      <c r="K167" s="640"/>
      <c r="L167" s="640"/>
      <c r="M167" s="640"/>
      <c r="N167" s="604"/>
      <c r="O167" s="604"/>
    </row>
    <row r="168" spans="1:15">
      <c r="A168" s="670" t="s">
        <v>697</v>
      </c>
      <c r="B168" s="671" t="s">
        <v>138</v>
      </c>
      <c r="C168" s="671" t="s">
        <v>138</v>
      </c>
      <c r="D168" s="672" t="s">
        <v>138</v>
      </c>
      <c r="E168" s="671" t="s">
        <v>138</v>
      </c>
      <c r="F168" s="671" t="s">
        <v>138</v>
      </c>
      <c r="G168" s="671" t="s">
        <v>138</v>
      </c>
    </row>
    <row r="169" spans="1:15">
      <c r="A169" s="670" t="s">
        <v>698</v>
      </c>
      <c r="B169" s="671" t="s">
        <v>138</v>
      </c>
      <c r="C169" s="671" t="s">
        <v>138</v>
      </c>
      <c r="D169" s="672" t="s">
        <v>138</v>
      </c>
      <c r="E169" s="671" t="s">
        <v>138</v>
      </c>
      <c r="F169" s="671" t="s">
        <v>138</v>
      </c>
      <c r="G169" s="671" t="s">
        <v>138</v>
      </c>
    </row>
    <row r="170" spans="1:15">
      <c r="A170" s="670" t="s">
        <v>696</v>
      </c>
      <c r="B170" s="671" t="s">
        <v>138</v>
      </c>
      <c r="C170" s="671" t="s">
        <v>138</v>
      </c>
      <c r="D170" s="672" t="s">
        <v>138</v>
      </c>
      <c r="E170" s="671" t="s">
        <v>138</v>
      </c>
      <c r="F170" s="671" t="s">
        <v>138</v>
      </c>
      <c r="G170" s="671" t="s">
        <v>138</v>
      </c>
    </row>
    <row r="171" spans="1:15">
      <c r="A171" s="670" t="s">
        <v>623</v>
      </c>
      <c r="B171" s="671" t="s">
        <v>138</v>
      </c>
      <c r="C171" s="671" t="s">
        <v>138</v>
      </c>
      <c r="D171" s="672" t="s">
        <v>138</v>
      </c>
      <c r="E171" s="671" t="s">
        <v>138</v>
      </c>
      <c r="F171" s="671">
        <v>2</v>
      </c>
      <c r="G171" s="671">
        <v>20</v>
      </c>
    </row>
    <row r="172" spans="1:15">
      <c r="A172" s="675" t="s">
        <v>699</v>
      </c>
      <c r="B172" s="676" t="s">
        <v>138</v>
      </c>
      <c r="C172" s="676" t="s">
        <v>138</v>
      </c>
      <c r="D172" s="677" t="s">
        <v>138</v>
      </c>
      <c r="E172" s="676" t="s">
        <v>138</v>
      </c>
      <c r="F172" s="676">
        <v>2</v>
      </c>
      <c r="G172" s="676">
        <v>20</v>
      </c>
    </row>
    <row r="173" spans="1:15">
      <c r="A173" s="690"/>
      <c r="B173" s="641"/>
      <c r="C173" s="641"/>
      <c r="D173" s="759"/>
      <c r="E173" s="641"/>
      <c r="F173" s="641"/>
      <c r="G173" s="641"/>
    </row>
    <row r="174" spans="1:15" s="607" customFormat="1">
      <c r="A174" s="666" t="s">
        <v>700</v>
      </c>
      <c r="B174" s="667">
        <v>9</v>
      </c>
      <c r="C174" s="691">
        <f>'10.14'!T163</f>
        <v>2806</v>
      </c>
      <c r="D174" s="755">
        <f>SUM(D175:D180)</f>
        <v>0</v>
      </c>
      <c r="E174" s="761">
        <f>SUM(E175:E180)</f>
        <v>0</v>
      </c>
      <c r="F174" s="667">
        <f>SUM(F175:F180)</f>
        <v>5</v>
      </c>
      <c r="G174" s="691">
        <f>SUM(G175:G180)</f>
        <v>36</v>
      </c>
      <c r="I174" s="686"/>
      <c r="J174" s="686"/>
      <c r="K174" s="686"/>
      <c r="L174" s="686"/>
      <c r="M174" s="686"/>
    </row>
    <row r="175" spans="1:15">
      <c r="A175" s="670" t="s">
        <v>701</v>
      </c>
      <c r="B175" s="671" t="s">
        <v>138</v>
      </c>
      <c r="C175" s="671" t="s">
        <v>138</v>
      </c>
      <c r="D175" s="672"/>
      <c r="E175" s="671"/>
      <c r="F175" s="671" t="s">
        <v>138</v>
      </c>
      <c r="G175" s="671" t="s">
        <v>138</v>
      </c>
    </row>
    <row r="176" spans="1:15">
      <c r="A176" s="670" t="s">
        <v>703</v>
      </c>
      <c r="B176" s="671" t="s">
        <v>138</v>
      </c>
      <c r="C176" s="671" t="s">
        <v>138</v>
      </c>
      <c r="D176" s="672"/>
      <c r="E176" s="671"/>
      <c r="F176" s="671">
        <v>1</v>
      </c>
      <c r="G176" s="671">
        <v>6</v>
      </c>
    </row>
    <row r="177" spans="1:13">
      <c r="A177" s="670" t="s">
        <v>705</v>
      </c>
      <c r="B177" s="671" t="s">
        <v>138</v>
      </c>
      <c r="C177" s="671" t="s">
        <v>138</v>
      </c>
      <c r="D177" s="672"/>
      <c r="E177" s="671"/>
      <c r="F177" s="671">
        <v>1</v>
      </c>
      <c r="G177" s="671">
        <v>6</v>
      </c>
    </row>
    <row r="178" spans="1:13">
      <c r="A178" s="670" t="s">
        <v>704</v>
      </c>
      <c r="B178" s="671" t="s">
        <v>138</v>
      </c>
      <c r="C178" s="671" t="s">
        <v>138</v>
      </c>
      <c r="D178" s="672"/>
      <c r="E178" s="671"/>
      <c r="F178" s="671" t="s">
        <v>138</v>
      </c>
      <c r="G178" s="671" t="s">
        <v>138</v>
      </c>
    </row>
    <row r="179" spans="1:13">
      <c r="A179" s="670" t="s">
        <v>640</v>
      </c>
      <c r="B179" s="671" t="s">
        <v>138</v>
      </c>
      <c r="C179" s="671" t="s">
        <v>138</v>
      </c>
      <c r="D179" s="672"/>
      <c r="E179" s="671"/>
      <c r="F179" s="671">
        <v>1</v>
      </c>
      <c r="G179" s="671">
        <v>12</v>
      </c>
    </row>
    <row r="180" spans="1:13">
      <c r="A180" s="675" t="s">
        <v>702</v>
      </c>
      <c r="B180" s="676" t="s">
        <v>138</v>
      </c>
      <c r="C180" s="676" t="s">
        <v>138</v>
      </c>
      <c r="D180" s="677"/>
      <c r="E180" s="676"/>
      <c r="F180" s="676">
        <v>2</v>
      </c>
      <c r="G180" s="676">
        <v>12</v>
      </c>
    </row>
    <row r="181" spans="1:13">
      <c r="A181" s="685"/>
      <c r="B181" s="641"/>
      <c r="C181" s="641"/>
      <c r="D181" s="759"/>
      <c r="E181" s="641"/>
      <c r="F181" s="641"/>
      <c r="G181" s="641"/>
    </row>
    <row r="182" spans="1:13" s="607" customFormat="1">
      <c r="A182" s="666" t="s">
        <v>706</v>
      </c>
      <c r="B182" s="667">
        <v>1</v>
      </c>
      <c r="C182" s="692">
        <f>'10.14'!T173</f>
        <v>152</v>
      </c>
      <c r="D182" s="755">
        <f>SUM(D183:D195)</f>
        <v>0</v>
      </c>
      <c r="E182" s="692">
        <f>SUM(E183:E195)</f>
        <v>0</v>
      </c>
      <c r="F182" s="667">
        <f>SUM(F183:F195)</f>
        <v>4</v>
      </c>
      <c r="G182" s="692">
        <f>SUM(G183:G195)</f>
        <v>40</v>
      </c>
      <c r="I182" s="686"/>
      <c r="J182" s="686"/>
      <c r="K182" s="686"/>
      <c r="L182" s="686"/>
      <c r="M182" s="686"/>
    </row>
    <row r="183" spans="1:13">
      <c r="A183" s="670" t="s">
        <v>707</v>
      </c>
      <c r="B183" s="671" t="s">
        <v>138</v>
      </c>
      <c r="C183" s="671" t="s">
        <v>138</v>
      </c>
      <c r="D183" s="672" t="s">
        <v>138</v>
      </c>
      <c r="E183" s="671" t="s">
        <v>138</v>
      </c>
      <c r="F183" s="671" t="s">
        <v>138</v>
      </c>
      <c r="G183" s="671" t="s">
        <v>138</v>
      </c>
    </row>
    <row r="184" spans="1:13">
      <c r="A184" s="670" t="s">
        <v>710</v>
      </c>
      <c r="B184" s="671" t="s">
        <v>138</v>
      </c>
      <c r="C184" s="671" t="s">
        <v>138</v>
      </c>
      <c r="D184" s="672" t="s">
        <v>138</v>
      </c>
      <c r="E184" s="671" t="s">
        <v>138</v>
      </c>
      <c r="F184" s="671" t="s">
        <v>138</v>
      </c>
      <c r="G184" s="671" t="s">
        <v>138</v>
      </c>
    </row>
    <row r="185" spans="1:13">
      <c r="A185" s="670" t="s">
        <v>714</v>
      </c>
      <c r="B185" s="671" t="s">
        <v>138</v>
      </c>
      <c r="C185" s="671" t="s">
        <v>138</v>
      </c>
      <c r="D185" s="672" t="s">
        <v>138</v>
      </c>
      <c r="E185" s="671" t="s">
        <v>138</v>
      </c>
      <c r="F185" s="671">
        <v>1</v>
      </c>
      <c r="G185" s="671">
        <v>12</v>
      </c>
    </row>
    <row r="186" spans="1:13">
      <c r="A186" s="670" t="s">
        <v>668</v>
      </c>
      <c r="B186" s="671" t="s">
        <v>138</v>
      </c>
      <c r="C186" s="671" t="s">
        <v>138</v>
      </c>
      <c r="D186" s="672" t="s">
        <v>138</v>
      </c>
      <c r="E186" s="671" t="s">
        <v>138</v>
      </c>
      <c r="F186" s="671" t="s">
        <v>138</v>
      </c>
      <c r="G186" s="671" t="s">
        <v>138</v>
      </c>
    </row>
    <row r="187" spans="1:13">
      <c r="A187" s="670" t="s">
        <v>713</v>
      </c>
      <c r="B187" s="671" t="s">
        <v>138</v>
      </c>
      <c r="C187" s="671" t="s">
        <v>138</v>
      </c>
      <c r="D187" s="672" t="s">
        <v>138</v>
      </c>
      <c r="E187" s="671" t="s">
        <v>138</v>
      </c>
      <c r="F187" s="671" t="s">
        <v>138</v>
      </c>
      <c r="G187" s="671" t="s">
        <v>138</v>
      </c>
    </row>
    <row r="188" spans="1:13">
      <c r="A188" s="670" t="s">
        <v>711</v>
      </c>
      <c r="B188" s="671" t="s">
        <v>138</v>
      </c>
      <c r="C188" s="671" t="s">
        <v>138</v>
      </c>
      <c r="D188" s="672" t="s">
        <v>138</v>
      </c>
      <c r="E188" s="671" t="s">
        <v>138</v>
      </c>
      <c r="F188" s="671" t="s">
        <v>138</v>
      </c>
      <c r="G188" s="671" t="s">
        <v>138</v>
      </c>
    </row>
    <row r="189" spans="1:13">
      <c r="A189" s="670" t="s">
        <v>717</v>
      </c>
      <c r="B189" s="671" t="s">
        <v>138</v>
      </c>
      <c r="C189" s="671" t="s">
        <v>138</v>
      </c>
      <c r="D189" s="672" t="s">
        <v>138</v>
      </c>
      <c r="E189" s="671" t="s">
        <v>138</v>
      </c>
      <c r="F189" s="671">
        <v>1</v>
      </c>
      <c r="G189" s="671">
        <v>8</v>
      </c>
    </row>
    <row r="190" spans="1:13">
      <c r="A190" s="670" t="s">
        <v>709</v>
      </c>
      <c r="B190" s="671" t="s">
        <v>138</v>
      </c>
      <c r="C190" s="671" t="s">
        <v>138</v>
      </c>
      <c r="D190" s="672" t="s">
        <v>138</v>
      </c>
      <c r="E190" s="671" t="s">
        <v>138</v>
      </c>
      <c r="F190" s="671" t="s">
        <v>138</v>
      </c>
      <c r="G190" s="671" t="s">
        <v>138</v>
      </c>
    </row>
    <row r="191" spans="1:13">
      <c r="A191" s="670" t="s">
        <v>677</v>
      </c>
      <c r="B191" s="671" t="s">
        <v>138</v>
      </c>
      <c r="C191" s="671" t="s">
        <v>138</v>
      </c>
      <c r="D191" s="672" t="s">
        <v>138</v>
      </c>
      <c r="E191" s="671" t="s">
        <v>138</v>
      </c>
      <c r="F191" s="671" t="s">
        <v>138</v>
      </c>
      <c r="G191" s="671" t="s">
        <v>138</v>
      </c>
    </row>
    <row r="192" spans="1:13">
      <c r="A192" s="670" t="s">
        <v>715</v>
      </c>
      <c r="B192" s="671" t="s">
        <v>138</v>
      </c>
      <c r="C192" s="671" t="s">
        <v>138</v>
      </c>
      <c r="D192" s="672" t="s">
        <v>138</v>
      </c>
      <c r="E192" s="671" t="s">
        <v>138</v>
      </c>
      <c r="F192" s="671">
        <v>1</v>
      </c>
      <c r="G192" s="671">
        <v>12</v>
      </c>
    </row>
    <row r="193" spans="1:13">
      <c r="A193" s="670" t="s">
        <v>712</v>
      </c>
      <c r="B193" s="671" t="s">
        <v>138</v>
      </c>
      <c r="C193" s="671" t="s">
        <v>138</v>
      </c>
      <c r="D193" s="672" t="s">
        <v>138</v>
      </c>
      <c r="E193" s="671" t="s">
        <v>138</v>
      </c>
      <c r="F193" s="671" t="s">
        <v>138</v>
      </c>
      <c r="G193" s="671" t="s">
        <v>138</v>
      </c>
    </row>
    <row r="194" spans="1:13">
      <c r="A194" s="670" t="s">
        <v>716</v>
      </c>
      <c r="B194" s="671" t="s">
        <v>138</v>
      </c>
      <c r="C194" s="671" t="s">
        <v>138</v>
      </c>
      <c r="D194" s="672" t="s">
        <v>138</v>
      </c>
      <c r="E194" s="671" t="s">
        <v>138</v>
      </c>
      <c r="F194" s="671">
        <v>1</v>
      </c>
      <c r="G194" s="671">
        <v>8</v>
      </c>
    </row>
    <row r="195" spans="1:13">
      <c r="A195" s="675" t="s">
        <v>708</v>
      </c>
      <c r="B195" s="676" t="s">
        <v>138</v>
      </c>
      <c r="C195" s="676" t="s">
        <v>138</v>
      </c>
      <c r="D195" s="677" t="s">
        <v>138</v>
      </c>
      <c r="E195" s="676" t="s">
        <v>138</v>
      </c>
      <c r="F195" s="676" t="s">
        <v>138</v>
      </c>
      <c r="G195" s="676" t="s">
        <v>138</v>
      </c>
    </row>
    <row r="196" spans="1:13">
      <c r="A196" s="685"/>
      <c r="B196" s="641"/>
      <c r="C196" s="641"/>
      <c r="D196" s="759"/>
      <c r="E196" s="641"/>
      <c r="F196" s="641"/>
      <c r="G196" s="641"/>
    </row>
    <row r="197" spans="1:13" s="607" customFormat="1">
      <c r="A197" s="666" t="s">
        <v>718</v>
      </c>
      <c r="B197" s="667">
        <v>2</v>
      </c>
      <c r="C197" s="692">
        <f>'10.14'!T175</f>
        <v>242</v>
      </c>
      <c r="D197" s="755">
        <f>SUM(D198:D209)</f>
        <v>0</v>
      </c>
      <c r="E197" s="692">
        <f>SUM(E198:E209)</f>
        <v>0</v>
      </c>
      <c r="F197" s="667">
        <f>SUM(F198:F209)</f>
        <v>5</v>
      </c>
      <c r="G197" s="692">
        <f>SUM(G198:G209)</f>
        <v>138</v>
      </c>
      <c r="I197" s="686"/>
      <c r="J197" s="686"/>
      <c r="K197" s="686"/>
      <c r="L197" s="686"/>
      <c r="M197" s="686"/>
    </row>
    <row r="198" spans="1:13">
      <c r="A198" s="670" t="s">
        <v>719</v>
      </c>
      <c r="B198" s="671" t="s">
        <v>138</v>
      </c>
      <c r="C198" s="671" t="s">
        <v>138</v>
      </c>
      <c r="D198" s="672" t="s">
        <v>138</v>
      </c>
      <c r="E198" s="671" t="s">
        <v>138</v>
      </c>
      <c r="F198" s="671" t="s">
        <v>138</v>
      </c>
      <c r="G198" s="671" t="s">
        <v>138</v>
      </c>
    </row>
    <row r="199" spans="1:13">
      <c r="A199" s="670" t="s">
        <v>720</v>
      </c>
      <c r="B199" s="671" t="s">
        <v>138</v>
      </c>
      <c r="C199" s="671" t="s">
        <v>138</v>
      </c>
      <c r="D199" s="672" t="s">
        <v>138</v>
      </c>
      <c r="E199" s="671" t="s">
        <v>138</v>
      </c>
      <c r="F199" s="671" t="s">
        <v>138</v>
      </c>
      <c r="G199" s="671" t="s">
        <v>138</v>
      </c>
    </row>
    <row r="200" spans="1:13">
      <c r="A200" s="670" t="s">
        <v>721</v>
      </c>
      <c r="B200" s="671" t="s">
        <v>138</v>
      </c>
      <c r="C200" s="671" t="s">
        <v>138</v>
      </c>
      <c r="D200" s="672" t="s">
        <v>138</v>
      </c>
      <c r="E200" s="671" t="s">
        <v>138</v>
      </c>
      <c r="F200" s="671" t="s">
        <v>138</v>
      </c>
      <c r="G200" s="671" t="s">
        <v>138</v>
      </c>
    </row>
    <row r="201" spans="1:13">
      <c r="A201" s="670" t="s">
        <v>722</v>
      </c>
      <c r="B201" s="671" t="s">
        <v>138</v>
      </c>
      <c r="C201" s="671" t="s">
        <v>138</v>
      </c>
      <c r="D201" s="672" t="s">
        <v>138</v>
      </c>
      <c r="E201" s="671" t="s">
        <v>138</v>
      </c>
      <c r="F201" s="671" t="s">
        <v>138</v>
      </c>
      <c r="G201" s="671" t="s">
        <v>138</v>
      </c>
    </row>
    <row r="202" spans="1:13">
      <c r="A202" s="670" t="s">
        <v>723</v>
      </c>
      <c r="B202" s="671" t="s">
        <v>138</v>
      </c>
      <c r="C202" s="671" t="s">
        <v>138</v>
      </c>
      <c r="D202" s="672" t="s">
        <v>138</v>
      </c>
      <c r="E202" s="671" t="s">
        <v>138</v>
      </c>
      <c r="F202" s="671">
        <v>5</v>
      </c>
      <c r="G202" s="671">
        <v>138</v>
      </c>
    </row>
    <row r="203" spans="1:13">
      <c r="A203" s="670" t="s">
        <v>724</v>
      </c>
      <c r="B203" s="671" t="s">
        <v>138</v>
      </c>
      <c r="C203" s="671" t="s">
        <v>138</v>
      </c>
      <c r="D203" s="672" t="s">
        <v>138</v>
      </c>
      <c r="E203" s="671" t="s">
        <v>138</v>
      </c>
      <c r="F203" s="671" t="s">
        <v>138</v>
      </c>
      <c r="G203" s="671" t="s">
        <v>138</v>
      </c>
    </row>
    <row r="204" spans="1:13">
      <c r="A204" s="670" t="s">
        <v>725</v>
      </c>
      <c r="B204" s="671" t="s">
        <v>138</v>
      </c>
      <c r="C204" s="671" t="s">
        <v>138</v>
      </c>
      <c r="D204" s="672" t="s">
        <v>138</v>
      </c>
      <c r="E204" s="671" t="s">
        <v>138</v>
      </c>
      <c r="F204" s="671" t="s">
        <v>138</v>
      </c>
      <c r="G204" s="671" t="s">
        <v>138</v>
      </c>
    </row>
    <row r="205" spans="1:13">
      <c r="A205" s="670" t="s">
        <v>726</v>
      </c>
      <c r="B205" s="671" t="s">
        <v>138</v>
      </c>
      <c r="C205" s="671" t="s">
        <v>138</v>
      </c>
      <c r="D205" s="672" t="s">
        <v>138</v>
      </c>
      <c r="E205" s="671" t="s">
        <v>138</v>
      </c>
      <c r="F205" s="671" t="s">
        <v>138</v>
      </c>
      <c r="G205" s="671" t="s">
        <v>138</v>
      </c>
    </row>
    <row r="206" spans="1:13">
      <c r="A206" s="670" t="s">
        <v>727</v>
      </c>
      <c r="B206" s="671" t="s">
        <v>138</v>
      </c>
      <c r="C206" s="671" t="s">
        <v>138</v>
      </c>
      <c r="D206" s="672" t="s">
        <v>138</v>
      </c>
      <c r="E206" s="671" t="s">
        <v>138</v>
      </c>
      <c r="F206" s="671" t="s">
        <v>138</v>
      </c>
      <c r="G206" s="671" t="s">
        <v>138</v>
      </c>
    </row>
    <row r="207" spans="1:13">
      <c r="A207" s="670" t="s">
        <v>728</v>
      </c>
      <c r="B207" s="671" t="s">
        <v>138</v>
      </c>
      <c r="C207" s="671" t="s">
        <v>138</v>
      </c>
      <c r="D207" s="672" t="s">
        <v>138</v>
      </c>
      <c r="E207" s="671" t="s">
        <v>138</v>
      </c>
      <c r="F207" s="671" t="s">
        <v>138</v>
      </c>
      <c r="G207" s="671" t="s">
        <v>138</v>
      </c>
    </row>
    <row r="208" spans="1:13">
      <c r="A208" s="670" t="s">
        <v>729</v>
      </c>
      <c r="B208" s="671" t="s">
        <v>138</v>
      </c>
      <c r="C208" s="671" t="s">
        <v>138</v>
      </c>
      <c r="D208" s="672" t="s">
        <v>138</v>
      </c>
      <c r="E208" s="671" t="s">
        <v>138</v>
      </c>
      <c r="F208" s="671" t="s">
        <v>138</v>
      </c>
      <c r="G208" s="671" t="s">
        <v>138</v>
      </c>
    </row>
    <row r="209" spans="1:13">
      <c r="A209" s="693" t="s">
        <v>730</v>
      </c>
      <c r="B209" s="676" t="s">
        <v>138</v>
      </c>
      <c r="C209" s="676" t="s">
        <v>138</v>
      </c>
      <c r="D209" s="677" t="s">
        <v>138</v>
      </c>
      <c r="E209" s="676" t="s">
        <v>138</v>
      </c>
      <c r="F209" s="676" t="s">
        <v>138</v>
      </c>
      <c r="G209" s="676" t="s">
        <v>138</v>
      </c>
    </row>
    <row r="210" spans="1:13">
      <c r="A210" s="685"/>
      <c r="B210" s="641"/>
      <c r="C210" s="641"/>
      <c r="D210" s="759"/>
      <c r="E210" s="641"/>
      <c r="F210" s="641"/>
      <c r="G210" s="641"/>
    </row>
    <row r="211" spans="1:13" s="607" customFormat="1">
      <c r="A211" s="666" t="s">
        <v>311</v>
      </c>
      <c r="B211" s="667">
        <v>6</v>
      </c>
      <c r="C211" s="694">
        <f>'10.14'!T178</f>
        <v>1267</v>
      </c>
      <c r="D211" s="755">
        <f>SUM(D212:D221)</f>
        <v>1</v>
      </c>
      <c r="E211" s="762">
        <f>SUM(E212:E221)</f>
        <v>144</v>
      </c>
      <c r="F211" s="667">
        <f>SUM(F212:F221)</f>
        <v>9</v>
      </c>
      <c r="G211" s="694">
        <f>SUM(G212:G221)</f>
        <v>62</v>
      </c>
      <c r="I211" s="686"/>
      <c r="J211" s="686"/>
      <c r="K211" s="686"/>
      <c r="L211" s="686"/>
      <c r="M211" s="686"/>
    </row>
    <row r="212" spans="1:13">
      <c r="A212" s="670" t="s">
        <v>734</v>
      </c>
      <c r="B212" s="671" t="s">
        <v>138</v>
      </c>
      <c r="C212" s="671" t="s">
        <v>138</v>
      </c>
      <c r="D212" s="672" t="s">
        <v>138</v>
      </c>
      <c r="E212" s="671" t="s">
        <v>138</v>
      </c>
      <c r="F212" s="671" t="s">
        <v>138</v>
      </c>
      <c r="G212" s="671" t="s">
        <v>138</v>
      </c>
    </row>
    <row r="213" spans="1:13">
      <c r="A213" s="670" t="s">
        <v>733</v>
      </c>
      <c r="B213" s="671" t="s">
        <v>138</v>
      </c>
      <c r="C213" s="671" t="s">
        <v>138</v>
      </c>
      <c r="D213" s="672" t="s">
        <v>138</v>
      </c>
      <c r="E213" s="671" t="s">
        <v>138</v>
      </c>
      <c r="F213" s="671">
        <v>1</v>
      </c>
      <c r="G213" s="671">
        <v>6</v>
      </c>
    </row>
    <row r="214" spans="1:13">
      <c r="A214" s="670" t="s">
        <v>736</v>
      </c>
      <c r="B214" s="671" t="s">
        <v>138</v>
      </c>
      <c r="C214" s="671" t="s">
        <v>138</v>
      </c>
      <c r="D214" s="672" t="s">
        <v>138</v>
      </c>
      <c r="E214" s="671" t="s">
        <v>138</v>
      </c>
      <c r="F214" s="671" t="s">
        <v>138</v>
      </c>
      <c r="G214" s="671" t="s">
        <v>138</v>
      </c>
    </row>
    <row r="215" spans="1:13">
      <c r="A215" s="670" t="s">
        <v>737</v>
      </c>
      <c r="B215" s="671" t="s">
        <v>138</v>
      </c>
      <c r="C215" s="671" t="s">
        <v>138</v>
      </c>
      <c r="D215" s="672" t="s">
        <v>138</v>
      </c>
      <c r="E215" s="671" t="s">
        <v>138</v>
      </c>
      <c r="F215" s="671" t="s">
        <v>138</v>
      </c>
      <c r="G215" s="671" t="s">
        <v>138</v>
      </c>
    </row>
    <row r="216" spans="1:13">
      <c r="A216" s="670" t="s">
        <v>1061</v>
      </c>
      <c r="B216" s="671" t="s">
        <v>138</v>
      </c>
      <c r="C216" s="671" t="s">
        <v>138</v>
      </c>
      <c r="D216" s="672">
        <v>1</v>
      </c>
      <c r="E216" s="671">
        <v>144</v>
      </c>
      <c r="F216" s="671" t="s">
        <v>138</v>
      </c>
      <c r="G216" s="671" t="s">
        <v>138</v>
      </c>
    </row>
    <row r="217" spans="1:13">
      <c r="A217" s="670" t="s">
        <v>735</v>
      </c>
      <c r="B217" s="671" t="s">
        <v>138</v>
      </c>
      <c r="C217" s="671" t="s">
        <v>138</v>
      </c>
      <c r="D217" s="672" t="s">
        <v>138</v>
      </c>
      <c r="E217" s="671" t="s">
        <v>138</v>
      </c>
      <c r="F217" s="671" t="s">
        <v>138</v>
      </c>
      <c r="G217" s="671" t="s">
        <v>138</v>
      </c>
    </row>
    <row r="218" spans="1:13">
      <c r="A218" s="670" t="s">
        <v>731</v>
      </c>
      <c r="B218" s="671" t="s">
        <v>138</v>
      </c>
      <c r="C218" s="671" t="s">
        <v>138</v>
      </c>
      <c r="D218" s="672" t="s">
        <v>138</v>
      </c>
      <c r="E218" s="671" t="s">
        <v>138</v>
      </c>
      <c r="F218" s="671" t="s">
        <v>138</v>
      </c>
      <c r="G218" s="671" t="s">
        <v>138</v>
      </c>
    </row>
    <row r="219" spans="1:13">
      <c r="A219" s="670" t="s">
        <v>727</v>
      </c>
      <c r="B219" s="671" t="s">
        <v>138</v>
      </c>
      <c r="C219" s="671" t="s">
        <v>138</v>
      </c>
      <c r="D219" s="672" t="s">
        <v>138</v>
      </c>
      <c r="E219" s="671" t="s">
        <v>138</v>
      </c>
      <c r="F219" s="671">
        <v>5</v>
      </c>
      <c r="G219" s="671">
        <v>32</v>
      </c>
    </row>
    <row r="220" spans="1:13">
      <c r="A220" s="670" t="s">
        <v>699</v>
      </c>
      <c r="B220" s="671" t="s">
        <v>138</v>
      </c>
      <c r="C220" s="671" t="s">
        <v>138</v>
      </c>
      <c r="D220" s="672" t="s">
        <v>138</v>
      </c>
      <c r="E220" s="671" t="s">
        <v>138</v>
      </c>
      <c r="F220" s="671">
        <v>2</v>
      </c>
      <c r="G220" s="671">
        <v>12</v>
      </c>
    </row>
    <row r="221" spans="1:13">
      <c r="A221" s="675" t="s">
        <v>732</v>
      </c>
      <c r="B221" s="676" t="s">
        <v>138</v>
      </c>
      <c r="C221" s="676" t="s">
        <v>138</v>
      </c>
      <c r="D221" s="677" t="s">
        <v>138</v>
      </c>
      <c r="E221" s="676" t="s">
        <v>138</v>
      </c>
      <c r="F221" s="676">
        <v>1</v>
      </c>
      <c r="G221" s="676">
        <v>12</v>
      </c>
    </row>
    <row r="222" spans="1:13">
      <c r="A222" s="685"/>
      <c r="B222" s="695"/>
      <c r="C222" s="695"/>
      <c r="D222" s="763"/>
      <c r="E222" s="695"/>
      <c r="F222" s="695"/>
      <c r="G222" s="695"/>
    </row>
    <row r="223" spans="1:13" s="607" customFormat="1">
      <c r="A223" s="666" t="s">
        <v>313</v>
      </c>
      <c r="B223" s="667">
        <v>3</v>
      </c>
      <c r="C223" s="668">
        <f>'10.14'!T185</f>
        <v>550</v>
      </c>
      <c r="D223" s="755">
        <f>SUM(D224:D234)</f>
        <v>0</v>
      </c>
      <c r="E223" s="756">
        <f>SUM(E224:E234)</f>
        <v>0</v>
      </c>
      <c r="F223" s="667">
        <f>SUM(F224:F234)</f>
        <v>6</v>
      </c>
      <c r="G223" s="668">
        <f>SUM(G224:G234)</f>
        <v>76</v>
      </c>
      <c r="I223" s="686"/>
      <c r="J223" s="686"/>
      <c r="K223" s="686"/>
      <c r="L223" s="686"/>
      <c r="M223" s="686"/>
    </row>
    <row r="224" spans="1:13">
      <c r="A224" s="670" t="s">
        <v>746</v>
      </c>
      <c r="B224" s="671" t="s">
        <v>138</v>
      </c>
      <c r="C224" s="671" t="s">
        <v>138</v>
      </c>
      <c r="D224" s="672" t="s">
        <v>138</v>
      </c>
      <c r="E224" s="671" t="s">
        <v>138</v>
      </c>
      <c r="F224" s="671" t="s">
        <v>138</v>
      </c>
      <c r="G224" s="671" t="s">
        <v>138</v>
      </c>
    </row>
    <row r="225" spans="1:13">
      <c r="A225" s="670" t="s">
        <v>744</v>
      </c>
      <c r="B225" s="671" t="s">
        <v>138</v>
      </c>
      <c r="C225" s="671" t="s">
        <v>138</v>
      </c>
      <c r="D225" s="672" t="s">
        <v>138</v>
      </c>
      <c r="E225" s="671" t="s">
        <v>138</v>
      </c>
      <c r="F225" s="671" t="s">
        <v>138</v>
      </c>
      <c r="G225" s="671" t="s">
        <v>138</v>
      </c>
      <c r="L225" s="696"/>
      <c r="M225" s="696"/>
    </row>
    <row r="226" spans="1:13">
      <c r="A226" s="670" t="s">
        <v>743</v>
      </c>
      <c r="B226" s="671" t="s">
        <v>138</v>
      </c>
      <c r="C226" s="671" t="s">
        <v>138</v>
      </c>
      <c r="D226" s="672" t="s">
        <v>138</v>
      </c>
      <c r="E226" s="671" t="s">
        <v>138</v>
      </c>
      <c r="F226" s="671" t="s">
        <v>138</v>
      </c>
      <c r="G226" s="671" t="s">
        <v>138</v>
      </c>
    </row>
    <row r="227" spans="1:13">
      <c r="A227" s="670" t="s">
        <v>741</v>
      </c>
      <c r="B227" s="671" t="s">
        <v>138</v>
      </c>
      <c r="C227" s="671" t="s">
        <v>138</v>
      </c>
      <c r="D227" s="672" t="s">
        <v>138</v>
      </c>
      <c r="E227" s="671" t="s">
        <v>138</v>
      </c>
      <c r="F227" s="671" t="s">
        <v>138</v>
      </c>
      <c r="G227" s="671" t="s">
        <v>138</v>
      </c>
    </row>
    <row r="228" spans="1:13">
      <c r="A228" s="670" t="s">
        <v>739</v>
      </c>
      <c r="B228" s="671" t="s">
        <v>138</v>
      </c>
      <c r="C228" s="671" t="s">
        <v>138</v>
      </c>
      <c r="D228" s="672" t="s">
        <v>138</v>
      </c>
      <c r="E228" s="671" t="s">
        <v>138</v>
      </c>
      <c r="F228" s="671">
        <v>2</v>
      </c>
      <c r="G228" s="671">
        <v>16</v>
      </c>
    </row>
    <row r="229" spans="1:13">
      <c r="A229" s="670" t="s">
        <v>745</v>
      </c>
      <c r="B229" s="671" t="s">
        <v>138</v>
      </c>
      <c r="C229" s="671" t="s">
        <v>138</v>
      </c>
      <c r="D229" s="672" t="s">
        <v>138</v>
      </c>
      <c r="E229" s="671" t="s">
        <v>138</v>
      </c>
      <c r="F229" s="671">
        <v>1</v>
      </c>
      <c r="G229" s="671">
        <v>14</v>
      </c>
    </row>
    <row r="230" spans="1:13">
      <c r="A230" s="670" t="s">
        <v>738</v>
      </c>
      <c r="B230" s="671" t="s">
        <v>138</v>
      </c>
      <c r="C230" s="671" t="s">
        <v>138</v>
      </c>
      <c r="D230" s="672" t="s">
        <v>138</v>
      </c>
      <c r="E230" s="671" t="s">
        <v>138</v>
      </c>
      <c r="F230" s="671" t="s">
        <v>138</v>
      </c>
      <c r="G230" s="671" t="s">
        <v>138</v>
      </c>
    </row>
    <row r="231" spans="1:13">
      <c r="A231" s="670" t="s">
        <v>740</v>
      </c>
      <c r="B231" s="671" t="s">
        <v>138</v>
      </c>
      <c r="C231" s="671" t="s">
        <v>138</v>
      </c>
      <c r="D231" s="672" t="s">
        <v>138</v>
      </c>
      <c r="E231" s="671" t="s">
        <v>138</v>
      </c>
      <c r="F231" s="671" t="s">
        <v>138</v>
      </c>
      <c r="G231" s="671" t="s">
        <v>138</v>
      </c>
    </row>
    <row r="232" spans="1:13">
      <c r="A232" s="670" t="s">
        <v>742</v>
      </c>
      <c r="B232" s="671" t="s">
        <v>138</v>
      </c>
      <c r="C232" s="671" t="s">
        <v>138</v>
      </c>
      <c r="D232" s="672" t="s">
        <v>138</v>
      </c>
      <c r="E232" s="671" t="s">
        <v>138</v>
      </c>
      <c r="F232" s="671" t="s">
        <v>138</v>
      </c>
      <c r="G232" s="671" t="s">
        <v>138</v>
      </c>
    </row>
    <row r="233" spans="1:13">
      <c r="A233" s="670" t="s">
        <v>685</v>
      </c>
      <c r="B233" s="671" t="s">
        <v>138</v>
      </c>
      <c r="C233" s="671" t="s">
        <v>138</v>
      </c>
      <c r="D233" s="672" t="s">
        <v>138</v>
      </c>
      <c r="E233" s="671" t="s">
        <v>138</v>
      </c>
      <c r="F233" s="671">
        <v>1</v>
      </c>
      <c r="G233" s="671">
        <v>24</v>
      </c>
    </row>
    <row r="234" spans="1:13">
      <c r="A234" s="675" t="s">
        <v>629</v>
      </c>
      <c r="B234" s="676" t="s">
        <v>138</v>
      </c>
      <c r="C234" s="676" t="s">
        <v>138</v>
      </c>
      <c r="D234" s="677" t="s">
        <v>138</v>
      </c>
      <c r="E234" s="676" t="s">
        <v>138</v>
      </c>
      <c r="F234" s="676">
        <v>2</v>
      </c>
      <c r="G234" s="676">
        <v>22</v>
      </c>
    </row>
    <row r="235" spans="1:13">
      <c r="A235" s="685"/>
      <c r="B235" s="695"/>
      <c r="C235" s="695"/>
      <c r="D235" s="763"/>
      <c r="E235" s="695"/>
      <c r="F235" s="695"/>
      <c r="G235" s="695"/>
    </row>
    <row r="236" spans="1:13" s="607" customFormat="1">
      <c r="A236" s="666" t="s">
        <v>747</v>
      </c>
      <c r="B236" s="697">
        <f t="shared" ref="B236:G236" si="2">SUM(B237)</f>
        <v>0</v>
      </c>
      <c r="C236" s="697">
        <f t="shared" si="2"/>
        <v>0</v>
      </c>
      <c r="D236" s="764">
        <f t="shared" si="2"/>
        <v>0</v>
      </c>
      <c r="E236" s="697">
        <f t="shared" si="2"/>
        <v>0</v>
      </c>
      <c r="F236" s="697">
        <f t="shared" si="2"/>
        <v>10</v>
      </c>
      <c r="G236" s="697">
        <f t="shared" si="2"/>
        <v>92</v>
      </c>
      <c r="I236" s="686"/>
      <c r="J236" s="686"/>
      <c r="K236" s="686"/>
      <c r="L236" s="686"/>
      <c r="M236" s="686"/>
    </row>
    <row r="237" spans="1:13">
      <c r="A237" s="675" t="s">
        <v>748</v>
      </c>
      <c r="B237" s="676" t="s">
        <v>138</v>
      </c>
      <c r="C237" s="676" t="s">
        <v>138</v>
      </c>
      <c r="D237" s="677" t="s">
        <v>138</v>
      </c>
      <c r="E237" s="676" t="s">
        <v>138</v>
      </c>
      <c r="F237" s="676">
        <v>10</v>
      </c>
      <c r="G237" s="676">
        <v>92</v>
      </c>
    </row>
    <row r="238" spans="1:13">
      <c r="A238" s="685"/>
      <c r="B238" s="695"/>
      <c r="C238" s="695"/>
      <c r="D238" s="763"/>
      <c r="E238" s="695"/>
      <c r="F238" s="695"/>
      <c r="G238" s="695"/>
    </row>
    <row r="239" spans="1:13" s="607" customFormat="1">
      <c r="A239" s="666" t="s">
        <v>749</v>
      </c>
      <c r="B239" s="697">
        <v>3</v>
      </c>
      <c r="C239" s="697">
        <f>'10.14'!T189</f>
        <v>926</v>
      </c>
      <c r="D239" s="764">
        <f>SUM(D240:D246)</f>
        <v>1</v>
      </c>
      <c r="E239" s="697">
        <f>SUM(E240:E246)</f>
        <v>156</v>
      </c>
      <c r="F239" s="697">
        <f>SUM(F240:F246)</f>
        <v>14</v>
      </c>
      <c r="G239" s="697">
        <f>SUM(G240:G246)</f>
        <v>206</v>
      </c>
      <c r="I239" s="686"/>
      <c r="J239" s="686"/>
      <c r="K239" s="686"/>
      <c r="L239" s="686"/>
      <c r="M239" s="686"/>
    </row>
    <row r="240" spans="1:13">
      <c r="A240" s="670" t="s">
        <v>604</v>
      </c>
      <c r="B240" s="671" t="s">
        <v>138</v>
      </c>
      <c r="C240" s="671" t="s">
        <v>138</v>
      </c>
      <c r="D240" s="672" t="s">
        <v>138</v>
      </c>
      <c r="E240" s="671" t="s">
        <v>138</v>
      </c>
      <c r="F240" s="671">
        <v>3</v>
      </c>
      <c r="G240" s="671">
        <v>36</v>
      </c>
    </row>
    <row r="241" spans="1:7">
      <c r="A241" s="670" t="s">
        <v>728</v>
      </c>
      <c r="B241" s="671" t="s">
        <v>138</v>
      </c>
      <c r="C241" s="671" t="s">
        <v>138</v>
      </c>
      <c r="D241" s="672" t="s">
        <v>138</v>
      </c>
      <c r="E241" s="671" t="s">
        <v>138</v>
      </c>
      <c r="F241" s="671">
        <v>6</v>
      </c>
      <c r="G241" s="671">
        <v>114</v>
      </c>
    </row>
    <row r="242" spans="1:7">
      <c r="A242" s="670" t="s">
        <v>752</v>
      </c>
      <c r="B242" s="671" t="s">
        <v>138</v>
      </c>
      <c r="C242" s="671" t="s">
        <v>138</v>
      </c>
      <c r="D242" s="672" t="s">
        <v>138</v>
      </c>
      <c r="E242" s="671" t="s">
        <v>138</v>
      </c>
      <c r="F242" s="671">
        <v>1</v>
      </c>
      <c r="G242" s="671">
        <v>12</v>
      </c>
    </row>
    <row r="243" spans="1:7">
      <c r="A243" s="670" t="s">
        <v>1062</v>
      </c>
      <c r="B243" s="671" t="s">
        <v>138</v>
      </c>
      <c r="C243" s="671" t="s">
        <v>138</v>
      </c>
      <c r="D243" s="672">
        <v>1</v>
      </c>
      <c r="E243" s="671">
        <v>156</v>
      </c>
      <c r="F243" s="671" t="s">
        <v>138</v>
      </c>
      <c r="G243" s="671" t="s">
        <v>138</v>
      </c>
    </row>
    <row r="244" spans="1:7">
      <c r="A244" s="670" t="s">
        <v>750</v>
      </c>
      <c r="B244" s="671" t="s">
        <v>138</v>
      </c>
      <c r="C244" s="671" t="s">
        <v>138</v>
      </c>
      <c r="D244" s="672" t="s">
        <v>138</v>
      </c>
      <c r="E244" s="671" t="s">
        <v>138</v>
      </c>
      <c r="F244" s="671">
        <v>1</v>
      </c>
      <c r="G244" s="671">
        <v>16</v>
      </c>
    </row>
    <row r="245" spans="1:7">
      <c r="A245" s="698" t="s">
        <v>751</v>
      </c>
      <c r="B245" s="671" t="s">
        <v>138</v>
      </c>
      <c r="C245" s="671" t="s">
        <v>138</v>
      </c>
      <c r="D245" s="672" t="s">
        <v>138</v>
      </c>
      <c r="E245" s="671" t="s">
        <v>138</v>
      </c>
      <c r="F245" s="671">
        <v>2</v>
      </c>
      <c r="G245" s="671">
        <v>20</v>
      </c>
    </row>
    <row r="246" spans="1:7">
      <c r="A246" s="699" t="s">
        <v>640</v>
      </c>
      <c r="B246" s="700" t="s">
        <v>138</v>
      </c>
      <c r="C246" s="700" t="s">
        <v>138</v>
      </c>
      <c r="D246" s="701" t="s">
        <v>138</v>
      </c>
      <c r="E246" s="700" t="s">
        <v>138</v>
      </c>
      <c r="F246" s="700">
        <v>1</v>
      </c>
      <c r="G246" s="700">
        <v>8</v>
      </c>
    </row>
    <row r="247" spans="1:7" ht="15" customHeight="1">
      <c r="A247" s="702" t="s">
        <v>1063</v>
      </c>
    </row>
    <row r="248" spans="1:7" ht="15" customHeight="1">
      <c r="A248" s="703" t="s">
        <v>142</v>
      </c>
    </row>
    <row r="249" spans="1:7">
      <c r="A249" s="735" t="s">
        <v>1078</v>
      </c>
    </row>
    <row r="250" spans="1:7">
      <c r="A250" s="736" t="s">
        <v>1079</v>
      </c>
    </row>
  </sheetData>
  <sortState ref="A151:I155">
    <sortCondition ref="A151"/>
  </sortState>
  <mergeCells count="6">
    <mergeCell ref="I5:K5"/>
    <mergeCell ref="A2:G2"/>
    <mergeCell ref="A4:A5"/>
    <mergeCell ref="B4:C4"/>
    <mergeCell ref="D4:E4"/>
    <mergeCell ref="F4:G4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10.1</vt:lpstr>
      <vt:lpstr>10.2</vt:lpstr>
      <vt:lpstr>10.3</vt:lpstr>
      <vt:lpstr>10.4</vt:lpstr>
      <vt:lpstr>10.5</vt:lpstr>
      <vt:lpstr>10.6</vt:lpstr>
      <vt:lpstr>10.7</vt:lpstr>
      <vt:lpstr>10.8</vt:lpstr>
      <vt:lpstr>10.9</vt:lpstr>
      <vt:lpstr>10.10</vt:lpstr>
      <vt:lpstr>10.11</vt:lpstr>
      <vt:lpstr>10.12</vt:lpstr>
      <vt:lpstr>10.13</vt:lpstr>
      <vt:lpstr>10.14</vt:lpstr>
      <vt:lpstr>10.15</vt:lpstr>
      <vt:lpstr>'10.1'!Print_Area</vt:lpstr>
      <vt:lpstr>'10.11'!Print_Area</vt:lpstr>
      <vt:lpstr>'10.12'!Print_Area</vt:lpstr>
      <vt:lpstr>'10.13'!Print_Area</vt:lpstr>
      <vt:lpstr>'10.14'!Print_Area</vt:lpstr>
      <vt:lpstr>'10.2'!Print_Area</vt:lpstr>
      <vt:lpstr>'10.3'!Print_Area</vt:lpstr>
      <vt:lpstr>'10.4'!Print_Area</vt:lpstr>
      <vt:lpstr>'10.5'!Print_Area</vt:lpstr>
      <vt:lpstr>'10.7'!Print_Area</vt:lpstr>
      <vt:lpstr>'10.8'!Print_Area</vt:lpstr>
      <vt:lpstr>'10.9'!Print_Area</vt:lpstr>
      <vt:lpstr>'10.13'!Print_Titles</vt:lpstr>
      <vt:lpstr>'10.14'!Print_Titles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2019-02-28T05:39:35Z</cp:lastPrinted>
  <dcterms:created xsi:type="dcterms:W3CDTF">2019-02-27T06:18:18Z</dcterms:created>
  <dcterms:modified xsi:type="dcterms:W3CDTF">2021-07-11T14:57:26Z</dcterms:modified>
</cp:coreProperties>
</file>