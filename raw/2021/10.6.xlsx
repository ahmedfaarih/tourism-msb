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0.Tourism\"/>
    </mc:Choice>
  </mc:AlternateContent>
  <bookViews>
    <workbookView xWindow="21645" yWindow="3555" windowWidth="7500" windowHeight="6000" tabRatio="731"/>
  </bookViews>
  <sheets>
    <sheet name="10.6" sheetId="6" r:id="rId1"/>
  </sheets>
  <externalReferences>
    <externalReference r:id="rId2"/>
  </externalReferences>
  <definedNames>
    <definedName name="_xlnm.Print_Area" localSheetId="0">'10.6'!$A$1:$K$45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21" i="6" l="1"/>
  <c r="AL21" i="6"/>
  <c r="AK22" i="6"/>
  <c r="AL22" i="6"/>
  <c r="AK23" i="6"/>
  <c r="AL23" i="6"/>
  <c r="AK24" i="6"/>
  <c r="AL24" i="6"/>
  <c r="AK25" i="6"/>
  <c r="AL25" i="6"/>
  <c r="AK26" i="6"/>
  <c r="AL26" i="6"/>
  <c r="AK27" i="6"/>
  <c r="AL27" i="6"/>
  <c r="AK28" i="6"/>
  <c r="AL28" i="6"/>
  <c r="AK29" i="6"/>
  <c r="AL29" i="6"/>
  <c r="AK30" i="6"/>
  <c r="AL30" i="6"/>
  <c r="AK31" i="6"/>
  <c r="AL31" i="6"/>
  <c r="AL20" i="6"/>
  <c r="AK20" i="6"/>
  <c r="K7" i="6"/>
  <c r="J7" i="6"/>
  <c r="I7" i="6"/>
  <c r="H7" i="6"/>
  <c r="G7" i="6"/>
  <c r="D7" i="6" l="1"/>
  <c r="F7" i="6"/>
  <c r="E7" i="6"/>
  <c r="C7" i="6"/>
  <c r="B7" i="6"/>
</calcChain>
</file>

<file path=xl/sharedStrings.xml><?xml version="1.0" encoding="utf-8"?>
<sst xmlns="http://schemas.openxmlformats.org/spreadsheetml/2006/main" count="54" uniqueCount="42">
  <si>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</si>
  <si>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</si>
  <si>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</si>
  <si>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</si>
  <si>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</si>
  <si>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</si>
  <si>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</si>
  <si>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</si>
  <si>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</si>
  <si>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</si>
  <si>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</si>
  <si>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</si>
  <si>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</si>
  <si>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</si>
  <si>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</si>
  <si>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</si>
  <si>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</si>
  <si>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</si>
  <si>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</si>
  <si>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</si>
  <si>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</si>
  <si>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</si>
  <si>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</si>
  <si>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</si>
  <si>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</si>
  <si>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</si>
  <si>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</si>
  <si>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</si>
  <si>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</si>
  <si>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</si>
  <si>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</si>
  <si>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</si>
  <si>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</si>
  <si>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</si>
  <si>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</si>
  <si>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</si>
  <si>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</si>
  <si>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</si>
  <si>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2020 - 2019  ,urwvcnim unuverukcnunEb wgWjegudnea iaWa wgWj egudnea egukwtcsuawhcTcseg uhwmcswmikea : 10.6 ulwvWt</t>
  </si>
  <si>
    <t>Table  10.6: BED CAPACITY AND UTILIZATION OF GUEST HOUSES BY MONTH,  2019 - 2020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</si>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</sst>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name val="A_Faseyha"/>
    </font>
    <font>
      <b/>
      <sz val="12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0" fontId="2" fillId="0" borderId="0"/>
    <xf numFmtId="43" fontId="2" fillId="0" borderId="0" applyFont="0" applyFill="0" applyBorder="0" applyAlignment="0" applyProtection="0"/>
    <xf numFmtId="171" fontId="18" fillId="0" borderId="0"/>
    <xf numFmtId="1" fontId="19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7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</cellStyleXfs>
  <cellXfs count="54">
    <xf numFmtId="0" fontId="0" fillId="0" borderId="0" xfId="0"/>
    <xf numFmtId="0" fontId="4" fillId="2" borderId="0" xfId="0" applyFont="1" applyFill="1" applyAlignment="1" applyProtection="1">
      <alignment horizontal="left" vertic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 applyProtection="1">
      <alignment horizontal="center" vertical="center" wrapText="1"/>
    </xf>
    <xf numFmtId="37" fontId="8" fillId="2" borderId="7" xfId="0" applyNumberFormat="1" applyFont="1" applyFill="1" applyBorder="1" applyAlignment="1" applyProtection="1">
      <alignment horizontal="center" vertical="center" wrapText="1"/>
    </xf>
    <xf numFmtId="3" fontId="7" fillId="2" borderId="11" xfId="0" applyNumberFormat="1" applyFont="1" applyFill="1" applyBorder="1" applyAlignment="1">
      <alignment horizontal="center"/>
    </xf>
    <xf numFmtId="167" fontId="9" fillId="2" borderId="0" xfId="0" applyNumberFormat="1" applyFont="1" applyFill="1"/>
    <xf numFmtId="164" fontId="9" fillId="2" borderId="0" xfId="0" applyNumberFormat="1" applyFont="1" applyFill="1"/>
    <xf numFmtId="0" fontId="12" fillId="2" borderId="1" xfId="0" applyFont="1" applyFill="1" applyBorder="1" applyAlignment="1" applyProtection="1">
      <alignment horizontal="center" vertical="center" wrapText="1"/>
    </xf>
    <xf numFmtId="0" fontId="9" fillId="2" borderId="0" xfId="0" applyFont="1" applyFill="1" applyAlignment="1" applyProtection="1">
      <alignment horizontal="left" vertical="center"/>
    </xf>
    <xf numFmtId="0" fontId="9" fillId="2" borderId="0" xfId="0" applyFont="1" applyFill="1" applyBorder="1" applyAlignment="1" applyProtection="1">
      <alignment horizontal="left" vertical="center"/>
    </xf>
    <xf numFmtId="0" fontId="14" fillId="2" borderId="0" xfId="0" applyFont="1" applyFill="1" applyBorder="1" applyAlignment="1" applyProtection="1">
      <alignment horizontal="center" vertical="center" wrapText="1"/>
    </xf>
    <xf numFmtId="0" fontId="13" fillId="2" borderId="0" xfId="0" applyFont="1" applyFill="1" applyBorder="1" applyAlignment="1" applyProtection="1">
      <alignment horizontal="left" vertical="center"/>
    </xf>
    <xf numFmtId="164" fontId="7" fillId="2" borderId="0" xfId="0" applyNumberFormat="1" applyFont="1" applyFill="1" applyBorder="1" applyAlignment="1">
      <alignment horizontal="center"/>
    </xf>
    <xf numFmtId="168" fontId="13" fillId="2" borderId="0" xfId="0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 applyBorder="1" applyAlignment="1">
      <alignment horizontal="center"/>
    </xf>
    <xf numFmtId="0" fontId="6" fillId="2" borderId="1" xfId="0" applyFont="1" applyFill="1" applyBorder="1" applyAlignment="1" applyProtection="1">
      <alignment horizontal="right" vertical="center" wrapText="1"/>
    </xf>
    <xf numFmtId="0" fontId="15" fillId="2" borderId="0" xfId="0" applyFont="1" applyFill="1" applyAlignment="1" applyProtection="1">
      <alignment horizontal="left" vertical="center" wrapText="1"/>
    </xf>
    <xf numFmtId="3" fontId="15" fillId="2" borderId="10" xfId="0" applyNumberFormat="1" applyFont="1" applyFill="1" applyBorder="1" applyAlignment="1">
      <alignment horizontal="center"/>
    </xf>
    <xf numFmtId="3" fontId="15" fillId="2" borderId="0" xfId="0" applyNumberFormat="1" applyFont="1" applyFill="1" applyAlignment="1">
      <alignment horizontal="center"/>
    </xf>
    <xf numFmtId="167" fontId="15" fillId="2" borderId="0" xfId="0" applyNumberFormat="1" applyFont="1" applyFill="1" applyAlignment="1">
      <alignment horizontal="center"/>
    </xf>
    <xf numFmtId="3" fontId="15" fillId="2" borderId="0" xfId="0" applyNumberFormat="1" applyFont="1" applyFill="1" applyAlignment="1">
      <alignment horizontal="right" vertical="center"/>
    </xf>
    <xf numFmtId="0" fontId="16" fillId="2" borderId="0" xfId="0" applyFont="1" applyFill="1" applyAlignment="1" applyProtection="1">
      <alignment horizontal="left" vertical="center"/>
    </xf>
    <xf numFmtId="3" fontId="16" fillId="2" borderId="11" xfId="0" applyNumberFormat="1" applyFont="1" applyFill="1" applyBorder="1" applyAlignment="1">
      <alignment horizontal="center"/>
    </xf>
    <xf numFmtId="3" fontId="16" fillId="2" borderId="0" xfId="0" applyNumberFormat="1" applyFont="1" applyFill="1" applyBorder="1" applyAlignment="1">
      <alignment horizontal="center"/>
    </xf>
    <xf numFmtId="164" fontId="16" fillId="2" borderId="0" xfId="0" applyNumberFormat="1" applyFont="1" applyFill="1" applyAlignment="1">
      <alignment horizontal="center"/>
    </xf>
    <xf numFmtId="3" fontId="16" fillId="2" borderId="0" xfId="0" applyNumberFormat="1" applyFont="1" applyFill="1" applyBorder="1" applyAlignment="1">
      <alignment horizontal="right" vertical="center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1" xfId="0" applyFont="1" applyFill="1" applyBorder="1" applyAlignment="1" applyProtection="1">
      <alignment horizontal="left" vertical="center"/>
    </xf>
    <xf numFmtId="3" fontId="16" fillId="2" borderId="9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164" fontId="16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/>
    <xf numFmtId="0" fontId="20" fillId="2" borderId="0" xfId="0" applyFont="1" applyFill="1" applyBorder="1" applyAlignment="1">
      <alignment horizontal="right" vertical="center"/>
    </xf>
    <xf numFmtId="0" fontId="10" fillId="2" borderId="0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left" vertical="center"/>
    </xf>
    <xf numFmtId="0" fontId="5" fillId="2" borderId="0" xfId="0" applyFont="1" applyFill="1" applyAlignment="1" applyProtection="1">
      <alignment horizontal="left" vertical="center" indent="3"/>
    </xf>
    <xf numFmtId="3" fontId="16" fillId="2" borderId="11" xfId="0" applyNumberFormat="1" applyFont="1" applyFill="1" applyBorder="1" applyAlignment="1">
      <alignment horizontal="right" vertical="center" indent="3"/>
    </xf>
    <xf numFmtId="3" fontId="16" fillId="2" borderId="9" xfId="0" applyNumberFormat="1" applyFont="1" applyFill="1" applyBorder="1" applyAlignment="1">
      <alignment horizontal="right" vertical="center" indent="3"/>
    </xf>
    <xf numFmtId="3" fontId="16" fillId="2" borderId="0" xfId="0" applyNumberFormat="1" applyFont="1" applyFill="1" applyBorder="1" applyAlignment="1">
      <alignment horizontal="right" vertical="center" indent="3"/>
    </xf>
    <xf numFmtId="3" fontId="16" fillId="2" borderId="1" xfId="0" applyNumberFormat="1" applyFont="1" applyFill="1" applyBorder="1" applyAlignment="1">
      <alignment horizontal="right" vertical="center" indent="3"/>
    </xf>
    <xf numFmtId="164" fontId="16" fillId="2" borderId="0" xfId="0" applyNumberFormat="1" applyFont="1" applyFill="1" applyAlignment="1">
      <alignment horizontal="right" vertical="center" indent="3"/>
    </xf>
    <xf numFmtId="164" fontId="16" fillId="2" borderId="1" xfId="0" applyNumberFormat="1" applyFont="1" applyFill="1" applyBorder="1" applyAlignment="1">
      <alignment horizontal="right" vertical="center" indent="3"/>
    </xf>
    <xf numFmtId="0" fontId="10" fillId="2" borderId="0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10" fillId="2" borderId="3" xfId="0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center" vertical="center"/>
    </xf>
    <xf numFmtId="0" fontId="21" fillId="2" borderId="0" xfId="0" applyFont="1" applyFill="1" applyAlignment="1">
      <alignment horizontal="center" vertical="center"/>
    </xf>
  </cellXfs>
  <cellStyles count="21">
    <cellStyle name="1" xfId="5"/>
    <cellStyle name="Comma 2" xfId="19"/>
    <cellStyle name="Comma 3" xfId="6"/>
    <cellStyle name="Normal" xfId="0" builtinId="0"/>
    <cellStyle name="Normal - Style1" xfId="7"/>
    <cellStyle name="Normal 10" xfId="13"/>
    <cellStyle name="Normal 2" xfId="1"/>
    <cellStyle name="Normal 2 2" xfId="8"/>
    <cellStyle name="Normal 2 2 2" xfId="20"/>
    <cellStyle name="Normal 3" xfId="9"/>
    <cellStyle name="Normal 4" xfId="14"/>
    <cellStyle name="Normal 4 2" xfId="10"/>
    <cellStyle name="Normal 4 2 2" xfId="15"/>
    <cellStyle name="Normal 5" xfId="11"/>
    <cellStyle name="Normal 5 2" xfId="3"/>
    <cellStyle name="Normal 6" xfId="16"/>
    <cellStyle name="Normal 7" xfId="17"/>
    <cellStyle name="Normal 8" xfId="18"/>
    <cellStyle name="Normal 9" xfId="4"/>
    <cellStyle name="Percent 2" xfId="12"/>
    <cellStyle name="Percent 2 2" xfId="2"/>
  </cellStyles>
  <dxfs count="0"/>
  <tableStyles count="0" defaultTableStyle="TableStyleMedium2" defaultPivotStyle="PivotStyleLight16"/>
  <colors>
    <mruColors>
      <color rgb="FFC0F2F0"/>
      <color rgb="FFEAFAFA"/>
      <color rgb="FFDDF8F7"/>
      <color rgb="FFFF9900"/>
      <color rgb="FFFFCC66"/>
      <color rgb="FF33CCCC"/>
      <color rgb="FF196563"/>
      <color rgb="FF249390"/>
      <color rgb="FFCA945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10.10:  Bed capacity and beds in operation in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 Guest Houses</a:t>
            </a:r>
            <a:r>
              <a:rPr lang="en-US" sz="1400" b="1" i="0" baseline="0">
                <a:effectLst/>
              </a:rPr>
              <a:t>, 2020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5480342734935912"/>
          <c:y val="4.03597344449590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72313490560031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'10.6'!$AK$19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'10.6'!$AJ$20:$AJ$31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'10.6'!$AK$20:$AK$31</c:f>
              <c:numCache>
                <c:formatCode>#,##0</c:formatCode>
                <c:ptCount val="12"/>
                <c:pt idx="0">
                  <c:v>9927</c:v>
                </c:pt>
                <c:pt idx="1">
                  <c:v>10037</c:v>
                </c:pt>
                <c:pt idx="2">
                  <c:v>10093</c:v>
                </c:pt>
                <c:pt idx="3">
                  <c:v>10093</c:v>
                </c:pt>
                <c:pt idx="4">
                  <c:v>10093</c:v>
                </c:pt>
                <c:pt idx="5">
                  <c:v>10085</c:v>
                </c:pt>
                <c:pt idx="6">
                  <c:v>10111</c:v>
                </c:pt>
                <c:pt idx="7">
                  <c:v>10133</c:v>
                </c:pt>
                <c:pt idx="8">
                  <c:v>10115</c:v>
                </c:pt>
                <c:pt idx="9">
                  <c:v>10411</c:v>
                </c:pt>
                <c:pt idx="10">
                  <c:v>10411</c:v>
                </c:pt>
                <c:pt idx="11">
                  <c:v>10343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8-441E-B04C-71F893D65C4D}"/>
            </c:ext>
          </c:extLst>
        </c:ser>
        <c:ser>
          <c:idx val="1"/>
          <c:order val="1"/>
          <c:tx>
            <c:strRef>
              <c:f>'10.6'!$AL$19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'10.6'!$AJ$20:$AJ$31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'10.6'!$AL$20:$AL$31</c:f>
              <c:numCache>
                <c:formatCode>#,##0</c:formatCode>
                <c:ptCount val="12"/>
                <c:pt idx="0">
                  <c:v>9917</c:v>
                </c:pt>
                <c:pt idx="1">
                  <c:v>10027</c:v>
                </c:pt>
                <c:pt idx="2">
                  <c:v>10075</c:v>
                </c:pt>
                <c:pt idx="3">
                  <c:v>266</c:v>
                </c:pt>
                <c:pt idx="4">
                  <c:v>74</c:v>
                </c:pt>
                <c:pt idx="5">
                  <c:v>74</c:v>
                </c:pt>
                <c:pt idx="6">
                  <c:v>192</c:v>
                </c:pt>
                <c:pt idx="7">
                  <c:v>676</c:v>
                </c:pt>
                <c:pt idx="8">
                  <c:v>1002</c:v>
                </c:pt>
                <c:pt idx="9">
                  <c:v>2256</c:v>
                </c:pt>
                <c:pt idx="10">
                  <c:v>3434</c:v>
                </c:pt>
                <c:pt idx="11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B8-441E-B04C-71F893D65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4768200"/>
        <c:axId val="404768592"/>
      </c:barChart>
      <c:catAx>
        <c:axId val="40476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8592"/>
        <c:crosses val="autoZero"/>
        <c:auto val="1"/>
        <c:lblAlgn val="ctr"/>
        <c:lblOffset val="100"/>
        <c:noMultiLvlLbl val="0"/>
      </c:catAx>
      <c:valAx>
        <c:axId val="404768592"/>
        <c:scaling>
          <c:orientation val="minMax"/>
          <c:max val="12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82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5902587773345312E-2"/>
          <c:y val="0.16155719864285259"/>
          <c:w val="0.44580324011222733"/>
          <c:h val="6.1751808462966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22</xdr:row>
      <xdr:rowOff>85725</xdr:rowOff>
    </xdr:from>
    <xdr:to>
      <xdr:col>9</xdr:col>
      <xdr:colOff>457200</xdr:colOff>
      <xdr:row>42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38"/>
  <sheetViews>
    <sheetView tabSelected="1" zoomScaleNormal="100" workbookViewId="0">
      <selection activeCell="AH14" sqref="AH14:AM35"/>
    </sheetView>
  </sheetViews>
  <sheetFormatPr defaultColWidth="9.140625" defaultRowHeight="12"/>
  <cols>
    <col min="1" max="1" width="19.28515625" style="2" customWidth="1"/>
    <col min="2" max="11" width="13.140625" style="2" customWidth="1"/>
    <col min="12" max="12" width="18.28515625" style="2" customWidth="1"/>
    <col min="13" max="16384" width="9.140625" style="2"/>
  </cols>
  <sheetData>
    <row r="1" spans="1:12" ht="18.75">
      <c r="A1" s="53" t="s">
        <v>38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2" ht="12.75">
      <c r="A2" s="47" t="s">
        <v>39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12"/>
    </row>
    <row r="3" spans="1:12" ht="12.7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12"/>
    </row>
    <row r="4" spans="1:12" s="3" customFormat="1" ht="12.75">
      <c r="A4" s="48" t="s">
        <v>2</v>
      </c>
      <c r="B4" s="51">
        <v>2019</v>
      </c>
      <c r="C4" s="52"/>
      <c r="D4" s="52"/>
      <c r="E4" s="52"/>
      <c r="F4" s="52"/>
      <c r="G4" s="51">
        <v>2020</v>
      </c>
      <c r="H4" s="52"/>
      <c r="I4" s="52"/>
      <c r="J4" s="52"/>
      <c r="K4" s="52"/>
      <c r="L4" s="16"/>
    </row>
    <row r="5" spans="1:12" s="3" customFormat="1" ht="56.25">
      <c r="A5" s="49"/>
      <c r="B5" s="4" t="s">
        <v>3</v>
      </c>
      <c r="C5" s="5" t="s">
        <v>4</v>
      </c>
      <c r="D5" s="5" t="s">
        <v>1</v>
      </c>
      <c r="E5" s="5" t="s">
        <v>5</v>
      </c>
      <c r="F5" s="5" t="s">
        <v>6</v>
      </c>
      <c r="G5" s="4" t="s">
        <v>3</v>
      </c>
      <c r="H5" s="5" t="s">
        <v>4</v>
      </c>
      <c r="I5" s="5" t="s">
        <v>1</v>
      </c>
      <c r="J5" s="5" t="s">
        <v>5</v>
      </c>
      <c r="K5" s="5" t="s">
        <v>6</v>
      </c>
      <c r="L5" s="16"/>
    </row>
    <row r="6" spans="1:12" s="3" customFormat="1" ht="51">
      <c r="A6" s="50"/>
      <c r="B6" s="38" t="s">
        <v>11</v>
      </c>
      <c r="C6" s="37" t="s">
        <v>7</v>
      </c>
      <c r="D6" s="37" t="s">
        <v>8</v>
      </c>
      <c r="E6" s="37" t="s">
        <v>9</v>
      </c>
      <c r="F6" s="17" t="s">
        <v>10</v>
      </c>
      <c r="G6" s="38" t="s">
        <v>11</v>
      </c>
      <c r="H6" s="37" t="s">
        <v>7</v>
      </c>
      <c r="I6" s="37" t="s">
        <v>8</v>
      </c>
      <c r="J6" s="37" t="s">
        <v>9</v>
      </c>
      <c r="K6" s="17" t="s">
        <v>10</v>
      </c>
      <c r="L6" s="16"/>
    </row>
    <row r="7" spans="1:12" s="3" customFormat="1" ht="18.75" customHeight="1">
      <c r="A7" s="18" t="s">
        <v>12</v>
      </c>
      <c r="B7" s="19">
        <f>AVERAGE(B8:B19)</f>
        <v>9210.1666666666661</v>
      </c>
      <c r="C7" s="20">
        <f>AVERAGE(C8:C19)</f>
        <v>9200.1666666666661</v>
      </c>
      <c r="D7" s="21">
        <f>AVERAGE(D8:D19)</f>
        <v>99.891363640789621</v>
      </c>
      <c r="E7" s="21">
        <f>AVERAGE(E8:E19)</f>
        <v>33.86767677413031</v>
      </c>
      <c r="F7" s="22">
        <f>SUM(F8:F19)</f>
        <v>1128597.1511523826</v>
      </c>
      <c r="G7" s="19">
        <f>AVERAGE(G8:G19)</f>
        <v>10154.333333333334</v>
      </c>
      <c r="H7" s="20">
        <f>AVERAGE(H8:H19)</f>
        <v>3615.0833333333335</v>
      </c>
      <c r="I7" s="21">
        <f>AVERAGE(I8:I19)</f>
        <v>35.745577925251418</v>
      </c>
      <c r="J7" s="21">
        <f>AVERAGE(J8:J19)</f>
        <v>18.371216403823603</v>
      </c>
      <c r="K7" s="22">
        <f>SUM(K8:K19)</f>
        <v>408938.59676497238</v>
      </c>
      <c r="L7" s="16"/>
    </row>
    <row r="8" spans="1:12" s="3" customFormat="1" ht="15.75">
      <c r="A8" s="23" t="s">
        <v>13</v>
      </c>
      <c r="B8" s="24">
        <v>8611</v>
      </c>
      <c r="C8" s="25">
        <v>8601</v>
      </c>
      <c r="D8" s="26">
        <v>99.883869469283468</v>
      </c>
      <c r="E8" s="26">
        <v>47.683581926758109</v>
      </c>
      <c r="F8" s="27">
        <v>127139.2113271344</v>
      </c>
      <c r="G8" s="41">
        <v>9927</v>
      </c>
      <c r="H8" s="43">
        <v>9917</v>
      </c>
      <c r="I8" s="45">
        <v>99.89926463181223</v>
      </c>
      <c r="J8" s="45">
        <v>48.320666554073071</v>
      </c>
      <c r="K8" s="27">
        <v>148550.77556718999</v>
      </c>
      <c r="L8" s="34"/>
    </row>
    <row r="9" spans="1:12" s="3" customFormat="1" ht="15.75">
      <c r="A9" s="23" t="s">
        <v>14</v>
      </c>
      <c r="B9" s="24">
        <v>8895</v>
      </c>
      <c r="C9" s="25">
        <v>8885</v>
      </c>
      <c r="D9" s="26">
        <v>99.887577290612711</v>
      </c>
      <c r="E9" s="26">
        <v>52.778827580414877</v>
      </c>
      <c r="F9" s="27">
        <v>131303.16725455615</v>
      </c>
      <c r="G9" s="41">
        <v>10037</v>
      </c>
      <c r="H9" s="43">
        <v>10027</v>
      </c>
      <c r="I9" s="45">
        <v>99.900368636046636</v>
      </c>
      <c r="J9" s="45">
        <v>43.164473200499963</v>
      </c>
      <c r="K9" s="27">
        <v>125514.9501066098</v>
      </c>
      <c r="L9" s="34"/>
    </row>
    <row r="10" spans="1:12" s="3" customFormat="1" ht="15.75">
      <c r="A10" s="23" t="s">
        <v>15</v>
      </c>
      <c r="B10" s="24">
        <v>8981</v>
      </c>
      <c r="C10" s="25">
        <v>8971</v>
      </c>
      <c r="D10" s="26">
        <v>99.888653824741127</v>
      </c>
      <c r="E10" s="26">
        <v>44.268487284626417</v>
      </c>
      <c r="F10" s="27">
        <v>123111.10582341891</v>
      </c>
      <c r="G10" s="41">
        <v>10093</v>
      </c>
      <c r="H10" s="43">
        <v>10075</v>
      </c>
      <c r="I10" s="45">
        <v>99.821658575250169</v>
      </c>
      <c r="J10" s="45">
        <v>19.435525895543716</v>
      </c>
      <c r="K10" s="27">
        <v>60702.006253256906</v>
      </c>
      <c r="L10" s="34"/>
    </row>
    <row r="11" spans="1:12" s="3" customFormat="1" ht="15.75">
      <c r="A11" s="23" t="s">
        <v>16</v>
      </c>
      <c r="B11" s="24">
        <v>9047</v>
      </c>
      <c r="C11" s="25">
        <v>9037</v>
      </c>
      <c r="D11" s="26">
        <v>99.889466121366198</v>
      </c>
      <c r="E11" s="26">
        <v>39.530061477545061</v>
      </c>
      <c r="F11" s="27">
        <v>107169.94967177243</v>
      </c>
      <c r="G11" s="41">
        <v>10093</v>
      </c>
      <c r="H11" s="43">
        <v>266</v>
      </c>
      <c r="I11" s="45">
        <v>2.6354899435252155</v>
      </c>
      <c r="J11" s="45">
        <v>7.9072681704260654</v>
      </c>
      <c r="K11" s="27">
        <v>631</v>
      </c>
      <c r="L11" s="34"/>
    </row>
    <row r="12" spans="1:12" s="3" customFormat="1" ht="15.75">
      <c r="A12" s="23" t="s">
        <v>17</v>
      </c>
      <c r="B12" s="24">
        <v>9073</v>
      </c>
      <c r="C12" s="25">
        <v>9063</v>
      </c>
      <c r="D12" s="26">
        <v>99.889782872258351</v>
      </c>
      <c r="E12" s="26">
        <v>24.33364691125745</v>
      </c>
      <c r="F12" s="27">
        <v>68366.111006585139</v>
      </c>
      <c r="G12" s="41">
        <v>10093</v>
      </c>
      <c r="H12" s="43">
        <v>74</v>
      </c>
      <c r="I12" s="45">
        <v>0.73318141286039828</v>
      </c>
      <c r="J12" s="45">
        <v>4.7079337401918044</v>
      </c>
      <c r="K12" s="27">
        <v>108</v>
      </c>
      <c r="L12" s="34"/>
    </row>
    <row r="13" spans="1:12" s="3" customFormat="1" ht="15.75">
      <c r="A13" s="23" t="s">
        <v>18</v>
      </c>
      <c r="B13" s="24">
        <v>9125</v>
      </c>
      <c r="C13" s="25">
        <v>9115</v>
      </c>
      <c r="D13" s="26">
        <v>99.890410958904113</v>
      </c>
      <c r="E13" s="26">
        <v>22.651515151515152</v>
      </c>
      <c r="F13" s="27">
        <v>61940.568181818184</v>
      </c>
      <c r="G13" s="41">
        <v>10085</v>
      </c>
      <c r="H13" s="43">
        <v>74</v>
      </c>
      <c r="I13" s="45">
        <v>0.73376301437778879</v>
      </c>
      <c r="J13" s="45">
        <v>3.1081081081081083</v>
      </c>
      <c r="K13" s="27">
        <v>69</v>
      </c>
      <c r="L13" s="34"/>
    </row>
    <row r="14" spans="1:12" s="3" customFormat="1" ht="15.75">
      <c r="A14" s="23" t="s">
        <v>19</v>
      </c>
      <c r="B14" s="24">
        <v>9221</v>
      </c>
      <c r="C14" s="25">
        <v>9211</v>
      </c>
      <c r="D14" s="26">
        <v>99.891551892419471</v>
      </c>
      <c r="E14" s="26">
        <v>21.885118119678619</v>
      </c>
      <c r="F14" s="27">
        <v>62490.985130111527</v>
      </c>
      <c r="G14" s="41">
        <v>10111</v>
      </c>
      <c r="H14" s="43">
        <v>192</v>
      </c>
      <c r="I14" s="45">
        <v>1.8989219661754524</v>
      </c>
      <c r="J14" s="45">
        <v>6.13239247311828</v>
      </c>
      <c r="K14" s="27">
        <v>365</v>
      </c>
      <c r="L14" s="34"/>
    </row>
    <row r="15" spans="1:12" s="3" customFormat="1" ht="15.75">
      <c r="A15" s="23" t="s">
        <v>20</v>
      </c>
      <c r="B15" s="24">
        <v>9313</v>
      </c>
      <c r="C15" s="25">
        <v>9303</v>
      </c>
      <c r="D15" s="26">
        <v>99.892623214860947</v>
      </c>
      <c r="E15" s="26">
        <v>32.688539970749744</v>
      </c>
      <c r="F15" s="27">
        <v>94271.461077844317</v>
      </c>
      <c r="G15" s="41">
        <v>10133</v>
      </c>
      <c r="H15" s="43">
        <v>676</v>
      </c>
      <c r="I15" s="45">
        <v>6.6712720813184649</v>
      </c>
      <c r="J15" s="45">
        <v>22.620967741935484</v>
      </c>
      <c r="K15" s="27">
        <v>4740.45</v>
      </c>
      <c r="L15" s="34"/>
    </row>
    <row r="16" spans="1:12" s="3" customFormat="1" ht="15.75">
      <c r="A16" s="23" t="s">
        <v>21</v>
      </c>
      <c r="B16" s="24">
        <v>9415</v>
      </c>
      <c r="C16" s="25">
        <v>9405</v>
      </c>
      <c r="D16" s="26">
        <v>99.893786510886883</v>
      </c>
      <c r="E16" s="26">
        <v>23.778213019958962</v>
      </c>
      <c r="F16" s="27">
        <v>67090.228035814216</v>
      </c>
      <c r="G16" s="41">
        <v>10115</v>
      </c>
      <c r="H16" s="43">
        <v>1002</v>
      </c>
      <c r="I16" s="45">
        <v>9.9060800790904597</v>
      </c>
      <c r="J16" s="45">
        <v>13.274231678486997</v>
      </c>
      <c r="K16" s="27">
        <v>3990.2340425531916</v>
      </c>
      <c r="L16" s="34"/>
    </row>
    <row r="17" spans="1:39" s="3" customFormat="1" ht="15.75">
      <c r="A17" s="23" t="s">
        <v>22</v>
      </c>
      <c r="B17" s="24">
        <v>9525</v>
      </c>
      <c r="C17" s="25">
        <v>9515</v>
      </c>
      <c r="D17" s="26">
        <v>99.895013123359576</v>
      </c>
      <c r="E17" s="26">
        <v>25.389397425228843</v>
      </c>
      <c r="F17" s="27">
        <v>74889.836115326252</v>
      </c>
      <c r="G17" s="41">
        <v>10411</v>
      </c>
      <c r="H17" s="43">
        <v>2256</v>
      </c>
      <c r="I17" s="45">
        <v>21.669388147152048</v>
      </c>
      <c r="J17" s="45">
        <v>13.477684489615555</v>
      </c>
      <c r="K17" s="27">
        <v>9425.7534246575342</v>
      </c>
      <c r="L17" s="34"/>
    </row>
    <row r="18" spans="1:39" s="3" customFormat="1" ht="15.75">
      <c r="A18" s="28" t="s">
        <v>23</v>
      </c>
      <c r="B18" s="24">
        <v>9563</v>
      </c>
      <c r="C18" s="25">
        <v>9553</v>
      </c>
      <c r="D18" s="26">
        <v>99.895430304297818</v>
      </c>
      <c r="E18" s="26">
        <v>31.740818154673033</v>
      </c>
      <c r="F18" s="27">
        <v>90966.010749477457</v>
      </c>
      <c r="G18" s="41">
        <v>10411</v>
      </c>
      <c r="H18" s="43">
        <v>3434</v>
      </c>
      <c r="I18" s="45">
        <v>32.984343482854669</v>
      </c>
      <c r="J18" s="45">
        <v>14.278252611585945</v>
      </c>
      <c r="K18" s="27">
        <v>14709.455840455841</v>
      </c>
      <c r="L18" s="34"/>
    </row>
    <row r="19" spans="1:39" s="3" customFormat="1" ht="36">
      <c r="A19" s="29" t="s">
        <v>24</v>
      </c>
      <c r="B19" s="30">
        <v>9753</v>
      </c>
      <c r="C19" s="31">
        <v>9743</v>
      </c>
      <c r="D19" s="32">
        <v>99.898198106484784</v>
      </c>
      <c r="E19" s="32">
        <v>39.683914267157391</v>
      </c>
      <c r="F19" s="33">
        <v>119858.5167785235</v>
      </c>
      <c r="G19" s="42">
        <v>10343</v>
      </c>
      <c r="H19" s="44">
        <v>5388</v>
      </c>
      <c r="I19" s="46">
        <v>52.09320313255342</v>
      </c>
      <c r="J19" s="46">
        <v>24.027092182298244</v>
      </c>
      <c r="K19" s="33">
        <v>40131.971530249109</v>
      </c>
      <c r="L19" s="34"/>
      <c r="AH19" s="2"/>
      <c r="AI19" s="2"/>
      <c r="AJ19" s="2"/>
      <c r="AK19" s="9" t="s">
        <v>11</v>
      </c>
      <c r="AL19" s="9" t="s">
        <v>26</v>
      </c>
      <c r="AM19" s="2"/>
    </row>
    <row r="20" spans="1:39" ht="20.25" customHeight="1">
      <c r="A20" s="1" t="s">
        <v>0</v>
      </c>
      <c r="B20" s="7"/>
      <c r="C20" s="7"/>
      <c r="D20" s="8"/>
      <c r="F20" s="35"/>
      <c r="G20" s="7"/>
      <c r="H20" s="7"/>
      <c r="I20" s="8"/>
      <c r="K20" s="35" t="s">
        <v>25</v>
      </c>
      <c r="L20" s="16"/>
      <c r="AJ20" s="10" t="s">
        <v>27</v>
      </c>
      <c r="AK20" s="6">
        <f>G8</f>
        <v>9927</v>
      </c>
      <c r="AL20" s="6">
        <f>H8</f>
        <v>9917</v>
      </c>
    </row>
    <row r="21" spans="1:39" ht="12.75">
      <c r="A21" s="39" t="s">
        <v>40</v>
      </c>
      <c r="B21" s="13"/>
      <c r="C21" s="16"/>
      <c r="D21" s="16"/>
      <c r="E21" s="16"/>
      <c r="F21" s="16"/>
      <c r="G21" s="13"/>
      <c r="H21" s="16"/>
      <c r="I21" s="16"/>
      <c r="J21" s="16"/>
      <c r="K21" s="16"/>
      <c r="L21" s="16"/>
      <c r="AJ21" s="10" t="s">
        <v>28</v>
      </c>
      <c r="AK21" s="6">
        <f>G9</f>
        <v>10037</v>
      </c>
      <c r="AL21" s="6">
        <f>H9</f>
        <v>10027</v>
      </c>
    </row>
    <row r="22" spans="1:39" ht="12.75">
      <c r="A22" s="40" t="s">
        <v>41</v>
      </c>
      <c r="B22" s="13"/>
      <c r="C22" s="16"/>
      <c r="D22" s="16"/>
      <c r="E22" s="16"/>
      <c r="F22" s="16"/>
      <c r="G22" s="13"/>
      <c r="H22" s="16"/>
      <c r="I22" s="16"/>
      <c r="J22" s="16"/>
      <c r="K22" s="16"/>
      <c r="L22" s="16"/>
      <c r="AJ22" s="10" t="s">
        <v>29</v>
      </c>
      <c r="AK22" s="6">
        <f>G10</f>
        <v>10093</v>
      </c>
      <c r="AL22" s="6">
        <f>H10</f>
        <v>10075</v>
      </c>
    </row>
    <row r="23" spans="1:39" ht="12.75">
      <c r="A23" s="11"/>
      <c r="B23" s="13"/>
      <c r="C23" s="16"/>
      <c r="D23" s="16"/>
      <c r="E23" s="16"/>
      <c r="F23" s="16"/>
      <c r="G23" s="13"/>
      <c r="H23" s="16"/>
      <c r="I23" s="16"/>
      <c r="J23" s="16"/>
      <c r="K23" s="16"/>
      <c r="L23" s="16"/>
      <c r="AJ23" s="10" t="s">
        <v>30</v>
      </c>
      <c r="AK23" s="6">
        <f>G11</f>
        <v>10093</v>
      </c>
      <c r="AL23" s="6">
        <f>H11</f>
        <v>266</v>
      </c>
    </row>
    <row r="24" spans="1:39" ht="12.75">
      <c r="A24" s="11"/>
      <c r="B24" s="13"/>
      <c r="C24" s="16"/>
      <c r="D24" s="16"/>
      <c r="E24" s="16"/>
      <c r="F24" s="16"/>
      <c r="G24" s="13"/>
      <c r="H24" s="16"/>
      <c r="I24" s="16"/>
      <c r="J24" s="16"/>
      <c r="K24" s="16"/>
      <c r="L24" s="16"/>
      <c r="AJ24" s="10" t="s">
        <v>17</v>
      </c>
      <c r="AK24" s="6">
        <f>G12</f>
        <v>10093</v>
      </c>
      <c r="AL24" s="6">
        <f>H12</f>
        <v>74</v>
      </c>
    </row>
    <row r="25" spans="1:39" ht="12.75">
      <c r="A25" s="11"/>
      <c r="B25" s="13"/>
      <c r="C25" s="16"/>
      <c r="D25" s="16"/>
      <c r="E25" s="16"/>
      <c r="F25" s="16"/>
      <c r="G25" s="13"/>
      <c r="H25" s="16"/>
      <c r="I25" s="16"/>
      <c r="J25" s="16"/>
      <c r="K25" s="16"/>
      <c r="L25" s="16"/>
      <c r="AJ25" s="10" t="s">
        <v>31</v>
      </c>
      <c r="AK25" s="6">
        <f>G13</f>
        <v>10085</v>
      </c>
      <c r="AL25" s="6">
        <f>H13</f>
        <v>74</v>
      </c>
    </row>
    <row r="26" spans="1:39" ht="12.75">
      <c r="A26" s="11"/>
      <c r="B26" s="13"/>
      <c r="C26" s="16"/>
      <c r="D26" s="16"/>
      <c r="E26" s="16"/>
      <c r="F26" s="16"/>
      <c r="G26" s="13"/>
      <c r="H26" s="16"/>
      <c r="I26" s="16"/>
      <c r="J26" s="16"/>
      <c r="K26" s="16"/>
      <c r="L26" s="16"/>
      <c r="AJ26" s="10" t="s">
        <v>32</v>
      </c>
      <c r="AK26" s="6">
        <f>G14</f>
        <v>10111</v>
      </c>
      <c r="AL26" s="6">
        <f>H14</f>
        <v>192</v>
      </c>
    </row>
    <row r="27" spans="1:39" ht="12.75">
      <c r="A27" s="11"/>
      <c r="B27" s="15"/>
      <c r="C27" s="14"/>
      <c r="D27" s="14"/>
      <c r="E27" s="14"/>
      <c r="F27" s="14"/>
      <c r="G27" s="15"/>
      <c r="H27" s="14"/>
      <c r="I27" s="14"/>
      <c r="J27" s="14"/>
      <c r="K27" s="14"/>
      <c r="L27" s="14"/>
      <c r="AJ27" s="10" t="s">
        <v>33</v>
      </c>
      <c r="AK27" s="6">
        <f>G15</f>
        <v>10133</v>
      </c>
      <c r="AL27" s="6">
        <f>H15</f>
        <v>676</v>
      </c>
    </row>
    <row r="28" spans="1:39" ht="12.75">
      <c r="A28" s="11"/>
      <c r="B28" s="13"/>
      <c r="C28" s="14"/>
      <c r="D28" s="14"/>
      <c r="E28" s="14"/>
      <c r="F28" s="14"/>
      <c r="G28" s="13"/>
      <c r="H28" s="14"/>
      <c r="I28" s="14"/>
      <c r="J28" s="14"/>
      <c r="K28" s="14"/>
      <c r="L28" s="14"/>
      <c r="AJ28" s="10" t="s">
        <v>34</v>
      </c>
      <c r="AK28" s="6">
        <f>G16</f>
        <v>10115</v>
      </c>
      <c r="AL28" s="6">
        <f>H16</f>
        <v>1002</v>
      </c>
    </row>
    <row r="29" spans="1:39" ht="12.75">
      <c r="A29" s="11"/>
      <c r="B29" s="13"/>
      <c r="C29" s="14"/>
      <c r="D29" s="14"/>
      <c r="E29" s="14"/>
      <c r="F29" s="14"/>
      <c r="G29" s="13"/>
      <c r="H29" s="14"/>
      <c r="I29" s="14"/>
      <c r="J29" s="14"/>
      <c r="K29" s="14"/>
      <c r="L29" s="14"/>
      <c r="AJ29" s="10" t="s">
        <v>35</v>
      </c>
      <c r="AK29" s="6">
        <f>G17</f>
        <v>10411</v>
      </c>
      <c r="AL29" s="6">
        <f>H17</f>
        <v>2256</v>
      </c>
    </row>
    <row r="30" spans="1:39" ht="12.75">
      <c r="A30" s="11"/>
      <c r="B30" s="13"/>
      <c r="C30" s="14"/>
      <c r="D30" s="14"/>
      <c r="E30" s="14"/>
      <c r="F30" s="14"/>
      <c r="G30" s="13"/>
      <c r="H30" s="14"/>
      <c r="I30" s="14"/>
      <c r="J30" s="14"/>
      <c r="K30" s="14"/>
      <c r="L30" s="14"/>
      <c r="AJ30" s="10" t="s">
        <v>36</v>
      </c>
      <c r="AK30" s="6">
        <f>G18</f>
        <v>10411</v>
      </c>
      <c r="AL30" s="6">
        <f>H18</f>
        <v>3434</v>
      </c>
    </row>
    <row r="31" spans="1:39" ht="12.75">
      <c r="A31" s="11"/>
      <c r="B31" s="13"/>
      <c r="C31" s="14"/>
      <c r="D31" s="14"/>
      <c r="E31" s="14"/>
      <c r="F31" s="14"/>
      <c r="G31" s="13"/>
      <c r="H31" s="14"/>
      <c r="I31" s="14"/>
      <c r="J31" s="14"/>
      <c r="K31" s="14"/>
      <c r="L31" s="14"/>
      <c r="AJ31" s="10" t="s">
        <v>37</v>
      </c>
      <c r="AK31" s="6">
        <f>G19</f>
        <v>10343</v>
      </c>
      <c r="AL31" s="6">
        <f>H19</f>
        <v>5388</v>
      </c>
    </row>
    <row r="32" spans="1:39" ht="12.75">
      <c r="A32" s="11"/>
      <c r="B32" s="13"/>
      <c r="C32" s="14"/>
      <c r="D32" s="14"/>
      <c r="E32" s="14"/>
      <c r="F32" s="14"/>
      <c r="G32" s="13"/>
      <c r="H32" s="14"/>
      <c r="I32" s="14"/>
      <c r="J32" s="14"/>
      <c r="K32" s="14"/>
      <c r="L32" s="14"/>
      <c r="AJ32" s="3"/>
      <c r="AK32" s="3"/>
      <c r="AL32" s="3"/>
    </row>
    <row r="33" spans="1:12" ht="12.75">
      <c r="A33" s="11"/>
      <c r="B33" s="13"/>
      <c r="C33" s="14"/>
      <c r="D33" s="14"/>
      <c r="E33" s="14"/>
      <c r="F33" s="14"/>
      <c r="G33" s="13"/>
      <c r="H33" s="14"/>
      <c r="I33" s="14"/>
      <c r="J33" s="14"/>
      <c r="K33" s="14"/>
      <c r="L33" s="14"/>
    </row>
    <row r="34" spans="1:12" ht="12.75">
      <c r="A34" s="11"/>
      <c r="B34" s="13"/>
      <c r="C34" s="14"/>
      <c r="D34" s="14"/>
      <c r="E34" s="14"/>
      <c r="F34" s="14"/>
      <c r="G34" s="13"/>
      <c r="H34" s="14"/>
      <c r="I34" s="14"/>
      <c r="J34" s="14"/>
      <c r="K34" s="14"/>
      <c r="L34" s="14"/>
    </row>
    <row r="35" spans="1:12" ht="12.75">
      <c r="A35" s="11"/>
      <c r="B35" s="13"/>
      <c r="C35" s="14"/>
      <c r="D35" s="14"/>
      <c r="E35" s="14"/>
      <c r="F35" s="14"/>
      <c r="G35" s="13"/>
      <c r="H35" s="14"/>
      <c r="I35" s="14"/>
      <c r="J35" s="14"/>
      <c r="K35" s="14"/>
      <c r="L35" s="14"/>
    </row>
    <row r="36" spans="1:12" ht="12.75">
      <c r="B36" s="13"/>
      <c r="C36" s="14"/>
      <c r="D36" s="14"/>
      <c r="E36" s="14"/>
      <c r="F36" s="14"/>
      <c r="G36" s="13"/>
      <c r="H36" s="14"/>
      <c r="I36" s="14"/>
      <c r="J36" s="14"/>
      <c r="K36" s="14"/>
      <c r="L36" s="14"/>
    </row>
    <row r="37" spans="1:12" ht="12.75">
      <c r="B37" s="13"/>
      <c r="C37" s="14"/>
      <c r="D37" s="14"/>
      <c r="E37" s="14"/>
      <c r="F37" s="14"/>
      <c r="G37" s="13"/>
      <c r="H37" s="14"/>
      <c r="I37" s="14"/>
      <c r="J37" s="14"/>
      <c r="K37" s="14"/>
      <c r="L37" s="14"/>
    </row>
    <row r="38" spans="1:12" ht="12.75">
      <c r="B38" s="13"/>
      <c r="C38" s="14"/>
      <c r="D38" s="14"/>
      <c r="E38" s="14"/>
      <c r="F38" s="14"/>
      <c r="G38" s="13"/>
      <c r="H38" s="14"/>
      <c r="I38" s="14"/>
      <c r="J38" s="14"/>
      <c r="K38" s="14"/>
      <c r="L38" s="14"/>
    </row>
  </sheetData>
  <mergeCells count="5">
    <mergeCell ref="G4:K4"/>
    <mergeCell ref="A1:K1"/>
    <mergeCell ref="A2:K2"/>
    <mergeCell ref="B4:F4"/>
    <mergeCell ref="A4:A6"/>
  </mergeCells>
  <pageMargins left="0.7" right="0.7" top="0.75" bottom="0.75" header="0.3" footer="0.3"/>
  <pageSetup paperSize="9" scale="69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10.6</vt:lpstr>
      <vt:lpstr>'10.6'!Print_Area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2021-07-12T05:50:19Z</cp:lastPrinted>
  <dcterms:created xsi:type="dcterms:W3CDTF">2019-02-27T06:18:18Z</dcterms:created>
  <dcterms:modified xsi:type="dcterms:W3CDTF">2021-07-12T05:50:34Z</dcterms:modified>
</cp:coreProperties>
</file>