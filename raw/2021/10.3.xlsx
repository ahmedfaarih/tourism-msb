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3" sheetId="3" r:id="rId1"/>
  </sheets>
  <externalReferences>
    <externalReference r:id="rId2"/>
  </externalReferences>
  <definedNames>
    <definedName name="_xlnm.Print_Area" localSheetId="0">'10.3'!$A$1:$M$60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8" i="3" l="1"/>
  <c r="AJ99" i="3"/>
  <c r="AJ100" i="3"/>
  <c r="AJ101" i="3"/>
  <c r="AJ102" i="3"/>
  <c r="AJ103" i="3"/>
  <c r="AJ104" i="3"/>
  <c r="AJ105" i="3"/>
  <c r="AJ106" i="3"/>
  <c r="AJ107" i="3"/>
  <c r="AJ108" i="3"/>
  <c r="AJ97" i="3"/>
  <c r="AW17" i="3"/>
  <c r="AX17" i="3"/>
  <c r="AW18" i="3"/>
  <c r="AX18" i="3"/>
  <c r="AW19" i="3"/>
  <c r="AX19" i="3"/>
  <c r="AW20" i="3"/>
  <c r="AX20" i="3"/>
  <c r="AW21" i="3"/>
  <c r="AX21" i="3"/>
  <c r="AW22" i="3"/>
  <c r="AX22" i="3"/>
  <c r="AW23" i="3"/>
  <c r="AX23" i="3"/>
  <c r="AW24" i="3"/>
  <c r="AX24" i="3"/>
  <c r="AW25" i="3"/>
  <c r="AX25" i="3"/>
  <c r="AW26" i="3"/>
  <c r="AX26" i="3"/>
  <c r="AW27" i="3"/>
  <c r="AX27" i="3"/>
  <c r="AW16" i="3"/>
  <c r="AX16" i="3"/>
  <c r="L6" i="3" l="1"/>
  <c r="K6" i="3" l="1"/>
  <c r="J6" i="3"/>
  <c r="I6" i="3"/>
  <c r="H6" i="3"/>
  <c r="AJ86" i="3" l="1"/>
  <c r="AJ87" i="3"/>
  <c r="AJ88" i="3"/>
  <c r="AJ89" i="3"/>
  <c r="AJ90" i="3"/>
  <c r="AJ91" i="3"/>
  <c r="AJ92" i="3"/>
  <c r="AJ93" i="3"/>
  <c r="AJ94" i="3"/>
  <c r="AJ95" i="3"/>
  <c r="AJ96" i="3"/>
  <c r="AJ85" i="3"/>
  <c r="G6" i="3"/>
  <c r="F6" i="3"/>
  <c r="E6" i="3"/>
  <c r="D6" i="3"/>
  <c r="C6" i="3"/>
  <c r="B6" i="3"/>
  <c r="AJ84" i="3" l="1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36" i="3"/>
  <c r="AJ35" i="3"/>
  <c r="AJ34" i="3"/>
  <c r="AJ33" i="3"/>
  <c r="AJ32" i="3"/>
  <c r="AJ31" i="3"/>
  <c r="AJ30" i="3"/>
  <c r="AJ29" i="3"/>
  <c r="AJ28" i="3"/>
  <c r="AJ27" i="3"/>
  <c r="AJ26" i="3"/>
  <c r="AJ25" i="3"/>
</calcChain>
</file>

<file path=xl/sharedStrings.xml><?xml version="1.0" encoding="utf-8"?>
<sst xmlns="http://schemas.openxmlformats.org/spreadsheetml/2006/main" count="136" uniqueCount="45">
  <si>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</si>
  <si>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</si>
  <si>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</si>
  <si>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</si>
  <si>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</si>
  <si>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</si>
  <si>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</si>
  <si>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</si>
  <si>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</si>
  <si>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</si>
  <si>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</si>
  <si>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</si>
  <si>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</si>
  <si>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</si>
  <si>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</si>
  <si>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</si>
  <si>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</si>
  <si>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</si>
  <si>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</si>
  <si>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</si>
  <si>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</si>
  <si>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</si>
  <si>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</si>
  <si>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</si>
  <si>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</si>
  <si>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</si>
  <si>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</si>
  <si>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</si>
  <si>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</si>
  <si>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</si>
  <si>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</si>
  <si>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</si>
  <si>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</si>
  <si>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</si>
  <si>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</si>
  <si>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</si>
  <si>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</si>
  <si>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</si>
  <si>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</si>
  <si>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</si>
  <si>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10.3: BED CAPACITY AND UTILIZATION BY MONTH,  2019 - 2020</t>
  </si>
  <si>
    <t>2020 - 2019  ,urwvcnim unuverukcnunEb wgWjegudnea iaWa wgWj egudnea uhwmcswmikea : 10.3 ulwvWt</t>
  </si>
  <si>
    <t>May, June and July 2020, Average Duration of Stay is based on estimated number of tourists in the Maldives.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</si>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</sst>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9"/>
      <color rgb="FFFF0000"/>
      <name val="Arial"/>
      <family val="2"/>
    </font>
    <font>
      <sz val="9"/>
      <color rgb="FFFF0000"/>
      <name val="Faruma"/>
    </font>
    <font>
      <sz val="9"/>
      <color rgb="FFFF000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73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167" fontId="6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 applyProtection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 applyProtection="1">
      <alignment horizontal="left" vertical="center"/>
    </xf>
    <xf numFmtId="3" fontId="13" fillId="2" borderId="0" xfId="0" applyNumberFormat="1" applyFont="1" applyFill="1" applyAlignment="1">
      <alignment horizontal="center"/>
    </xf>
    <xf numFmtId="0" fontId="9" fillId="2" borderId="0" xfId="0" applyFont="1" applyFill="1" applyBorder="1" applyAlignment="1" applyProtection="1">
      <alignment horizontal="left" vertical="center"/>
    </xf>
    <xf numFmtId="168" fontId="13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 applyProtection="1">
      <alignment horizontal="left" vertical="center"/>
    </xf>
    <xf numFmtId="167" fontId="9" fillId="2" borderId="0" xfId="0" applyNumberFormat="1" applyFont="1" applyFill="1" applyBorder="1"/>
    <xf numFmtId="3" fontId="9" fillId="2" borderId="0" xfId="0" applyNumberFormat="1" applyFont="1" applyFill="1" applyBorder="1"/>
    <xf numFmtId="0" fontId="12" fillId="2" borderId="0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/>
    <xf numFmtId="3" fontId="9" fillId="2" borderId="0" xfId="0" applyNumberFormat="1" applyFont="1" applyFill="1" applyBorder="1" applyAlignment="1">
      <alignment horizont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0" fontId="13" fillId="2" borderId="1" xfId="0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167" fontId="9" fillId="2" borderId="0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0" fontId="19" fillId="2" borderId="0" xfId="0" applyFont="1" applyFill="1" applyBorder="1" applyAlignment="1">
      <alignment horizontal="right" vertical="center"/>
    </xf>
    <xf numFmtId="37" fontId="8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167" fontId="20" fillId="2" borderId="0" xfId="0" applyNumberFormat="1" applyFont="1" applyFill="1"/>
    <xf numFmtId="164" fontId="20" fillId="2" borderId="0" xfId="0" applyNumberFormat="1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 applyBorder="1" applyAlignment="1">
      <alignment horizontal="right" vertical="center"/>
    </xf>
    <xf numFmtId="0" fontId="20" fillId="2" borderId="0" xfId="0" applyFont="1" applyFill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indent="3"/>
    </xf>
    <xf numFmtId="164" fontId="7" fillId="2" borderId="1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10.7: Average duration of stay of tourists, 2019- 2020</a:t>
            </a:r>
          </a:p>
        </c:rich>
      </c:tx>
      <c:layout>
        <c:manualLayout>
          <c:xMode val="edge"/>
          <c:yMode val="edge"/>
          <c:x val="0.20004409457667005"/>
          <c:y val="4.5386795248124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249390"/>
              </a:solidFill>
            </a:ln>
          </c:spPr>
          <c:marker>
            <c:symbol val="square"/>
            <c:size val="6"/>
            <c:spPr>
              <a:solidFill>
                <a:srgbClr val="33CCCC"/>
              </a:solidFill>
              <a:ln>
                <a:solidFill>
                  <a:srgbClr val="196563"/>
                </a:solidFill>
              </a:ln>
            </c:spPr>
          </c:marker>
          <c:cat>
            <c:strRef>
              <c:f>'10.3'!$AI$85:$AI$108</c:f>
              <c:strCache>
                <c:ptCount val="24"/>
                <c:pt idx="0">
                  <c:v>Jan-19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'10.3'!$AJ$85:$AJ$108</c:f>
              <c:numCache>
                <c:formatCode>#,##0.0</c:formatCode>
                <c:ptCount val="24"/>
                <c:pt idx="0">
                  <c:v>6.5882149816969973</c:v>
                </c:pt>
                <c:pt idx="1">
                  <c:v>6.0482804911572279</c:v>
                </c:pt>
                <c:pt idx="2">
                  <c:v>6.1824598176503818</c:v>
                </c:pt>
                <c:pt idx="3">
                  <c:v>6.0189152035866762</c:v>
                </c:pt>
                <c:pt idx="4">
                  <c:v>6.9693063559966193</c:v>
                </c:pt>
                <c:pt idx="5">
                  <c:v>6.2974838531525128</c:v>
                </c:pt>
                <c:pt idx="6">
                  <c:v>5.8777392231348422</c:v>
                </c:pt>
                <c:pt idx="7">
                  <c:v>6.5354937125120207</c:v>
                </c:pt>
                <c:pt idx="8">
                  <c:v>6.0265945053859173</c:v>
                </c:pt>
                <c:pt idx="9">
                  <c:v>6.4568748581424016</c:v>
                </c:pt>
                <c:pt idx="10">
                  <c:v>6.431551764903114</c:v>
                </c:pt>
                <c:pt idx="11">
                  <c:v>6.1300122010911764</c:v>
                </c:pt>
                <c:pt idx="12">
                  <c:v>6.5920863312702735</c:v>
                </c:pt>
                <c:pt idx="13">
                  <c:v>6.8118280755823273</c:v>
                </c:pt>
                <c:pt idx="14">
                  <c:v>9.4298541854713473</c:v>
                </c:pt>
                <c:pt idx="15">
                  <c:v>9.4285930300820073</c:v>
                </c:pt>
                <c:pt idx="16">
                  <c:v>86.847657368887681</c:v>
                </c:pt>
                <c:pt idx="17">
                  <c:v>42.28729376191415</c:v>
                </c:pt>
                <c:pt idx="18">
                  <c:v>14.083004941514982</c:v>
                </c:pt>
                <c:pt idx="19">
                  <c:v>9.3485538100132146</c:v>
                </c:pt>
                <c:pt idx="20">
                  <c:v>9.4824196160074017</c:v>
                </c:pt>
                <c:pt idx="21">
                  <c:v>9.6159959503923051</c:v>
                </c:pt>
                <c:pt idx="22">
                  <c:v>8.877098540145985</c:v>
                </c:pt>
                <c:pt idx="23">
                  <c:v>9.1055876952922024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16680"/>
        <c:axId val="400021776"/>
      </c:lineChart>
      <c:catAx>
        <c:axId val="4000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800">
                <a:latin typeface="+mn-lt"/>
              </a:defRPr>
            </a:pPr>
            <a:endParaRPr lang="en-US"/>
          </a:p>
        </c:txPr>
        <c:crossAx val="400021776"/>
        <c:crosses val="autoZero"/>
        <c:auto val="1"/>
        <c:lblAlgn val="ctr"/>
        <c:lblOffset val="100"/>
        <c:noMultiLvlLbl val="0"/>
      </c:catAx>
      <c:valAx>
        <c:axId val="400021776"/>
        <c:scaling>
          <c:orientation val="minMax"/>
          <c:max val="90"/>
          <c:min val="0"/>
        </c:scaling>
        <c:delete val="0"/>
        <c:axPos val="l"/>
        <c:majorGridlines>
          <c:spPr>
            <a:ln w="12700">
              <a:solidFill>
                <a:srgbClr val="DDF8F7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Average Number of days</a:t>
                </a:r>
              </a:p>
            </c:rich>
          </c:tx>
          <c:layout>
            <c:manualLayout>
              <c:xMode val="edge"/>
              <c:yMode val="edge"/>
              <c:x val="4.0054180419253783E-3"/>
              <c:y val="8.7282570480811436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0016680"/>
        <c:crosses val="autoZero"/>
        <c:crossBetween val="between"/>
        <c:majorUnit val="5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2020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5036451437118789"/>
          <c:y val="6.872001098392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'10.3'!$AW$15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'10.3'!$AV$16:$AV$27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'10.3'!$AW$16:$AW$27</c:f>
              <c:numCache>
                <c:formatCode>#,##0</c:formatCode>
                <c:ptCount val="12"/>
                <c:pt idx="0">
                  <c:v>52016</c:v>
                </c:pt>
                <c:pt idx="1">
                  <c:v>52263</c:v>
                </c:pt>
                <c:pt idx="2">
                  <c:v>52319</c:v>
                </c:pt>
                <c:pt idx="3">
                  <c:v>52319</c:v>
                </c:pt>
                <c:pt idx="4">
                  <c:v>52319</c:v>
                </c:pt>
                <c:pt idx="5">
                  <c:v>52287</c:v>
                </c:pt>
                <c:pt idx="6">
                  <c:v>52236</c:v>
                </c:pt>
                <c:pt idx="7">
                  <c:v>52361</c:v>
                </c:pt>
                <c:pt idx="8">
                  <c:v>52311</c:v>
                </c:pt>
                <c:pt idx="9">
                  <c:v>52867</c:v>
                </c:pt>
                <c:pt idx="10">
                  <c:v>52968</c:v>
                </c:pt>
                <c:pt idx="11">
                  <c:v>51827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9BA-9436-E2340D30CC13}"/>
            </c:ext>
          </c:extLst>
        </c:ser>
        <c:ser>
          <c:idx val="1"/>
          <c:order val="1"/>
          <c:tx>
            <c:strRef>
              <c:f>'10.3'!$AX$15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'10.3'!$AV$16:$AV$27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'10.3'!$AX$16:$AX$27</c:f>
              <c:numCache>
                <c:formatCode>#,##0</c:formatCode>
                <c:ptCount val="12"/>
                <c:pt idx="0">
                  <c:v>50679</c:v>
                </c:pt>
                <c:pt idx="1">
                  <c:v>50926</c:v>
                </c:pt>
                <c:pt idx="2">
                  <c:v>51001</c:v>
                </c:pt>
                <c:pt idx="3">
                  <c:v>7690</c:v>
                </c:pt>
                <c:pt idx="4">
                  <c:v>2978</c:v>
                </c:pt>
                <c:pt idx="5">
                  <c:v>3078</c:v>
                </c:pt>
                <c:pt idx="6">
                  <c:v>9821</c:v>
                </c:pt>
                <c:pt idx="7">
                  <c:v>19263</c:v>
                </c:pt>
                <c:pt idx="8">
                  <c:v>25328</c:v>
                </c:pt>
                <c:pt idx="9">
                  <c:v>32600</c:v>
                </c:pt>
                <c:pt idx="10">
                  <c:v>37378</c:v>
                </c:pt>
                <c:pt idx="11">
                  <c:v>42194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9BA-9436-E2340D30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00019424"/>
        <c:axId val="400015112"/>
      </c:barChart>
      <c:catAx>
        <c:axId val="4000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112"/>
        <c:crosses val="autoZero"/>
        <c:auto val="1"/>
        <c:lblAlgn val="ctr"/>
        <c:lblOffset val="100"/>
        <c:noMultiLvlLbl val="0"/>
      </c:catAx>
      <c:valAx>
        <c:axId val="400015112"/>
        <c:scaling>
          <c:orientation val="minMax"/>
          <c:max val="6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94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6.3895584534217689E-2"/>
          <c:y val="0.1988835414498786"/>
          <c:w val="0.36621896210650873"/>
          <c:h val="7.7168591014461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34846</xdr:colOff>
      <xdr:row>38</xdr:row>
      <xdr:rowOff>13674</xdr:rowOff>
    </xdr:from>
    <xdr:to>
      <xdr:col>11</xdr:col>
      <xdr:colOff>35944</xdr:colOff>
      <xdr:row>58</xdr:row>
      <xdr:rowOff>70184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740858</xdr:colOff>
      <xdr:row>22</xdr:row>
      <xdr:rowOff>238472</xdr:rowOff>
    </xdr:from>
    <xdr:to>
      <xdr:col>11</xdr:col>
      <xdr:colOff>104670</xdr:colOff>
      <xdr:row>35</xdr:row>
      <xdr:rowOff>86072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108"/>
  <sheetViews>
    <sheetView tabSelected="1" zoomScale="91" zoomScaleNormal="91" workbookViewId="0">
      <pane xSplit="1" ySplit="5" topLeftCell="B6" activePane="bottomRight" state="frozen"/>
      <selection pane="topRight" activeCell="AG1" sqref="AG1"/>
      <selection pane="bottomLeft" activeCell="A6" sqref="A6"/>
      <selection pane="bottomRight" activeCell="R4" sqref="R4"/>
    </sheetView>
  </sheetViews>
  <sheetFormatPr defaultColWidth="9.140625" defaultRowHeight="12"/>
  <cols>
    <col min="1" max="1" width="16.85546875" style="5" customWidth="1"/>
    <col min="2" max="3" width="11.28515625" style="5" customWidth="1"/>
    <col min="4" max="4" width="14.85546875" style="5" customWidth="1"/>
    <col min="5" max="9" width="11.28515625" style="5" customWidth="1"/>
    <col min="10" max="10" width="14.85546875" style="5" customWidth="1"/>
    <col min="11" max="29" width="11.28515625" style="5" customWidth="1"/>
    <col min="30" max="16384" width="9.140625" style="5"/>
  </cols>
  <sheetData>
    <row r="1" spans="1:50" ht="17.25" customHeight="1">
      <c r="A1" s="66" t="s">
        <v>41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spans="1:50" ht="24" customHeight="1">
      <c r="A2" s="65" t="s">
        <v>40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50" s="6" customFormat="1" ht="18.75" customHeight="1">
      <c r="A3" s="68" t="s">
        <v>3</v>
      </c>
      <c r="B3" s="71">
        <v>2019</v>
      </c>
      <c r="C3" s="72"/>
      <c r="D3" s="72"/>
      <c r="E3" s="72"/>
      <c r="F3" s="72"/>
      <c r="G3" s="72"/>
      <c r="H3" s="71">
        <v>2020</v>
      </c>
      <c r="I3" s="72"/>
      <c r="J3" s="72"/>
      <c r="K3" s="72"/>
      <c r="L3" s="72"/>
      <c r="M3" s="72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50" s="6" customFormat="1" ht="72" customHeight="1">
      <c r="A4" s="69"/>
      <c r="B4" s="7" t="s">
        <v>4</v>
      </c>
      <c r="C4" s="8" t="s">
        <v>5</v>
      </c>
      <c r="D4" s="8" t="s">
        <v>2</v>
      </c>
      <c r="E4" s="8" t="s">
        <v>6</v>
      </c>
      <c r="F4" s="8" t="s">
        <v>7</v>
      </c>
      <c r="G4" s="8" t="s">
        <v>8</v>
      </c>
      <c r="H4" s="7" t="s">
        <v>4</v>
      </c>
      <c r="I4" s="8" t="s">
        <v>5</v>
      </c>
      <c r="J4" s="8" t="s">
        <v>2</v>
      </c>
      <c r="K4" s="8" t="s">
        <v>6</v>
      </c>
      <c r="L4" s="8" t="s">
        <v>7</v>
      </c>
      <c r="M4" s="8" t="s">
        <v>8</v>
      </c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E4" s="67"/>
      <c r="AF4" s="67"/>
      <c r="AG4" s="67"/>
      <c r="AH4" s="67"/>
      <c r="AI4" s="67"/>
      <c r="AJ4" s="67"/>
    </row>
    <row r="5" spans="1:50" s="6" customFormat="1" ht="46.5" customHeight="1">
      <c r="A5" s="70"/>
      <c r="B5" s="53" t="s">
        <v>14</v>
      </c>
      <c r="C5" s="52" t="s">
        <v>9</v>
      </c>
      <c r="D5" s="52" t="s">
        <v>10</v>
      </c>
      <c r="E5" s="52" t="s">
        <v>11</v>
      </c>
      <c r="F5" s="52" t="s">
        <v>12</v>
      </c>
      <c r="G5" s="52" t="s">
        <v>13</v>
      </c>
      <c r="H5" s="53" t="s">
        <v>14</v>
      </c>
      <c r="I5" s="52" t="s">
        <v>9</v>
      </c>
      <c r="J5" s="52" t="s">
        <v>10</v>
      </c>
      <c r="K5" s="52" t="s">
        <v>11</v>
      </c>
      <c r="L5" s="52" t="s">
        <v>12</v>
      </c>
      <c r="M5" s="52" t="s">
        <v>13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spans="1:50" s="6" customFormat="1" ht="16.5" customHeight="1">
      <c r="A6" s="9" t="s">
        <v>15</v>
      </c>
      <c r="B6" s="57">
        <f>AVERAGE(B7:B18)</f>
        <v>48904.416666666664</v>
      </c>
      <c r="C6" s="58">
        <f>AVERAGE(C7:C18)</f>
        <v>47268.5</v>
      </c>
      <c r="D6" s="59">
        <f>AVERAGE(D7:D18)</f>
        <v>96.656967873422175</v>
      </c>
      <c r="E6" s="59">
        <f>AVERAGE(E7:E18)</f>
        <v>62.271689527528423</v>
      </c>
      <c r="F6" s="11">
        <f>SUM(F7:F18)</f>
        <v>10688387.114665871</v>
      </c>
      <c r="G6" s="59">
        <f>AVERAGE(G7:G18)</f>
        <v>6.2969105807008239</v>
      </c>
      <c r="H6" s="57">
        <f>AVERAGE(H7:H18)</f>
        <v>52341.083333333336</v>
      </c>
      <c r="I6" s="58">
        <f>AVERAGE(I7:I18)</f>
        <v>27744.666666666668</v>
      </c>
      <c r="J6" s="59">
        <f>AVERAGE(J7:J18)</f>
        <v>53.023494089523773</v>
      </c>
      <c r="K6" s="59">
        <f>AVERAGE(K7:K18)</f>
        <v>25.684780565572808</v>
      </c>
      <c r="L6" s="11">
        <f>SUM(L7:L18)</f>
        <v>3984712.4466208597</v>
      </c>
      <c r="M6" s="59">
        <v>7.1732772030316436</v>
      </c>
      <c r="N6" s="36"/>
      <c r="O6" s="36"/>
      <c r="P6" s="36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50" s="6" customFormat="1" ht="16.5" customHeight="1">
      <c r="A7" s="12" t="s">
        <v>16</v>
      </c>
      <c r="B7" s="60">
        <v>45565</v>
      </c>
      <c r="C7" s="61">
        <v>44266</v>
      </c>
      <c r="D7" s="62">
        <v>97.149127619883686</v>
      </c>
      <c r="E7" s="62">
        <v>72.760799223036059</v>
      </c>
      <c r="F7" s="4">
        <v>998457.1569061433</v>
      </c>
      <c r="G7" s="62">
        <v>6.5882149816969973</v>
      </c>
      <c r="H7" s="60">
        <v>52016</v>
      </c>
      <c r="I7" s="61">
        <v>50679</v>
      </c>
      <c r="J7" s="62">
        <v>97.429637034758528</v>
      </c>
      <c r="K7" s="62">
        <v>72.736012006417894</v>
      </c>
      <c r="L7" s="4">
        <v>1142718.3892667082</v>
      </c>
      <c r="M7" s="62">
        <v>6.5920863312702735</v>
      </c>
      <c r="N7" s="37"/>
      <c r="O7" s="2"/>
      <c r="P7" s="2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50" s="6" customFormat="1" ht="16.5" customHeight="1">
      <c r="A8" s="12" t="s">
        <v>17</v>
      </c>
      <c r="B8" s="60">
        <v>46073</v>
      </c>
      <c r="C8" s="61">
        <v>44680</v>
      </c>
      <c r="D8" s="62">
        <v>96.9765372343889</v>
      </c>
      <c r="E8" s="62">
        <v>81.50317096501783</v>
      </c>
      <c r="F8" s="4">
        <v>1019637.270040759</v>
      </c>
      <c r="G8" s="62">
        <v>6.0482804911572279</v>
      </c>
      <c r="H8" s="60">
        <v>52263</v>
      </c>
      <c r="I8" s="61">
        <v>50926</v>
      </c>
      <c r="J8" s="62">
        <v>97.44178481908807</v>
      </c>
      <c r="K8" s="62">
        <v>69.086698367008452</v>
      </c>
      <c r="L8" s="4">
        <v>1020309.6683010989</v>
      </c>
      <c r="M8" s="62">
        <v>6.8118280755823273</v>
      </c>
      <c r="N8" s="37"/>
      <c r="O8" s="2"/>
      <c r="P8" s="2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50" s="6" customFormat="1" ht="16.5" customHeight="1">
      <c r="A9" s="12" t="s">
        <v>18</v>
      </c>
      <c r="B9" s="60">
        <v>47107</v>
      </c>
      <c r="C9" s="61">
        <v>45216</v>
      </c>
      <c r="D9" s="62">
        <v>95.985734604198953</v>
      </c>
      <c r="E9" s="62">
        <v>71.825153534406965</v>
      </c>
      <c r="F9" s="4">
        <v>1006770.3040856412</v>
      </c>
      <c r="G9" s="62">
        <v>6.1824598176503818</v>
      </c>
      <c r="H9" s="60">
        <v>52319</v>
      </c>
      <c r="I9" s="61">
        <v>51001</v>
      </c>
      <c r="J9" s="62">
        <v>97.480838701045514</v>
      </c>
      <c r="K9" s="62">
        <v>35.565539516913738</v>
      </c>
      <c r="L9" s="4">
        <v>562302.20507965644</v>
      </c>
      <c r="M9" s="62">
        <v>9.4298541854713473</v>
      </c>
      <c r="N9" s="37"/>
      <c r="O9" s="2"/>
      <c r="P9" s="2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50" s="6" customFormat="1" ht="16.5" customHeight="1">
      <c r="A10" s="12" t="s">
        <v>19</v>
      </c>
      <c r="B10" s="60">
        <v>47351</v>
      </c>
      <c r="C10" s="61">
        <v>45936</v>
      </c>
      <c r="D10" s="62">
        <v>97.011678739625353</v>
      </c>
      <c r="E10" s="62">
        <v>71.241824459961464</v>
      </c>
      <c r="F10" s="4">
        <v>981769.33451783704</v>
      </c>
      <c r="G10" s="62">
        <v>6.0189152035866762</v>
      </c>
      <c r="H10" s="60">
        <v>52319</v>
      </c>
      <c r="I10" s="61">
        <v>7690</v>
      </c>
      <c r="J10" s="62">
        <v>14.698293163095624</v>
      </c>
      <c r="K10" s="62">
        <v>3.8335588479483844</v>
      </c>
      <c r="L10" s="4">
        <v>8844.0202622169236</v>
      </c>
      <c r="M10" s="62">
        <v>9.4285930300820073</v>
      </c>
      <c r="N10" s="37"/>
      <c r="O10" s="2"/>
      <c r="P10" s="2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50" s="6" customFormat="1" ht="16.5" customHeight="1">
      <c r="A11" s="12" t="s">
        <v>20</v>
      </c>
      <c r="B11" s="60">
        <v>48603</v>
      </c>
      <c r="C11" s="61">
        <v>47196</v>
      </c>
      <c r="D11" s="62">
        <v>97.105116968088396</v>
      </c>
      <c r="E11" s="62">
        <v>49.0741341808275</v>
      </c>
      <c r="F11" s="4">
        <v>717991.87940748374</v>
      </c>
      <c r="G11" s="62">
        <v>6.9693063559966193</v>
      </c>
      <c r="H11" s="60">
        <v>52319</v>
      </c>
      <c r="I11" s="61">
        <v>2978</v>
      </c>
      <c r="J11" s="62">
        <v>5.6920048166058219</v>
      </c>
      <c r="K11" s="62">
        <v>5.1740951442717806</v>
      </c>
      <c r="L11" s="4">
        <v>4776.6211552888226</v>
      </c>
      <c r="M11" s="62">
        <v>86.847657368887681</v>
      </c>
      <c r="N11" s="37"/>
      <c r="O11" s="2"/>
      <c r="P11" s="2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50" s="6" customFormat="1" ht="16.5" customHeight="1">
      <c r="A12" s="12" t="s">
        <v>21</v>
      </c>
      <c r="B12" s="60">
        <v>48873</v>
      </c>
      <c r="C12" s="61">
        <v>47477</v>
      </c>
      <c r="D12" s="62">
        <v>97.14361713011273</v>
      </c>
      <c r="E12" s="62">
        <v>50.172152146406425</v>
      </c>
      <c r="F12" s="4">
        <v>714606.98023648141</v>
      </c>
      <c r="G12" s="62">
        <v>6.2974838531525128</v>
      </c>
      <c r="H12" s="60">
        <v>52287</v>
      </c>
      <c r="I12" s="61">
        <v>3078</v>
      </c>
      <c r="J12" s="62">
        <v>5.8867404899879512</v>
      </c>
      <c r="K12" s="62">
        <v>2.5187363622539296</v>
      </c>
      <c r="L12" s="4">
        <v>2325.8011569052783</v>
      </c>
      <c r="M12" s="62">
        <v>42.28729376191415</v>
      </c>
      <c r="N12" s="37"/>
      <c r="O12" s="2"/>
      <c r="P12" s="2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50" s="6" customFormat="1" ht="16.5" customHeight="1">
      <c r="A13" s="12" t="s">
        <v>22</v>
      </c>
      <c r="B13" s="60">
        <v>49189</v>
      </c>
      <c r="C13" s="61">
        <v>47174</v>
      </c>
      <c r="D13" s="62">
        <v>95.903555673016328</v>
      </c>
      <c r="E13" s="62">
        <v>53.112086886429424</v>
      </c>
      <c r="F13" s="4">
        <v>776707.97190193064</v>
      </c>
      <c r="G13" s="62">
        <v>5.8777392231348422</v>
      </c>
      <c r="H13" s="60">
        <v>52236</v>
      </c>
      <c r="I13" s="61">
        <v>9821</v>
      </c>
      <c r="J13" s="62">
        <v>18.801209893559996</v>
      </c>
      <c r="K13" s="62">
        <v>8.1042350517929815</v>
      </c>
      <c r="L13" s="4">
        <v>24673.424657534248</v>
      </c>
      <c r="M13" s="62">
        <v>14.083004941514982</v>
      </c>
      <c r="N13" s="37"/>
      <c r="O13" s="2"/>
      <c r="P13" s="2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50" s="6" customFormat="1" ht="16.5" customHeight="1">
      <c r="A14" s="12" t="s">
        <v>23</v>
      </c>
      <c r="B14" s="60">
        <v>49740</v>
      </c>
      <c r="C14" s="61">
        <v>47102</v>
      </c>
      <c r="D14" s="62">
        <v>94.696421391234423</v>
      </c>
      <c r="E14" s="62">
        <v>62.365862343630354</v>
      </c>
      <c r="F14" s="4">
        <v>910642.62291399995</v>
      </c>
      <c r="G14" s="62">
        <v>6.5354937125120207</v>
      </c>
      <c r="H14" s="60">
        <v>52361</v>
      </c>
      <c r="I14" s="61">
        <v>19263</v>
      </c>
      <c r="J14" s="62">
        <v>36.788831382135555</v>
      </c>
      <c r="K14" s="62">
        <v>11.95182721805385</v>
      </c>
      <c r="L14" s="4">
        <v>71370.69478742512</v>
      </c>
      <c r="M14" s="62">
        <v>9.3485538100132146</v>
      </c>
      <c r="N14" s="37"/>
      <c r="O14" s="2"/>
      <c r="P14" s="2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50" s="6" customFormat="1" ht="16.5" customHeight="1">
      <c r="A15" s="12" t="s">
        <v>24</v>
      </c>
      <c r="B15" s="60">
        <v>50802</v>
      </c>
      <c r="C15" s="61">
        <v>49213</v>
      </c>
      <c r="D15" s="62">
        <v>96.872170386992636</v>
      </c>
      <c r="E15" s="62">
        <v>48.011840985714223</v>
      </c>
      <c r="F15" s="4">
        <v>708842.01912898617</v>
      </c>
      <c r="G15" s="62">
        <v>6.0265945053859173</v>
      </c>
      <c r="H15" s="60">
        <v>52311</v>
      </c>
      <c r="I15" s="61">
        <v>25328</v>
      </c>
      <c r="J15" s="62">
        <v>48.418114736862229</v>
      </c>
      <c r="K15" s="62">
        <v>9.9189121528429336</v>
      </c>
      <c r="L15" s="4">
        <v>75367.862102161744</v>
      </c>
      <c r="M15" s="62">
        <v>9.4824196160074017</v>
      </c>
      <c r="N15" s="37"/>
      <c r="O15" s="2"/>
      <c r="P15" s="2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V15" s="5"/>
      <c r="AW15" s="19" t="s">
        <v>14</v>
      </c>
      <c r="AX15" s="19" t="s">
        <v>28</v>
      </c>
    </row>
    <row r="16" spans="1:50" s="6" customFormat="1" ht="16.5" customHeight="1">
      <c r="A16" s="12" t="s">
        <v>25</v>
      </c>
      <c r="B16" s="60">
        <v>51039</v>
      </c>
      <c r="C16" s="61">
        <v>49450</v>
      </c>
      <c r="D16" s="62">
        <v>96.886694488528377</v>
      </c>
      <c r="E16" s="62">
        <v>59.780901847185795</v>
      </c>
      <c r="F16" s="4">
        <v>916411.3348664348</v>
      </c>
      <c r="G16" s="62">
        <v>6.4568748581424016</v>
      </c>
      <c r="H16" s="60">
        <v>52867</v>
      </c>
      <c r="I16" s="61">
        <v>32600</v>
      </c>
      <c r="J16" s="62">
        <v>61.664176140125214</v>
      </c>
      <c r="K16" s="62">
        <v>16.792903301311988</v>
      </c>
      <c r="L16" s="4">
        <v>169709.08076305894</v>
      </c>
      <c r="M16" s="62">
        <v>9.6159959503923051</v>
      </c>
      <c r="N16" s="37"/>
      <c r="O16" s="2"/>
      <c r="P16" s="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V16" s="21" t="s">
        <v>29</v>
      </c>
      <c r="AW16" s="13">
        <f t="shared" ref="AW16:AW27" si="0">H7</f>
        <v>52016</v>
      </c>
      <c r="AX16" s="22">
        <f t="shared" ref="AX16:AX27" si="1">I7</f>
        <v>50679</v>
      </c>
    </row>
    <row r="17" spans="1:50" s="6" customFormat="1" ht="16.5" customHeight="1">
      <c r="A17" s="15" t="s">
        <v>26</v>
      </c>
      <c r="B17" s="60">
        <v>51149</v>
      </c>
      <c r="C17" s="61">
        <v>49658</v>
      </c>
      <c r="D17" s="62">
        <v>97.084986998768301</v>
      </c>
      <c r="E17" s="62">
        <v>59.543682183951717</v>
      </c>
      <c r="F17" s="4">
        <v>887046.05096720241</v>
      </c>
      <c r="G17" s="62">
        <v>6.431551764903114</v>
      </c>
      <c r="H17" s="60">
        <v>52968</v>
      </c>
      <c r="I17" s="61">
        <v>37378</v>
      </c>
      <c r="J17" s="62">
        <v>70.567134873886118</v>
      </c>
      <c r="K17" s="62">
        <v>24.883646533650015</v>
      </c>
      <c r="L17" s="4">
        <v>279030.28204043105</v>
      </c>
      <c r="M17" s="62">
        <v>8.877098540145985</v>
      </c>
      <c r="N17" s="37"/>
      <c r="O17" s="2"/>
      <c r="P17" s="2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V17" s="21" t="s">
        <v>30</v>
      </c>
      <c r="AW17" s="13">
        <f t="shared" si="0"/>
        <v>52263</v>
      </c>
      <c r="AX17" s="22">
        <f t="shared" si="1"/>
        <v>50926</v>
      </c>
    </row>
    <row r="18" spans="1:50" s="6" customFormat="1" ht="16.5" customHeight="1">
      <c r="A18" s="16" t="s">
        <v>27</v>
      </c>
      <c r="B18" s="63">
        <v>51362</v>
      </c>
      <c r="C18" s="64">
        <v>49854</v>
      </c>
      <c r="D18" s="56">
        <v>97.067973246228036</v>
      </c>
      <c r="E18" s="56">
        <v>67.868665573773484</v>
      </c>
      <c r="F18" s="3">
        <v>1049504.1896929736</v>
      </c>
      <c r="G18" s="56">
        <v>6.1300122010911764</v>
      </c>
      <c r="H18" s="63">
        <v>51827</v>
      </c>
      <c r="I18" s="64">
        <v>42194</v>
      </c>
      <c r="J18" s="56">
        <v>81.413163023134658</v>
      </c>
      <c r="K18" s="56">
        <v>47.651202284407802</v>
      </c>
      <c r="L18" s="3">
        <v>623284.39704837382</v>
      </c>
      <c r="M18" s="56">
        <v>9.1055876952922024</v>
      </c>
      <c r="N18" s="37"/>
      <c r="O18" s="2"/>
      <c r="P18" s="2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V18" s="21" t="s">
        <v>31</v>
      </c>
      <c r="AW18" s="13">
        <f t="shared" si="0"/>
        <v>52319</v>
      </c>
      <c r="AX18" s="22">
        <f t="shared" si="1"/>
        <v>51001</v>
      </c>
    </row>
    <row r="19" spans="1:50" s="46" customFormat="1" ht="13.5" customHeight="1">
      <c r="A19" s="54" t="s">
        <v>43</v>
      </c>
      <c r="B19" s="44"/>
      <c r="C19" s="44"/>
      <c r="D19" s="45"/>
      <c r="G19" s="47"/>
      <c r="H19" s="44"/>
      <c r="I19" s="44"/>
      <c r="J19" s="45"/>
      <c r="M19" s="41" t="s">
        <v>1</v>
      </c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V19" s="49" t="s">
        <v>32</v>
      </c>
      <c r="AW19" s="13">
        <f t="shared" si="0"/>
        <v>52319</v>
      </c>
      <c r="AX19" s="22">
        <f t="shared" si="1"/>
        <v>7690</v>
      </c>
    </row>
    <row r="20" spans="1:50" ht="13.5" customHeight="1">
      <c r="A20" s="55" t="s">
        <v>42</v>
      </c>
      <c r="B20" s="17"/>
      <c r="C20" s="17"/>
      <c r="D20" s="18"/>
      <c r="G20" s="41"/>
      <c r="H20" s="17"/>
      <c r="I20" s="17"/>
      <c r="J20" s="18"/>
      <c r="N20" s="30"/>
      <c r="O20" s="30"/>
      <c r="P20" s="30"/>
      <c r="AV20" s="21" t="s">
        <v>20</v>
      </c>
      <c r="AW20" s="13">
        <f t="shared" si="0"/>
        <v>52319</v>
      </c>
      <c r="AX20" s="22">
        <f t="shared" si="1"/>
        <v>2978</v>
      </c>
    </row>
    <row r="21" spans="1:50" ht="13.5" customHeight="1">
      <c r="A21" s="55" t="s">
        <v>44</v>
      </c>
      <c r="B21" s="17"/>
      <c r="C21" s="17"/>
      <c r="H21" s="17"/>
      <c r="I21" s="17"/>
      <c r="AV21" s="21" t="s">
        <v>33</v>
      </c>
      <c r="AW21" s="13">
        <f t="shared" si="0"/>
        <v>52287</v>
      </c>
      <c r="AX21" s="22">
        <f t="shared" si="1"/>
        <v>3078</v>
      </c>
    </row>
    <row r="22" spans="1:50" ht="18.75" customHeight="1">
      <c r="A22" s="1" t="s">
        <v>0</v>
      </c>
      <c r="B22" s="17"/>
      <c r="C22" s="17"/>
      <c r="H22" s="17"/>
      <c r="I22" s="17"/>
      <c r="AV22" s="21" t="s">
        <v>34</v>
      </c>
      <c r="AW22" s="13">
        <f t="shared" si="0"/>
        <v>52236</v>
      </c>
      <c r="AX22" s="22">
        <f t="shared" si="1"/>
        <v>9821</v>
      </c>
    </row>
    <row r="23" spans="1:50" ht="18.75" customHeight="1">
      <c r="A23" s="23"/>
      <c r="B23" s="17"/>
      <c r="C23" s="17"/>
      <c r="H23" s="17"/>
      <c r="I23" s="17"/>
      <c r="AV23" s="21" t="s">
        <v>35</v>
      </c>
      <c r="AW23" s="13">
        <f t="shared" si="0"/>
        <v>52361</v>
      </c>
      <c r="AX23" s="22">
        <f t="shared" si="1"/>
        <v>19263</v>
      </c>
    </row>
    <row r="24" spans="1:50" ht="18.75" customHeight="1">
      <c r="A24" s="23"/>
      <c r="B24" s="17"/>
      <c r="C24" s="17"/>
      <c r="H24" s="17"/>
      <c r="I24" s="17"/>
      <c r="AV24" s="21" t="s">
        <v>36</v>
      </c>
      <c r="AW24" s="13">
        <f t="shared" si="0"/>
        <v>52311</v>
      </c>
      <c r="AX24" s="22">
        <f t="shared" si="1"/>
        <v>25328</v>
      </c>
    </row>
    <row r="25" spans="1:50" ht="18.75" customHeight="1">
      <c r="A25" s="23"/>
      <c r="B25" s="17"/>
      <c r="C25" s="17"/>
      <c r="H25" s="17"/>
      <c r="I25" s="17"/>
      <c r="AI25" s="24">
        <v>41640</v>
      </c>
      <c r="AJ25" s="25" t="e">
        <f>#REF!</f>
        <v>#REF!</v>
      </c>
      <c r="AV25" s="21" t="s">
        <v>37</v>
      </c>
      <c r="AW25" s="13">
        <f t="shared" si="0"/>
        <v>52867</v>
      </c>
      <c r="AX25" s="22">
        <f t="shared" si="1"/>
        <v>32600</v>
      </c>
    </row>
    <row r="26" spans="1:50" ht="18.75" customHeight="1">
      <c r="A26" s="23"/>
      <c r="B26" s="17"/>
      <c r="C26" s="17"/>
      <c r="H26" s="17"/>
      <c r="I26" s="17"/>
      <c r="AI26" s="26" t="s">
        <v>17</v>
      </c>
      <c r="AJ26" s="25" t="e">
        <f>#REF!</f>
        <v>#REF!</v>
      </c>
      <c r="AV26" s="21" t="s">
        <v>38</v>
      </c>
      <c r="AW26" s="13">
        <f t="shared" si="0"/>
        <v>52968</v>
      </c>
      <c r="AX26" s="22">
        <f t="shared" si="1"/>
        <v>37378</v>
      </c>
    </row>
    <row r="27" spans="1:50" ht="18.75" customHeight="1">
      <c r="A27" s="23"/>
      <c r="B27" s="17"/>
      <c r="C27" s="17"/>
      <c r="H27" s="17"/>
      <c r="I27" s="17"/>
      <c r="AI27" s="26" t="s">
        <v>18</v>
      </c>
      <c r="AJ27" s="25" t="e">
        <f>#REF!</f>
        <v>#REF!</v>
      </c>
      <c r="AV27" s="21" t="s">
        <v>39</v>
      </c>
      <c r="AW27" s="13">
        <f t="shared" si="0"/>
        <v>51827</v>
      </c>
      <c r="AX27" s="22">
        <f t="shared" si="1"/>
        <v>42194</v>
      </c>
    </row>
    <row r="28" spans="1:50" ht="18.75" customHeight="1">
      <c r="A28" s="23"/>
      <c r="B28" s="17"/>
      <c r="C28" s="17"/>
      <c r="H28" s="17"/>
      <c r="I28" s="17"/>
      <c r="AI28" s="26" t="s">
        <v>19</v>
      </c>
      <c r="AJ28" s="25" t="e">
        <f>#REF!</f>
        <v>#REF!</v>
      </c>
      <c r="AV28" s="6"/>
      <c r="AW28" s="6"/>
      <c r="AX28" s="6"/>
    </row>
    <row r="29" spans="1:50" ht="18.75" customHeight="1">
      <c r="A29" s="23"/>
      <c r="B29" s="17"/>
      <c r="C29" s="17"/>
      <c r="H29" s="17"/>
      <c r="I29" s="17"/>
      <c r="AI29" s="26" t="s">
        <v>20</v>
      </c>
      <c r="AJ29" s="25" t="e">
        <f>#REF!</f>
        <v>#REF!</v>
      </c>
    </row>
    <row r="30" spans="1:50" ht="18.75" customHeight="1">
      <c r="A30" s="23"/>
      <c r="B30" s="17"/>
      <c r="C30" s="17"/>
      <c r="D30" s="20"/>
      <c r="H30" s="17"/>
      <c r="I30" s="17"/>
      <c r="J30" s="20"/>
      <c r="AI30" s="26" t="s">
        <v>21</v>
      </c>
      <c r="AJ30" s="25" t="e">
        <f>#REF!</f>
        <v>#REF!</v>
      </c>
    </row>
    <row r="31" spans="1:50" ht="18.75" customHeight="1">
      <c r="A31" s="23"/>
      <c r="B31" s="27"/>
      <c r="C31" s="27"/>
      <c r="D31" s="28"/>
      <c r="H31" s="27"/>
      <c r="I31" s="27"/>
      <c r="J31" s="28"/>
      <c r="AI31" s="26" t="s">
        <v>22</v>
      </c>
      <c r="AJ31" s="25" t="e">
        <f>#REF!</f>
        <v>#REF!</v>
      </c>
    </row>
    <row r="32" spans="1:50" ht="9.75" customHeight="1">
      <c r="A32" s="23"/>
      <c r="B32" s="29"/>
      <c r="C32" s="29"/>
      <c r="D32" s="29"/>
      <c r="E32" s="30"/>
      <c r="H32" s="29"/>
      <c r="I32" s="29"/>
      <c r="J32" s="29"/>
      <c r="K32" s="30"/>
      <c r="AI32" s="26" t="s">
        <v>23</v>
      </c>
      <c r="AJ32" s="25" t="e">
        <f>#REF!</f>
        <v>#REF!</v>
      </c>
    </row>
    <row r="33" spans="1:36" ht="18.75" customHeight="1">
      <c r="A33" s="23"/>
      <c r="B33" s="31"/>
      <c r="C33" s="31"/>
      <c r="D33" s="31"/>
      <c r="E33" s="30"/>
      <c r="H33" s="31"/>
      <c r="I33" s="31"/>
      <c r="J33" s="31"/>
      <c r="K33" s="30"/>
      <c r="AI33" s="26" t="s">
        <v>24</v>
      </c>
      <c r="AJ33" s="25" t="e">
        <f>#REF!</f>
        <v>#REF!</v>
      </c>
    </row>
    <row r="34" spans="1:36" ht="18.75" customHeight="1">
      <c r="A34" s="23"/>
      <c r="B34" s="31"/>
      <c r="C34" s="31"/>
      <c r="D34" s="31"/>
      <c r="E34" s="30"/>
      <c r="F34" s="30"/>
      <c r="G34" s="30"/>
      <c r="H34" s="31"/>
      <c r="I34" s="31"/>
      <c r="J34" s="31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I34" s="26" t="s">
        <v>25</v>
      </c>
      <c r="AJ34" s="25" t="e">
        <f>#REF!</f>
        <v>#REF!</v>
      </c>
    </row>
    <row r="35" spans="1:36">
      <c r="B35" s="31"/>
      <c r="C35" s="31"/>
      <c r="D35" s="31"/>
      <c r="E35" s="30"/>
      <c r="F35" s="32"/>
      <c r="G35" s="32"/>
      <c r="H35" s="31"/>
      <c r="I35" s="31"/>
      <c r="J35" s="31"/>
      <c r="K35" s="30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I35" s="33" t="s">
        <v>26</v>
      </c>
      <c r="AJ35" s="25" t="e">
        <f>#REF!</f>
        <v>#REF!</v>
      </c>
    </row>
    <row r="36" spans="1:36">
      <c r="B36" s="31"/>
      <c r="C36" s="31"/>
      <c r="D36" s="31"/>
      <c r="E36" s="21"/>
      <c r="F36" s="30"/>
      <c r="G36" s="30"/>
      <c r="H36" s="31"/>
      <c r="I36" s="31"/>
      <c r="J36" s="31"/>
      <c r="K36" s="21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I36" s="34" t="s">
        <v>27</v>
      </c>
      <c r="AJ36" s="25" t="e">
        <f>#REF!</f>
        <v>#REF!</v>
      </c>
    </row>
    <row r="37" spans="1:36">
      <c r="B37" s="31"/>
      <c r="C37" s="31"/>
      <c r="D37" s="31"/>
      <c r="E37" s="21"/>
      <c r="H37" s="31"/>
      <c r="I37" s="31"/>
      <c r="J37" s="31"/>
      <c r="K37" s="21"/>
      <c r="AI37" s="24">
        <v>42005</v>
      </c>
      <c r="AJ37" s="35">
        <v>6.4986144447992746</v>
      </c>
    </row>
    <row r="38" spans="1:36">
      <c r="B38" s="31"/>
      <c r="C38" s="31"/>
      <c r="D38" s="31"/>
      <c r="E38" s="21"/>
      <c r="H38" s="31"/>
      <c r="I38" s="31"/>
      <c r="J38" s="31"/>
      <c r="K38" s="21"/>
      <c r="AI38" s="26" t="s">
        <v>17</v>
      </c>
      <c r="AJ38" s="35">
        <v>5.6647325430819802</v>
      </c>
    </row>
    <row r="39" spans="1:36">
      <c r="B39" s="31"/>
      <c r="C39" s="31"/>
      <c r="D39" s="31"/>
      <c r="E39" s="21"/>
      <c r="H39" s="31"/>
      <c r="I39" s="31"/>
      <c r="J39" s="31"/>
      <c r="K39" s="21"/>
      <c r="AI39" s="26" t="s">
        <v>18</v>
      </c>
      <c r="AJ39" s="35">
        <v>5.8371209762779399</v>
      </c>
    </row>
    <row r="40" spans="1:36">
      <c r="B40" s="31"/>
      <c r="C40" s="31"/>
      <c r="D40" s="31"/>
      <c r="E40" s="21"/>
      <c r="H40" s="31"/>
      <c r="I40" s="31"/>
      <c r="J40" s="31"/>
      <c r="K40" s="21"/>
      <c r="AI40" s="26" t="s">
        <v>19</v>
      </c>
      <c r="AJ40" s="35">
        <v>5.8961776960544592</v>
      </c>
    </row>
    <row r="41" spans="1:36">
      <c r="B41" s="31"/>
      <c r="C41" s="31"/>
      <c r="D41" s="31"/>
      <c r="E41" s="21"/>
      <c r="H41" s="31"/>
      <c r="I41" s="31"/>
      <c r="J41" s="31"/>
      <c r="K41" s="21"/>
      <c r="AI41" s="26" t="s">
        <v>20</v>
      </c>
      <c r="AJ41" s="35">
        <v>5.8370252335174913</v>
      </c>
    </row>
    <row r="42" spans="1:36">
      <c r="B42" s="31"/>
      <c r="C42" s="31"/>
      <c r="D42" s="31"/>
      <c r="E42" s="21"/>
      <c r="H42" s="31"/>
      <c r="I42" s="31"/>
      <c r="J42" s="31"/>
      <c r="K42" s="21"/>
      <c r="AI42" s="26" t="s">
        <v>21</v>
      </c>
      <c r="AJ42" s="35">
        <v>5.3335091895075211</v>
      </c>
    </row>
    <row r="43" spans="1:36">
      <c r="B43" s="31"/>
      <c r="C43" s="31"/>
      <c r="D43" s="31"/>
      <c r="E43" s="21"/>
      <c r="H43" s="31"/>
      <c r="I43" s="31"/>
      <c r="J43" s="31"/>
      <c r="K43" s="21"/>
      <c r="AI43" s="26" t="s">
        <v>22</v>
      </c>
      <c r="AJ43" s="35">
        <v>5.2416292086454837</v>
      </c>
    </row>
    <row r="44" spans="1:36">
      <c r="B44" s="31"/>
      <c r="C44" s="31"/>
      <c r="D44" s="31"/>
      <c r="E44" s="21"/>
      <c r="H44" s="31"/>
      <c r="I44" s="31"/>
      <c r="J44" s="31"/>
      <c r="K44" s="21"/>
      <c r="AI44" s="26" t="s">
        <v>23</v>
      </c>
      <c r="AJ44" s="35">
        <v>5.5166509296920392</v>
      </c>
    </row>
    <row r="45" spans="1:36">
      <c r="B45" s="30"/>
      <c r="C45" s="30"/>
      <c r="D45" s="30"/>
      <c r="E45" s="21"/>
      <c r="H45" s="30"/>
      <c r="I45" s="30"/>
      <c r="J45" s="30"/>
      <c r="K45" s="21"/>
      <c r="AI45" s="26" t="s">
        <v>24</v>
      </c>
      <c r="AJ45" s="35">
        <v>5.4870643171990663</v>
      </c>
    </row>
    <row r="46" spans="1:36">
      <c r="B46" s="30"/>
      <c r="C46" s="30"/>
      <c r="D46" s="30"/>
      <c r="E46" s="21"/>
      <c r="H46" s="30"/>
      <c r="I46" s="30"/>
      <c r="J46" s="30"/>
      <c r="K46" s="21"/>
      <c r="AI46" s="26" t="s">
        <v>25</v>
      </c>
      <c r="AJ46" s="35">
        <v>5.783171244952511</v>
      </c>
    </row>
    <row r="47" spans="1:36">
      <c r="E47" s="21"/>
      <c r="K47" s="21"/>
      <c r="AI47" s="33" t="s">
        <v>26</v>
      </c>
      <c r="AJ47" s="35">
        <v>5.9014498215433724</v>
      </c>
    </row>
    <row r="48" spans="1:36">
      <c r="AI48" s="34" t="s">
        <v>27</v>
      </c>
      <c r="AJ48" s="35">
        <v>4.9508699844870234</v>
      </c>
    </row>
    <row r="49" spans="2:36">
      <c r="AI49" s="24">
        <v>42370</v>
      </c>
      <c r="AJ49" s="35" t="e">
        <f>#REF!</f>
        <v>#REF!</v>
      </c>
    </row>
    <row r="50" spans="2:36">
      <c r="AI50" s="21" t="s">
        <v>30</v>
      </c>
      <c r="AJ50" s="35" t="e">
        <f>#REF!</f>
        <v>#REF!</v>
      </c>
    </row>
    <row r="51" spans="2:36">
      <c r="AI51" s="21" t="s">
        <v>31</v>
      </c>
      <c r="AJ51" s="35" t="e">
        <f>#REF!</f>
        <v>#REF!</v>
      </c>
    </row>
    <row r="52" spans="2:36">
      <c r="AI52" s="21" t="s">
        <v>32</v>
      </c>
      <c r="AJ52" s="35" t="e">
        <f>#REF!</f>
        <v>#REF!</v>
      </c>
    </row>
    <row r="53" spans="2:36">
      <c r="AI53" s="21" t="s">
        <v>20</v>
      </c>
      <c r="AJ53" s="35" t="e">
        <f>#REF!</f>
        <v>#REF!</v>
      </c>
    </row>
    <row r="54" spans="2:36">
      <c r="AI54" s="21" t="s">
        <v>33</v>
      </c>
      <c r="AJ54" s="35" t="e">
        <f>#REF!</f>
        <v>#REF!</v>
      </c>
    </row>
    <row r="55" spans="2:36">
      <c r="AI55" s="21" t="s">
        <v>34</v>
      </c>
      <c r="AJ55" s="35" t="e">
        <f>#REF!</f>
        <v>#REF!</v>
      </c>
    </row>
    <row r="56" spans="2:36">
      <c r="AI56" s="21" t="s">
        <v>35</v>
      </c>
      <c r="AJ56" s="35" t="e">
        <f>#REF!</f>
        <v>#REF!</v>
      </c>
    </row>
    <row r="57" spans="2:36">
      <c r="AI57" s="21" t="s">
        <v>36</v>
      </c>
      <c r="AJ57" s="35" t="e">
        <f>#REF!</f>
        <v>#REF!</v>
      </c>
    </row>
    <row r="58" spans="2:36">
      <c r="B58" s="30"/>
      <c r="H58" s="30"/>
      <c r="AI58" s="21" t="s">
        <v>37</v>
      </c>
      <c r="AJ58" s="35" t="e">
        <f>#REF!</f>
        <v>#REF!</v>
      </c>
    </row>
    <row r="59" spans="2:36">
      <c r="B59" s="30"/>
      <c r="H59" s="30"/>
      <c r="AI59" s="21" t="s">
        <v>38</v>
      </c>
      <c r="AJ59" s="35" t="e">
        <f>#REF!</f>
        <v>#REF!</v>
      </c>
    </row>
    <row r="60" spans="2:36">
      <c r="B60" s="30"/>
      <c r="H60" s="30"/>
      <c r="AI60" s="21" t="s">
        <v>39</v>
      </c>
      <c r="AJ60" s="35" t="e">
        <f>#REF!</f>
        <v>#REF!</v>
      </c>
    </row>
    <row r="61" spans="2:36">
      <c r="B61" s="30"/>
      <c r="H61" s="30"/>
      <c r="AI61" s="24">
        <v>42736</v>
      </c>
      <c r="AJ61" s="38" t="e">
        <f>#REF!</f>
        <v>#REF!</v>
      </c>
    </row>
    <row r="62" spans="2:36">
      <c r="B62" s="30"/>
      <c r="H62" s="30"/>
      <c r="AI62" s="21" t="s">
        <v>30</v>
      </c>
      <c r="AJ62" s="38" t="e">
        <f>#REF!</f>
        <v>#REF!</v>
      </c>
    </row>
    <row r="63" spans="2:36">
      <c r="B63" s="30"/>
      <c r="H63" s="30"/>
      <c r="AI63" s="21" t="s">
        <v>31</v>
      </c>
      <c r="AJ63" s="38" t="e">
        <f>#REF!</f>
        <v>#REF!</v>
      </c>
    </row>
    <row r="64" spans="2:36">
      <c r="B64" s="30"/>
      <c r="H64" s="30"/>
      <c r="AI64" s="21" t="s">
        <v>32</v>
      </c>
      <c r="AJ64" s="38" t="e">
        <f>#REF!</f>
        <v>#REF!</v>
      </c>
    </row>
    <row r="65" spans="2:36">
      <c r="B65" s="30"/>
      <c r="H65" s="30"/>
      <c r="AI65" s="21" t="s">
        <v>20</v>
      </c>
      <c r="AJ65" s="38" t="e">
        <f>#REF!</f>
        <v>#REF!</v>
      </c>
    </row>
    <row r="66" spans="2:36">
      <c r="B66" s="30"/>
      <c r="H66" s="30"/>
      <c r="AI66" s="21" t="s">
        <v>33</v>
      </c>
      <c r="AJ66" s="38" t="e">
        <f>#REF!</f>
        <v>#REF!</v>
      </c>
    </row>
    <row r="67" spans="2:36">
      <c r="B67" s="30"/>
      <c r="H67" s="30"/>
      <c r="AI67" s="21" t="s">
        <v>34</v>
      </c>
      <c r="AJ67" s="38" t="e">
        <f>#REF!</f>
        <v>#REF!</v>
      </c>
    </row>
    <row r="68" spans="2:36">
      <c r="B68" s="30"/>
      <c r="H68" s="30"/>
      <c r="AI68" s="21" t="s">
        <v>35</v>
      </c>
      <c r="AJ68" s="38" t="e">
        <f>#REF!</f>
        <v>#REF!</v>
      </c>
    </row>
    <row r="69" spans="2:36">
      <c r="B69" s="30"/>
      <c r="H69" s="30"/>
      <c r="AI69" s="21" t="s">
        <v>36</v>
      </c>
      <c r="AJ69" s="38" t="e">
        <f>#REF!</f>
        <v>#REF!</v>
      </c>
    </row>
    <row r="70" spans="2:36">
      <c r="B70" s="30"/>
      <c r="H70" s="30"/>
      <c r="AI70" s="21" t="s">
        <v>37</v>
      </c>
      <c r="AJ70" s="38" t="e">
        <f>#REF!</f>
        <v>#REF!</v>
      </c>
    </row>
    <row r="71" spans="2:36">
      <c r="B71" s="30"/>
      <c r="H71" s="30"/>
      <c r="AI71" s="21" t="s">
        <v>38</v>
      </c>
      <c r="AJ71" s="38" t="e">
        <f>#REF!</f>
        <v>#REF!</v>
      </c>
    </row>
    <row r="72" spans="2:36">
      <c r="B72" s="30"/>
      <c r="H72" s="30"/>
      <c r="AI72" s="21" t="s">
        <v>39</v>
      </c>
      <c r="AJ72" s="39" t="e">
        <f>#REF!</f>
        <v>#REF!</v>
      </c>
    </row>
    <row r="73" spans="2:36">
      <c r="B73" s="30"/>
      <c r="H73" s="30"/>
      <c r="AI73" s="40">
        <v>43101</v>
      </c>
      <c r="AJ73" s="38" t="e">
        <f>#REF!</f>
        <v>#REF!</v>
      </c>
    </row>
    <row r="74" spans="2:36">
      <c r="B74" s="30"/>
      <c r="H74" s="30"/>
      <c r="AI74" s="21" t="s">
        <v>30</v>
      </c>
      <c r="AJ74" s="38" t="e">
        <f>#REF!</f>
        <v>#REF!</v>
      </c>
    </row>
    <row r="75" spans="2:36">
      <c r="B75" s="30"/>
      <c r="H75" s="30"/>
      <c r="AI75" s="21" t="s">
        <v>31</v>
      </c>
      <c r="AJ75" s="38" t="e">
        <f>#REF!</f>
        <v>#REF!</v>
      </c>
    </row>
    <row r="76" spans="2:36">
      <c r="B76" s="30"/>
      <c r="H76" s="30"/>
      <c r="AI76" s="21" t="s">
        <v>32</v>
      </c>
      <c r="AJ76" s="38" t="e">
        <f>#REF!</f>
        <v>#REF!</v>
      </c>
    </row>
    <row r="77" spans="2:36">
      <c r="B77" s="30"/>
      <c r="H77" s="30"/>
      <c r="AI77" s="21" t="s">
        <v>20</v>
      </c>
      <c r="AJ77" s="38" t="e">
        <f>#REF!</f>
        <v>#REF!</v>
      </c>
    </row>
    <row r="78" spans="2:36">
      <c r="B78" s="30"/>
      <c r="H78" s="30"/>
      <c r="AI78" s="21" t="s">
        <v>33</v>
      </c>
      <c r="AJ78" s="38" t="e">
        <f>#REF!</f>
        <v>#REF!</v>
      </c>
    </row>
    <row r="79" spans="2:36">
      <c r="B79" s="30"/>
      <c r="H79" s="30"/>
      <c r="AI79" s="21" t="s">
        <v>34</v>
      </c>
      <c r="AJ79" s="38" t="e">
        <f>#REF!</f>
        <v>#REF!</v>
      </c>
    </row>
    <row r="80" spans="2:36">
      <c r="B80" s="30"/>
      <c r="H80" s="30"/>
      <c r="AI80" s="21" t="s">
        <v>35</v>
      </c>
      <c r="AJ80" s="38" t="e">
        <f>#REF!</f>
        <v>#REF!</v>
      </c>
    </row>
    <row r="81" spans="2:36">
      <c r="B81" s="30"/>
      <c r="H81" s="30"/>
      <c r="AI81" s="21" t="s">
        <v>36</v>
      </c>
      <c r="AJ81" s="38" t="e">
        <f>#REF!</f>
        <v>#REF!</v>
      </c>
    </row>
    <row r="82" spans="2:36">
      <c r="AI82" s="21" t="s">
        <v>37</v>
      </c>
      <c r="AJ82" s="38" t="e">
        <f>#REF!</f>
        <v>#REF!</v>
      </c>
    </row>
    <row r="83" spans="2:36">
      <c r="AI83" s="21" t="s">
        <v>38</v>
      </c>
      <c r="AJ83" s="38" t="e">
        <f>#REF!</f>
        <v>#REF!</v>
      </c>
    </row>
    <row r="84" spans="2:36">
      <c r="AI84" s="21" t="s">
        <v>39</v>
      </c>
      <c r="AJ84" s="38" t="e">
        <f>#REF!</f>
        <v>#REF!</v>
      </c>
    </row>
    <row r="85" spans="2:36">
      <c r="AI85" s="40">
        <v>43466</v>
      </c>
      <c r="AJ85" s="38">
        <f>G7</f>
        <v>6.5882149816969973</v>
      </c>
    </row>
    <row r="86" spans="2:36">
      <c r="AI86" s="21" t="s">
        <v>30</v>
      </c>
      <c r="AJ86" s="38">
        <f>G8</f>
        <v>6.0482804911572279</v>
      </c>
    </row>
    <row r="87" spans="2:36">
      <c r="AI87" s="21" t="s">
        <v>31</v>
      </c>
      <c r="AJ87" s="38">
        <f t="shared" ref="AJ87:AJ96" si="2">G9</f>
        <v>6.1824598176503818</v>
      </c>
    </row>
    <row r="88" spans="2:36">
      <c r="AI88" s="21" t="s">
        <v>32</v>
      </c>
      <c r="AJ88" s="38">
        <f t="shared" si="2"/>
        <v>6.0189152035866762</v>
      </c>
    </row>
    <row r="89" spans="2:36">
      <c r="AI89" s="21" t="s">
        <v>20</v>
      </c>
      <c r="AJ89" s="38">
        <f t="shared" si="2"/>
        <v>6.9693063559966193</v>
      </c>
    </row>
    <row r="90" spans="2:36">
      <c r="AI90" s="21" t="s">
        <v>33</v>
      </c>
      <c r="AJ90" s="38">
        <f t="shared" si="2"/>
        <v>6.2974838531525128</v>
      </c>
    </row>
    <row r="91" spans="2:36">
      <c r="AI91" s="21" t="s">
        <v>34</v>
      </c>
      <c r="AJ91" s="38">
        <f t="shared" si="2"/>
        <v>5.8777392231348422</v>
      </c>
    </row>
    <row r="92" spans="2:36">
      <c r="AI92" s="21" t="s">
        <v>35</v>
      </c>
      <c r="AJ92" s="38">
        <f t="shared" si="2"/>
        <v>6.5354937125120207</v>
      </c>
    </row>
    <row r="93" spans="2:36">
      <c r="AI93" s="21" t="s">
        <v>36</v>
      </c>
      <c r="AJ93" s="38">
        <f t="shared" si="2"/>
        <v>6.0265945053859173</v>
      </c>
    </row>
    <row r="94" spans="2:36">
      <c r="AI94" s="21" t="s">
        <v>37</v>
      </c>
      <c r="AJ94" s="38">
        <f t="shared" si="2"/>
        <v>6.4568748581424016</v>
      </c>
    </row>
    <row r="95" spans="2:36">
      <c r="AI95" s="21" t="s">
        <v>38</v>
      </c>
      <c r="AJ95" s="38">
        <f t="shared" si="2"/>
        <v>6.431551764903114</v>
      </c>
    </row>
    <row r="96" spans="2:36">
      <c r="AI96" s="21" t="s">
        <v>39</v>
      </c>
      <c r="AJ96" s="38">
        <f t="shared" si="2"/>
        <v>6.1300122010911764</v>
      </c>
    </row>
    <row r="97" spans="35:36">
      <c r="AI97" s="40">
        <v>43831</v>
      </c>
      <c r="AJ97" s="38">
        <f>M7</f>
        <v>6.5920863312702735</v>
      </c>
    </row>
    <row r="98" spans="35:36">
      <c r="AI98" s="21" t="s">
        <v>30</v>
      </c>
      <c r="AJ98" s="38">
        <f t="shared" ref="AJ98:AJ108" si="3">M8</f>
        <v>6.8118280755823273</v>
      </c>
    </row>
    <row r="99" spans="35:36">
      <c r="AI99" s="21" t="s">
        <v>31</v>
      </c>
      <c r="AJ99" s="38">
        <f t="shared" si="3"/>
        <v>9.4298541854713473</v>
      </c>
    </row>
    <row r="100" spans="35:36">
      <c r="AI100" s="21" t="s">
        <v>32</v>
      </c>
      <c r="AJ100" s="38">
        <f t="shared" si="3"/>
        <v>9.4285930300820073</v>
      </c>
    </row>
    <row r="101" spans="35:36">
      <c r="AI101" s="21" t="s">
        <v>20</v>
      </c>
      <c r="AJ101" s="38">
        <f t="shared" si="3"/>
        <v>86.847657368887681</v>
      </c>
    </row>
    <row r="102" spans="35:36">
      <c r="AI102" s="21" t="s">
        <v>33</v>
      </c>
      <c r="AJ102" s="38">
        <f t="shared" si="3"/>
        <v>42.28729376191415</v>
      </c>
    </row>
    <row r="103" spans="35:36">
      <c r="AI103" s="21" t="s">
        <v>34</v>
      </c>
      <c r="AJ103" s="38">
        <f t="shared" si="3"/>
        <v>14.083004941514982</v>
      </c>
    </row>
    <row r="104" spans="35:36">
      <c r="AI104" s="21" t="s">
        <v>35</v>
      </c>
      <c r="AJ104" s="38">
        <f t="shared" si="3"/>
        <v>9.3485538100132146</v>
      </c>
    </row>
    <row r="105" spans="35:36">
      <c r="AI105" s="21" t="s">
        <v>36</v>
      </c>
      <c r="AJ105" s="38">
        <f t="shared" si="3"/>
        <v>9.4824196160074017</v>
      </c>
    </row>
    <row r="106" spans="35:36">
      <c r="AI106" s="21" t="s">
        <v>37</v>
      </c>
      <c r="AJ106" s="38">
        <f t="shared" si="3"/>
        <v>9.6159959503923051</v>
      </c>
    </row>
    <row r="107" spans="35:36">
      <c r="AI107" s="21" t="s">
        <v>38</v>
      </c>
      <c r="AJ107" s="38">
        <f t="shared" si="3"/>
        <v>8.877098540145985</v>
      </c>
    </row>
    <row r="108" spans="35:36">
      <c r="AI108" s="21" t="s">
        <v>39</v>
      </c>
      <c r="AJ108" s="38">
        <f t="shared" si="3"/>
        <v>9.1055876952922024</v>
      </c>
    </row>
  </sheetData>
  <mergeCells count="6">
    <mergeCell ref="A2:M2"/>
    <mergeCell ref="A1:M1"/>
    <mergeCell ref="AE4:AJ4"/>
    <mergeCell ref="A3:A5"/>
    <mergeCell ref="B3:G3"/>
    <mergeCell ref="H3:M3"/>
  </mergeCells>
  <pageMargins left="0.7" right="0.7" top="0.75" bottom="0.75" header="0.3" footer="0.3"/>
  <pageSetup paperSize="9" scale="5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2021-07-12T05:26:41Z</cp:lastPrinted>
  <dcterms:created xsi:type="dcterms:W3CDTF">2019-02-27T06:18:18Z</dcterms:created>
  <dcterms:modified xsi:type="dcterms:W3CDTF">2021-07-12T05:26:56Z</dcterms:modified>
</cp:coreProperties>
</file>