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0.Tourism\"/>
    </mc:Choice>
  </mc:AlternateContent>
  <bookViews>
    <workbookView xWindow="21645" yWindow="3555" windowWidth="7500" windowHeight="6000" tabRatio="731"/>
  </bookViews>
  <sheets>
    <sheet name="10.11" sheetId="11" r:id="rId1"/>
  </sheets>
  <externalReferences>
    <externalReference r:id="rId2"/>
  </externalReferences>
  <definedNames>
    <definedName name="_xlnm.Print_Area" localSheetId="0">'10.11'!$A$1:$O$44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28" i="11" l="1"/>
  <c r="AO39" i="11" l="1"/>
  <c r="AN39" i="11"/>
  <c r="AO38" i="11"/>
  <c r="AN38" i="11"/>
  <c r="M11" i="11"/>
  <c r="AO37" i="11"/>
  <c r="AN37" i="11"/>
  <c r="AO32" i="11"/>
  <c r="AO31" i="11"/>
  <c r="AN30" i="11"/>
  <c r="AO29" i="11"/>
  <c r="AY39" i="11"/>
  <c r="AX39" i="11"/>
  <c r="AW39" i="11"/>
  <c r="AV39" i="11"/>
  <c r="AU39" i="11"/>
  <c r="AT39" i="11"/>
  <c r="AS39" i="11"/>
  <c r="AR39" i="11"/>
  <c r="AQ39" i="11"/>
  <c r="AY38" i="11"/>
  <c r="AX38" i="11"/>
  <c r="AW38" i="11"/>
  <c r="AV38" i="11"/>
  <c r="AU38" i="11"/>
  <c r="AT38" i="11"/>
  <c r="AS38" i="11"/>
  <c r="AR38" i="11"/>
  <c r="AQ38" i="11"/>
  <c r="AY37" i="11"/>
  <c r="AW37" i="11"/>
  <c r="AV37" i="11"/>
  <c r="AU37" i="11"/>
  <c r="AT37" i="11"/>
  <c r="AS37" i="11"/>
  <c r="AR37" i="11"/>
  <c r="AQ37" i="11"/>
  <c r="AY32" i="11"/>
  <c r="AX32" i="11"/>
  <c r="AW32" i="11"/>
  <c r="AV32" i="11"/>
  <c r="AU32" i="11"/>
  <c r="AT32" i="11"/>
  <c r="AS32" i="11"/>
  <c r="AR32" i="11"/>
  <c r="AQ32" i="11"/>
  <c r="AP32" i="11"/>
  <c r="AN32" i="11"/>
  <c r="AY31" i="11"/>
  <c r="AX31" i="11"/>
  <c r="AW31" i="11"/>
  <c r="AV31" i="11"/>
  <c r="AU31" i="11"/>
  <c r="AT31" i="11"/>
  <c r="AS31" i="11"/>
  <c r="AR31" i="11"/>
  <c r="AQ31" i="11"/>
  <c r="AP31" i="11"/>
  <c r="AN31" i="11"/>
  <c r="AY30" i="11"/>
  <c r="AX30" i="11"/>
  <c r="AW30" i="11"/>
  <c r="AV30" i="11"/>
  <c r="AU30" i="11"/>
  <c r="AT30" i="11"/>
  <c r="AS30" i="11"/>
  <c r="AR30" i="11"/>
  <c r="AQ30" i="11"/>
  <c r="AP30" i="11"/>
  <c r="AY29" i="11"/>
  <c r="AX29" i="11"/>
  <c r="AW29" i="11"/>
  <c r="AV29" i="11"/>
  <c r="AU29" i="11"/>
  <c r="AT29" i="11"/>
  <c r="AS29" i="11"/>
  <c r="AR29" i="11"/>
  <c r="AQ29" i="11"/>
  <c r="AP29" i="11"/>
  <c r="AN29" i="11"/>
  <c r="AY28" i="11"/>
  <c r="AX28" i="11"/>
  <c r="AW28" i="11"/>
  <c r="AV28" i="11"/>
  <c r="AU28" i="11"/>
  <c r="AT28" i="11"/>
  <c r="AS28" i="11"/>
  <c r="AR28" i="11"/>
  <c r="AQ28" i="11"/>
  <c r="AP28" i="11"/>
  <c r="AO28" i="11"/>
  <c r="B20" i="11"/>
  <c r="B19" i="11"/>
  <c r="N11" i="11"/>
  <c r="L11" i="11"/>
  <c r="K11" i="11"/>
  <c r="J11" i="11"/>
  <c r="I11" i="11"/>
  <c r="H11" i="11"/>
  <c r="G11" i="11"/>
  <c r="F11" i="11"/>
  <c r="N5" i="11"/>
  <c r="M5" i="11"/>
  <c r="L5" i="11"/>
  <c r="K5" i="11"/>
  <c r="J5" i="11"/>
  <c r="I5" i="11"/>
  <c r="H5" i="11"/>
  <c r="G5" i="11"/>
  <c r="F5" i="11"/>
  <c r="E5" i="11"/>
  <c r="AP37" i="11" l="1"/>
  <c r="C5" i="11"/>
  <c r="B6" i="11"/>
  <c r="B7" i="11"/>
  <c r="B14" i="11"/>
  <c r="B13" i="11"/>
  <c r="B10" i="11"/>
  <c r="AP38" i="11"/>
  <c r="B8" i="11"/>
  <c r="C11" i="11"/>
  <c r="AP39" i="11"/>
  <c r="AX37" i="11"/>
  <c r="B17" i="11"/>
  <c r="B15" i="11"/>
  <c r="B16" i="11"/>
  <c r="B18" i="11"/>
  <c r="E11" i="11"/>
  <c r="E4" i="11" s="1"/>
  <c r="D11" i="11"/>
  <c r="B12" i="11"/>
  <c r="B9" i="11"/>
  <c r="AO30" i="11"/>
  <c r="D5" i="11"/>
  <c r="I4" i="11"/>
  <c r="L4" i="11"/>
  <c r="F4" i="11"/>
  <c r="N4" i="11"/>
  <c r="G4" i="11"/>
  <c r="J4" i="11"/>
  <c r="H4" i="11"/>
  <c r="M4" i="11"/>
  <c r="K4" i="11"/>
  <c r="C4" i="11" l="1"/>
  <c r="B5" i="11"/>
  <c r="B11" i="11"/>
  <c r="D4" i="11"/>
  <c r="B4" i="11" l="1"/>
</calcChain>
</file>

<file path=xl/sharedStrings.xml><?xml version="1.0" encoding="utf-8"?>
<sst xmlns="http://schemas.openxmlformats.org/spreadsheetml/2006/main" count="90" uniqueCount="70">
  <si>
    <t>Total</t>
  </si>
  <si>
    <t>ޖުމްލަ</t>
  </si>
  <si>
    <t>Europe</t>
  </si>
  <si>
    <t>ޔޫރަޕް</t>
  </si>
  <si>
    <t>Asia</t>
  </si>
  <si>
    <t>އޭޝިއާ</t>
  </si>
  <si>
    <t>Africa</t>
  </si>
  <si>
    <t>އެފްރިކާ</t>
  </si>
  <si>
    <t>Oceania</t>
  </si>
  <si>
    <t>Middle East</t>
  </si>
  <si>
    <t>ޔޫ.އެން ޕާސްޕޯޓް ހޯލްޑަރ</t>
  </si>
  <si>
    <t>Source: Ministry of Tourism</t>
  </si>
  <si>
    <t>May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</si>
  <si>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</si>
  <si>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</si>
  <si>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</si>
  <si>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</si>
  <si>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</si>
  <si>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</si>
  <si>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</si>
  <si>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</si>
  <si>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</si>
  <si>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</si>
  <si>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</si>
  <si>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</si>
  <si>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9"/>
        <rFont val="Faruma"/>
      </rPr>
      <t>ޖުމްލަ</t>
    </r>
    <r>
      <rPr>
        <b/>
        <sz val="9"/>
        <rFont val="Calibri"/>
        <family val="2"/>
      </rPr>
      <t xml:space="preserve">
Total</t>
    </r>
  </si>
  <si>
    <r>
      <rPr>
        <b/>
        <sz val="9"/>
        <rFont val="Faruma"/>
      </rPr>
      <t>ޖެނުއަރީ</t>
    </r>
    <r>
      <rPr>
        <b/>
        <sz val="9"/>
        <rFont val="Calibri"/>
        <family val="2"/>
      </rPr>
      <t xml:space="preserve">
Jan</t>
    </r>
  </si>
  <si>
    <r>
      <rPr>
        <b/>
        <sz val="9"/>
        <rFont val="Faruma"/>
      </rPr>
      <t>ފެބްރުއަރީ</t>
    </r>
    <r>
      <rPr>
        <b/>
        <sz val="9"/>
        <rFont val="Calibri"/>
        <family val="2"/>
      </rPr>
      <t xml:space="preserve">
Feb</t>
    </r>
  </si>
  <si>
    <r>
      <rPr>
        <b/>
        <sz val="9"/>
        <rFont val="Faruma"/>
      </rPr>
      <t>މާރޗް</t>
    </r>
    <r>
      <rPr>
        <b/>
        <sz val="9"/>
        <rFont val="Calibri"/>
        <family val="2"/>
      </rPr>
      <t xml:space="preserve">
Mar</t>
    </r>
  </si>
  <si>
    <r>
      <rPr>
        <b/>
        <sz val="9"/>
        <rFont val="Faruma"/>
      </rPr>
      <t>އޭޕްރިލް</t>
    </r>
    <r>
      <rPr>
        <b/>
        <sz val="9"/>
        <rFont val="Calibri"/>
        <family val="2"/>
      </rPr>
      <t xml:space="preserve">
Apr</t>
    </r>
  </si>
  <si>
    <r>
      <rPr>
        <b/>
        <sz val="9"/>
        <rFont val="Faruma"/>
      </rPr>
      <t>މެއި</t>
    </r>
    <r>
      <rPr>
        <b/>
        <sz val="9"/>
        <rFont val="Calibri"/>
        <family val="2"/>
      </rPr>
      <t xml:space="preserve">
May</t>
    </r>
  </si>
  <si>
    <r>
      <rPr>
        <b/>
        <sz val="9"/>
        <rFont val="Faruma"/>
      </rPr>
      <t>ޖޫން</t>
    </r>
    <r>
      <rPr>
        <b/>
        <sz val="9"/>
        <rFont val="Calibri"/>
        <family val="2"/>
      </rPr>
      <t xml:space="preserve">
Jun</t>
    </r>
  </si>
  <si>
    <r>
      <rPr>
        <b/>
        <sz val="9"/>
        <rFont val="Faruma"/>
      </rPr>
      <t>ޖުލައި</t>
    </r>
    <r>
      <rPr>
        <b/>
        <sz val="9"/>
        <rFont val="Calibri"/>
        <family val="2"/>
      </rPr>
      <t xml:space="preserve">
Jul</t>
    </r>
  </si>
  <si>
    <r>
      <rPr>
        <b/>
        <sz val="9"/>
        <rFont val="Faruma"/>
      </rPr>
      <t>އޮގަސްޓު</t>
    </r>
    <r>
      <rPr>
        <b/>
        <sz val="9"/>
        <rFont val="Calibri"/>
        <family val="2"/>
      </rPr>
      <t xml:space="preserve">
Aug</t>
    </r>
  </si>
  <si>
    <r>
      <rPr>
        <b/>
        <sz val="9"/>
        <rFont val="Faruma"/>
      </rPr>
      <t>ސެޕްޓެމްބަރ</t>
    </r>
    <r>
      <rPr>
        <b/>
        <sz val="9"/>
        <rFont val="Calibri"/>
        <family val="2"/>
      </rPr>
      <t xml:space="preserve">
Sep</t>
    </r>
  </si>
  <si>
    <r>
      <rPr>
        <b/>
        <sz val="9"/>
        <rFont val="Faruma"/>
      </rPr>
      <t>އޮކްޓޯބަރ</t>
    </r>
    <r>
      <rPr>
        <b/>
        <sz val="9"/>
        <rFont val="Calibri"/>
        <family val="2"/>
      </rPr>
      <t xml:space="preserve">
Oct</t>
    </r>
  </si>
  <si>
    <r>
      <rPr>
        <b/>
        <sz val="9"/>
        <rFont val="Faruma"/>
      </rPr>
      <t>ނޮވެމްބަރ</t>
    </r>
    <r>
      <rPr>
        <b/>
        <sz val="9"/>
        <rFont val="Calibri"/>
        <family val="2"/>
      </rPr>
      <t xml:space="preserve">
Nov</t>
    </r>
  </si>
  <si>
    <r>
      <rPr>
        <b/>
        <sz val="9"/>
        <rFont val="Faruma"/>
      </rPr>
      <t>ޑިސެމްބަރ</t>
    </r>
    <r>
      <rPr>
        <b/>
        <sz val="9"/>
        <rFont val="Calibri"/>
        <family val="2"/>
      </rPr>
      <t xml:space="preserve">
Dec</t>
    </r>
  </si>
  <si>
    <t>Country of Nationality</t>
  </si>
  <si>
    <t>ޤައުމިއްޔަތު/ 
މަސް</t>
  </si>
  <si>
    <t>Central/Eastern Europe</t>
  </si>
  <si>
    <t xml:space="preserve">   މެދު/އިރުމަތި ޔޫރަޕް</t>
  </si>
  <si>
    <t>Northern Europe</t>
  </si>
  <si>
    <t xml:space="preserve">   އުތުރު ޔޫރަޕް</t>
  </si>
  <si>
    <t>Southern Europe</t>
  </si>
  <si>
    <t xml:space="preserve">   ދެކުނު ޔޫރަޕް</t>
  </si>
  <si>
    <t>Western Europe</t>
  </si>
  <si>
    <t xml:space="preserve">   ހުޅަނގު ޔޫރަޕް</t>
  </si>
  <si>
    <t>East/Mediterranean Europe</t>
  </si>
  <si>
    <t xml:space="preserve">   އިރުމަތި/މެޑިޓަރޭނިއަން ޔޫރަޕް</t>
  </si>
  <si>
    <t>North East Asia</t>
  </si>
  <si>
    <t xml:space="preserve">   ހުޅަނގު އުތުރު އޭޝިއާ</t>
  </si>
  <si>
    <t>South East Asia</t>
  </si>
  <si>
    <t xml:space="preserve">   ހުޅަނގު ދެކުނު އޭޝިއާ</t>
  </si>
  <si>
    <t>South Asia</t>
  </si>
  <si>
    <t xml:space="preserve">   ދެކުނު އޭޝިއާ</t>
  </si>
  <si>
    <t>އެމެރިކާ</t>
  </si>
  <si>
    <t>America</t>
  </si>
  <si>
    <t>އޯޝަނިޔާ</t>
  </si>
  <si>
    <t>މެދު އިރުމަތި</t>
  </si>
  <si>
    <t xml:space="preserve">UN Passport Holders </t>
  </si>
  <si>
    <t>Others/Not Stated</t>
  </si>
  <si>
    <t>ބަޔާން ނުކުރާ</t>
  </si>
  <si>
    <t xml:space="preserve"> </t>
  </si>
  <si>
    <t xml:space="preserve">             Maldives Immigration </t>
  </si>
  <si>
    <t xml:space="preserve">       މޯލްޑީވްސް އިމިގްރޭޝަން</t>
  </si>
  <si>
    <t>Table 10.11 :   MONTHLY DISTRIBUTION OF TOURIST ARRIVALS BY NATIONALITY, 2020</t>
  </si>
  <si>
    <t>2020 udwdwA egcnirevurutwf iawaejcaWr cnutogegukwtumuawq uhwmcswmikea : 10.11 ulwvWt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</si>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</sst>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6" formatCode="_(* #,##0_);_(* \(#,##0\);_(* &quot;-&quot;??_);_(@_)"/>
    <numFmt numFmtId="167" formatCode="#,##0.0"/>
    <numFmt numFmtId="169" formatCode="General_)"/>
    <numFmt numFmtId="171" formatCode="0.00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sz val="10.5"/>
      <name val="Faruma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Arial"/>
      <family val="2"/>
    </font>
    <font>
      <b/>
      <sz val="9"/>
      <name val="Faruma"/>
    </font>
    <font>
      <b/>
      <sz val="9"/>
      <name val="Calibri"/>
      <family val="2"/>
    </font>
    <font>
      <sz val="10"/>
      <name val="Faruma"/>
    </font>
    <font>
      <sz val="10"/>
      <name val="Courier"/>
      <family val="3"/>
    </font>
    <font>
      <b/>
      <sz val="9"/>
      <name val="Arial"/>
      <family val="2"/>
    </font>
    <font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9"/>
      <name val="A_Faseyha"/>
    </font>
    <font>
      <b/>
      <sz val="11"/>
      <name val="A_Faseyha"/>
    </font>
    <font>
      <i/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3" fillId="0" borderId="0"/>
    <xf numFmtId="9" fontId="3" fillId="0" borderId="0" applyFont="0" applyFill="0" applyBorder="0" applyAlignment="0" applyProtection="0"/>
    <xf numFmtId="0" fontId="17" fillId="0" borderId="0"/>
    <xf numFmtId="0" fontId="17" fillId="0" borderId="0"/>
    <xf numFmtId="0" fontId="3" fillId="0" borderId="0"/>
    <xf numFmtId="0" fontId="20" fillId="0" borderId="0"/>
    <xf numFmtId="0" fontId="3" fillId="0" borderId="0"/>
    <xf numFmtId="43" fontId="3" fillId="0" borderId="0" applyFont="0" applyFill="0" applyBorder="0" applyAlignment="0" applyProtection="0"/>
    <xf numFmtId="171" fontId="21" fillId="0" borderId="0"/>
    <xf numFmtId="1" fontId="22" fillId="0" borderId="3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20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8" fillId="0" borderId="0"/>
    <xf numFmtId="40" fontId="8" fillId="0" borderId="0" applyFont="0" applyFill="0" applyBorder="0" applyAlignment="0" applyProtection="0"/>
    <xf numFmtId="0" fontId="8" fillId="0" borderId="0"/>
  </cellStyleXfs>
  <cellXfs count="34">
    <xf numFmtId="0" fontId="0" fillId="0" borderId="0" xfId="0"/>
    <xf numFmtId="0" fontId="7" fillId="2" borderId="0" xfId="2" applyFont="1" applyFill="1" applyBorder="1" applyAlignment="1">
      <alignment vertical="center"/>
    </xf>
    <xf numFmtId="0" fontId="9" fillId="2" borderId="0" xfId="0" applyFont="1" applyFill="1" applyBorder="1" applyAlignment="1" applyProtection="1">
      <alignment horizontal="left" vertical="center"/>
    </xf>
    <xf numFmtId="0" fontId="6" fillId="2" borderId="0" xfId="3" applyFont="1" applyFill="1" applyBorder="1" applyAlignment="1" applyProtection="1">
      <alignment vertical="center"/>
    </xf>
    <xf numFmtId="166" fontId="6" fillId="2" borderId="0" xfId="1" applyNumberFormat="1" applyFont="1" applyFill="1" applyBorder="1" applyAlignment="1" applyProtection="1">
      <alignment horizontal="right" vertical="center"/>
    </xf>
    <xf numFmtId="167" fontId="5" fillId="2" borderId="0" xfId="3" applyNumberFormat="1" applyFont="1" applyFill="1" applyBorder="1" applyAlignment="1">
      <alignment horizontal="right"/>
    </xf>
    <xf numFmtId="166" fontId="18" fillId="2" borderId="0" xfId="3" applyNumberFormat="1" applyFont="1" applyFill="1" applyBorder="1" applyAlignment="1">
      <alignment vertical="center"/>
    </xf>
    <xf numFmtId="0" fontId="18" fillId="2" borderId="0" xfId="3" applyFont="1" applyFill="1" applyBorder="1"/>
    <xf numFmtId="17" fontId="12" fillId="2" borderId="0" xfId="7" applyNumberFormat="1" applyFont="1" applyFill="1" applyBorder="1" applyAlignment="1">
      <alignment horizontal="left" vertical="center" indent="1"/>
    </xf>
    <xf numFmtId="166" fontId="12" fillId="2" borderId="0" xfId="1" applyNumberFormat="1" applyFont="1" applyFill="1" applyBorder="1" applyAlignment="1" applyProtection="1">
      <alignment horizontal="right" vertical="center"/>
    </xf>
    <xf numFmtId="167" fontId="16" fillId="2" borderId="0" xfId="3" applyNumberFormat="1" applyFont="1" applyFill="1" applyBorder="1" applyAlignment="1">
      <alignment horizontal="right"/>
    </xf>
    <xf numFmtId="0" fontId="10" fillId="2" borderId="0" xfId="3" applyFont="1" applyFill="1" applyBorder="1"/>
    <xf numFmtId="0" fontId="10" fillId="2" borderId="0" xfId="3" applyFont="1" applyFill="1" applyBorder="1" applyAlignment="1">
      <alignment vertical="center"/>
    </xf>
    <xf numFmtId="17" fontId="12" fillId="2" borderId="0" xfId="7" applyNumberFormat="1" applyFont="1" applyFill="1" applyBorder="1" applyAlignment="1">
      <alignment horizontal="left" vertical="center" wrapText="1" indent="1"/>
    </xf>
    <xf numFmtId="0" fontId="18" fillId="2" borderId="0" xfId="3" applyFont="1" applyFill="1" applyBorder="1" applyAlignment="1">
      <alignment vertical="center"/>
    </xf>
    <xf numFmtId="0" fontId="6" fillId="2" borderId="1" xfId="3" applyFont="1" applyFill="1" applyBorder="1" applyAlignment="1" applyProtection="1">
      <alignment vertical="center"/>
    </xf>
    <xf numFmtId="166" fontId="6" fillId="2" borderId="1" xfId="1" applyNumberFormat="1" applyFont="1" applyFill="1" applyBorder="1" applyAlignment="1" applyProtection="1">
      <alignment horizontal="right" vertical="center"/>
    </xf>
    <xf numFmtId="0" fontId="14" fillId="2" borderId="1" xfId="3" applyFont="1" applyFill="1" applyBorder="1"/>
    <xf numFmtId="0" fontId="23" fillId="2" borderId="0" xfId="0" applyFont="1" applyFill="1" applyBorder="1" applyAlignment="1">
      <alignment horizontal="right" vertical="center"/>
    </xf>
    <xf numFmtId="0" fontId="2" fillId="2" borderId="0" xfId="3" applyFont="1" applyFill="1" applyBorder="1" applyAlignment="1" applyProtection="1">
      <alignment horizontal="center" vertical="center"/>
    </xf>
    <xf numFmtId="169" fontId="3" fillId="2" borderId="0" xfId="6" applyNumberFormat="1" applyFont="1" applyFill="1" applyBorder="1" applyAlignment="1">
      <alignment vertical="center"/>
    </xf>
    <xf numFmtId="0" fontId="3" fillId="2" borderId="0" xfId="3" applyFont="1" applyFill="1" applyBorder="1"/>
    <xf numFmtId="169" fontId="24" fillId="2" borderId="0" xfId="5" applyNumberFormat="1" applyFont="1" applyFill="1" applyBorder="1" applyAlignment="1">
      <alignment horizontal="center" vertical="center"/>
    </xf>
    <xf numFmtId="0" fontId="13" fillId="2" borderId="0" xfId="3" applyFont="1" applyFill="1" applyBorder="1" applyAlignment="1" applyProtection="1">
      <alignment horizontal="left" vertical="center"/>
    </xf>
    <xf numFmtId="166" fontId="13" fillId="2" borderId="0" xfId="3" applyNumberFormat="1" applyFont="1" applyFill="1" applyBorder="1" applyAlignment="1" applyProtection="1">
      <alignment horizontal="left" vertical="center"/>
    </xf>
    <xf numFmtId="0" fontId="25" fillId="2" borderId="0" xfId="3" applyFont="1" applyFill="1" applyBorder="1" applyAlignment="1" applyProtection="1">
      <alignment horizontal="left" vertical="center"/>
    </xf>
    <xf numFmtId="0" fontId="11" fillId="2" borderId="0" xfId="3" applyFont="1" applyFill="1" applyBorder="1" applyAlignment="1" applyProtection="1">
      <alignment horizontal="left" vertical="center"/>
    </xf>
    <xf numFmtId="0" fontId="19" fillId="2" borderId="0" xfId="3" applyFont="1" applyFill="1" applyBorder="1" applyAlignment="1">
      <alignment horizontal="right" vertical="center"/>
    </xf>
    <xf numFmtId="0" fontId="11" fillId="2" borderId="0" xfId="0" applyFont="1" applyFill="1" applyBorder="1" applyAlignment="1" applyProtection="1">
      <alignment horizontal="left" vertical="center"/>
    </xf>
    <xf numFmtId="3" fontId="3" fillId="2" borderId="0" xfId="3" applyNumberFormat="1" applyFont="1" applyFill="1" applyBorder="1"/>
    <xf numFmtId="0" fontId="11" fillId="2" borderId="0" xfId="0" applyFont="1" applyFill="1" applyBorder="1" applyAlignment="1" applyProtection="1">
      <alignment horizontal="left" vertical="center" indent="3"/>
    </xf>
    <xf numFmtId="0" fontId="4" fillId="2" borderId="2" xfId="3" applyFont="1" applyFill="1" applyBorder="1" applyAlignment="1" applyProtection="1">
      <alignment horizontal="left" vertical="center"/>
    </xf>
    <xf numFmtId="0" fontId="4" fillId="2" borderId="2" xfId="3" applyFont="1" applyFill="1" applyBorder="1" applyAlignment="1" applyProtection="1">
      <alignment horizontal="right" vertical="center" wrapText="1"/>
    </xf>
    <xf numFmtId="0" fontId="14" fillId="2" borderId="2" xfId="3" applyFont="1" applyFill="1" applyBorder="1" applyAlignment="1" applyProtection="1">
      <alignment horizontal="right" vertical="center" wrapText="1" indent="1"/>
    </xf>
  </cellXfs>
  <cellStyles count="25">
    <cellStyle name="1" xfId="9"/>
    <cellStyle name="Comma" xfId="1" builtinId="3"/>
    <cellStyle name="Comma 2" xfId="23"/>
    <cellStyle name="Comma 3" xfId="10"/>
    <cellStyle name="Normal" xfId="0" builtinId="0"/>
    <cellStyle name="Normal - Style1" xfId="11"/>
    <cellStyle name="Normal 10" xfId="17"/>
    <cellStyle name="Normal 2" xfId="3"/>
    <cellStyle name="Normal 2 2" xfId="12"/>
    <cellStyle name="Normal 2 2 2" xfId="24"/>
    <cellStyle name="Normal 3" xfId="13"/>
    <cellStyle name="Normal 4" xfId="18"/>
    <cellStyle name="Normal 4 2" xfId="14"/>
    <cellStyle name="Normal 4 2 2" xfId="19"/>
    <cellStyle name="Normal 5" xfId="15"/>
    <cellStyle name="Normal 5 2" xfId="7"/>
    <cellStyle name="Normal 6" xfId="20"/>
    <cellStyle name="Normal 7" xfId="21"/>
    <cellStyle name="Normal 8" xfId="22"/>
    <cellStyle name="Normal 9" xfId="8"/>
    <cellStyle name="Normal_TABLE456" xfId="2"/>
    <cellStyle name="Normal_VIII-8 (Tourism) 2" xfId="5"/>
    <cellStyle name="Normal_VIII-8 (Tourism) 2 3" xfId="6"/>
    <cellStyle name="Percent 2" xfId="16"/>
    <cellStyle name="Percent 2 2" xfId="4"/>
  </cellStyles>
  <dxfs count="0"/>
  <tableStyles count="0" defaultTableStyle="TableStyleMedium2" defaultPivotStyle="PivotStyleLight16"/>
  <colors>
    <mruColors>
      <color rgb="FFC0F2F0"/>
      <color rgb="FFEAFAFA"/>
      <color rgb="FFDDF8F7"/>
      <color rgb="FFFF9900"/>
      <color rgb="FFFFCC66"/>
      <color rgb="FF33CCCC"/>
      <color rgb="FF196563"/>
      <color rgb="FF249390"/>
      <color rgb="FFCA945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10.17: Monthly tourist arrivals by European Market, 2020 </a:t>
            </a:r>
          </a:p>
        </c:rich>
      </c:tx>
      <c:layout>
        <c:manualLayout>
          <c:xMode val="edge"/>
          <c:yMode val="edge"/>
          <c:x val="0.12215975586255923"/>
          <c:y val="1.97665180754237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64618374825347"/>
          <c:y val="0.12103060151902054"/>
          <c:w val="0.87957552340085354"/>
          <c:h val="0.78856609237787967"/>
        </c:manualLayout>
      </c:layout>
      <c:lineChart>
        <c:grouping val="standard"/>
        <c:varyColors val="0"/>
        <c:ser>
          <c:idx val="0"/>
          <c:order val="0"/>
          <c:tx>
            <c:strRef>
              <c:f>'10.11'!$AM$28</c:f>
              <c:strCache>
                <c:ptCount val="1"/>
                <c:pt idx="0">
                  <c:v>Central/Eastern Europe</c:v>
                </c:pt>
              </c:strCache>
            </c:strRef>
          </c:tx>
          <c:spPr>
            <a:ln w="34925" cap="rnd">
              <a:solidFill>
                <a:srgbClr val="33CCCC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'10.11'!$AN$27:$AY$27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'10.11'!$AN$28:$AY$28</c:f>
              <c:numCache>
                <c:formatCode>_(* #,##0_);_(* \(#,##0\);_(* "-"??_);_(@_)</c:formatCode>
                <c:ptCount val="12"/>
                <c:pt idx="0">
                  <c:v>28280</c:v>
                </c:pt>
                <c:pt idx="1">
                  <c:v>23141</c:v>
                </c:pt>
                <c:pt idx="2">
                  <c:v>12233</c:v>
                </c:pt>
                <c:pt idx="3">
                  <c:v>0</c:v>
                </c:pt>
                <c:pt idx="4">
                  <c:v>23</c:v>
                </c:pt>
                <c:pt idx="5">
                  <c:v>0</c:v>
                </c:pt>
                <c:pt idx="6">
                  <c:v>240</c:v>
                </c:pt>
                <c:pt idx="7">
                  <c:v>1197</c:v>
                </c:pt>
                <c:pt idx="8">
                  <c:v>2929</c:v>
                </c:pt>
                <c:pt idx="9">
                  <c:v>8581</c:v>
                </c:pt>
                <c:pt idx="10">
                  <c:v>12697</c:v>
                </c:pt>
                <c:pt idx="11">
                  <c:v>31062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AF-489F-AC73-381DC72CD132}"/>
            </c:ext>
          </c:extLst>
        </c:ser>
        <c:ser>
          <c:idx val="1"/>
          <c:order val="1"/>
          <c:tx>
            <c:strRef>
              <c:f>'10.11'!$AM$29</c:f>
              <c:strCache>
                <c:ptCount val="1"/>
                <c:pt idx="0">
                  <c:v>Northern Europe</c:v>
                </c:pt>
              </c:strCache>
            </c:strRef>
          </c:tx>
          <c:spPr>
            <a:ln w="34925" cap="rnd">
              <a:solidFill>
                <a:srgbClr val="19656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'10.11'!$AN$27:$AY$27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'10.11'!$AN$29:$AY$29</c:f>
              <c:numCache>
                <c:formatCode>_(* #,##0_);_(* \(#,##0\);_(* "-"??_);_(@_)</c:formatCode>
                <c:ptCount val="12"/>
                <c:pt idx="0">
                  <c:v>15264</c:v>
                </c:pt>
                <c:pt idx="1">
                  <c:v>21059</c:v>
                </c:pt>
                <c:pt idx="2">
                  <c:v>8978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307</c:v>
                </c:pt>
                <c:pt idx="7">
                  <c:v>795</c:v>
                </c:pt>
                <c:pt idx="8">
                  <c:v>728</c:v>
                </c:pt>
                <c:pt idx="9">
                  <c:v>2216</c:v>
                </c:pt>
                <c:pt idx="10">
                  <c:v>2469</c:v>
                </c:pt>
                <c:pt idx="11">
                  <c:v>16005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AF-489F-AC73-381DC72CD132}"/>
            </c:ext>
          </c:extLst>
        </c:ser>
        <c:ser>
          <c:idx val="3"/>
          <c:order val="2"/>
          <c:tx>
            <c:strRef>
              <c:f>'10.11'!$AM$30</c:f>
              <c:strCache>
                <c:ptCount val="1"/>
                <c:pt idx="0">
                  <c:v>Southern Europe</c:v>
                </c:pt>
              </c:strCache>
            </c:strRef>
          </c:tx>
          <c:spPr>
            <a:ln w="34925" cap="rnd">
              <a:solidFill>
                <a:schemeClr val="accent4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'10.11'!$AN$27:$AY$27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'10.11'!$AN$30:$AY$30</c:f>
              <c:numCache>
                <c:formatCode>_(* #,##0_);_(* \(#,##0\);_(* "-"??_);_(@_)</c:formatCode>
                <c:ptCount val="12"/>
                <c:pt idx="0">
                  <c:v>24902</c:v>
                </c:pt>
                <c:pt idx="1">
                  <c:v>24809</c:v>
                </c:pt>
                <c:pt idx="2">
                  <c:v>5700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153</c:v>
                </c:pt>
                <c:pt idx="7">
                  <c:v>939</c:v>
                </c:pt>
                <c:pt idx="8">
                  <c:v>786</c:v>
                </c:pt>
                <c:pt idx="9">
                  <c:v>1219</c:v>
                </c:pt>
                <c:pt idx="10">
                  <c:v>1209</c:v>
                </c:pt>
                <c:pt idx="11">
                  <c:v>3432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0AF-489F-AC73-381DC72CD132}"/>
            </c:ext>
          </c:extLst>
        </c:ser>
        <c:ser>
          <c:idx val="4"/>
          <c:order val="3"/>
          <c:tx>
            <c:strRef>
              <c:f>'10.11'!$AM$31</c:f>
              <c:strCache>
                <c:ptCount val="1"/>
                <c:pt idx="0">
                  <c:v>Western Europe</c:v>
                </c:pt>
              </c:strCache>
            </c:strRef>
          </c:tx>
          <c:spPr>
            <a:ln w="34925" cap="rnd">
              <a:solidFill>
                <a:srgbClr val="24939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'10.11'!$AN$27:$AY$27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'10.11'!$AN$31:$AY$31</c:f>
              <c:numCache>
                <c:formatCode>_(* #,##0_);_(* \(#,##0\);_(* "-"??_);_(@_)</c:formatCode>
                <c:ptCount val="12"/>
                <c:pt idx="0">
                  <c:v>24416</c:v>
                </c:pt>
                <c:pt idx="1">
                  <c:v>32016</c:v>
                </c:pt>
                <c:pt idx="2">
                  <c:v>14672</c:v>
                </c:pt>
                <c:pt idx="3">
                  <c:v>0</c:v>
                </c:pt>
                <c:pt idx="4">
                  <c:v>13</c:v>
                </c:pt>
                <c:pt idx="5">
                  <c:v>0</c:v>
                </c:pt>
                <c:pt idx="6">
                  <c:v>298</c:v>
                </c:pt>
                <c:pt idx="7">
                  <c:v>771</c:v>
                </c:pt>
                <c:pt idx="8">
                  <c:v>831</c:v>
                </c:pt>
                <c:pt idx="9">
                  <c:v>2490</c:v>
                </c:pt>
                <c:pt idx="10">
                  <c:v>3907</c:v>
                </c:pt>
                <c:pt idx="11">
                  <c:v>12282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0AF-489F-AC73-381DC72CD132}"/>
            </c:ext>
          </c:extLst>
        </c:ser>
        <c:ser>
          <c:idx val="2"/>
          <c:order val="4"/>
          <c:tx>
            <c:strRef>
              <c:f>'10.11'!$AM$32</c:f>
              <c:strCache>
                <c:ptCount val="1"/>
                <c:pt idx="0">
                  <c:v>East/Mediterranean Europe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'10.11'!$AN$27:$AY$27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'10.11'!$AN$32:$AY$32</c:f>
              <c:numCache>
                <c:formatCode>_(* #,##0_);_(* \(#,##0\);_(* "-"??_);_(@_)</c:formatCode>
                <c:ptCount val="12"/>
                <c:pt idx="0">
                  <c:v>1863</c:v>
                </c:pt>
                <c:pt idx="1">
                  <c:v>1323</c:v>
                </c:pt>
                <c:pt idx="2">
                  <c:v>432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</c:v>
                </c:pt>
                <c:pt idx="7">
                  <c:v>126</c:v>
                </c:pt>
                <c:pt idx="8">
                  <c:v>245</c:v>
                </c:pt>
                <c:pt idx="9">
                  <c:v>317</c:v>
                </c:pt>
                <c:pt idx="10">
                  <c:v>240</c:v>
                </c:pt>
                <c:pt idx="11">
                  <c:v>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AF-489F-AC73-381DC72CD1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10830560"/>
        <c:axId val="528824280"/>
      </c:lineChart>
      <c:catAx>
        <c:axId val="41083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24280"/>
        <c:crosses val="autoZero"/>
        <c:auto val="1"/>
        <c:lblAlgn val="ctr"/>
        <c:lblOffset val="100"/>
        <c:noMultiLvlLbl val="0"/>
      </c:catAx>
      <c:valAx>
        <c:axId val="528824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C0F2F0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1.2004699827419154E-3"/>
              <c:y val="0.409976166345931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30560"/>
        <c:crosses val="autoZero"/>
        <c:crossBetween val="between"/>
      </c:valAx>
      <c:spPr>
        <a:solidFill>
          <a:srgbClr val="EAFAFA"/>
        </a:solidFill>
        <a:ln>
          <a:solidFill>
            <a:srgbClr val="C0F2F0"/>
          </a:solidFill>
        </a:ln>
        <a:effectLst/>
      </c:spPr>
    </c:plotArea>
    <c:legend>
      <c:legendPos val="b"/>
      <c:layout>
        <c:manualLayout>
          <c:xMode val="edge"/>
          <c:yMode val="edge"/>
          <c:x val="0.30409283610133125"/>
          <c:y val="0.22988172611444893"/>
          <c:w val="0.61652393251301019"/>
          <c:h val="0.170218089103927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10.18: Monthly tourist arrivals by Asian Market, 2020 </a:t>
            </a:r>
          </a:p>
        </c:rich>
      </c:tx>
      <c:layout>
        <c:manualLayout>
          <c:xMode val="edge"/>
          <c:yMode val="edge"/>
          <c:x val="0.17351425367412587"/>
          <c:y val="4.37471646600123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6545986632074"/>
          <c:y val="0.15014656490773748"/>
          <c:w val="0.86420778143168298"/>
          <c:h val="0.74491601350388115"/>
        </c:manualLayout>
      </c:layout>
      <c:lineChart>
        <c:grouping val="standard"/>
        <c:varyColors val="0"/>
        <c:ser>
          <c:idx val="0"/>
          <c:order val="0"/>
          <c:tx>
            <c:strRef>
              <c:f>'10.11'!$AM$37</c:f>
              <c:strCache>
                <c:ptCount val="1"/>
                <c:pt idx="0">
                  <c:v>North East Asia</c:v>
                </c:pt>
              </c:strCache>
            </c:strRef>
          </c:tx>
          <c:spPr>
            <a:ln w="34925" cap="rnd">
              <a:solidFill>
                <a:srgbClr val="FF99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'10.11'!$AN$36:$AY$36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'10.11'!$AN$37:$AY$37</c:f>
              <c:numCache>
                <c:formatCode>_(* #,##0_);_(* \(#,##0\);_(* "-"??_);_(@_)</c:formatCode>
                <c:ptCount val="12"/>
                <c:pt idx="0">
                  <c:v>38543</c:v>
                </c:pt>
                <c:pt idx="1">
                  <c:v>9652</c:v>
                </c:pt>
                <c:pt idx="2">
                  <c:v>2383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56</c:v>
                </c:pt>
                <c:pt idx="8">
                  <c:v>63</c:v>
                </c:pt>
                <c:pt idx="9">
                  <c:v>90</c:v>
                </c:pt>
                <c:pt idx="10">
                  <c:v>133</c:v>
                </c:pt>
                <c:pt idx="11">
                  <c:v>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72-40F7-B71E-05A7C82D9A47}"/>
            </c:ext>
          </c:extLst>
        </c:ser>
        <c:ser>
          <c:idx val="1"/>
          <c:order val="1"/>
          <c:tx>
            <c:strRef>
              <c:f>'10.11'!$AM$38</c:f>
              <c:strCache>
                <c:ptCount val="1"/>
                <c:pt idx="0">
                  <c:v>South East Asia</c:v>
                </c:pt>
              </c:strCache>
            </c:strRef>
          </c:tx>
          <c:spPr>
            <a:ln w="34925" cap="rnd">
              <a:solidFill>
                <a:srgbClr val="FFCC6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'10.11'!$AN$36:$AY$36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'10.11'!$AN$38:$AY$38</c:f>
              <c:numCache>
                <c:formatCode>_(* #,##0_);_(* \(#,##0\);_(* "-"??_);_(@_)</c:formatCode>
                <c:ptCount val="12"/>
                <c:pt idx="0">
                  <c:v>4198</c:v>
                </c:pt>
                <c:pt idx="1">
                  <c:v>4901</c:v>
                </c:pt>
                <c:pt idx="2">
                  <c:v>2482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33</c:v>
                </c:pt>
                <c:pt idx="7">
                  <c:v>117</c:v>
                </c:pt>
                <c:pt idx="8">
                  <c:v>74</c:v>
                </c:pt>
                <c:pt idx="9">
                  <c:v>150</c:v>
                </c:pt>
                <c:pt idx="10">
                  <c:v>260</c:v>
                </c:pt>
                <c:pt idx="11">
                  <c:v>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72-40F7-B71E-05A7C82D9A47}"/>
            </c:ext>
          </c:extLst>
        </c:ser>
        <c:ser>
          <c:idx val="2"/>
          <c:order val="2"/>
          <c:tx>
            <c:strRef>
              <c:f>'10.11'!$AM$39</c:f>
              <c:strCache>
                <c:ptCount val="1"/>
                <c:pt idx="0">
                  <c:v>South Asia</c:v>
                </c:pt>
              </c:strCache>
            </c:strRef>
          </c:tx>
          <c:spPr>
            <a:ln w="34925" cap="rnd">
              <a:solidFill>
                <a:srgbClr val="33CCCC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'10.11'!$AN$36:$AY$36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'10.11'!$AN$39:$AY$39</c:f>
              <c:numCache>
                <c:formatCode>_(* #,##0_);_(* \(#,##0\);_(* "-"??_);_(@_)</c:formatCode>
                <c:ptCount val="12"/>
                <c:pt idx="0">
                  <c:v>16021</c:v>
                </c:pt>
                <c:pt idx="1">
                  <c:v>17232</c:v>
                </c:pt>
                <c:pt idx="2">
                  <c:v>6088</c:v>
                </c:pt>
                <c:pt idx="3">
                  <c:v>12</c:v>
                </c:pt>
                <c:pt idx="4">
                  <c:v>4</c:v>
                </c:pt>
                <c:pt idx="5">
                  <c:v>0</c:v>
                </c:pt>
                <c:pt idx="6">
                  <c:v>62</c:v>
                </c:pt>
                <c:pt idx="7">
                  <c:v>372</c:v>
                </c:pt>
                <c:pt idx="8">
                  <c:v>575</c:v>
                </c:pt>
                <c:pt idx="9">
                  <c:v>1887</c:v>
                </c:pt>
                <c:pt idx="10">
                  <c:v>8165</c:v>
                </c:pt>
                <c:pt idx="11">
                  <c:v>19796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72-40F7-B71E-05A7C82D9A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06955272"/>
        <c:axId val="158431488"/>
      </c:lineChart>
      <c:catAx>
        <c:axId val="40695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1488"/>
        <c:crosses val="autoZero"/>
        <c:auto val="1"/>
        <c:lblAlgn val="ctr"/>
        <c:lblOffset val="100"/>
        <c:noMultiLvlLbl val="0"/>
      </c:catAx>
      <c:valAx>
        <c:axId val="1584314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C0F2F0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8.5919833505218243E-3"/>
              <c:y val="0.441281050173451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55272"/>
        <c:crosses val="autoZero"/>
        <c:crossBetween val="between"/>
      </c:valAx>
      <c:spPr>
        <a:solidFill>
          <a:srgbClr val="EAFAFA"/>
        </a:solidFill>
        <a:ln>
          <a:solidFill>
            <a:srgbClr val="C0F2F0"/>
          </a:solidFill>
        </a:ln>
        <a:effectLst/>
      </c:spPr>
    </c:plotArea>
    <c:legend>
      <c:legendPos val="b"/>
      <c:layout>
        <c:manualLayout>
          <c:xMode val="edge"/>
          <c:yMode val="edge"/>
          <c:x val="0.24980504609487453"/>
          <c:y val="0.40599789749722515"/>
          <c:w val="0.58274616063943152"/>
          <c:h val="6.9307644719170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64943</xdr:colOff>
      <xdr:row>24</xdr:row>
      <xdr:rowOff>146159</xdr:rowOff>
    </xdr:from>
    <xdr:to>
      <xdr:col>6</xdr:col>
      <xdr:colOff>324478</xdr:colOff>
      <xdr:row>43</xdr:row>
      <xdr:rowOff>73269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460551</xdr:colOff>
      <xdr:row>24</xdr:row>
      <xdr:rowOff>121165</xdr:rowOff>
    </xdr:from>
    <xdr:to>
      <xdr:col>14</xdr:col>
      <xdr:colOff>1370889</xdr:colOff>
      <xdr:row>43</xdr:row>
      <xdr:rowOff>62801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Y39"/>
  <sheetViews>
    <sheetView tabSelected="1" zoomScale="91" zoomScaleNormal="91" zoomScaleSheetLayoutView="91" workbookViewId="0">
      <selection activeCell="O18" sqref="O18"/>
    </sheetView>
  </sheetViews>
  <sheetFormatPr defaultColWidth="9.140625" defaultRowHeight="12.75"/>
  <cols>
    <col min="1" max="1" width="24.42578125" style="21" customWidth="1"/>
    <col min="2" max="3" width="10.7109375" style="21" customWidth="1"/>
    <col min="4" max="4" width="10.28515625" style="21" customWidth="1"/>
    <col min="5" max="5" width="10.5703125" style="21" customWidth="1"/>
    <col min="6" max="6" width="10.28515625" style="21" customWidth="1"/>
    <col min="7" max="7" width="9.5703125" style="21" customWidth="1"/>
    <col min="8" max="8" width="9.140625" style="21" customWidth="1"/>
    <col min="9" max="9" width="9.28515625" style="21" customWidth="1"/>
    <col min="10" max="10" width="8.7109375" style="21" customWidth="1"/>
    <col min="11" max="11" width="9.42578125" style="21" customWidth="1"/>
    <col min="12" max="12" width="8.7109375" style="21" customWidth="1"/>
    <col min="13" max="13" width="9" style="21" customWidth="1"/>
    <col min="14" max="14" width="9.5703125" style="21" customWidth="1"/>
    <col min="15" max="15" width="21.5703125" style="21" customWidth="1"/>
    <col min="16" max="38" width="9.140625" style="21"/>
    <col min="39" max="39" width="13.7109375" style="21" customWidth="1"/>
    <col min="40" max="16384" width="9.140625" style="21"/>
  </cols>
  <sheetData>
    <row r="1" spans="1:51" s="20" customFormat="1" ht="19.5" customHeight="1">
      <c r="A1" s="22" t="s">
        <v>67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51" ht="16.5" customHeight="1">
      <c r="A2" s="19" t="s">
        <v>66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51" s="12" customFormat="1" ht="29.25" customHeight="1">
      <c r="A3" s="31" t="s">
        <v>38</v>
      </c>
      <c r="B3" s="32" t="s">
        <v>25</v>
      </c>
      <c r="C3" s="32" t="s">
        <v>26</v>
      </c>
      <c r="D3" s="32" t="s">
        <v>27</v>
      </c>
      <c r="E3" s="32" t="s">
        <v>28</v>
      </c>
      <c r="F3" s="32" t="s">
        <v>29</v>
      </c>
      <c r="G3" s="32" t="s">
        <v>30</v>
      </c>
      <c r="H3" s="32" t="s">
        <v>31</v>
      </c>
      <c r="I3" s="32" t="s">
        <v>32</v>
      </c>
      <c r="J3" s="32" t="s">
        <v>33</v>
      </c>
      <c r="K3" s="32" t="s">
        <v>34</v>
      </c>
      <c r="L3" s="32" t="s">
        <v>35</v>
      </c>
      <c r="M3" s="32" t="s">
        <v>36</v>
      </c>
      <c r="N3" s="32" t="s">
        <v>37</v>
      </c>
      <c r="O3" s="33" t="s">
        <v>39</v>
      </c>
    </row>
    <row r="4" spans="1:51" s="7" customFormat="1" ht="17.25" customHeight="1">
      <c r="A4" s="3" t="s">
        <v>0</v>
      </c>
      <c r="B4" s="4">
        <f>B5+B11+B15+B16+B17+B18+B19+B20</f>
        <v>555494</v>
      </c>
      <c r="C4" s="4">
        <f t="shared" ref="C4:N4" si="0">C5+C11+C15+C16+C17+C18+C19+C20</f>
        <v>173347</v>
      </c>
      <c r="D4" s="4">
        <f t="shared" si="0"/>
        <v>149785</v>
      </c>
      <c r="E4" s="4">
        <f t="shared" si="0"/>
        <v>59630</v>
      </c>
      <c r="F4" s="4">
        <f t="shared" si="0"/>
        <v>13</v>
      </c>
      <c r="G4" s="4">
        <f t="shared" si="0"/>
        <v>41</v>
      </c>
      <c r="H4" s="4">
        <f t="shared" si="0"/>
        <v>1</v>
      </c>
      <c r="I4" s="4">
        <f t="shared" si="0"/>
        <v>1752</v>
      </c>
      <c r="J4" s="4">
        <f t="shared" si="0"/>
        <v>7636</v>
      </c>
      <c r="K4" s="4">
        <f t="shared" si="0"/>
        <v>9605</v>
      </c>
      <c r="L4" s="4">
        <f t="shared" si="0"/>
        <v>21515</v>
      </c>
      <c r="M4" s="4">
        <f t="shared" si="0"/>
        <v>35757</v>
      </c>
      <c r="N4" s="4">
        <f t="shared" si="0"/>
        <v>96412</v>
      </c>
      <c r="O4" s="5" t="s">
        <v>1</v>
      </c>
    </row>
    <row r="5" spans="1:51" s="7" customFormat="1" ht="19.5" customHeight="1">
      <c r="A5" s="3" t="s">
        <v>2</v>
      </c>
      <c r="B5" s="4">
        <f t="shared" ref="B5:N5" si="1">SUM(B6:B10)</f>
        <v>348349</v>
      </c>
      <c r="C5" s="4">
        <f>SUM(C6:C10)</f>
        <v>94725</v>
      </c>
      <c r="D5" s="4">
        <f>SUM(D6:D10)</f>
        <v>102348</v>
      </c>
      <c r="E5" s="4">
        <f t="shared" si="1"/>
        <v>42015</v>
      </c>
      <c r="F5" s="4">
        <f t="shared" si="1"/>
        <v>0</v>
      </c>
      <c r="G5" s="4">
        <f t="shared" si="1"/>
        <v>37</v>
      </c>
      <c r="H5" s="4">
        <f t="shared" si="1"/>
        <v>1</v>
      </c>
      <c r="I5" s="4">
        <f t="shared" si="1"/>
        <v>1044</v>
      </c>
      <c r="J5" s="4">
        <f t="shared" si="1"/>
        <v>3828</v>
      </c>
      <c r="K5" s="4">
        <f t="shared" si="1"/>
        <v>5519</v>
      </c>
      <c r="L5" s="4">
        <f t="shared" si="1"/>
        <v>14823</v>
      </c>
      <c r="M5" s="4">
        <f t="shared" si="1"/>
        <v>20522</v>
      </c>
      <c r="N5" s="4">
        <f t="shared" si="1"/>
        <v>63487</v>
      </c>
      <c r="O5" s="5" t="s">
        <v>3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1:51" s="11" customFormat="1" ht="19.5" customHeight="1">
      <c r="A6" s="8" t="s">
        <v>40</v>
      </c>
      <c r="B6" s="9">
        <f t="shared" ref="B6:B18" si="2">SUM(C6:N6)</f>
        <v>120383</v>
      </c>
      <c r="C6" s="9">
        <v>28280</v>
      </c>
      <c r="D6" s="9">
        <v>23141</v>
      </c>
      <c r="E6" s="9">
        <v>12233</v>
      </c>
      <c r="F6" s="9">
        <v>0</v>
      </c>
      <c r="G6" s="9">
        <v>23</v>
      </c>
      <c r="H6" s="9">
        <v>0</v>
      </c>
      <c r="I6" s="9">
        <v>240</v>
      </c>
      <c r="J6" s="9">
        <v>1197</v>
      </c>
      <c r="K6" s="9">
        <v>2929</v>
      </c>
      <c r="L6" s="9">
        <v>8581</v>
      </c>
      <c r="M6" s="9">
        <v>12697</v>
      </c>
      <c r="N6" s="9">
        <v>31062</v>
      </c>
      <c r="O6" s="10" t="s">
        <v>41</v>
      </c>
    </row>
    <row r="7" spans="1:51" s="11" customFormat="1" ht="19.5" customHeight="1">
      <c r="A7" s="8" t="s">
        <v>42</v>
      </c>
      <c r="B7" s="9">
        <f t="shared" si="2"/>
        <v>67822</v>
      </c>
      <c r="C7" s="9">
        <v>15264</v>
      </c>
      <c r="D7" s="9">
        <v>21059</v>
      </c>
      <c r="E7" s="9">
        <v>8978</v>
      </c>
      <c r="F7" s="9">
        <v>0</v>
      </c>
      <c r="G7" s="9">
        <v>0</v>
      </c>
      <c r="H7" s="9">
        <v>1</v>
      </c>
      <c r="I7" s="9">
        <v>307</v>
      </c>
      <c r="J7" s="9">
        <v>795</v>
      </c>
      <c r="K7" s="9">
        <v>728</v>
      </c>
      <c r="L7" s="9">
        <v>2216</v>
      </c>
      <c r="M7" s="9">
        <v>2469</v>
      </c>
      <c r="N7" s="9">
        <v>16005</v>
      </c>
      <c r="O7" s="10" t="s">
        <v>43</v>
      </c>
    </row>
    <row r="8" spans="1:51" s="11" customFormat="1" ht="19.5" customHeight="1">
      <c r="A8" s="8" t="s">
        <v>44</v>
      </c>
      <c r="B8" s="9">
        <f t="shared" si="2"/>
        <v>63150</v>
      </c>
      <c r="C8" s="9">
        <v>24902</v>
      </c>
      <c r="D8" s="9">
        <v>24809</v>
      </c>
      <c r="E8" s="9">
        <v>5700</v>
      </c>
      <c r="F8" s="9">
        <v>0</v>
      </c>
      <c r="G8" s="9">
        <v>1</v>
      </c>
      <c r="H8" s="9">
        <v>0</v>
      </c>
      <c r="I8" s="9">
        <v>153</v>
      </c>
      <c r="J8" s="9">
        <v>939</v>
      </c>
      <c r="K8" s="9">
        <v>786</v>
      </c>
      <c r="L8" s="9">
        <v>1219</v>
      </c>
      <c r="M8" s="9">
        <v>1209</v>
      </c>
      <c r="N8" s="9">
        <v>3432</v>
      </c>
      <c r="O8" s="10" t="s">
        <v>45</v>
      </c>
    </row>
    <row r="9" spans="1:51" s="11" customFormat="1" ht="19.5" customHeight="1">
      <c r="A9" s="8" t="s">
        <v>46</v>
      </c>
      <c r="B9" s="9">
        <f t="shared" si="2"/>
        <v>91696</v>
      </c>
      <c r="C9" s="9">
        <v>24416</v>
      </c>
      <c r="D9" s="9">
        <v>32016</v>
      </c>
      <c r="E9" s="9">
        <v>14672</v>
      </c>
      <c r="F9" s="9">
        <v>0</v>
      </c>
      <c r="G9" s="9">
        <v>13</v>
      </c>
      <c r="H9" s="9">
        <v>0</v>
      </c>
      <c r="I9" s="9">
        <v>298</v>
      </c>
      <c r="J9" s="9">
        <v>771</v>
      </c>
      <c r="K9" s="9">
        <v>831</v>
      </c>
      <c r="L9" s="9">
        <v>2490</v>
      </c>
      <c r="M9" s="9">
        <v>3907</v>
      </c>
      <c r="N9" s="9">
        <v>12282</v>
      </c>
      <c r="O9" s="10" t="s">
        <v>47</v>
      </c>
      <c r="P9" s="12"/>
    </row>
    <row r="10" spans="1:51" s="11" customFormat="1" ht="19.5" customHeight="1">
      <c r="A10" s="13" t="s">
        <v>48</v>
      </c>
      <c r="B10" s="9">
        <f t="shared" si="2"/>
        <v>5298</v>
      </c>
      <c r="C10" s="9">
        <v>1863</v>
      </c>
      <c r="D10" s="9">
        <v>1323</v>
      </c>
      <c r="E10" s="9">
        <v>432</v>
      </c>
      <c r="F10" s="9">
        <v>0</v>
      </c>
      <c r="G10" s="9">
        <v>0</v>
      </c>
      <c r="H10" s="9">
        <v>0</v>
      </c>
      <c r="I10" s="9">
        <v>46</v>
      </c>
      <c r="J10" s="9">
        <v>126</v>
      </c>
      <c r="K10" s="9">
        <v>245</v>
      </c>
      <c r="L10" s="9">
        <v>317</v>
      </c>
      <c r="M10" s="9">
        <v>240</v>
      </c>
      <c r="N10" s="9">
        <v>706</v>
      </c>
      <c r="O10" s="10" t="s">
        <v>49</v>
      </c>
      <c r="P10" s="12"/>
    </row>
    <row r="11" spans="1:51" s="7" customFormat="1" ht="19.5" customHeight="1">
      <c r="A11" s="3" t="s">
        <v>4</v>
      </c>
      <c r="B11" s="4">
        <f t="shared" si="2"/>
        <v>134279</v>
      </c>
      <c r="C11" s="4">
        <f>SUM(C12:C14)</f>
        <v>58762</v>
      </c>
      <c r="D11" s="4">
        <f>SUM(D12:D14)</f>
        <v>31785</v>
      </c>
      <c r="E11" s="4">
        <f t="shared" ref="E11:N11" si="3">SUM(E12:E14)</f>
        <v>10953</v>
      </c>
      <c r="F11" s="4">
        <f t="shared" si="3"/>
        <v>12</v>
      </c>
      <c r="G11" s="4">
        <f t="shared" si="3"/>
        <v>4</v>
      </c>
      <c r="H11" s="4">
        <f t="shared" si="3"/>
        <v>0</v>
      </c>
      <c r="I11" s="4">
        <f t="shared" si="3"/>
        <v>122</v>
      </c>
      <c r="J11" s="4">
        <f t="shared" si="3"/>
        <v>545</v>
      </c>
      <c r="K11" s="4">
        <f t="shared" si="3"/>
        <v>712</v>
      </c>
      <c r="L11" s="4">
        <f t="shared" si="3"/>
        <v>2127</v>
      </c>
      <c r="M11" s="4">
        <f t="shared" si="3"/>
        <v>8558</v>
      </c>
      <c r="N11" s="4">
        <f t="shared" si="3"/>
        <v>20699</v>
      </c>
      <c r="O11" s="5" t="s">
        <v>5</v>
      </c>
      <c r="P11" s="14"/>
    </row>
    <row r="12" spans="1:51" s="11" customFormat="1" ht="19.5" customHeight="1">
      <c r="A12" s="8" t="s">
        <v>50</v>
      </c>
      <c r="B12" s="9">
        <f t="shared" si="2"/>
        <v>51319</v>
      </c>
      <c r="C12" s="9">
        <v>38543</v>
      </c>
      <c r="D12" s="9">
        <v>9652</v>
      </c>
      <c r="E12" s="9">
        <v>2383</v>
      </c>
      <c r="F12" s="9">
        <v>0</v>
      </c>
      <c r="G12" s="9">
        <v>0</v>
      </c>
      <c r="H12" s="9">
        <v>0</v>
      </c>
      <c r="I12" s="9">
        <v>27</v>
      </c>
      <c r="J12" s="9">
        <v>56</v>
      </c>
      <c r="K12" s="9">
        <v>63</v>
      </c>
      <c r="L12" s="9">
        <v>90</v>
      </c>
      <c r="M12" s="9">
        <v>133</v>
      </c>
      <c r="N12" s="9">
        <v>372</v>
      </c>
      <c r="O12" s="10" t="s">
        <v>51</v>
      </c>
    </row>
    <row r="13" spans="1:51" s="11" customFormat="1" ht="19.5" customHeight="1">
      <c r="A13" s="8" t="s">
        <v>52</v>
      </c>
      <c r="B13" s="9">
        <f t="shared" si="2"/>
        <v>12746</v>
      </c>
      <c r="C13" s="9">
        <v>4198</v>
      </c>
      <c r="D13" s="9">
        <v>4901</v>
      </c>
      <c r="E13" s="9">
        <v>2482</v>
      </c>
      <c r="F13" s="9">
        <v>0</v>
      </c>
      <c r="G13" s="9">
        <v>0</v>
      </c>
      <c r="H13" s="9">
        <v>0</v>
      </c>
      <c r="I13" s="9">
        <v>33</v>
      </c>
      <c r="J13" s="9">
        <v>117</v>
      </c>
      <c r="K13" s="9">
        <v>74</v>
      </c>
      <c r="L13" s="9">
        <v>150</v>
      </c>
      <c r="M13" s="9">
        <v>260</v>
      </c>
      <c r="N13" s="9">
        <v>531</v>
      </c>
      <c r="O13" s="10" t="s">
        <v>53</v>
      </c>
    </row>
    <row r="14" spans="1:51" s="11" customFormat="1" ht="19.5" customHeight="1">
      <c r="A14" s="8" t="s">
        <v>54</v>
      </c>
      <c r="B14" s="9">
        <f t="shared" si="2"/>
        <v>70214</v>
      </c>
      <c r="C14" s="9">
        <v>16021</v>
      </c>
      <c r="D14" s="9">
        <v>17232</v>
      </c>
      <c r="E14" s="9">
        <v>6088</v>
      </c>
      <c r="F14" s="9">
        <v>12</v>
      </c>
      <c r="G14" s="9">
        <v>4</v>
      </c>
      <c r="H14" s="9">
        <v>0</v>
      </c>
      <c r="I14" s="9">
        <v>62</v>
      </c>
      <c r="J14" s="9">
        <v>372</v>
      </c>
      <c r="K14" s="9">
        <v>575</v>
      </c>
      <c r="L14" s="9">
        <v>1887</v>
      </c>
      <c r="M14" s="9">
        <v>8165</v>
      </c>
      <c r="N14" s="9">
        <v>19796</v>
      </c>
      <c r="O14" s="10" t="s">
        <v>55</v>
      </c>
      <c r="P14" s="12"/>
    </row>
    <row r="15" spans="1:51" s="7" customFormat="1" ht="19.5" customHeight="1">
      <c r="A15" s="3" t="s">
        <v>8</v>
      </c>
      <c r="B15" s="4">
        <f t="shared" si="2"/>
        <v>7964</v>
      </c>
      <c r="C15" s="4">
        <v>2926</v>
      </c>
      <c r="D15" s="4">
        <v>2260</v>
      </c>
      <c r="E15" s="4">
        <v>1468</v>
      </c>
      <c r="F15" s="4">
        <v>0</v>
      </c>
      <c r="G15" s="4">
        <v>0</v>
      </c>
      <c r="H15" s="4">
        <v>0</v>
      </c>
      <c r="I15" s="4">
        <v>29</v>
      </c>
      <c r="J15" s="4">
        <v>62</v>
      </c>
      <c r="K15" s="4">
        <v>66</v>
      </c>
      <c r="L15" s="4">
        <v>189</v>
      </c>
      <c r="M15" s="4">
        <v>236</v>
      </c>
      <c r="N15" s="4">
        <v>728</v>
      </c>
      <c r="O15" s="5" t="s">
        <v>7</v>
      </c>
      <c r="P15" s="14"/>
      <c r="AM15" s="3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</row>
    <row r="16" spans="1:51" s="7" customFormat="1" ht="19.5" customHeight="1">
      <c r="A16" s="3" t="s">
        <v>6</v>
      </c>
      <c r="B16" s="4">
        <f t="shared" si="2"/>
        <v>6458</v>
      </c>
      <c r="C16" s="4">
        <v>1536</v>
      </c>
      <c r="D16" s="4">
        <v>1118</v>
      </c>
      <c r="E16" s="4">
        <v>658</v>
      </c>
      <c r="F16" s="4">
        <v>0</v>
      </c>
      <c r="G16" s="4">
        <v>0</v>
      </c>
      <c r="H16" s="4">
        <v>0</v>
      </c>
      <c r="I16" s="4">
        <v>55</v>
      </c>
      <c r="J16" s="4">
        <v>163</v>
      </c>
      <c r="K16" s="4">
        <v>159</v>
      </c>
      <c r="L16" s="4">
        <v>270</v>
      </c>
      <c r="M16" s="4">
        <v>503</v>
      </c>
      <c r="N16" s="4">
        <v>1996</v>
      </c>
      <c r="O16" s="5" t="s">
        <v>56</v>
      </c>
      <c r="AM16" s="8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</row>
    <row r="17" spans="1:51" s="7" customFormat="1" ht="19.5" customHeight="1">
      <c r="A17" s="3" t="s">
        <v>57</v>
      </c>
      <c r="B17" s="4">
        <f t="shared" si="2"/>
        <v>32060</v>
      </c>
      <c r="C17" s="4">
        <v>8078</v>
      </c>
      <c r="D17" s="4">
        <v>7460</v>
      </c>
      <c r="E17" s="4">
        <v>3183</v>
      </c>
      <c r="F17" s="4">
        <v>0</v>
      </c>
      <c r="G17" s="4">
        <v>0</v>
      </c>
      <c r="H17" s="4">
        <v>0</v>
      </c>
      <c r="I17" s="4">
        <v>255</v>
      </c>
      <c r="J17" s="4">
        <v>970</v>
      </c>
      <c r="K17" s="4">
        <v>1519</v>
      </c>
      <c r="L17" s="4">
        <v>2276</v>
      </c>
      <c r="M17" s="4">
        <v>3390</v>
      </c>
      <c r="N17" s="4">
        <v>4929</v>
      </c>
      <c r="O17" s="5" t="s">
        <v>58</v>
      </c>
      <c r="P17" s="14"/>
      <c r="AM17" s="8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</row>
    <row r="18" spans="1:51" s="7" customFormat="1" ht="19.5" customHeight="1">
      <c r="A18" s="3" t="s">
        <v>9</v>
      </c>
      <c r="B18" s="4">
        <f t="shared" si="2"/>
        <v>26286</v>
      </c>
      <c r="C18" s="4">
        <v>7297</v>
      </c>
      <c r="D18" s="4">
        <v>4793</v>
      </c>
      <c r="E18" s="4">
        <v>1346</v>
      </c>
      <c r="F18" s="4">
        <v>1</v>
      </c>
      <c r="G18" s="4">
        <v>0</v>
      </c>
      <c r="H18" s="4">
        <v>0</v>
      </c>
      <c r="I18" s="4">
        <v>247</v>
      </c>
      <c r="J18" s="4">
        <v>2066</v>
      </c>
      <c r="K18" s="4">
        <v>1627</v>
      </c>
      <c r="L18" s="4">
        <v>1822</v>
      </c>
      <c r="M18" s="4">
        <v>2530</v>
      </c>
      <c r="N18" s="4">
        <v>4557</v>
      </c>
      <c r="O18" s="5" t="s">
        <v>59</v>
      </c>
      <c r="P18" s="14"/>
      <c r="AM18" s="8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</row>
    <row r="19" spans="1:51" s="7" customFormat="1" ht="19.5" customHeight="1">
      <c r="A19" s="3" t="s">
        <v>60</v>
      </c>
      <c r="B19" s="4">
        <f>SUM(C19:N19)</f>
        <v>21</v>
      </c>
      <c r="C19" s="4">
        <v>11</v>
      </c>
      <c r="D19" s="4">
        <v>5</v>
      </c>
      <c r="E19" s="4">
        <v>3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1</v>
      </c>
      <c r="M19" s="4">
        <v>1</v>
      </c>
      <c r="N19" s="4">
        <v>0</v>
      </c>
      <c r="O19" s="1" t="s">
        <v>10</v>
      </c>
      <c r="P19" s="14"/>
      <c r="AM19" s="8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</row>
    <row r="20" spans="1:51" s="7" customFormat="1" ht="19.5" customHeight="1">
      <c r="A20" s="15" t="s">
        <v>61</v>
      </c>
      <c r="B20" s="16">
        <f>SUM(C20:N20)</f>
        <v>77</v>
      </c>
      <c r="C20" s="16">
        <v>12</v>
      </c>
      <c r="D20" s="16">
        <v>16</v>
      </c>
      <c r="E20" s="16">
        <v>4</v>
      </c>
      <c r="F20" s="16">
        <v>0</v>
      </c>
      <c r="G20" s="16">
        <v>0</v>
      </c>
      <c r="H20" s="16">
        <v>0</v>
      </c>
      <c r="I20" s="16">
        <v>0</v>
      </c>
      <c r="J20" s="16">
        <v>2</v>
      </c>
      <c r="K20" s="16">
        <v>3</v>
      </c>
      <c r="L20" s="16">
        <v>7</v>
      </c>
      <c r="M20" s="16">
        <v>17</v>
      </c>
      <c r="N20" s="16">
        <v>16</v>
      </c>
      <c r="O20" s="17" t="s">
        <v>62</v>
      </c>
      <c r="P20" s="14"/>
      <c r="AM20" s="8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</row>
    <row r="21" spans="1:51" s="11" customFormat="1" ht="15.75" customHeight="1">
      <c r="A21" s="2" t="s">
        <v>11</v>
      </c>
      <c r="B21" s="23"/>
      <c r="C21" s="24"/>
      <c r="D21" s="23" t="s">
        <v>63</v>
      </c>
      <c r="E21" s="23"/>
      <c r="F21" s="23"/>
      <c r="G21" s="23"/>
      <c r="H21" s="23"/>
      <c r="I21" s="23"/>
      <c r="J21" s="23"/>
      <c r="K21" s="23"/>
      <c r="L21" s="23"/>
      <c r="M21" s="25"/>
      <c r="N21" s="25"/>
      <c r="O21" s="18" t="s">
        <v>13</v>
      </c>
      <c r="P21" s="12"/>
      <c r="AM21" s="8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</row>
    <row r="22" spans="1:51" s="11" customFormat="1" ht="13.5" customHeight="1">
      <c r="A22" s="26" t="s">
        <v>64</v>
      </c>
      <c r="B22" s="23"/>
      <c r="C22" s="24"/>
      <c r="D22" s="23"/>
      <c r="E22" s="23"/>
      <c r="F22" s="23"/>
      <c r="G22" s="23"/>
      <c r="H22" s="23"/>
      <c r="I22" s="23"/>
      <c r="J22" s="23"/>
      <c r="K22" s="23"/>
      <c r="L22" s="23"/>
      <c r="M22" s="27" t="s">
        <v>65</v>
      </c>
      <c r="N22" s="27"/>
      <c r="O22" s="27"/>
      <c r="AM22" s="13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</row>
    <row r="23" spans="1:51">
      <c r="A23" s="28" t="s">
        <v>68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spans="1:51">
      <c r="A24" s="30" t="s">
        <v>69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</row>
    <row r="27" spans="1:51">
      <c r="AM27" s="3"/>
      <c r="AN27" s="21" t="s">
        <v>14</v>
      </c>
      <c r="AO27" s="21" t="s">
        <v>15</v>
      </c>
      <c r="AP27" s="21" t="s">
        <v>16</v>
      </c>
      <c r="AQ27" s="21" t="s">
        <v>17</v>
      </c>
      <c r="AR27" s="21" t="s">
        <v>12</v>
      </c>
      <c r="AS27" s="21" t="s">
        <v>18</v>
      </c>
      <c r="AT27" s="21" t="s">
        <v>19</v>
      </c>
      <c r="AU27" s="21" t="s">
        <v>20</v>
      </c>
      <c r="AV27" s="21" t="s">
        <v>21</v>
      </c>
      <c r="AW27" s="21" t="s">
        <v>22</v>
      </c>
      <c r="AX27" s="21" t="s">
        <v>23</v>
      </c>
      <c r="AY27" s="21" t="s">
        <v>24</v>
      </c>
    </row>
    <row r="28" spans="1:51">
      <c r="A28" s="3"/>
      <c r="B28" s="4"/>
      <c r="AM28" s="8" t="s">
        <v>40</v>
      </c>
      <c r="AN28" s="9">
        <f>C6</f>
        <v>28280</v>
      </c>
      <c r="AO28" s="9">
        <f t="shared" ref="AO28:AY32" si="4">D6</f>
        <v>23141</v>
      </c>
      <c r="AP28" s="9">
        <f t="shared" si="4"/>
        <v>12233</v>
      </c>
      <c r="AQ28" s="9">
        <f t="shared" si="4"/>
        <v>0</v>
      </c>
      <c r="AR28" s="9">
        <f t="shared" si="4"/>
        <v>23</v>
      </c>
      <c r="AS28" s="9">
        <f t="shared" si="4"/>
        <v>0</v>
      </c>
      <c r="AT28" s="9">
        <f t="shared" si="4"/>
        <v>240</v>
      </c>
      <c r="AU28" s="9">
        <f t="shared" si="4"/>
        <v>1197</v>
      </c>
      <c r="AV28" s="9">
        <f t="shared" si="4"/>
        <v>2929</v>
      </c>
      <c r="AW28" s="9">
        <f t="shared" si="4"/>
        <v>8581</v>
      </c>
      <c r="AX28" s="9">
        <f t="shared" si="4"/>
        <v>12697</v>
      </c>
      <c r="AY28" s="9">
        <f t="shared" si="4"/>
        <v>31062</v>
      </c>
    </row>
    <row r="29" spans="1:51">
      <c r="A29" s="3"/>
      <c r="B29" s="4"/>
      <c r="AM29" s="8" t="s">
        <v>42</v>
      </c>
      <c r="AN29" s="9">
        <f>C7</f>
        <v>15264</v>
      </c>
      <c r="AO29" s="9">
        <f t="shared" si="4"/>
        <v>21059</v>
      </c>
      <c r="AP29" s="9">
        <f t="shared" si="4"/>
        <v>8978</v>
      </c>
      <c r="AQ29" s="9">
        <f t="shared" si="4"/>
        <v>0</v>
      </c>
      <c r="AR29" s="9">
        <f t="shared" si="4"/>
        <v>0</v>
      </c>
      <c r="AS29" s="9">
        <f t="shared" si="4"/>
        <v>1</v>
      </c>
      <c r="AT29" s="9">
        <f t="shared" si="4"/>
        <v>307</v>
      </c>
      <c r="AU29" s="9">
        <f t="shared" si="4"/>
        <v>795</v>
      </c>
      <c r="AV29" s="9">
        <f t="shared" si="4"/>
        <v>728</v>
      </c>
      <c r="AW29" s="9">
        <f t="shared" si="4"/>
        <v>2216</v>
      </c>
      <c r="AX29" s="9">
        <f t="shared" si="4"/>
        <v>2469</v>
      </c>
      <c r="AY29" s="9">
        <f t="shared" si="4"/>
        <v>16005</v>
      </c>
    </row>
    <row r="30" spans="1:51">
      <c r="A30" s="3"/>
      <c r="B30" s="4"/>
      <c r="AM30" s="8" t="s">
        <v>44</v>
      </c>
      <c r="AN30" s="9">
        <f>C8</f>
        <v>24902</v>
      </c>
      <c r="AO30" s="9">
        <f t="shared" si="4"/>
        <v>24809</v>
      </c>
      <c r="AP30" s="9">
        <f t="shared" si="4"/>
        <v>5700</v>
      </c>
      <c r="AQ30" s="9">
        <f t="shared" si="4"/>
        <v>0</v>
      </c>
      <c r="AR30" s="9">
        <f t="shared" si="4"/>
        <v>1</v>
      </c>
      <c r="AS30" s="9">
        <f t="shared" si="4"/>
        <v>0</v>
      </c>
      <c r="AT30" s="9">
        <f t="shared" si="4"/>
        <v>153</v>
      </c>
      <c r="AU30" s="9">
        <f t="shared" si="4"/>
        <v>939</v>
      </c>
      <c r="AV30" s="9">
        <f t="shared" si="4"/>
        <v>786</v>
      </c>
      <c r="AW30" s="9">
        <f t="shared" si="4"/>
        <v>1219</v>
      </c>
      <c r="AX30" s="9">
        <f t="shared" si="4"/>
        <v>1209</v>
      </c>
      <c r="AY30" s="9">
        <f t="shared" si="4"/>
        <v>3432</v>
      </c>
    </row>
    <row r="31" spans="1:51">
      <c r="A31" s="3"/>
      <c r="B31" s="3"/>
      <c r="C31" s="3"/>
      <c r="AM31" s="8" t="s">
        <v>46</v>
      </c>
      <c r="AN31" s="9">
        <f>C9</f>
        <v>24416</v>
      </c>
      <c r="AO31" s="9">
        <f t="shared" si="4"/>
        <v>32016</v>
      </c>
      <c r="AP31" s="9">
        <f t="shared" si="4"/>
        <v>14672</v>
      </c>
      <c r="AQ31" s="9">
        <f t="shared" si="4"/>
        <v>0</v>
      </c>
      <c r="AR31" s="9">
        <f t="shared" si="4"/>
        <v>13</v>
      </c>
      <c r="AS31" s="9">
        <f t="shared" si="4"/>
        <v>0</v>
      </c>
      <c r="AT31" s="9">
        <f t="shared" si="4"/>
        <v>298</v>
      </c>
      <c r="AU31" s="9">
        <f t="shared" si="4"/>
        <v>771</v>
      </c>
      <c r="AV31" s="9">
        <f t="shared" si="4"/>
        <v>831</v>
      </c>
      <c r="AW31" s="9">
        <f t="shared" si="4"/>
        <v>2490</v>
      </c>
      <c r="AX31" s="9">
        <f t="shared" si="4"/>
        <v>3907</v>
      </c>
      <c r="AY31" s="9">
        <f t="shared" si="4"/>
        <v>12282</v>
      </c>
    </row>
    <row r="32" spans="1:51" ht="25.5">
      <c r="A32" s="3"/>
      <c r="B32" s="3"/>
      <c r="C32" s="3"/>
      <c r="AM32" s="13" t="s">
        <v>48</v>
      </c>
      <c r="AN32" s="9">
        <f>C10</f>
        <v>1863</v>
      </c>
      <c r="AO32" s="9">
        <f t="shared" si="4"/>
        <v>1323</v>
      </c>
      <c r="AP32" s="9">
        <f t="shared" si="4"/>
        <v>432</v>
      </c>
      <c r="AQ32" s="9">
        <f t="shared" si="4"/>
        <v>0</v>
      </c>
      <c r="AR32" s="9">
        <f t="shared" si="4"/>
        <v>0</v>
      </c>
      <c r="AS32" s="9">
        <f t="shared" si="4"/>
        <v>0</v>
      </c>
      <c r="AT32" s="9">
        <f t="shared" si="4"/>
        <v>46</v>
      </c>
      <c r="AU32" s="9">
        <f t="shared" si="4"/>
        <v>126</v>
      </c>
      <c r="AV32" s="9">
        <f t="shared" si="4"/>
        <v>245</v>
      </c>
      <c r="AW32" s="9">
        <f t="shared" si="4"/>
        <v>317</v>
      </c>
      <c r="AX32" s="9">
        <f t="shared" si="4"/>
        <v>240</v>
      </c>
      <c r="AY32" s="9">
        <f t="shared" si="4"/>
        <v>706</v>
      </c>
    </row>
    <row r="33" spans="1:51">
      <c r="A33" s="3"/>
      <c r="B33" s="3"/>
      <c r="C33" s="3"/>
    </row>
    <row r="34" spans="1:51">
      <c r="A34" s="3"/>
      <c r="B34" s="3"/>
      <c r="C34" s="3"/>
    </row>
    <row r="35" spans="1:51">
      <c r="A35" s="3"/>
      <c r="B35" s="3"/>
      <c r="C35" s="3"/>
    </row>
    <row r="36" spans="1:51">
      <c r="AM36" s="3"/>
      <c r="AN36" s="21" t="s">
        <v>14</v>
      </c>
      <c r="AO36" s="21" t="s">
        <v>15</v>
      </c>
      <c r="AP36" s="21" t="s">
        <v>16</v>
      </c>
      <c r="AQ36" s="21" t="s">
        <v>17</v>
      </c>
      <c r="AR36" s="21" t="s">
        <v>12</v>
      </c>
      <c r="AS36" s="21" t="s">
        <v>18</v>
      </c>
      <c r="AT36" s="21" t="s">
        <v>19</v>
      </c>
      <c r="AU36" s="21" t="s">
        <v>20</v>
      </c>
      <c r="AV36" s="21" t="s">
        <v>21</v>
      </c>
      <c r="AW36" s="21" t="s">
        <v>22</v>
      </c>
      <c r="AX36" s="21" t="s">
        <v>23</v>
      </c>
      <c r="AY36" s="21" t="s">
        <v>24</v>
      </c>
    </row>
    <row r="37" spans="1:51">
      <c r="AM37" s="8" t="s">
        <v>50</v>
      </c>
      <c r="AN37" s="9">
        <f>C12</f>
        <v>38543</v>
      </c>
      <c r="AO37" s="9">
        <f t="shared" ref="AO37:AY39" si="5">D12</f>
        <v>9652</v>
      </c>
      <c r="AP37" s="9">
        <f t="shared" si="5"/>
        <v>2383</v>
      </c>
      <c r="AQ37" s="9">
        <f t="shared" si="5"/>
        <v>0</v>
      </c>
      <c r="AR37" s="9">
        <f t="shared" si="5"/>
        <v>0</v>
      </c>
      <c r="AS37" s="9">
        <f t="shared" si="5"/>
        <v>0</v>
      </c>
      <c r="AT37" s="9">
        <f t="shared" si="5"/>
        <v>27</v>
      </c>
      <c r="AU37" s="9">
        <f t="shared" si="5"/>
        <v>56</v>
      </c>
      <c r="AV37" s="9">
        <f t="shared" si="5"/>
        <v>63</v>
      </c>
      <c r="AW37" s="9">
        <f t="shared" si="5"/>
        <v>90</v>
      </c>
      <c r="AX37" s="9">
        <f t="shared" si="5"/>
        <v>133</v>
      </c>
      <c r="AY37" s="9">
        <f t="shared" si="5"/>
        <v>372</v>
      </c>
    </row>
    <row r="38" spans="1:51">
      <c r="AM38" s="8" t="s">
        <v>52</v>
      </c>
      <c r="AN38" s="9">
        <f>C13</f>
        <v>4198</v>
      </c>
      <c r="AO38" s="9">
        <f t="shared" si="5"/>
        <v>4901</v>
      </c>
      <c r="AP38" s="9">
        <f t="shared" si="5"/>
        <v>2482</v>
      </c>
      <c r="AQ38" s="9">
        <f t="shared" si="5"/>
        <v>0</v>
      </c>
      <c r="AR38" s="9">
        <f t="shared" si="5"/>
        <v>0</v>
      </c>
      <c r="AS38" s="9">
        <f t="shared" si="5"/>
        <v>0</v>
      </c>
      <c r="AT38" s="9">
        <f t="shared" si="5"/>
        <v>33</v>
      </c>
      <c r="AU38" s="9">
        <f t="shared" si="5"/>
        <v>117</v>
      </c>
      <c r="AV38" s="9">
        <f t="shared" si="5"/>
        <v>74</v>
      </c>
      <c r="AW38" s="9">
        <f t="shared" si="5"/>
        <v>150</v>
      </c>
      <c r="AX38" s="9">
        <f t="shared" si="5"/>
        <v>260</v>
      </c>
      <c r="AY38" s="9">
        <f t="shared" si="5"/>
        <v>531</v>
      </c>
    </row>
    <row r="39" spans="1:51">
      <c r="AM39" s="8" t="s">
        <v>54</v>
      </c>
      <c r="AN39" s="9">
        <f>C14</f>
        <v>16021</v>
      </c>
      <c r="AO39" s="9">
        <f t="shared" si="5"/>
        <v>17232</v>
      </c>
      <c r="AP39" s="9">
        <f t="shared" si="5"/>
        <v>6088</v>
      </c>
      <c r="AQ39" s="9">
        <f t="shared" si="5"/>
        <v>12</v>
      </c>
      <c r="AR39" s="9">
        <f t="shared" si="5"/>
        <v>4</v>
      </c>
      <c r="AS39" s="9">
        <f t="shared" si="5"/>
        <v>0</v>
      </c>
      <c r="AT39" s="9">
        <f t="shared" si="5"/>
        <v>62</v>
      </c>
      <c r="AU39" s="9">
        <f t="shared" si="5"/>
        <v>372</v>
      </c>
      <c r="AV39" s="9">
        <f t="shared" si="5"/>
        <v>575</v>
      </c>
      <c r="AW39" s="9">
        <f t="shared" si="5"/>
        <v>1887</v>
      </c>
      <c r="AX39" s="9">
        <f t="shared" si="5"/>
        <v>8165</v>
      </c>
      <c r="AY39" s="9">
        <f t="shared" si="5"/>
        <v>19796</v>
      </c>
    </row>
  </sheetData>
  <mergeCells count="3">
    <mergeCell ref="A1:O1"/>
    <mergeCell ref="A2:O2"/>
    <mergeCell ref="M22:O22"/>
  </mergeCells>
  <pageMargins left="0.7" right="0.7" top="0.75" bottom="0.75" header="0.3" footer="0.3"/>
  <pageSetup paperSize="9" scale="7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10.11</vt:lpstr>
      <vt:lpstr>'10.11'!Print_Area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2021-07-14T05:23:23Z</cp:lastPrinted>
  <dcterms:created xsi:type="dcterms:W3CDTF">2019-02-27T06:18:18Z</dcterms:created>
  <dcterms:modified xsi:type="dcterms:W3CDTF">2021-07-14T05:23:37Z</dcterms:modified>
</cp:coreProperties>
</file>