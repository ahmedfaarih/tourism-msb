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7" sheetId="7" r:id="rId1"/>
  </sheets>
  <externalReferences>
    <externalReference r:id="rId2"/>
  </externalReferences>
  <definedNames>
    <definedName name="_xlnm.Print_Area" localSheetId="0">'10.7'!$A$1:$K$41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7" l="1"/>
  <c r="C6" i="7"/>
  <c r="D6" i="7"/>
  <c r="E6" i="7"/>
  <c r="F6" i="7"/>
  <c r="G6" i="7"/>
  <c r="H6" i="7"/>
  <c r="I6" i="7"/>
  <c r="J6" i="7"/>
  <c r="K6" i="7"/>
  <c r="AD17" i="7" l="1"/>
  <c r="AE17" i="7"/>
  <c r="AD18" i="7"/>
  <c r="AE18" i="7"/>
  <c r="AD19" i="7"/>
  <c r="AE19" i="7"/>
  <c r="AD20" i="7"/>
  <c r="AE20" i="7"/>
  <c r="AD21" i="7"/>
  <c r="AE21" i="7"/>
  <c r="AD22" i="7"/>
  <c r="AE22" i="7"/>
  <c r="AD23" i="7"/>
  <c r="AE23" i="7"/>
  <c r="AD24" i="7"/>
  <c r="AE24" i="7"/>
  <c r="AD25" i="7"/>
  <c r="AE25" i="7"/>
  <c r="AD26" i="7"/>
  <c r="AE26" i="7"/>
  <c r="AD27" i="7"/>
  <c r="AE27" i="7"/>
  <c r="AE16" i="7"/>
  <c r="AD16" i="7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<sst xmlns="http://schemas.openxmlformats.org/spreadsheetml/2006/main" count="54" uniqueCount="42">
  <si>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</si>
  <si>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</si>
  <si>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</si>
  <si>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</si>
  <si>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</si>
  <si>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</si>
  <si>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</si>
  <si>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</si>
  <si>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</si>
  <si>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</si>
  <si>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</si>
  <si>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</si>
  <si>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</si>
  <si>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</si>
  <si>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</si>
  <si>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</si>
  <si>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</si>
  <si>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</si>
  <si>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</si>
  <si>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</si>
  <si>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</si>
  <si>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</si>
  <si>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</si>
  <si>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</si>
  <si>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</si>
  <si>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</si>
  <si>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</si>
  <si>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</si>
  <si>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</si>
  <si>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</si>
  <si>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</si>
  <si>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</si>
  <si>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</si>
  <si>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</si>
  <si>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</si>
  <si>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</si>
  <si>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</si>
  <si>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</si>
  <si>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10.7: BED CAPACITY AND UTILIZATION OF SAFARI VESSELS BY MONTH,  2019 - 2020</t>
  </si>
  <si>
    <t>2020 - 2019  ,urwvcnim unuverukcnunEb wgWj egudnea iaWa wgWj eg udnea egukwtudnwLua IrWfws uhwmcswmikea : 10.7 ulwvWt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</si>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</sst>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8"/>
      <color theme="1"/>
      <name val="A_Faseyha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167" fontId="9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Border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164" fontId="19" fillId="2" borderId="0" xfId="0" applyNumberFormat="1" applyFont="1" applyFill="1" applyBorder="1" applyAlignment="1">
      <alignment horizontal="center"/>
    </xf>
    <xf numFmtId="0" fontId="20" fillId="2" borderId="0" xfId="0" applyFont="1" applyFill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indent="3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2" borderId="13" xfId="0" applyFont="1" applyFill="1" applyBorder="1" applyAlignment="1" applyProtection="1">
      <alignment horizontal="center" vertical="center"/>
    </xf>
  </cellXfs>
  <cellStyles count="21">
    <cellStyle name="1" xfId="5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10.11:  Bed capacity and beds in operation in safari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400" b="1" i="0" baseline="0">
                <a:effectLst/>
              </a:rPr>
              <a:t> 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9912007157421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'10.7'!$AD$15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'10.7'!$AC$16:$AC$27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'10.7'!$AD$16:$AD$27</c:f>
              <c:numCache>
                <c:formatCode>#,##0</c:formatCode>
                <c:ptCount val="12"/>
                <c:pt idx="0">
                  <c:v>2997</c:v>
                </c:pt>
                <c:pt idx="1">
                  <c:v>3006</c:v>
                </c:pt>
                <c:pt idx="2">
                  <c:v>3006</c:v>
                </c:pt>
                <c:pt idx="3">
                  <c:v>3006</c:v>
                </c:pt>
                <c:pt idx="4">
                  <c:v>3006</c:v>
                </c:pt>
                <c:pt idx="5">
                  <c:v>2982</c:v>
                </c:pt>
                <c:pt idx="6">
                  <c:v>2905</c:v>
                </c:pt>
                <c:pt idx="7">
                  <c:v>2916</c:v>
                </c:pt>
                <c:pt idx="8">
                  <c:v>2876</c:v>
                </c:pt>
                <c:pt idx="9">
                  <c:v>2858</c:v>
                </c:pt>
                <c:pt idx="10">
                  <c:v>2859</c:v>
                </c:pt>
                <c:pt idx="11">
                  <c:v>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9-46A5-969C-EA5E831585B5}"/>
            </c:ext>
          </c:extLst>
        </c:ser>
        <c:ser>
          <c:idx val="1"/>
          <c:order val="1"/>
          <c:tx>
            <c:strRef>
              <c:f>'10.7'!$AE$15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'10.7'!$AC$16:$AC$27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'10.7'!$AE$16:$AE$27</c:f>
              <c:numCache>
                <c:formatCode>#,##0</c:formatCode>
                <c:ptCount val="12"/>
                <c:pt idx="0">
                  <c:v>2970</c:v>
                </c:pt>
                <c:pt idx="1">
                  <c:v>2979</c:v>
                </c:pt>
                <c:pt idx="2">
                  <c:v>3006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197</c:v>
                </c:pt>
                <c:pt idx="7">
                  <c:v>1409</c:v>
                </c:pt>
                <c:pt idx="8">
                  <c:v>2086</c:v>
                </c:pt>
                <c:pt idx="9">
                  <c:v>2286</c:v>
                </c:pt>
                <c:pt idx="10">
                  <c:v>2330</c:v>
                </c:pt>
                <c:pt idx="11">
                  <c:v>2530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9-46A5-969C-EA5E8315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0188944210707291"/>
          <c:y val="0.16496038561810514"/>
          <c:w val="0.37889986285826799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385535</xdr:colOff>
      <xdr:row>21</xdr:row>
      <xdr:rowOff>9071</xdr:rowOff>
    </xdr:from>
    <xdr:to>
      <xdr:col>9</xdr:col>
      <xdr:colOff>646339</xdr:colOff>
      <xdr:row>39</xdr:row>
      <xdr:rowOff>48374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71"/>
  <sheetViews>
    <sheetView tabSelected="1" zoomScaleNormal="100" zoomScaleSheetLayoutView="106" workbookViewId="0">
      <selection activeCell="M8" sqref="M8"/>
    </sheetView>
  </sheetViews>
  <sheetFormatPr defaultColWidth="9.140625" defaultRowHeight="12"/>
  <cols>
    <col min="1" max="1" width="13.7109375" style="3" customWidth="1"/>
    <col min="2" max="11" width="14.7109375" style="3" customWidth="1"/>
    <col min="12" max="12" width="18.28515625" style="3" customWidth="1"/>
    <col min="13" max="16384" width="9.140625" style="3"/>
  </cols>
  <sheetData>
    <row r="1" spans="1:31" ht="17.25" customHeight="1">
      <c r="A1" s="43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31" ht="24" customHeight="1">
      <c r="A2" s="42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22"/>
    </row>
    <row r="3" spans="1:31" s="4" customFormat="1" ht="18.75" customHeight="1">
      <c r="A3" s="37" t="s">
        <v>2</v>
      </c>
      <c r="B3" s="40">
        <v>2019</v>
      </c>
      <c r="C3" s="41"/>
      <c r="D3" s="41"/>
      <c r="E3" s="41"/>
      <c r="F3" s="44"/>
      <c r="G3" s="40">
        <v>2020</v>
      </c>
      <c r="H3" s="41"/>
      <c r="I3" s="41"/>
      <c r="J3" s="41"/>
      <c r="K3" s="41"/>
      <c r="L3" s="26"/>
    </row>
    <row r="4" spans="1:31" s="4" customFormat="1" ht="52.5" customHeight="1">
      <c r="A4" s="38"/>
      <c r="B4" s="5" t="s">
        <v>3</v>
      </c>
      <c r="C4" s="6" t="s">
        <v>4</v>
      </c>
      <c r="D4" s="6" t="s">
        <v>1</v>
      </c>
      <c r="E4" s="6" t="s">
        <v>5</v>
      </c>
      <c r="F4" s="6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  <c r="L4" s="26"/>
    </row>
    <row r="5" spans="1:31" s="4" customFormat="1" ht="46.5" customHeight="1">
      <c r="A5" s="39"/>
      <c r="B5" s="34" t="s">
        <v>11</v>
      </c>
      <c r="C5" s="33" t="s">
        <v>7</v>
      </c>
      <c r="D5" s="33" t="s">
        <v>8</v>
      </c>
      <c r="E5" s="33" t="s">
        <v>9</v>
      </c>
      <c r="F5" s="33" t="s">
        <v>10</v>
      </c>
      <c r="G5" s="34" t="s">
        <v>11</v>
      </c>
      <c r="H5" s="33" t="s">
        <v>7</v>
      </c>
      <c r="I5" s="33" t="s">
        <v>8</v>
      </c>
      <c r="J5" s="33" t="s">
        <v>9</v>
      </c>
      <c r="K5" s="33" t="s">
        <v>10</v>
      </c>
      <c r="L5" s="26"/>
    </row>
    <row r="6" spans="1:31" s="4" customFormat="1" ht="16.5" customHeight="1">
      <c r="A6" s="7" t="s">
        <v>12</v>
      </c>
      <c r="B6" s="8">
        <f>AVERAGE(B7:B18)</f>
        <v>2922.5</v>
      </c>
      <c r="C6" s="9">
        <f>AVERAGE(C7:C18)</f>
        <v>2905.5833333333335</v>
      </c>
      <c r="D6" s="10">
        <f>AVERAGE(D7:D18)</f>
        <v>99.421930349636639</v>
      </c>
      <c r="E6" s="10">
        <f>AVERAGE(E7:E18)</f>
        <v>26.153650176008821</v>
      </c>
      <c r="F6" s="28">
        <f>SUM(F7:F18)</f>
        <v>276239.50265690178</v>
      </c>
      <c r="G6" s="8">
        <f>AVERAGE(G7:G18)</f>
        <v>2922.4166666666665</v>
      </c>
      <c r="H6" s="9">
        <f>AVERAGE(H7:H18)</f>
        <v>1651.4166666666667</v>
      </c>
      <c r="I6" s="10">
        <f>AVERAGE(I7:I18)</f>
        <v>35.745577925251418</v>
      </c>
      <c r="J6" s="10">
        <f>AVERAGE(J7:J18)</f>
        <v>18.371216403823603</v>
      </c>
      <c r="K6" s="28">
        <f>SUM(K7:K18)</f>
        <v>118380.72272189851</v>
      </c>
      <c r="L6" s="26"/>
    </row>
    <row r="7" spans="1:31" s="4" customFormat="1" ht="16.5" customHeight="1">
      <c r="A7" s="11" t="s">
        <v>13</v>
      </c>
      <c r="B7" s="12">
        <v>2879</v>
      </c>
      <c r="C7" s="2">
        <v>2865</v>
      </c>
      <c r="D7" s="13">
        <v>99.51372004168114</v>
      </c>
      <c r="E7" s="13">
        <v>32.349115504682615</v>
      </c>
      <c r="F7" s="29">
        <v>28730.866935483871</v>
      </c>
      <c r="G7" s="12">
        <v>2997</v>
      </c>
      <c r="H7" s="2">
        <v>2970</v>
      </c>
      <c r="I7" s="13">
        <v>99.89926463181223</v>
      </c>
      <c r="J7" s="13">
        <v>48.320666554073071</v>
      </c>
      <c r="K7" s="29">
        <v>31667.825873093949</v>
      </c>
      <c r="L7" s="26"/>
    </row>
    <row r="8" spans="1:31" s="4" customFormat="1" ht="16.5" customHeight="1">
      <c r="A8" s="11" t="s">
        <v>14</v>
      </c>
      <c r="B8" s="12">
        <v>2879</v>
      </c>
      <c r="C8" s="2">
        <v>2865</v>
      </c>
      <c r="D8" s="13">
        <v>99.51372004168114</v>
      </c>
      <c r="E8" s="13">
        <v>40.094851929621314</v>
      </c>
      <c r="F8" s="29">
        <v>32164.090217942219</v>
      </c>
      <c r="G8" s="12">
        <v>3006</v>
      </c>
      <c r="H8" s="2">
        <v>2979</v>
      </c>
      <c r="I8" s="13">
        <v>99.900368636046636</v>
      </c>
      <c r="J8" s="13">
        <v>43.164473200499963</v>
      </c>
      <c r="K8" s="29">
        <v>33893.245781777281</v>
      </c>
      <c r="L8" s="26"/>
    </row>
    <row r="9" spans="1:31" s="4" customFormat="1" ht="16.5" customHeight="1">
      <c r="A9" s="11" t="s">
        <v>15</v>
      </c>
      <c r="B9" s="12">
        <v>2901</v>
      </c>
      <c r="C9" s="2">
        <v>2887</v>
      </c>
      <c r="D9" s="13">
        <v>99.517407790417096</v>
      </c>
      <c r="E9" s="13">
        <v>40.852166634472987</v>
      </c>
      <c r="F9" s="29">
        <v>36561.463572854293</v>
      </c>
      <c r="G9" s="12">
        <v>3006</v>
      </c>
      <c r="H9" s="2">
        <v>3006</v>
      </c>
      <c r="I9" s="13">
        <v>99.821658575250169</v>
      </c>
      <c r="J9" s="13">
        <v>19.435525895543716</v>
      </c>
      <c r="K9" s="29">
        <v>18124.181225554108</v>
      </c>
      <c r="L9" s="26"/>
    </row>
    <row r="10" spans="1:31" s="4" customFormat="1" ht="16.5" customHeight="1">
      <c r="A10" s="11" t="s">
        <v>16</v>
      </c>
      <c r="B10" s="12">
        <v>2925</v>
      </c>
      <c r="C10" s="2">
        <v>2911</v>
      </c>
      <c r="D10" s="13">
        <v>99.521367521367523</v>
      </c>
      <c r="E10" s="13">
        <v>36.6345690900337</v>
      </c>
      <c r="F10" s="29">
        <v>31992.969186326431</v>
      </c>
      <c r="G10" s="12">
        <v>3006</v>
      </c>
      <c r="H10" s="2">
        <v>24</v>
      </c>
      <c r="I10" s="13">
        <v>2.6354899435252155</v>
      </c>
      <c r="J10" s="13">
        <v>7.9072681704260654</v>
      </c>
      <c r="K10" s="29">
        <v>30</v>
      </c>
      <c r="L10" s="26"/>
    </row>
    <row r="11" spans="1:31" s="4" customFormat="1" ht="16.5" customHeight="1">
      <c r="A11" s="11" t="s">
        <v>17</v>
      </c>
      <c r="B11" s="12">
        <v>2925</v>
      </c>
      <c r="C11" s="2">
        <v>2911</v>
      </c>
      <c r="D11" s="13">
        <v>99.521367521367523</v>
      </c>
      <c r="E11" s="13">
        <v>20.019073751840452</v>
      </c>
      <c r="F11" s="29">
        <v>18065.412344398341</v>
      </c>
      <c r="G11" s="12">
        <v>3006</v>
      </c>
      <c r="H11" s="2">
        <v>0</v>
      </c>
      <c r="I11" s="13">
        <v>0.73318141286039828</v>
      </c>
      <c r="J11" s="13">
        <v>4.7079337401918044</v>
      </c>
      <c r="K11" s="29">
        <v>0</v>
      </c>
      <c r="L11" s="26"/>
    </row>
    <row r="12" spans="1:31" s="4" customFormat="1" ht="16.5" customHeight="1">
      <c r="A12" s="11" t="s">
        <v>18</v>
      </c>
      <c r="B12" s="12">
        <v>2925</v>
      </c>
      <c r="C12" s="2">
        <v>2911</v>
      </c>
      <c r="D12" s="13">
        <v>99.521367521367523</v>
      </c>
      <c r="E12" s="13">
        <v>8.6579432981043443</v>
      </c>
      <c r="F12" s="29">
        <v>7560.9818822345242</v>
      </c>
      <c r="G12" s="12">
        <v>2982</v>
      </c>
      <c r="H12" s="2">
        <v>0</v>
      </c>
      <c r="I12" s="13">
        <v>0.73376301437778879</v>
      </c>
      <c r="J12" s="13">
        <v>3.1081081081081083</v>
      </c>
      <c r="K12" s="29">
        <v>0</v>
      </c>
      <c r="L12" s="26"/>
    </row>
    <row r="13" spans="1:31" s="4" customFormat="1" ht="16.5" customHeight="1">
      <c r="A13" s="11" t="s">
        <v>19</v>
      </c>
      <c r="B13" s="12">
        <v>2903</v>
      </c>
      <c r="C13" s="2">
        <v>2889</v>
      </c>
      <c r="D13" s="13">
        <v>99.517740268687561</v>
      </c>
      <c r="E13" s="13">
        <v>11.267037163525725</v>
      </c>
      <c r="F13" s="29">
        <v>10090.645813282003</v>
      </c>
      <c r="G13" s="12">
        <v>2905</v>
      </c>
      <c r="H13" s="2">
        <v>197</v>
      </c>
      <c r="I13" s="13">
        <v>1.8989219661754524</v>
      </c>
      <c r="J13" s="13">
        <v>6.13239247311828</v>
      </c>
      <c r="K13" s="29">
        <v>215</v>
      </c>
      <c r="L13" s="26"/>
    </row>
    <row r="14" spans="1:31" s="4" customFormat="1" ht="16.5" customHeight="1">
      <c r="A14" s="11" t="s">
        <v>20</v>
      </c>
      <c r="B14" s="12">
        <v>2926</v>
      </c>
      <c r="C14" s="2">
        <v>2905</v>
      </c>
      <c r="D14" s="13">
        <v>99.282296650717711</v>
      </c>
      <c r="E14" s="13">
        <v>20.965340590730811</v>
      </c>
      <c r="F14" s="29">
        <v>18880.337468982631</v>
      </c>
      <c r="G14" s="12">
        <v>2916</v>
      </c>
      <c r="H14" s="2">
        <v>1409</v>
      </c>
      <c r="I14" s="13">
        <v>6.6712720813184649</v>
      </c>
      <c r="J14" s="13">
        <v>22.620967741935484</v>
      </c>
      <c r="K14" s="29">
        <v>2303.9451007644197</v>
      </c>
      <c r="L14" s="26"/>
    </row>
    <row r="15" spans="1:31" s="4" customFormat="1" ht="16.5" customHeight="1">
      <c r="A15" s="11" t="s">
        <v>21</v>
      </c>
      <c r="B15" s="12">
        <v>2930</v>
      </c>
      <c r="C15" s="2">
        <v>2909</v>
      </c>
      <c r="D15" s="13">
        <v>99.283276450511948</v>
      </c>
      <c r="E15" s="13">
        <v>23.062305295950157</v>
      </c>
      <c r="F15" s="29">
        <v>20126.4738317757</v>
      </c>
      <c r="G15" s="12">
        <v>2876</v>
      </c>
      <c r="H15" s="2">
        <v>2086</v>
      </c>
      <c r="I15" s="13">
        <v>9.9060800790904597</v>
      </c>
      <c r="J15" s="13">
        <v>13.274231678486997</v>
      </c>
      <c r="K15" s="29">
        <v>4475.1150957854406</v>
      </c>
      <c r="L15" s="26"/>
      <c r="AC15" s="3"/>
      <c r="AD15" s="19" t="s">
        <v>11</v>
      </c>
      <c r="AE15" s="19" t="s">
        <v>26</v>
      </c>
    </row>
    <row r="16" spans="1:31" s="4" customFormat="1" ht="16.5" customHeight="1">
      <c r="A16" s="11" t="s">
        <v>22</v>
      </c>
      <c r="B16" s="12">
        <v>2957</v>
      </c>
      <c r="C16" s="2">
        <v>2936</v>
      </c>
      <c r="D16" s="13">
        <v>99.289820764288123</v>
      </c>
      <c r="E16" s="13">
        <v>25.478426568667484</v>
      </c>
      <c r="F16" s="29">
        <v>23189.444725738398</v>
      </c>
      <c r="G16" s="12">
        <v>2858</v>
      </c>
      <c r="H16" s="2">
        <v>2286</v>
      </c>
      <c r="I16" s="13">
        <v>21.669388147152048</v>
      </c>
      <c r="J16" s="13">
        <v>13.477684489615555</v>
      </c>
      <c r="K16" s="29">
        <v>7406.5844471445926</v>
      </c>
      <c r="L16" s="26"/>
      <c r="AC16" s="20" t="s">
        <v>27</v>
      </c>
      <c r="AD16" s="12">
        <f>G7</f>
        <v>2997</v>
      </c>
      <c r="AE16" s="12">
        <f>H7</f>
        <v>2970</v>
      </c>
    </row>
    <row r="17" spans="1:31" s="4" customFormat="1" ht="16.5" customHeight="1">
      <c r="A17" s="14" t="s">
        <v>23</v>
      </c>
      <c r="B17" s="12">
        <v>2957</v>
      </c>
      <c r="C17" s="2">
        <v>2936</v>
      </c>
      <c r="D17" s="13">
        <v>99.289820764288123</v>
      </c>
      <c r="E17" s="13">
        <v>25.448536355051939</v>
      </c>
      <c r="F17" s="29">
        <v>22415.070821529745</v>
      </c>
      <c r="G17" s="12">
        <v>2859</v>
      </c>
      <c r="H17" s="2">
        <v>2330</v>
      </c>
      <c r="I17" s="13">
        <v>32.984343482854669</v>
      </c>
      <c r="J17" s="13">
        <v>14.278252611585945</v>
      </c>
      <c r="K17" s="29">
        <v>7804.5159194282005</v>
      </c>
      <c r="L17" s="26"/>
      <c r="AC17" s="20" t="s">
        <v>28</v>
      </c>
      <c r="AD17" s="12">
        <f>G8</f>
        <v>3006</v>
      </c>
      <c r="AE17" s="12">
        <f>H8</f>
        <v>2979</v>
      </c>
    </row>
    <row r="18" spans="1:31" s="4" customFormat="1" ht="16.5" customHeight="1">
      <c r="A18" s="15" t="s">
        <v>24</v>
      </c>
      <c r="B18" s="16">
        <v>2963</v>
      </c>
      <c r="C18" s="17">
        <v>2942</v>
      </c>
      <c r="D18" s="18">
        <v>99.291258859264261</v>
      </c>
      <c r="E18" s="18">
        <v>29.014435929424348</v>
      </c>
      <c r="F18" s="30">
        <v>26461.745856353591</v>
      </c>
      <c r="G18" s="16">
        <v>2652</v>
      </c>
      <c r="H18" s="17">
        <v>2530</v>
      </c>
      <c r="I18" s="18">
        <v>52.09320313255342</v>
      </c>
      <c r="J18" s="18">
        <v>24.027092182298244</v>
      </c>
      <c r="K18" s="30">
        <v>12460.309278350516</v>
      </c>
      <c r="L18" s="26"/>
      <c r="AC18" s="20" t="s">
        <v>29</v>
      </c>
      <c r="AD18" s="12">
        <f>G9</f>
        <v>3006</v>
      </c>
      <c r="AE18" s="12">
        <f>H9</f>
        <v>3006</v>
      </c>
    </row>
    <row r="19" spans="1:31" ht="19.5" customHeight="1">
      <c r="A19" s="1" t="s">
        <v>0</v>
      </c>
      <c r="B19" s="23"/>
      <c r="C19" s="31"/>
      <c r="D19" s="31"/>
      <c r="E19" s="31"/>
      <c r="F19" s="32"/>
      <c r="G19" s="23"/>
      <c r="H19" s="31"/>
      <c r="I19" s="31"/>
      <c r="J19" s="31"/>
      <c r="K19" s="32" t="s">
        <v>25</v>
      </c>
      <c r="L19" s="26"/>
      <c r="O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20" t="s">
        <v>30</v>
      </c>
      <c r="AD19" s="12">
        <f>G10</f>
        <v>3006</v>
      </c>
      <c r="AE19" s="12">
        <f>H10</f>
        <v>24</v>
      </c>
    </row>
    <row r="20" spans="1:31" ht="11.25" customHeight="1">
      <c r="A20" s="35" t="s">
        <v>40</v>
      </c>
      <c r="B20" s="23"/>
      <c r="C20" s="26"/>
      <c r="D20" s="26"/>
      <c r="E20" s="26"/>
      <c r="F20" s="26"/>
      <c r="G20" s="23"/>
      <c r="H20" s="26"/>
      <c r="I20" s="26"/>
      <c r="J20" s="26"/>
      <c r="K20" s="26"/>
      <c r="L20" s="26"/>
      <c r="O20" s="4"/>
      <c r="AC20" s="20" t="s">
        <v>17</v>
      </c>
      <c r="AD20" s="12">
        <f>G11</f>
        <v>3006</v>
      </c>
      <c r="AE20" s="12">
        <f>H11</f>
        <v>0</v>
      </c>
    </row>
    <row r="21" spans="1:31" ht="11.25" customHeight="1">
      <c r="A21" s="36" t="s">
        <v>41</v>
      </c>
      <c r="B21" s="23"/>
      <c r="C21" s="26"/>
      <c r="D21" s="26"/>
      <c r="E21" s="26"/>
      <c r="F21" s="26"/>
      <c r="G21" s="23"/>
      <c r="H21" s="26"/>
      <c r="I21" s="26"/>
      <c r="J21" s="26"/>
      <c r="K21" s="26"/>
      <c r="L21" s="26"/>
      <c r="O21" s="4"/>
      <c r="AC21" s="20" t="s">
        <v>31</v>
      </c>
      <c r="AD21" s="12">
        <f>G12</f>
        <v>2982</v>
      </c>
      <c r="AE21" s="12">
        <f>H12</f>
        <v>0</v>
      </c>
    </row>
    <row r="22" spans="1:31" ht="18.75" customHeight="1">
      <c r="A22" s="21"/>
      <c r="B22" s="23"/>
      <c r="C22" s="26"/>
      <c r="D22" s="26"/>
      <c r="E22" s="26"/>
      <c r="F22" s="26"/>
      <c r="G22" s="23"/>
      <c r="H22" s="26"/>
      <c r="I22" s="26"/>
      <c r="J22" s="26"/>
      <c r="K22" s="26"/>
      <c r="L22" s="26"/>
      <c r="O22" s="4"/>
      <c r="AC22" s="20" t="s">
        <v>32</v>
      </c>
      <c r="AD22" s="12">
        <f>G13</f>
        <v>2905</v>
      </c>
      <c r="AE22" s="12">
        <f>H13</f>
        <v>197</v>
      </c>
    </row>
    <row r="23" spans="1:31" ht="18.75" customHeight="1">
      <c r="A23" s="21"/>
      <c r="B23" s="23"/>
      <c r="C23" s="26"/>
      <c r="D23" s="26"/>
      <c r="E23" s="26"/>
      <c r="F23" s="26"/>
      <c r="G23" s="23"/>
      <c r="H23" s="26"/>
      <c r="I23" s="26"/>
      <c r="J23" s="26"/>
      <c r="K23" s="26"/>
      <c r="L23" s="26"/>
      <c r="O23" s="4"/>
      <c r="AC23" s="20" t="s">
        <v>33</v>
      </c>
      <c r="AD23" s="12">
        <f>G14</f>
        <v>2916</v>
      </c>
      <c r="AE23" s="12">
        <f>H14</f>
        <v>1409</v>
      </c>
    </row>
    <row r="24" spans="1:31" ht="18.75" customHeight="1">
      <c r="A24" s="21"/>
      <c r="B24" s="23"/>
      <c r="C24" s="26"/>
      <c r="D24" s="26"/>
      <c r="E24" s="26"/>
      <c r="F24" s="26"/>
      <c r="G24" s="23"/>
      <c r="H24" s="26"/>
      <c r="I24" s="26"/>
      <c r="J24" s="26"/>
      <c r="K24" s="26"/>
      <c r="L24" s="26"/>
      <c r="O24" s="4"/>
      <c r="AC24" s="20" t="s">
        <v>34</v>
      </c>
      <c r="AD24" s="12">
        <f>G15</f>
        <v>2876</v>
      </c>
      <c r="AE24" s="12">
        <f>H15</f>
        <v>2086</v>
      </c>
    </row>
    <row r="25" spans="1:31" ht="18.75" customHeight="1">
      <c r="A25" s="21"/>
      <c r="B25" s="25"/>
      <c r="C25" s="24"/>
      <c r="D25" s="24"/>
      <c r="E25" s="24"/>
      <c r="F25" s="24"/>
      <c r="G25" s="25"/>
      <c r="H25" s="24"/>
      <c r="I25" s="24"/>
      <c r="J25" s="24"/>
      <c r="K25" s="24"/>
      <c r="L25" s="24"/>
      <c r="O25" s="4"/>
      <c r="AC25" s="20" t="s">
        <v>35</v>
      </c>
      <c r="AD25" s="12">
        <f>G16</f>
        <v>2858</v>
      </c>
      <c r="AE25" s="12">
        <f>H16</f>
        <v>2286</v>
      </c>
    </row>
    <row r="26" spans="1:31" ht="18.75" customHeight="1">
      <c r="A26" s="21"/>
      <c r="B26" s="23"/>
      <c r="C26" s="24"/>
      <c r="D26" s="24"/>
      <c r="E26" s="24"/>
      <c r="F26" s="24"/>
      <c r="G26" s="23"/>
      <c r="H26" s="24"/>
      <c r="I26" s="24"/>
      <c r="J26" s="24"/>
      <c r="K26" s="24"/>
      <c r="L26" s="24"/>
      <c r="O26" s="4"/>
      <c r="AC26" s="20" t="s">
        <v>36</v>
      </c>
      <c r="AD26" s="12">
        <f>G17</f>
        <v>2859</v>
      </c>
      <c r="AE26" s="12">
        <f>H17</f>
        <v>2330</v>
      </c>
    </row>
    <row r="27" spans="1:31" ht="18.75" customHeight="1">
      <c r="A27" s="21"/>
      <c r="B27" s="23"/>
      <c r="C27" s="24"/>
      <c r="D27" s="24"/>
      <c r="E27" s="24"/>
      <c r="F27" s="24"/>
      <c r="G27" s="23"/>
      <c r="H27" s="24"/>
      <c r="I27" s="24"/>
      <c r="J27" s="24"/>
      <c r="K27" s="24"/>
      <c r="L27" s="24"/>
      <c r="O27" s="4"/>
      <c r="AC27" s="20" t="s">
        <v>37</v>
      </c>
      <c r="AD27" s="12">
        <f>G18</f>
        <v>2652</v>
      </c>
      <c r="AE27" s="12">
        <f>H18</f>
        <v>2530</v>
      </c>
    </row>
    <row r="28" spans="1:31" ht="18.75" customHeight="1">
      <c r="A28" s="21"/>
      <c r="B28" s="23"/>
      <c r="C28" s="24"/>
      <c r="D28" s="24"/>
      <c r="E28" s="24"/>
      <c r="F28" s="24"/>
      <c r="G28" s="23"/>
      <c r="H28" s="24"/>
      <c r="I28" s="24"/>
      <c r="J28" s="24"/>
      <c r="K28" s="24"/>
      <c r="L28" s="24"/>
      <c r="O28" s="4"/>
      <c r="AC28" s="4"/>
      <c r="AD28" s="4"/>
      <c r="AE28" s="4"/>
    </row>
    <row r="29" spans="1:31" ht="18.75" customHeight="1">
      <c r="A29" s="21"/>
      <c r="B29" s="23"/>
      <c r="C29" s="24"/>
      <c r="D29" s="24"/>
      <c r="E29" s="24"/>
      <c r="F29" s="24"/>
      <c r="G29" s="23"/>
      <c r="H29" s="24"/>
      <c r="I29" s="24"/>
      <c r="J29" s="24"/>
      <c r="K29" s="24"/>
      <c r="L29" s="24"/>
      <c r="O29" s="4"/>
    </row>
    <row r="30" spans="1:31" ht="18.75" customHeight="1">
      <c r="A30" s="21"/>
      <c r="B30" s="23"/>
      <c r="C30" s="24"/>
      <c r="D30" s="24"/>
      <c r="E30" s="24"/>
      <c r="F30" s="24"/>
      <c r="G30" s="23"/>
      <c r="H30" s="24"/>
      <c r="I30" s="24"/>
      <c r="J30" s="24"/>
      <c r="K30" s="24"/>
      <c r="L30" s="24"/>
      <c r="O30" s="4"/>
    </row>
    <row r="31" spans="1:31" ht="9.75" customHeight="1">
      <c r="A31" s="21"/>
      <c r="B31" s="23"/>
      <c r="C31" s="24"/>
      <c r="D31" s="24"/>
      <c r="E31" s="24"/>
      <c r="F31" s="24"/>
      <c r="G31" s="23"/>
      <c r="H31" s="24"/>
      <c r="I31" s="24"/>
      <c r="J31" s="24"/>
      <c r="K31" s="24"/>
      <c r="L31" s="24"/>
      <c r="O31" s="4"/>
    </row>
    <row r="32" spans="1:31" ht="18.75" customHeight="1">
      <c r="A32" s="21"/>
      <c r="B32" s="23"/>
      <c r="C32" s="24"/>
      <c r="D32" s="24"/>
      <c r="E32" s="24"/>
      <c r="F32" s="24"/>
      <c r="G32" s="23"/>
      <c r="H32" s="24"/>
      <c r="I32" s="24"/>
      <c r="J32" s="24"/>
      <c r="K32" s="24"/>
      <c r="L32" s="24"/>
      <c r="O32" s="4"/>
    </row>
    <row r="33" spans="1:15" ht="18.75" customHeight="1">
      <c r="A33" s="21"/>
      <c r="B33" s="23"/>
      <c r="C33" s="24"/>
      <c r="D33" s="24"/>
      <c r="E33" s="24"/>
      <c r="F33" s="24"/>
      <c r="G33" s="23"/>
      <c r="H33" s="24"/>
      <c r="I33" s="24"/>
      <c r="J33" s="24"/>
      <c r="K33" s="24"/>
      <c r="L33" s="24"/>
      <c r="O33" s="4"/>
    </row>
    <row r="34" spans="1:15" ht="12.75">
      <c r="B34" s="23"/>
      <c r="C34" s="24"/>
      <c r="D34" s="24"/>
      <c r="E34" s="24"/>
      <c r="F34" s="24"/>
      <c r="G34" s="23"/>
      <c r="H34" s="24"/>
      <c r="I34" s="24"/>
      <c r="J34" s="24"/>
      <c r="K34" s="24"/>
      <c r="L34" s="24"/>
    </row>
    <row r="35" spans="1:15" ht="12.75">
      <c r="B35" s="23"/>
      <c r="C35" s="24"/>
      <c r="D35" s="24"/>
      <c r="E35" s="24"/>
      <c r="F35" s="24"/>
      <c r="G35" s="23"/>
      <c r="H35" s="24"/>
      <c r="I35" s="24"/>
      <c r="J35" s="24"/>
      <c r="K35" s="24"/>
      <c r="L35" s="24"/>
    </row>
    <row r="36" spans="1:15" ht="12.75">
      <c r="B36" s="23"/>
      <c r="C36" s="24"/>
      <c r="D36" s="24"/>
      <c r="E36" s="24"/>
      <c r="F36" s="24"/>
      <c r="G36" s="23"/>
      <c r="H36" s="24"/>
      <c r="I36" s="24"/>
      <c r="J36" s="24"/>
      <c r="K36" s="24"/>
      <c r="L36" s="24"/>
    </row>
    <row r="70" spans="20:20">
      <c r="T70" s="27"/>
    </row>
    <row r="71" spans="20:20">
      <c r="T71" s="27"/>
    </row>
  </sheetData>
  <mergeCells count="5">
    <mergeCell ref="G3:K3"/>
    <mergeCell ref="A1:K1"/>
    <mergeCell ref="A2:K2"/>
    <mergeCell ref="B3:F3"/>
    <mergeCell ref="A3:A5"/>
  </mergeCells>
  <pageMargins left="0.7" right="0.7" top="0.75" bottom="0.75" header="0.3" footer="0.3"/>
  <pageSetup paperSize="9" scale="5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2021-07-12T05:52:27Z</cp:lastPrinted>
  <dcterms:created xsi:type="dcterms:W3CDTF">2019-02-27T06:18:18Z</dcterms:created>
  <dcterms:modified xsi:type="dcterms:W3CDTF">2021-07-12T05:53:28Z</dcterms:modified>
</cp:coreProperties>
</file>