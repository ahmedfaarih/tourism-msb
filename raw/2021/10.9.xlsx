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10.Tourism\"/>
    </mc:Choice>
  </mc:AlternateContent>
  <bookViews>
    <workbookView xWindow="21645" yWindow="3555" windowWidth="7500" windowHeight="6000" tabRatio="731"/>
  </bookViews>
  <sheets>
    <sheet name="10.9" sheetId="9" r:id="rId1"/>
  </sheets>
  <definedNames>
    <definedName name="_xlnm.Print_Area" localSheetId="0">'10.9'!$A$1:$T$46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9" i="9" l="1"/>
  <c r="P8" i="9"/>
  <c r="S19" i="9" l="1"/>
  <c r="S17" i="9"/>
  <c r="S14" i="9"/>
  <c r="S12" i="9"/>
  <c r="S11" i="9"/>
  <c r="S10" i="9"/>
  <c r="Q19" i="9"/>
  <c r="Q17" i="9"/>
  <c r="Q14" i="9"/>
  <c r="Q13" i="9"/>
  <c r="Q12" i="9"/>
  <c r="N9" i="9"/>
  <c r="Q11" i="9"/>
  <c r="Q10" i="9"/>
  <c r="Q9" i="9"/>
  <c r="P9" i="9"/>
  <c r="P10" i="9"/>
  <c r="P11" i="9"/>
  <c r="P12" i="9"/>
  <c r="P13" i="9"/>
  <c r="P14" i="9"/>
  <c r="P15" i="9"/>
  <c r="P16" i="9"/>
  <c r="P17" i="9"/>
  <c r="P18" i="9"/>
  <c r="P19" i="9"/>
  <c r="P20" i="9"/>
  <c r="N10" i="9"/>
  <c r="N11" i="9"/>
  <c r="N12" i="9"/>
  <c r="N13" i="9"/>
  <c r="N14" i="9"/>
  <c r="N15" i="9"/>
  <c r="N16" i="9"/>
  <c r="N17" i="9"/>
  <c r="N18" i="9"/>
  <c r="N19" i="9"/>
  <c r="N20" i="9"/>
  <c r="M8" i="9"/>
  <c r="E8" i="9"/>
  <c r="L8" i="9" l="1"/>
  <c r="C8" i="9"/>
  <c r="K8" i="9" l="1"/>
  <c r="J8" i="9"/>
  <c r="I8" i="9"/>
  <c r="H8" i="9"/>
  <c r="G8" i="9"/>
  <c r="D8" i="9"/>
  <c r="N8" i="9" s="1"/>
  <c r="B8" i="9"/>
</calcChain>
</file>

<file path=xl/sharedStrings.xml><?xml version="1.0" encoding="utf-8"?>
<sst xmlns="http://schemas.openxmlformats.org/spreadsheetml/2006/main" count="77" uniqueCount="59">
  <si>
    <t>Total</t>
  </si>
  <si>
    <t>Source: Ministry of Tourism</t>
  </si>
  <si>
    <t>wlcmuj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</si>
  <si>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</si>
  <si>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</si>
  <si>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</si>
  <si>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</si>
  <si>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</si>
  <si>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</si>
  <si>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</si>
  <si>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</si>
  <si>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</si>
  <si>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</si>
  <si>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</si>
  <si>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</si>
  <si>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</si>
  <si>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</si>
  <si>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</si>
  <si>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</si>
  <si>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</si>
  <si>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</si>
  <si>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</si>
  <si>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</si>
  <si>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</si>
  <si>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</si>
  <si>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</si>
  <si>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</si>
  <si>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</si>
  <si>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Tourist Bed-nights*</t>
  </si>
  <si>
    <t xml:space="preserve">Tourist Arrivals </t>
  </si>
  <si>
    <t xml:space="preserve">% change same month of previous year </t>
  </si>
  <si>
    <t>% change from previous month</t>
  </si>
  <si>
    <t>cswm</t>
  </si>
  <si>
    <t>ވޭތުވެދިޔަ އަހަރުގެ މިމަހާއި އަޅާބަލާއިރު އިތުރުވި މިންވަރު</t>
  </si>
  <si>
    <t>ވޭތުވެދިޔަ މަހާއި އަޅާބަލާއިރު އިތުރުވި މިންވަރު</t>
  </si>
  <si>
    <t xml:space="preserve">ފަތުރުވެރިން ހޭދަކުރި ރޭގެ އަދަދު </t>
  </si>
  <si>
    <t xml:space="preserve">ފަތުރުވެރިންގެ އަދަދު </t>
  </si>
  <si>
    <t>_</t>
  </si>
  <si>
    <t>Irwaunej</t>
  </si>
  <si>
    <t>Irwaurcbef</t>
  </si>
  <si>
    <t>cCWm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</si>
  <si>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</si>
  <si>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</si>
  <si>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</si>
  <si>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</si>
  <si>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</si>
  <si>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</si>
  <si>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</si>
  <si>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</si>
  <si>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</si>
  <si>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ނޯޓް: ފަތުރުވެރިން ހޭދަކުރި ރޭގެ އަދަދުގެ ތެރޭގައި ރިސޯޓް، ހޮޓާ، ސަފާރީ އަދި ގެސްޓްހައުސްތައްވެސް ހިމެނެއެވެ.</t>
  </si>
  <si>
    <t>Note: * Tourist Bed night figures include resorts/hotels/safaris &amp; guesthouses</t>
  </si>
  <si>
    <t>2019-2020</t>
  </si>
  <si>
    <t xml:space="preserve">Table 10.9: TOURIST ARRIVALS,AND TOURIST BED-NIGHTS BY MONTH,  2017 - 2020
</t>
  </si>
  <si>
    <t>2020 - 2017 , udwdwA egEr irukwdEh cnirevurutwf iaWrwviawa cnirevurutwf iawguhwmcswmikea : 10.9 ulwvWt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</si>
  <si>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</si>
  <si>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</si>
  <si>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(*)</t>
  </si>
  <si>
    <t xml:space="preserve">(*) - Indicates if the percentage change is greater than 100.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</si>
</sst>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"/>
    <numFmt numFmtId="165" formatCode="#,##0.0"/>
    <numFmt numFmtId="166" formatCode="0.00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color theme="1"/>
      <name val="A_Randhoo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_Utheem"/>
    </font>
    <font>
      <b/>
      <sz val="9.5"/>
      <color theme="1"/>
      <name val="Faruma"/>
    </font>
    <font>
      <sz val="9"/>
      <color theme="1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0"/>
      <color theme="1"/>
      <name val="A_Faseyha"/>
    </font>
    <font>
      <sz val="9"/>
      <color theme="1"/>
      <name val="A_Faseyha"/>
    </font>
    <font>
      <b/>
      <sz val="9"/>
      <color theme="1"/>
      <name val="A_Faseyha"/>
    </font>
    <font>
      <sz val="10"/>
      <color theme="1"/>
      <name val="A_Faseyha"/>
    </font>
    <font>
      <i/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6" fillId="0" borderId="0"/>
    <xf numFmtId="0" fontId="3" fillId="0" borderId="0"/>
    <xf numFmtId="43" fontId="3" fillId="0" borderId="0" applyFont="0" applyFill="0" applyBorder="0" applyAlignment="0" applyProtection="0"/>
    <xf numFmtId="166" fontId="17" fillId="0" borderId="0"/>
    <xf numFmtId="1" fontId="18" fillId="0" borderId="23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6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4" fillId="0" borderId="0"/>
    <xf numFmtId="40" fontId="4" fillId="0" borderId="0" applyFont="0" applyFill="0" applyBorder="0" applyAlignment="0" applyProtection="0"/>
    <xf numFmtId="0" fontId="4" fillId="0" borderId="0"/>
    <xf numFmtId="0" fontId="3" fillId="0" borderId="0"/>
  </cellStyleXfs>
  <cellXfs count="108">
    <xf numFmtId="0" fontId="0" fillId="0" borderId="0" xfId="0"/>
    <xf numFmtId="0" fontId="5" fillId="2" borderId="0" xfId="0" applyFont="1" applyFill="1" applyAlignment="1" applyProtection="1">
      <alignment horizontal="left" vertical="center"/>
    </xf>
    <xf numFmtId="3" fontId="7" fillId="2" borderId="0" xfId="0" applyNumberFormat="1" applyFont="1" applyFill="1" applyBorder="1" applyAlignment="1" applyProtection="1">
      <alignment horizontal="right" vertical="center"/>
    </xf>
    <xf numFmtId="3" fontId="8" fillId="2" borderId="5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Border="1" applyAlignment="1">
      <alignment horizontal="right" vertical="center"/>
    </xf>
    <xf numFmtId="0" fontId="11" fillId="2" borderId="0" xfId="0" applyFont="1" applyFill="1"/>
    <xf numFmtId="0" fontId="12" fillId="2" borderId="0" xfId="0" applyFont="1" applyFill="1"/>
    <xf numFmtId="0" fontId="11" fillId="2" borderId="0" xfId="0" applyFont="1" applyFill="1" applyAlignment="1" applyProtection="1">
      <alignment horizontal="left" vertical="center"/>
    </xf>
    <xf numFmtId="0" fontId="7" fillId="2" borderId="5" xfId="0" applyFont="1" applyFill="1" applyBorder="1" applyAlignment="1" applyProtection="1">
      <alignment horizontal="right" vertical="center" wrapText="1"/>
    </xf>
    <xf numFmtId="0" fontId="13" fillId="2" borderId="0" xfId="0" applyFont="1" applyFill="1" applyAlignment="1">
      <alignment vertical="center"/>
    </xf>
    <xf numFmtId="0" fontId="7" fillId="2" borderId="5" xfId="0" applyFont="1" applyFill="1" applyBorder="1" applyAlignment="1" applyProtection="1">
      <alignment vertical="center" wrapText="1"/>
    </xf>
    <xf numFmtId="0" fontId="9" fillId="2" borderId="0" xfId="0" applyFont="1" applyFill="1" applyBorder="1" applyAlignment="1" applyProtection="1">
      <alignment horizontal="center" vertical="center" wrapText="1"/>
    </xf>
    <xf numFmtId="0" fontId="7" fillId="2" borderId="15" xfId="0" applyFont="1" applyFill="1" applyBorder="1" applyAlignment="1" applyProtection="1">
      <alignment horizontal="center" vertical="top" wrapText="1"/>
    </xf>
    <xf numFmtId="0" fontId="7" fillId="2" borderId="10" xfId="0" applyFont="1" applyFill="1" applyBorder="1" applyAlignment="1" applyProtection="1">
      <alignment horizontal="center" vertical="top" wrapText="1"/>
    </xf>
    <xf numFmtId="0" fontId="9" fillId="2" borderId="20" xfId="0" applyFont="1" applyFill="1" applyBorder="1" applyAlignment="1" applyProtection="1">
      <alignment horizontal="right" vertical="center" wrapText="1" indent="2"/>
    </xf>
    <xf numFmtId="0" fontId="9" fillId="2" borderId="21" xfId="0" applyFont="1" applyFill="1" applyBorder="1" applyAlignment="1" applyProtection="1">
      <alignment horizontal="center" vertical="center" wrapText="1"/>
    </xf>
    <xf numFmtId="0" fontId="9" fillId="2" borderId="22" xfId="0" applyFont="1" applyFill="1" applyBorder="1" applyAlignment="1" applyProtection="1">
      <alignment horizontal="center" vertical="center" wrapText="1"/>
    </xf>
    <xf numFmtId="0" fontId="9" fillId="2" borderId="20" xfId="0" applyFont="1" applyFill="1" applyBorder="1" applyAlignment="1" applyProtection="1">
      <alignment horizontal="right" vertical="top" wrapText="1"/>
    </xf>
    <xf numFmtId="0" fontId="9" fillId="2" borderId="21" xfId="0" applyFont="1" applyFill="1" applyBorder="1" applyAlignment="1" applyProtection="1">
      <alignment vertical="top" wrapText="1"/>
    </xf>
    <xf numFmtId="0" fontId="7" fillId="2" borderId="3" xfId="0" applyFont="1" applyFill="1" applyBorder="1" applyAlignment="1" applyProtection="1">
      <alignment horizontal="right" vertical="center" wrapText="1"/>
    </xf>
    <xf numFmtId="0" fontId="7" fillId="2" borderId="4" xfId="0" applyFont="1" applyFill="1" applyBorder="1" applyAlignment="1" applyProtection="1">
      <alignment horizontal="right" vertical="center" wrapText="1"/>
    </xf>
    <xf numFmtId="0" fontId="7" fillId="2" borderId="17" xfId="0" applyFont="1" applyFill="1" applyBorder="1" applyAlignment="1" applyProtection="1">
      <alignment horizontal="right" vertical="center" wrapText="1"/>
    </xf>
    <xf numFmtId="0" fontId="11" fillId="2" borderId="0" xfId="0" applyFont="1" applyFill="1" applyAlignment="1">
      <alignment horizontal="right" vertical="center"/>
    </xf>
    <xf numFmtId="0" fontId="7" fillId="2" borderId="0" xfId="0" applyFont="1" applyFill="1" applyAlignment="1" applyProtection="1">
      <alignment horizontal="left" vertical="center"/>
    </xf>
    <xf numFmtId="3" fontId="7" fillId="2" borderId="0" xfId="0" applyNumberFormat="1" applyFont="1" applyFill="1" applyAlignment="1" applyProtection="1">
      <alignment horizontal="right" vertical="center"/>
    </xf>
    <xf numFmtId="3" fontId="7" fillId="2" borderId="7" xfId="0" applyNumberFormat="1" applyFont="1" applyFill="1" applyBorder="1" applyAlignment="1" applyProtection="1">
      <alignment horizontal="right" vertical="center"/>
    </xf>
    <xf numFmtId="3" fontId="7" fillId="2" borderId="6" xfId="0" applyNumberFormat="1" applyFont="1" applyFill="1" applyBorder="1" applyAlignment="1" applyProtection="1">
      <alignment horizontal="right" vertical="center"/>
    </xf>
    <xf numFmtId="3" fontId="7" fillId="2" borderId="7" xfId="0" applyNumberFormat="1" applyFont="1" applyFill="1" applyBorder="1" applyAlignment="1" applyProtection="1">
      <alignment horizontal="center" vertical="center"/>
    </xf>
    <xf numFmtId="3" fontId="7" fillId="2" borderId="0" xfId="0" applyNumberFormat="1" applyFont="1" applyFill="1" applyBorder="1" applyAlignment="1" applyProtection="1">
      <alignment horizontal="center" vertical="center"/>
    </xf>
    <xf numFmtId="0" fontId="8" fillId="2" borderId="0" xfId="0" applyFont="1" applyFill="1" applyAlignment="1" applyProtection="1">
      <alignment horizontal="left" vertical="center" indent="1"/>
    </xf>
    <xf numFmtId="3" fontId="8" fillId="2" borderId="0" xfId="0" applyNumberFormat="1" applyFont="1" applyFill="1" applyBorder="1" applyAlignment="1" applyProtection="1">
      <alignment horizontal="right" vertical="center"/>
    </xf>
    <xf numFmtId="3" fontId="8" fillId="2" borderId="7" xfId="0" applyNumberFormat="1" applyFont="1" applyFill="1" applyBorder="1" applyAlignment="1">
      <alignment horizontal="right" vertical="center"/>
    </xf>
    <xf numFmtId="0" fontId="8" fillId="2" borderId="5" xfId="0" applyFont="1" applyFill="1" applyBorder="1" applyAlignment="1" applyProtection="1">
      <alignment horizontal="left" vertical="center" indent="1"/>
    </xf>
    <xf numFmtId="3" fontId="8" fillId="2" borderId="5" xfId="0" applyNumberFormat="1" applyFont="1" applyFill="1" applyBorder="1" applyAlignment="1" applyProtection="1">
      <alignment horizontal="right" vertical="center"/>
    </xf>
    <xf numFmtId="3" fontId="8" fillId="2" borderId="8" xfId="0" applyNumberFormat="1" applyFont="1" applyFill="1" applyBorder="1" applyAlignment="1">
      <alignment horizontal="right" vertical="center"/>
    </xf>
    <xf numFmtId="37" fontId="11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 applyProtection="1">
      <alignment horizontal="left" vertical="center" indent="1"/>
    </xf>
    <xf numFmtId="165" fontId="8" fillId="2" borderId="0" xfId="0" applyNumberFormat="1" applyFont="1" applyFill="1" applyBorder="1" applyAlignment="1" applyProtection="1">
      <alignment horizontal="right" vertical="center" indent="5"/>
    </xf>
    <xf numFmtId="165" fontId="8" fillId="2" borderId="5" xfId="0" applyNumberFormat="1" applyFont="1" applyFill="1" applyBorder="1" applyAlignment="1" applyProtection="1">
      <alignment horizontal="right" vertical="center" indent="5"/>
    </xf>
    <xf numFmtId="165" fontId="7" fillId="2" borderId="0" xfId="0" applyNumberFormat="1" applyFont="1" applyFill="1" applyBorder="1" applyAlignment="1" applyProtection="1">
      <alignment horizontal="right" vertical="center" indent="5"/>
    </xf>
    <xf numFmtId="0" fontId="7" fillId="2" borderId="1" xfId="0" applyFont="1" applyFill="1" applyBorder="1" applyAlignment="1" applyProtection="1">
      <alignment vertical="center" wrapText="1"/>
    </xf>
    <xf numFmtId="0" fontId="7" fillId="2" borderId="8" xfId="0" applyFont="1" applyFill="1" applyBorder="1" applyAlignment="1" applyProtection="1">
      <alignment vertical="center" wrapText="1"/>
    </xf>
    <xf numFmtId="0" fontId="9" fillId="2" borderId="1" xfId="0" applyFont="1" applyFill="1" applyBorder="1" applyAlignment="1" applyProtection="1">
      <alignment vertical="center" wrapText="1"/>
    </xf>
    <xf numFmtId="0" fontId="9" fillId="2" borderId="9" xfId="0" applyFont="1" applyFill="1" applyBorder="1" applyAlignment="1" applyProtection="1">
      <alignment vertical="center" wrapText="1"/>
    </xf>
    <xf numFmtId="0" fontId="9" fillId="2" borderId="18" xfId="0" applyFont="1" applyFill="1" applyBorder="1" applyAlignment="1" applyProtection="1">
      <alignment vertical="center" wrapText="1"/>
    </xf>
    <xf numFmtId="0" fontId="12" fillId="2" borderId="0" xfId="0" applyFont="1" applyFill="1" applyAlignment="1">
      <alignment horizontal="center"/>
    </xf>
    <xf numFmtId="165" fontId="8" fillId="2" borderId="8" xfId="0" applyNumberFormat="1" applyFont="1" applyFill="1" applyBorder="1" applyAlignment="1" applyProtection="1">
      <alignment horizontal="right" vertical="center" indent="5"/>
    </xf>
    <xf numFmtId="3" fontId="7" fillId="2" borderId="14" xfId="0" applyNumberFormat="1" applyFont="1" applyFill="1" applyBorder="1" applyAlignment="1" applyProtection="1">
      <alignment horizontal="center" vertical="center"/>
    </xf>
    <xf numFmtId="0" fontId="7" fillId="2" borderId="25" xfId="0" applyFont="1" applyFill="1" applyBorder="1" applyAlignment="1" applyProtection="1">
      <alignment horizontal="right" vertical="center" wrapText="1"/>
    </xf>
    <xf numFmtId="3" fontId="7" fillId="2" borderId="13" xfId="0" applyNumberFormat="1" applyFont="1" applyFill="1" applyBorder="1" applyAlignment="1" applyProtection="1">
      <alignment horizontal="right" vertical="center"/>
    </xf>
    <xf numFmtId="3" fontId="8" fillId="2" borderId="13" xfId="0" applyNumberFormat="1" applyFont="1" applyFill="1" applyBorder="1" applyAlignment="1">
      <alignment horizontal="right" vertical="center"/>
    </xf>
    <xf numFmtId="3" fontId="8" fillId="2" borderId="11" xfId="0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horizontal="right" vertical="center" indent="1"/>
    </xf>
    <xf numFmtId="0" fontId="20" fillId="2" borderId="0" xfId="0" applyFont="1" applyFill="1" applyAlignment="1">
      <alignment horizontal="right" vertical="center" indent="2"/>
    </xf>
    <xf numFmtId="0" fontId="20" fillId="2" borderId="5" xfId="0" applyFont="1" applyFill="1" applyBorder="1" applyAlignment="1">
      <alignment horizontal="right" vertical="center" indent="2"/>
    </xf>
    <xf numFmtId="0" fontId="20" fillId="2" borderId="0" xfId="0" applyFont="1" applyFill="1" applyBorder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0" fontId="20" fillId="2" borderId="0" xfId="0" applyFont="1" applyFill="1"/>
    <xf numFmtId="0" fontId="22" fillId="2" borderId="0" xfId="0" applyFont="1" applyFill="1"/>
    <xf numFmtId="0" fontId="15" fillId="2" borderId="0" xfId="0" applyFont="1" applyFill="1" applyAlignment="1">
      <alignment vertical="center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2" borderId="5" xfId="0" applyFont="1" applyFill="1" applyBorder="1" applyAlignment="1" applyProtection="1">
      <alignment horizontal="center" vertical="center" wrapText="1"/>
    </xf>
    <xf numFmtId="0" fontId="9" fillId="2" borderId="9" xfId="0" applyFont="1" applyFill="1" applyBorder="1" applyAlignment="1" applyProtection="1">
      <alignment horizontal="center" vertical="center" wrapText="1"/>
    </xf>
    <xf numFmtId="0" fontId="7" fillId="2" borderId="15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7" fillId="2" borderId="16" xfId="0" applyFont="1" applyFill="1" applyBorder="1" applyAlignment="1" applyProtection="1">
      <alignment horizontal="center" vertical="center" wrapText="1"/>
    </xf>
    <xf numFmtId="0" fontId="6" fillId="2" borderId="0" xfId="0" applyFont="1" applyFill="1" applyAlignment="1" applyProtection="1">
      <alignment horizontal="left" vertical="center"/>
    </xf>
    <xf numFmtId="0" fontId="6" fillId="2" borderId="0" xfId="0" applyFont="1" applyFill="1" applyAlignment="1" applyProtection="1">
      <alignment horizontal="left" vertical="center" indent="3"/>
    </xf>
    <xf numFmtId="3" fontId="8" fillId="2" borderId="6" xfId="0" applyNumberFormat="1" applyFont="1" applyFill="1" applyBorder="1" applyAlignment="1">
      <alignment horizontal="right" vertical="center"/>
    </xf>
    <xf numFmtId="3" fontId="8" fillId="2" borderId="2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Border="1" applyAlignment="1" applyProtection="1">
      <alignment horizontal="right" vertical="center" indent="4"/>
    </xf>
    <xf numFmtId="164" fontId="8" fillId="2" borderId="0" xfId="0" applyNumberFormat="1" applyFont="1" applyFill="1" applyBorder="1" applyAlignment="1" applyProtection="1">
      <alignment horizontal="right" vertical="center" indent="4"/>
    </xf>
    <xf numFmtId="164" fontId="8" fillId="2" borderId="2" xfId="0" applyNumberFormat="1" applyFont="1" applyFill="1" applyBorder="1" applyAlignment="1" applyProtection="1">
      <alignment horizontal="right" vertical="center" indent="4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2" borderId="5" xfId="0" applyFont="1" applyFill="1" applyBorder="1" applyAlignment="1" applyProtection="1">
      <alignment horizontal="center" vertical="center" wrapText="1"/>
    </xf>
    <xf numFmtId="0" fontId="7" fillId="2" borderId="12" xfId="0" applyFont="1" applyFill="1" applyBorder="1" applyAlignment="1" applyProtection="1">
      <alignment horizontal="center" vertical="center" wrapText="1"/>
    </xf>
    <xf numFmtId="0" fontId="7" fillId="2" borderId="14" xfId="0" applyFont="1" applyFill="1" applyBorder="1" applyAlignment="1" applyProtection="1">
      <alignment horizontal="center" vertical="center" wrapText="1"/>
    </xf>
    <xf numFmtId="0" fontId="7" fillId="2" borderId="11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9" fillId="2" borderId="9" xfId="0" applyFont="1" applyFill="1" applyBorder="1" applyAlignment="1" applyProtection="1">
      <alignment horizontal="center" vertical="center" wrapText="1"/>
    </xf>
    <xf numFmtId="0" fontId="9" fillId="2" borderId="12" xfId="0" applyFont="1" applyFill="1" applyBorder="1" applyAlignment="1" applyProtection="1">
      <alignment horizontal="center" vertical="center" wrapText="1"/>
    </xf>
    <xf numFmtId="0" fontId="9" fillId="2" borderId="14" xfId="0" applyFont="1" applyFill="1" applyBorder="1" applyAlignment="1" applyProtection="1">
      <alignment horizontal="center" vertical="center" wrapText="1"/>
    </xf>
    <xf numFmtId="0" fontId="9" fillId="2" borderId="24" xfId="0" applyFont="1" applyFill="1" applyBorder="1" applyAlignment="1" applyProtection="1">
      <alignment horizontal="center" vertical="center" wrapText="1"/>
    </xf>
    <xf numFmtId="0" fontId="9" fillId="2" borderId="19" xfId="0" applyFont="1" applyFill="1" applyBorder="1" applyAlignment="1" applyProtection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7" fillId="2" borderId="1" xfId="0" applyFont="1" applyFill="1" applyBorder="1" applyAlignment="1" applyProtection="1">
      <alignment horizontal="left" vertical="center"/>
    </xf>
    <xf numFmtId="0" fontId="7" fillId="2" borderId="0" xfId="0" applyFont="1" applyFill="1" applyBorder="1" applyAlignment="1" applyProtection="1">
      <alignment horizontal="left" vertical="center"/>
    </xf>
    <xf numFmtId="0" fontId="7" fillId="2" borderId="5" xfId="0" applyFont="1" applyFill="1" applyBorder="1" applyAlignment="1" applyProtection="1">
      <alignment horizontal="left" vertical="center"/>
    </xf>
    <xf numFmtId="0" fontId="19" fillId="2" borderId="1" xfId="0" applyFont="1" applyFill="1" applyBorder="1" applyAlignment="1">
      <alignment horizontal="right" vertical="center" indent="1"/>
    </xf>
    <xf numFmtId="0" fontId="19" fillId="2" borderId="0" xfId="0" applyFont="1" applyFill="1" applyBorder="1" applyAlignment="1">
      <alignment horizontal="right" vertical="center" indent="1"/>
    </xf>
    <xf numFmtId="0" fontId="19" fillId="2" borderId="5" xfId="0" applyFont="1" applyFill="1" applyBorder="1" applyAlignment="1">
      <alignment horizontal="right" vertical="center" indent="1"/>
    </xf>
    <xf numFmtId="0" fontId="7" fillId="2" borderId="15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7" fillId="2" borderId="16" xfId="0" applyFont="1" applyFill="1" applyBorder="1" applyAlignment="1" applyProtection="1">
      <alignment horizontal="center" vertical="center" wrapText="1"/>
    </xf>
    <xf numFmtId="0" fontId="14" fillId="2" borderId="3" xfId="0" applyFont="1" applyFill="1" applyBorder="1" applyAlignment="1" applyProtection="1">
      <alignment horizontal="center" vertical="top" wrapText="1"/>
    </xf>
    <xf numFmtId="0" fontId="14" fillId="2" borderId="4" xfId="0" applyFont="1" applyFill="1" applyBorder="1" applyAlignment="1" applyProtection="1">
      <alignment horizontal="center" vertical="top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7" fillId="2" borderId="17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center" vertical="center" wrapText="1"/>
    </xf>
    <xf numFmtId="0" fontId="14" fillId="2" borderId="3" xfId="0" applyFont="1" applyFill="1" applyBorder="1" applyAlignment="1" applyProtection="1">
      <alignment horizontal="center" vertical="top"/>
    </xf>
    <xf numFmtId="0" fontId="14" fillId="2" borderId="4" xfId="0" applyFont="1" applyFill="1" applyBorder="1" applyAlignment="1" applyProtection="1">
      <alignment horizontal="center" vertical="top"/>
    </xf>
    <xf numFmtId="0" fontId="14" fillId="2" borderId="17" xfId="0" applyFont="1" applyFill="1" applyBorder="1" applyAlignment="1" applyProtection="1">
      <alignment horizontal="center" vertical="top"/>
    </xf>
    <xf numFmtId="165" fontId="8" fillId="2" borderId="7" xfId="0" applyNumberFormat="1" applyFont="1" applyFill="1" applyBorder="1" applyAlignment="1" applyProtection="1">
      <alignment horizontal="right" vertical="center" indent="5"/>
    </xf>
    <xf numFmtId="0" fontId="23" fillId="2" borderId="0" xfId="21" applyFont="1" applyFill="1" applyAlignment="1">
      <alignment horizontal="left" vertical="center" indent="3"/>
    </xf>
  </cellXfs>
  <cellStyles count="22">
    <cellStyle name="1" xfId="5"/>
    <cellStyle name="Comma 2" xfId="19"/>
    <cellStyle name="Comma 3" xfId="6"/>
    <cellStyle name="Normal" xfId="0" builtinId="0"/>
    <cellStyle name="Normal - Style1" xfId="7"/>
    <cellStyle name="Normal 10" xfId="13"/>
    <cellStyle name="Normal 2" xfId="1"/>
    <cellStyle name="Normal 2 2" xfId="8"/>
    <cellStyle name="Normal 2 2 2" xfId="20"/>
    <cellStyle name="Normal 3" xfId="9"/>
    <cellStyle name="Normal 4" xfId="14"/>
    <cellStyle name="Normal 4 2" xfId="10"/>
    <cellStyle name="Normal 4 2 2" xfId="15"/>
    <cellStyle name="Normal 5" xfId="11"/>
    <cellStyle name="Normal 5 2" xfId="3"/>
    <cellStyle name="Normal 6" xfId="16"/>
    <cellStyle name="Normal 7" xfId="17"/>
    <cellStyle name="Normal 8" xfId="18"/>
    <cellStyle name="Normal 9" xfId="4"/>
    <cellStyle name="Normal_Quick data" xfId="21"/>
    <cellStyle name="Percent 2" xfId="12"/>
    <cellStyle name="Percent 2 2" xfId="2"/>
  </cellStyles>
  <dxfs count="0"/>
  <tableStyles count="0" defaultTableStyle="TableStyleMedium2" defaultPivotStyle="PivotStyleLight16"/>
  <colors>
    <mruColors>
      <color rgb="FFC0F2F0"/>
      <color rgb="FFEAFAFA"/>
      <color rgb="FFDDF8F7"/>
      <color rgb="FFFF9900"/>
      <color rgb="FFFFCC66"/>
      <color rgb="FF33CCCC"/>
      <color rgb="FF196563"/>
      <color rgb="FF249390"/>
      <color rgb="FFCA945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Figure 10.15: Percentage change of tourist arrivals and bed-nights compared to same month of previous year, 2019 - 2020</a:t>
            </a:r>
          </a:p>
        </c:rich>
      </c:tx>
      <c:layout>
        <c:manualLayout>
          <c:xMode val="edge"/>
          <c:yMode val="edge"/>
          <c:x val="0.15969080427083063"/>
          <c:y val="1.6218441721903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810993416211781E-2"/>
          <c:y val="0.14211051240712064"/>
          <c:w val="0.89575573747088033"/>
          <c:h val="0.75039979961153014"/>
        </c:manualLayout>
      </c:layout>
      <c:lineChart>
        <c:grouping val="standard"/>
        <c:varyColors val="0"/>
        <c:ser>
          <c:idx val="0"/>
          <c:order val="0"/>
          <c:tx>
            <c:strRef>
              <c:f>'10.9'!$N$5</c:f>
              <c:strCache>
                <c:ptCount val="1"/>
                <c:pt idx="0">
                  <c:v>Tourist Bed-nights*</c:v>
                </c:pt>
              </c:strCache>
            </c:strRef>
          </c:tx>
          <c:spPr>
            <a:ln w="28575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cat>
            <c:strRef>
              <c:f>'10.9'!$AK$50:$AL$61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'10.9'!$N$9:$N$20</c:f>
              <c:numCache>
                <c:formatCode>#,##0.0</c:formatCode>
                <c:ptCount val="12"/>
                <c:pt idx="0">
                  <c:v>14.448414873160708</c:v>
                </c:pt>
                <c:pt idx="1">
                  <c:v>6.5944849222021595E-2</c:v>
                </c:pt>
                <c:pt idx="2">
                  <c:v>-44.147915090687448</c:v>
                </c:pt>
                <c:pt idx="3">
                  <c:v>-99.099175340757569</c:v>
                </c:pt>
                <c:pt idx="4">
                  <c:v>-99.334724905352587</c:v>
                </c:pt>
                <c:pt idx="5">
                  <c:v>-99.674534223534224</c:v>
                </c:pt>
                <c:pt idx="6">
                  <c:v>-96.823333150924626</c:v>
                </c:pt>
                <c:pt idx="7">
                  <c:v>-92.162601113591265</c:v>
                </c:pt>
                <c:pt idx="8">
                  <c:v>-89.367466929405154</c:v>
                </c:pt>
                <c:pt idx="9">
                  <c:v>-81.481123780753578</c:v>
                </c:pt>
                <c:pt idx="10">
                  <c:v>-68.543878670539527</c:v>
                </c:pt>
                <c:pt idx="11">
                  <c:v>-40.611537984358883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DE-431C-B417-85C814120BDD}"/>
            </c:ext>
          </c:extLst>
        </c:ser>
        <c:ser>
          <c:idx val="1"/>
          <c:order val="1"/>
          <c:tx>
            <c:strRef>
              <c:f>'10.9'!$P$5</c:f>
              <c:strCache>
                <c:ptCount val="1"/>
                <c:pt idx="0">
                  <c:v>Tourist Arrivals </c:v>
                </c:pt>
              </c:strCache>
            </c:strRef>
          </c:tx>
          <c:spPr>
            <a:ln w="28575" cap="rnd">
              <a:solidFill>
                <a:srgbClr val="249390"/>
              </a:solidFill>
              <a:round/>
            </a:ln>
            <a:effectLst/>
          </c:spPr>
          <c:marker>
            <c:symbol val="none"/>
          </c:marker>
          <c:cat>
            <c:strRef>
              <c:f>'10.9'!$AK$50:$AL$61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'10.9'!$P$9:$P$20</c:f>
              <c:numCache>
                <c:formatCode>0.0</c:formatCode>
                <c:ptCount val="12"/>
                <c:pt idx="0">
                  <c:v>14.381202491554056</c:v>
                </c:pt>
                <c:pt idx="1">
                  <c:v>-11.15059051031243</c:v>
                </c:pt>
                <c:pt idx="2">
                  <c:v>-63.381907727074548</c:v>
                </c:pt>
                <c:pt idx="3">
                  <c:v>-99.992030113908058</c:v>
                </c:pt>
                <c:pt idx="4">
                  <c:v>-99.960202675156765</c:v>
                </c:pt>
                <c:pt idx="5">
                  <c:v>-99.999118748623033</c:v>
                </c:pt>
                <c:pt idx="6">
                  <c:v>-98.674173628768614</c:v>
                </c:pt>
                <c:pt idx="7">
                  <c:v>-94.519800772222936</c:v>
                </c:pt>
                <c:pt idx="8">
                  <c:v>-91.833802361863306</c:v>
                </c:pt>
                <c:pt idx="9">
                  <c:v>-84.840905247731243</c:v>
                </c:pt>
                <c:pt idx="10">
                  <c:v>-74.0742889045178</c:v>
                </c:pt>
                <c:pt idx="11">
                  <c:v>-43.73322128066858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DE-431C-B417-85C814120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921648"/>
        <c:axId val="404914984"/>
      </c:lineChart>
      <c:catAx>
        <c:axId val="40492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8575" cap="flat" cmpd="sng" algn="ctr">
            <a:solidFill>
              <a:srgbClr val="19656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14984"/>
        <c:crosses val="autoZero"/>
        <c:auto val="1"/>
        <c:lblAlgn val="ctr"/>
        <c:lblOffset val="100"/>
        <c:noMultiLvlLbl val="0"/>
      </c:catAx>
      <c:valAx>
        <c:axId val="40491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0F2F0"/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21648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2692045371079609"/>
          <c:y val="0.16316461347265293"/>
          <c:w val="0.45703767333895823"/>
          <c:h val="5.2662747484000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420931</xdr:colOff>
      <xdr:row>24</xdr:row>
      <xdr:rowOff>98283</xdr:rowOff>
    </xdr:from>
    <xdr:to>
      <xdr:col>16</xdr:col>
      <xdr:colOff>50992</xdr:colOff>
      <xdr:row>45</xdr:row>
      <xdr:rowOff>24019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486606</xdr:colOff>
      <xdr:row>43</xdr:row>
      <xdr:rowOff>72007</xdr:rowOff>
    </xdr:from>
    <xdr:to>
      <xdr:col>12</xdr:col>
      <xdr:colOff>466529</xdr:colOff>
      <xdr:row>44</xdr:row>
      <xdr:rowOff>175582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3975866" y="9694201"/>
          <a:ext cx="3070689" cy="307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Tourist Bed night  include resorts/hotels/safaris &amp; guesthouses</a:t>
          </a:r>
          <a:endParaRPr lang="en-US" sz="800">
            <a:effectLst/>
          </a:endParaRPr>
        </a:p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0.01308</cdr:x>
      <cdr:y>0.105</cdr:y>
    </cdr:from>
    <cdr:to>
      <cdr:x>0.08107</cdr:x>
      <cdr:y>0.13418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796C34AC-0846-46F7-A9E9-3CF134BE2E9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6764" y="427291"/>
          <a:ext cx="347173" cy="118770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V61"/>
  <sheetViews>
    <sheetView tabSelected="1" topLeftCell="C1" zoomScaleNormal="100" zoomScaleSheetLayoutView="98" workbookViewId="0">
      <selection activeCell="X22" sqref="X22"/>
    </sheetView>
  </sheetViews>
  <sheetFormatPr defaultColWidth="9.140625" defaultRowHeight="15.75"/>
  <cols>
    <col min="1" max="1" width="15.5703125" style="6" customWidth="1"/>
    <col min="2" max="5" width="12.28515625" style="6" customWidth="1"/>
    <col min="6" max="6" width="0.85546875" style="6" customWidth="1"/>
    <col min="7" max="9" width="11.140625" style="6" hidden="1" customWidth="1"/>
    <col min="10" max="13" width="11.140625" style="6" customWidth="1"/>
    <col min="14" max="14" width="20" style="6" customWidth="1"/>
    <col min="15" max="15" width="1.5703125" style="6" customWidth="1"/>
    <col min="16" max="16" width="15.140625" style="6" customWidth="1"/>
    <col min="17" max="17" width="17.7109375" style="6" customWidth="1"/>
    <col min="18" max="18" width="2.42578125" style="6" customWidth="1"/>
    <col min="19" max="19" width="19" style="6" customWidth="1"/>
    <col min="20" max="20" width="12.7109375" style="58" customWidth="1"/>
    <col min="21" max="21" width="3.85546875" style="6" customWidth="1"/>
    <col min="22" max="22" width="11.7109375" style="6" customWidth="1"/>
    <col min="23" max="16384" width="9.140625" style="6"/>
  </cols>
  <sheetData>
    <row r="1" spans="1:21" ht="19.5">
      <c r="A1" s="85" t="s">
        <v>54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9"/>
    </row>
    <row r="2" spans="1:21" s="45" customFormat="1" ht="22.5" customHeight="1">
      <c r="A2" s="86" t="s">
        <v>53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</row>
    <row r="3" spans="1:21" s="5" customFormat="1" ht="12.75" customHeight="1">
      <c r="A3" s="88" t="s">
        <v>3</v>
      </c>
      <c r="B3" s="73" t="s">
        <v>28</v>
      </c>
      <c r="C3" s="73"/>
      <c r="D3" s="73"/>
      <c r="E3" s="73"/>
      <c r="F3" s="60"/>
      <c r="H3" s="40"/>
      <c r="J3" s="75" t="s">
        <v>29</v>
      </c>
      <c r="K3" s="73"/>
      <c r="L3" s="73"/>
      <c r="M3" s="76"/>
      <c r="N3" s="94" t="s">
        <v>30</v>
      </c>
      <c r="O3" s="95"/>
      <c r="P3" s="96"/>
      <c r="Q3" s="94" t="s">
        <v>31</v>
      </c>
      <c r="R3" s="95"/>
      <c r="S3" s="95"/>
      <c r="T3" s="91" t="s">
        <v>32</v>
      </c>
    </row>
    <row r="4" spans="1:21" s="5" customFormat="1" ht="18.75" customHeight="1">
      <c r="A4" s="89"/>
      <c r="B4" s="74"/>
      <c r="C4" s="74"/>
      <c r="D4" s="74"/>
      <c r="E4" s="74"/>
      <c r="F4" s="61"/>
      <c r="G4" s="41"/>
      <c r="H4" s="10"/>
      <c r="I4" s="41"/>
      <c r="J4" s="77"/>
      <c r="K4" s="74"/>
      <c r="L4" s="74"/>
      <c r="M4" s="78"/>
      <c r="N4" s="103" t="s">
        <v>33</v>
      </c>
      <c r="O4" s="104"/>
      <c r="P4" s="105"/>
      <c r="Q4" s="97" t="s">
        <v>34</v>
      </c>
      <c r="R4" s="98"/>
      <c r="S4" s="98"/>
      <c r="T4" s="92"/>
    </row>
    <row r="5" spans="1:21" s="5" customFormat="1" ht="18.75" customHeight="1">
      <c r="A5" s="89"/>
      <c r="B5" s="79" t="s">
        <v>35</v>
      </c>
      <c r="C5" s="79"/>
      <c r="D5" s="79"/>
      <c r="E5" s="79"/>
      <c r="F5" s="11"/>
      <c r="H5" s="42"/>
      <c r="J5" s="81" t="s">
        <v>36</v>
      </c>
      <c r="K5" s="79"/>
      <c r="L5" s="79"/>
      <c r="M5" s="82"/>
      <c r="N5" s="63" t="s">
        <v>28</v>
      </c>
      <c r="O5" s="64"/>
      <c r="P5" s="65" t="s">
        <v>29</v>
      </c>
      <c r="Q5" s="12" t="s">
        <v>28</v>
      </c>
      <c r="R5" s="13"/>
      <c r="S5" s="13" t="s">
        <v>29</v>
      </c>
      <c r="T5" s="92"/>
    </row>
    <row r="6" spans="1:21" s="5" customFormat="1" ht="37.5">
      <c r="A6" s="89"/>
      <c r="B6" s="80"/>
      <c r="C6" s="80"/>
      <c r="D6" s="80"/>
      <c r="E6" s="80"/>
      <c r="F6" s="62"/>
      <c r="G6" s="44"/>
      <c r="H6" s="43"/>
      <c r="I6" s="44"/>
      <c r="J6" s="83"/>
      <c r="K6" s="80"/>
      <c r="L6" s="80"/>
      <c r="M6" s="84"/>
      <c r="N6" s="14" t="s">
        <v>35</v>
      </c>
      <c r="O6" s="15"/>
      <c r="P6" s="16" t="s">
        <v>36</v>
      </c>
      <c r="Q6" s="17" t="s">
        <v>35</v>
      </c>
      <c r="R6" s="18"/>
      <c r="S6" s="18" t="s">
        <v>36</v>
      </c>
      <c r="T6" s="92"/>
    </row>
    <row r="7" spans="1:21" s="22" customFormat="1" ht="12.75">
      <c r="A7" s="90"/>
      <c r="B7" s="8">
        <v>2017</v>
      </c>
      <c r="C7" s="8">
        <v>2018</v>
      </c>
      <c r="D7" s="8">
        <v>2019</v>
      </c>
      <c r="E7" s="8">
        <v>2020</v>
      </c>
      <c r="F7" s="8"/>
      <c r="G7" s="19">
        <v>2014</v>
      </c>
      <c r="H7" s="20">
        <v>2015</v>
      </c>
      <c r="I7" s="19">
        <v>2016</v>
      </c>
      <c r="J7" s="48">
        <v>2017</v>
      </c>
      <c r="K7" s="20">
        <v>2018</v>
      </c>
      <c r="L7" s="20">
        <v>2019</v>
      </c>
      <c r="M7" s="21">
        <v>2020</v>
      </c>
      <c r="N7" s="99" t="s">
        <v>52</v>
      </c>
      <c r="O7" s="100"/>
      <c r="P7" s="101"/>
      <c r="Q7" s="102">
        <v>2020</v>
      </c>
      <c r="R7" s="74"/>
      <c r="S7" s="74"/>
      <c r="T7" s="93"/>
    </row>
    <row r="8" spans="1:21" s="5" customFormat="1" ht="19.5" customHeight="1">
      <c r="A8" s="23" t="s">
        <v>0</v>
      </c>
      <c r="B8" s="24">
        <f t="shared" ref="B8:D8" si="0">SUM(B9:B20)</f>
        <v>8593283.6177621465</v>
      </c>
      <c r="C8" s="24">
        <f t="shared" si="0"/>
        <v>9478093.9017162751</v>
      </c>
      <c r="D8" s="24">
        <f t="shared" si="0"/>
        <v>10688387.114665871</v>
      </c>
      <c r="E8" s="24">
        <f>SUM(E9:E20)</f>
        <v>3984712.4466208597</v>
      </c>
      <c r="F8" s="24"/>
      <c r="G8" s="25">
        <f t="shared" ref="G8:L8" si="1">SUM(G9:G20)</f>
        <v>1204857</v>
      </c>
      <c r="H8" s="2">
        <f t="shared" si="1"/>
        <v>1234248</v>
      </c>
      <c r="I8" s="25">
        <f t="shared" si="1"/>
        <v>1286135</v>
      </c>
      <c r="J8" s="49">
        <f t="shared" si="1"/>
        <v>1389542</v>
      </c>
      <c r="K8" s="2">
        <f t="shared" si="1"/>
        <v>1484274</v>
      </c>
      <c r="L8" s="2">
        <f t="shared" si="1"/>
        <v>1702887</v>
      </c>
      <c r="M8" s="26">
        <f>SUM(M9:M20)</f>
        <v>555494</v>
      </c>
      <c r="N8" s="39">
        <f>((E8/D8)-1)*100</f>
        <v>-62.719235335766321</v>
      </c>
      <c r="O8" s="39"/>
      <c r="P8" s="70">
        <f>((M8/L8)-1)*100</f>
        <v>-67.379280010946118</v>
      </c>
      <c r="Q8" s="27" t="s">
        <v>37</v>
      </c>
      <c r="R8" s="47"/>
      <c r="S8" s="28" t="s">
        <v>37</v>
      </c>
      <c r="T8" s="52" t="s">
        <v>2</v>
      </c>
    </row>
    <row r="9" spans="1:21" s="5" customFormat="1" ht="19.5" customHeight="1">
      <c r="A9" s="29" t="s">
        <v>4</v>
      </c>
      <c r="B9" s="30">
        <v>800126.35612185334</v>
      </c>
      <c r="C9" s="30">
        <v>941496.93723687832</v>
      </c>
      <c r="D9" s="30">
        <v>998457.1569061433</v>
      </c>
      <c r="E9" s="30">
        <v>1142718.3892667082</v>
      </c>
      <c r="F9" s="4"/>
      <c r="G9" s="31">
        <v>105296</v>
      </c>
      <c r="H9" s="4">
        <v>97073</v>
      </c>
      <c r="I9" s="31">
        <v>108396</v>
      </c>
      <c r="J9" s="50">
        <v>125336</v>
      </c>
      <c r="K9" s="4">
        <v>142351</v>
      </c>
      <c r="L9" s="4">
        <v>151552</v>
      </c>
      <c r="M9" s="68">
        <v>173347</v>
      </c>
      <c r="N9" s="37">
        <f>((E9/D9)-1)*100</f>
        <v>14.448414873160708</v>
      </c>
      <c r="O9" s="37"/>
      <c r="P9" s="71">
        <f t="shared" ref="P9:P20" si="2">((M9/L9)-1)*100</f>
        <v>14.381202491554056</v>
      </c>
      <c r="Q9" s="106">
        <f>((E9/D20)-1)*100</f>
        <v>8.8817367752484842</v>
      </c>
      <c r="R9" s="37"/>
      <c r="S9" s="106">
        <f>((M9/L20)-1)*100</f>
        <v>1.166631650208938</v>
      </c>
      <c r="T9" s="53" t="s">
        <v>38</v>
      </c>
    </row>
    <row r="10" spans="1:21" s="5" customFormat="1" ht="19.5" customHeight="1">
      <c r="A10" s="29" t="s">
        <v>5</v>
      </c>
      <c r="B10" s="30">
        <v>772412.98962665652</v>
      </c>
      <c r="C10" s="30">
        <v>925585.20039239002</v>
      </c>
      <c r="D10" s="30">
        <v>1019637.270040759</v>
      </c>
      <c r="E10" s="30">
        <v>1020309.6683010989</v>
      </c>
      <c r="F10" s="4"/>
      <c r="G10" s="31">
        <v>110705</v>
      </c>
      <c r="H10" s="4">
        <v>120468</v>
      </c>
      <c r="I10" s="31">
        <v>120639</v>
      </c>
      <c r="J10" s="50">
        <v>121052</v>
      </c>
      <c r="K10" s="4">
        <v>144286</v>
      </c>
      <c r="L10" s="4">
        <v>168583</v>
      </c>
      <c r="M10" s="68">
        <v>149785</v>
      </c>
      <c r="N10" s="37">
        <f t="shared" ref="N10:N20" si="3">((E10/D10)-1)*100</f>
        <v>6.5944849222021595E-2</v>
      </c>
      <c r="O10" s="37"/>
      <c r="P10" s="71">
        <f t="shared" si="2"/>
        <v>-11.15059051031243</v>
      </c>
      <c r="Q10" s="106">
        <f t="shared" ref="Q10:Q16" si="4">((E10/E9)-1)*100</f>
        <v>-10.712063629619195</v>
      </c>
      <c r="R10" s="37"/>
      <c r="S10" s="106">
        <f t="shared" ref="S10:S20" si="5">((M10/M9)-1)*100</f>
        <v>-13.5923898308018</v>
      </c>
      <c r="T10" s="53" t="s">
        <v>39</v>
      </c>
    </row>
    <row r="11" spans="1:21" s="5" customFormat="1" ht="19.5" customHeight="1">
      <c r="A11" s="29" t="s">
        <v>6</v>
      </c>
      <c r="B11" s="30">
        <v>750431.75735626707</v>
      </c>
      <c r="C11" s="30">
        <v>873729.2709199331</v>
      </c>
      <c r="D11" s="30">
        <v>1006770.3040856412</v>
      </c>
      <c r="E11" s="30">
        <v>562302.20507965644</v>
      </c>
      <c r="F11" s="4"/>
      <c r="G11" s="31">
        <v>105560</v>
      </c>
      <c r="H11" s="4">
        <v>112427</v>
      </c>
      <c r="I11" s="31">
        <v>115131</v>
      </c>
      <c r="J11" s="50">
        <v>112665</v>
      </c>
      <c r="K11" s="4">
        <v>133466</v>
      </c>
      <c r="L11" s="4">
        <v>162843</v>
      </c>
      <c r="M11" s="68">
        <v>59630</v>
      </c>
      <c r="N11" s="37">
        <f t="shared" si="3"/>
        <v>-44.147915090687448</v>
      </c>
      <c r="O11" s="37"/>
      <c r="P11" s="71">
        <f t="shared" si="2"/>
        <v>-63.381907727074548</v>
      </c>
      <c r="Q11" s="106">
        <f t="shared" si="4"/>
        <v>-44.889064315548751</v>
      </c>
      <c r="R11" s="37"/>
      <c r="S11" s="106">
        <f t="shared" si="5"/>
        <v>-60.189605100644258</v>
      </c>
      <c r="T11" s="53" t="s">
        <v>40</v>
      </c>
    </row>
    <row r="12" spans="1:21" s="5" customFormat="1" ht="19.5" customHeight="1">
      <c r="A12" s="29" t="s">
        <v>7</v>
      </c>
      <c r="B12" s="30">
        <v>742497.61743564717</v>
      </c>
      <c r="C12" s="30">
        <v>796839.94498607225</v>
      </c>
      <c r="D12" s="30">
        <v>981769.33451783704</v>
      </c>
      <c r="E12" s="30">
        <v>8844.0202622169236</v>
      </c>
      <c r="F12" s="4"/>
      <c r="G12" s="31">
        <v>105309</v>
      </c>
      <c r="H12" s="4">
        <v>102242</v>
      </c>
      <c r="I12" s="31">
        <v>103493</v>
      </c>
      <c r="J12" s="50">
        <v>119774</v>
      </c>
      <c r="K12" s="4">
        <v>119713</v>
      </c>
      <c r="L12" s="4">
        <v>163114</v>
      </c>
      <c r="M12" s="68">
        <v>13</v>
      </c>
      <c r="N12" s="37">
        <f t="shared" si="3"/>
        <v>-99.099175340757569</v>
      </c>
      <c r="O12" s="37"/>
      <c r="P12" s="71">
        <f t="shared" si="2"/>
        <v>-99.992030113908058</v>
      </c>
      <c r="Q12" s="106">
        <f t="shared" si="4"/>
        <v>-98.427176670779005</v>
      </c>
      <c r="R12" s="37"/>
      <c r="S12" s="106">
        <f t="shared" si="5"/>
        <v>-99.978198893174579</v>
      </c>
      <c r="T12" s="53" t="s">
        <v>41</v>
      </c>
    </row>
    <row r="13" spans="1:21" s="5" customFormat="1" ht="19.5" customHeight="1">
      <c r="A13" s="29" t="s">
        <v>8</v>
      </c>
      <c r="B13" s="30">
        <v>601496.36821079231</v>
      </c>
      <c r="C13" s="30">
        <v>641543.88590708072</v>
      </c>
      <c r="D13" s="30">
        <v>717991.87940748374</v>
      </c>
      <c r="E13" s="30">
        <v>4776.6211552888226</v>
      </c>
      <c r="F13" s="4"/>
      <c r="G13" s="31">
        <v>91296</v>
      </c>
      <c r="H13" s="4">
        <v>95389</v>
      </c>
      <c r="I13" s="31">
        <v>93228</v>
      </c>
      <c r="J13" s="50">
        <v>93491</v>
      </c>
      <c r="K13" s="4">
        <v>92913</v>
      </c>
      <c r="L13" s="4">
        <v>103022</v>
      </c>
      <c r="M13" s="68">
        <v>41</v>
      </c>
      <c r="N13" s="37">
        <f t="shared" si="3"/>
        <v>-99.334724905352587</v>
      </c>
      <c r="O13" s="37"/>
      <c r="P13" s="71">
        <f t="shared" si="2"/>
        <v>-99.960202675156765</v>
      </c>
      <c r="Q13" s="106">
        <f t="shared" si="4"/>
        <v>-45.990386570061169</v>
      </c>
      <c r="R13" s="37"/>
      <c r="S13" s="106" t="s">
        <v>57</v>
      </c>
      <c r="T13" s="53" t="s">
        <v>42</v>
      </c>
    </row>
    <row r="14" spans="1:21" s="5" customFormat="1" ht="19.5" customHeight="1">
      <c r="A14" s="29" t="s">
        <v>9</v>
      </c>
      <c r="B14" s="30">
        <v>480889.64024626091</v>
      </c>
      <c r="C14" s="30">
        <v>544549.70829420025</v>
      </c>
      <c r="D14" s="30">
        <v>714606.98023648141</v>
      </c>
      <c r="E14" s="30">
        <v>2325.8011569052783</v>
      </c>
      <c r="F14" s="4"/>
      <c r="G14" s="31">
        <v>83347</v>
      </c>
      <c r="H14" s="4">
        <v>81506</v>
      </c>
      <c r="I14" s="31">
        <v>79034</v>
      </c>
      <c r="J14" s="50">
        <v>85222</v>
      </c>
      <c r="K14" s="4">
        <v>93786</v>
      </c>
      <c r="L14" s="4">
        <v>113475</v>
      </c>
      <c r="M14" s="68">
        <v>1</v>
      </c>
      <c r="N14" s="37">
        <f t="shared" si="3"/>
        <v>-99.674534223534224</v>
      </c>
      <c r="O14" s="37"/>
      <c r="P14" s="71">
        <f t="shared" si="2"/>
        <v>-99.999118748623033</v>
      </c>
      <c r="Q14" s="106">
        <f t="shared" si="4"/>
        <v>-51.308653516930491</v>
      </c>
      <c r="R14" s="37"/>
      <c r="S14" s="106">
        <f t="shared" si="5"/>
        <v>-97.560975609756099</v>
      </c>
      <c r="T14" s="53" t="s">
        <v>43</v>
      </c>
    </row>
    <row r="15" spans="1:21" s="5" customFormat="1" ht="19.5" customHeight="1">
      <c r="A15" s="29" t="s">
        <v>10</v>
      </c>
      <c r="B15" s="30">
        <v>688020.73461813317</v>
      </c>
      <c r="C15" s="30">
        <v>743513.8192884227</v>
      </c>
      <c r="D15" s="30">
        <v>776707.97190193064</v>
      </c>
      <c r="E15" s="30">
        <v>24673.424657534248</v>
      </c>
      <c r="F15" s="4"/>
      <c r="G15" s="31">
        <v>100191</v>
      </c>
      <c r="H15" s="4">
        <v>104517</v>
      </c>
      <c r="I15" s="31">
        <v>110432</v>
      </c>
      <c r="J15" s="50">
        <v>113175</v>
      </c>
      <c r="K15" s="4">
        <v>122332</v>
      </c>
      <c r="L15" s="4">
        <v>132144</v>
      </c>
      <c r="M15" s="68">
        <v>1752</v>
      </c>
      <c r="N15" s="37">
        <f t="shared" si="3"/>
        <v>-96.823333150924626</v>
      </c>
      <c r="O15" s="37"/>
      <c r="P15" s="71">
        <f t="shared" si="2"/>
        <v>-98.674173628768614</v>
      </c>
      <c r="Q15" s="106" t="s">
        <v>57</v>
      </c>
      <c r="R15" s="37"/>
      <c r="S15" s="106" t="s">
        <v>57</v>
      </c>
      <c r="T15" s="53" t="s">
        <v>44</v>
      </c>
    </row>
    <row r="16" spans="1:21" s="5" customFormat="1" ht="19.5" customHeight="1">
      <c r="A16" s="29" t="s">
        <v>11</v>
      </c>
      <c r="B16" s="30">
        <v>746618.12340413022</v>
      </c>
      <c r="C16" s="30">
        <v>822923.1134527917</v>
      </c>
      <c r="D16" s="30">
        <v>910642.62291399995</v>
      </c>
      <c r="E16" s="30">
        <v>71370.69478742512</v>
      </c>
      <c r="F16" s="4"/>
      <c r="G16" s="31">
        <v>104186</v>
      </c>
      <c r="H16" s="4">
        <v>110144</v>
      </c>
      <c r="I16" s="31">
        <v>112282</v>
      </c>
      <c r="J16" s="50">
        <v>121310</v>
      </c>
      <c r="K16" s="4">
        <v>123992</v>
      </c>
      <c r="L16" s="4">
        <v>139338</v>
      </c>
      <c r="M16" s="68">
        <v>7636</v>
      </c>
      <c r="N16" s="37">
        <f t="shared" si="3"/>
        <v>-92.162601113591265</v>
      </c>
      <c r="O16" s="37"/>
      <c r="P16" s="71">
        <f t="shared" si="2"/>
        <v>-94.519800772222936</v>
      </c>
      <c r="Q16" s="106" t="s">
        <v>57</v>
      </c>
      <c r="R16" s="37"/>
      <c r="S16" s="106" t="s">
        <v>57</v>
      </c>
      <c r="T16" s="53" t="s">
        <v>45</v>
      </c>
    </row>
    <row r="17" spans="1:20" s="5" customFormat="1" ht="19.5" customHeight="1">
      <c r="A17" s="29" t="s">
        <v>12</v>
      </c>
      <c r="B17" s="30">
        <v>604175.35293706728</v>
      </c>
      <c r="C17" s="30">
        <v>648410.82226000517</v>
      </c>
      <c r="D17" s="30">
        <v>708842.01912898617</v>
      </c>
      <c r="E17" s="30">
        <v>75367.862102161744</v>
      </c>
      <c r="F17" s="4"/>
      <c r="G17" s="31">
        <v>95114</v>
      </c>
      <c r="H17" s="4">
        <v>95511</v>
      </c>
      <c r="I17" s="31">
        <v>101909</v>
      </c>
      <c r="J17" s="50">
        <v>105984</v>
      </c>
      <c r="K17" s="4">
        <v>107620</v>
      </c>
      <c r="L17" s="4">
        <v>117619</v>
      </c>
      <c r="M17" s="68">
        <v>9605</v>
      </c>
      <c r="N17" s="37">
        <f t="shared" si="3"/>
        <v>-89.367466929405154</v>
      </c>
      <c r="O17" s="37"/>
      <c r="P17" s="71">
        <f t="shared" si="2"/>
        <v>-91.833802361863306</v>
      </c>
      <c r="Q17" s="106">
        <f>((E17/E16)-1)*100</f>
        <v>5.6005722329620422</v>
      </c>
      <c r="R17" s="37"/>
      <c r="S17" s="106">
        <f t="shared" si="5"/>
        <v>25.785751702462022</v>
      </c>
      <c r="T17" s="53" t="s">
        <v>46</v>
      </c>
    </row>
    <row r="18" spans="1:20" s="5" customFormat="1" ht="19.5" customHeight="1">
      <c r="A18" s="29" t="s">
        <v>13</v>
      </c>
      <c r="B18" s="30">
        <v>793474.41907263896</v>
      </c>
      <c r="C18" s="30">
        <v>820686.79357652483</v>
      </c>
      <c r="D18" s="30">
        <v>916411.3348664348</v>
      </c>
      <c r="E18" s="30">
        <v>169709.08076305894</v>
      </c>
      <c r="F18" s="4"/>
      <c r="G18" s="31">
        <v>110331</v>
      </c>
      <c r="H18" s="4">
        <v>105498</v>
      </c>
      <c r="I18" s="31">
        <v>117489</v>
      </c>
      <c r="J18" s="50">
        <v>127986</v>
      </c>
      <c r="K18" s="4">
        <v>127393</v>
      </c>
      <c r="L18" s="4">
        <v>141928</v>
      </c>
      <c r="M18" s="68">
        <v>21515</v>
      </c>
      <c r="N18" s="37">
        <f t="shared" si="3"/>
        <v>-81.481123780753578</v>
      </c>
      <c r="O18" s="37"/>
      <c r="P18" s="71">
        <f t="shared" si="2"/>
        <v>-84.840905247731243</v>
      </c>
      <c r="Q18" s="106" t="s">
        <v>57</v>
      </c>
      <c r="R18" s="37"/>
      <c r="S18" s="106" t="s">
        <v>57</v>
      </c>
      <c r="T18" s="53" t="s">
        <v>47</v>
      </c>
    </row>
    <row r="19" spans="1:20" s="5" customFormat="1" ht="19.5" customHeight="1">
      <c r="A19" s="29" t="s">
        <v>14</v>
      </c>
      <c r="B19" s="30">
        <v>750052.33152232482</v>
      </c>
      <c r="C19" s="30">
        <v>809163.62732057029</v>
      </c>
      <c r="D19" s="30">
        <v>887046.05096720241</v>
      </c>
      <c r="E19" s="30">
        <v>279030.28204043105</v>
      </c>
      <c r="F19" s="4"/>
      <c r="G19" s="31">
        <v>89778</v>
      </c>
      <c r="H19" s="4">
        <v>90218</v>
      </c>
      <c r="I19" s="31">
        <v>104572</v>
      </c>
      <c r="J19" s="50">
        <v>120506</v>
      </c>
      <c r="K19" s="4">
        <v>125604</v>
      </c>
      <c r="L19" s="4">
        <v>137921</v>
      </c>
      <c r="M19" s="68">
        <v>35757</v>
      </c>
      <c r="N19" s="37">
        <f t="shared" si="3"/>
        <v>-68.543878670539527</v>
      </c>
      <c r="O19" s="37"/>
      <c r="P19" s="71">
        <f t="shared" si="2"/>
        <v>-74.0742889045178</v>
      </c>
      <c r="Q19" s="106">
        <f>((E19/E18)-1)*100</f>
        <v>64.41682483096001</v>
      </c>
      <c r="R19" s="37"/>
      <c r="S19" s="106">
        <f t="shared" si="5"/>
        <v>66.195677434348127</v>
      </c>
      <c r="T19" s="53" t="s">
        <v>48</v>
      </c>
    </row>
    <row r="20" spans="1:20" s="5" customFormat="1" ht="19.5" customHeight="1">
      <c r="A20" s="32" t="s">
        <v>15</v>
      </c>
      <c r="B20" s="33">
        <v>863087.92721037427</v>
      </c>
      <c r="C20" s="33">
        <v>909650.77808140765</v>
      </c>
      <c r="D20" s="33">
        <v>1049504.1896929736</v>
      </c>
      <c r="E20" s="33">
        <v>623284.39704837371</v>
      </c>
      <c r="F20" s="3"/>
      <c r="G20" s="34">
        <v>103744</v>
      </c>
      <c r="H20" s="3">
        <v>119255</v>
      </c>
      <c r="I20" s="34">
        <v>119530</v>
      </c>
      <c r="J20" s="51">
        <v>143041</v>
      </c>
      <c r="K20" s="3">
        <v>150818</v>
      </c>
      <c r="L20" s="3">
        <v>171348</v>
      </c>
      <c r="M20" s="69">
        <v>96412</v>
      </c>
      <c r="N20" s="46">
        <f t="shared" si="3"/>
        <v>-40.611537984358883</v>
      </c>
      <c r="O20" s="38"/>
      <c r="P20" s="72">
        <f t="shared" si="2"/>
        <v>-43.73322128066858</v>
      </c>
      <c r="Q20" s="46" t="s">
        <v>57</v>
      </c>
      <c r="R20" s="38"/>
      <c r="S20" s="46" t="s">
        <v>57</v>
      </c>
      <c r="T20" s="54" t="s">
        <v>49</v>
      </c>
    </row>
    <row r="21" spans="1:20" s="5" customFormat="1" ht="17.25">
      <c r="A21" s="1" t="s">
        <v>51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59" t="s">
        <v>50</v>
      </c>
    </row>
    <row r="22" spans="1:20" s="5" customFormat="1" ht="15.75" customHeight="1">
      <c r="A22" s="1" t="s">
        <v>1</v>
      </c>
      <c r="T22" s="55" t="s">
        <v>16</v>
      </c>
    </row>
    <row r="23" spans="1:20" s="5" customFormat="1" ht="15.75" customHeight="1">
      <c r="A23" s="66" t="s">
        <v>55</v>
      </c>
      <c r="T23" s="55"/>
    </row>
    <row r="24" spans="1:20" s="5" customFormat="1" ht="15.75" customHeight="1">
      <c r="A24" s="67" t="s">
        <v>56</v>
      </c>
      <c r="T24" s="55"/>
    </row>
    <row r="25" spans="1:20" s="5" customFormat="1" ht="15.75" customHeight="1">
      <c r="A25" s="107" t="s">
        <v>58</v>
      </c>
      <c r="T25" s="55"/>
    </row>
    <row r="26" spans="1:20" s="5" customFormat="1" ht="15.75" customHeight="1">
      <c r="A26" s="1"/>
      <c r="T26" s="55"/>
    </row>
    <row r="27" spans="1:20" s="5" customFormat="1" ht="14.25"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56"/>
    </row>
    <row r="28" spans="1:20" s="5" customFormat="1" ht="14.25">
      <c r="A28" s="1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57"/>
    </row>
    <row r="29" spans="1:20" s="5" customFormat="1" ht="14.25" customHeight="1">
      <c r="A29" s="36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56"/>
    </row>
    <row r="31" spans="1:20" ht="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7"/>
    </row>
    <row r="46" spans="37:48"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</row>
    <row r="50" spans="38:38">
      <c r="AL50" s="7" t="s">
        <v>17</v>
      </c>
    </row>
    <row r="51" spans="38:38">
      <c r="AL51" s="7" t="s">
        <v>18</v>
      </c>
    </row>
    <row r="52" spans="38:38">
      <c r="AL52" s="7" t="s">
        <v>19</v>
      </c>
    </row>
    <row r="53" spans="38:38">
      <c r="AL53" s="7" t="s">
        <v>20</v>
      </c>
    </row>
    <row r="54" spans="38:38">
      <c r="AL54" s="7" t="s">
        <v>8</v>
      </c>
    </row>
    <row r="55" spans="38:38">
      <c r="AL55" s="7" t="s">
        <v>21</v>
      </c>
    </row>
    <row r="56" spans="38:38">
      <c r="AL56" s="7" t="s">
        <v>22</v>
      </c>
    </row>
    <row r="57" spans="38:38">
      <c r="AL57" s="7" t="s">
        <v>23</v>
      </c>
    </row>
    <row r="58" spans="38:38">
      <c r="AL58" s="7" t="s">
        <v>24</v>
      </c>
    </row>
    <row r="59" spans="38:38">
      <c r="AL59" s="7" t="s">
        <v>25</v>
      </c>
    </row>
    <row r="60" spans="38:38">
      <c r="AL60" s="7" t="s">
        <v>26</v>
      </c>
    </row>
    <row r="61" spans="38:38">
      <c r="AL61" s="7" t="s">
        <v>27</v>
      </c>
    </row>
  </sheetData>
  <mergeCells count="14">
    <mergeCell ref="B3:E4"/>
    <mergeCell ref="J3:M4"/>
    <mergeCell ref="B5:E6"/>
    <mergeCell ref="J5:M6"/>
    <mergeCell ref="A1:T1"/>
    <mergeCell ref="A2:T2"/>
    <mergeCell ref="A3:A7"/>
    <mergeCell ref="T3:T7"/>
    <mergeCell ref="N3:P3"/>
    <mergeCell ref="Q3:S3"/>
    <mergeCell ref="Q4:S4"/>
    <mergeCell ref="N7:P7"/>
    <mergeCell ref="Q7:S7"/>
    <mergeCell ref="N4:P4"/>
  </mergeCells>
  <pageMargins left="0.7" right="0.7" top="0.75" bottom="0.75" header="0.3" footer="0.3"/>
  <pageSetup paperSize="9" scale="60" orientation="landscape" horizontalDpi="4294967295" verticalDpi="4294967295" r:id="rId1"/>
  <rowBreaks count="1" manualBreakCount="1">
    <brk id="48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10.9</vt:lpstr>
      <vt:lpstr>'10.9'!Print_Area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2021-09-27T08:41:29Z</cp:lastPrinted>
  <dcterms:created xsi:type="dcterms:W3CDTF">2019-02-27T06:18:18Z</dcterms:created>
  <dcterms:modified xsi:type="dcterms:W3CDTF">2021-09-27T08:42:59Z</dcterms:modified>
</cp:coreProperties>
</file>