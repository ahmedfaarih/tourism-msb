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10" sheetId="16" r:id="rId1"/>
  </sheets>
  <externalReferences>
    <externalReference r:id="rId2"/>
    <externalReference r:id="rId3"/>
    <externalReference r:id="rId4"/>
  </externalReferences>
  <definedNames>
    <definedName name="_xlnm.Print_Area" localSheetId="0">'10.10'!$A$1:$M$33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6" l="1"/>
  <c r="H19" i="16"/>
  <c r="G19" i="16"/>
  <c r="F19" i="16"/>
  <c r="I18" i="16"/>
  <c r="H18" i="16"/>
  <c r="G18" i="16"/>
  <c r="F18" i="16"/>
  <c r="L16" i="16"/>
  <c r="L19" i="16" s="1"/>
  <c r="K16" i="16"/>
  <c r="K19" i="16" s="1"/>
  <c r="J16" i="16"/>
  <c r="J19" i="16" s="1"/>
  <c r="L15" i="16"/>
  <c r="K15" i="16"/>
  <c r="K14" i="16" s="1"/>
  <c r="J15" i="16"/>
  <c r="J18" i="16" s="1"/>
  <c r="I14" i="16"/>
  <c r="I17" i="16" s="1"/>
  <c r="H14" i="16"/>
  <c r="G14" i="16"/>
  <c r="F14" i="16"/>
  <c r="E14" i="16"/>
  <c r="D14" i="16"/>
  <c r="D17" i="16" s="1"/>
  <c r="C14" i="16"/>
  <c r="B14" i="16"/>
  <c r="L11" i="16"/>
  <c r="K11" i="16"/>
  <c r="J11" i="16"/>
  <c r="I11" i="16"/>
  <c r="H11" i="16"/>
  <c r="G11" i="16"/>
  <c r="F11" i="16"/>
  <c r="E11" i="16"/>
  <c r="C11" i="16"/>
  <c r="B11" i="16"/>
  <c r="L9" i="16"/>
  <c r="K9" i="16"/>
  <c r="J9" i="16"/>
  <c r="I9" i="16"/>
  <c r="H9" i="16"/>
  <c r="G9" i="16"/>
  <c r="F9" i="16"/>
  <c r="K17" i="16" l="1"/>
  <c r="E17" i="16"/>
  <c r="C17" i="16"/>
  <c r="G17" i="16"/>
  <c r="H17" i="16"/>
  <c r="B17" i="16"/>
  <c r="J14" i="16"/>
  <c r="J17" i="16" s="1"/>
  <c r="K18" i="16"/>
  <c r="F17" i="16"/>
  <c r="L14" i="16"/>
  <c r="L17" i="16" s="1"/>
  <c r="L18" i="16"/>
</calcChain>
</file>

<file path=xl/sharedStrings.xml><?xml version="1.0" encoding="utf-8"?>
<sst xmlns="http://schemas.openxmlformats.org/spreadsheetml/2006/main" count="49" uniqueCount="38">
  <si>
    <t>2023 - 2010 ,ctwbcsin egInwdcmWa iaWdwrwK egWriaWd egumwkirevurutwf cniaeret eguTejwb egurWkurws : 10.10 ulwvWt</t>
  </si>
  <si>
    <t xml:space="preserve">     (In Million MVR)</t>
  </si>
  <si>
    <t>Particulars</t>
  </si>
  <si>
    <t>Actual</t>
  </si>
  <si>
    <t>Revised</t>
  </si>
  <si>
    <t>Estimate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</si>
  <si>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</si>
  <si>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</si>
  <si>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</si>
  <si>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</si>
  <si>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</si>
  <si>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</si>
  <si>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</si>
  <si>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</si>
  <si>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</si>
  <si>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</si>
  <si>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</si>
  <si>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</si>
  <si>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</si>
  <si>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</si>
  <si>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</si>
  <si>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</si>
  <si>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</si>
  <si>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</si>
  <si>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</si>
  <si>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</si>
  <si>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</si>
  <si>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 Tourism Revenue: 2010 onwards the figures include Tourism tax, and Resort lease rent (Resort kuli) </t>
  </si>
  <si>
    <t xml:space="preserve"> * 2011 onwards Tourism Goods and Services tax has been included in Total Revenue</t>
  </si>
  <si>
    <t>* 2012 onwards lease period Extension fee has been included in Total Revenue</t>
  </si>
  <si>
    <t>* Tourism Tax was abolished in Nov 2014</t>
  </si>
  <si>
    <t>* Green tax introduced in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</si>
  <si>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</si>
  <si>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</si>
  <si>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</si>
  <si>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</si>
  <si>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</si>
  <si>
    <t xml:space="preserve">Table  10.10 : PROPORTION OF TOURISM REVENUE AND EXPENDITURE TO CENTRAL GOVERNMENT BUDGET, 2010 - 2020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</si>
</sst>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9" formatCode="General_)"/>
    <numFmt numFmtId="170" formatCode="#,##0.0_);\(#,##0.0\)"/>
    <numFmt numFmtId="171" formatCode="0.00_)"/>
    <numFmt numFmtId="172" formatCode="_(* #,##0.0_);_(* \(#,##0.0\);_(* &quot;-&quot;??_);_(@_)"/>
    <numFmt numFmtId="173" formatCode="0_);\(0\)"/>
    <numFmt numFmtId="175" formatCode="_(* #,##0.0_);_(* \(#,##0.0\);_(* &quot;-&quot;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_Randhoo"/>
    </font>
    <font>
      <sz val="10"/>
      <name val="Courier"/>
      <family val="3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10"/>
      <color theme="1"/>
      <name val="A_Faseyha"/>
    </font>
    <font>
      <b/>
      <sz val="12"/>
      <color theme="1"/>
      <name val="A_Faseyha"/>
    </font>
    <font>
      <sz val="10"/>
      <color theme="1"/>
      <name val="A_Faseyha"/>
    </font>
    <font>
      <sz val="11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/>
    <xf numFmtId="0" fontId="12" fillId="0" borderId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9" fillId="2" borderId="0" xfId="0" applyFont="1" applyFill="1"/>
    <xf numFmtId="169" fontId="9" fillId="2" borderId="0" xfId="4" applyNumberFormat="1" applyFont="1" applyFill="1" applyAlignment="1">
      <alignment vertical="center"/>
    </xf>
    <xf numFmtId="169" fontId="9" fillId="2" borderId="0" xfId="4" applyNumberFormat="1" applyFont="1" applyFill="1" applyAlignment="1">
      <alignment horizontal="right" vertical="center"/>
    </xf>
    <xf numFmtId="169" fontId="5" fillId="2" borderId="0" xfId="4" applyNumberFormat="1" applyFont="1" applyFill="1" applyBorder="1" applyAlignment="1">
      <alignment horizontal="right" vertical="center"/>
    </xf>
    <xf numFmtId="169" fontId="5" fillId="2" borderId="1" xfId="4" applyNumberFormat="1" applyFont="1" applyFill="1" applyBorder="1" applyAlignment="1">
      <alignment horizontal="right" vertical="center"/>
    </xf>
    <xf numFmtId="173" fontId="5" fillId="2" borderId="2" xfId="3" applyNumberFormat="1" applyFont="1" applyFill="1" applyBorder="1" applyAlignment="1" applyProtection="1">
      <alignment horizontal="right" vertical="center"/>
    </xf>
    <xf numFmtId="0" fontId="21" fillId="2" borderId="2" xfId="0" applyFont="1" applyFill="1" applyBorder="1"/>
    <xf numFmtId="169" fontId="9" fillId="2" borderId="0" xfId="4" applyNumberFormat="1" applyFont="1" applyFill="1" applyBorder="1" applyAlignment="1">
      <alignment vertical="center"/>
    </xf>
    <xf numFmtId="169" fontId="5" fillId="2" borderId="0" xfId="4" applyNumberFormat="1" applyFont="1" applyFill="1" applyBorder="1" applyAlignment="1">
      <alignment horizontal="left" vertical="center"/>
    </xf>
    <xf numFmtId="170" fontId="6" fillId="2" borderId="0" xfId="3" applyNumberFormat="1" applyFont="1" applyFill="1" applyBorder="1" applyAlignment="1" applyProtection="1">
      <alignment horizontal="right" vertical="center"/>
    </xf>
    <xf numFmtId="169" fontId="6" fillId="2" borderId="1" xfId="3" applyNumberFormat="1" applyFont="1" applyFill="1" applyBorder="1" applyAlignment="1">
      <alignment horizontal="right" vertical="center"/>
    </xf>
    <xf numFmtId="169" fontId="6" fillId="2" borderId="0" xfId="3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9" fontId="7" fillId="2" borderId="0" xfId="4" applyNumberFormat="1" applyFont="1" applyFill="1" applyAlignment="1">
      <alignment vertical="center"/>
    </xf>
    <xf numFmtId="172" fontId="5" fillId="2" borderId="0" xfId="8" applyNumberFormat="1" applyFont="1" applyFill="1" applyBorder="1" applyAlignment="1">
      <alignment horizontal="right" vertical="center"/>
    </xf>
    <xf numFmtId="169" fontId="10" fillId="2" borderId="0" xfId="4" applyNumberFormat="1" applyFont="1" applyFill="1" applyAlignment="1">
      <alignment vertical="center"/>
    </xf>
    <xf numFmtId="169" fontId="6" fillId="2" borderId="0" xfId="4" applyNumberFormat="1" applyFont="1" applyFill="1" applyBorder="1" applyAlignment="1">
      <alignment horizontal="left" vertical="center"/>
    </xf>
    <xf numFmtId="172" fontId="6" fillId="2" borderId="0" xfId="8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9" fontId="5" fillId="2" borderId="0" xfId="4" applyNumberFormat="1" applyFont="1" applyFill="1" applyAlignment="1">
      <alignment horizontal="left" vertical="center"/>
    </xf>
    <xf numFmtId="172" fontId="5" fillId="2" borderId="0" xfId="8" applyNumberFormat="1" applyFont="1" applyFill="1" applyAlignment="1">
      <alignment horizontal="right" vertical="center"/>
    </xf>
    <xf numFmtId="172" fontId="6" fillId="2" borderId="0" xfId="8" applyNumberFormat="1" applyFont="1" applyFill="1" applyAlignment="1">
      <alignment horizontal="right" vertical="center"/>
    </xf>
    <xf numFmtId="169" fontId="6" fillId="2" borderId="2" xfId="4" applyNumberFormat="1" applyFont="1" applyFill="1" applyBorder="1" applyAlignment="1">
      <alignment horizontal="left" vertical="center"/>
    </xf>
    <xf numFmtId="172" fontId="6" fillId="2" borderId="2" xfId="8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169" fontId="14" fillId="2" borderId="0" xfId="4" applyNumberFormat="1" applyFont="1" applyFill="1" applyAlignment="1">
      <alignment horizontal="right" vertical="center"/>
    </xf>
    <xf numFmtId="169" fontId="14" fillId="2" borderId="0" xfId="4" applyNumberFormat="1" applyFont="1" applyFill="1" applyAlignment="1">
      <alignment vertical="center"/>
    </xf>
    <xf numFmtId="169" fontId="14" fillId="2" borderId="0" xfId="4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indent="2"/>
    </xf>
    <xf numFmtId="169" fontId="7" fillId="2" borderId="0" xfId="4" applyNumberFormat="1" applyFont="1" applyFill="1" applyAlignment="1">
      <alignment horizontal="right" vertical="center"/>
    </xf>
    <xf numFmtId="169" fontId="7" fillId="2" borderId="0" xfId="4" applyNumberFormat="1" applyFont="1" applyFill="1" applyBorder="1" applyAlignment="1">
      <alignment vertical="center"/>
    </xf>
    <xf numFmtId="169" fontId="4" fillId="2" borderId="0" xfId="4" applyNumberFormat="1" applyFont="1" applyFill="1" applyBorder="1" applyAlignment="1">
      <alignment vertical="center"/>
    </xf>
    <xf numFmtId="169" fontId="7" fillId="2" borderId="0" xfId="4" applyNumberFormat="1" applyFont="1" applyFill="1" applyBorder="1" applyAlignment="1">
      <alignment horizontal="right" vertical="center"/>
    </xf>
    <xf numFmtId="169" fontId="7" fillId="2" borderId="0" xfId="4" applyNumberFormat="1" applyFont="1" applyFill="1" applyAlignment="1">
      <alignment horizontal="left" vertical="center"/>
    </xf>
    <xf numFmtId="0" fontId="9" fillId="2" borderId="0" xfId="0" applyFont="1" applyFill="1" applyBorder="1"/>
    <xf numFmtId="169" fontId="4" fillId="2" borderId="0" xfId="4" applyNumberFormat="1" applyFont="1" applyFill="1" applyAlignment="1">
      <alignment horizontal="left" vertical="center"/>
    </xf>
    <xf numFmtId="169" fontId="4" fillId="2" borderId="0" xfId="4" applyNumberFormat="1" applyFont="1" applyFill="1" applyAlignment="1">
      <alignment horizontal="left" vertical="center" indent="2"/>
    </xf>
    <xf numFmtId="175" fontId="22" fillId="2" borderId="0" xfId="8" applyNumberFormat="1" applyFont="1" applyFill="1" applyBorder="1" applyAlignment="1">
      <alignment vertical="center"/>
    </xf>
    <xf numFmtId="169" fontId="20" fillId="2" borderId="0" xfId="3" applyNumberFormat="1" applyFont="1" applyFill="1" applyAlignment="1">
      <alignment horizontal="center" vertical="center"/>
    </xf>
    <xf numFmtId="169" fontId="8" fillId="2" borderId="0" xfId="4" applyNumberFormat="1" applyFont="1" applyFill="1" applyBorder="1" applyAlignment="1" applyProtection="1">
      <alignment horizontal="center" vertical="center" wrapText="1"/>
    </xf>
    <xf numFmtId="169" fontId="8" fillId="2" borderId="0" xfId="4" applyNumberFormat="1" applyFont="1" applyFill="1" applyBorder="1" applyAlignment="1" applyProtection="1">
      <alignment horizontal="center" vertical="center"/>
    </xf>
    <xf numFmtId="169" fontId="5" fillId="2" borderId="2" xfId="4" applyNumberFormat="1" applyFont="1" applyFill="1" applyBorder="1" applyAlignment="1">
      <alignment horizontal="center" vertical="top"/>
    </xf>
    <xf numFmtId="169" fontId="5" fillId="2" borderId="0" xfId="4" applyNumberFormat="1" applyFont="1" applyFill="1" applyBorder="1" applyAlignment="1">
      <alignment horizontal="center" vertical="top"/>
    </xf>
    <xf numFmtId="0" fontId="5" fillId="2" borderId="1" xfId="10" applyNumberFormat="1" applyFont="1" applyFill="1" applyBorder="1" applyAlignment="1">
      <alignment horizontal="left" vertical="center"/>
    </xf>
    <xf numFmtId="0" fontId="5" fillId="2" borderId="2" xfId="1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 indent="2"/>
    </xf>
  </cellXfs>
  <cellStyles count="23">
    <cellStyle name="1" xfId="7"/>
    <cellStyle name="Comma 2" xfId="21"/>
    <cellStyle name="Comma 3" xfId="8"/>
    <cellStyle name="Normal" xfId="0" builtinId="0"/>
    <cellStyle name="Normal - Style1" xfId="9"/>
    <cellStyle name="Normal 10" xfId="15"/>
    <cellStyle name="Normal 2" xfId="1"/>
    <cellStyle name="Normal 2 2" xfId="10"/>
    <cellStyle name="Normal 2 2 2" xfId="22"/>
    <cellStyle name="Normal 3" xfId="11"/>
    <cellStyle name="Normal 4" xfId="16"/>
    <cellStyle name="Normal 4 2" xfId="12"/>
    <cellStyle name="Normal 4 2 2" xfId="17"/>
    <cellStyle name="Normal 5" xfId="13"/>
    <cellStyle name="Normal 5 2" xfId="5"/>
    <cellStyle name="Normal 6" xfId="18"/>
    <cellStyle name="Normal 7" xfId="19"/>
    <cellStyle name="Normal 8" xfId="20"/>
    <cellStyle name="Normal 9" xfId="6"/>
    <cellStyle name="Normal_VIII-8 (Tourism) 2" xfId="3"/>
    <cellStyle name="Normal_VIII-8 (Tourism) 2 3" xfId="4"/>
    <cellStyle name="Percent 2" xfId="14"/>
    <cellStyle name="Percent 2 2" xfId="2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overnment%20Annual%20Budget%202014\Government%20Annual%20Budget%202020\2020%20Approved%20Budgets\S29%20-%20Ministry%20of%20Tourism\1204Bgt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ftstorage\Data\Government%20Annual%20Budget%202014\Government%20Annual%20Budget%202021\2021%20Approved%20Budgets\S29%20-%20Ministry%20of%20Tourism\1204Bgt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_Budget"/>
      <sheetName val="NPI-Activities"/>
      <sheetName val="PSIP-Domestic"/>
    </sheetNames>
    <sheetDataSet>
      <sheetData sheetId="0" refreshError="1">
        <row r="10">
          <cell r="B10">
            <v>47095927</v>
          </cell>
          <cell r="F10">
            <v>62316150</v>
          </cell>
        </row>
        <row r="11">
          <cell r="F11">
            <v>826800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_Budget"/>
    </sheetNames>
    <sheetDataSet>
      <sheetData sheetId="0" refreshError="1">
        <row r="14">
          <cell r="B14">
            <v>28539116</v>
          </cell>
          <cell r="E14">
            <v>38354809</v>
          </cell>
          <cell r="F14">
            <v>43368542</v>
          </cell>
        </row>
        <row r="27">
          <cell r="E27">
            <v>3615153</v>
          </cell>
          <cell r="F27">
            <v>811887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97"/>
  <sheetViews>
    <sheetView tabSelected="1" zoomScaleNormal="100" workbookViewId="0">
      <selection activeCell="O95" sqref="O95"/>
    </sheetView>
  </sheetViews>
  <sheetFormatPr defaultColWidth="8.85546875" defaultRowHeight="12.75"/>
  <cols>
    <col min="1" max="1" width="33.28515625" style="2" customWidth="1"/>
    <col min="2" max="4" width="9.85546875" style="3" customWidth="1"/>
    <col min="5" max="7" width="9.85546875" style="2" customWidth="1"/>
    <col min="8" max="10" width="9" style="2" bestFit="1" customWidth="1"/>
    <col min="11" max="12" width="9" style="8" bestFit="1" customWidth="1"/>
    <col min="13" max="13" width="49.28515625" style="2" bestFit="1" customWidth="1"/>
    <col min="14" max="16384" width="8.85546875" style="2"/>
  </cols>
  <sheetData>
    <row r="1" spans="1:13" ht="18.7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4" customHeight="1">
      <c r="A2" s="42" t="s">
        <v>37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1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5"/>
      <c r="K3" s="45"/>
      <c r="L3" s="45"/>
      <c r="M3" s="44"/>
    </row>
    <row r="4" spans="1:13">
      <c r="A4" s="46" t="s">
        <v>2</v>
      </c>
      <c r="E4" s="4"/>
      <c r="F4" s="4"/>
      <c r="G4" s="4" t="s">
        <v>3</v>
      </c>
      <c r="H4" s="4" t="s">
        <v>3</v>
      </c>
      <c r="I4" s="4" t="s">
        <v>3</v>
      </c>
      <c r="J4" s="5" t="s">
        <v>3</v>
      </c>
      <c r="K4" s="5" t="s">
        <v>4</v>
      </c>
      <c r="L4" s="5" t="s">
        <v>5</v>
      </c>
      <c r="M4" s="1"/>
    </row>
    <row r="5" spans="1:13" s="8" customFormat="1" ht="15.75">
      <c r="A5" s="47"/>
      <c r="B5" s="6">
        <v>2010</v>
      </c>
      <c r="C5" s="6">
        <v>2011</v>
      </c>
      <c r="D5" s="6">
        <v>2012</v>
      </c>
      <c r="E5" s="6">
        <v>2013</v>
      </c>
      <c r="F5" s="6">
        <v>2014</v>
      </c>
      <c r="G5" s="6">
        <v>2015</v>
      </c>
      <c r="H5" s="6">
        <v>2016</v>
      </c>
      <c r="I5" s="6">
        <v>2017</v>
      </c>
      <c r="J5" s="6">
        <v>2018</v>
      </c>
      <c r="K5" s="6">
        <v>2019</v>
      </c>
      <c r="L5" s="6">
        <v>2020</v>
      </c>
      <c r="M5" s="7"/>
    </row>
    <row r="6" spans="1:13" s="14" customFormat="1" ht="15.75">
      <c r="A6" s="9" t="s">
        <v>6</v>
      </c>
      <c r="B6" s="10"/>
      <c r="C6" s="11"/>
      <c r="D6" s="11"/>
      <c r="E6" s="12"/>
      <c r="F6" s="12"/>
      <c r="G6" s="12"/>
      <c r="H6" s="12"/>
      <c r="I6" s="12"/>
      <c r="J6" s="12"/>
      <c r="K6" s="12"/>
      <c r="L6" s="12"/>
      <c r="M6" s="13" t="s">
        <v>7</v>
      </c>
    </row>
    <row r="7" spans="1:13" s="16" customFormat="1" ht="15.75">
      <c r="A7" s="9" t="s">
        <v>8</v>
      </c>
      <c r="B7" s="15">
        <v>6392.3855347199969</v>
      </c>
      <c r="C7" s="15">
        <v>9172.1262260000003</v>
      </c>
      <c r="D7" s="15">
        <v>9771.4430765199995</v>
      </c>
      <c r="E7" s="15">
        <v>11783.092823999999</v>
      </c>
      <c r="F7" s="15">
        <v>14998.954087</v>
      </c>
      <c r="G7" s="15">
        <v>16669.260270999999</v>
      </c>
      <c r="H7" s="15">
        <v>18324.937604999999</v>
      </c>
      <c r="I7" s="15">
        <v>19914.872814000002</v>
      </c>
      <c r="J7" s="15">
        <v>21403.159912000003</v>
      </c>
      <c r="K7" s="15">
        <v>22008.821725999998</v>
      </c>
      <c r="L7" s="15">
        <v>12550.225141000001</v>
      </c>
      <c r="M7" s="13" t="s">
        <v>9</v>
      </c>
    </row>
    <row r="8" spans="1:13" s="14" customFormat="1" ht="15.75">
      <c r="A8" s="17" t="s">
        <v>10</v>
      </c>
      <c r="B8" s="18">
        <v>1703.6</v>
      </c>
      <c r="C8" s="18">
        <v>2568.2981019999997</v>
      </c>
      <c r="D8" s="18">
        <v>3389.5097959999998</v>
      </c>
      <c r="E8" s="18">
        <v>4122.6634639999993</v>
      </c>
      <c r="F8" s="18">
        <v>5621.5076369999997</v>
      </c>
      <c r="G8" s="18">
        <v>6532.7918000000009</v>
      </c>
      <c r="H8" s="18">
        <v>6471.0405261699998</v>
      </c>
      <c r="I8" s="18">
        <v>6595.9007819999988</v>
      </c>
      <c r="J8" s="18">
        <v>7329.377437000001</v>
      </c>
      <c r="K8" s="18">
        <v>7797.4296160000004</v>
      </c>
      <c r="L8" s="18">
        <v>2892.2325249999999</v>
      </c>
      <c r="M8" s="19" t="s">
        <v>11</v>
      </c>
    </row>
    <row r="9" spans="1:13" s="14" customFormat="1" ht="15.75">
      <c r="A9" s="17" t="s">
        <v>12</v>
      </c>
      <c r="B9" s="18">
        <v>26.650457653828319</v>
      </c>
      <c r="C9" s="18">
        <v>28.0011203369586</v>
      </c>
      <c r="D9" s="18">
        <v>34.687914256438972</v>
      </c>
      <c r="E9" s="18">
        <v>34.987957114306099</v>
      </c>
      <c r="F9" s="18">
        <f>(F8/F7)*100</f>
        <v>37.479330921296125</v>
      </c>
      <c r="G9" s="18">
        <f>(G8/G7)*100</f>
        <v>39.190652097293665</v>
      </c>
      <c r="H9" s="18">
        <f t="shared" ref="H9:L9" si="0">(H8/H7)*100</f>
        <v>35.312756123133333</v>
      </c>
      <c r="I9" s="18">
        <f t="shared" si="0"/>
        <v>33.120476558419853</v>
      </c>
      <c r="J9" s="18">
        <f t="shared" si="0"/>
        <v>34.244370771115321</v>
      </c>
      <c r="K9" s="18">
        <f>(K8/K7)*100</f>
        <v>35.428655441324928</v>
      </c>
      <c r="L9" s="18">
        <f t="shared" si="0"/>
        <v>23.045264069020096</v>
      </c>
      <c r="M9" s="19" t="s">
        <v>13</v>
      </c>
    </row>
    <row r="10" spans="1:13" s="14" customFormat="1" ht="15.75">
      <c r="A10" s="9" t="s">
        <v>14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3" t="s">
        <v>15</v>
      </c>
    </row>
    <row r="11" spans="1:13" s="16" customFormat="1" ht="15.75">
      <c r="A11" s="9" t="s">
        <v>16</v>
      </c>
      <c r="B11" s="15">
        <f>SUM(B12:B13)</f>
        <v>10996.362102899999</v>
      </c>
      <c r="C11" s="15">
        <f>SUM(C12:C13)</f>
        <v>12663.726665999999</v>
      </c>
      <c r="D11" s="15">
        <v>13200.234560999999</v>
      </c>
      <c r="E11" s="15">
        <f>SUM(E12:E13)</f>
        <v>13666.256009089999</v>
      </c>
      <c r="F11" s="15">
        <f>SUM(F12:F13)</f>
        <v>16539.373646</v>
      </c>
      <c r="G11" s="15">
        <f t="shared" ref="G11:J11" si="1">SUM(G12:G13)</f>
        <v>21440.752132670001</v>
      </c>
      <c r="H11" s="15">
        <f t="shared" si="1"/>
        <v>25306.509388119997</v>
      </c>
      <c r="I11" s="15">
        <f t="shared" si="1"/>
        <v>22497.557322000001</v>
      </c>
      <c r="J11" s="15">
        <f t="shared" si="1"/>
        <v>26522.292830999999</v>
      </c>
      <c r="K11" s="15">
        <f>SUM(K12:K13)</f>
        <v>30128.216622</v>
      </c>
      <c r="L11" s="15">
        <f>SUM(L12:L13)</f>
        <v>31787.135124</v>
      </c>
      <c r="M11" s="19" t="s">
        <v>17</v>
      </c>
    </row>
    <row r="12" spans="1:13" s="14" customFormat="1" ht="18.75">
      <c r="A12" s="17" t="s">
        <v>18</v>
      </c>
      <c r="B12" s="18">
        <v>8428.0733739999996</v>
      </c>
      <c r="C12" s="18">
        <v>9075.7434510000003</v>
      </c>
      <c r="D12" s="18">
        <v>10316.485255</v>
      </c>
      <c r="E12" s="18">
        <v>11573.21458545</v>
      </c>
      <c r="F12" s="18">
        <v>13959.96852</v>
      </c>
      <c r="G12" s="18">
        <v>16733.599942880002</v>
      </c>
      <c r="H12" s="18">
        <v>16141.004692499997</v>
      </c>
      <c r="I12" s="18">
        <v>14955.176706</v>
      </c>
      <c r="J12" s="18">
        <v>18268.036271999998</v>
      </c>
      <c r="K12" s="18">
        <v>21371.957551</v>
      </c>
      <c r="L12" s="18">
        <v>20876.937707000001</v>
      </c>
      <c r="M12" s="20" t="s">
        <v>19</v>
      </c>
    </row>
    <row r="13" spans="1:13" s="14" customFormat="1" ht="18.75">
      <c r="A13" s="17" t="s">
        <v>20</v>
      </c>
      <c r="B13" s="18">
        <v>2568.2887288999996</v>
      </c>
      <c r="C13" s="18">
        <v>3587.9832149999993</v>
      </c>
      <c r="D13" s="18">
        <v>2883.7493059999997</v>
      </c>
      <c r="E13" s="18">
        <v>2093.0414236399993</v>
      </c>
      <c r="F13" s="18">
        <v>2579.4051260000006</v>
      </c>
      <c r="G13" s="18">
        <v>4707.1521897899993</v>
      </c>
      <c r="H13" s="18">
        <v>9165.5046956200003</v>
      </c>
      <c r="I13" s="18">
        <v>7542.3806160000004</v>
      </c>
      <c r="J13" s="18">
        <v>8254.2565589999995</v>
      </c>
      <c r="K13" s="18">
        <v>8756.2590710000004</v>
      </c>
      <c r="L13" s="18">
        <v>10910.197416999999</v>
      </c>
      <c r="M13" s="20" t="s">
        <v>21</v>
      </c>
    </row>
    <row r="14" spans="1:13" s="16" customFormat="1" ht="15.75">
      <c r="A14" s="9" t="s">
        <v>22</v>
      </c>
      <c r="B14" s="15">
        <f t="shared" ref="B14:E14" si="2">SUM(B15:B16)</f>
        <v>46.85</v>
      </c>
      <c r="C14" s="15">
        <f t="shared" si="2"/>
        <v>33.749468999999998</v>
      </c>
      <c r="D14" s="15">
        <f>SUM(D15:D16)</f>
        <v>52.6</v>
      </c>
      <c r="E14" s="15">
        <f t="shared" si="2"/>
        <v>33.124519409999998</v>
      </c>
      <c r="F14" s="15">
        <f>SUM(F15:F16)</f>
        <v>49.642775</v>
      </c>
      <c r="G14" s="15">
        <f t="shared" ref="G14:L14" si="3">SUM(G15:G16)</f>
        <v>103.70914999999999</v>
      </c>
      <c r="H14" s="15">
        <f t="shared" si="3"/>
        <v>143.48095713999999</v>
      </c>
      <c r="I14" s="15">
        <f t="shared" si="3"/>
        <v>62.798475164999999</v>
      </c>
      <c r="J14" s="15">
        <f t="shared" si="3"/>
        <v>63.142949999999999</v>
      </c>
      <c r="K14" s="15">
        <f t="shared" si="3"/>
        <v>44.180428999999997</v>
      </c>
      <c r="L14" s="15">
        <f t="shared" si="3"/>
        <v>41.969962000000002</v>
      </c>
      <c r="M14" s="13" t="s">
        <v>23</v>
      </c>
    </row>
    <row r="15" spans="1:13" s="14" customFormat="1" ht="18.75">
      <c r="A15" s="17" t="s">
        <v>18</v>
      </c>
      <c r="B15" s="18">
        <v>43.83</v>
      </c>
      <c r="C15" s="18">
        <v>33.652000000000001</v>
      </c>
      <c r="D15" s="18">
        <v>52.4</v>
      </c>
      <c r="E15" s="18">
        <v>33.053981409999999</v>
      </c>
      <c r="F15" s="18">
        <v>48.876987999999997</v>
      </c>
      <c r="G15" s="18">
        <v>103.028464</v>
      </c>
      <c r="H15" s="18">
        <v>142.91154857999999</v>
      </c>
      <c r="I15" s="18">
        <v>62.665200165000002</v>
      </c>
      <c r="J15" s="18">
        <f>[2]BA_Budget!$F$10/10^6</f>
        <v>62.31615</v>
      </c>
      <c r="K15" s="18">
        <f>[3]BA_Budget!$F$14/10^6</f>
        <v>43.368541999999998</v>
      </c>
      <c r="L15" s="18">
        <f>[3]BA_Budget!$E$14/10^6</f>
        <v>38.354809000000003</v>
      </c>
      <c r="M15" s="20" t="s">
        <v>19</v>
      </c>
    </row>
    <row r="16" spans="1:13" s="14" customFormat="1" ht="18.75">
      <c r="A16" s="17" t="s">
        <v>20</v>
      </c>
      <c r="B16" s="18">
        <v>3.02</v>
      </c>
      <c r="C16" s="18">
        <v>9.7469E-2</v>
      </c>
      <c r="D16" s="18">
        <v>0.2</v>
      </c>
      <c r="E16" s="18">
        <v>7.0538000000000003E-2</v>
      </c>
      <c r="F16" s="18">
        <v>0.765787</v>
      </c>
      <c r="G16" s="18">
        <v>0.68068600000000001</v>
      </c>
      <c r="H16" s="18">
        <v>0.56940856000000006</v>
      </c>
      <c r="I16" s="18">
        <v>0.133275</v>
      </c>
      <c r="J16" s="18">
        <f>[2]BA_Budget!$F$11/10^6</f>
        <v>0.82679999999999998</v>
      </c>
      <c r="K16" s="18">
        <f>[3]BA_Budget!$F$27/10^6</f>
        <v>0.81188700000000003</v>
      </c>
      <c r="L16" s="18">
        <f>[3]BA_Budget!$E$27/10^6</f>
        <v>3.6151529999999998</v>
      </c>
      <c r="M16" s="20" t="s">
        <v>21</v>
      </c>
    </row>
    <row r="17" spans="1:13" s="16" customFormat="1" ht="22.15" customHeight="1">
      <c r="A17" s="21" t="s">
        <v>24</v>
      </c>
      <c r="B17" s="22">
        <f t="shared" ref="B17:G19" si="4">B14/B11*100</f>
        <v>0.42604999327590853</v>
      </c>
      <c r="C17" s="22">
        <f t="shared" si="4"/>
        <v>0.26650503355076127</v>
      </c>
      <c r="D17" s="15">
        <f t="shared" si="4"/>
        <v>0.39847776762548093</v>
      </c>
      <c r="E17" s="15">
        <f t="shared" si="4"/>
        <v>0.24238181538504397</v>
      </c>
      <c r="F17" s="15">
        <f t="shared" si="4"/>
        <v>0.30014906285163923</v>
      </c>
      <c r="G17" s="15">
        <f t="shared" si="4"/>
        <v>0.48370108174505155</v>
      </c>
      <c r="H17" s="15">
        <f>H14/H11*100</f>
        <v>0.56697253240052281</v>
      </c>
      <c r="I17" s="15">
        <f t="shared" ref="I17:L19" si="5">I14/I11*100</f>
        <v>0.27913463789062282</v>
      </c>
      <c r="J17" s="15">
        <f t="shared" si="5"/>
        <v>0.23807500506214438</v>
      </c>
      <c r="K17" s="15">
        <f t="shared" si="5"/>
        <v>0.14664136797177332</v>
      </c>
      <c r="L17" s="15">
        <f t="shared" si="5"/>
        <v>0.13203442787869152</v>
      </c>
      <c r="M17" s="13" t="s">
        <v>25</v>
      </c>
    </row>
    <row r="18" spans="1:13" s="16" customFormat="1" ht="18.75">
      <c r="A18" s="17" t="s">
        <v>18</v>
      </c>
      <c r="B18" s="23">
        <v>0.52004767940455288</v>
      </c>
      <c r="C18" s="23">
        <v>0.37079056037323416</v>
      </c>
      <c r="D18" s="23">
        <v>0.5079249250572403</v>
      </c>
      <c r="E18" s="23">
        <v>0.28560760855117906</v>
      </c>
      <c r="F18" s="23">
        <f t="shared" si="4"/>
        <v>0.35012248007562125</v>
      </c>
      <c r="G18" s="23">
        <f t="shared" si="4"/>
        <v>0.61569814237036113</v>
      </c>
      <c r="H18" s="23">
        <f>H15/H12*100</f>
        <v>0.88539438097310386</v>
      </c>
      <c r="I18" s="23">
        <f t="shared" si="5"/>
        <v>0.41902012525106974</v>
      </c>
      <c r="J18" s="23">
        <f t="shared" si="5"/>
        <v>0.34112122984731508</v>
      </c>
      <c r="K18" s="23">
        <f t="shared" si="5"/>
        <v>0.20292264710197674</v>
      </c>
      <c r="L18" s="23">
        <f t="shared" si="5"/>
        <v>0.1837185584317747</v>
      </c>
      <c r="M18" s="20" t="s">
        <v>19</v>
      </c>
    </row>
    <row r="19" spans="1:13" s="14" customFormat="1" ht="18.75">
      <c r="A19" s="24" t="s">
        <v>20</v>
      </c>
      <c r="B19" s="25">
        <v>0.11758802528769688</v>
      </c>
      <c r="C19" s="25">
        <v>2.7165400214950565E-3</v>
      </c>
      <c r="D19" s="25">
        <v>6.9354156265898385E-3</v>
      </c>
      <c r="E19" s="25">
        <v>1.893511038420038E-3</v>
      </c>
      <c r="F19" s="25">
        <f>F16/F13*100</f>
        <v>2.9688511985999672E-2</v>
      </c>
      <c r="G19" s="25">
        <f t="shared" si="4"/>
        <v>1.4460675426565452E-2</v>
      </c>
      <c r="H19" s="25">
        <f>H16/H13*100</f>
        <v>6.2125172471092427E-3</v>
      </c>
      <c r="I19" s="25">
        <f t="shared" si="5"/>
        <v>1.7670150418725567E-3</v>
      </c>
      <c r="J19" s="25">
        <f t="shared" si="5"/>
        <v>1.0016650125788755E-2</v>
      </c>
      <c r="K19" s="25">
        <f t="shared" si="5"/>
        <v>9.2720760477371222E-3</v>
      </c>
      <c r="L19" s="25">
        <f t="shared" si="5"/>
        <v>3.3135541565608682E-2</v>
      </c>
      <c r="M19" s="26" t="s">
        <v>21</v>
      </c>
    </row>
    <row r="20" spans="1:13" s="28" customFormat="1" ht="15">
      <c r="A20" s="38" t="s">
        <v>26</v>
      </c>
      <c r="B20" s="27"/>
      <c r="C20" s="27"/>
      <c r="D20" s="27"/>
      <c r="K20" s="29"/>
      <c r="L20" s="29"/>
      <c r="M20" s="30"/>
    </row>
    <row r="21" spans="1:13" s="28" customFormat="1">
      <c r="A21" s="39" t="s">
        <v>27</v>
      </c>
      <c r="B21" s="27"/>
      <c r="C21" s="27"/>
      <c r="D21" s="27"/>
      <c r="K21" s="29"/>
      <c r="L21" s="29"/>
    </row>
    <row r="22" spans="1:13" s="28" customFormat="1">
      <c r="A22" s="39" t="s">
        <v>28</v>
      </c>
      <c r="B22" s="27"/>
      <c r="C22" s="27"/>
      <c r="D22" s="27"/>
      <c r="K22" s="29"/>
      <c r="L22" s="29"/>
    </row>
    <row r="23" spans="1:13" s="28" customFormat="1">
      <c r="A23" s="39" t="s">
        <v>29</v>
      </c>
      <c r="B23" s="27"/>
      <c r="C23" s="27"/>
      <c r="D23" s="27"/>
      <c r="K23" s="29"/>
      <c r="L23" s="29"/>
    </row>
    <row r="24" spans="1:13" s="14" customFormat="1" ht="12">
      <c r="A24" s="31" t="s">
        <v>30</v>
      </c>
      <c r="B24" s="32"/>
      <c r="C24" s="32"/>
      <c r="D24" s="32"/>
      <c r="K24" s="33"/>
      <c r="L24" s="33"/>
    </row>
    <row r="25" spans="1:13" s="14" customFormat="1" ht="12">
      <c r="A25" s="31" t="s">
        <v>31</v>
      </c>
      <c r="B25" s="32"/>
      <c r="C25" s="32"/>
      <c r="D25" s="32"/>
      <c r="K25" s="33"/>
      <c r="L25" s="33"/>
    </row>
    <row r="26" spans="1:13" s="14" customFormat="1" ht="12" hidden="1">
      <c r="A26" s="31" t="s">
        <v>32</v>
      </c>
      <c r="B26" s="32"/>
      <c r="C26" s="32"/>
      <c r="D26" s="32"/>
      <c r="K26" s="33"/>
      <c r="L26" s="33"/>
    </row>
    <row r="27" spans="1:13" s="14" customFormat="1" ht="12" hidden="1" customHeight="1">
      <c r="A27" s="48" t="s">
        <v>33</v>
      </c>
      <c r="B27" s="48"/>
      <c r="C27" s="48"/>
      <c r="D27" s="48"/>
      <c r="E27" s="48"/>
      <c r="F27" s="48"/>
      <c r="K27" s="33"/>
      <c r="L27" s="33"/>
    </row>
    <row r="28" spans="1:13" s="14" customFormat="1" ht="12" hidden="1" customHeight="1">
      <c r="A28" s="48"/>
      <c r="B28" s="48"/>
      <c r="C28" s="48"/>
      <c r="D28" s="48"/>
      <c r="E28" s="48"/>
      <c r="F28" s="48"/>
      <c r="K28" s="33"/>
      <c r="L28" s="33"/>
    </row>
    <row r="29" spans="1:13" s="14" customFormat="1" ht="12" hidden="1">
      <c r="A29" s="31" t="s">
        <v>34</v>
      </c>
      <c r="B29" s="32"/>
      <c r="C29" s="32"/>
      <c r="D29" s="32"/>
      <c r="K29" s="33"/>
      <c r="L29" s="33"/>
    </row>
    <row r="30" spans="1:13" hidden="1">
      <c r="A30" s="31" t="s">
        <v>35</v>
      </c>
    </row>
    <row r="31" spans="1:13" s="14" customFormat="1" ht="12">
      <c r="A31" s="34" t="s">
        <v>36</v>
      </c>
      <c r="B31" s="32"/>
      <c r="C31" s="32"/>
      <c r="D31" s="32"/>
      <c r="E31" s="32"/>
      <c r="F31" s="32"/>
      <c r="G31" s="32"/>
      <c r="H31" s="32"/>
      <c r="I31" s="32"/>
      <c r="J31" s="32"/>
      <c r="K31" s="35"/>
      <c r="L31" s="35"/>
    </row>
    <row r="33" spans="1:13" s="14" customFormat="1" ht="12">
      <c r="A33" s="36"/>
      <c r="K33" s="33"/>
      <c r="L33" s="33"/>
    </row>
    <row r="34" spans="1:13" s="14" customFormat="1" ht="14.25">
      <c r="A34" s="36"/>
      <c r="B34" s="1"/>
      <c r="C34" s="1"/>
      <c r="D34" s="1"/>
      <c r="E34" s="1"/>
      <c r="F34" s="1"/>
      <c r="G34" s="1"/>
      <c r="H34" s="1"/>
      <c r="I34" s="1"/>
      <c r="J34" s="40"/>
      <c r="K34" s="37"/>
      <c r="L34" s="37"/>
      <c r="M34" s="1"/>
    </row>
    <row r="35" spans="1:13" s="14" customFormat="1" ht="12">
      <c r="K35" s="33"/>
      <c r="L35" s="33"/>
    </row>
    <row r="42" spans="1:13" s="14" customFormat="1">
      <c r="A42" s="1"/>
      <c r="B42" s="32"/>
      <c r="C42" s="32"/>
      <c r="D42" s="32"/>
      <c r="K42" s="33"/>
      <c r="L42" s="33"/>
    </row>
    <row r="43" spans="1:13" s="14" customFormat="1" ht="12">
      <c r="B43" s="32"/>
      <c r="C43" s="32"/>
      <c r="D43" s="32"/>
      <c r="K43" s="33"/>
      <c r="L43" s="33"/>
    </row>
    <row r="44" spans="1:13" s="14" customFormat="1" ht="12">
      <c r="B44" s="32"/>
      <c r="C44" s="32"/>
      <c r="D44" s="32"/>
      <c r="K44" s="33"/>
      <c r="L44" s="33"/>
    </row>
    <row r="45" spans="1:13" s="14" customFormat="1" ht="12">
      <c r="B45" s="32"/>
      <c r="C45" s="32"/>
      <c r="D45" s="32"/>
      <c r="K45" s="33"/>
      <c r="L45" s="33"/>
    </row>
    <row r="46" spans="1:13" s="14" customFormat="1" ht="12">
      <c r="B46" s="32"/>
      <c r="C46" s="32"/>
      <c r="D46" s="32"/>
      <c r="K46" s="33"/>
      <c r="L46" s="33"/>
    </row>
    <row r="47" spans="1:13" s="14" customFormat="1" ht="12">
      <c r="B47" s="32"/>
      <c r="C47" s="32"/>
      <c r="D47" s="32"/>
      <c r="K47" s="33"/>
      <c r="L47" s="33"/>
    </row>
    <row r="48" spans="1:13" s="14" customFormat="1" ht="12">
      <c r="B48" s="32"/>
      <c r="C48" s="32"/>
      <c r="D48" s="32"/>
      <c r="K48" s="33"/>
      <c r="L48" s="33"/>
    </row>
    <row r="49" spans="2:12" s="14" customFormat="1" ht="12">
      <c r="B49" s="32"/>
      <c r="C49" s="32"/>
      <c r="D49" s="32"/>
      <c r="K49" s="33"/>
      <c r="L49" s="33"/>
    </row>
    <row r="50" spans="2:12" s="14" customFormat="1" ht="12">
      <c r="B50" s="32"/>
      <c r="C50" s="32"/>
      <c r="D50" s="32"/>
      <c r="K50" s="33"/>
      <c r="L50" s="33"/>
    </row>
    <row r="51" spans="2:12" s="14" customFormat="1" ht="12">
      <c r="B51" s="32"/>
      <c r="C51" s="32"/>
      <c r="D51" s="32"/>
      <c r="K51" s="33"/>
      <c r="L51" s="33"/>
    </row>
    <row r="52" spans="2:12" s="14" customFormat="1" ht="12">
      <c r="B52" s="32"/>
      <c r="C52" s="32"/>
      <c r="D52" s="32"/>
      <c r="K52" s="33"/>
      <c r="L52" s="33"/>
    </row>
    <row r="53" spans="2:12" s="14" customFormat="1" ht="12">
      <c r="B53" s="32"/>
      <c r="C53" s="32"/>
      <c r="D53" s="32"/>
      <c r="K53" s="33"/>
      <c r="L53" s="33"/>
    </row>
    <row r="54" spans="2:12" s="14" customFormat="1" ht="12">
      <c r="B54" s="32"/>
      <c r="C54" s="32"/>
      <c r="D54" s="32"/>
      <c r="K54" s="33"/>
      <c r="L54" s="33"/>
    </row>
    <row r="55" spans="2:12" s="14" customFormat="1" ht="12">
      <c r="B55" s="32"/>
      <c r="C55" s="32"/>
      <c r="D55" s="32"/>
      <c r="K55" s="33"/>
      <c r="L55" s="33"/>
    </row>
    <row r="56" spans="2:12" s="14" customFormat="1" ht="12">
      <c r="B56" s="32"/>
      <c r="C56" s="32"/>
      <c r="D56" s="32"/>
      <c r="K56" s="33"/>
      <c r="L56" s="33"/>
    </row>
    <row r="57" spans="2:12" s="14" customFormat="1" ht="12">
      <c r="B57" s="32"/>
      <c r="C57" s="32"/>
      <c r="D57" s="32"/>
      <c r="K57" s="33"/>
      <c r="L57" s="33"/>
    </row>
    <row r="58" spans="2:12" s="14" customFormat="1" ht="12">
      <c r="B58" s="32"/>
      <c r="C58" s="32"/>
      <c r="D58" s="32"/>
      <c r="K58" s="33"/>
      <c r="L58" s="33"/>
    </row>
    <row r="59" spans="2:12" s="14" customFormat="1" ht="12">
      <c r="B59" s="32"/>
      <c r="C59" s="32"/>
      <c r="D59" s="32"/>
      <c r="K59" s="33"/>
      <c r="L59" s="33"/>
    </row>
    <row r="60" spans="2:12" s="14" customFormat="1" ht="12">
      <c r="B60" s="32"/>
      <c r="C60" s="32"/>
      <c r="D60" s="32"/>
      <c r="K60" s="33"/>
      <c r="L60" s="33"/>
    </row>
    <row r="61" spans="2:12" s="14" customFormat="1" ht="12">
      <c r="B61" s="32"/>
      <c r="C61" s="32"/>
      <c r="D61" s="32"/>
      <c r="K61" s="33"/>
      <c r="L61" s="33"/>
    </row>
    <row r="62" spans="2:12" s="14" customFormat="1" ht="12">
      <c r="B62" s="32"/>
      <c r="C62" s="32"/>
      <c r="D62" s="32"/>
      <c r="K62" s="33"/>
      <c r="L62" s="33"/>
    </row>
    <row r="63" spans="2:12" s="14" customFormat="1" ht="12">
      <c r="B63" s="32"/>
      <c r="C63" s="32"/>
      <c r="D63" s="32"/>
      <c r="K63" s="33"/>
      <c r="L63" s="33"/>
    </row>
    <row r="64" spans="2:12" s="14" customFormat="1" ht="12">
      <c r="B64" s="32"/>
      <c r="C64" s="32"/>
      <c r="D64" s="32"/>
      <c r="K64" s="33"/>
      <c r="L64" s="33"/>
    </row>
    <row r="65" spans="2:12" s="14" customFormat="1" ht="12">
      <c r="B65" s="32"/>
      <c r="C65" s="32"/>
      <c r="D65" s="32"/>
      <c r="K65" s="33"/>
      <c r="L65" s="33"/>
    </row>
    <row r="66" spans="2:12" s="14" customFormat="1" ht="12">
      <c r="B66" s="32"/>
      <c r="C66" s="32"/>
      <c r="D66" s="32"/>
      <c r="K66" s="33"/>
      <c r="L66" s="33"/>
    </row>
    <row r="67" spans="2:12" s="14" customFormat="1" ht="12">
      <c r="B67" s="32"/>
      <c r="C67" s="32"/>
      <c r="D67" s="32"/>
      <c r="K67" s="33"/>
      <c r="L67" s="33"/>
    </row>
    <row r="68" spans="2:12" s="14" customFormat="1" ht="12">
      <c r="B68" s="32"/>
      <c r="C68" s="32"/>
      <c r="D68" s="32"/>
      <c r="K68" s="33"/>
      <c r="L68" s="33"/>
    </row>
    <row r="69" spans="2:12" s="14" customFormat="1" ht="12">
      <c r="B69" s="32"/>
      <c r="C69" s="32"/>
      <c r="D69" s="32"/>
      <c r="K69" s="33"/>
      <c r="L69" s="33"/>
    </row>
    <row r="70" spans="2:12" s="14" customFormat="1" ht="12">
      <c r="B70" s="32"/>
      <c r="C70" s="32"/>
      <c r="D70" s="32"/>
      <c r="K70" s="33"/>
      <c r="L70" s="33"/>
    </row>
    <row r="71" spans="2:12" s="14" customFormat="1" ht="12">
      <c r="B71" s="32"/>
      <c r="C71" s="32"/>
      <c r="D71" s="32"/>
      <c r="K71" s="33"/>
      <c r="L71" s="33"/>
    </row>
    <row r="72" spans="2:12" s="14" customFormat="1" ht="12">
      <c r="B72" s="32"/>
      <c r="C72" s="32"/>
      <c r="D72" s="32"/>
      <c r="K72" s="33"/>
      <c r="L72" s="33"/>
    </row>
    <row r="73" spans="2:12" s="14" customFormat="1" ht="12">
      <c r="B73" s="32"/>
      <c r="C73" s="32"/>
      <c r="D73" s="32"/>
      <c r="K73" s="33"/>
      <c r="L73" s="33"/>
    </row>
    <row r="74" spans="2:12" s="14" customFormat="1" ht="12">
      <c r="B74" s="32"/>
      <c r="C74" s="32"/>
      <c r="D74" s="32"/>
      <c r="K74" s="33"/>
      <c r="L74" s="33"/>
    </row>
    <row r="75" spans="2:12" s="14" customFormat="1" ht="12">
      <c r="B75" s="32"/>
      <c r="C75" s="32"/>
      <c r="D75" s="32"/>
      <c r="K75" s="33"/>
      <c r="L75" s="33"/>
    </row>
    <row r="76" spans="2:12" s="14" customFormat="1" ht="12">
      <c r="B76" s="32"/>
      <c r="C76" s="32"/>
      <c r="D76" s="32"/>
      <c r="K76" s="33"/>
      <c r="L76" s="33"/>
    </row>
    <row r="77" spans="2:12" s="14" customFormat="1" ht="12">
      <c r="B77" s="32"/>
      <c r="C77" s="32"/>
      <c r="D77" s="32"/>
      <c r="K77" s="33"/>
      <c r="L77" s="33"/>
    </row>
    <row r="78" spans="2:12" s="14" customFormat="1" ht="12">
      <c r="B78" s="32"/>
      <c r="C78" s="32"/>
      <c r="D78" s="32"/>
      <c r="K78" s="33"/>
      <c r="L78" s="33"/>
    </row>
    <row r="79" spans="2:12" s="14" customFormat="1" ht="12">
      <c r="B79" s="32"/>
      <c r="C79" s="32"/>
      <c r="D79" s="32"/>
      <c r="K79" s="33"/>
      <c r="L79" s="33"/>
    </row>
    <row r="80" spans="2:12" s="14" customFormat="1" ht="12">
      <c r="B80" s="32"/>
      <c r="C80" s="32"/>
      <c r="D80" s="32"/>
      <c r="K80" s="33"/>
      <c r="L80" s="33"/>
    </row>
    <row r="81" spans="2:12" s="14" customFormat="1" ht="12">
      <c r="B81" s="32"/>
      <c r="C81" s="32"/>
      <c r="D81" s="32"/>
      <c r="K81" s="33"/>
      <c r="L81" s="33"/>
    </row>
    <row r="82" spans="2:12" s="14" customFormat="1" ht="12">
      <c r="B82" s="32"/>
      <c r="C82" s="32"/>
      <c r="D82" s="32"/>
      <c r="K82" s="33"/>
      <c r="L82" s="33"/>
    </row>
    <row r="83" spans="2:12" s="14" customFormat="1" ht="12">
      <c r="B83" s="32"/>
      <c r="C83" s="32"/>
      <c r="D83" s="32"/>
      <c r="K83" s="33"/>
      <c r="L83" s="33"/>
    </row>
    <row r="84" spans="2:12" s="14" customFormat="1" ht="12">
      <c r="B84" s="32"/>
      <c r="C84" s="32"/>
      <c r="D84" s="32"/>
      <c r="K84" s="33"/>
      <c r="L84" s="33"/>
    </row>
    <row r="85" spans="2:12" s="14" customFormat="1" ht="12">
      <c r="B85" s="32"/>
      <c r="C85" s="32"/>
      <c r="D85" s="32"/>
      <c r="K85" s="33"/>
      <c r="L85" s="33"/>
    </row>
    <row r="86" spans="2:12" s="14" customFormat="1" ht="12">
      <c r="B86" s="32"/>
      <c r="C86" s="32"/>
      <c r="D86" s="32"/>
      <c r="K86" s="33"/>
      <c r="L86" s="33"/>
    </row>
    <row r="87" spans="2:12" s="14" customFormat="1" ht="12">
      <c r="B87" s="32"/>
      <c r="C87" s="32"/>
      <c r="D87" s="32"/>
      <c r="K87" s="33"/>
      <c r="L87" s="33"/>
    </row>
    <row r="88" spans="2:12" s="14" customFormat="1" ht="12">
      <c r="B88" s="32"/>
      <c r="C88" s="32"/>
      <c r="D88" s="32"/>
      <c r="K88" s="33"/>
      <c r="L88" s="33"/>
    </row>
    <row r="89" spans="2:12" s="14" customFormat="1" ht="12">
      <c r="B89" s="32"/>
      <c r="C89" s="32"/>
      <c r="D89" s="32"/>
      <c r="K89" s="33"/>
      <c r="L89" s="33"/>
    </row>
    <row r="90" spans="2:12" s="14" customFormat="1" ht="12">
      <c r="B90" s="32"/>
      <c r="C90" s="32"/>
      <c r="D90" s="32"/>
      <c r="K90" s="33"/>
      <c r="L90" s="33"/>
    </row>
    <row r="91" spans="2:12" s="14" customFormat="1" ht="12">
      <c r="B91" s="32"/>
      <c r="C91" s="32"/>
      <c r="D91" s="32"/>
      <c r="K91" s="33"/>
      <c r="L91" s="33"/>
    </row>
    <row r="92" spans="2:12" s="14" customFormat="1" ht="12">
      <c r="B92" s="32"/>
      <c r="C92" s="32"/>
      <c r="D92" s="32"/>
      <c r="K92" s="33"/>
      <c r="L92" s="33"/>
    </row>
    <row r="93" spans="2:12" s="14" customFormat="1" ht="12">
      <c r="B93" s="32"/>
      <c r="C93" s="32"/>
      <c r="D93" s="32"/>
      <c r="K93" s="33"/>
      <c r="L93" s="33"/>
    </row>
    <row r="94" spans="2:12" s="14" customFormat="1" ht="12">
      <c r="B94" s="32"/>
      <c r="C94" s="32"/>
      <c r="D94" s="32"/>
      <c r="K94" s="33"/>
      <c r="L94" s="33"/>
    </row>
    <row r="95" spans="2:12" s="14" customFormat="1" ht="12">
      <c r="B95" s="32"/>
      <c r="C95" s="32"/>
      <c r="D95" s="32"/>
      <c r="K95" s="33"/>
      <c r="L95" s="33"/>
    </row>
    <row r="96" spans="2:12" s="14" customFormat="1" ht="12">
      <c r="B96" s="32"/>
      <c r="C96" s="32"/>
      <c r="D96" s="32"/>
      <c r="K96" s="33"/>
      <c r="L96" s="33"/>
    </row>
    <row r="97" spans="2:12" s="14" customFormat="1" ht="12">
      <c r="B97" s="32"/>
      <c r="C97" s="32"/>
      <c r="D97" s="32"/>
      <c r="K97" s="33"/>
      <c r="L97" s="33"/>
    </row>
  </sheetData>
  <mergeCells count="5">
    <mergeCell ref="A1:M1"/>
    <mergeCell ref="A2:M2"/>
    <mergeCell ref="A3:M3"/>
    <mergeCell ref="A4:A5"/>
    <mergeCell ref="A27:F28"/>
  </mergeCells>
  <pageMargins left="0.7" right="0.7" top="0.75" bottom="0.75" header="0.3" footer="0.3"/>
  <pageSetup paperSize="9"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10.10</vt:lpstr>
      <vt:lpstr>'10.10'!Print_Area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2021-07-14T05:28:49Z</cp:lastPrinted>
  <dcterms:created xsi:type="dcterms:W3CDTF">2019-02-27T06:18:18Z</dcterms:created>
  <dcterms:modified xsi:type="dcterms:W3CDTF">2021-07-14T05:29:02Z</dcterms:modified>
</cp:coreProperties>
</file>