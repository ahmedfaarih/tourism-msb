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2" sheetId="2" r:id="rId1"/>
  </sheets>
  <externalReferences>
    <externalReference r:id="rId2"/>
  </externalReferences>
  <definedNames>
    <definedName name="_xlnm.Print_Area" localSheetId="0">'10.2'!$A$1:$L$76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4" i="2" l="1"/>
  <c r="U45" i="2"/>
  <c r="U46" i="2"/>
  <c r="U43" i="2"/>
  <c r="U38" i="2"/>
  <c r="U37" i="2"/>
  <c r="U39" i="2"/>
  <c r="U36" i="2"/>
  <c r="J6" i="2"/>
  <c r="J24" i="2" l="1"/>
  <c r="J18" i="2" l="1"/>
  <c r="J12" i="2"/>
  <c r="H12" i="2" l="1"/>
  <c r="I24" i="2" l="1"/>
  <c r="I18" i="2"/>
  <c r="I12" i="2"/>
  <c r="I6" i="2"/>
  <c r="H24" i="2" l="1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G12" i="2"/>
  <c r="F12" i="2"/>
  <c r="E12" i="2"/>
  <c r="D12" i="2"/>
  <c r="C12" i="2"/>
  <c r="B12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<sst xmlns="http://schemas.openxmlformats.org/spreadsheetml/2006/main" count="72" uniqueCount="27">
  <si>
    <t>Total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</si>
  <si>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</si>
  <si>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</si>
  <si>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</si>
  <si>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</si>
  <si>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</si>
  <si>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</si>
  <si>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</si>
  <si>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</si>
  <si>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</si>
  <si>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</si>
  <si>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</si>
  <si>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</si>
  <si>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</si>
  <si>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</si>
  <si>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</si>
  <si>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</si>
  <si>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</si>
  <si>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</si>
  <si>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</si>
  <si>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</si>
  <si>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</si>
  <si>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</si>
  <si>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</si>
  <si>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t>Table  10.2 :  TOTAL REGISTERED BED CAPACITY AND NUMBER OF ACCOMMODATION ESTABLISHMENTS, BY TYPE, 2012 - 2020 (end year)</t>
  </si>
  <si>
    <t>2020- 2012 ,udwdwA egunwt iaWawlcmuj egiawgWj egudnea WviawfcSokIrwTcsijwr cnutwvWb egunwtcnwt Wviawfihejwmwh cmWzitcnia egumubit cnirevurutwf : 10.2 ulwvWt</t>
  </si>
  <si>
    <t>No. of Beds in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</si>
</sst>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71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5" fillId="0" borderId="0"/>
    <xf numFmtId="0" fontId="5" fillId="0" borderId="0"/>
    <xf numFmtId="43" fontId="5" fillId="0" borderId="0" applyFont="0" applyFill="0" applyBorder="0" applyAlignment="0" applyProtection="0"/>
    <xf numFmtId="171" fontId="26" fillId="0" borderId="0"/>
    <xf numFmtId="1" fontId="27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</cellStyleXfs>
  <cellXfs count="76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3" xfId="0" applyFont="1" applyFill="1" applyBorder="1" applyAlignment="1" applyProtection="1">
      <alignment horizontal="right" vertical="center"/>
    </xf>
    <xf numFmtId="0" fontId="0" fillId="2" borderId="0" xfId="0" applyFill="1" applyBorder="1"/>
    <xf numFmtId="0" fontId="8" fillId="2" borderId="0" xfId="0" applyFont="1" applyFill="1" applyAlignment="1" applyProtection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right" vertical="center" wrapText="1"/>
    </xf>
    <xf numFmtId="0" fontId="9" fillId="2" borderId="0" xfId="0" applyFont="1" applyFill="1"/>
    <xf numFmtId="3" fontId="15" fillId="2" borderId="0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 applyProtection="1">
      <alignment horizontal="left" vertical="center" indent="1"/>
    </xf>
    <xf numFmtId="3" fontId="16" fillId="2" borderId="0" xfId="0" applyNumberFormat="1" applyFont="1" applyFill="1" applyAlignment="1">
      <alignment vertical="center"/>
    </xf>
    <xf numFmtId="0" fontId="17" fillId="2" borderId="0" xfId="0" applyFont="1" applyFill="1" applyBorder="1" applyAlignment="1">
      <alignment horizontal="right" vertical="center" indent="1"/>
    </xf>
    <xf numFmtId="9" fontId="18" fillId="2" borderId="0" xfId="1" applyFont="1" applyFill="1" applyBorder="1" applyAlignment="1">
      <alignment horizontal="right" vertical="center"/>
    </xf>
    <xf numFmtId="3" fontId="18" fillId="2" borderId="0" xfId="0" applyNumberFormat="1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2" fontId="9" fillId="2" borderId="0" xfId="0" applyNumberFormat="1" applyFont="1" applyFill="1"/>
    <xf numFmtId="3" fontId="16" fillId="2" borderId="0" xfId="0" applyNumberFormat="1" applyFont="1" applyFill="1"/>
    <xf numFmtId="0" fontId="18" fillId="2" borderId="0" xfId="0" applyFont="1" applyFill="1" applyBorder="1" applyAlignment="1">
      <alignment horizontal="right" vertical="center" indent="1"/>
    </xf>
    <xf numFmtId="0" fontId="14" fillId="2" borderId="4" xfId="0" applyFont="1" applyFill="1" applyBorder="1" applyAlignment="1" applyProtection="1">
      <alignment horizontal="left" vertical="center" indent="1"/>
    </xf>
    <xf numFmtId="3" fontId="16" fillId="2" borderId="4" xfId="0" applyNumberFormat="1" applyFont="1" applyFill="1" applyBorder="1" applyAlignment="1">
      <alignment vertical="center"/>
    </xf>
    <xf numFmtId="0" fontId="9" fillId="2" borderId="0" xfId="0" applyFont="1" applyFill="1" applyBorder="1"/>
    <xf numFmtId="37" fontId="20" fillId="2" borderId="0" xfId="0" applyNumberFormat="1" applyFont="1" applyFill="1" applyBorder="1" applyAlignment="1" applyProtection="1">
      <alignment horizontal="right" vertical="center" wrapText="1"/>
    </xf>
    <xf numFmtId="0" fontId="14" fillId="2" borderId="2" xfId="0" applyFont="1" applyFill="1" applyBorder="1" applyAlignment="1" applyProtection="1">
      <alignment horizontal="left" vertical="center" indent="1"/>
    </xf>
    <xf numFmtId="3" fontId="16" fillId="2" borderId="2" xfId="0" applyNumberFormat="1" applyFont="1" applyFill="1" applyBorder="1" applyAlignment="1">
      <alignment vertical="center"/>
    </xf>
    <xf numFmtId="0" fontId="21" fillId="2" borderId="0" xfId="0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vertical="center"/>
    </xf>
    <xf numFmtId="2" fontId="18" fillId="2" borderId="0" xfId="0" applyNumberFormat="1" applyFont="1" applyFill="1" applyBorder="1" applyAlignment="1">
      <alignment horizontal="right" vertical="center"/>
    </xf>
    <xf numFmtId="1" fontId="18" fillId="2" borderId="0" xfId="0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right" indent="1"/>
    </xf>
    <xf numFmtId="0" fontId="22" fillId="2" borderId="0" xfId="0" applyFont="1" applyFill="1" applyBorder="1" applyAlignment="1">
      <alignment horizontal="right"/>
    </xf>
    <xf numFmtId="3" fontId="16" fillId="2" borderId="2" xfId="0" applyNumberFormat="1" applyFont="1" applyFill="1" applyBorder="1" applyAlignment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164" fontId="23" fillId="2" borderId="0" xfId="0" applyNumberFormat="1" applyFont="1" applyFill="1" applyAlignment="1" applyProtection="1">
      <alignment horizontal="left" vertical="center"/>
    </xf>
    <xf numFmtId="0" fontId="24" fillId="2" borderId="0" xfId="0" applyFont="1" applyFill="1" applyBorder="1" applyAlignment="1" applyProtection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9" fontId="9" fillId="2" borderId="0" xfId="3" applyFont="1" applyFill="1"/>
    <xf numFmtId="0" fontId="6" fillId="2" borderId="0" xfId="0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0" fontId="23" fillId="2" borderId="0" xfId="0" applyFont="1" applyFill="1" applyBorder="1" applyAlignment="1" applyProtection="1">
      <alignment horizontal="left" vertical="center"/>
    </xf>
    <xf numFmtId="3" fontId="23" fillId="2" borderId="0" xfId="0" applyNumberFormat="1" applyFont="1" applyFill="1" applyBorder="1" applyAlignment="1" applyProtection="1">
      <alignment horizontal="left" vertical="center"/>
    </xf>
    <xf numFmtId="3" fontId="0" fillId="2" borderId="0" xfId="0" applyNumberFormat="1" applyFill="1"/>
    <xf numFmtId="0" fontId="11" fillId="2" borderId="0" xfId="0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right" vertical="center"/>
    </xf>
    <xf numFmtId="0" fontId="28" fillId="2" borderId="3" xfId="0" applyFon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right" vertical="center"/>
    </xf>
    <xf numFmtId="0" fontId="33" fillId="2" borderId="0" xfId="0" applyFont="1" applyFill="1" applyBorder="1" applyAlignment="1">
      <alignment horizontal="right" vertical="center" wrapText="1"/>
    </xf>
    <xf numFmtId="0" fontId="33" fillId="2" borderId="0" xfId="0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 indent="1"/>
    </xf>
    <xf numFmtId="0" fontId="34" fillId="2" borderId="4" xfId="0" applyFont="1" applyFill="1" applyBorder="1" applyAlignment="1">
      <alignment horizontal="right" vertical="center" indent="1"/>
    </xf>
    <xf numFmtId="0" fontId="34" fillId="2" borderId="2" xfId="0" applyFont="1" applyFill="1" applyBorder="1" applyAlignment="1">
      <alignment horizontal="right" vertical="center" indent="1"/>
    </xf>
    <xf numFmtId="0" fontId="30" fillId="2" borderId="4" xfId="0" applyFont="1" applyFill="1" applyBorder="1" applyAlignment="1">
      <alignment horizontal="right" indent="1"/>
    </xf>
    <xf numFmtId="0" fontId="30" fillId="2" borderId="2" xfId="0" applyFont="1" applyFill="1" applyBorder="1" applyAlignment="1">
      <alignment horizontal="right" indent="1"/>
    </xf>
    <xf numFmtId="0" fontId="31" fillId="2" borderId="0" xfId="0" applyFont="1" applyFill="1" applyAlignment="1">
      <alignment horizontal="right" vertical="center"/>
    </xf>
    <xf numFmtId="0" fontId="31" fillId="2" borderId="0" xfId="0" applyFont="1" applyFill="1"/>
    <xf numFmtId="0" fontId="29" fillId="2" borderId="0" xfId="0" applyFont="1" applyFill="1"/>
    <xf numFmtId="0" fontId="29" fillId="2" borderId="0" xfId="0" applyFont="1" applyFill="1" applyBorder="1"/>
    <xf numFmtId="0" fontId="28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1" fontId="0" fillId="2" borderId="0" xfId="0" applyNumberFormat="1" applyFill="1"/>
    <xf numFmtId="1" fontId="35" fillId="2" borderId="0" xfId="0" applyNumberFormat="1" applyFont="1" applyFill="1"/>
    <xf numFmtId="0" fontId="32" fillId="2" borderId="0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</cellXfs>
  <cellStyles count="22">
    <cellStyle name="1" xfId="6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" xfId="1" builtin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33CCCC"/>
      <color rgb="FFDDF8F7"/>
      <color rgb="FF249390"/>
      <color rgb="FFC0F2F0"/>
      <color rgb="FFEAFAFA"/>
      <color rgb="FFFF9900"/>
      <color rgb="FFFFCC66"/>
      <color rgb="FF196563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</c:spPr>
          <c:explosion val="1"/>
          <c:dPt>
            <c:idx val="0"/>
            <c:bubble3D val="0"/>
            <c:explosion val="7"/>
            <c:spPr>
              <a:solidFill>
                <a:srgbClr val="DDF8F7"/>
              </a:solidFill>
            </c:spPr>
            <c:extLst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976014148336465"/>
                  <c:y val="0.202243342365241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89704543213994"/>
                      <c:h val="0.14179413668424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DC-47B9-AB0C-61A032FFEB2E}"/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DC-47B9-AB0C-61A032FFEB2E}"/>
                </c:ext>
              </c:extLst>
            </c:dLbl>
            <c:dLbl>
              <c:idx val="2"/>
              <c:layout>
                <c:manualLayout>
                  <c:x val="2.0454606560498016E-2"/>
                  <c:y val="-0.23079546948290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2DC-47B9-AB0C-61A032FFEB2E}"/>
                </c:ext>
              </c:extLst>
            </c:dLbl>
            <c:dLbl>
              <c:idx val="3"/>
              <c:layout>
                <c:manualLayout>
                  <c:x val="8.4388135233719408E-2"/>
                  <c:y val="0.171090986149780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2DC-47B9-AB0C-61A032FFEB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'10.2'!$T$43:$T$46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'10.2'!$U$43:$U$46</c:f>
              <c:numCache>
                <c:formatCode>0%</c:formatCode>
                <c:ptCount val="4"/>
                <c:pt idx="0">
                  <c:v>0.16701680672268907</c:v>
                </c:pt>
                <c:pt idx="1">
                  <c:v>1.365546218487395E-2</c:v>
                </c:pt>
                <c:pt idx="2">
                  <c:v>0.67016806722689071</c:v>
                </c:pt>
                <c:pt idx="3">
                  <c:v>0.14915966386554622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DDF8F7"/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20480906553347497"/>
                  <c:y val="-0.197443845835060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23-4735-9FBB-BC19C7D85A39}"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223-4735-9FBB-BC19C7D85A3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'10.2'!$T$36:$T$39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'10.2'!$U$36:$U$39</c:f>
              <c:numCache>
                <c:formatCode>0</c:formatCode>
                <c:ptCount val="4"/>
                <c:pt idx="0">
                  <c:v>71.649912207922512</c:v>
                </c:pt>
                <c:pt idx="1">
                  <c:v>3.2762845621008356</c:v>
                </c:pt>
                <c:pt idx="2">
                  <c:v>19.956779284928704</c:v>
                </c:pt>
                <c:pt idx="3">
                  <c:v>5.117023945047948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34</xdr:row>
      <xdr:rowOff>125729</xdr:rowOff>
    </xdr:from>
    <xdr:to>
      <xdr:col>10</xdr:col>
      <xdr:colOff>1816100</xdr:colOff>
      <xdr:row>54</xdr:row>
      <xdr:rowOff>12699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</xdr:colOff>
      <xdr:row>55</xdr:row>
      <xdr:rowOff>73025</xdr:rowOff>
    </xdr:from>
    <xdr:to>
      <xdr:col>10</xdr:col>
      <xdr:colOff>1816100</xdr:colOff>
      <xdr:row>74</xdr:row>
      <xdr:rowOff>53975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446535</xdr:colOff>
      <xdr:row>56</xdr:row>
      <xdr:rowOff>58643</xdr:rowOff>
    </xdr:from>
    <xdr:to>
      <xdr:col>10</xdr:col>
      <xdr:colOff>759859</xdr:colOff>
      <xdr:row>57</xdr:row>
      <xdr:rowOff>64213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132799" y="12077267"/>
          <a:ext cx="5964111" cy="230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2020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0.1697</cdr:x>
      <cdr:y>0.02696</cdr:y>
    </cdr:from>
    <cdr:to>
      <cdr:x>0.8549</cdr:x>
      <cdr:y>0.09052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2955" y="112366"/>
          <a:ext cx="5543764" cy="2649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2020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79"/>
  <sheetViews>
    <sheetView tabSelected="1" zoomScale="89" zoomScaleNormal="89" workbookViewId="0">
      <selection activeCell="N6" sqref="N6"/>
    </sheetView>
  </sheetViews>
  <sheetFormatPr defaultColWidth="8.85546875" defaultRowHeight="18"/>
  <cols>
    <col min="1" max="1" width="29.7109375" style="1" customWidth="1"/>
    <col min="2" max="10" width="10.5703125" style="1" customWidth="1"/>
    <col min="11" max="11" width="37" style="68" customWidth="1"/>
    <col min="12" max="12" width="2.5703125" style="1" customWidth="1"/>
    <col min="13" max="13" width="31.7109375" style="1" customWidth="1"/>
    <col min="14" max="18" width="38.42578125" style="1" customWidth="1"/>
    <col min="19" max="19" width="12.85546875" style="1" customWidth="1"/>
    <col min="20" max="20" width="16.85546875" style="1" customWidth="1"/>
    <col min="21" max="21" width="10.5703125" style="1" customWidth="1"/>
    <col min="22" max="22" width="9.7109375" style="1" customWidth="1"/>
    <col min="23" max="26" width="46.42578125" style="1" customWidth="1"/>
    <col min="27" max="16384" width="8.85546875" style="1"/>
  </cols>
  <sheetData>
    <row r="1" spans="1:27" ht="21.75" customHeight="1">
      <c r="A1" s="74" t="s">
        <v>25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55"/>
      <c r="M1" s="55"/>
      <c r="N1" s="55"/>
      <c r="O1" s="55"/>
      <c r="P1" s="55"/>
      <c r="Q1" s="55"/>
      <c r="R1" s="55"/>
      <c r="S1" s="7"/>
      <c r="T1" s="7"/>
      <c r="U1" s="7"/>
      <c r="V1" s="7"/>
      <c r="W1" s="7"/>
      <c r="X1" s="7"/>
      <c r="Y1" s="7"/>
      <c r="Z1" s="7"/>
    </row>
    <row r="2" spans="1:27" ht="22.5" customHeight="1">
      <c r="A2" s="75" t="s">
        <v>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8"/>
      <c r="M2" s="8"/>
      <c r="N2" s="8"/>
      <c r="O2" s="8"/>
      <c r="P2" s="8"/>
      <c r="Q2" s="8"/>
      <c r="R2" s="8"/>
      <c r="S2" s="9"/>
      <c r="T2" s="9"/>
      <c r="U2" s="9"/>
      <c r="V2" s="9"/>
      <c r="W2" s="9"/>
      <c r="X2" s="9"/>
      <c r="Y2" s="9"/>
      <c r="Z2" s="9"/>
    </row>
    <row r="3" spans="1:27" s="2" customFormat="1" ht="18.600000000000001" customHeight="1">
      <c r="A3" s="10" t="s">
        <v>3</v>
      </c>
      <c r="B3" s="3">
        <v>2012</v>
      </c>
      <c r="C3" s="3">
        <v>2013</v>
      </c>
      <c r="D3" s="3">
        <v>2014</v>
      </c>
      <c r="E3" s="3">
        <v>2015</v>
      </c>
      <c r="F3" s="3">
        <v>2016</v>
      </c>
      <c r="G3" s="3">
        <v>2017</v>
      </c>
      <c r="H3" s="3">
        <v>2018</v>
      </c>
      <c r="I3" s="3">
        <v>2019</v>
      </c>
      <c r="J3" s="3">
        <v>2020</v>
      </c>
      <c r="K3" s="57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7" s="2" customFormat="1" ht="7.9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5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7" s="17" customFormat="1" ht="17.25" customHeight="1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59" t="s">
        <v>6</v>
      </c>
      <c r="L5" s="16"/>
      <c r="M5" s="11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7" s="17" customFormat="1" ht="17.25" customHeight="1">
      <c r="A6" s="14" t="s">
        <v>0</v>
      </c>
      <c r="B6" s="18">
        <f t="shared" ref="B6:F6" si="0">SUM(B7:B10)</f>
        <v>28120</v>
      </c>
      <c r="C6" s="18">
        <f t="shared" si="0"/>
        <v>29829</v>
      </c>
      <c r="D6" s="18">
        <f t="shared" si="0"/>
        <v>31673</v>
      </c>
      <c r="E6" s="18">
        <f t="shared" si="0"/>
        <v>34085</v>
      </c>
      <c r="F6" s="18">
        <f t="shared" si="0"/>
        <v>37374</v>
      </c>
      <c r="G6" s="18">
        <f>SUM(G7:G10)</f>
        <v>41255</v>
      </c>
      <c r="H6" s="18">
        <f>SUM(H7:H10)</f>
        <v>45154</v>
      </c>
      <c r="I6" s="18">
        <f>SUM(I7:I10)</f>
        <v>51362</v>
      </c>
      <c r="J6" s="18">
        <f>SUM(J7:J10)</f>
        <v>51827</v>
      </c>
      <c r="K6" s="60" t="s">
        <v>7</v>
      </c>
      <c r="L6" s="19"/>
      <c r="M6" s="11"/>
      <c r="N6" s="19"/>
      <c r="O6" s="19"/>
      <c r="P6" s="19"/>
      <c r="Q6" s="19"/>
      <c r="R6" s="19"/>
      <c r="S6" s="19"/>
      <c r="T6" s="16"/>
      <c r="U6" s="19"/>
      <c r="V6" s="19"/>
      <c r="W6" s="19"/>
      <c r="X6" s="19"/>
      <c r="Y6" s="19"/>
      <c r="Z6" s="19"/>
    </row>
    <row r="7" spans="1:27" s="17" customFormat="1" ht="17.25" customHeight="1">
      <c r="A7" s="20" t="s">
        <v>8</v>
      </c>
      <c r="B7" s="21">
        <v>22889</v>
      </c>
      <c r="C7" s="21">
        <v>23487</v>
      </c>
      <c r="D7" s="21">
        <v>24031</v>
      </c>
      <c r="E7" s="21">
        <v>24877</v>
      </c>
      <c r="F7" s="21">
        <v>26933</v>
      </c>
      <c r="G7" s="21">
        <v>29977</v>
      </c>
      <c r="H7" s="21">
        <v>31971</v>
      </c>
      <c r="I7" s="21">
        <v>37004</v>
      </c>
      <c r="J7" s="21">
        <v>37134</v>
      </c>
      <c r="K7" s="22" t="s">
        <v>9</v>
      </c>
      <c r="L7" s="22"/>
      <c r="M7" s="11"/>
      <c r="N7" s="22"/>
      <c r="O7" s="22"/>
      <c r="P7" s="22"/>
      <c r="Q7" s="22"/>
      <c r="R7" s="22"/>
      <c r="S7" s="23"/>
      <c r="T7" s="16"/>
      <c r="U7" s="24"/>
      <c r="V7" s="25"/>
      <c r="W7" s="25"/>
      <c r="X7" s="25"/>
      <c r="Y7" s="25"/>
      <c r="Z7" s="25"/>
      <c r="AA7" s="26"/>
    </row>
    <row r="8" spans="1:27" s="17" customFormat="1" ht="17.25" customHeight="1">
      <c r="A8" s="20" t="s">
        <v>10</v>
      </c>
      <c r="B8" s="21">
        <v>1627</v>
      </c>
      <c r="C8" s="21">
        <v>1708</v>
      </c>
      <c r="D8" s="21">
        <v>1704</v>
      </c>
      <c r="E8" s="21">
        <v>1648</v>
      </c>
      <c r="F8" s="21">
        <v>1713</v>
      </c>
      <c r="G8" s="21">
        <v>1456</v>
      </c>
      <c r="H8" s="21">
        <v>1862</v>
      </c>
      <c r="I8" s="21">
        <v>1642</v>
      </c>
      <c r="J8" s="21">
        <v>1698</v>
      </c>
      <c r="K8" s="61" t="s">
        <v>11</v>
      </c>
      <c r="L8" s="28"/>
      <c r="M8" s="11"/>
      <c r="N8" s="28"/>
      <c r="O8" s="28"/>
      <c r="P8" s="28"/>
      <c r="Q8" s="28"/>
      <c r="R8" s="28"/>
      <c r="S8" s="23"/>
      <c r="T8" s="16"/>
      <c r="U8" s="24"/>
      <c r="V8" s="25"/>
      <c r="W8" s="25"/>
      <c r="X8" s="25"/>
      <c r="Y8" s="25"/>
      <c r="Z8" s="25"/>
    </row>
    <row r="9" spans="1:27" s="17" customFormat="1" ht="17.25" customHeight="1">
      <c r="A9" s="20" t="s">
        <v>12</v>
      </c>
      <c r="B9" s="21">
        <v>1101</v>
      </c>
      <c r="C9" s="21">
        <v>1918</v>
      </c>
      <c r="D9" s="21">
        <v>3199</v>
      </c>
      <c r="E9" s="21">
        <v>4621</v>
      </c>
      <c r="F9" s="21">
        <v>6034</v>
      </c>
      <c r="G9" s="21">
        <v>7304</v>
      </c>
      <c r="H9" s="21">
        <v>8563</v>
      </c>
      <c r="I9" s="21">
        <v>9753</v>
      </c>
      <c r="J9" s="21">
        <v>10343</v>
      </c>
      <c r="K9" s="61" t="s">
        <v>13</v>
      </c>
      <c r="L9" s="28"/>
      <c r="M9" s="11"/>
      <c r="N9" s="28"/>
      <c r="O9" s="28"/>
      <c r="P9" s="28"/>
      <c r="Q9" s="28"/>
      <c r="R9" s="28"/>
      <c r="S9" s="23"/>
      <c r="T9" s="16"/>
      <c r="U9" s="24"/>
      <c r="V9" s="25"/>
      <c r="W9" s="25"/>
      <c r="X9" s="25"/>
      <c r="Y9" s="25"/>
      <c r="Z9" s="25"/>
    </row>
    <row r="10" spans="1:27" s="31" customFormat="1" ht="17.25" customHeight="1">
      <c r="A10" s="29" t="s">
        <v>14</v>
      </c>
      <c r="B10" s="30">
        <v>2503</v>
      </c>
      <c r="C10" s="30">
        <v>2716</v>
      </c>
      <c r="D10" s="30">
        <v>2739</v>
      </c>
      <c r="E10" s="30">
        <v>2939</v>
      </c>
      <c r="F10" s="30">
        <v>2694</v>
      </c>
      <c r="G10" s="30">
        <v>2518</v>
      </c>
      <c r="H10" s="30">
        <v>2758</v>
      </c>
      <c r="I10" s="30">
        <v>2963</v>
      </c>
      <c r="J10" s="30">
        <v>2652</v>
      </c>
      <c r="K10" s="62" t="s">
        <v>15</v>
      </c>
      <c r="L10" s="28"/>
      <c r="M10" s="11"/>
      <c r="N10" s="28"/>
      <c r="O10" s="28"/>
      <c r="P10" s="28"/>
      <c r="Q10" s="28"/>
      <c r="R10" s="28"/>
      <c r="S10" s="23"/>
      <c r="T10" s="16"/>
      <c r="U10" s="24"/>
      <c r="V10" s="25"/>
      <c r="W10" s="25"/>
      <c r="X10" s="25"/>
      <c r="Y10" s="25"/>
      <c r="Z10" s="25"/>
    </row>
    <row r="11" spans="1:27" ht="18.75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32" t="s">
        <v>16</v>
      </c>
      <c r="M11" s="72"/>
      <c r="N11" s="72"/>
    </row>
    <row r="12" spans="1:27" ht="15.75">
      <c r="A12" s="14" t="s">
        <v>0</v>
      </c>
      <c r="B12" s="18">
        <f t="shared" ref="B12:J12" si="1">SUM(B13:B16)</f>
        <v>26798.166666666664</v>
      </c>
      <c r="C12" s="18">
        <f t="shared" si="1"/>
        <v>27997.916666666664</v>
      </c>
      <c r="D12" s="18">
        <f t="shared" si="1"/>
        <v>29515.25</v>
      </c>
      <c r="E12" s="18">
        <f t="shared" si="1"/>
        <v>31423.916666666672</v>
      </c>
      <c r="F12" s="18">
        <f t="shared" si="1"/>
        <v>33802.25</v>
      </c>
      <c r="G12" s="18">
        <f t="shared" si="1"/>
        <v>38592.333333333336</v>
      </c>
      <c r="H12" s="18">
        <f t="shared" si="1"/>
        <v>41886.666666666672</v>
      </c>
      <c r="I12" s="18">
        <f t="shared" si="1"/>
        <v>47268.5</v>
      </c>
      <c r="J12" s="18">
        <f t="shared" si="1"/>
        <v>27744.666666666668</v>
      </c>
      <c r="K12" s="60" t="s">
        <v>7</v>
      </c>
      <c r="M12" s="73"/>
      <c r="N12" s="73"/>
    </row>
    <row r="13" spans="1:27" ht="18.75">
      <c r="A13" s="20" t="s">
        <v>8</v>
      </c>
      <c r="B13" s="21">
        <v>21887.833333333332</v>
      </c>
      <c r="C13" s="21">
        <v>22511.833333333332</v>
      </c>
      <c r="D13" s="21">
        <v>22986.166666666668</v>
      </c>
      <c r="E13" s="21">
        <v>23348.416666666668</v>
      </c>
      <c r="F13" s="21">
        <v>24567.666666666668</v>
      </c>
      <c r="G13" s="21">
        <v>27685.916666666668</v>
      </c>
      <c r="H13" s="21">
        <v>29399.666666666668</v>
      </c>
      <c r="I13" s="21">
        <v>33439.75</v>
      </c>
      <c r="J13" s="21">
        <v>21445.666666666668</v>
      </c>
      <c r="K13" s="22" t="s">
        <v>9</v>
      </c>
      <c r="M13" s="73"/>
      <c r="N13" s="72"/>
    </row>
    <row r="14" spans="1:27" ht="15.75">
      <c r="A14" s="20" t="s">
        <v>10</v>
      </c>
      <c r="B14" s="21">
        <v>1591.3333333333333</v>
      </c>
      <c r="C14" s="21">
        <v>1540.0833333333333</v>
      </c>
      <c r="D14" s="21">
        <v>1435.25</v>
      </c>
      <c r="E14" s="21">
        <v>1456.1666666666667</v>
      </c>
      <c r="F14" s="21">
        <v>1465.5</v>
      </c>
      <c r="G14" s="21">
        <v>1496.8333333333333</v>
      </c>
      <c r="H14" s="21">
        <v>1759</v>
      </c>
      <c r="I14" s="21">
        <v>1723</v>
      </c>
      <c r="J14" s="21">
        <v>1032.5</v>
      </c>
      <c r="K14" s="61" t="s">
        <v>11</v>
      </c>
      <c r="M14" s="72"/>
      <c r="N14" s="72"/>
    </row>
    <row r="15" spans="1:27" ht="15.75">
      <c r="A15" s="20" t="s">
        <v>12</v>
      </c>
      <c r="B15" s="21">
        <v>844.5</v>
      </c>
      <c r="C15" s="21">
        <v>1401.5833333333333</v>
      </c>
      <c r="D15" s="21">
        <v>2477.25</v>
      </c>
      <c r="E15" s="21">
        <v>3831.1666666666665</v>
      </c>
      <c r="F15" s="21">
        <v>5248.916666666667</v>
      </c>
      <c r="G15" s="21">
        <v>6728.833333333333</v>
      </c>
      <c r="H15" s="21">
        <v>8000</v>
      </c>
      <c r="I15" s="21">
        <v>9200.1666666666661</v>
      </c>
      <c r="J15" s="21">
        <v>3615.0833333333335</v>
      </c>
      <c r="K15" s="61" t="s">
        <v>13</v>
      </c>
      <c r="M15" s="72"/>
      <c r="N15" s="72"/>
    </row>
    <row r="16" spans="1:27" ht="15.75">
      <c r="A16" s="33" t="s">
        <v>14</v>
      </c>
      <c r="B16" s="34">
        <v>2474.5</v>
      </c>
      <c r="C16" s="34">
        <v>2544.4166666666665</v>
      </c>
      <c r="D16" s="34">
        <v>2616.5833333333335</v>
      </c>
      <c r="E16" s="34">
        <v>2788.1666666666665</v>
      </c>
      <c r="F16" s="34">
        <v>2520.1666666666665</v>
      </c>
      <c r="G16" s="34">
        <v>2680.75</v>
      </c>
      <c r="H16" s="34">
        <v>2728</v>
      </c>
      <c r="I16" s="34">
        <v>2905.5833333333335</v>
      </c>
      <c r="J16" s="34">
        <v>1651.4166666666667</v>
      </c>
      <c r="K16" s="63" t="s">
        <v>15</v>
      </c>
      <c r="M16" s="54"/>
      <c r="N16" s="54"/>
    </row>
    <row r="17" spans="1:26" ht="12.75" customHeight="1">
      <c r="A17" s="14" t="s">
        <v>17</v>
      </c>
      <c r="B17" s="27"/>
      <c r="C17" s="27"/>
      <c r="D17" s="27"/>
      <c r="E17" s="27"/>
      <c r="F17" s="27"/>
      <c r="G17" s="27"/>
      <c r="H17" s="27"/>
      <c r="I17" s="27"/>
      <c r="J17" s="27"/>
      <c r="K17" s="71" t="s">
        <v>18</v>
      </c>
      <c r="L17" s="35"/>
      <c r="M17" s="35"/>
      <c r="N17" s="35"/>
      <c r="O17" s="35"/>
      <c r="P17" s="35"/>
      <c r="Q17" s="35"/>
      <c r="R17" s="35"/>
      <c r="S17" s="19"/>
      <c r="T17" s="16"/>
      <c r="U17" s="19"/>
      <c r="V17" s="19"/>
      <c r="W17" s="19"/>
      <c r="X17" s="19"/>
      <c r="Y17" s="19"/>
      <c r="Z17" s="19"/>
    </row>
    <row r="18" spans="1:26" s="17" customFormat="1" ht="17.25" customHeight="1">
      <c r="A18" s="14" t="s">
        <v>0</v>
      </c>
      <c r="B18" s="36">
        <f t="shared" ref="B18:E18" si="2">SUM(B19:B22)</f>
        <v>353</v>
      </c>
      <c r="C18" s="36">
        <f t="shared" si="2"/>
        <v>429</v>
      </c>
      <c r="D18" s="36">
        <f>SUM(D19:D22)</f>
        <v>511</v>
      </c>
      <c r="E18" s="36">
        <f t="shared" si="2"/>
        <v>615</v>
      </c>
      <c r="F18" s="36">
        <f>SUM(F19:F22)</f>
        <v>679</v>
      </c>
      <c r="G18" s="36">
        <f>SUM(G19:G22)</f>
        <v>736</v>
      </c>
      <c r="H18" s="36">
        <f>SUM(H19:H22)</f>
        <v>825</v>
      </c>
      <c r="I18" s="36">
        <f>SUM(I19:I22)</f>
        <v>938</v>
      </c>
      <c r="J18" s="36">
        <f>SUM(J19:J22)</f>
        <v>952</v>
      </c>
      <c r="K18" s="60" t="s">
        <v>7</v>
      </c>
      <c r="L18" s="19"/>
      <c r="O18" s="19"/>
      <c r="P18" s="19"/>
      <c r="Q18" s="19"/>
      <c r="R18" s="19"/>
      <c r="S18" s="19"/>
      <c r="T18" s="16"/>
      <c r="U18" s="19"/>
      <c r="V18" s="19"/>
      <c r="W18" s="19"/>
      <c r="X18" s="19"/>
      <c r="Y18" s="19"/>
      <c r="Z18" s="19"/>
    </row>
    <row r="19" spans="1:26" s="17" customFormat="1" ht="17.25" customHeight="1">
      <c r="A19" s="20" t="s">
        <v>8</v>
      </c>
      <c r="B19" s="21">
        <v>105</v>
      </c>
      <c r="C19" s="21">
        <v>110</v>
      </c>
      <c r="D19" s="21">
        <v>111</v>
      </c>
      <c r="E19" s="21">
        <v>115</v>
      </c>
      <c r="F19" s="21">
        <v>126</v>
      </c>
      <c r="G19" s="21">
        <v>135</v>
      </c>
      <c r="H19" s="21">
        <v>145</v>
      </c>
      <c r="I19" s="21">
        <v>164</v>
      </c>
      <c r="J19" s="21">
        <v>159</v>
      </c>
      <c r="K19" s="22" t="s">
        <v>9</v>
      </c>
      <c r="L19" s="22"/>
      <c r="N19" s="22"/>
      <c r="O19" s="22"/>
      <c r="P19" s="22"/>
      <c r="Q19" s="22"/>
      <c r="R19" s="22"/>
      <c r="S19" s="37"/>
      <c r="T19" s="16"/>
      <c r="U19" s="25"/>
      <c r="V19" s="25"/>
      <c r="W19" s="25"/>
      <c r="X19" s="25"/>
      <c r="Y19" s="25"/>
      <c r="Z19" s="25"/>
    </row>
    <row r="20" spans="1:26" s="17" customFormat="1" ht="17.25" customHeight="1">
      <c r="A20" s="20" t="s">
        <v>10</v>
      </c>
      <c r="B20" s="21">
        <v>19</v>
      </c>
      <c r="C20" s="21">
        <v>20</v>
      </c>
      <c r="D20" s="21">
        <v>19</v>
      </c>
      <c r="E20" s="21">
        <v>17</v>
      </c>
      <c r="F20" s="21">
        <v>16</v>
      </c>
      <c r="G20" s="21">
        <v>10</v>
      </c>
      <c r="H20" s="21">
        <v>12</v>
      </c>
      <c r="I20" s="21">
        <v>12</v>
      </c>
      <c r="J20" s="21">
        <v>13</v>
      </c>
      <c r="K20" s="61" t="s">
        <v>19</v>
      </c>
      <c r="L20" s="28"/>
      <c r="N20" s="28"/>
      <c r="O20" s="28"/>
      <c r="P20" s="28"/>
      <c r="Q20" s="28"/>
      <c r="R20" s="28"/>
      <c r="S20" s="37"/>
      <c r="T20" s="16"/>
      <c r="U20" s="25"/>
      <c r="V20" s="25"/>
      <c r="W20" s="25"/>
      <c r="X20" s="25"/>
      <c r="Y20" s="25"/>
      <c r="Z20" s="25"/>
    </row>
    <row r="21" spans="1:26" s="17" customFormat="1" ht="17.25" customHeight="1">
      <c r="A21" s="20" t="s">
        <v>12</v>
      </c>
      <c r="B21" s="21">
        <v>75</v>
      </c>
      <c r="C21" s="21">
        <v>136</v>
      </c>
      <c r="D21" s="21">
        <v>220</v>
      </c>
      <c r="E21" s="21">
        <v>313</v>
      </c>
      <c r="F21" s="21">
        <v>393</v>
      </c>
      <c r="G21" s="21">
        <v>458</v>
      </c>
      <c r="H21" s="21">
        <v>521</v>
      </c>
      <c r="I21" s="21">
        <v>605</v>
      </c>
      <c r="J21" s="21">
        <v>638</v>
      </c>
      <c r="K21" s="61" t="s">
        <v>13</v>
      </c>
      <c r="L21" s="28"/>
      <c r="N21" s="28"/>
      <c r="O21" s="28"/>
      <c r="P21" s="28"/>
      <c r="Q21" s="28"/>
      <c r="R21" s="28"/>
      <c r="S21" s="37"/>
      <c r="T21" s="25"/>
      <c r="U21" s="38"/>
      <c r="V21" s="25"/>
      <c r="W21" s="25"/>
      <c r="X21" s="25"/>
      <c r="Y21" s="25"/>
      <c r="Z21" s="25"/>
    </row>
    <row r="22" spans="1:26" s="17" customFormat="1" ht="17.25" customHeight="1">
      <c r="A22" s="29" t="s">
        <v>14</v>
      </c>
      <c r="B22" s="39">
        <v>154</v>
      </c>
      <c r="C22" s="39">
        <v>163</v>
      </c>
      <c r="D22" s="39">
        <v>161</v>
      </c>
      <c r="E22" s="39">
        <v>170</v>
      </c>
      <c r="F22" s="39">
        <v>144</v>
      </c>
      <c r="G22" s="39">
        <v>133</v>
      </c>
      <c r="H22" s="39">
        <v>147</v>
      </c>
      <c r="I22" s="39">
        <v>157</v>
      </c>
      <c r="J22" s="39">
        <v>142</v>
      </c>
      <c r="K22" s="64" t="s">
        <v>15</v>
      </c>
      <c r="L22" s="40"/>
      <c r="N22" s="40"/>
      <c r="O22" s="40"/>
      <c r="P22" s="40"/>
      <c r="Q22" s="40"/>
      <c r="R22" s="40"/>
      <c r="S22" s="37"/>
      <c r="T22" s="41"/>
      <c r="U22" s="38"/>
      <c r="V22" s="41"/>
      <c r="W22" s="41"/>
      <c r="X22" s="41"/>
      <c r="Y22" s="41"/>
      <c r="Z22" s="41"/>
    </row>
    <row r="23" spans="1:26" ht="18.75">
      <c r="A23" s="14" t="s">
        <v>20</v>
      </c>
      <c r="B23" s="15"/>
      <c r="C23" s="15"/>
      <c r="D23" s="15"/>
      <c r="E23" s="15"/>
      <c r="F23" s="15"/>
      <c r="G23" s="15"/>
      <c r="H23" s="15"/>
      <c r="I23" s="15"/>
      <c r="J23" s="15"/>
      <c r="K23" s="71" t="s">
        <v>21</v>
      </c>
    </row>
    <row r="24" spans="1:26" ht="15.75">
      <c r="A24" s="14" t="s">
        <v>0</v>
      </c>
      <c r="B24" s="18">
        <f t="shared" ref="B24:J24" si="3">SUM(B25:B28)</f>
        <v>323.08333333333337</v>
      </c>
      <c r="C24" s="18">
        <f t="shared" si="3"/>
        <v>370.33333333333337</v>
      </c>
      <c r="D24" s="18">
        <f t="shared" si="3"/>
        <v>448.16666666666663</v>
      </c>
      <c r="E24" s="18">
        <f t="shared" si="3"/>
        <v>540.33333333333337</v>
      </c>
      <c r="F24" s="18">
        <f t="shared" si="3"/>
        <v>611.41666666666663</v>
      </c>
      <c r="G24" s="18">
        <f t="shared" si="3"/>
        <v>713.41666666666663</v>
      </c>
      <c r="H24" s="18">
        <f t="shared" si="3"/>
        <v>777</v>
      </c>
      <c r="I24" s="18">
        <f t="shared" si="3"/>
        <v>872.16666666666663</v>
      </c>
      <c r="J24" s="18">
        <f t="shared" si="3"/>
        <v>550</v>
      </c>
      <c r="K24" s="60" t="s">
        <v>7</v>
      </c>
    </row>
    <row r="25" spans="1:26" ht="18.75">
      <c r="A25" s="20" t="s">
        <v>8</v>
      </c>
      <c r="B25" s="21">
        <v>97.666666666666671</v>
      </c>
      <c r="C25" s="21">
        <v>101.08333333333333</v>
      </c>
      <c r="D25" s="21">
        <v>104.41666666666667</v>
      </c>
      <c r="E25" s="21">
        <v>104.83333333333333</v>
      </c>
      <c r="F25" s="21">
        <v>111.08333333333333</v>
      </c>
      <c r="G25" s="21">
        <v>124.08333333333333</v>
      </c>
      <c r="H25" s="21">
        <v>130</v>
      </c>
      <c r="I25" s="21">
        <v>146</v>
      </c>
      <c r="J25" s="21">
        <v>140</v>
      </c>
      <c r="K25" s="22" t="s">
        <v>9</v>
      </c>
    </row>
    <row r="26" spans="1:26" ht="15.75">
      <c r="A26" s="20" t="s">
        <v>10</v>
      </c>
      <c r="B26" s="21">
        <v>18.583333333333332</v>
      </c>
      <c r="C26" s="21">
        <v>17.333333333333332</v>
      </c>
      <c r="D26" s="21">
        <v>15.583333333333334</v>
      </c>
      <c r="E26" s="21">
        <v>14.333333333333334</v>
      </c>
      <c r="F26" s="21">
        <v>12.666666666666666</v>
      </c>
      <c r="G26" s="21">
        <v>11.916666666666666</v>
      </c>
      <c r="H26" s="21">
        <v>12</v>
      </c>
      <c r="I26" s="21">
        <v>11.416666666666666</v>
      </c>
      <c r="J26" s="21">
        <v>11</v>
      </c>
      <c r="K26" s="61" t="s">
        <v>11</v>
      </c>
    </row>
    <row r="27" spans="1:26" ht="15.75">
      <c r="A27" s="20" t="s">
        <v>12</v>
      </c>
      <c r="B27" s="21">
        <v>54.333333333333336</v>
      </c>
      <c r="C27" s="21">
        <v>98.833333333333329</v>
      </c>
      <c r="D27" s="21">
        <v>172.91666666666666</v>
      </c>
      <c r="E27" s="21">
        <v>261.66666666666669</v>
      </c>
      <c r="F27" s="21">
        <v>353.5</v>
      </c>
      <c r="G27" s="21">
        <v>433.58333333333331</v>
      </c>
      <c r="H27" s="21">
        <v>490</v>
      </c>
      <c r="I27" s="21">
        <v>561</v>
      </c>
      <c r="J27" s="21">
        <v>268</v>
      </c>
      <c r="K27" s="61" t="s">
        <v>13</v>
      </c>
    </row>
    <row r="28" spans="1:26" ht="15.75">
      <c r="A28" s="33" t="s">
        <v>14</v>
      </c>
      <c r="B28" s="34">
        <v>152.5</v>
      </c>
      <c r="C28" s="34">
        <v>153.08333333333334</v>
      </c>
      <c r="D28" s="34">
        <v>155.25</v>
      </c>
      <c r="E28" s="34">
        <v>159.5</v>
      </c>
      <c r="F28" s="34">
        <v>134.16666666666666</v>
      </c>
      <c r="G28" s="34">
        <v>143.83333333333334</v>
      </c>
      <c r="H28" s="34">
        <v>145</v>
      </c>
      <c r="I28" s="34">
        <v>153.75</v>
      </c>
      <c r="J28" s="34">
        <v>131</v>
      </c>
      <c r="K28" s="63" t="s">
        <v>15</v>
      </c>
    </row>
    <row r="29" spans="1:26" ht="18.75">
      <c r="A29" s="14" t="s">
        <v>23</v>
      </c>
      <c r="B29" s="27"/>
      <c r="C29" s="27"/>
      <c r="D29" s="27"/>
      <c r="E29" s="27"/>
      <c r="F29" s="27"/>
      <c r="G29" s="27"/>
      <c r="H29" s="27"/>
      <c r="I29" s="27"/>
      <c r="J29" s="27"/>
      <c r="K29" s="32" t="s">
        <v>22</v>
      </c>
    </row>
    <row r="30" spans="1:26" ht="18.75">
      <c r="A30" s="20" t="s">
        <v>8</v>
      </c>
      <c r="B30" s="21">
        <v>86.688769701127484</v>
      </c>
      <c r="C30" s="21">
        <v>88.595126530663109</v>
      </c>
      <c r="D30" s="21">
        <v>81.856214093483658</v>
      </c>
      <c r="E30" s="21">
        <v>76.220607180907422</v>
      </c>
      <c r="F30" s="21">
        <v>73.996436740211678</v>
      </c>
      <c r="G30" s="21">
        <v>72.738665701182953</v>
      </c>
      <c r="H30" s="21">
        <v>74.599999999999994</v>
      </c>
      <c r="I30" s="21">
        <v>74.139742717834707</v>
      </c>
      <c r="J30" s="21">
        <v>28.978640707515321</v>
      </c>
      <c r="K30" s="22" t="s">
        <v>9</v>
      </c>
    </row>
    <row r="31" spans="1:26" ht="15.75">
      <c r="A31" s="20" t="s">
        <v>10</v>
      </c>
      <c r="B31" s="21">
        <v>36.663245078967122</v>
      </c>
      <c r="C31" s="21">
        <v>37.491387357802637</v>
      </c>
      <c r="D31" s="21">
        <v>42.621855635268837</v>
      </c>
      <c r="E31" s="21">
        <v>38.453285628742037</v>
      </c>
      <c r="F31" s="21">
        <v>40.343422717733894</v>
      </c>
      <c r="G31" s="21">
        <v>44.192331264448093</v>
      </c>
      <c r="H31" s="21">
        <v>40.4</v>
      </c>
      <c r="I31" s="21">
        <v>45.412556932056837</v>
      </c>
      <c r="J31" s="21">
        <v>17.074461530906429</v>
      </c>
      <c r="K31" s="61" t="s">
        <v>19</v>
      </c>
    </row>
    <row r="32" spans="1:26" ht="15.75">
      <c r="A32" s="20" t="s">
        <v>12</v>
      </c>
      <c r="B32" s="21">
        <v>18.438426739984173</v>
      </c>
      <c r="C32" s="21">
        <v>23.215800959283015</v>
      </c>
      <c r="D32" s="21">
        <v>18.290859127152753</v>
      </c>
      <c r="E32" s="21">
        <v>23.754186523394655</v>
      </c>
      <c r="F32" s="21">
        <v>33.515560141504473</v>
      </c>
      <c r="G32" s="21">
        <v>30.768031823623502</v>
      </c>
      <c r="H32" s="21">
        <v>32.6</v>
      </c>
      <c r="I32" s="21">
        <v>33.86767677413031</v>
      </c>
      <c r="J32" s="21">
        <v>18.371216403823603</v>
      </c>
      <c r="K32" s="61" t="s">
        <v>13</v>
      </c>
    </row>
    <row r="33" spans="1:27" ht="17.25">
      <c r="A33" s="33" t="s">
        <v>14</v>
      </c>
      <c r="B33" s="42">
        <v>41.030046881673968</v>
      </c>
      <c r="C33" s="42">
        <v>46.938810104897328</v>
      </c>
      <c r="D33" s="42">
        <v>26.948089288930188</v>
      </c>
      <c r="E33" s="42">
        <v>29.175364104266588</v>
      </c>
      <c r="F33" s="42">
        <v>28.96464254150591</v>
      </c>
      <c r="G33" s="42">
        <v>26.385018397706389</v>
      </c>
      <c r="H33" s="42">
        <v>28.1</v>
      </c>
      <c r="I33" s="42">
        <v>26.153650176008821</v>
      </c>
      <c r="J33" s="42">
        <v>12.572498801223105</v>
      </c>
      <c r="K33" s="65" t="s">
        <v>15</v>
      </c>
    </row>
    <row r="34" spans="1:27" s="17" customFormat="1" ht="18" customHeight="1">
      <c r="A34" s="5" t="s">
        <v>1</v>
      </c>
      <c r="B34" s="43"/>
      <c r="C34" s="43"/>
      <c r="D34" s="43"/>
      <c r="E34" s="43"/>
      <c r="F34" s="43"/>
      <c r="G34" s="43"/>
      <c r="H34" s="43"/>
      <c r="I34" s="43"/>
      <c r="J34" s="43"/>
      <c r="K34" s="56" t="s">
        <v>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43"/>
    </row>
    <row r="35" spans="1:27" s="17" customFormat="1" ht="18" customHeight="1">
      <c r="B35" s="43"/>
      <c r="C35" s="43"/>
      <c r="D35" s="43"/>
      <c r="E35" s="43"/>
      <c r="F35" s="43"/>
      <c r="G35" s="43"/>
      <c r="H35" s="43"/>
      <c r="I35" s="43"/>
      <c r="J35" s="43"/>
      <c r="K35" s="6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44"/>
    </row>
    <row r="36" spans="1:27" s="17" customFormat="1" ht="14.25">
      <c r="K36" s="67"/>
      <c r="T36" s="45" t="s">
        <v>8</v>
      </c>
      <c r="U36" s="46">
        <f>J7/$J$6*100</f>
        <v>71.649912207922512</v>
      </c>
      <c r="AA36" s="47"/>
    </row>
    <row r="37" spans="1:27" s="17" customFormat="1" ht="14.25">
      <c r="K37" s="67"/>
      <c r="T37" s="45" t="s">
        <v>10</v>
      </c>
      <c r="U37" s="46">
        <f t="shared" ref="U37:U39" si="4">J8/$J$6*100</f>
        <v>3.2762845621008356</v>
      </c>
      <c r="AA37" s="47"/>
    </row>
    <row r="38" spans="1:27" s="17" customFormat="1" ht="14.25">
      <c r="K38" s="67"/>
      <c r="T38" s="45" t="s">
        <v>12</v>
      </c>
      <c r="U38" s="46">
        <f>J9/$J$6*100</f>
        <v>19.956779284928704</v>
      </c>
      <c r="AA38" s="47"/>
    </row>
    <row r="39" spans="1:27" s="17" customFormat="1" ht="14.25">
      <c r="K39" s="67"/>
      <c r="T39" s="45" t="s">
        <v>14</v>
      </c>
      <c r="U39" s="46">
        <f t="shared" si="4"/>
        <v>5.117023945047948</v>
      </c>
      <c r="AA39" s="47"/>
    </row>
    <row r="40" spans="1:27" s="17" customFormat="1" ht="14.25">
      <c r="K40" s="67"/>
      <c r="AA40" s="47"/>
    </row>
    <row r="41" spans="1:27">
      <c r="AA41" s="48"/>
    </row>
    <row r="42" spans="1:27">
      <c r="AA42" s="48"/>
    </row>
    <row r="43" spans="1:27">
      <c r="T43" s="45" t="s">
        <v>8</v>
      </c>
      <c r="U43" s="49">
        <f>J19/$J$18</f>
        <v>0.16701680672268907</v>
      </c>
      <c r="AA43" s="48"/>
    </row>
    <row r="44" spans="1:27">
      <c r="T44" s="45" t="s">
        <v>10</v>
      </c>
      <c r="U44" s="49">
        <f t="shared" ref="U44:U46" si="5">J20/$J$18</f>
        <v>1.365546218487395E-2</v>
      </c>
      <c r="AA44" s="48"/>
    </row>
    <row r="45" spans="1:27">
      <c r="T45" s="45" t="s">
        <v>12</v>
      </c>
      <c r="U45" s="49">
        <f t="shared" si="5"/>
        <v>0.67016806722689071</v>
      </c>
      <c r="AA45" s="48"/>
    </row>
    <row r="46" spans="1:27">
      <c r="T46" s="45" t="s">
        <v>14</v>
      </c>
      <c r="U46" s="49">
        <f t="shared" si="5"/>
        <v>0.14915966386554622</v>
      </c>
      <c r="AA46" s="48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69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69"/>
    </row>
    <row r="71" spans="1:11" ht="15.75">
      <c r="A71" s="14"/>
      <c r="B71" s="50"/>
      <c r="C71" s="50"/>
      <c r="D71" s="50"/>
      <c r="E71" s="50"/>
      <c r="F71" s="50"/>
      <c r="G71" s="50"/>
      <c r="H71" s="50"/>
      <c r="I71" s="50"/>
      <c r="J71" s="50"/>
      <c r="K71" s="70"/>
    </row>
    <row r="72" spans="1:11" ht="15.75">
      <c r="A72" s="14"/>
      <c r="B72" s="50"/>
      <c r="C72" s="50"/>
      <c r="D72" s="50"/>
      <c r="E72" s="50"/>
      <c r="F72" s="50"/>
      <c r="G72" s="50"/>
      <c r="H72" s="50"/>
      <c r="I72" s="50"/>
      <c r="J72" s="50"/>
      <c r="K72" s="70"/>
    </row>
    <row r="73" spans="1:11" ht="15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6"/>
    </row>
    <row r="74" spans="1:11" ht="15">
      <c r="A74" s="52"/>
      <c r="B74" s="52"/>
      <c r="C74" s="53"/>
      <c r="D74" s="53"/>
      <c r="E74" s="53"/>
      <c r="F74" s="53"/>
      <c r="G74" s="53"/>
      <c r="H74" s="53"/>
      <c r="I74" s="53"/>
      <c r="J74" s="53"/>
      <c r="K74" s="56"/>
    </row>
    <row r="75" spans="1:11" ht="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6"/>
    </row>
    <row r="76" spans="1:11" ht="15">
      <c r="A76" s="31"/>
      <c r="B76" s="31"/>
      <c r="C76" s="52"/>
      <c r="D76" s="52"/>
      <c r="E76" s="52"/>
      <c r="F76" s="52"/>
      <c r="G76" s="52"/>
      <c r="H76" s="52"/>
      <c r="I76" s="52"/>
      <c r="J76" s="52"/>
      <c r="K76" s="56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69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69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69"/>
    </row>
  </sheetData>
  <mergeCells count="2">
    <mergeCell ref="A1:K1"/>
    <mergeCell ref="A2:K2"/>
  </mergeCells>
  <pageMargins left="0.7" right="0.7" top="0.75" bottom="0.75" header="0.3" footer="0.3"/>
  <pageSetup paperSize="9" scale="69" orientation="landscape" horizontalDpi="4294967295" verticalDpi="4294967295" r:id="rId1"/>
  <rowBreaks count="1" manualBreakCount="1">
    <brk id="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2021-07-12T05:23:47Z</cp:lastPrinted>
  <dcterms:created xsi:type="dcterms:W3CDTF">2019-02-27T06:18:18Z</dcterms:created>
  <dcterms:modified xsi:type="dcterms:W3CDTF">2021-07-12T05:23:57Z</dcterms:modified>
</cp:coreProperties>
</file>