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Tourism\"/>
    </mc:Choice>
  </mc:AlternateContent>
  <xr:revisionPtr revIDLastSave="0" documentId="13_ncr:1_{E49CF154-CE14-4798-85F5-F82188F2C878}" xr6:coauthVersionLast="47" xr6:coauthVersionMax="47" xr10:uidLastSave="{00000000-0000-0000-0000-000000000000}"/>
  <bookViews>
    <workbookView xWindow="-120" yWindow="-120" windowWidth="29040" windowHeight="15840" tabRatio="714" xr2:uid="{00000000-000D-0000-FFFF-FFFF00000000}"/>
  </bookViews>
  <sheets>
    <sheet name="10.5" sheetId="5" r:id="rId1"/>
  </sheets>
  <externalReferences>
    <externalReference r:id="rId2"/>
  </externalReferences>
  <definedNames>
    <definedName name="_xlnm.Print_Area" localSheetId="0">'10.5'!$A$1:$L$37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34" i="5" l="1"/>
  <c r="AB34" i="5"/>
  <c r="AA35" i="5"/>
  <c r="AB35" i="5"/>
  <c r="AA36" i="5"/>
  <c r="AB36" i="5"/>
  <c r="AA37" i="5"/>
  <c r="AB37" i="5"/>
  <c r="AA38" i="5"/>
  <c r="AB38" i="5"/>
  <c r="AA39" i="5"/>
  <c r="AB39" i="5"/>
  <c r="AA40" i="5"/>
  <c r="AB40" i="5"/>
  <c r="AA41" i="5"/>
  <c r="AB41" i="5"/>
  <c r="AA42" i="5"/>
  <c r="AB42" i="5"/>
  <c r="AA43" i="5"/>
  <c r="AB43" i="5"/>
  <c r="AA44" i="5"/>
  <c r="AB44" i="5"/>
  <c r="AB33" i="5"/>
  <c r="AA33" i="5"/>
  <c r="I18" i="5" l="1"/>
  <c r="I17" i="5"/>
  <c r="I16" i="5"/>
  <c r="I15" i="5"/>
  <c r="I14" i="5"/>
  <c r="I13" i="5"/>
  <c r="I12" i="5"/>
  <c r="I11" i="5"/>
  <c r="I10" i="5"/>
  <c r="I9" i="5"/>
  <c r="I8" i="5"/>
  <c r="I7" i="5"/>
  <c r="K6" i="5"/>
  <c r="J6" i="5"/>
  <c r="H6" i="5"/>
  <c r="G6" i="5"/>
  <c r="I6" i="5" l="1"/>
  <c r="D7" i="5" l="1"/>
  <c r="D8" i="5"/>
  <c r="D9" i="5"/>
  <c r="D10" i="5"/>
  <c r="D11" i="5"/>
  <c r="D12" i="5"/>
  <c r="D13" i="5"/>
  <c r="D14" i="5"/>
  <c r="D15" i="5"/>
  <c r="D16" i="5"/>
  <c r="D17" i="5"/>
  <c r="D18" i="5"/>
  <c r="F6" i="5" l="1"/>
  <c r="E6" i="5"/>
  <c r="D6" i="5"/>
  <c r="C6" i="5"/>
  <c r="B6" i="5"/>
</calcChain>
</file>

<file path=xl/sharedStrings.xml><?xml version="1.0" encoding="utf-8"?>
<sst xmlns="http://schemas.openxmlformats.org/spreadsheetml/2006/main" count="54" uniqueCount="42">
  <si>
    <t>Source: Ministry of Tourism</t>
  </si>
  <si>
    <t>އެނދުގެ ޖާގައިން  ބޭނުންކުރެވުނު މިންވަރު %</t>
  </si>
  <si>
    <t>Month</t>
  </si>
  <si>
    <t xml:space="preserve">އެނދުގެ ޖާގަ  </t>
  </si>
  <si>
    <t xml:space="preserve">ބޭނުންކުރެވުނު އެނދުގެ އަދަދު </t>
  </si>
  <si>
    <t>އެނދުގެ ޖާގަ ބޭނުންކުރި މިންވަރު %</t>
  </si>
  <si>
    <t>ފަތުރުވެރިން ހޭދަކޮށްފައިވާ ރޭގެ އަދަދު</t>
  </si>
  <si>
    <t>Beds in
 operation</t>
  </si>
  <si>
    <t xml:space="preserve">% share of registered beds in operation </t>
  </si>
  <si>
    <t>Bed Capacity
 Utilization Rate %</t>
  </si>
  <si>
    <t>Tourist Bednights</t>
  </si>
  <si>
    <t xml:space="preserve">Registered Bed Capacity </t>
  </si>
  <si>
    <t>Annual Average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</si>
  <si>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</si>
  <si>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</si>
  <si>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</si>
  <si>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</si>
  <si>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</si>
  <si>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</si>
  <si>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</si>
  <si>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</si>
  <si>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</si>
  <si>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</si>
  <si>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</si>
  <si>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</si>
  <si>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cmwzirUT cfoa  IrcTcsinim :ctWrwf ivcaed utWmUluAwm</t>
  </si>
  <si>
    <t xml:space="preserve">Beds in operation 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</si>
  <si>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</si>
  <si>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</si>
  <si>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</si>
  <si>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</si>
  <si>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</si>
  <si>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</si>
  <si>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</si>
  <si>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</si>
  <si>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</si>
  <si>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</si>
  <si>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</si>
  <si>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</si>
  <si>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</si>
  <si>
    <t>Table  10.5: BED CAPACITY AND UTILIZATION OF HOTELS BY MONTH,  2021-2022</t>
  </si>
  <si>
    <t>2022 - 2021  ,urwvcnim unuverukcnunEb wgWjegudnea iaWa wgWj egudnea egukwtWToh uhwmcswmikea : 10.5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</si>
</sst>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7" formatCode="#,##0.0"/>
    <numFmt numFmtId="168" formatCode="[$-409]mmm\-yy;@"/>
    <numFmt numFmtId="171" formatCode="0.00_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sz val="9"/>
      <name val="A_Faseyha"/>
    </font>
    <font>
      <b/>
      <sz val="12"/>
      <color theme="1"/>
      <name val="A_Faseyha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64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14" fillId="0" borderId="0"/>
    <xf numFmtId="0" fontId="2" fillId="0" borderId="0"/>
    <xf numFmtId="43" fontId="2" fillId="0" borderId="0" applyFont="0" applyFill="0" applyBorder="0" applyAlignment="0" applyProtection="0"/>
    <xf numFmtId="171" fontId="15" fillId="0" borderId="0"/>
    <xf numFmtId="1" fontId="16" fillId="0" borderId="12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14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3" fillId="0" borderId="0"/>
    <xf numFmtId="40" fontId="3" fillId="0" borderId="0" applyFont="0" applyFill="0" applyBorder="0" applyAlignment="0" applyProtection="0"/>
    <xf numFmtId="0" fontId="3" fillId="0" borderId="0"/>
    <xf numFmtId="0" fontId="2" fillId="0" borderId="0"/>
    <xf numFmtId="1" fontId="16" fillId="0" borderId="12" applyNumberFormat="0"/>
    <xf numFmtId="0" fontId="1" fillId="0" borderId="0"/>
    <xf numFmtId="0" fontId="3" fillId="0" borderId="0"/>
    <xf numFmtId="0" fontId="19" fillId="0" borderId="0" applyFill="0" applyProtection="0"/>
    <xf numFmtId="1" fontId="16" fillId="0" borderId="12" applyNumberFormat="0"/>
    <xf numFmtId="43" fontId="1" fillId="0" borderId="0" applyFont="0" applyFill="0" applyBorder="0" applyAlignment="0" applyProtection="0"/>
    <xf numFmtId="0" fontId="1" fillId="0" borderId="0"/>
    <xf numFmtId="0" fontId="20" fillId="0" borderId="0"/>
    <xf numFmtId="0" fontId="21" fillId="0" borderId="0"/>
    <xf numFmtId="0" fontId="20" fillId="0" borderId="0"/>
    <xf numFmtId="0" fontId="1" fillId="0" borderId="0"/>
    <xf numFmtId="0" fontId="3" fillId="0" borderId="0"/>
    <xf numFmtId="0" fontId="19" fillId="0" borderId="0" applyFill="0" applyProtection="0"/>
    <xf numFmtId="1" fontId="16" fillId="0" borderId="12" applyNumberFormat="0"/>
    <xf numFmtId="0" fontId="1" fillId="0" borderId="0"/>
    <xf numFmtId="0" fontId="2" fillId="0" borderId="0"/>
    <xf numFmtId="0" fontId="20" fillId="0" borderId="0"/>
    <xf numFmtId="0" fontId="21" fillId="0" borderId="0"/>
    <xf numFmtId="0" fontId="2" fillId="0" borderId="0"/>
    <xf numFmtId="0" fontId="20" fillId="0" borderId="0"/>
    <xf numFmtId="0" fontId="22" fillId="0" borderId="0"/>
    <xf numFmtId="0" fontId="20" fillId="0" borderId="0"/>
    <xf numFmtId="0" fontId="20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3" fillId="0" borderId="0" applyFont="0" applyFill="0" applyBorder="0" applyAlignment="0" applyProtection="0"/>
    <xf numFmtId="0" fontId="1" fillId="0" borderId="0"/>
    <xf numFmtId="0" fontId="22" fillId="0" borderId="0" applyBorder="0"/>
    <xf numFmtId="0" fontId="1" fillId="0" borderId="0"/>
    <xf numFmtId="4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2" fillId="0" borderId="0" applyBorder="0"/>
    <xf numFmtId="0" fontId="1" fillId="0" borderId="0"/>
    <xf numFmtId="0" fontId="1" fillId="0" borderId="0"/>
    <xf numFmtId="1" fontId="16" fillId="0" borderId="12" applyNumberFormat="0"/>
    <xf numFmtId="1" fontId="16" fillId="0" borderId="12" applyNumberFormat="0"/>
    <xf numFmtId="1" fontId="16" fillId="0" borderId="12" applyNumberFormat="0"/>
    <xf numFmtId="1" fontId="16" fillId="0" borderId="12" applyNumberFormat="0"/>
  </cellStyleXfs>
  <cellXfs count="42">
    <xf numFmtId="0" fontId="0" fillId="0" borderId="0" xfId="0"/>
    <xf numFmtId="0" fontId="4" fillId="2" borderId="0" xfId="0" applyFont="1" applyFill="1" applyAlignment="1">
      <alignment horizontal="left" vertical="center"/>
    </xf>
    <xf numFmtId="3" fontId="6" fillId="2" borderId="0" xfId="0" applyNumberFormat="1" applyFont="1" applyFill="1" applyAlignment="1">
      <alignment horizontal="right" vertical="center"/>
    </xf>
    <xf numFmtId="3" fontId="7" fillId="2" borderId="0" xfId="0" applyNumberFormat="1" applyFont="1" applyFill="1" applyAlignment="1">
      <alignment horizontal="center"/>
    </xf>
    <xf numFmtId="3" fontId="7" fillId="2" borderId="0" xfId="0" applyNumberFormat="1" applyFont="1" applyFill="1" applyAlignment="1">
      <alignment horizontal="right" vertical="center"/>
    </xf>
    <xf numFmtId="3" fontId="7" fillId="2" borderId="1" xfId="0" applyNumberFormat="1" applyFont="1" applyFill="1" applyBorder="1" applyAlignment="1">
      <alignment horizontal="right" vertical="center"/>
    </xf>
    <xf numFmtId="0" fontId="9" fillId="2" borderId="0" xfId="0" applyFont="1" applyFill="1"/>
    <xf numFmtId="0" fontId="11" fillId="2" borderId="0" xfId="0" applyFont="1" applyFill="1"/>
    <xf numFmtId="37" fontId="8" fillId="2" borderId="6" xfId="0" applyNumberFormat="1" applyFont="1" applyFill="1" applyBorder="1" applyAlignment="1">
      <alignment horizontal="center" vertical="center" wrapText="1"/>
    </xf>
    <xf numFmtId="37" fontId="8" fillId="2" borderId="7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3" fontId="6" fillId="2" borderId="10" xfId="0" applyNumberFormat="1" applyFont="1" applyFill="1" applyBorder="1" applyAlignment="1">
      <alignment horizontal="center"/>
    </xf>
    <xf numFmtId="3" fontId="6" fillId="2" borderId="0" xfId="0" applyNumberFormat="1" applyFont="1" applyFill="1" applyAlignment="1">
      <alignment horizontal="center"/>
    </xf>
    <xf numFmtId="167" fontId="6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left" vertical="center"/>
    </xf>
    <xf numFmtId="3" fontId="7" fillId="2" borderId="11" xfId="0" applyNumberFormat="1" applyFont="1" applyFill="1" applyBorder="1" applyAlignment="1">
      <alignment horizontal="center"/>
    </xf>
    <xf numFmtId="164" fontId="7" fillId="2" borderId="0" xfId="0" applyNumberFormat="1" applyFont="1" applyFill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3" fontId="7" fillId="2" borderId="9" xfId="0" applyNumberFormat="1" applyFont="1" applyFill="1" applyBorder="1" applyAlignment="1">
      <alignment horizontal="center"/>
    </xf>
    <xf numFmtId="3" fontId="7" fillId="2" borderId="1" xfId="0" applyNumberFormat="1" applyFont="1" applyFill="1" applyBorder="1" applyAlignment="1">
      <alignment horizontal="center"/>
    </xf>
    <xf numFmtId="164" fontId="7" fillId="2" borderId="1" xfId="0" applyNumberFormat="1" applyFont="1" applyFill="1" applyBorder="1" applyAlignment="1">
      <alignment horizontal="center"/>
    </xf>
    <xf numFmtId="167" fontId="9" fillId="2" borderId="0" xfId="0" applyNumberFormat="1" applyFont="1" applyFill="1"/>
    <xf numFmtId="164" fontId="9" fillId="2" borderId="0" xfId="0" applyNumberFormat="1" applyFont="1" applyFill="1"/>
    <xf numFmtId="0" fontId="12" fillId="2" borderId="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/>
    </xf>
    <xf numFmtId="168" fontId="13" fillId="2" borderId="0" xfId="0" applyNumberFormat="1" applyFont="1" applyFill="1" applyAlignment="1">
      <alignment horizontal="left" vertical="center"/>
    </xf>
    <xf numFmtId="164" fontId="9" fillId="2" borderId="0" xfId="0" applyNumberFormat="1" applyFont="1" applyFill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164" fontId="9" fillId="2" borderId="0" xfId="0" applyNumberFormat="1" applyFont="1" applyFill="1" applyAlignment="1">
      <alignment horizontal="center"/>
    </xf>
    <xf numFmtId="0" fontId="6" fillId="2" borderId="1" xfId="0" applyFont="1" applyFill="1" applyBorder="1" applyAlignment="1">
      <alignment horizontal="right" vertical="center" wrapText="1"/>
    </xf>
    <xf numFmtId="0" fontId="17" fillId="2" borderId="0" xfId="0" applyFont="1" applyFill="1" applyAlignment="1">
      <alignment horizontal="right" vertical="center"/>
    </xf>
    <xf numFmtId="0" fontId="6" fillId="2" borderId="9" xfId="0" applyFont="1" applyFill="1" applyBorder="1" applyAlignment="1">
      <alignment horizontal="right" vertical="center" wrapText="1"/>
    </xf>
    <xf numFmtId="37" fontId="8" fillId="2" borderId="7" xfId="0" applyNumberFormat="1" applyFont="1" applyFill="1" applyBorder="1" applyAlignment="1">
      <alignment horizontal="right" vertical="center" wrapText="1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 indent="3"/>
    </xf>
    <xf numFmtId="0" fontId="6" fillId="2" borderId="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</cellXfs>
  <cellStyles count="64">
    <cellStyle name="1" xfId="5" xr:uid="{00000000-0005-0000-0000-000000000000}"/>
    <cellStyle name="Comma 2" xfId="19" xr:uid="{00000000-0005-0000-0000-000002000000}"/>
    <cellStyle name="Comma 2 2" xfId="46" xr:uid="{71832AE8-63E9-47AC-B43D-24C9B30FD491}"/>
    <cellStyle name="Comma 2 2 2 5" xfId="27" xr:uid="{923A80DF-8391-490C-A9FC-9B04BA3FF02C}"/>
    <cellStyle name="Comma 2 3" xfId="53" xr:uid="{18E20042-2979-46AD-9D37-4A459DA64BAE}"/>
    <cellStyle name="Comma 3" xfId="6" xr:uid="{00000000-0005-0000-0000-000003000000}"/>
    <cellStyle name="Comma 3 2" xfId="49" xr:uid="{C94EE668-205D-4DE2-A3E1-635995599CA4}"/>
    <cellStyle name="Normal" xfId="0" builtinId="0"/>
    <cellStyle name="Normal - Style1" xfId="7" xr:uid="{00000000-0005-0000-0000-000005000000}"/>
    <cellStyle name="Normal 10" xfId="13" xr:uid="{00000000-0005-0000-0000-000006000000}"/>
    <cellStyle name="Normal 11" xfId="24" xr:uid="{95DB1E47-A717-4F50-B120-BDB4A6A98D35}"/>
    <cellStyle name="Normal 12" xfId="26" xr:uid="{5F37676F-9210-428B-A54A-88AF31197612}"/>
    <cellStyle name="Normal 13" xfId="35" xr:uid="{1E44DD08-E506-4B0E-A49D-239619E68ECB}"/>
    <cellStyle name="Normal 14" xfId="60" xr:uid="{CF47567C-18E3-48E3-B4B2-F9546E19550C}"/>
    <cellStyle name="Normal 15" xfId="61" xr:uid="{791BF7C1-0A53-4899-92D0-58D1295D1734}"/>
    <cellStyle name="Normal 16" xfId="62" xr:uid="{FB24067F-240D-455E-8348-EE3147456F5B}"/>
    <cellStyle name="Normal 17" xfId="63" xr:uid="{D4A5C67F-868D-43C6-89A5-249394EF5F61}"/>
    <cellStyle name="Normal 2" xfId="1" xr:uid="{00000000-0005-0000-0000-000007000000}"/>
    <cellStyle name="Normal 2 2" xfId="8" xr:uid="{00000000-0005-0000-0000-000008000000}"/>
    <cellStyle name="Normal 2 2 2" xfId="20" xr:uid="{00000000-0005-0000-0000-000009000000}"/>
    <cellStyle name="Normal 2 2 2 2" xfId="44" xr:uid="{8F8F9C60-80DF-42BF-B765-6C68B3B83858}"/>
    <cellStyle name="Normal 2 2 3" xfId="21" xr:uid="{2E2FEFD2-ABBD-420D-8461-C8F503FDA24A}"/>
    <cellStyle name="Normal 2 2 3 2" xfId="42" xr:uid="{847F1A16-9FCA-412B-AE91-D29E3FC8B338}"/>
    <cellStyle name="Normal 2 2 4" xfId="38" xr:uid="{19B03459-4F46-4840-B83F-02097E770DD0}"/>
    <cellStyle name="Normal 2 3" xfId="23" xr:uid="{48422FEC-E0BC-428C-9750-2D76D2E13FBF}"/>
    <cellStyle name="Normal 2 3 2" xfId="34" xr:uid="{53720891-5BB7-4072-A4AA-9D579EA571CD}"/>
    <cellStyle name="Normal 2 3 3" xfId="37" xr:uid="{7DCAFB35-81DA-42EB-A924-F7ED0EEF7A1F}"/>
    <cellStyle name="Normal 2 4" xfId="25" xr:uid="{84E1C268-3A16-4FB7-A335-F22068D33369}"/>
    <cellStyle name="Normal 2 4 2" xfId="45" xr:uid="{57E5914E-388A-4C4B-895D-9DE84233932D}"/>
    <cellStyle name="Normal 2 5" xfId="29" xr:uid="{D29D2916-D641-4853-A275-3F08E70F8C7A}"/>
    <cellStyle name="Normal 3" xfId="9" xr:uid="{00000000-0005-0000-0000-00000A000000}"/>
    <cellStyle name="Normal 3 2" xfId="22" xr:uid="{44D070A0-948A-45DA-8AFF-8A98BB90EB1D}"/>
    <cellStyle name="Normal 3 2 2" xfId="31" xr:uid="{4957CE97-0C4F-446D-8F13-BA568858B15F}"/>
    <cellStyle name="Normal 3 2 2 2" xfId="56" xr:uid="{2E853BA5-A6AB-4EF9-973C-19000D44968E}"/>
    <cellStyle name="Normal 3 3" xfId="40" xr:uid="{1D4DED44-E767-4414-A710-53A5E77B0231}"/>
    <cellStyle name="Normal 3 3 2" xfId="59" xr:uid="{105881E3-0498-4F49-93D5-84249EBD8B7E}"/>
    <cellStyle name="Normal 3 4" xfId="50" xr:uid="{775CBDBA-2355-47F1-8EDC-996CD2E9D14C}"/>
    <cellStyle name="Normal 3 5" xfId="54" xr:uid="{B67EF198-0A73-4423-9F40-46956DF79B03}"/>
    <cellStyle name="Normal 4" xfId="14" xr:uid="{00000000-0005-0000-0000-00000B000000}"/>
    <cellStyle name="Normal 4 2" xfId="10" xr:uid="{00000000-0005-0000-0000-00000C000000}"/>
    <cellStyle name="Normal 4 2 2" xfId="15" xr:uid="{00000000-0005-0000-0000-00000D000000}"/>
    <cellStyle name="Normal 4 2 3" xfId="39" xr:uid="{3CC09F86-6AF3-42B7-B59F-47E11B119A56}"/>
    <cellStyle name="Normal 4 3" xfId="30" xr:uid="{6720CF7E-3D28-49D4-A4F3-23A341275CC3}"/>
    <cellStyle name="Normal 4 3 2" xfId="47" xr:uid="{FF8D28D6-8DB2-418B-A317-8CA9F33A63C6}"/>
    <cellStyle name="Normal 4 4" xfId="52" xr:uid="{506DB73D-6B6B-40EF-85B4-52381B4717DA}"/>
    <cellStyle name="Normal 5" xfId="11" xr:uid="{00000000-0005-0000-0000-00000E000000}"/>
    <cellStyle name="Normal 5 2" xfId="3" xr:uid="{00000000-0005-0000-0000-00000F000000}"/>
    <cellStyle name="Normal 5 2 2" xfId="55" xr:uid="{349C0B77-1FB1-4403-84A0-A4B2133A156A}"/>
    <cellStyle name="Normal 5 3" xfId="28" xr:uid="{F16A05F5-F806-4902-9DAF-1592A0EB3B8F}"/>
    <cellStyle name="Normal 5 4" xfId="41" xr:uid="{A6EA1B92-714A-484D-87C5-6D1A3BC3F4D7}"/>
    <cellStyle name="Normal 6" xfId="16" xr:uid="{00000000-0005-0000-0000-000010000000}"/>
    <cellStyle name="Normal 6 2" xfId="32" xr:uid="{28DCBC0B-46D7-4D92-ADC4-A6E5B7FB0383}"/>
    <cellStyle name="Normal 6 2 2" xfId="57" xr:uid="{35024BBE-69E3-4A93-86D9-3A08FFADFD0D}"/>
    <cellStyle name="Normal 6 3" xfId="43" xr:uid="{A1A5671A-5779-4172-B339-E25C279C443B}"/>
    <cellStyle name="Normal 7" xfId="17" xr:uid="{00000000-0005-0000-0000-000011000000}"/>
    <cellStyle name="Normal 7 2" xfId="33" xr:uid="{F94E59D5-A861-4070-A967-F13E24BDD6F0}"/>
    <cellStyle name="Normal 7 2 2" xfId="48" xr:uid="{3C7963B8-B6CF-4FCF-93B3-DD71D3A617EC}"/>
    <cellStyle name="Normal 7 3" xfId="58" xr:uid="{31B347B4-04A7-4773-99FE-B93DBCB9EF51}"/>
    <cellStyle name="Normal 7 4" xfId="36" xr:uid="{82FD4FAA-650B-46FE-85A5-0119781775C0}"/>
    <cellStyle name="Normal 8" xfId="18" xr:uid="{00000000-0005-0000-0000-000012000000}"/>
    <cellStyle name="Normal 8 2" xfId="51" xr:uid="{2C19882A-370B-4CF1-8D87-E650A5A0EE91}"/>
    <cellStyle name="Normal 9" xfId="4" xr:uid="{00000000-0005-0000-0000-000013000000}"/>
    <cellStyle name="Percent 2" xfId="12" xr:uid="{00000000-0005-0000-0000-00001B000000}"/>
    <cellStyle name="Percent 2 2" xfId="2" xr:uid="{00000000-0005-0000-0000-00001C000000}"/>
  </cellStyles>
  <dxfs count="0"/>
  <tableStyles count="0" defaultTableStyle="TableStyleMedium2" defaultPivotStyle="PivotStyleLight16"/>
  <colors>
    <mruColors>
      <color rgb="FFF3F6FB"/>
      <color rgb="FFFCFDFE"/>
      <color rgb="FFFF3B3B"/>
      <color rgb="FFFFB7B7"/>
      <color rgb="FFFF8585"/>
      <color rgb="FFFFDDDD"/>
      <color rgb="FFFFFBFB"/>
      <color rgb="FFFFD5D5"/>
      <color rgb="FFFFCCCC"/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10.9:  Bed capacity and beds in operation in </a:t>
            </a:r>
            <a:r>
              <a:rPr lang="en-US" sz="1200" b="1" i="0" u="none" strike="noStrike" baseline="0">
                <a:effectLst/>
              </a:rPr>
              <a:t>hotels</a:t>
            </a:r>
            <a:r>
              <a:rPr lang="en-US" sz="1200" b="1" i="0" baseline="0">
                <a:effectLst/>
              </a:rPr>
              <a:t>, 2022</a:t>
            </a:r>
            <a:endParaRPr lang="en-US" sz="1200">
              <a:effectLst/>
            </a:endParaRPr>
          </a:p>
        </c:rich>
      </c:tx>
      <c:layout>
        <c:manualLayout>
          <c:xMode val="edge"/>
          <c:yMode val="edge"/>
          <c:x val="0.26005066685742556"/>
          <c:y val="2.78186238990064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745645514469065E-2"/>
          <c:y val="0.1444703890279628"/>
          <c:w val="0.90029650250643645"/>
          <c:h val="0.691180458270936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'10.5'!$AA$32</c:f>
              <c:strCache>
                <c:ptCount val="1"/>
                <c:pt idx="0">
                  <c:v>Registered Bed Capacity 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'10.5'!$Z$33:$Z$44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'10.5'!$AA$33:$AA$44</c:f>
              <c:numCache>
                <c:formatCode>#,##0</c:formatCode>
                <c:ptCount val="12"/>
                <c:pt idx="0">
                  <c:v>1564</c:v>
                </c:pt>
                <c:pt idx="1">
                  <c:v>1564</c:v>
                </c:pt>
                <c:pt idx="2">
                  <c:v>1564</c:v>
                </c:pt>
                <c:pt idx="3">
                  <c:v>1564</c:v>
                </c:pt>
                <c:pt idx="4">
                  <c:v>1564</c:v>
                </c:pt>
                <c:pt idx="5">
                  <c:v>1564</c:v>
                </c:pt>
                <c:pt idx="6">
                  <c:v>1616</c:v>
                </c:pt>
                <c:pt idx="7">
                  <c:v>1616</c:v>
                </c:pt>
                <c:pt idx="8">
                  <c:v>1616</c:v>
                </c:pt>
                <c:pt idx="9">
                  <c:v>1616</c:v>
                </c:pt>
                <c:pt idx="10">
                  <c:v>1616</c:v>
                </c:pt>
                <c:pt idx="11">
                  <c:v>1640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7C-44CF-B7BF-D4DBEC0B3BE6}"/>
            </c:ext>
          </c:extLst>
        </c:ser>
        <c:ser>
          <c:idx val="1"/>
          <c:order val="1"/>
          <c:tx>
            <c:strRef>
              <c:f>'10.5'!$AB$32</c:f>
              <c:strCache>
                <c:ptCount val="1"/>
                <c:pt idx="0">
                  <c:v>Beds in operation 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'10.5'!$Z$33:$Z$44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'10.5'!$AB$33:$AB$44</c:f>
              <c:numCache>
                <c:formatCode>#,##0</c:formatCode>
                <c:ptCount val="12"/>
                <c:pt idx="0">
                  <c:v>1360</c:v>
                </c:pt>
                <c:pt idx="1">
                  <c:v>1418</c:v>
                </c:pt>
                <c:pt idx="2">
                  <c:v>1418</c:v>
                </c:pt>
                <c:pt idx="3">
                  <c:v>1418</c:v>
                </c:pt>
                <c:pt idx="4">
                  <c:v>1564</c:v>
                </c:pt>
                <c:pt idx="5">
                  <c:v>1564</c:v>
                </c:pt>
                <c:pt idx="6">
                  <c:v>1616</c:v>
                </c:pt>
                <c:pt idx="7">
                  <c:v>1616</c:v>
                </c:pt>
                <c:pt idx="8">
                  <c:v>1616</c:v>
                </c:pt>
                <c:pt idx="9">
                  <c:v>1616</c:v>
                </c:pt>
                <c:pt idx="10">
                  <c:v>1616</c:v>
                </c:pt>
                <c:pt idx="11">
                  <c:v>1640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7C-44CF-B7BF-D4DBEC0B3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axId val="404763104"/>
        <c:axId val="404764672"/>
      </c:barChart>
      <c:catAx>
        <c:axId val="40476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764672"/>
        <c:crosses val="autoZero"/>
        <c:auto val="1"/>
        <c:lblAlgn val="ctr"/>
        <c:lblOffset val="100"/>
        <c:noMultiLvlLbl val="0"/>
      </c:catAx>
      <c:valAx>
        <c:axId val="4047646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763104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32161555184995616"/>
          <c:y val="0.91749834951612641"/>
          <c:w val="0.3626495480369788"/>
          <c:h val="7.26248254055962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533397</xdr:colOff>
      <xdr:row>21</xdr:row>
      <xdr:rowOff>152400</xdr:rowOff>
    </xdr:from>
    <xdr:to>
      <xdr:col>10</xdr:col>
      <xdr:colOff>85725</xdr:colOff>
      <xdr:row>35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AB73"/>
  <sheetViews>
    <sheetView tabSelected="1" zoomScaleNormal="100" workbookViewId="0">
      <selection activeCell="Z31" sqref="Z31:AB44"/>
    </sheetView>
  </sheetViews>
  <sheetFormatPr defaultColWidth="9.140625" defaultRowHeight="12"/>
  <cols>
    <col min="1" max="1" width="13.7109375" style="6" customWidth="1"/>
    <col min="2" max="6" width="13.42578125" style="6" customWidth="1"/>
    <col min="7" max="11" width="13.85546875" style="6" customWidth="1"/>
    <col min="12" max="12" width="2.7109375" style="6" customWidth="1"/>
    <col min="13" max="16384" width="9.140625" style="6"/>
  </cols>
  <sheetData>
    <row r="1" spans="1:11" ht="17.25" customHeight="1">
      <c r="A1" s="40" t="s">
        <v>41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2" spans="1:11" ht="24" customHeight="1">
      <c r="A2" s="41" t="s">
        <v>40</v>
      </c>
      <c r="B2" s="41"/>
      <c r="C2" s="41"/>
      <c r="D2" s="41"/>
      <c r="E2" s="41"/>
      <c r="F2" s="41"/>
      <c r="G2" s="41"/>
      <c r="H2" s="41"/>
      <c r="I2" s="41"/>
      <c r="J2" s="41"/>
      <c r="K2" s="41"/>
    </row>
    <row r="3" spans="1:11" s="7" customFormat="1" ht="18.75" customHeight="1">
      <c r="A3" s="35" t="s">
        <v>2</v>
      </c>
      <c r="B3" s="38">
        <v>2021</v>
      </c>
      <c r="C3" s="39"/>
      <c r="D3" s="39"/>
      <c r="E3" s="39"/>
      <c r="F3" s="39"/>
      <c r="G3" s="38">
        <v>2022</v>
      </c>
      <c r="H3" s="39"/>
      <c r="I3" s="39"/>
      <c r="J3" s="39"/>
      <c r="K3" s="39"/>
    </row>
    <row r="4" spans="1:11" s="7" customFormat="1" ht="72" customHeight="1">
      <c r="A4" s="36"/>
      <c r="B4" s="8" t="s">
        <v>3</v>
      </c>
      <c r="C4" s="9" t="s">
        <v>4</v>
      </c>
      <c r="D4" s="9" t="s">
        <v>1</v>
      </c>
      <c r="E4" s="9" t="s">
        <v>5</v>
      </c>
      <c r="F4" s="32" t="s">
        <v>6</v>
      </c>
      <c r="G4" s="8" t="s">
        <v>3</v>
      </c>
      <c r="H4" s="9" t="s">
        <v>4</v>
      </c>
      <c r="I4" s="9" t="s">
        <v>1</v>
      </c>
      <c r="J4" s="9" t="s">
        <v>5</v>
      </c>
      <c r="K4" s="32" t="s">
        <v>6</v>
      </c>
    </row>
    <row r="5" spans="1:11" s="7" customFormat="1" ht="46.5" customHeight="1">
      <c r="A5" s="37"/>
      <c r="B5" s="31" t="s">
        <v>11</v>
      </c>
      <c r="C5" s="29" t="s">
        <v>7</v>
      </c>
      <c r="D5" s="29" t="s">
        <v>8</v>
      </c>
      <c r="E5" s="29" t="s">
        <v>9</v>
      </c>
      <c r="F5" s="29" t="s">
        <v>10</v>
      </c>
      <c r="G5" s="31" t="s">
        <v>11</v>
      </c>
      <c r="H5" s="29" t="s">
        <v>7</v>
      </c>
      <c r="I5" s="29" t="s">
        <v>8</v>
      </c>
      <c r="J5" s="29" t="s">
        <v>9</v>
      </c>
      <c r="K5" s="29" t="s">
        <v>10</v>
      </c>
    </row>
    <row r="6" spans="1:11" s="7" customFormat="1" ht="15.75" customHeight="1">
      <c r="A6" s="10" t="s">
        <v>12</v>
      </c>
      <c r="B6" s="11">
        <f>AVERAGE(B7:B18)</f>
        <v>1580.6666666666667</v>
      </c>
      <c r="C6" s="12">
        <f>AVERAGE(C7:C18)</f>
        <v>1399.3333333333333</v>
      </c>
      <c r="D6" s="13">
        <f>AVERAGE(D7:D18)</f>
        <v>88.607801390846546</v>
      </c>
      <c r="E6" s="13">
        <f>AVERAGE(E7:E18)</f>
        <v>41.913809470705694</v>
      </c>
      <c r="F6" s="2">
        <f>SUM(F7:F18)</f>
        <v>213230</v>
      </c>
      <c r="G6" s="11">
        <f>AVERAGE(G7:G18)</f>
        <v>1592</v>
      </c>
      <c r="H6" s="12">
        <f>AVERAGE(H7:H18)</f>
        <v>1538.5</v>
      </c>
      <c r="I6" s="13">
        <f>AVERAGE(I7:I18)</f>
        <v>96.579283887468023</v>
      </c>
      <c r="J6" s="13">
        <f>AVERAGE(J7:J18)</f>
        <v>36.366666666666667</v>
      </c>
      <c r="K6" s="2">
        <f>SUM(K7:K18)</f>
        <v>202503.65704769304</v>
      </c>
    </row>
    <row r="7" spans="1:11" s="7" customFormat="1" ht="16.5" customHeight="1">
      <c r="A7" s="14" t="s">
        <v>13</v>
      </c>
      <c r="B7" s="15">
        <v>1698</v>
      </c>
      <c r="C7" s="3">
        <v>1478</v>
      </c>
      <c r="D7" s="16">
        <f>C7/B7*100</f>
        <v>87.043580683156648</v>
      </c>
      <c r="E7" s="16">
        <v>31.712427430267581</v>
      </c>
      <c r="F7" s="4">
        <v>14530</v>
      </c>
      <c r="G7" s="15">
        <v>1564</v>
      </c>
      <c r="H7" s="3">
        <v>1360</v>
      </c>
      <c r="I7" s="16">
        <f>H7/G7*100</f>
        <v>86.956521739130437</v>
      </c>
      <c r="J7" s="16">
        <v>47.9</v>
      </c>
      <c r="K7" s="4">
        <v>20183.801065719359</v>
      </c>
    </row>
    <row r="8" spans="1:11" s="7" customFormat="1" ht="16.5" customHeight="1">
      <c r="A8" s="14" t="s">
        <v>14</v>
      </c>
      <c r="B8" s="15">
        <v>1698</v>
      </c>
      <c r="C8" s="3">
        <v>1478</v>
      </c>
      <c r="D8" s="16">
        <f t="shared" ref="D8:D18" si="0">C8/B8*100</f>
        <v>87.043580683156648</v>
      </c>
      <c r="E8" s="16">
        <v>39.732883203032458</v>
      </c>
      <c r="F8" s="4">
        <v>16443</v>
      </c>
      <c r="G8" s="15">
        <v>1564</v>
      </c>
      <c r="H8" s="3">
        <v>1418</v>
      </c>
      <c r="I8" s="16">
        <f t="shared" ref="I8:I18" si="1">H8/G8*100</f>
        <v>90.66496163682865</v>
      </c>
      <c r="J8" s="16">
        <v>51.1</v>
      </c>
      <c r="K8" s="4">
        <v>20306.616341030196</v>
      </c>
    </row>
    <row r="9" spans="1:11" s="7" customFormat="1" ht="16.5" customHeight="1">
      <c r="A9" s="14" t="s">
        <v>15</v>
      </c>
      <c r="B9" s="15">
        <v>1698</v>
      </c>
      <c r="C9" s="3">
        <v>1478</v>
      </c>
      <c r="D9" s="16">
        <f t="shared" si="0"/>
        <v>87.043580683156648</v>
      </c>
      <c r="E9" s="16">
        <v>38.238912962071367</v>
      </c>
      <c r="F9" s="4">
        <v>17520</v>
      </c>
      <c r="G9" s="15">
        <v>1564</v>
      </c>
      <c r="H9" s="3">
        <v>1418</v>
      </c>
      <c r="I9" s="16">
        <f t="shared" si="1"/>
        <v>90.66496163682865</v>
      </c>
      <c r="J9" s="16">
        <v>46.9</v>
      </c>
      <c r="K9" s="4">
        <v>20608.08203125</v>
      </c>
    </row>
    <row r="10" spans="1:11" s="7" customFormat="1" ht="16.5" customHeight="1">
      <c r="A10" s="14" t="s">
        <v>16</v>
      </c>
      <c r="B10" s="15">
        <v>1698</v>
      </c>
      <c r="C10" s="3">
        <v>1478</v>
      </c>
      <c r="D10" s="16">
        <f t="shared" si="0"/>
        <v>87.043580683156648</v>
      </c>
      <c r="E10" s="16">
        <v>31.716417910447763</v>
      </c>
      <c r="F10" s="4">
        <v>14063</v>
      </c>
      <c r="G10" s="15">
        <v>1564</v>
      </c>
      <c r="H10" s="3">
        <v>1418</v>
      </c>
      <c r="I10" s="16">
        <f t="shared" si="1"/>
        <v>90.66496163682865</v>
      </c>
      <c r="J10" s="16">
        <v>27.7</v>
      </c>
      <c r="K10" s="4">
        <v>11795.89010989011</v>
      </c>
    </row>
    <row r="11" spans="1:11" s="7" customFormat="1" ht="16.5" customHeight="1">
      <c r="A11" s="14" t="s">
        <v>17</v>
      </c>
      <c r="B11" s="15">
        <v>1600</v>
      </c>
      <c r="C11" s="3">
        <v>1360</v>
      </c>
      <c r="D11" s="16">
        <f t="shared" si="0"/>
        <v>85</v>
      </c>
      <c r="E11" s="16">
        <v>26.406195411668797</v>
      </c>
      <c r="F11" s="4">
        <v>11133</v>
      </c>
      <c r="G11" s="15">
        <v>1564</v>
      </c>
      <c r="H11" s="3">
        <v>1564</v>
      </c>
      <c r="I11" s="16">
        <f t="shared" si="1"/>
        <v>100</v>
      </c>
      <c r="J11" s="16">
        <v>27.7</v>
      </c>
      <c r="K11" s="4">
        <v>13411.646017699115</v>
      </c>
    </row>
    <row r="12" spans="1:11" s="7" customFormat="1" ht="16.5" customHeight="1">
      <c r="A12" s="14" t="s">
        <v>18</v>
      </c>
      <c r="B12" s="15">
        <v>1528</v>
      </c>
      <c r="C12" s="3">
        <v>1360</v>
      </c>
      <c r="D12" s="16">
        <f t="shared" si="0"/>
        <v>89.005235602094245</v>
      </c>
      <c r="E12" s="16">
        <v>19.169675090252706</v>
      </c>
      <c r="F12" s="4">
        <v>7821</v>
      </c>
      <c r="G12" s="15">
        <v>1564</v>
      </c>
      <c r="H12" s="3">
        <v>1564</v>
      </c>
      <c r="I12" s="16">
        <f t="shared" si="1"/>
        <v>100</v>
      </c>
      <c r="J12" s="16">
        <v>24.2</v>
      </c>
      <c r="K12" s="4">
        <v>11359.069026548672</v>
      </c>
    </row>
    <row r="13" spans="1:11" s="7" customFormat="1" ht="16.5" customHeight="1">
      <c r="A13" s="14" t="s">
        <v>19</v>
      </c>
      <c r="B13" s="15">
        <v>1508</v>
      </c>
      <c r="C13" s="3">
        <v>1360</v>
      </c>
      <c r="D13" s="16">
        <f t="shared" si="0"/>
        <v>90.185676392572944</v>
      </c>
      <c r="E13" s="16">
        <v>34.069615749525617</v>
      </c>
      <c r="F13" s="4">
        <v>14364</v>
      </c>
      <c r="G13" s="15">
        <v>1616</v>
      </c>
      <c r="H13" s="3">
        <v>1616</v>
      </c>
      <c r="I13" s="16">
        <f t="shared" si="1"/>
        <v>100</v>
      </c>
      <c r="J13" s="16">
        <v>35.1</v>
      </c>
      <c r="K13" s="4">
        <v>17565.776991150444</v>
      </c>
    </row>
    <row r="14" spans="1:11" s="7" customFormat="1" ht="16.5" customHeight="1">
      <c r="A14" s="14" t="s">
        <v>20</v>
      </c>
      <c r="B14" s="15">
        <v>1508</v>
      </c>
      <c r="C14" s="3">
        <v>1360</v>
      </c>
      <c r="D14" s="16">
        <f t="shared" si="0"/>
        <v>90.185676392572944</v>
      </c>
      <c r="E14" s="16">
        <v>66.646521115056274</v>
      </c>
      <c r="F14" s="4">
        <v>28098</v>
      </c>
      <c r="G14" s="15">
        <v>1616</v>
      </c>
      <c r="H14" s="3">
        <v>1616</v>
      </c>
      <c r="I14" s="16">
        <f t="shared" si="1"/>
        <v>100</v>
      </c>
      <c r="J14" s="16">
        <v>36.799999999999997</v>
      </c>
      <c r="K14" s="4">
        <v>18443.851327433629</v>
      </c>
    </row>
    <row r="15" spans="1:11" s="7" customFormat="1" ht="16.5" customHeight="1">
      <c r="A15" s="14" t="s">
        <v>21</v>
      </c>
      <c r="B15" s="15">
        <v>1508</v>
      </c>
      <c r="C15" s="3">
        <v>1360</v>
      </c>
      <c r="D15" s="16">
        <f t="shared" si="0"/>
        <v>90.185676392572944</v>
      </c>
      <c r="E15" s="16">
        <v>47.669789227166277</v>
      </c>
      <c r="F15" s="4">
        <v>19449</v>
      </c>
      <c r="G15" s="15">
        <v>1616</v>
      </c>
      <c r="H15" s="3">
        <v>1616</v>
      </c>
      <c r="I15" s="16">
        <f t="shared" si="1"/>
        <v>100</v>
      </c>
      <c r="J15" s="16">
        <v>30.5</v>
      </c>
      <c r="K15" s="4">
        <v>14788.545132743362</v>
      </c>
    </row>
    <row r="16" spans="1:11" s="7" customFormat="1" ht="16.5" customHeight="1">
      <c r="A16" s="14" t="s">
        <v>22</v>
      </c>
      <c r="B16" s="15">
        <v>1508</v>
      </c>
      <c r="C16" s="3">
        <v>1360</v>
      </c>
      <c r="D16" s="16">
        <f t="shared" si="0"/>
        <v>90.185676392572944</v>
      </c>
      <c r="E16" s="16">
        <v>57.289144801413336</v>
      </c>
      <c r="F16" s="4">
        <v>24153</v>
      </c>
      <c r="G16" s="15">
        <v>1616</v>
      </c>
      <c r="H16" s="3">
        <v>1616</v>
      </c>
      <c r="I16" s="16">
        <f t="shared" si="1"/>
        <v>100</v>
      </c>
      <c r="J16" s="16">
        <v>32.9</v>
      </c>
      <c r="K16" s="4">
        <v>16469.607476635512</v>
      </c>
    </row>
    <row r="17" spans="1:28" s="7" customFormat="1" ht="16.5" customHeight="1">
      <c r="A17" s="14" t="s">
        <v>23</v>
      </c>
      <c r="B17" s="15">
        <v>1508</v>
      </c>
      <c r="C17" s="3">
        <v>1360</v>
      </c>
      <c r="D17" s="16">
        <f t="shared" si="0"/>
        <v>90.185676392572944</v>
      </c>
      <c r="E17" s="16">
        <v>62.724814063556465</v>
      </c>
      <c r="F17" s="4">
        <v>25592</v>
      </c>
      <c r="G17" s="15">
        <v>1616</v>
      </c>
      <c r="H17" s="3">
        <v>1616</v>
      </c>
      <c r="I17" s="16">
        <f t="shared" si="1"/>
        <v>100</v>
      </c>
      <c r="J17" s="16">
        <v>36.1</v>
      </c>
      <c r="K17" s="4">
        <v>17507.223140495869</v>
      </c>
    </row>
    <row r="18" spans="1:28" s="7" customFormat="1" ht="16.5" customHeight="1">
      <c r="A18" s="17" t="s">
        <v>24</v>
      </c>
      <c r="B18" s="18">
        <v>1508</v>
      </c>
      <c r="C18" s="19">
        <v>1360</v>
      </c>
      <c r="D18" s="20">
        <f t="shared" si="0"/>
        <v>90.185676392572944</v>
      </c>
      <c r="E18" s="20">
        <v>47.589316684009717</v>
      </c>
      <c r="F18" s="5">
        <v>20064</v>
      </c>
      <c r="G18" s="18">
        <v>1640</v>
      </c>
      <c r="H18" s="19">
        <v>1640</v>
      </c>
      <c r="I18" s="20">
        <f t="shared" si="1"/>
        <v>100</v>
      </c>
      <c r="J18" s="20">
        <v>39.5</v>
      </c>
      <c r="K18" s="5">
        <v>20063.548387096773</v>
      </c>
    </row>
    <row r="19" spans="1:28" ht="19.5" customHeight="1">
      <c r="A19" s="1" t="s">
        <v>0</v>
      </c>
      <c r="B19" s="21"/>
      <c r="C19" s="21"/>
      <c r="D19" s="22"/>
      <c r="G19" s="28"/>
      <c r="J19" s="7"/>
      <c r="K19" s="30" t="s">
        <v>25</v>
      </c>
    </row>
    <row r="20" spans="1:28" ht="12.75" customHeight="1">
      <c r="A20" s="33" t="s">
        <v>38</v>
      </c>
      <c r="B20" s="27"/>
      <c r="C20" s="28"/>
      <c r="D20" s="28"/>
      <c r="E20" s="28"/>
      <c r="F20" s="28"/>
      <c r="G20" s="28"/>
      <c r="J20" s="7"/>
    </row>
    <row r="21" spans="1:28" ht="12.75" customHeight="1">
      <c r="A21" s="34" t="s">
        <v>39</v>
      </c>
      <c r="B21" s="27"/>
      <c r="C21" s="28"/>
      <c r="D21" s="28"/>
      <c r="E21" s="28"/>
      <c r="F21" s="28"/>
      <c r="G21" s="28"/>
    </row>
    <row r="22" spans="1:28" ht="18.75" customHeight="1">
      <c r="A22" s="24"/>
      <c r="B22" s="27"/>
      <c r="C22" s="28"/>
      <c r="D22" s="28"/>
      <c r="E22" s="28"/>
      <c r="F22" s="28"/>
      <c r="G22" s="28"/>
    </row>
    <row r="23" spans="1:28" ht="18.75" customHeight="1">
      <c r="A23" s="24"/>
      <c r="B23" s="27"/>
      <c r="C23" s="28"/>
      <c r="D23" s="28"/>
      <c r="E23" s="28"/>
      <c r="F23" s="28"/>
      <c r="G23" s="28"/>
    </row>
    <row r="24" spans="1:28" ht="18.75" customHeight="1">
      <c r="A24" s="24"/>
      <c r="B24" s="27"/>
      <c r="C24" s="28"/>
      <c r="D24" s="28"/>
      <c r="E24" s="28"/>
      <c r="F24" s="28"/>
      <c r="G24" s="28"/>
    </row>
    <row r="25" spans="1:28" ht="18.75" customHeight="1">
      <c r="A25" s="24"/>
      <c r="B25" s="27"/>
      <c r="C25" s="28"/>
      <c r="D25" s="28"/>
      <c r="E25" s="28"/>
      <c r="F25" s="28"/>
      <c r="G25" s="28"/>
      <c r="O25" s="26"/>
    </row>
    <row r="26" spans="1:28" ht="18.75" customHeight="1">
      <c r="A26" s="24"/>
      <c r="B26" s="25"/>
      <c r="C26" s="16"/>
      <c r="D26" s="16"/>
      <c r="E26" s="16"/>
      <c r="F26" s="16"/>
      <c r="G26" s="16"/>
      <c r="O26" s="26"/>
    </row>
    <row r="27" spans="1:28" ht="18.75" customHeight="1">
      <c r="A27" s="24"/>
      <c r="B27" s="27"/>
      <c r="C27" s="16"/>
      <c r="D27" s="16"/>
      <c r="E27" s="16"/>
      <c r="F27" s="16"/>
      <c r="G27" s="16"/>
      <c r="O27" s="26"/>
    </row>
    <row r="28" spans="1:28" ht="18.75" customHeight="1">
      <c r="A28" s="24"/>
      <c r="B28" s="27"/>
      <c r="C28" s="16"/>
      <c r="D28" s="16"/>
      <c r="E28" s="16"/>
      <c r="F28" s="16"/>
      <c r="G28" s="16"/>
      <c r="O28" s="26"/>
    </row>
    <row r="29" spans="1:28" ht="18.75" customHeight="1">
      <c r="A29" s="24"/>
      <c r="B29" s="27"/>
      <c r="C29" s="16"/>
      <c r="D29" s="16"/>
      <c r="E29" s="16"/>
      <c r="F29" s="16"/>
      <c r="G29" s="16"/>
      <c r="O29" s="26"/>
    </row>
    <row r="30" spans="1:28" ht="18.75" customHeight="1">
      <c r="A30" s="24"/>
      <c r="B30" s="27"/>
      <c r="C30" s="16"/>
      <c r="D30" s="16"/>
      <c r="E30" s="16"/>
      <c r="F30" s="16"/>
      <c r="G30" s="16"/>
      <c r="O30" s="26"/>
    </row>
    <row r="31" spans="1:28" ht="18.75" customHeight="1">
      <c r="A31" s="24"/>
      <c r="B31" s="27"/>
      <c r="C31" s="16"/>
      <c r="D31" s="16"/>
      <c r="E31" s="16"/>
      <c r="F31" s="16"/>
      <c r="G31" s="16"/>
      <c r="O31" s="26"/>
      <c r="Z31" s="7"/>
      <c r="AA31" s="7"/>
      <c r="AB31" s="7"/>
    </row>
    <row r="32" spans="1:28" ht="9.75" customHeight="1">
      <c r="A32" s="24"/>
      <c r="B32" s="27"/>
      <c r="C32" s="16"/>
      <c r="D32" s="16"/>
      <c r="E32" s="16"/>
      <c r="F32" s="16"/>
      <c r="G32" s="16"/>
      <c r="O32" s="26"/>
      <c r="AA32" s="23" t="s">
        <v>11</v>
      </c>
      <c r="AB32" s="23" t="s">
        <v>26</v>
      </c>
    </row>
    <row r="33" spans="1:28" ht="18.75" customHeight="1">
      <c r="A33" s="24"/>
      <c r="B33" s="27"/>
      <c r="C33" s="16"/>
      <c r="D33" s="16"/>
      <c r="E33" s="16"/>
      <c r="F33" s="16"/>
      <c r="G33" s="16"/>
      <c r="O33" s="26"/>
      <c r="Z33" s="24" t="s">
        <v>27</v>
      </c>
      <c r="AA33" s="15">
        <f>G7</f>
        <v>1564</v>
      </c>
      <c r="AB33" s="15">
        <f>H7</f>
        <v>1360</v>
      </c>
    </row>
    <row r="34" spans="1:28" ht="18.75" customHeight="1">
      <c r="A34" s="24"/>
      <c r="B34" s="27"/>
      <c r="C34" s="16"/>
      <c r="D34" s="16"/>
      <c r="E34" s="16"/>
      <c r="F34" s="16"/>
      <c r="G34" s="16"/>
      <c r="O34" s="26"/>
      <c r="Z34" s="24" t="s">
        <v>28</v>
      </c>
      <c r="AA34" s="15">
        <f>G8</f>
        <v>1564</v>
      </c>
      <c r="AB34" s="15">
        <f>H8</f>
        <v>1418</v>
      </c>
    </row>
    <row r="35" spans="1:28" ht="12.75">
      <c r="B35" s="27"/>
      <c r="C35" s="16"/>
      <c r="D35" s="16"/>
      <c r="E35" s="16"/>
      <c r="F35" s="16"/>
      <c r="G35" s="16"/>
      <c r="O35" s="26"/>
      <c r="Z35" s="24" t="s">
        <v>29</v>
      </c>
      <c r="AA35" s="15">
        <f>G9</f>
        <v>1564</v>
      </c>
      <c r="AB35" s="15">
        <f>H9</f>
        <v>1418</v>
      </c>
    </row>
    <row r="36" spans="1:28" ht="12.75">
      <c r="B36" s="27"/>
      <c r="C36" s="16"/>
      <c r="D36" s="16"/>
      <c r="E36" s="16"/>
      <c r="F36" s="16"/>
      <c r="G36" s="16"/>
      <c r="O36" s="26"/>
      <c r="Z36" s="24" t="s">
        <v>30</v>
      </c>
      <c r="AA36" s="15">
        <f>G10</f>
        <v>1564</v>
      </c>
      <c r="AB36" s="15">
        <f>H10</f>
        <v>1418</v>
      </c>
    </row>
    <row r="37" spans="1:28" ht="12.75">
      <c r="B37" s="27"/>
      <c r="C37" s="16"/>
      <c r="D37" s="16"/>
      <c r="E37" s="16"/>
      <c r="F37" s="16"/>
      <c r="G37" s="16"/>
      <c r="O37" s="26"/>
      <c r="Z37" s="24" t="s">
        <v>17</v>
      </c>
      <c r="AA37" s="15">
        <f>G11</f>
        <v>1564</v>
      </c>
      <c r="AB37" s="15">
        <f>H11</f>
        <v>1564</v>
      </c>
    </row>
    <row r="38" spans="1:28" ht="12.75">
      <c r="O38" s="26"/>
      <c r="Z38" s="24" t="s">
        <v>31</v>
      </c>
      <c r="AA38" s="15">
        <f>G12</f>
        <v>1564</v>
      </c>
      <c r="AB38" s="15">
        <f>H12</f>
        <v>1564</v>
      </c>
    </row>
    <row r="39" spans="1:28" ht="12.75">
      <c r="M39" s="7"/>
      <c r="N39" s="7"/>
      <c r="O39" s="7"/>
      <c r="P39" s="7"/>
      <c r="Z39" s="24" t="s">
        <v>32</v>
      </c>
      <c r="AA39" s="15">
        <f>G13</f>
        <v>1616</v>
      </c>
      <c r="AB39" s="15">
        <f>H13</f>
        <v>1616</v>
      </c>
    </row>
    <row r="40" spans="1:28" ht="12.75">
      <c r="P40" s="7"/>
      <c r="Z40" s="24" t="s">
        <v>33</v>
      </c>
      <c r="AA40" s="15">
        <f>G14</f>
        <v>1616</v>
      </c>
      <c r="AB40" s="15">
        <f>H14</f>
        <v>1616</v>
      </c>
    </row>
    <row r="41" spans="1:28" ht="12.75">
      <c r="Z41" s="24" t="s">
        <v>34</v>
      </c>
      <c r="AA41" s="15">
        <f>G15</f>
        <v>1616</v>
      </c>
      <c r="AB41" s="15">
        <f>H15</f>
        <v>1616</v>
      </c>
    </row>
    <row r="42" spans="1:28" ht="12.75">
      <c r="Z42" s="24" t="s">
        <v>35</v>
      </c>
      <c r="AA42" s="15">
        <f>G16</f>
        <v>1616</v>
      </c>
      <c r="AB42" s="15">
        <f>H16</f>
        <v>1616</v>
      </c>
    </row>
    <row r="43" spans="1:28" ht="12.75">
      <c r="Z43" s="24" t="s">
        <v>36</v>
      </c>
      <c r="AA43" s="15">
        <f>G17</f>
        <v>1616</v>
      </c>
      <c r="AB43" s="15">
        <f>H17</f>
        <v>1616</v>
      </c>
    </row>
    <row r="44" spans="1:28" ht="12.75">
      <c r="Z44" s="24" t="s">
        <v>37</v>
      </c>
      <c r="AA44" s="15">
        <f>G18</f>
        <v>1640</v>
      </c>
      <c r="AB44" s="15">
        <f>H18</f>
        <v>1640</v>
      </c>
    </row>
    <row r="55" spans="15:15">
      <c r="O55" s="26"/>
    </row>
    <row r="56" spans="15:15">
      <c r="O56" s="26"/>
    </row>
    <row r="57" spans="15:15">
      <c r="O57" s="26"/>
    </row>
    <row r="58" spans="15:15">
      <c r="O58" s="26"/>
    </row>
    <row r="59" spans="15:15">
      <c r="O59" s="26"/>
    </row>
    <row r="60" spans="15:15">
      <c r="O60" s="26"/>
    </row>
    <row r="61" spans="15:15">
      <c r="O61" s="26"/>
    </row>
    <row r="62" spans="15:15">
      <c r="O62" s="26"/>
    </row>
    <row r="63" spans="15:15">
      <c r="O63" s="26"/>
    </row>
    <row r="64" spans="15:15">
      <c r="O64" s="26"/>
    </row>
    <row r="65" spans="15:15">
      <c r="O65" s="26"/>
    </row>
    <row r="66" spans="15:15">
      <c r="O66" s="26"/>
    </row>
    <row r="67" spans="15:15">
      <c r="O67" s="26"/>
    </row>
    <row r="68" spans="15:15">
      <c r="O68" s="26"/>
    </row>
    <row r="69" spans="15:15">
      <c r="O69" s="26"/>
    </row>
    <row r="70" spans="15:15">
      <c r="O70" s="26"/>
    </row>
    <row r="71" spans="15:15">
      <c r="O71" s="26"/>
    </row>
    <row r="72" spans="15:15">
      <c r="O72" s="26"/>
    </row>
    <row r="73" spans="15:15">
      <c r="O73" s="26"/>
    </row>
  </sheetData>
  <mergeCells count="5">
    <mergeCell ref="G3:K3"/>
    <mergeCell ref="A1:K1"/>
    <mergeCell ref="A2:K2"/>
    <mergeCell ref="B3:F3"/>
    <mergeCell ref="A3:A5"/>
  </mergeCells>
  <pageMargins left="0.7" right="0.7" top="0.75" bottom="0.75" header="0.3" footer="0.3"/>
  <pageSetup paperSize="9" scale="7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10.5</vt:lpstr>
      <vt:lpstr>'10.5'!Print_Area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2023-06-20T06:05:29Z</cp:lastPrinted>
  <dcterms:created xsi:type="dcterms:W3CDTF">2019-02-27T06:18:18Z</dcterms:created>
  <dcterms:modified xsi:type="dcterms:W3CDTF">2023-06-20T06:05:35Z</dcterms:modified>
</cp:coreProperties>
</file>