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87885605-8D85-4E62-B6B4-7DFCBBF63549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6" sheetId="6" r:id="rId1"/>
  </sheets>
  <externalReferences>
    <externalReference r:id="rId2"/>
  </externalReferences>
  <definedNames>
    <definedName name="_xlnm.Print_Area" localSheetId="0">'10.6'!$A$1:$L$46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2" i="6" l="1"/>
  <c r="X42" i="6"/>
  <c r="W43" i="6"/>
  <c r="X43" i="6"/>
  <c r="W44" i="6"/>
  <c r="X44" i="6"/>
  <c r="W45" i="6"/>
  <c r="X45" i="6"/>
  <c r="W46" i="6"/>
  <c r="X46" i="6"/>
  <c r="W47" i="6"/>
  <c r="X47" i="6"/>
  <c r="W48" i="6"/>
  <c r="X48" i="6"/>
  <c r="W49" i="6"/>
  <c r="X49" i="6"/>
  <c r="W50" i="6"/>
  <c r="X50" i="6"/>
  <c r="W51" i="6"/>
  <c r="X51" i="6"/>
  <c r="W52" i="6"/>
  <c r="X52" i="6"/>
  <c r="X41" i="6"/>
  <c r="W41" i="6"/>
  <c r="I19" i="6" l="1"/>
  <c r="I18" i="6"/>
  <c r="I17" i="6"/>
  <c r="I16" i="6"/>
  <c r="I15" i="6"/>
  <c r="I14" i="6"/>
  <c r="I13" i="6"/>
  <c r="I12" i="6"/>
  <c r="I11" i="6"/>
  <c r="I10" i="6"/>
  <c r="I9" i="6"/>
  <c r="I8" i="6"/>
  <c r="K7" i="6"/>
  <c r="J7" i="6"/>
  <c r="H7" i="6"/>
  <c r="G7" i="6"/>
  <c r="I7" i="6" l="1"/>
  <c r="D9" i="6" l="1"/>
  <c r="D10" i="6"/>
  <c r="D11" i="6"/>
  <c r="D12" i="6"/>
  <c r="D13" i="6"/>
  <c r="D14" i="6"/>
  <c r="D15" i="6"/>
  <c r="D16" i="6"/>
  <c r="D17" i="6"/>
  <c r="D18" i="6"/>
  <c r="D19" i="6"/>
  <c r="D8" i="6"/>
  <c r="F7" i="6" l="1"/>
  <c r="E7" i="6"/>
  <c r="D7" i="6"/>
  <c r="C7" i="6"/>
  <c r="B7" i="6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<sst xmlns="http://schemas.openxmlformats.org/spreadsheetml/2006/main" count="54" uniqueCount="42">
  <si>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</si>
  <si>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</si>
  <si>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</si>
  <si>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</si>
  <si>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</si>
  <si>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</si>
  <si>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</si>
  <si>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</si>
  <si>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</si>
  <si>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</si>
  <si>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</si>
  <si>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</si>
  <si>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</si>
  <si>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</si>
  <si>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</si>
  <si>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</si>
  <si>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</si>
  <si>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</si>
  <si>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</si>
  <si>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</si>
  <si>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</si>
  <si>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</si>
  <si>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</si>
  <si>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</si>
  <si>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</si>
  <si>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</si>
  <si>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</si>
  <si>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</si>
  <si>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</si>
  <si>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</si>
  <si>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</si>
  <si>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</si>
  <si>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</si>
  <si>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</si>
  <si>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</si>
  <si>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</si>
  <si>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</si>
  <si>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</si>
  <si>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</si>
  <si>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</si>
  <si>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10.6: BED CAPACITY AND UTILIZATION OF GUEST HOUSES BY MONTH,  2021 - 2022</t>
  </si>
  <si>
    <t>2022 - 2021  ,urwvcnim unuverukcnunEb wgWjegudnea iaWa wgWj egudnea egukwtcsuawhcTcseg uhwmcswmikea : 10.6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</si>
</sst>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8" fillId="0" borderId="12" applyNumberFormat="0"/>
    <xf numFmtId="0" fontId="1" fillId="0" borderId="0"/>
    <xf numFmtId="0" fontId="4" fillId="0" borderId="0"/>
    <xf numFmtId="0" fontId="21" fillId="0" borderId="0" applyFill="0" applyProtection="0"/>
    <xf numFmtId="1" fontId="18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3" fillId="0" borderId="0"/>
    <xf numFmtId="0" fontId="22" fillId="0" borderId="0"/>
    <xf numFmtId="0" fontId="1" fillId="0" borderId="0"/>
    <xf numFmtId="0" fontId="4" fillId="0" borderId="0"/>
    <xf numFmtId="0" fontId="21" fillId="0" borderId="0" applyFill="0" applyProtection="0"/>
    <xf numFmtId="1" fontId="18" fillId="0" borderId="12" applyNumberFormat="0"/>
    <xf numFmtId="0" fontId="1" fillId="0" borderId="0"/>
    <xf numFmtId="0" fontId="3" fillId="0" borderId="0"/>
    <xf numFmtId="0" fontId="22" fillId="0" borderId="0"/>
    <xf numFmtId="0" fontId="23" fillId="0" borderId="0"/>
    <xf numFmtId="0" fontId="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4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4" fillId="0" borderId="0" applyBorder="0"/>
    <xf numFmtId="0" fontId="1" fillId="0" borderId="0"/>
    <xf numFmtId="0" fontId="1" fillId="0" borderId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</cellStyleXfs>
  <cellXfs count="42">
    <xf numFmtId="0" fontId="0" fillId="0" borderId="0" xfId="0"/>
    <xf numFmtId="0" fontId="5" fillId="2" borderId="0" xfId="0" applyFont="1" applyFill="1" applyAlignment="1">
      <alignment horizontal="left" vertical="center"/>
    </xf>
    <xf numFmtId="0" fontId="10" fillId="2" borderId="0" xfId="0" applyFont="1" applyFill="1"/>
    <xf numFmtId="0" fontId="12" fillId="2" borderId="0" xfId="0" applyFont="1" applyFill="1"/>
    <xf numFmtId="37" fontId="9" fillId="2" borderId="6" xfId="0" applyNumberFormat="1" applyFont="1" applyFill="1" applyBorder="1" applyAlignment="1">
      <alignment horizontal="center" vertical="center" wrapText="1"/>
    </xf>
    <xf numFmtId="37" fontId="9" fillId="2" borderId="7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7" fontId="10" fillId="2" borderId="0" xfId="0" applyNumberFormat="1" applyFont="1" applyFill="1"/>
    <xf numFmtId="164" fontId="10" fillId="2" borderId="0" xfId="0" applyNumberFormat="1" applyFont="1" applyFill="1"/>
    <xf numFmtId="0" fontId="13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68" fontId="14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11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9" xfId="0" applyNumberForma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</cellXfs>
  <cellStyles count="64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10.10:  Bed capacity and beds in operation in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200" b="1" i="0" baseline="0">
                <a:effectLst/>
              </a:rPr>
              <a:t>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2203035544926633"/>
          <c:y val="4.0359755030621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69113476815398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'10.6'!$W$40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'10.6'!$V$41:$V$52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'10.6'!$W$41:$W$52</c:f>
              <c:numCache>
                <c:formatCode>#,##0</c:formatCode>
                <c:ptCount val="12"/>
                <c:pt idx="0">
                  <c:v>13132</c:v>
                </c:pt>
                <c:pt idx="1">
                  <c:v>13236</c:v>
                </c:pt>
                <c:pt idx="2">
                  <c:v>13490</c:v>
                </c:pt>
                <c:pt idx="3">
                  <c:v>13550</c:v>
                </c:pt>
                <c:pt idx="4">
                  <c:v>13596</c:v>
                </c:pt>
                <c:pt idx="5">
                  <c:v>13714</c:v>
                </c:pt>
                <c:pt idx="6">
                  <c:v>13786</c:v>
                </c:pt>
                <c:pt idx="7">
                  <c:v>13914</c:v>
                </c:pt>
                <c:pt idx="8">
                  <c:v>14152</c:v>
                </c:pt>
                <c:pt idx="9">
                  <c:v>14208</c:v>
                </c:pt>
                <c:pt idx="10">
                  <c:v>14208</c:v>
                </c:pt>
                <c:pt idx="11">
                  <c:v>14146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6-4C33-930A-E5B6914CD652}"/>
            </c:ext>
          </c:extLst>
        </c:ser>
        <c:ser>
          <c:idx val="1"/>
          <c:order val="1"/>
          <c:tx>
            <c:strRef>
              <c:f>'10.6'!$X$40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'10.6'!$V$41:$V$52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'10.6'!$X$41:$X$52</c:f>
              <c:numCache>
                <c:formatCode>#,##0</c:formatCode>
                <c:ptCount val="12"/>
                <c:pt idx="0">
                  <c:v>11020</c:v>
                </c:pt>
                <c:pt idx="1">
                  <c:v>11020</c:v>
                </c:pt>
                <c:pt idx="2">
                  <c:v>11226</c:v>
                </c:pt>
                <c:pt idx="3">
                  <c:v>11278</c:v>
                </c:pt>
                <c:pt idx="4">
                  <c:v>13596</c:v>
                </c:pt>
                <c:pt idx="5">
                  <c:v>13714</c:v>
                </c:pt>
                <c:pt idx="6">
                  <c:v>13514</c:v>
                </c:pt>
                <c:pt idx="7">
                  <c:v>13700</c:v>
                </c:pt>
                <c:pt idx="8">
                  <c:v>14152</c:v>
                </c:pt>
                <c:pt idx="9">
                  <c:v>14208</c:v>
                </c:pt>
                <c:pt idx="10">
                  <c:v>14208</c:v>
                </c:pt>
                <c:pt idx="11">
                  <c:v>14146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6-4C33-930A-E5B6914C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31134973674509"/>
          <c:y val="0.9153349431321083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1285874</xdr:colOff>
      <xdr:row>24</xdr:row>
      <xdr:rowOff>38100</xdr:rowOff>
    </xdr:from>
    <xdr:to>
      <xdr:col>10</xdr:col>
      <xdr:colOff>219074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X53"/>
  <sheetViews>
    <sheetView tabSelected="1" zoomScaleNormal="100" workbookViewId="0">
      <selection activeCell="O8" sqref="O8"/>
    </sheetView>
  </sheetViews>
  <sheetFormatPr defaultColWidth="9.140625" defaultRowHeight="12"/>
  <cols>
    <col min="1" max="1" width="19.28515625" style="2" customWidth="1"/>
    <col min="2" max="11" width="12.85546875" style="2" customWidth="1"/>
    <col min="12" max="16384" width="9.140625" style="2"/>
  </cols>
  <sheetData>
    <row r="1" spans="1:11" ht="18.75">
      <c r="A1" s="41" t="s">
        <v>41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2.75">
      <c r="A2" s="35" t="s">
        <v>40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2.75">
      <c r="A3" s="19"/>
      <c r="B3" s="19"/>
      <c r="C3" s="19"/>
      <c r="D3" s="19"/>
      <c r="E3" s="19"/>
      <c r="F3" s="19"/>
      <c r="G3" s="14"/>
    </row>
    <row r="4" spans="1:11" s="3" customFormat="1" ht="12.75">
      <c r="A4" s="36" t="s">
        <v>2</v>
      </c>
      <c r="B4" s="39">
        <v>2021</v>
      </c>
      <c r="C4" s="40"/>
      <c r="D4" s="40"/>
      <c r="E4" s="40"/>
      <c r="F4" s="40"/>
      <c r="G4" s="39">
        <v>2022</v>
      </c>
      <c r="H4" s="40"/>
      <c r="I4" s="40"/>
      <c r="J4" s="40"/>
      <c r="K4" s="40"/>
    </row>
    <row r="5" spans="1:11" s="3" customFormat="1" ht="56.25" customHeight="1">
      <c r="A5" s="37"/>
      <c r="B5" s="4" t="s">
        <v>3</v>
      </c>
      <c r="C5" s="5" t="s">
        <v>4</v>
      </c>
      <c r="D5" s="5" t="s">
        <v>1</v>
      </c>
      <c r="E5" s="5" t="s">
        <v>5</v>
      </c>
      <c r="F5" s="5" t="s">
        <v>6</v>
      </c>
      <c r="G5" s="4" t="s">
        <v>3</v>
      </c>
      <c r="H5" s="5" t="s">
        <v>4</v>
      </c>
      <c r="I5" s="5" t="s">
        <v>1</v>
      </c>
      <c r="J5" s="5" t="s">
        <v>5</v>
      </c>
      <c r="K5" s="5" t="s">
        <v>6</v>
      </c>
    </row>
    <row r="6" spans="1:11" s="3" customFormat="1" ht="51.75" customHeight="1">
      <c r="A6" s="38"/>
      <c r="B6" s="21" t="s">
        <v>11</v>
      </c>
      <c r="C6" s="20" t="s">
        <v>7</v>
      </c>
      <c r="D6" s="20" t="s">
        <v>8</v>
      </c>
      <c r="E6" s="20" t="s">
        <v>9</v>
      </c>
      <c r="F6" s="16" t="s">
        <v>10</v>
      </c>
      <c r="G6" s="21" t="s">
        <v>11</v>
      </c>
      <c r="H6" s="20" t="s">
        <v>7</v>
      </c>
      <c r="I6" s="20" t="s">
        <v>8</v>
      </c>
      <c r="J6" s="20" t="s">
        <v>9</v>
      </c>
      <c r="K6" s="16" t="s">
        <v>10</v>
      </c>
    </row>
    <row r="7" spans="1:11" s="3" customFormat="1" ht="18.75" customHeight="1">
      <c r="A7" s="24" t="s">
        <v>12</v>
      </c>
      <c r="B7" s="32">
        <f>AVERAGE(B8:B19)</f>
        <v>11777.083333333334</v>
      </c>
      <c r="C7" s="17">
        <f>AVERAGE(C8:C19)</f>
        <v>8483.6666666666661</v>
      </c>
      <c r="D7" s="27">
        <f>AVERAGE(D8:D19)</f>
        <v>71.557999193640043</v>
      </c>
      <c r="E7" s="27">
        <f>AVERAGE(E8:E19)</f>
        <v>33.741666666666667</v>
      </c>
      <c r="F7" s="17">
        <f>SUM(F8:F19)</f>
        <v>1060727.1062062758</v>
      </c>
      <c r="G7" s="32">
        <f>AVERAGE(G8:G19)</f>
        <v>13761</v>
      </c>
      <c r="H7" s="17">
        <f>AVERAGE(H8:H19)</f>
        <v>12981.833333333334</v>
      </c>
      <c r="I7" s="27">
        <f>AVERAGE(I8:I19)</f>
        <v>94.176130470080579</v>
      </c>
      <c r="J7" s="27">
        <f>AVERAGE(J8:J19)</f>
        <v>30.775000000000006</v>
      </c>
      <c r="K7" s="17">
        <f>SUM(K8:K19)</f>
        <v>1448953.7818134096</v>
      </c>
    </row>
    <row r="8" spans="1:11" s="3" customFormat="1" ht="15">
      <c r="A8" s="33" t="s">
        <v>13</v>
      </c>
      <c r="B8" s="29">
        <v>11015</v>
      </c>
      <c r="C8" s="25">
        <v>6060</v>
      </c>
      <c r="D8" s="28">
        <f>C8/B8*100</f>
        <v>55.015887426236951</v>
      </c>
      <c r="E8" s="28">
        <v>30.2</v>
      </c>
      <c r="F8" s="25">
        <v>56671.271186440681</v>
      </c>
      <c r="G8" s="29">
        <v>13132</v>
      </c>
      <c r="H8" s="25">
        <v>11020</v>
      </c>
      <c r="I8" s="28">
        <f>H8/G8*100</f>
        <v>83.917148949131899</v>
      </c>
      <c r="J8" s="28">
        <v>39.700000000000003</v>
      </c>
      <c r="K8" s="25">
        <v>135464.37037037036</v>
      </c>
    </row>
    <row r="9" spans="1:11" s="3" customFormat="1" ht="15">
      <c r="A9" s="33" t="s">
        <v>14</v>
      </c>
      <c r="B9" s="29">
        <v>11013</v>
      </c>
      <c r="C9" s="25">
        <v>6530</v>
      </c>
      <c r="D9" s="28">
        <f t="shared" ref="D9:D19" si="0">C9/B9*100</f>
        <v>59.293562153818215</v>
      </c>
      <c r="E9" s="28">
        <v>41.4</v>
      </c>
      <c r="F9" s="25">
        <v>75777.794676806079</v>
      </c>
      <c r="G9" s="29">
        <v>13236</v>
      </c>
      <c r="H9" s="25">
        <v>11020</v>
      </c>
      <c r="I9" s="28">
        <f t="shared" ref="I9:I19" si="1">H9/G9*100</f>
        <v>83.257781807192515</v>
      </c>
      <c r="J9" s="28">
        <v>37.700000000000003</v>
      </c>
      <c r="K9" s="25">
        <v>116360.19331453886</v>
      </c>
    </row>
    <row r="10" spans="1:11" s="3" customFormat="1" ht="15">
      <c r="A10" s="33" t="s">
        <v>15</v>
      </c>
      <c r="B10" s="29">
        <v>11241</v>
      </c>
      <c r="C10" s="25">
        <v>7218</v>
      </c>
      <c r="D10" s="28">
        <f t="shared" si="0"/>
        <v>64.211369095276211</v>
      </c>
      <c r="E10" s="28">
        <v>38.5</v>
      </c>
      <c r="F10" s="25">
        <v>86143.326656394449</v>
      </c>
      <c r="G10" s="29">
        <v>13490</v>
      </c>
      <c r="H10" s="25">
        <v>11226</v>
      </c>
      <c r="I10" s="28">
        <f t="shared" si="1"/>
        <v>83.217197924388429</v>
      </c>
      <c r="J10" s="28">
        <v>34</v>
      </c>
      <c r="K10" s="25">
        <v>118369.07528641571</v>
      </c>
    </row>
    <row r="11" spans="1:11" s="3" customFormat="1" ht="15">
      <c r="A11" s="33" t="s">
        <v>16</v>
      </c>
      <c r="B11" s="29">
        <v>11250</v>
      </c>
      <c r="C11" s="25">
        <v>7844</v>
      </c>
      <c r="D11" s="28">
        <f t="shared" si="0"/>
        <v>69.724444444444444</v>
      </c>
      <c r="E11" s="28">
        <v>36</v>
      </c>
      <c r="F11" s="25">
        <v>84639.99554069119</v>
      </c>
      <c r="G11" s="29">
        <v>13550</v>
      </c>
      <c r="H11" s="25">
        <v>11278</v>
      </c>
      <c r="I11" s="28">
        <f t="shared" si="1"/>
        <v>83.232472324723247</v>
      </c>
      <c r="J11" s="28">
        <v>25.7</v>
      </c>
      <c r="K11" s="25">
        <v>87045.242789339172</v>
      </c>
    </row>
    <row r="12" spans="1:11" s="3" customFormat="1" ht="15">
      <c r="A12" s="33" t="s">
        <v>17</v>
      </c>
      <c r="B12" s="29">
        <v>11212</v>
      </c>
      <c r="C12" s="25">
        <v>7726</v>
      </c>
      <c r="D12" s="28">
        <f t="shared" si="0"/>
        <v>68.90831252229755</v>
      </c>
      <c r="E12" s="28">
        <v>23.8</v>
      </c>
      <c r="F12" s="25">
        <v>56976.792620865141</v>
      </c>
      <c r="G12" s="29">
        <v>13596</v>
      </c>
      <c r="H12" s="25">
        <v>13596</v>
      </c>
      <c r="I12" s="28">
        <f t="shared" si="1"/>
        <v>100</v>
      </c>
      <c r="J12" s="28">
        <v>18.2</v>
      </c>
      <c r="K12" s="25">
        <v>76749.543375680587</v>
      </c>
    </row>
    <row r="13" spans="1:11" s="3" customFormat="1" ht="15">
      <c r="A13" s="33" t="s">
        <v>18</v>
      </c>
      <c r="B13" s="29">
        <v>11360</v>
      </c>
      <c r="C13" s="25">
        <v>7822</v>
      </c>
      <c r="D13" s="28">
        <f t="shared" si="0"/>
        <v>68.855633802816911</v>
      </c>
      <c r="E13" s="28">
        <v>14.6</v>
      </c>
      <c r="F13" s="25">
        <v>34262.505274261603</v>
      </c>
      <c r="G13" s="29">
        <v>13714</v>
      </c>
      <c r="H13" s="25">
        <v>13714</v>
      </c>
      <c r="I13" s="28">
        <f t="shared" si="1"/>
        <v>100</v>
      </c>
      <c r="J13" s="28">
        <v>20.8</v>
      </c>
      <c r="K13" s="25">
        <v>85653.816652161302</v>
      </c>
    </row>
    <row r="14" spans="1:11" s="3" customFormat="1" ht="15">
      <c r="A14" s="33" t="s">
        <v>19</v>
      </c>
      <c r="B14" s="29">
        <v>11442</v>
      </c>
      <c r="C14" s="25">
        <v>7972</v>
      </c>
      <c r="D14" s="28">
        <f t="shared" si="0"/>
        <v>69.673134067470727</v>
      </c>
      <c r="E14" s="28">
        <v>21.8</v>
      </c>
      <c r="F14" s="25">
        <v>53891.934010152283</v>
      </c>
      <c r="G14" s="29">
        <v>13786</v>
      </c>
      <c r="H14" s="25">
        <v>13514</v>
      </c>
      <c r="I14" s="28">
        <f t="shared" si="1"/>
        <v>98.026983896706795</v>
      </c>
      <c r="J14" s="28">
        <v>29.8</v>
      </c>
      <c r="K14" s="25">
        <v>124727.70039263062</v>
      </c>
    </row>
    <row r="15" spans="1:11" s="3" customFormat="1" ht="15">
      <c r="A15" s="33" t="s">
        <v>20</v>
      </c>
      <c r="B15" s="29">
        <v>11888</v>
      </c>
      <c r="C15" s="25">
        <v>9382</v>
      </c>
      <c r="D15" s="28">
        <f t="shared" si="0"/>
        <v>78.91991924629879</v>
      </c>
      <c r="E15" s="28">
        <v>53.8</v>
      </c>
      <c r="F15" s="25">
        <v>156445.67685076382</v>
      </c>
      <c r="G15" s="29">
        <v>13914</v>
      </c>
      <c r="H15" s="25">
        <v>13700</v>
      </c>
      <c r="I15" s="28">
        <f t="shared" si="1"/>
        <v>98.461980738824209</v>
      </c>
      <c r="J15" s="28">
        <v>30.3</v>
      </c>
      <c r="K15" s="25">
        <v>128793.57951312045</v>
      </c>
    </row>
    <row r="16" spans="1:11" s="3" customFormat="1" ht="15">
      <c r="A16" s="33" t="s">
        <v>21</v>
      </c>
      <c r="B16" s="29">
        <v>12380</v>
      </c>
      <c r="C16" s="25">
        <v>9966</v>
      </c>
      <c r="D16" s="28">
        <f t="shared" si="0"/>
        <v>80.500807754442647</v>
      </c>
      <c r="E16" s="28">
        <v>36.9</v>
      </c>
      <c r="F16" s="25">
        <v>110435.14749661705</v>
      </c>
      <c r="G16" s="29">
        <v>14152</v>
      </c>
      <c r="H16" s="25">
        <v>14152</v>
      </c>
      <c r="I16" s="28">
        <f t="shared" si="1"/>
        <v>100</v>
      </c>
      <c r="J16" s="28">
        <v>23.7</v>
      </c>
      <c r="K16" s="25">
        <v>100512.38276299112</v>
      </c>
    </row>
    <row r="17" spans="1:11" s="3" customFormat="1" ht="15">
      <c r="A17" s="33" t="s">
        <v>22</v>
      </c>
      <c r="B17" s="29">
        <v>12672</v>
      </c>
      <c r="C17" s="25">
        <v>10182</v>
      </c>
      <c r="D17" s="28">
        <f t="shared" si="0"/>
        <v>80.350378787878782</v>
      </c>
      <c r="E17" s="28">
        <v>31.6</v>
      </c>
      <c r="F17" s="25">
        <v>99687.502651113464</v>
      </c>
      <c r="G17" s="29">
        <v>14208</v>
      </c>
      <c r="H17" s="25">
        <v>14208</v>
      </c>
      <c r="I17" s="28">
        <f t="shared" si="1"/>
        <v>100</v>
      </c>
      <c r="J17" s="28">
        <v>29.1</v>
      </c>
      <c r="K17" s="25">
        <v>128270.44596443228</v>
      </c>
    </row>
    <row r="18" spans="1:11" s="3" customFormat="1" ht="15">
      <c r="A18" s="33" t="s">
        <v>23</v>
      </c>
      <c r="B18" s="29">
        <v>12812</v>
      </c>
      <c r="C18" s="25">
        <v>10386</v>
      </c>
      <c r="D18" s="28">
        <f t="shared" si="0"/>
        <v>81.064626912269745</v>
      </c>
      <c r="E18" s="28">
        <v>38.1</v>
      </c>
      <c r="F18" s="25">
        <v>118767.66159695818</v>
      </c>
      <c r="G18" s="29">
        <v>14208</v>
      </c>
      <c r="H18" s="25">
        <v>14208</v>
      </c>
      <c r="I18" s="28">
        <f t="shared" si="1"/>
        <v>100</v>
      </c>
      <c r="J18" s="28">
        <v>40.299999999999997</v>
      </c>
      <c r="K18" s="25">
        <v>171757.49740753544</v>
      </c>
    </row>
    <row r="19" spans="1:11" s="3" customFormat="1" ht="15">
      <c r="A19" s="34" t="s">
        <v>24</v>
      </c>
      <c r="B19" s="31">
        <v>13040</v>
      </c>
      <c r="C19" s="26">
        <v>10716</v>
      </c>
      <c r="D19" s="30">
        <f t="shared" si="0"/>
        <v>82.177914110429455</v>
      </c>
      <c r="E19" s="30">
        <v>38.200000000000003</v>
      </c>
      <c r="F19" s="26">
        <v>127027.49764521193</v>
      </c>
      <c r="G19" s="31">
        <v>14146</v>
      </c>
      <c r="H19" s="26">
        <v>14146</v>
      </c>
      <c r="I19" s="30">
        <f t="shared" si="1"/>
        <v>100</v>
      </c>
      <c r="J19" s="30">
        <v>40</v>
      </c>
      <c r="K19" s="26">
        <v>175249.9339841934</v>
      </c>
    </row>
    <row r="20" spans="1:11" ht="20.25" customHeight="1">
      <c r="A20" s="1" t="s">
        <v>0</v>
      </c>
      <c r="B20" s="8"/>
      <c r="C20" s="8"/>
      <c r="D20" s="9"/>
      <c r="F20" s="18"/>
      <c r="G20" s="8"/>
      <c r="H20" s="8"/>
      <c r="I20" s="9"/>
      <c r="K20" s="18" t="s">
        <v>25</v>
      </c>
    </row>
    <row r="21" spans="1:11">
      <c r="A21" s="22" t="s">
        <v>38</v>
      </c>
      <c r="B21" s="13"/>
      <c r="C21" s="15"/>
      <c r="D21" s="15"/>
      <c r="E21" s="15"/>
      <c r="F21" s="15"/>
      <c r="G21" s="15"/>
    </row>
    <row r="22" spans="1:11">
      <c r="A22" s="23" t="s">
        <v>39</v>
      </c>
      <c r="B22" s="13"/>
      <c r="C22" s="15"/>
      <c r="D22" s="15"/>
      <c r="E22" s="15"/>
      <c r="F22" s="15"/>
      <c r="G22" s="15"/>
    </row>
    <row r="23" spans="1:11">
      <c r="A23" s="11"/>
      <c r="B23" s="13"/>
      <c r="C23" s="15"/>
      <c r="D23" s="15"/>
      <c r="E23" s="15"/>
      <c r="F23" s="15"/>
      <c r="G23" s="15"/>
    </row>
    <row r="24" spans="1:11">
      <c r="A24" s="11"/>
      <c r="B24" s="13"/>
      <c r="C24" s="15"/>
      <c r="D24" s="15"/>
      <c r="E24" s="15"/>
      <c r="F24" s="15"/>
      <c r="G24" s="15"/>
    </row>
    <row r="25" spans="1:11">
      <c r="A25" s="11"/>
      <c r="B25" s="13"/>
      <c r="C25" s="15"/>
      <c r="D25" s="15"/>
      <c r="E25" s="15"/>
      <c r="F25" s="15"/>
      <c r="G25" s="15"/>
    </row>
    <row r="26" spans="1:11">
      <c r="A26" s="11"/>
      <c r="B26" s="13"/>
      <c r="C26" s="15"/>
      <c r="D26" s="15"/>
      <c r="E26" s="15"/>
      <c r="F26" s="15"/>
      <c r="G26" s="15"/>
    </row>
    <row r="27" spans="1:11" ht="12.75">
      <c r="A27" s="11"/>
      <c r="B27" s="12"/>
      <c r="C27" s="7"/>
      <c r="D27" s="7"/>
      <c r="E27" s="7"/>
      <c r="F27" s="7"/>
      <c r="G27" s="7"/>
    </row>
    <row r="28" spans="1:11" ht="12.75">
      <c r="A28" s="11"/>
      <c r="B28" s="13"/>
      <c r="C28" s="7"/>
      <c r="D28" s="7"/>
      <c r="E28" s="7"/>
      <c r="F28" s="7"/>
      <c r="G28" s="7"/>
    </row>
    <row r="29" spans="1:11" ht="12.75">
      <c r="A29" s="11"/>
      <c r="B29" s="13"/>
      <c r="C29" s="7"/>
      <c r="D29" s="7"/>
      <c r="E29" s="7"/>
      <c r="F29" s="7"/>
      <c r="G29" s="7"/>
    </row>
    <row r="30" spans="1:11" ht="12.75">
      <c r="A30" s="11"/>
      <c r="B30" s="13"/>
      <c r="C30" s="7"/>
      <c r="D30" s="7"/>
      <c r="E30" s="7"/>
      <c r="F30" s="7"/>
      <c r="G30" s="7"/>
    </row>
    <row r="31" spans="1:11" ht="12.75">
      <c r="A31" s="11"/>
      <c r="B31" s="13"/>
      <c r="C31" s="7"/>
      <c r="D31" s="7"/>
      <c r="E31" s="7"/>
      <c r="F31" s="7"/>
      <c r="G31" s="7"/>
    </row>
    <row r="32" spans="1:11" ht="12.75">
      <c r="A32" s="11"/>
      <c r="B32" s="13"/>
      <c r="C32" s="7"/>
      <c r="D32" s="7"/>
      <c r="E32" s="7"/>
      <c r="F32" s="7"/>
      <c r="G32" s="7"/>
    </row>
    <row r="33" spans="1:24" ht="12.75">
      <c r="A33" s="11"/>
      <c r="B33" s="13"/>
      <c r="C33" s="7"/>
      <c r="D33" s="7"/>
      <c r="E33" s="7"/>
      <c r="F33" s="7"/>
      <c r="G33" s="7"/>
    </row>
    <row r="34" spans="1:24" ht="12.75">
      <c r="A34" s="11"/>
      <c r="B34" s="13"/>
      <c r="C34" s="7"/>
      <c r="D34" s="7"/>
      <c r="E34" s="7"/>
      <c r="F34" s="7"/>
      <c r="G34" s="7"/>
    </row>
    <row r="35" spans="1:24" ht="12.75">
      <c r="A35" s="11"/>
      <c r="B35" s="13"/>
      <c r="C35" s="7"/>
      <c r="D35" s="7"/>
      <c r="E35" s="7"/>
      <c r="F35" s="7"/>
      <c r="G35" s="7"/>
    </row>
    <row r="36" spans="1:24" ht="12.75">
      <c r="B36" s="13"/>
      <c r="C36" s="7"/>
      <c r="D36" s="7"/>
      <c r="E36" s="7"/>
      <c r="F36" s="7"/>
      <c r="G36" s="7"/>
    </row>
    <row r="37" spans="1:24" ht="12.75">
      <c r="B37" s="13"/>
      <c r="C37" s="7"/>
      <c r="D37" s="7"/>
      <c r="E37" s="7"/>
      <c r="F37" s="7"/>
      <c r="G37" s="7"/>
    </row>
    <row r="38" spans="1:24" ht="12.75">
      <c r="B38" s="13"/>
      <c r="C38" s="7"/>
      <c r="D38" s="7"/>
      <c r="E38" s="7"/>
      <c r="F38" s="7"/>
      <c r="G38" s="7"/>
    </row>
    <row r="39" spans="1:24" ht="12.75">
      <c r="K39" s="3"/>
      <c r="O39" s="3"/>
      <c r="V39" s="3"/>
      <c r="W39" s="3"/>
      <c r="X39" s="3"/>
    </row>
    <row r="40" spans="1:24" ht="36">
      <c r="W40" s="10" t="s">
        <v>11</v>
      </c>
      <c r="X40" s="10" t="s">
        <v>26</v>
      </c>
    </row>
    <row r="41" spans="1:24" ht="12.75">
      <c r="V41" s="11" t="s">
        <v>27</v>
      </c>
      <c r="W41" s="6">
        <f t="shared" ref="W41:W52" si="2">G8</f>
        <v>13132</v>
      </c>
      <c r="X41" s="6">
        <f t="shared" ref="X41:X52" si="3">H8</f>
        <v>11020</v>
      </c>
    </row>
    <row r="42" spans="1:24" ht="12.75">
      <c r="V42" s="11" t="s">
        <v>28</v>
      </c>
      <c r="W42" s="6">
        <f t="shared" si="2"/>
        <v>13236</v>
      </c>
      <c r="X42" s="6">
        <f t="shared" si="3"/>
        <v>11020</v>
      </c>
    </row>
    <row r="43" spans="1:24" ht="12.75">
      <c r="V43" s="11" t="s">
        <v>29</v>
      </c>
      <c r="W43" s="6">
        <f t="shared" si="2"/>
        <v>13490</v>
      </c>
      <c r="X43" s="6">
        <f t="shared" si="3"/>
        <v>11226</v>
      </c>
    </row>
    <row r="44" spans="1:24" ht="12.75">
      <c r="V44" s="11" t="s">
        <v>30</v>
      </c>
      <c r="W44" s="6">
        <f t="shared" si="2"/>
        <v>13550</v>
      </c>
      <c r="X44" s="6">
        <f t="shared" si="3"/>
        <v>11278</v>
      </c>
    </row>
    <row r="45" spans="1:24" ht="12.75">
      <c r="V45" s="11" t="s">
        <v>17</v>
      </c>
      <c r="W45" s="6">
        <f t="shared" si="2"/>
        <v>13596</v>
      </c>
      <c r="X45" s="6">
        <f t="shared" si="3"/>
        <v>13596</v>
      </c>
    </row>
    <row r="46" spans="1:24" ht="12.75">
      <c r="V46" s="11" t="s">
        <v>31</v>
      </c>
      <c r="W46" s="6">
        <f t="shared" si="2"/>
        <v>13714</v>
      </c>
      <c r="X46" s="6">
        <f t="shared" si="3"/>
        <v>13714</v>
      </c>
    </row>
    <row r="47" spans="1:24" ht="12.75">
      <c r="V47" s="11" t="s">
        <v>32</v>
      </c>
      <c r="W47" s="6">
        <f t="shared" si="2"/>
        <v>13786</v>
      </c>
      <c r="X47" s="6">
        <f t="shared" si="3"/>
        <v>13514</v>
      </c>
    </row>
    <row r="48" spans="1:24" ht="12.75">
      <c r="V48" s="11" t="s">
        <v>33</v>
      </c>
      <c r="W48" s="6">
        <f t="shared" si="2"/>
        <v>13914</v>
      </c>
      <c r="X48" s="6">
        <f t="shared" si="3"/>
        <v>13700</v>
      </c>
    </row>
    <row r="49" spans="12:24" ht="12.75">
      <c r="V49" s="11" t="s">
        <v>34</v>
      </c>
      <c r="W49" s="6">
        <f t="shared" si="2"/>
        <v>14152</v>
      </c>
      <c r="X49" s="6">
        <f t="shared" si="3"/>
        <v>14152</v>
      </c>
    </row>
    <row r="50" spans="12:24" ht="12.75">
      <c r="V50" s="11" t="s">
        <v>35</v>
      </c>
      <c r="W50" s="6">
        <f t="shared" si="2"/>
        <v>14208</v>
      </c>
      <c r="X50" s="6">
        <f t="shared" si="3"/>
        <v>14208</v>
      </c>
    </row>
    <row r="51" spans="12:24" ht="12.75">
      <c r="V51" s="11" t="s">
        <v>36</v>
      </c>
      <c r="W51" s="6">
        <f t="shared" si="2"/>
        <v>14208</v>
      </c>
      <c r="X51" s="6">
        <f t="shared" si="3"/>
        <v>14208</v>
      </c>
    </row>
    <row r="52" spans="12:24" ht="12.75">
      <c r="V52" s="11" t="s">
        <v>37</v>
      </c>
      <c r="W52" s="6">
        <f t="shared" si="2"/>
        <v>14146</v>
      </c>
      <c r="X52" s="6">
        <f t="shared" si="3"/>
        <v>14146</v>
      </c>
    </row>
    <row r="53" spans="12:24" ht="12.75">
      <c r="L53" s="3"/>
      <c r="M53" s="3"/>
      <c r="N53" s="3"/>
    </row>
  </sheetData>
  <mergeCells count="5">
    <mergeCell ref="G4:K4"/>
    <mergeCell ref="A2:K2"/>
    <mergeCell ref="A1:K1"/>
    <mergeCell ref="B4:F4"/>
    <mergeCell ref="A4:A6"/>
  </mergeCells>
  <pageMargins left="0.7" right="0.7" top="0.75" bottom="0.75" header="0.3" footer="0.3"/>
  <pageSetup paperSize="9" scale="68" orientation="landscape" horizontalDpi="4294967295" verticalDpi="4294967295" r:id="rId1"/>
  <rowBreaks count="1" manualBreakCount="1">
    <brk id="46" max="16383" man="1"/>
  </rowBreaks>
  <colBreaks count="1" manualBreakCount="1">
    <brk id="12" max="4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2023-06-20T07:01:52Z</cp:lastPrinted>
  <dcterms:created xsi:type="dcterms:W3CDTF">2019-02-27T06:18:18Z</dcterms:created>
  <dcterms:modified xsi:type="dcterms:W3CDTF">2023-06-20T07:02:03Z</dcterms:modified>
</cp:coreProperties>
</file>