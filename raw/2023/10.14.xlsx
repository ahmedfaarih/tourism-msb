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Tourism\"/>
    </mc:Choice>
  </mc:AlternateContent>
  <xr:revisionPtr revIDLastSave="0" documentId="13_ncr:1_{D7753C31-12DA-4B30-B3B5-C8514810A432}" xr6:coauthVersionLast="47" xr6:coauthVersionMax="47" xr10:uidLastSave="{00000000-0000-0000-0000-000000000000}"/>
  <bookViews>
    <workbookView xWindow="-120" yWindow="-120" windowWidth="29040" windowHeight="15840" tabRatio="714" xr2:uid="{00000000-000D-0000-FFFF-FFFF00000000}"/>
  </bookViews>
  <sheets>
    <sheet name="10.14" sheetId="16" r:id="rId1"/>
  </sheets>
  <externalReferences>
    <externalReference r:id="rId2"/>
  </externalReferences>
  <definedNames>
    <definedName name="_xlnm.Print_Area" localSheetId="0">'10.14'!$A$1:$S$209</definedName>
    <definedName name="_xlnm.Print_Titles" localSheetId="0">'10.14'!$4:$5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6" l="1"/>
  <c r="H7" i="16"/>
  <c r="G13" i="16"/>
  <c r="H13" i="16"/>
  <c r="G16" i="16"/>
  <c r="H16" i="16"/>
  <c r="G25" i="16"/>
  <c r="H25" i="16"/>
  <c r="G42" i="16"/>
  <c r="H42" i="16"/>
  <c r="G59" i="16"/>
  <c r="H59" i="16"/>
  <c r="G71" i="16"/>
  <c r="H71" i="16"/>
  <c r="G131" i="16"/>
  <c r="H131" i="16"/>
  <c r="G145" i="16"/>
  <c r="H145" i="16"/>
  <c r="G164" i="16"/>
  <c r="H164" i="16"/>
  <c r="G169" i="16"/>
  <c r="H169" i="16"/>
  <c r="G173" i="16"/>
  <c r="H173" i="16"/>
  <c r="G175" i="16"/>
  <c r="H175" i="16"/>
  <c r="G187" i="16"/>
  <c r="H187" i="16"/>
  <c r="G190" i="16"/>
  <c r="H190" i="16"/>
  <c r="G197" i="16"/>
  <c r="H197" i="16"/>
  <c r="G201" i="16"/>
  <c r="H201" i="16"/>
  <c r="G6" i="16" l="1"/>
  <c r="H6" i="16"/>
  <c r="R13" i="16"/>
  <c r="R201" i="16" l="1"/>
  <c r="R197" i="16"/>
  <c r="R190" i="16"/>
  <c r="R187" i="16"/>
  <c r="R185" i="16"/>
  <c r="R175" i="16"/>
  <c r="R173" i="16"/>
  <c r="R169" i="16"/>
  <c r="R164" i="16"/>
  <c r="R145" i="16"/>
  <c r="R131" i="16"/>
  <c r="R71" i="16"/>
  <c r="R59" i="16"/>
  <c r="R42" i="16"/>
  <c r="R25" i="16"/>
  <c r="R16" i="16"/>
  <c r="R11" i="16"/>
  <c r="R7" i="16"/>
  <c r="R6" i="16" l="1"/>
  <c r="S59" i="16" l="1"/>
  <c r="S14" i="16"/>
  <c r="S173" i="16"/>
  <c r="S145" i="16"/>
  <c r="S185" i="16"/>
  <c r="S131" i="16"/>
  <c r="S71" i="16"/>
  <c r="S201" i="16"/>
  <c r="S16" i="16"/>
  <c r="S8" i="16"/>
  <c r="S204" i="16"/>
  <c r="S192" i="16"/>
  <c r="S180" i="16"/>
  <c r="S168" i="16"/>
  <c r="S156" i="16"/>
  <c r="S144" i="16"/>
  <c r="S132" i="16"/>
  <c r="S120" i="16"/>
  <c r="S108" i="16"/>
  <c r="S96" i="16"/>
  <c r="S84" i="16"/>
  <c r="S72" i="16"/>
  <c r="S60" i="16"/>
  <c r="S48" i="16"/>
  <c r="S36" i="16"/>
  <c r="S24" i="16"/>
  <c r="S12" i="16"/>
  <c r="S142" i="16"/>
  <c r="S118" i="16"/>
  <c r="S94" i="16"/>
  <c r="S58" i="16"/>
  <c r="S34" i="16"/>
  <c r="S10" i="16"/>
  <c r="S27" i="16"/>
  <c r="S133" i="16"/>
  <c r="S49" i="16"/>
  <c r="S203" i="16"/>
  <c r="S191" i="16"/>
  <c r="S179" i="16"/>
  <c r="S167" i="16"/>
  <c r="S155" i="16"/>
  <c r="S143" i="16"/>
  <c r="S119" i="16"/>
  <c r="S107" i="16"/>
  <c r="S95" i="16"/>
  <c r="S83" i="16"/>
  <c r="S47" i="16"/>
  <c r="S35" i="16"/>
  <c r="S23" i="16"/>
  <c r="S202" i="16"/>
  <c r="S178" i="16"/>
  <c r="S166" i="16"/>
  <c r="S154" i="16"/>
  <c r="S130" i="16"/>
  <c r="S106" i="16"/>
  <c r="S70" i="16"/>
  <c r="S46" i="16"/>
  <c r="S22" i="16"/>
  <c r="S15" i="16"/>
  <c r="S82" i="16"/>
  <c r="S73" i="16"/>
  <c r="S189" i="16"/>
  <c r="S177" i="16"/>
  <c r="S165" i="16"/>
  <c r="S153" i="16"/>
  <c r="S141" i="16"/>
  <c r="S129" i="16"/>
  <c r="S117" i="16"/>
  <c r="S105" i="16"/>
  <c r="S93" i="16"/>
  <c r="S81" i="16"/>
  <c r="S69" i="16"/>
  <c r="S57" i="16"/>
  <c r="S45" i="16"/>
  <c r="S33" i="16"/>
  <c r="S21" i="16"/>
  <c r="S9" i="16"/>
  <c r="S31" i="16"/>
  <c r="S19" i="16"/>
  <c r="S162" i="16"/>
  <c r="S150" i="16"/>
  <c r="S138" i="16"/>
  <c r="S114" i="16"/>
  <c r="S102" i="16"/>
  <c r="S78" i="16"/>
  <c r="S54" i="16"/>
  <c r="S30" i="16"/>
  <c r="S196" i="16"/>
  <c r="S136" i="16"/>
  <c r="S88" i="16"/>
  <c r="S200" i="16"/>
  <c r="S188" i="16"/>
  <c r="S176" i="16"/>
  <c r="S152" i="16"/>
  <c r="S140" i="16"/>
  <c r="S128" i="16"/>
  <c r="S116" i="16"/>
  <c r="S104" i="16"/>
  <c r="S92" i="16"/>
  <c r="S80" i="16"/>
  <c r="S68" i="16"/>
  <c r="S56" i="16"/>
  <c r="S44" i="16"/>
  <c r="S32" i="16"/>
  <c r="S20" i="16"/>
  <c r="S126" i="16"/>
  <c r="S66" i="16"/>
  <c r="S112" i="16"/>
  <c r="S40" i="16"/>
  <c r="S109" i="16"/>
  <c r="S199" i="16"/>
  <c r="S163" i="16"/>
  <c r="S151" i="16"/>
  <c r="S139" i="16"/>
  <c r="S127" i="16"/>
  <c r="S115" i="16"/>
  <c r="S103" i="16"/>
  <c r="S91" i="16"/>
  <c r="S79" i="16"/>
  <c r="S67" i="16"/>
  <c r="S55" i="16"/>
  <c r="S43" i="16"/>
  <c r="S90" i="16"/>
  <c r="S18" i="16"/>
  <c r="S172" i="16"/>
  <c r="S124" i="16"/>
  <c r="S100" i="16"/>
  <c r="S52" i="16"/>
  <c r="S198" i="16"/>
  <c r="S186" i="16"/>
  <c r="S174" i="16"/>
  <c r="S148" i="16"/>
  <c r="S64" i="16"/>
  <c r="S121" i="16"/>
  <c r="S37" i="16"/>
  <c r="S161" i="16"/>
  <c r="S149" i="16"/>
  <c r="S137" i="16"/>
  <c r="S125" i="16"/>
  <c r="S113" i="16"/>
  <c r="S101" i="16"/>
  <c r="S89" i="16"/>
  <c r="S77" i="16"/>
  <c r="S65" i="16"/>
  <c r="S53" i="16"/>
  <c r="S41" i="16"/>
  <c r="S29" i="16"/>
  <c r="S17" i="16"/>
  <c r="S160" i="16"/>
  <c r="S76" i="16"/>
  <c r="S97" i="16"/>
  <c r="S184" i="16"/>
  <c r="S28" i="16"/>
  <c r="S61" i="16"/>
  <c r="S195" i="16"/>
  <c r="S183" i="16"/>
  <c r="S171" i="16"/>
  <c r="S159" i="16"/>
  <c r="S147" i="16"/>
  <c r="S135" i="16"/>
  <c r="S123" i="16"/>
  <c r="S111" i="16"/>
  <c r="S99" i="16"/>
  <c r="S87" i="16"/>
  <c r="S75" i="16"/>
  <c r="S63" i="16"/>
  <c r="S51" i="16"/>
  <c r="S39" i="16"/>
  <c r="S194" i="16"/>
  <c r="S182" i="16"/>
  <c r="S170" i="16"/>
  <c r="S158" i="16"/>
  <c r="S146" i="16"/>
  <c r="S134" i="16"/>
  <c r="S122" i="16"/>
  <c r="S110" i="16"/>
  <c r="S98" i="16"/>
  <c r="S86" i="16"/>
  <c r="S74" i="16"/>
  <c r="S62" i="16"/>
  <c r="S50" i="16"/>
  <c r="S38" i="16"/>
  <c r="S26" i="16"/>
  <c r="S193" i="16"/>
  <c r="S181" i="16"/>
  <c r="S157" i="16"/>
  <c r="S85" i="16"/>
  <c r="S13" i="16"/>
  <c r="S197" i="16"/>
  <c r="S169" i="16"/>
  <c r="S42" i="16"/>
  <c r="S11" i="16"/>
  <c r="S190" i="16"/>
  <c r="S175" i="16"/>
  <c r="S25" i="16"/>
  <c r="S164" i="16"/>
  <c r="S187" i="16"/>
  <c r="S7" i="16"/>
  <c r="Q131" i="16" l="1"/>
  <c r="Q169" i="16"/>
  <c r="I7" i="16"/>
  <c r="J7" i="16"/>
  <c r="K7" i="16"/>
  <c r="L7" i="16"/>
  <c r="M7" i="16"/>
  <c r="N7" i="16"/>
  <c r="O7" i="16"/>
  <c r="P7" i="16"/>
  <c r="Q7" i="16"/>
  <c r="N11" i="16"/>
  <c r="O11" i="16"/>
  <c r="P11" i="16"/>
  <c r="Q11" i="16"/>
  <c r="I13" i="16"/>
  <c r="J13" i="16"/>
  <c r="K13" i="16"/>
  <c r="L13" i="16"/>
  <c r="M13" i="16"/>
  <c r="N13" i="16"/>
  <c r="O13" i="16"/>
  <c r="P13" i="16"/>
  <c r="Q13" i="16"/>
  <c r="I16" i="16"/>
  <c r="J16" i="16"/>
  <c r="K16" i="16"/>
  <c r="L16" i="16"/>
  <c r="M16" i="16"/>
  <c r="N16" i="16"/>
  <c r="O16" i="16"/>
  <c r="P16" i="16"/>
  <c r="Q16" i="16"/>
  <c r="I25" i="16"/>
  <c r="J25" i="16"/>
  <c r="K25" i="16"/>
  <c r="L25" i="16"/>
  <c r="M25" i="16"/>
  <c r="N25" i="16"/>
  <c r="O25" i="16"/>
  <c r="P25" i="16"/>
  <c r="Q25" i="16"/>
  <c r="I42" i="16"/>
  <c r="J42" i="16"/>
  <c r="K42" i="16"/>
  <c r="L42" i="16"/>
  <c r="M42" i="16"/>
  <c r="N42" i="16"/>
  <c r="O42" i="16"/>
  <c r="P42" i="16"/>
  <c r="Q42" i="16"/>
  <c r="I59" i="16"/>
  <c r="J59" i="16"/>
  <c r="K59" i="16"/>
  <c r="L59" i="16"/>
  <c r="M59" i="16"/>
  <c r="N59" i="16"/>
  <c r="O59" i="16"/>
  <c r="P59" i="16"/>
  <c r="Q59" i="16"/>
  <c r="I71" i="16"/>
  <c r="J71" i="16"/>
  <c r="K71" i="16"/>
  <c r="L71" i="16"/>
  <c r="M71" i="16"/>
  <c r="N71" i="16"/>
  <c r="O71" i="16"/>
  <c r="P71" i="16"/>
  <c r="Q71" i="16"/>
  <c r="I131" i="16"/>
  <c r="J131" i="16"/>
  <c r="K131" i="16"/>
  <c r="L131" i="16"/>
  <c r="M131" i="16"/>
  <c r="N131" i="16"/>
  <c r="O131" i="16"/>
  <c r="P131" i="16"/>
  <c r="I145" i="16"/>
  <c r="J145" i="16"/>
  <c r="K145" i="16"/>
  <c r="L145" i="16"/>
  <c r="M145" i="16"/>
  <c r="N145" i="16"/>
  <c r="O145" i="16"/>
  <c r="P145" i="16"/>
  <c r="Q145" i="16"/>
  <c r="I164" i="16"/>
  <c r="J164" i="16"/>
  <c r="K164" i="16"/>
  <c r="L164" i="16"/>
  <c r="M164" i="16"/>
  <c r="N164" i="16"/>
  <c r="O164" i="16"/>
  <c r="P164" i="16"/>
  <c r="Q164" i="16"/>
  <c r="I169" i="16"/>
  <c r="J169" i="16"/>
  <c r="K169" i="16"/>
  <c r="L169" i="16"/>
  <c r="M169" i="16"/>
  <c r="N169" i="16"/>
  <c r="O169" i="16"/>
  <c r="P169" i="16"/>
  <c r="I173" i="16"/>
  <c r="J173" i="16"/>
  <c r="K173" i="16"/>
  <c r="L173" i="16"/>
  <c r="M173" i="16"/>
  <c r="N173" i="16"/>
  <c r="O173" i="16"/>
  <c r="P173" i="16"/>
  <c r="Q173" i="16"/>
  <c r="I175" i="16"/>
  <c r="J175" i="16"/>
  <c r="K175" i="16"/>
  <c r="L175" i="16"/>
  <c r="M175" i="16"/>
  <c r="N175" i="16"/>
  <c r="O175" i="16"/>
  <c r="P175" i="16"/>
  <c r="Q175" i="16"/>
  <c r="I185" i="16"/>
  <c r="J185" i="16"/>
  <c r="K185" i="16"/>
  <c r="L185" i="16"/>
  <c r="M185" i="16"/>
  <c r="N185" i="16"/>
  <c r="O185" i="16"/>
  <c r="P185" i="16"/>
  <c r="Q185" i="16"/>
  <c r="I187" i="16"/>
  <c r="J187" i="16"/>
  <c r="K187" i="16"/>
  <c r="L187" i="16"/>
  <c r="M187" i="16"/>
  <c r="N187" i="16"/>
  <c r="O187" i="16"/>
  <c r="P187" i="16"/>
  <c r="Q187" i="16"/>
  <c r="I190" i="16"/>
  <c r="J190" i="16"/>
  <c r="K190" i="16"/>
  <c r="L190" i="16"/>
  <c r="M190" i="16"/>
  <c r="N190" i="16"/>
  <c r="O190" i="16"/>
  <c r="P190" i="16"/>
  <c r="Q190" i="16"/>
  <c r="I197" i="16"/>
  <c r="J197" i="16"/>
  <c r="K197" i="16"/>
  <c r="L197" i="16"/>
  <c r="M197" i="16"/>
  <c r="N197" i="16"/>
  <c r="O197" i="16"/>
  <c r="P197" i="16"/>
  <c r="Q197" i="16"/>
  <c r="I201" i="16"/>
  <c r="J201" i="16"/>
  <c r="K201" i="16"/>
  <c r="L201" i="16"/>
  <c r="M201" i="16"/>
  <c r="N201" i="16"/>
  <c r="O201" i="16"/>
  <c r="P201" i="16"/>
  <c r="Q201" i="16"/>
  <c r="L6" i="16" l="1"/>
  <c r="K6" i="16"/>
  <c r="J6" i="16"/>
  <c r="N6" i="16"/>
  <c r="I6" i="16"/>
  <c r="M6" i="16"/>
  <c r="Q6" i="16"/>
  <c r="P6" i="16"/>
  <c r="O6" i="16"/>
  <c r="S6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Sharmeela</author>
    <author>Hasaanaa Hassan</author>
  </authors>
  <commentList>
    <comment ref="P8" authorId="0" shapeId="0" xr:uid="{00000000-0006-0000-0C00-000001000000}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Q8" authorId="0" shapeId="0" xr:uid="{63B79F52-658A-4F09-86F0-214785A8C659}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R8" authorId="0" shapeId="0" xr:uid="{D54098FD-217D-4A66-B356-3EE8BFAE8D31}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P38" authorId="0" shapeId="0" xr:uid="{00000000-0006-0000-0C00-000002000000}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P79" authorId="0" shapeId="0" xr:uid="{00000000-0006-0000-0C00-000003000000}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Q79" authorId="1" shapeId="0" xr:uid="{B9AB81B0-8BA0-4F00-8985-BDFFE879F42D}">
      <text>
        <r>
          <rPr>
            <sz val="9"/>
            <color indexed="81"/>
            <rFont val="Tahoma"/>
            <family val="2"/>
          </rPr>
          <t xml:space="preserve">
License cancelled</t>
        </r>
      </text>
    </comment>
    <comment ref="R79" authorId="1" shapeId="0" xr:uid="{E8585329-E2D1-4844-9EC9-BBD672AA7B1A}">
      <text>
        <r>
          <rPr>
            <sz val="9"/>
            <color indexed="81"/>
            <rFont val="Tahoma"/>
            <family val="2"/>
          </rPr>
          <t xml:space="preserve">
License cancelled</t>
        </r>
      </text>
    </comment>
    <comment ref="P90" authorId="0" shapeId="0" xr:uid="{00000000-0006-0000-0C00-000004000000}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Q90" authorId="1" shapeId="0" xr:uid="{6C0C8398-38F9-4432-8BBE-F3F33C15E960}">
      <text>
        <r>
          <rPr>
            <sz val="9"/>
            <color indexed="81"/>
            <rFont val="Tahoma"/>
            <family val="2"/>
          </rPr>
          <t xml:space="preserve">
License cancelled</t>
        </r>
      </text>
    </comment>
    <comment ref="R90" authorId="1" shapeId="0" xr:uid="{FE169E77-428D-468F-97CD-52DDD1445C88}">
      <text>
        <r>
          <rPr>
            <sz val="9"/>
            <color indexed="81"/>
            <rFont val="Tahoma"/>
            <family val="2"/>
          </rPr>
          <t xml:space="preserve">
License cancelled</t>
        </r>
      </text>
    </comment>
    <comment ref="P92" authorId="0" shapeId="0" xr:uid="{00000000-0006-0000-0C00-000005000000}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Q92" authorId="1" shapeId="0" xr:uid="{52765B56-EBD6-4222-85BE-3FAA92E48508}">
      <text>
        <r>
          <rPr>
            <sz val="9"/>
            <color indexed="81"/>
            <rFont val="Tahoma"/>
            <family val="2"/>
          </rPr>
          <t xml:space="preserve">
License cancelled</t>
        </r>
      </text>
    </comment>
    <comment ref="R92" authorId="1" shapeId="0" xr:uid="{1F6BF3E5-691E-493E-8066-2FBB2B1EB46D}">
      <text>
        <r>
          <rPr>
            <sz val="9"/>
            <color indexed="81"/>
            <rFont val="Tahoma"/>
            <family val="2"/>
          </rPr>
          <t xml:space="preserve">
License cancelled</t>
        </r>
      </text>
    </comment>
    <comment ref="P138" authorId="0" shapeId="0" xr:uid="{00000000-0006-0000-0C00-000006000000}">
      <text>
        <r>
          <rPr>
            <sz val="9"/>
            <color indexed="81"/>
            <rFont val="Tahoma"/>
            <family val="2"/>
          </rPr>
          <t xml:space="preserve">
License cancelled/expiredLicense </t>
        </r>
      </text>
    </comment>
    <comment ref="Q138" authorId="1" shapeId="0" xr:uid="{7BECC0AE-EC8A-4BFC-84C5-5133F0BE0B7A}">
      <text>
        <r>
          <rPr>
            <sz val="9"/>
            <color indexed="81"/>
            <rFont val="Tahoma"/>
            <family val="2"/>
          </rPr>
          <t xml:space="preserve">
License cancelled</t>
        </r>
      </text>
    </comment>
    <comment ref="R138" authorId="1" shapeId="0" xr:uid="{AF678D41-219A-4876-89C9-D5608E80398E}">
      <text>
        <r>
          <rPr>
            <sz val="9"/>
            <color indexed="81"/>
            <rFont val="Tahoma"/>
            <family val="2"/>
          </rPr>
          <t xml:space="preserve">
License cancelled</t>
        </r>
      </text>
    </comment>
    <comment ref="P142" authorId="0" shapeId="0" xr:uid="{00000000-0006-0000-0C00-000007000000}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Q142" authorId="1" shapeId="0" xr:uid="{7636C100-0220-4EE7-93B9-1A09E2C14D02}">
      <text>
        <r>
          <rPr>
            <sz val="9"/>
            <color indexed="81"/>
            <rFont val="Tahoma"/>
            <family val="2"/>
          </rPr>
          <t xml:space="preserve">
License cancelled</t>
        </r>
      </text>
    </comment>
    <comment ref="R142" authorId="1" shapeId="0" xr:uid="{2F0B78F3-A2DE-42C3-A514-2FF04B99DC8D}">
      <text>
        <r>
          <rPr>
            <sz val="9"/>
            <color indexed="81"/>
            <rFont val="Tahoma"/>
            <family val="2"/>
          </rPr>
          <t xml:space="preserve">
License cancelled</t>
        </r>
      </text>
    </comment>
    <comment ref="P160" authorId="0" shapeId="0" xr:uid="{00000000-0006-0000-0C00-000008000000}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Q160" authorId="1" shapeId="0" xr:uid="{7A06C444-0298-4560-96CF-F6E9E3101BFD}">
      <text>
        <r>
          <rPr>
            <sz val="9"/>
            <color indexed="81"/>
            <rFont val="Tahoma"/>
            <family val="2"/>
          </rPr>
          <t xml:space="preserve">
License cancelled</t>
        </r>
      </text>
    </comment>
    <comment ref="R160" authorId="1" shapeId="0" xr:uid="{2109F8D1-CEB0-4C04-BD72-838760FFC914}">
      <text>
        <r>
          <rPr>
            <sz val="9"/>
            <color indexed="81"/>
            <rFont val="Tahoma"/>
            <family val="2"/>
          </rPr>
          <t xml:space="preserve">
License cancelled</t>
        </r>
      </text>
    </comment>
  </commentList>
</comments>
</file>

<file path=xl/sharedStrings.xml><?xml version="1.0" encoding="utf-8"?>
<sst xmlns="http://schemas.openxmlformats.org/spreadsheetml/2006/main" count="1054" uniqueCount="427">
  <si>
    <t>2012</t>
  </si>
  <si>
    <t>2013</t>
  </si>
  <si>
    <t>2014</t>
  </si>
  <si>
    <t>2016</t>
  </si>
  <si>
    <t>2017</t>
  </si>
  <si>
    <t>2018</t>
  </si>
  <si>
    <t>2008</t>
  </si>
  <si>
    <t>-</t>
  </si>
  <si>
    <t>Source: Ministry of Tourism</t>
  </si>
  <si>
    <t>Resorts</t>
  </si>
  <si>
    <t xml:space="preserve">% Share </t>
  </si>
  <si>
    <t>North Thiladhunmathi Atoll (HA)</t>
  </si>
  <si>
    <t>North Miladhunmadulu Atoll (Sh)</t>
  </si>
  <si>
    <t>South Miladhunmadulu Atoll (N)</t>
  </si>
  <si>
    <t>North Maalhosmadulu (R)</t>
  </si>
  <si>
    <t>South Maalhosmadulu (B)</t>
  </si>
  <si>
    <t>Faadhippolhu (Lh)</t>
  </si>
  <si>
    <t>Male' Atoll (K)</t>
  </si>
  <si>
    <t>North Ari Atoll (AA)</t>
  </si>
  <si>
    <t>South Ari Atoll (ADh)</t>
  </si>
  <si>
    <t>Felidhu Atoll (V)</t>
  </si>
  <si>
    <t>Mulakatholhu (M)</t>
  </si>
  <si>
    <t>North Nilandhe Atoll (F)</t>
  </si>
  <si>
    <t>South Nilandhe Atoll (D)</t>
  </si>
  <si>
    <t>Thaa Atoll (Th)</t>
  </si>
  <si>
    <t>Laamu Atoll (L)</t>
  </si>
  <si>
    <t>North Huvadhu Atoll (GA)</t>
  </si>
  <si>
    <t>South Huvadhu Atoll (GDh)</t>
  </si>
  <si>
    <t>Addu Atoll (S)</t>
  </si>
  <si>
    <t xml:space="preserve">Year of Initial </t>
  </si>
  <si>
    <t>Initial Bed</t>
  </si>
  <si>
    <t>Distance from</t>
  </si>
  <si>
    <t>Bed Capacity  (end year)*</t>
  </si>
  <si>
    <t>Operation</t>
  </si>
  <si>
    <t>Capacity</t>
  </si>
  <si>
    <t>Airport (in Km)</t>
  </si>
  <si>
    <t>All Resorts</t>
  </si>
  <si>
    <t>Hideaway Beach Resort and Spa at Dhonakulhi Island Maldives</t>
  </si>
  <si>
    <t>North Thiladhunmathi Atoll (H.Dh)</t>
  </si>
  <si>
    <t>na</t>
  </si>
  <si>
    <t xml:space="preserve">Mövenpick Resort Kuredhivaru Maldives </t>
  </si>
  <si>
    <t>Dhigali Maldives</t>
  </si>
  <si>
    <t>Furaveri Island Resort &amp; Spa</t>
  </si>
  <si>
    <t>Joali Muravandhoo (Muravandhoo)</t>
  </si>
  <si>
    <t>Four Seasons Resort Maldives at Landaa Giraavaru</t>
  </si>
  <si>
    <t>2006</t>
  </si>
  <si>
    <t>1999</t>
  </si>
  <si>
    <t>Reethi Beach Resort</t>
  </si>
  <si>
    <t>Royal Island Resort &amp; Spa</t>
  </si>
  <si>
    <t>Soneva Fushi By Six Senses</t>
  </si>
  <si>
    <t xml:space="preserve">     1983</t>
  </si>
  <si>
    <t>Komandoo Maldive Island Resort</t>
  </si>
  <si>
    <t xml:space="preserve">     1978</t>
  </si>
  <si>
    <t xml:space="preserve">     1979</t>
  </si>
  <si>
    <t xml:space="preserve">     1980</t>
  </si>
  <si>
    <t>Asdhu Sun Island</t>
  </si>
  <si>
    <t xml:space="preserve">     1981</t>
  </si>
  <si>
    <t xml:space="preserve">     1972</t>
  </si>
  <si>
    <t>Banyan Tree Maldives Vabbinfaru</t>
  </si>
  <si>
    <t xml:space="preserve">     1977</t>
  </si>
  <si>
    <t xml:space="preserve">     1973</t>
  </si>
  <si>
    <t xml:space="preserve">     1982</t>
  </si>
  <si>
    <t>Cinnamon Dhonveli Maldives</t>
  </si>
  <si>
    <t>Club Med Kanifinolhu</t>
  </si>
  <si>
    <t xml:space="preserve">Coco Privé Kuda Hithi Island </t>
  </si>
  <si>
    <t>1984</t>
  </si>
  <si>
    <t>Cocoa Island</t>
  </si>
  <si>
    <t>Dream Island Maldives</t>
  </si>
  <si>
    <t>Four Seasons Resort Maldives at Kuda Huraa</t>
  </si>
  <si>
    <t>1977</t>
  </si>
  <si>
    <t>Fun Island Resort</t>
  </si>
  <si>
    <t xml:space="preserve">     1985</t>
  </si>
  <si>
    <t>Huvafenfushi</t>
  </si>
  <si>
    <t>Kurumba Maldives</t>
  </si>
  <si>
    <t>Meeru Island Resort</t>
  </si>
  <si>
    <t>Oblu By Atmosphere at Helengeli</t>
  </si>
  <si>
    <t>Paradise Island Resort &amp; Spa</t>
  </si>
  <si>
    <t>Gili Lankanfushi</t>
  </si>
  <si>
    <t>Summer Island Maldives</t>
  </si>
  <si>
    <t>Taj Exortica Resort &amp; Spa Maldives</t>
  </si>
  <si>
    <t>Thulhaagiri Island Resort</t>
  </si>
  <si>
    <t xml:space="preserve">     1974</t>
  </si>
  <si>
    <t>Vivanta by Taj - Coral Reef, Maldives</t>
  </si>
  <si>
    <t>Constance Halaveli Resort</t>
  </si>
  <si>
    <t>Ellaidhoo Maldives By Cinnamon</t>
  </si>
  <si>
    <t>Gangehi Island Resort</t>
  </si>
  <si>
    <t xml:space="preserve">     1987</t>
  </si>
  <si>
    <t>Kandholhu Island Maldives</t>
  </si>
  <si>
    <t>Kuramathi Maldives</t>
  </si>
  <si>
    <t>Maayafushi Tourist Resort</t>
  </si>
  <si>
    <t>Madoogali Resort</t>
  </si>
  <si>
    <t xml:space="preserve">     1989</t>
  </si>
  <si>
    <t>Nika Island Resort</t>
  </si>
  <si>
    <t>Veligandu Island</t>
  </si>
  <si>
    <t xml:space="preserve">     1984</t>
  </si>
  <si>
    <t>Angaaga Island Resort and Spa</t>
  </si>
  <si>
    <t xml:space="preserve">     1990</t>
  </si>
  <si>
    <t>Centara Grand Island Resort &amp; Spa Maldives</t>
  </si>
  <si>
    <t xml:space="preserve">  1992</t>
  </si>
  <si>
    <t>Constance Moofushi Resort</t>
  </si>
  <si>
    <t>Holiday Island</t>
  </si>
  <si>
    <t>Lily Beach Resort</t>
  </si>
  <si>
    <t>Mirihi Island Resort</t>
  </si>
  <si>
    <t xml:space="preserve">     1991</t>
  </si>
  <si>
    <t>Vakarufalhi Island Resort</t>
  </si>
  <si>
    <t>Vilamendhoo Island Resort</t>
  </si>
  <si>
    <t>Alimatha Aquatic Resort</t>
  </si>
  <si>
    <t xml:space="preserve">     1975</t>
  </si>
  <si>
    <t>Dhiggiri Tourist Resort</t>
  </si>
  <si>
    <t>Cinnamon Hakuraa Huraa Maldives</t>
  </si>
  <si>
    <t>Medhufushi Island Resort</t>
  </si>
  <si>
    <t xml:space="preserve">Filitheyo Island Resort </t>
  </si>
  <si>
    <t>* Resorts beds include marinas</t>
  </si>
  <si>
    <t>2019</t>
  </si>
  <si>
    <t>Dhigurah</t>
  </si>
  <si>
    <t>Maamigili</t>
  </si>
  <si>
    <t>Emerald Maldives Resort &amp; Spa Fasmendhoo</t>
  </si>
  <si>
    <t>Inter Continental Maldives Maamunagau</t>
  </si>
  <si>
    <t xml:space="preserve">JW Marriott Maldives Resort &amp; Spa </t>
  </si>
  <si>
    <t xml:space="preserve">Pullman Maldives Maamutaa Resort </t>
  </si>
  <si>
    <t xml:space="preserve">Rahaa Resort  </t>
  </si>
  <si>
    <t xml:space="preserve">South Palm Resort Maldives </t>
  </si>
  <si>
    <t>The Marina at Crossroads Maldives</t>
  </si>
  <si>
    <t xml:space="preserve">The Residence Maldives At Dhigurah </t>
  </si>
  <si>
    <t xml:space="preserve">Waldorf Astoria Maldives Ithaafushi </t>
  </si>
  <si>
    <t>Alidhoo Island Resort</t>
  </si>
  <si>
    <t>JA Manafaru</t>
  </si>
  <si>
    <t xml:space="preserve">Hondaafushi Island Resort </t>
  </si>
  <si>
    <t xml:space="preserve">Sirru Fen Fushi </t>
  </si>
  <si>
    <t>Cheval Blanc Randheli</t>
  </si>
  <si>
    <t>Noku Maldives</t>
  </si>
  <si>
    <t>Soneva Jani</t>
  </si>
  <si>
    <t>The Sun Siyam Iru Fushi Maldives</t>
  </si>
  <si>
    <t>Velaa Private Island</t>
  </si>
  <si>
    <t>Adhaaran Select Meedhupparu</t>
  </si>
  <si>
    <t>Heritance Aarah</t>
  </si>
  <si>
    <t xml:space="preserve">Kudafushi Resort &amp; Spa </t>
  </si>
  <si>
    <t xml:space="preserve">Reethi Faru Resort </t>
  </si>
  <si>
    <t>You &amp; Me By Cocoon</t>
  </si>
  <si>
    <t>Anantara Kihavah Villas</t>
  </si>
  <si>
    <t>Coco Palm Dhunikolhu</t>
  </si>
  <si>
    <t>Dhigufaru Island Resort</t>
  </si>
  <si>
    <t>Hirundhoo</t>
  </si>
  <si>
    <t>Dusit Thani Maldives</t>
  </si>
  <si>
    <t>Finolhu Baa Atoll Maldives</t>
  </si>
  <si>
    <t>Four Seasons Private Island Maldives at Voavah</t>
  </si>
  <si>
    <t>Milaidhoo Island Maldives</t>
  </si>
  <si>
    <t>The Nautilus Maldives</t>
  </si>
  <si>
    <t xml:space="preserve">The Westin Maldives Miriandhoo Resort </t>
  </si>
  <si>
    <t xml:space="preserve">Vakkaru Maldives </t>
  </si>
  <si>
    <t>Atmosphere Kanifushi Maldives</t>
  </si>
  <si>
    <t>Cocoon Maldives</t>
  </si>
  <si>
    <t xml:space="preserve">Fushifaru Maldives </t>
  </si>
  <si>
    <t>Hurawalhi Island Resort</t>
  </si>
  <si>
    <t>Innahura Maldives Resort</t>
  </si>
  <si>
    <t>Kanuhura</t>
  </si>
  <si>
    <t>Lh. Kanuhuraa</t>
  </si>
  <si>
    <t>Lh. Komandoo</t>
  </si>
  <si>
    <t xml:space="preserve">Kudadoo Maldives Private island </t>
  </si>
  <si>
    <t>Lh. Kudadhoo</t>
  </si>
  <si>
    <t>Lh. Kuredhdhu</t>
  </si>
  <si>
    <t>Palm Beach Resort &amp; Spa Maldives</t>
  </si>
  <si>
    <t>Lh. Madhiriguraidhoo</t>
  </si>
  <si>
    <t>Adhaaran Club Rannaalhi</t>
  </si>
  <si>
    <t>K. Rannalhi</t>
  </si>
  <si>
    <t>Adhaaran Prestige Vaadhu</t>
  </si>
  <si>
    <t>K. Vaadhu</t>
  </si>
  <si>
    <t>Adhaaran Select Hudhuranfushi</t>
  </si>
  <si>
    <t>K. Lhohifushi</t>
  </si>
  <si>
    <t xml:space="preserve">Anantara Resort &amp; Spa Maldives </t>
  </si>
  <si>
    <t>K. Dhigufinolhu</t>
  </si>
  <si>
    <t xml:space="preserve">Angsana Resort &amp; Spa Maldives - Ihuru </t>
  </si>
  <si>
    <t>K. Ihuru</t>
  </si>
  <si>
    <t>K. Asdhu</t>
  </si>
  <si>
    <t xml:space="preserve">Bandos Maldives </t>
  </si>
  <si>
    <t>K. Bandos</t>
  </si>
  <si>
    <t>K. Vabbinfaru</t>
  </si>
  <si>
    <t>Baros Maldives</t>
  </si>
  <si>
    <t>K. Baros</t>
  </si>
  <si>
    <t>Biyaadhu Island Resort</t>
  </si>
  <si>
    <t>K. Biyaadhoo</t>
  </si>
  <si>
    <t>Centara Ras Fushi Resort &amp; Spa</t>
  </si>
  <si>
    <t>K. Giraavaru</t>
  </si>
  <si>
    <t>K. Kanuoiy Huraa</t>
  </si>
  <si>
    <t>Club Med Finolhu Villas</t>
  </si>
  <si>
    <t>K. Gasfinolhu</t>
  </si>
  <si>
    <t>K. Kanifinolhu</t>
  </si>
  <si>
    <t>K. Boduhithi</t>
  </si>
  <si>
    <t>K. Kudahithi</t>
  </si>
  <si>
    <t>K. Makunufushi</t>
  </si>
  <si>
    <t>K. Villivaru</t>
  </si>
  <si>
    <t xml:space="preserve">Emboodhu Village </t>
  </si>
  <si>
    <t>K. Emboodhu</t>
  </si>
  <si>
    <t>Eriyadhu Island Resort</t>
  </si>
  <si>
    <t>K. Eriyadhu</t>
  </si>
  <si>
    <t>Fihalhohi Island Resort</t>
  </si>
  <si>
    <t>K. Fihaalhohi</t>
  </si>
  <si>
    <t>K. Kuda Huraa</t>
  </si>
  <si>
    <t>K. Bodufinolhu</t>
  </si>
  <si>
    <t>K. Lankanfushi</t>
  </si>
  <si>
    <t>Grand Park Kohdhipparu Maldives</t>
  </si>
  <si>
    <t>K. Kohdhipparu</t>
  </si>
  <si>
    <t>Hard Rock Hotel Maldives</t>
  </si>
  <si>
    <t>Holiday Inn Resort Kandooma Maldives</t>
  </si>
  <si>
    <t>K. Kandoomafushi</t>
  </si>
  <si>
    <t>K. Nakatchafushi</t>
  </si>
  <si>
    <t>K. Bolifushi</t>
  </si>
  <si>
    <t>K. Vihamanaafushi</t>
  </si>
  <si>
    <t>K. Olhahali</t>
  </si>
  <si>
    <t>Makunudhoo Island</t>
  </si>
  <si>
    <t>K. Makunudhu</t>
  </si>
  <si>
    <t>Malahini Kuda Bandos</t>
  </si>
  <si>
    <t>K. Kuda Bandos</t>
  </si>
  <si>
    <t>K. Meerufenfushi</t>
  </si>
  <si>
    <t>K. Veligandu Huraa</t>
  </si>
  <si>
    <t>K. Helengeli</t>
  </si>
  <si>
    <t xml:space="preserve">Oblu Select by Atmosphere at Sangeli </t>
  </si>
  <si>
    <t>K. Akirifushi</t>
  </si>
  <si>
    <t>K. Olhuveli</t>
  </si>
  <si>
    <t>One &amp; Only Reethi Rah, Maldives</t>
  </si>
  <si>
    <t>K. Medhufinolhu</t>
  </si>
  <si>
    <t>Ozen by Atmosphere at Maadhoo</t>
  </si>
  <si>
    <t>K. Maadhoo Finolhu</t>
  </si>
  <si>
    <t>K. Lankanfinolhu</t>
  </si>
  <si>
    <t>K. Mahaanaelhi Huraa</t>
  </si>
  <si>
    <t>Saii Lagoon Maldives</t>
  </si>
  <si>
    <t>Sheraton Maldives Full Moon Reosort &amp; Spa</t>
  </si>
  <si>
    <t>K. Furanafushi</t>
  </si>
  <si>
    <t>K. Ziyaaraifushi</t>
  </si>
  <si>
    <t>K. Embudhu Finolhu</t>
  </si>
  <si>
    <t>K. Emboodhoofalhu</t>
  </si>
  <si>
    <t>K. Thulhaagiri</t>
  </si>
  <si>
    <t>K. Madivaru</t>
  </si>
  <si>
    <t>Velassaru Maldives</t>
  </si>
  <si>
    <t>K. Velassaru</t>
  </si>
  <si>
    <t>K. Hembadhoo</t>
  </si>
  <si>
    <t>K. Ithaafushi</t>
  </si>
  <si>
    <t>A.A. Bathala</t>
  </si>
  <si>
    <t>A.A. Halaveli</t>
  </si>
  <si>
    <t>A.A. Ellaidhoo</t>
  </si>
  <si>
    <t>A.A. Gangehi</t>
  </si>
  <si>
    <t>A.A. Kandholhudhoo</t>
  </si>
  <si>
    <t>A.A. Kuramathi</t>
  </si>
  <si>
    <t>A.A. Maayafushi</t>
  </si>
  <si>
    <t>A.A. Madoogali</t>
  </si>
  <si>
    <t>A.A. Kudafolhudhu</t>
  </si>
  <si>
    <t>Safari Island</t>
  </si>
  <si>
    <t>A.A. Mushimasmingili</t>
  </si>
  <si>
    <t>Velidhoo Island Resort</t>
  </si>
  <si>
    <t>A.A. Velidhoo</t>
  </si>
  <si>
    <t>A.A. Veligandu</t>
  </si>
  <si>
    <t>A.A. Fesdhu</t>
  </si>
  <si>
    <t>A.Dh. Angaga</t>
  </si>
  <si>
    <t xml:space="preserve">Diamonds Athuruga Beach and Water Villas </t>
  </si>
  <si>
    <t>A.Dh. Athurugau</t>
  </si>
  <si>
    <t>A.Dh. Machchafushi</t>
  </si>
  <si>
    <t>Conrad Maldives Rangali Island</t>
  </si>
  <si>
    <t>A.Dh. Rangalifinolhu</t>
  </si>
  <si>
    <t>A.Dh. Moofushi</t>
  </si>
  <si>
    <t>Drift Thelu Veliga Retreat</t>
  </si>
  <si>
    <t>A.Dh. Theluveliga</t>
  </si>
  <si>
    <t>A.Dh. Dhiffushi</t>
  </si>
  <si>
    <t>Amaya Kuda Rah Maldives (Kudarah Island Resort)</t>
  </si>
  <si>
    <t>A.Dh. Kudarah</t>
  </si>
  <si>
    <t>A.Dh. Huvahendhoo</t>
  </si>
  <si>
    <t>Lux South Ari Atoll, Maldives</t>
  </si>
  <si>
    <t>A.Dh. Dhidhdhufinolhu</t>
  </si>
  <si>
    <t>A.Dh. Mirihi</t>
  </si>
  <si>
    <t>Ranveli Island Resort</t>
  </si>
  <si>
    <t>A.Dh. Villingilivaru</t>
  </si>
  <si>
    <t xml:space="preserve">Sun Island Resort &amp; Spa </t>
  </si>
  <si>
    <t>A.Dh. Nalaguraidhoo</t>
  </si>
  <si>
    <t>Diamonds Thudufushi Beach &amp; Water Villas</t>
  </si>
  <si>
    <t>A.Dh. Thundufushi</t>
  </si>
  <si>
    <t>A.Dh. Maafushivaru</t>
  </si>
  <si>
    <t>A.Dh. Vakarufalhi</t>
  </si>
  <si>
    <t>A.Dh. Vilamendhoo</t>
  </si>
  <si>
    <t>V. Alimatha</t>
  </si>
  <si>
    <t>Cinnamon Velifushi Maldives</t>
  </si>
  <si>
    <t>V. Aarah</t>
  </si>
  <si>
    <t>V. Dhiggiri</t>
  </si>
  <si>
    <t>M. Hakuraa Huraa</t>
  </si>
  <si>
    <t>M. Medhufushi</t>
  </si>
  <si>
    <t>F. Filitheyo</t>
  </si>
  <si>
    <t>Dh. Dhoores</t>
  </si>
  <si>
    <t>Angsana Resort and Spa Maldives - Velavaru</t>
  </si>
  <si>
    <t>Dh. Velavaru</t>
  </si>
  <si>
    <t xml:space="preserve">Baglioni Resort Maldives </t>
  </si>
  <si>
    <t>D. Maagau</t>
  </si>
  <si>
    <t xml:space="preserve">Kandima Maldives </t>
  </si>
  <si>
    <t>Dh. Kandinma</t>
  </si>
  <si>
    <t>Niyama Maldives</t>
  </si>
  <si>
    <t>Dh. Olhuveli &amp; Embudhufushi</t>
  </si>
  <si>
    <t xml:space="preserve">Riu Atoll and Riu Palace Maldivas </t>
  </si>
  <si>
    <t>Dh. Maafushi and Kedhigandu</t>
  </si>
  <si>
    <t>Dh. Aluvifushi</t>
  </si>
  <si>
    <t>Dh. Meedhuffushi</t>
  </si>
  <si>
    <t xml:space="preserve">The St. Regis Vommuli Resort, Maldives </t>
  </si>
  <si>
    <t>Dh. Vommuli</t>
  </si>
  <si>
    <t xml:space="preserve">Maalifushi By Como </t>
  </si>
  <si>
    <t>Th. Male'fushi</t>
  </si>
  <si>
    <t>Six Senses Laamu</t>
  </si>
  <si>
    <t>L. Olhuveli</t>
  </si>
  <si>
    <t>L. Kuda Fares &amp; Fares</t>
  </si>
  <si>
    <t>G.A. Meradhoo</t>
  </si>
  <si>
    <t xml:space="preserve">Park Hyatt Maldives, Hadaha </t>
  </si>
  <si>
    <t>G.A. Hadahaa</t>
  </si>
  <si>
    <t>G.A. Maamutaa</t>
  </si>
  <si>
    <t>G.A. Funamauddua</t>
  </si>
  <si>
    <t>The Residence Maldives</t>
  </si>
  <si>
    <t>G.A. Falhumafushi</t>
  </si>
  <si>
    <t>G.A. Dhigurah</t>
  </si>
  <si>
    <t xml:space="preserve">Amari Havodda Maldives </t>
  </si>
  <si>
    <t>G.Dh. Havodda</t>
  </si>
  <si>
    <t>Ayada Maldives</t>
  </si>
  <si>
    <t>G.Dh. Magudhdhuva</t>
  </si>
  <si>
    <t xml:space="preserve">Outrigger Konotta Maldives Resort </t>
  </si>
  <si>
    <t>G.Dh. Konotta</t>
  </si>
  <si>
    <t>Canareef Resort Maldives</t>
  </si>
  <si>
    <t>S. Herethere</t>
  </si>
  <si>
    <t xml:space="preserve">Shangri - La's Villingili Resort &amp; Spa, Maldives </t>
  </si>
  <si>
    <t>S. Villingili</t>
  </si>
  <si>
    <t>S. Ismehelahera and Kedevaahera</t>
  </si>
  <si>
    <t>Manafaru</t>
  </si>
  <si>
    <t>Dhonakulhi</t>
  </si>
  <si>
    <t>Alidhoo</t>
  </si>
  <si>
    <t>Hondaafushi</t>
  </si>
  <si>
    <t>Gaakoshibee</t>
  </si>
  <si>
    <t>Vagaru</t>
  </si>
  <si>
    <t xml:space="preserve"> Island Name</t>
  </si>
  <si>
    <t>Randheli</t>
  </si>
  <si>
    <t>Kuredhivaru</t>
  </si>
  <si>
    <t>Kudafunafaru</t>
  </si>
  <si>
    <t>Orivaru</t>
  </si>
  <si>
    <t>Medhufaru</t>
  </si>
  <si>
    <t>Medhafushi</t>
  </si>
  <si>
    <t>Fushivelavaru</t>
  </si>
  <si>
    <t>Meedhupparu</t>
  </si>
  <si>
    <t>Huruvalhi</t>
  </si>
  <si>
    <t>Dhigali</t>
  </si>
  <si>
    <t>Fasmendhoo</t>
  </si>
  <si>
    <t>Faarufushi</t>
  </si>
  <si>
    <t>Furaveri</t>
  </si>
  <si>
    <t>Aarah</t>
  </si>
  <si>
    <t>Maamunagau</t>
  </si>
  <si>
    <t>Muravandhoo</t>
  </si>
  <si>
    <t>Kudafushi</t>
  </si>
  <si>
    <t>Filaidhoo</t>
  </si>
  <si>
    <t>Uthurumaafaru</t>
  </si>
  <si>
    <t>Kihavah Haruvalhi</t>
  </si>
  <si>
    <t>Dhunikolhu</t>
  </si>
  <si>
    <t>Dhigufaruvinagandu</t>
  </si>
  <si>
    <t xml:space="preserve">Dreamland - The Unique Sea &amp; Lake Resort / Spa </t>
  </si>
  <si>
    <t>Mudhdhoo</t>
  </si>
  <si>
    <t>Kanufushi</t>
  </si>
  <si>
    <t>Voavah</t>
  </si>
  <si>
    <t>Landaa Giraavaru</t>
  </si>
  <si>
    <t>Kihaadhuffaru</t>
  </si>
  <si>
    <t>Milaidhoo</t>
  </si>
  <si>
    <t>Fonimagoodhoo</t>
  </si>
  <si>
    <t>Horubadhoo</t>
  </si>
  <si>
    <t>Kunfunadhoo</t>
  </si>
  <si>
    <t>Thiladhoo</t>
  </si>
  <si>
    <t>Miriandhoo</t>
  </si>
  <si>
    <t>Vakkaru</t>
  </si>
  <si>
    <t>Kanifushi</t>
  </si>
  <si>
    <t>Ookolhu Finolhu</t>
  </si>
  <si>
    <t>Fushifaru</t>
  </si>
  <si>
    <t>Hurawalhi</t>
  </si>
  <si>
    <t>2020</t>
  </si>
  <si>
    <t xml:space="preserve">Brennia Kottefaru  </t>
  </si>
  <si>
    <t>Kottefaru</t>
  </si>
  <si>
    <t xml:space="preserve">Bolifushi Island Resort </t>
  </si>
  <si>
    <t>Kagi Maldives Spa Island</t>
  </si>
  <si>
    <t>K. Kagi</t>
  </si>
  <si>
    <t>Innahuraa</t>
  </si>
  <si>
    <t>Varu Island Resort</t>
  </si>
  <si>
    <t xml:space="preserve">W Maldives </t>
  </si>
  <si>
    <t xml:space="preserve">Radisson Blu Resort Maldives </t>
  </si>
  <si>
    <t>A.Dh. Huruelhi</t>
  </si>
  <si>
    <t xml:space="preserve">Maafushivaru Maldives </t>
  </si>
  <si>
    <t>Raffles Maldives Meradhoo Resort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</si>
  <si>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</si>
  <si>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</si>
  <si>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2021</t>
  </si>
  <si>
    <t>Siyam World Maldives    </t>
  </si>
  <si>
    <t>Joali Being Bodufushi</t>
  </si>
  <si>
    <t>Bodufushi</t>
  </si>
  <si>
    <t>Kihaa Maldives (Kihaad Resort)</t>
  </si>
  <si>
    <t>Le Meridien Maldives Resort And Spa</t>
  </si>
  <si>
    <t>Thilamaafushi and Bodufinolhu</t>
  </si>
  <si>
    <t>Sandies Bathala (Bathala Island Resort (Adaaran Club Bathala))</t>
  </si>
  <si>
    <t>Cocogiri Island Resort</t>
  </si>
  <si>
    <t>V.Vashugiri</t>
  </si>
  <si>
    <t>Anantara Veli and Naladhu (Naladhu (Palm Tree Island))</t>
  </si>
  <si>
    <t>Kuda Villingili Resort Maldives</t>
  </si>
  <si>
    <t>K. Kudavillingili</t>
  </si>
  <si>
    <t>Jumeirah Maldives Olhahali Island (Lux North Male’ Atoll )</t>
  </si>
  <si>
    <t xml:space="preserve">The Ritz Carlton Maldives Fari Islands </t>
  </si>
  <si>
    <t>K. Fari Kandu Huraa</t>
  </si>
  <si>
    <t>Patina Maldives, Fari Islands</t>
  </si>
  <si>
    <t>K. Fari Veli Huraa</t>
  </si>
  <si>
    <t>2022</t>
  </si>
  <si>
    <t>Table 10.14   BED CAPACITY OF TOURIST RESORTS AND THE DISTANCE FROM MALE' INTERNATIONAL AIRPORT, 2013 - 2022</t>
  </si>
  <si>
    <t>ތާވަލު 10.14: ރިސޯޓްތަކުގެ އެނދުގެ ޖާގައާއި ބައިނަލްއަޤަވާމީ ވައިގެ ބަނދަރާއިހުރި ދުރުމިން،  2013 - 2022</t>
  </si>
  <si>
    <t>Robinson Noonu</t>
  </si>
  <si>
    <t>Alila Kothaifaru Maldives</t>
  </si>
  <si>
    <t>Kothaifaru and Kuroshigiri</t>
  </si>
  <si>
    <t xml:space="preserve">Emerald Faarufushi Resort &amp; Spa </t>
  </si>
  <si>
    <t>Cora Cora Maldives</t>
  </si>
  <si>
    <t xml:space="preserve">The Standard Huruvalhi Maldives  </t>
  </si>
  <si>
    <t>Kuredu Island Resort</t>
  </si>
  <si>
    <t>Aanugandu Island Resort</t>
  </si>
  <si>
    <t>K. Aanugan'du Finolhu and Aanugan'du Huraa</t>
  </si>
  <si>
    <t>Coco Bodu Hithi</t>
  </si>
  <si>
    <t>Hilton Amingiri Resort &amp; Spa</t>
  </si>
  <si>
    <t>K. Kohdhipparu Lagoon
Coordinates 4°14'58.49"N, 73°21'59.75"E</t>
  </si>
  <si>
    <t xml:space="preserve">Oaga Art Resort </t>
  </si>
  <si>
    <t>K. Maaranfushi</t>
  </si>
  <si>
    <t xml:space="preserve">Sun Siyam Olhuveli Maldives </t>
  </si>
  <si>
    <t>Rihiveli Beach Resort</t>
  </si>
  <si>
    <t>Madifushi Private Island</t>
  </si>
  <si>
    <t xml:space="preserve">Yash Nature Resort </t>
  </si>
  <si>
    <t xml:space="preserve">Sun Siyam Iru Veli Maldives </t>
  </si>
  <si>
    <t>Sun Siyam Vilu Reef Maldives</t>
  </si>
  <si>
    <t>Robinson Maldive</t>
  </si>
  <si>
    <t>in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</si>
</sst>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7" formatCode="#,##0.0"/>
    <numFmt numFmtId="170" formatCode="#,##0.0_);\(#,##0.0\)"/>
    <numFmt numFmtId="171" formatCode="0.00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Faruma"/>
    </font>
    <font>
      <i/>
      <sz val="9"/>
      <color theme="1"/>
      <name val="Arial"/>
      <family val="2"/>
    </font>
    <font>
      <sz val="10"/>
      <color rgb="FF000000"/>
      <name val="Calibri"/>
      <family val="2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9"/>
      <name val="Calibri"/>
      <family val="2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theme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6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22" fillId="0" borderId="0"/>
    <xf numFmtId="0" fontId="3" fillId="0" borderId="0"/>
    <xf numFmtId="43" fontId="3" fillId="0" borderId="0" applyFont="0" applyFill="0" applyBorder="0" applyAlignment="0" applyProtection="0"/>
    <xf numFmtId="171" fontId="23" fillId="0" borderId="0"/>
    <xf numFmtId="1" fontId="24" fillId="0" borderId="7" applyNumberFormat="0"/>
    <xf numFmtId="0" fontId="3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22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6" fillId="0" borderId="0"/>
    <xf numFmtId="40" fontId="6" fillId="0" borderId="0" applyFont="0" applyFill="0" applyBorder="0" applyAlignment="0" applyProtection="0"/>
    <xf numFmtId="0" fontId="6" fillId="0" borderId="0"/>
    <xf numFmtId="0" fontId="3" fillId="0" borderId="0"/>
    <xf numFmtId="1" fontId="24" fillId="0" borderId="7" applyNumberFormat="0"/>
    <xf numFmtId="0" fontId="1" fillId="0" borderId="0"/>
    <xf numFmtId="0" fontId="6" fillId="0" borderId="0"/>
    <xf numFmtId="0" fontId="26" fillId="0" borderId="0" applyFill="0" applyProtection="0"/>
    <xf numFmtId="1" fontId="24" fillId="0" borderId="7" applyNumberFormat="0"/>
    <xf numFmtId="43" fontId="1" fillId="0" borderId="0" applyFont="0" applyFill="0" applyBorder="0" applyAlignment="0" applyProtection="0"/>
    <xf numFmtId="0" fontId="1" fillId="0" borderId="0"/>
    <xf numFmtId="0" fontId="27" fillId="0" borderId="0"/>
    <xf numFmtId="0" fontId="28" fillId="0" borderId="0"/>
    <xf numFmtId="0" fontId="27" fillId="0" borderId="0"/>
    <xf numFmtId="0" fontId="1" fillId="0" borderId="0"/>
    <xf numFmtId="0" fontId="6" fillId="0" borderId="0"/>
    <xf numFmtId="0" fontId="26" fillId="0" borderId="0" applyFill="0" applyProtection="0"/>
    <xf numFmtId="1" fontId="24" fillId="0" borderId="7" applyNumberFormat="0"/>
    <xf numFmtId="0" fontId="1" fillId="0" borderId="0"/>
    <xf numFmtId="0" fontId="3" fillId="0" borderId="0"/>
    <xf numFmtId="0" fontId="27" fillId="0" borderId="0"/>
    <xf numFmtId="0" fontId="28" fillId="0" borderId="0"/>
    <xf numFmtId="0" fontId="3" fillId="0" borderId="0"/>
    <xf numFmtId="0" fontId="27" fillId="0" borderId="0"/>
    <xf numFmtId="0" fontId="29" fillId="0" borderId="0"/>
    <xf numFmtId="0" fontId="27" fillId="0" borderId="0"/>
    <xf numFmtId="0" fontId="27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6" fillId="0" borderId="0" applyFont="0" applyFill="0" applyBorder="0" applyAlignment="0" applyProtection="0"/>
    <xf numFmtId="0" fontId="1" fillId="0" borderId="0"/>
    <xf numFmtId="0" fontId="29" fillId="0" borderId="0" applyBorder="0"/>
    <xf numFmtId="0" fontId="1" fillId="0" borderId="0"/>
    <xf numFmtId="40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9" fillId="0" borderId="0" applyBorder="0"/>
    <xf numFmtId="0" fontId="1" fillId="0" borderId="0"/>
    <xf numFmtId="0" fontId="1" fillId="0" borderId="0"/>
    <xf numFmtId="1" fontId="24" fillId="0" borderId="7" applyNumberFormat="0"/>
    <xf numFmtId="1" fontId="24" fillId="0" borderId="7" applyNumberFormat="0"/>
    <xf numFmtId="1" fontId="24" fillId="0" borderId="7" applyNumberFormat="0"/>
    <xf numFmtId="1" fontId="24" fillId="0" borderId="7" applyNumberFormat="0"/>
  </cellStyleXfs>
  <cellXfs count="104">
    <xf numFmtId="0" fontId="0" fillId="0" borderId="0" xfId="0"/>
    <xf numFmtId="3" fontId="11" fillId="2" borderId="0" xfId="2" applyNumberFormat="1" applyFont="1" applyFill="1" applyAlignment="1" applyProtection="1">
      <alignment horizontal="right" vertical="center"/>
      <protection locked="0"/>
    </xf>
    <xf numFmtId="3" fontId="11" fillId="2" borderId="2" xfId="2" applyNumberFormat="1" applyFont="1" applyFill="1" applyBorder="1" applyAlignment="1" applyProtection="1">
      <alignment horizontal="right" vertical="center"/>
      <protection locked="0"/>
    </xf>
    <xf numFmtId="0" fontId="15" fillId="2" borderId="0" xfId="2" applyFont="1" applyFill="1"/>
    <xf numFmtId="0" fontId="15" fillId="2" borderId="0" xfId="2" applyFont="1" applyFill="1" applyAlignment="1">
      <alignment vertical="center"/>
    </xf>
    <xf numFmtId="3" fontId="11" fillId="2" borderId="0" xfId="2" applyNumberFormat="1" applyFont="1" applyFill="1" applyAlignment="1">
      <alignment horizontal="right" vertical="center"/>
    </xf>
    <xf numFmtId="0" fontId="11" fillId="2" borderId="0" xfId="2" applyFont="1" applyFill="1" applyAlignment="1">
      <alignment horizontal="left" vertical="center"/>
    </xf>
    <xf numFmtId="0" fontId="15" fillId="2" borderId="0" xfId="2" applyFont="1" applyFill="1" applyAlignment="1">
      <alignment wrapText="1"/>
    </xf>
    <xf numFmtId="0" fontId="15" fillId="2" borderId="0" xfId="2" applyFont="1" applyFill="1" applyAlignment="1">
      <alignment horizontal="right" vertical="center"/>
    </xf>
    <xf numFmtId="0" fontId="18" fillId="2" borderId="1" xfId="2" applyFont="1" applyFill="1" applyBorder="1" applyAlignment="1">
      <alignment horizontal="center" vertical="center"/>
    </xf>
    <xf numFmtId="1" fontId="10" fillId="2" borderId="2" xfId="2" applyNumberFormat="1" applyFont="1" applyFill="1" applyBorder="1" applyAlignment="1">
      <alignment horizontal="right" vertical="center"/>
    </xf>
    <xf numFmtId="0" fontId="10" fillId="2" borderId="2" xfId="2" applyFont="1" applyFill="1" applyBorder="1" applyAlignment="1">
      <alignment horizontal="center" vertical="center"/>
    </xf>
    <xf numFmtId="3" fontId="10" fillId="2" borderId="0" xfId="2" applyNumberFormat="1" applyFont="1" applyFill="1" applyAlignment="1" applyProtection="1">
      <alignment horizontal="right" vertical="center"/>
      <protection locked="0"/>
    </xf>
    <xf numFmtId="0" fontId="13" fillId="2" borderId="0" xfId="2" applyFont="1" applyFill="1"/>
    <xf numFmtId="0" fontId="5" fillId="2" borderId="3" xfId="2" applyFont="1" applyFill="1" applyBorder="1" applyAlignment="1">
      <alignment horizontal="center" vertical="center"/>
    </xf>
    <xf numFmtId="3" fontId="11" fillId="2" borderId="6" xfId="2" applyNumberFormat="1" applyFont="1" applyFill="1" applyBorder="1" applyAlignment="1" applyProtection="1">
      <alignment horizontal="right" vertical="center"/>
      <protection locked="0"/>
    </xf>
    <xf numFmtId="3" fontId="11" fillId="2" borderId="3" xfId="2" applyNumberFormat="1" applyFont="1" applyFill="1" applyBorder="1" applyAlignment="1" applyProtection="1">
      <alignment horizontal="right" vertical="center"/>
      <protection locked="0"/>
    </xf>
    <xf numFmtId="1" fontId="11" fillId="2" borderId="6" xfId="2" applyNumberFormat="1" applyFont="1" applyFill="1" applyBorder="1" applyAlignment="1" applyProtection="1">
      <alignment horizontal="right" vertical="center"/>
      <protection locked="0"/>
    </xf>
    <xf numFmtId="1" fontId="11" fillId="2" borderId="3" xfId="2" applyNumberFormat="1" applyFont="1" applyFill="1" applyBorder="1" applyAlignment="1" applyProtection="1">
      <alignment horizontal="right" vertical="center"/>
      <protection locked="0"/>
    </xf>
    <xf numFmtId="0" fontId="5" fillId="2" borderId="5" xfId="2" applyFont="1" applyFill="1" applyBorder="1" applyAlignment="1">
      <alignment horizontal="center" vertical="center"/>
    </xf>
    <xf numFmtId="3" fontId="10" fillId="2" borderId="5" xfId="2" applyNumberFormat="1" applyFont="1" applyFill="1" applyBorder="1" applyAlignment="1">
      <alignment horizontal="right" vertical="center"/>
    </xf>
    <xf numFmtId="49" fontId="11" fillId="2" borderId="0" xfId="1" applyNumberFormat="1" applyFont="1" applyFill="1" applyBorder="1" applyAlignment="1" applyProtection="1">
      <alignment horizontal="right" vertical="center"/>
    </xf>
    <xf numFmtId="3" fontId="11" fillId="2" borderId="6" xfId="2" applyNumberFormat="1" applyFont="1" applyFill="1" applyBorder="1" applyAlignment="1">
      <alignment horizontal="right" vertical="center"/>
    </xf>
    <xf numFmtId="3" fontId="11" fillId="2" borderId="3" xfId="2" applyNumberFormat="1" applyFont="1" applyFill="1" applyBorder="1" applyAlignment="1">
      <alignment horizontal="right" vertical="center"/>
    </xf>
    <xf numFmtId="49" fontId="11" fillId="2" borderId="6" xfId="1" applyNumberFormat="1" applyFont="1" applyFill="1" applyBorder="1" applyAlignment="1" applyProtection="1">
      <alignment horizontal="right" vertical="center"/>
    </xf>
    <xf numFmtId="0" fontId="11" fillId="2" borderId="6" xfId="2" applyFont="1" applyFill="1" applyBorder="1" applyAlignment="1">
      <alignment horizontal="left" vertical="center" wrapText="1"/>
    </xf>
    <xf numFmtId="0" fontId="11" fillId="2" borderId="6" xfId="2" applyFont="1" applyFill="1" applyBorder="1" applyAlignment="1">
      <alignment horizontal="right" vertical="center"/>
    </xf>
    <xf numFmtId="0" fontId="16" fillId="2" borderId="0" xfId="2" applyFont="1" applyFill="1"/>
    <xf numFmtId="0" fontId="14" fillId="2" borderId="0" xfId="2" applyFont="1" applyFill="1"/>
    <xf numFmtId="0" fontId="11" fillId="2" borderId="3" xfId="2" applyFont="1" applyFill="1" applyBorder="1" applyAlignment="1">
      <alignment horizontal="right" vertical="center"/>
    </xf>
    <xf numFmtId="0" fontId="5" fillId="2" borderId="2" xfId="2" applyFont="1" applyFill="1" applyBorder="1" applyAlignment="1">
      <alignment horizontal="center" vertical="center"/>
    </xf>
    <xf numFmtId="0" fontId="11" fillId="2" borderId="0" xfId="2" applyFont="1" applyFill="1" applyAlignment="1">
      <alignment wrapText="1"/>
    </xf>
    <xf numFmtId="0" fontId="17" fillId="2" borderId="0" xfId="0" applyFont="1" applyFill="1"/>
    <xf numFmtId="3" fontId="10" fillId="2" borderId="3" xfId="2" applyNumberFormat="1" applyFont="1" applyFill="1" applyBorder="1" applyAlignment="1">
      <alignment horizontal="right" vertical="center"/>
    </xf>
    <xf numFmtId="3" fontId="10" fillId="2" borderId="2" xfId="2" applyNumberFormat="1" applyFont="1" applyFill="1" applyBorder="1" applyAlignment="1">
      <alignment horizontal="right" vertical="center"/>
    </xf>
    <xf numFmtId="0" fontId="11" fillId="2" borderId="6" xfId="2" applyFont="1" applyFill="1" applyBorder="1" applyAlignment="1">
      <alignment horizontal="left" vertical="center"/>
    </xf>
    <xf numFmtId="0" fontId="7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/>
    </xf>
    <xf numFmtId="0" fontId="15" fillId="2" borderId="0" xfId="2" applyFont="1" applyFill="1" applyAlignment="1">
      <alignment horizontal="left"/>
    </xf>
    <xf numFmtId="3" fontId="13" fillId="2" borderId="0" xfId="2" applyNumberFormat="1" applyFont="1" applyFill="1"/>
    <xf numFmtId="3" fontId="15" fillId="2" borderId="0" xfId="2" applyNumberFormat="1" applyFont="1" applyFill="1"/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 indent="3"/>
    </xf>
    <xf numFmtId="0" fontId="3" fillId="2" borderId="0" xfId="2" applyFill="1" applyAlignment="1">
      <alignment horizontal="center" vertical="center"/>
    </xf>
    <xf numFmtId="170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67" fontId="11" fillId="2" borderId="0" xfId="2" applyNumberFormat="1" applyFont="1" applyFill="1" applyAlignment="1" applyProtection="1">
      <alignment horizontal="right" vertical="center"/>
      <protection locked="0"/>
    </xf>
    <xf numFmtId="167" fontId="11" fillId="2" borderId="0" xfId="2" applyNumberFormat="1" applyFont="1" applyFill="1" applyAlignment="1" applyProtection="1">
      <alignment horizontal="right" vertical="center" wrapText="1"/>
      <protection locked="0"/>
    </xf>
    <xf numFmtId="0" fontId="11" fillId="2" borderId="0" xfId="2" applyFont="1" applyFill="1"/>
    <xf numFmtId="3" fontId="10" fillId="2" borderId="0" xfId="2" applyNumberFormat="1" applyFont="1" applyFill="1" applyAlignment="1">
      <alignment horizontal="right" vertical="center"/>
    </xf>
    <xf numFmtId="0" fontId="20" fillId="2" borderId="0" xfId="2" applyFont="1" applyFill="1" applyAlignment="1">
      <alignment horizontal="right" vertical="center"/>
    </xf>
    <xf numFmtId="0" fontId="7" fillId="2" borderId="0" xfId="2" applyFont="1" applyFill="1" applyAlignment="1">
      <alignment horizontal="left" vertical="center" wrapText="1"/>
    </xf>
    <xf numFmtId="0" fontId="8" fillId="2" borderId="0" xfId="2" applyFont="1" applyFill="1" applyAlignment="1">
      <alignment horizontal="center" vertical="center"/>
    </xf>
    <xf numFmtId="0" fontId="20" fillId="2" borderId="0" xfId="2" applyFont="1" applyFill="1" applyAlignment="1">
      <alignment horizontal="left" vertical="center"/>
    </xf>
    <xf numFmtId="3" fontId="13" fillId="2" borderId="0" xfId="2" applyNumberFormat="1" applyFont="1" applyFill="1" applyAlignment="1" applyProtection="1">
      <alignment horizontal="right" vertical="center"/>
      <protection locked="0"/>
    </xf>
    <xf numFmtId="167" fontId="13" fillId="2" borderId="0" xfId="2" applyNumberFormat="1" applyFont="1" applyFill="1" applyAlignment="1" applyProtection="1">
      <alignment horizontal="right" vertical="center"/>
      <protection locked="0"/>
    </xf>
    <xf numFmtId="1" fontId="13" fillId="2" borderId="0" xfId="2" applyNumberFormat="1" applyFont="1" applyFill="1" applyAlignment="1">
      <alignment horizontal="right" vertical="center"/>
    </xf>
    <xf numFmtId="49" fontId="11" fillId="2" borderId="2" xfId="2" applyNumberFormat="1" applyFont="1" applyFill="1" applyBorder="1" applyAlignment="1">
      <alignment horizontal="right" vertical="center"/>
    </xf>
    <xf numFmtId="0" fontId="11" fillId="2" borderId="2" xfId="2" applyFont="1" applyFill="1" applyBorder="1" applyAlignment="1">
      <alignment horizontal="left" vertical="center"/>
    </xf>
    <xf numFmtId="0" fontId="11" fillId="2" borderId="2" xfId="2" applyFont="1" applyFill="1" applyBorder="1" applyAlignment="1">
      <alignment horizontal="left" vertical="center" wrapText="1"/>
    </xf>
    <xf numFmtId="49" fontId="11" fillId="2" borderId="0" xfId="2" applyNumberFormat="1" applyFont="1" applyFill="1" applyAlignment="1">
      <alignment horizontal="right" vertical="center"/>
    </xf>
    <xf numFmtId="0" fontId="11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center" vertical="center"/>
    </xf>
    <xf numFmtId="0" fontId="10" fillId="2" borderId="0" xfId="2" applyFont="1" applyFill="1" applyAlignment="1">
      <alignment horizontal="left" vertical="center"/>
    </xf>
    <xf numFmtId="0" fontId="10" fillId="2" borderId="0" xfId="2" applyFont="1" applyFill="1" applyAlignment="1">
      <alignment horizontal="left" vertical="center" wrapText="1"/>
    </xf>
    <xf numFmtId="0" fontId="11" fillId="2" borderId="3" xfId="0" applyFont="1" applyFill="1" applyBorder="1" applyAlignment="1">
      <alignment horizontal="left"/>
    </xf>
    <xf numFmtId="0" fontId="11" fillId="2" borderId="0" xfId="2" applyFont="1" applyFill="1" applyAlignment="1">
      <alignment horizontal="right" vertical="center"/>
    </xf>
    <xf numFmtId="0" fontId="11" fillId="2" borderId="0" xfId="0" applyFont="1" applyFill="1" applyAlignment="1">
      <alignment horizontal="left"/>
    </xf>
    <xf numFmtId="49" fontId="11" fillId="2" borderId="6" xfId="2" applyNumberFormat="1" applyFont="1" applyFill="1" applyBorder="1" applyAlignment="1">
      <alignment horizontal="right" vertical="center"/>
    </xf>
    <xf numFmtId="1" fontId="11" fillId="2" borderId="0" xfId="2" applyNumberFormat="1" applyFont="1" applyFill="1" applyAlignment="1">
      <alignment horizontal="right" vertical="center"/>
    </xf>
    <xf numFmtId="1" fontId="11" fillId="2" borderId="6" xfId="2" applyNumberFormat="1" applyFont="1" applyFill="1" applyBorder="1" applyAlignment="1">
      <alignment horizontal="right" vertical="center"/>
    </xf>
    <xf numFmtId="3" fontId="13" fillId="2" borderId="0" xfId="2" applyNumberFormat="1" applyFont="1" applyFill="1" applyAlignment="1">
      <alignment horizontal="right" vertical="center"/>
    </xf>
    <xf numFmtId="1" fontId="11" fillId="2" borderId="0" xfId="2" applyNumberFormat="1" applyFont="1" applyFill="1" applyAlignment="1" applyProtection="1">
      <alignment horizontal="right" vertical="center"/>
      <protection locked="0"/>
    </xf>
    <xf numFmtId="0" fontId="21" fillId="2" borderId="0" xfId="0" applyFont="1" applyFill="1"/>
    <xf numFmtId="0" fontId="10" fillId="2" borderId="5" xfId="2" applyFont="1" applyFill="1" applyBorder="1" applyAlignment="1">
      <alignment horizontal="left" vertical="center"/>
    </xf>
    <xf numFmtId="0" fontId="10" fillId="2" borderId="5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right" vertical="center"/>
    </xf>
    <xf numFmtId="0" fontId="3" fillId="2" borderId="2" xfId="2" applyFill="1" applyBorder="1" applyAlignment="1">
      <alignment horizontal="center" vertical="center"/>
    </xf>
    <xf numFmtId="0" fontId="10" fillId="2" borderId="1" xfId="2" applyFont="1" applyFill="1" applyBorder="1" applyAlignment="1">
      <alignment horizontal="right" vertical="center"/>
    </xf>
    <xf numFmtId="0" fontId="10" fillId="2" borderId="1" xfId="2" applyFont="1" applyFill="1" applyBorder="1" applyAlignment="1">
      <alignment horizontal="right" vertical="center" wrapText="1"/>
    </xf>
    <xf numFmtId="0" fontId="3" fillId="2" borderId="1" xfId="2" applyFill="1" applyBorder="1" applyAlignment="1">
      <alignment horizontal="center" vertical="center"/>
    </xf>
    <xf numFmtId="0" fontId="25" fillId="2" borderId="0" xfId="25" applyFont="1" applyFill="1" applyAlignment="1">
      <alignment horizontal="left"/>
    </xf>
    <xf numFmtId="0" fontId="10" fillId="2" borderId="1" xfId="2" applyFont="1" applyFill="1" applyBorder="1" applyAlignment="1">
      <alignment horizontal="center" vertical="center"/>
    </xf>
    <xf numFmtId="0" fontId="4" fillId="2" borderId="0" xfId="2" applyFont="1" applyFill="1" applyAlignment="1">
      <alignment horizontal="center" vertical="center"/>
    </xf>
    <xf numFmtId="0" fontId="21" fillId="2" borderId="6" xfId="0" applyFont="1" applyFill="1" applyBorder="1" applyAlignment="1">
      <alignment vertical="center"/>
    </xf>
    <xf numFmtId="164" fontId="11" fillId="2" borderId="6" xfId="2" applyNumberFormat="1" applyFont="1" applyFill="1" applyBorder="1" applyAlignment="1">
      <alignment horizontal="center" vertical="center"/>
    </xf>
    <xf numFmtId="0" fontId="19" fillId="2" borderId="0" xfId="2" applyFont="1" applyFill="1" applyAlignment="1">
      <alignment horizontal="center" vertical="center" wrapText="1"/>
    </xf>
    <xf numFmtId="0" fontId="10" fillId="2" borderId="1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1" xfId="2" applyFont="1" applyFill="1" applyBorder="1" applyAlignment="1">
      <alignment horizontal="center" vertical="center"/>
    </xf>
    <xf numFmtId="0" fontId="10" fillId="2" borderId="2" xfId="2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2" fillId="2" borderId="0" xfId="2" applyFont="1" applyFill="1" applyAlignment="1">
      <alignment horizontal="center" vertical="center"/>
    </xf>
    <xf numFmtId="164" fontId="10" fillId="2" borderId="0" xfId="2" applyNumberFormat="1" applyFont="1" applyFill="1" applyAlignment="1">
      <alignment horizontal="center" vertical="center"/>
    </xf>
    <xf numFmtId="164" fontId="11" fillId="2" borderId="0" xfId="2" applyNumberFormat="1" applyFont="1" applyFill="1" applyAlignment="1" applyProtection="1">
      <alignment horizontal="center" vertical="center"/>
      <protection locked="0"/>
    </xf>
    <xf numFmtId="164" fontId="11" fillId="2" borderId="3" xfId="2" applyNumberFormat="1" applyFont="1" applyFill="1" applyBorder="1" applyAlignment="1" applyProtection="1">
      <alignment horizontal="center" vertical="center"/>
      <protection locked="0"/>
    </xf>
    <xf numFmtId="164" fontId="10" fillId="2" borderId="0" xfId="2" applyNumberFormat="1" applyFont="1" applyFill="1" applyAlignment="1" applyProtection="1">
      <alignment horizontal="center" vertical="center"/>
      <protection locked="0"/>
    </xf>
    <xf numFmtId="164" fontId="11" fillId="2" borderId="0" xfId="2" applyNumberFormat="1" applyFont="1" applyFill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64" fontId="17" fillId="2" borderId="0" xfId="0" applyNumberFormat="1" applyFont="1" applyFill="1" applyAlignment="1">
      <alignment horizontal="center"/>
    </xf>
    <xf numFmtId="164" fontId="11" fillId="2" borderId="3" xfId="2" applyNumberFormat="1" applyFont="1" applyFill="1" applyBorder="1" applyAlignment="1">
      <alignment horizontal="center" vertical="center"/>
    </xf>
    <xf numFmtId="164" fontId="11" fillId="2" borderId="6" xfId="2" applyNumberFormat="1" applyFont="1" applyFill="1" applyBorder="1" applyAlignment="1" applyProtection="1">
      <alignment horizontal="center" vertical="center"/>
      <protection locked="0"/>
    </xf>
    <xf numFmtId="164" fontId="11" fillId="2" borderId="2" xfId="2" applyNumberFormat="1" applyFont="1" applyFill="1" applyBorder="1" applyAlignment="1" applyProtection="1">
      <alignment horizontal="center" vertical="center"/>
      <protection locked="0"/>
    </xf>
  </cellXfs>
  <cellStyles count="65">
    <cellStyle name="1" xfId="6" xr:uid="{00000000-0005-0000-0000-000000000000}"/>
    <cellStyle name="Comma" xfId="1" builtinId="3"/>
    <cellStyle name="Comma 2" xfId="20" xr:uid="{00000000-0005-0000-0000-000002000000}"/>
    <cellStyle name="Comma 2 2" xfId="47" xr:uid="{71832AE8-63E9-47AC-B43D-24C9B30FD491}"/>
    <cellStyle name="Comma 2 2 2 5" xfId="28" xr:uid="{923A80DF-8391-490C-A9FC-9B04BA3FF02C}"/>
    <cellStyle name="Comma 2 3" xfId="54" xr:uid="{18E20042-2979-46AD-9D37-4A459DA64BAE}"/>
    <cellStyle name="Comma 3" xfId="7" xr:uid="{00000000-0005-0000-0000-000003000000}"/>
    <cellStyle name="Comma 3 2" xfId="50" xr:uid="{C94EE668-205D-4DE2-A3E1-635995599CA4}"/>
    <cellStyle name="Normal" xfId="0" builtinId="0"/>
    <cellStyle name="Normal - Style1" xfId="8" xr:uid="{00000000-0005-0000-0000-000005000000}"/>
    <cellStyle name="Normal 10" xfId="14" xr:uid="{00000000-0005-0000-0000-000006000000}"/>
    <cellStyle name="Normal 11" xfId="25" xr:uid="{95DB1E47-A717-4F50-B120-BDB4A6A98D35}"/>
    <cellStyle name="Normal 12" xfId="27" xr:uid="{5F37676F-9210-428B-A54A-88AF31197612}"/>
    <cellStyle name="Normal 13" xfId="36" xr:uid="{1E44DD08-E506-4B0E-A49D-239619E68ECB}"/>
    <cellStyle name="Normal 14" xfId="61" xr:uid="{CF47567C-18E3-48E3-B4B2-F9546E19550C}"/>
    <cellStyle name="Normal 15" xfId="62" xr:uid="{791BF7C1-0A53-4899-92D0-58D1295D1734}"/>
    <cellStyle name="Normal 16" xfId="63" xr:uid="{FB24067F-240D-455E-8348-EE3147456F5B}"/>
    <cellStyle name="Normal 17" xfId="64" xr:uid="{D4A5C67F-868D-43C6-89A5-249394EF5F61}"/>
    <cellStyle name="Normal 2" xfId="2" xr:uid="{00000000-0005-0000-0000-000007000000}"/>
    <cellStyle name="Normal 2 2" xfId="9" xr:uid="{00000000-0005-0000-0000-000008000000}"/>
    <cellStyle name="Normal 2 2 2" xfId="21" xr:uid="{00000000-0005-0000-0000-000009000000}"/>
    <cellStyle name="Normal 2 2 2 2" xfId="45" xr:uid="{8F8F9C60-80DF-42BF-B765-6C68B3B83858}"/>
    <cellStyle name="Normal 2 2 3" xfId="22" xr:uid="{2E2FEFD2-ABBD-420D-8461-C8F503FDA24A}"/>
    <cellStyle name="Normal 2 2 3 2" xfId="43" xr:uid="{847F1A16-9FCA-412B-AE91-D29E3FC8B338}"/>
    <cellStyle name="Normal 2 2 4" xfId="39" xr:uid="{19B03459-4F46-4840-B83F-02097E770DD0}"/>
    <cellStyle name="Normal 2 3" xfId="24" xr:uid="{48422FEC-E0BC-428C-9750-2D76D2E13FBF}"/>
    <cellStyle name="Normal 2 3 2" xfId="35" xr:uid="{53720891-5BB7-4072-A4AA-9D579EA571CD}"/>
    <cellStyle name="Normal 2 3 3" xfId="38" xr:uid="{7DCAFB35-81DA-42EB-A924-F7ED0EEF7A1F}"/>
    <cellStyle name="Normal 2 4" xfId="26" xr:uid="{84E1C268-3A16-4FB7-A335-F22068D33369}"/>
    <cellStyle name="Normal 2 4 2" xfId="46" xr:uid="{57E5914E-388A-4C4B-895D-9DE84233932D}"/>
    <cellStyle name="Normal 2 5" xfId="30" xr:uid="{D29D2916-D641-4853-A275-3F08E70F8C7A}"/>
    <cellStyle name="Normal 3" xfId="10" xr:uid="{00000000-0005-0000-0000-00000A000000}"/>
    <cellStyle name="Normal 3 2" xfId="23" xr:uid="{44D070A0-948A-45DA-8AFF-8A98BB90EB1D}"/>
    <cellStyle name="Normal 3 2 2" xfId="32" xr:uid="{4957CE97-0C4F-446D-8F13-BA568858B15F}"/>
    <cellStyle name="Normal 3 2 2 2" xfId="57" xr:uid="{2E853BA5-A6AB-4EF9-973C-19000D44968E}"/>
    <cellStyle name="Normal 3 3" xfId="41" xr:uid="{1D4DED44-E767-4414-A710-53A5E77B0231}"/>
    <cellStyle name="Normal 3 3 2" xfId="60" xr:uid="{105881E3-0498-4F49-93D5-84249EBD8B7E}"/>
    <cellStyle name="Normal 3 4" xfId="51" xr:uid="{775CBDBA-2355-47F1-8EDC-996CD2E9D14C}"/>
    <cellStyle name="Normal 3 5" xfId="55" xr:uid="{B67EF198-0A73-4423-9F40-46956DF79B03}"/>
    <cellStyle name="Normal 4" xfId="15" xr:uid="{00000000-0005-0000-0000-00000B000000}"/>
    <cellStyle name="Normal 4 2" xfId="11" xr:uid="{00000000-0005-0000-0000-00000C000000}"/>
    <cellStyle name="Normal 4 2 2" xfId="16" xr:uid="{00000000-0005-0000-0000-00000D000000}"/>
    <cellStyle name="Normal 4 2 3" xfId="40" xr:uid="{3CC09F86-6AF3-42B7-B59F-47E11B119A56}"/>
    <cellStyle name="Normal 4 3" xfId="31" xr:uid="{6720CF7E-3D28-49D4-A4F3-23A341275CC3}"/>
    <cellStyle name="Normal 4 3 2" xfId="48" xr:uid="{FF8D28D6-8DB2-418B-A317-8CA9F33A63C6}"/>
    <cellStyle name="Normal 4 4" xfId="53" xr:uid="{506DB73D-6B6B-40EF-85B4-52381B4717DA}"/>
    <cellStyle name="Normal 5" xfId="12" xr:uid="{00000000-0005-0000-0000-00000E000000}"/>
    <cellStyle name="Normal 5 2" xfId="4" xr:uid="{00000000-0005-0000-0000-00000F000000}"/>
    <cellStyle name="Normal 5 2 2" xfId="56" xr:uid="{349C0B77-1FB1-4403-84A0-A4B2133A156A}"/>
    <cellStyle name="Normal 5 3" xfId="29" xr:uid="{F16A05F5-F806-4902-9DAF-1592A0EB3B8F}"/>
    <cellStyle name="Normal 5 4" xfId="42" xr:uid="{A6EA1B92-714A-484D-87C5-6D1A3BC3F4D7}"/>
    <cellStyle name="Normal 6" xfId="17" xr:uid="{00000000-0005-0000-0000-000010000000}"/>
    <cellStyle name="Normal 6 2" xfId="33" xr:uid="{28DCBC0B-46D7-4D92-ADC4-A6E5B7FB0383}"/>
    <cellStyle name="Normal 6 2 2" xfId="58" xr:uid="{35024BBE-69E3-4A93-86D9-3A08FFADFD0D}"/>
    <cellStyle name="Normal 6 3" xfId="44" xr:uid="{A1A5671A-5779-4172-B339-E25C279C443B}"/>
    <cellStyle name="Normal 7" xfId="18" xr:uid="{00000000-0005-0000-0000-000011000000}"/>
    <cellStyle name="Normal 7 2" xfId="34" xr:uid="{F94E59D5-A861-4070-A967-F13E24BDD6F0}"/>
    <cellStyle name="Normal 7 2 2" xfId="49" xr:uid="{3C7963B8-B6CF-4FCF-93B3-DD71D3A617EC}"/>
    <cellStyle name="Normal 7 3" xfId="59" xr:uid="{31B347B4-04A7-4773-99FE-B93DBCB9EF51}"/>
    <cellStyle name="Normal 7 4" xfId="37" xr:uid="{82FD4FAA-650B-46FE-85A5-0119781775C0}"/>
    <cellStyle name="Normal 8" xfId="19" xr:uid="{00000000-0005-0000-0000-000012000000}"/>
    <cellStyle name="Normal 8 2" xfId="52" xr:uid="{2C19882A-370B-4CF1-8D87-E650A5A0EE91}"/>
    <cellStyle name="Normal 9" xfId="5" xr:uid="{00000000-0005-0000-0000-000013000000}"/>
    <cellStyle name="Percent 2" xfId="13" xr:uid="{00000000-0005-0000-0000-00001B000000}"/>
    <cellStyle name="Percent 2 2" xfId="3" xr:uid="{00000000-0005-0000-0000-00001C000000}"/>
  </cellStyles>
  <dxfs count="0"/>
  <tableStyles count="0" defaultTableStyle="TableStyleMedium2" defaultPivotStyle="PivotStyleLight16"/>
  <colors>
    <mruColors>
      <color rgb="FFF3F6FB"/>
      <color rgb="FFFCFDFE"/>
      <color rgb="FFFF3B3B"/>
      <color rgb="FFFFB7B7"/>
      <color rgb="FFFF8585"/>
      <color rgb="FFFFDDDD"/>
      <color rgb="FFFFFBFB"/>
      <color rgb="FFFFD5D5"/>
      <color rgb="FFFFCCCC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90B16-1296-4F81-B2CE-21F8B3C456D2}">
  <sheetPr>
    <tabColor rgb="FF92D050"/>
  </sheetPr>
  <dimension ref="A1:X325"/>
  <sheetViews>
    <sheetView tabSelected="1" zoomScaleNormal="100" zoomScaleSheetLayoutView="100" workbookViewId="0">
      <pane xSplit="2" topLeftCell="C1" activePane="topRight" state="frozen"/>
      <selection activeCell="A81" sqref="A81"/>
      <selection pane="topRight" activeCell="K11" sqref="K11"/>
    </sheetView>
  </sheetViews>
  <sheetFormatPr defaultColWidth="9.140625" defaultRowHeight="12.75"/>
  <cols>
    <col min="1" max="1" width="5.7109375" style="43" customWidth="1"/>
    <col min="2" max="2" width="51.140625" style="7" customWidth="1"/>
    <col min="3" max="3" width="24" style="3" customWidth="1"/>
    <col min="4" max="5" width="9.28515625" style="8" customWidth="1"/>
    <col min="6" max="6" width="15" style="8" customWidth="1"/>
    <col min="7" max="7" width="8" style="8" hidden="1" customWidth="1"/>
    <col min="8" max="18" width="8" style="8" customWidth="1"/>
    <col min="19" max="19" width="12" style="3" customWidth="1"/>
    <col min="20" max="16384" width="9.140625" style="3"/>
  </cols>
  <sheetData>
    <row r="1" spans="1:21" ht="21" customHeight="1">
      <c r="B1" s="87" t="s">
        <v>404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</row>
    <row r="2" spans="1:21" ht="15.75" customHeight="1">
      <c r="B2" s="93" t="s">
        <v>403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</row>
    <row r="3" spans="1:21" ht="4.5" customHeight="1"/>
    <row r="4" spans="1:21" ht="22.5" customHeight="1">
      <c r="A4" s="81"/>
      <c r="B4" s="88" t="s">
        <v>9</v>
      </c>
      <c r="C4" s="90" t="s">
        <v>329</v>
      </c>
      <c r="D4" s="80" t="s">
        <v>29</v>
      </c>
      <c r="E4" s="79" t="s">
        <v>30</v>
      </c>
      <c r="F4" s="79" t="s">
        <v>31</v>
      </c>
      <c r="G4" s="92" t="s">
        <v>32</v>
      </c>
      <c r="H4" s="92"/>
      <c r="I4" s="92"/>
      <c r="J4" s="92"/>
      <c r="K4" s="92"/>
      <c r="L4" s="92"/>
      <c r="M4" s="92"/>
      <c r="N4" s="92"/>
      <c r="O4" s="92"/>
      <c r="P4" s="92"/>
      <c r="Q4" s="92"/>
      <c r="R4" s="83"/>
      <c r="S4" s="9" t="s">
        <v>10</v>
      </c>
    </row>
    <row r="5" spans="1:21" ht="13.5" customHeight="1">
      <c r="A5" s="78"/>
      <c r="B5" s="89"/>
      <c r="C5" s="91"/>
      <c r="D5" s="77" t="s">
        <v>33</v>
      </c>
      <c r="E5" s="77" t="s">
        <v>34</v>
      </c>
      <c r="F5" s="77" t="s">
        <v>35</v>
      </c>
      <c r="G5" s="10">
        <v>2011</v>
      </c>
      <c r="H5" s="10">
        <v>2012</v>
      </c>
      <c r="I5" s="10">
        <v>2013</v>
      </c>
      <c r="J5" s="10">
        <v>2014</v>
      </c>
      <c r="K5" s="10">
        <v>2015</v>
      </c>
      <c r="L5" s="10">
        <v>2016</v>
      </c>
      <c r="M5" s="10">
        <v>2017</v>
      </c>
      <c r="N5" s="10">
        <v>2018</v>
      </c>
      <c r="O5" s="10">
        <v>2019</v>
      </c>
      <c r="P5" s="10">
        <v>2020</v>
      </c>
      <c r="Q5" s="10">
        <v>2021</v>
      </c>
      <c r="R5" s="10">
        <v>2022</v>
      </c>
      <c r="S5" s="11" t="s">
        <v>426</v>
      </c>
    </row>
    <row r="6" spans="1:21" ht="20.25" customHeight="1">
      <c r="B6" s="65" t="s">
        <v>36</v>
      </c>
      <c r="C6" s="64"/>
      <c r="D6" s="12" t="s">
        <v>7</v>
      </c>
      <c r="E6" s="12" t="s">
        <v>7</v>
      </c>
      <c r="F6" s="12" t="s">
        <v>7</v>
      </c>
      <c r="G6" s="50">
        <f>G25+G42+G59+G71+G131+G145+G164+G169+G173+G175+G7+G201+G16+G190+G187+G197</f>
        <v>21816</v>
      </c>
      <c r="H6" s="50">
        <f>H25+H42+H59+H71+H131+H145+H164+H169+H173+H175+H7+H201+H16+H190+H187+H197+H13</f>
        <v>22585</v>
      </c>
      <c r="I6" s="50">
        <f>I7+I13+I16+I25+I42+I59+I71+I131+I145+I164+I169+I173+I175+I187+I190+I197+I201+I185</f>
        <v>23487</v>
      </c>
      <c r="J6" s="50">
        <f>J7+J13+J16+J25+J42+J59+J71+J131+J145+J164+J169+J173+J175+J187+J190+J197+J201+J185</f>
        <v>24031</v>
      </c>
      <c r="K6" s="50">
        <f>K7+K13+K16+K25+K42+K59+K71+K131+K145+K164+K169+K173+K175+K187+K190+K197+K201+K185</f>
        <v>24877</v>
      </c>
      <c r="L6" s="50">
        <f>L7+L13+L16+L25+L42+L59+L71+L131+L145+L164+L169+L173+L175+L187+L190+L197+L201+L185</f>
        <v>26933</v>
      </c>
      <c r="M6" s="50">
        <f>M7+M13+M16+M25+M42+M59+M71+M131+M145+M164+M169+M173+M175+M187+M190+M197+M201+M185</f>
        <v>29977</v>
      </c>
      <c r="N6" s="50">
        <f>N7+N13+N16+N25+N42+N59+N71+N131+N145+N164+N169+N173+N175+N187+N190+N197+N201+N185+N11</f>
        <v>31477</v>
      </c>
      <c r="O6" s="50">
        <f>O7+O13+O16+O25+O42+O59+O71+O131+O145+O164+O169+O173+O175+O187+O190+O197+O201+O185+O11</f>
        <v>37016</v>
      </c>
      <c r="P6" s="50">
        <f>P7+P13+P16+P25+P42+P59+P71+P131+P145+P164+P169+P173+P175+P187+P190+P197+P201+P185+P11</f>
        <v>37134</v>
      </c>
      <c r="Q6" s="50">
        <f>Q7+Q13+Q16+Q25+Q42+Q59+Q71+Q131+Q145+Q164+Q169+Q173+Q175+Q187+Q190+Q197+Q201+Q185+Q11</f>
        <v>39604</v>
      </c>
      <c r="R6" s="50">
        <f>R7+R13+R16+R25+R42+R59+R71+R131+R145+R164+R169+R173+R175+R187+R190+R197+R201+R185+R11</f>
        <v>41945</v>
      </c>
      <c r="S6" s="94">
        <f t="shared" ref="S6" si="0">Q6/Q$6*100</f>
        <v>100</v>
      </c>
      <c r="U6" s="40"/>
    </row>
    <row r="7" spans="1:21" ht="20.25" customHeight="1">
      <c r="B7" s="65" t="s">
        <v>11</v>
      </c>
      <c r="C7" s="64"/>
      <c r="D7" s="12" t="s">
        <v>7</v>
      </c>
      <c r="E7" s="12" t="s">
        <v>7</v>
      </c>
      <c r="F7" s="12" t="s">
        <v>7</v>
      </c>
      <c r="G7" s="50">
        <f t="shared" ref="G7:Q7" si="1">SUM(G8:G10)</f>
        <v>456</v>
      </c>
      <c r="H7" s="50">
        <f t="shared" si="1"/>
        <v>456</v>
      </c>
      <c r="I7" s="50">
        <f t="shared" si="1"/>
        <v>456</v>
      </c>
      <c r="J7" s="50">
        <f t="shared" si="1"/>
        <v>464</v>
      </c>
      <c r="K7" s="50">
        <f t="shared" si="1"/>
        <v>464</v>
      </c>
      <c r="L7" s="50">
        <f t="shared" si="1"/>
        <v>464</v>
      </c>
      <c r="M7" s="50">
        <f t="shared" si="1"/>
        <v>594</v>
      </c>
      <c r="N7" s="50">
        <f t="shared" si="1"/>
        <v>594</v>
      </c>
      <c r="O7" s="50">
        <f t="shared" si="1"/>
        <v>594</v>
      </c>
      <c r="P7" s="50">
        <f t="shared" si="1"/>
        <v>394</v>
      </c>
      <c r="Q7" s="50">
        <f t="shared" si="1"/>
        <v>394</v>
      </c>
      <c r="R7" s="50">
        <f t="shared" ref="R7" si="2">SUM(R8:R10)</f>
        <v>446</v>
      </c>
      <c r="S7" s="94">
        <f>R7/R$6*100</f>
        <v>1.063297174871856</v>
      </c>
    </row>
    <row r="8" spans="1:21" s="13" customFormat="1" ht="20.25" customHeight="1">
      <c r="A8" s="63">
        <v>1</v>
      </c>
      <c r="B8" s="62" t="s">
        <v>125</v>
      </c>
      <c r="C8" s="6" t="s">
        <v>325</v>
      </c>
      <c r="D8" s="61">
        <v>2007</v>
      </c>
      <c r="E8" s="1">
        <v>66</v>
      </c>
      <c r="F8" s="1">
        <v>300</v>
      </c>
      <c r="G8" s="1">
        <v>200</v>
      </c>
      <c r="H8" s="1">
        <v>200</v>
      </c>
      <c r="I8" s="1">
        <v>200</v>
      </c>
      <c r="J8" s="1">
        <v>200</v>
      </c>
      <c r="K8" s="1">
        <v>200</v>
      </c>
      <c r="L8" s="1">
        <v>200</v>
      </c>
      <c r="M8" s="1">
        <v>200</v>
      </c>
      <c r="N8" s="1">
        <v>200</v>
      </c>
      <c r="O8" s="1">
        <v>200</v>
      </c>
      <c r="P8" s="1">
        <v>0</v>
      </c>
      <c r="Q8" s="1">
        <v>0</v>
      </c>
      <c r="R8" s="1">
        <v>0</v>
      </c>
      <c r="S8" s="95">
        <f>R8/R$6*100</f>
        <v>0</v>
      </c>
    </row>
    <row r="9" spans="1:21" s="13" customFormat="1" ht="20.25" customHeight="1">
      <c r="A9" s="63">
        <v>2</v>
      </c>
      <c r="B9" s="62" t="s">
        <v>37</v>
      </c>
      <c r="C9" s="6" t="s">
        <v>324</v>
      </c>
      <c r="D9" s="61">
        <v>2005</v>
      </c>
      <c r="E9" s="1">
        <v>50</v>
      </c>
      <c r="F9" s="1">
        <v>250</v>
      </c>
      <c r="G9" s="1">
        <v>90</v>
      </c>
      <c r="H9" s="1">
        <v>90</v>
      </c>
      <c r="I9" s="1">
        <v>90</v>
      </c>
      <c r="J9" s="1">
        <v>90</v>
      </c>
      <c r="K9" s="1">
        <v>90</v>
      </c>
      <c r="L9" s="1">
        <v>90</v>
      </c>
      <c r="M9" s="1">
        <v>220</v>
      </c>
      <c r="N9" s="1">
        <v>220</v>
      </c>
      <c r="O9" s="1">
        <v>220</v>
      </c>
      <c r="P9" s="1">
        <v>220</v>
      </c>
      <c r="Q9" s="1">
        <v>220</v>
      </c>
      <c r="R9" s="1">
        <v>272</v>
      </c>
      <c r="S9" s="95">
        <f t="shared" ref="S9:S72" si="3">R9/R$6*100</f>
        <v>0.64846823220884486</v>
      </c>
    </row>
    <row r="10" spans="1:21" s="13" customFormat="1" ht="20.25" customHeight="1">
      <c r="A10" s="14">
        <v>3</v>
      </c>
      <c r="B10" s="25" t="s">
        <v>126</v>
      </c>
      <c r="C10" s="35" t="s">
        <v>323</v>
      </c>
      <c r="D10" s="69">
        <v>2007</v>
      </c>
      <c r="E10" s="15">
        <v>100</v>
      </c>
      <c r="F10" s="15">
        <v>337</v>
      </c>
      <c r="G10" s="15">
        <v>166</v>
      </c>
      <c r="H10" s="15">
        <v>166</v>
      </c>
      <c r="I10" s="16">
        <v>166</v>
      </c>
      <c r="J10" s="16">
        <v>174</v>
      </c>
      <c r="K10" s="16">
        <v>174</v>
      </c>
      <c r="L10" s="16">
        <v>174</v>
      </c>
      <c r="M10" s="16">
        <v>174</v>
      </c>
      <c r="N10" s="16">
        <v>174</v>
      </c>
      <c r="O10" s="16">
        <v>174</v>
      </c>
      <c r="P10" s="16">
        <v>174</v>
      </c>
      <c r="Q10" s="16">
        <v>174</v>
      </c>
      <c r="R10" s="16">
        <v>174</v>
      </c>
      <c r="S10" s="96">
        <f t="shared" si="3"/>
        <v>0.41482894266301107</v>
      </c>
    </row>
    <row r="11" spans="1:21" s="13" customFormat="1" ht="20.25" customHeight="1">
      <c r="A11" s="63"/>
      <c r="B11" s="65" t="s">
        <v>38</v>
      </c>
      <c r="C11" s="64"/>
      <c r="D11" s="12" t="s">
        <v>7</v>
      </c>
      <c r="E11" s="12" t="s">
        <v>7</v>
      </c>
      <c r="F11" s="12" t="s">
        <v>7</v>
      </c>
      <c r="G11" s="12" t="s">
        <v>7</v>
      </c>
      <c r="H11" s="12" t="s">
        <v>7</v>
      </c>
      <c r="I11" s="12" t="s">
        <v>7</v>
      </c>
      <c r="J11" s="12" t="s">
        <v>7</v>
      </c>
      <c r="K11" s="12" t="s">
        <v>7</v>
      </c>
      <c r="L11" s="12" t="s">
        <v>7</v>
      </c>
      <c r="M11" s="12" t="s">
        <v>7</v>
      </c>
      <c r="N11" s="12">
        <f>SUM(N12)</f>
        <v>118</v>
      </c>
      <c r="O11" s="12">
        <f>SUM(O12)</f>
        <v>118</v>
      </c>
      <c r="P11" s="12">
        <f>SUM(P12)</f>
        <v>118</v>
      </c>
      <c r="Q11" s="12">
        <f>SUM(Q12)</f>
        <v>118</v>
      </c>
      <c r="R11" s="12">
        <f>SUM(R12)</f>
        <v>118</v>
      </c>
      <c r="S11" s="97">
        <f t="shared" si="3"/>
        <v>0.28132077720824888</v>
      </c>
    </row>
    <row r="12" spans="1:21" s="13" customFormat="1" ht="20.25" customHeight="1">
      <c r="A12" s="63">
        <v>4</v>
      </c>
      <c r="B12" s="62" t="s">
        <v>127</v>
      </c>
      <c r="C12" s="6" t="s">
        <v>326</v>
      </c>
      <c r="D12" s="61" t="s">
        <v>5</v>
      </c>
      <c r="E12" s="1">
        <v>118</v>
      </c>
      <c r="F12" s="1">
        <v>291</v>
      </c>
      <c r="G12" s="50" t="s">
        <v>7</v>
      </c>
      <c r="H12" s="50" t="s">
        <v>7</v>
      </c>
      <c r="I12" s="50" t="s">
        <v>7</v>
      </c>
      <c r="J12" s="50" t="s">
        <v>7</v>
      </c>
      <c r="K12" s="50" t="s">
        <v>7</v>
      </c>
      <c r="L12" s="50" t="s">
        <v>7</v>
      </c>
      <c r="M12" s="50" t="s">
        <v>7</v>
      </c>
      <c r="N12" s="1">
        <v>118</v>
      </c>
      <c r="O12" s="1">
        <v>118</v>
      </c>
      <c r="P12" s="1">
        <v>118</v>
      </c>
      <c r="Q12" s="1">
        <v>118</v>
      </c>
      <c r="R12" s="1">
        <v>118</v>
      </c>
      <c r="S12" s="95">
        <f t="shared" si="3"/>
        <v>0.28132077720824888</v>
      </c>
    </row>
    <row r="13" spans="1:21" s="27" customFormat="1" ht="20.25" customHeight="1">
      <c r="A13" s="84"/>
      <c r="B13" s="65" t="s">
        <v>12</v>
      </c>
      <c r="C13" s="64"/>
      <c r="D13" s="12" t="s">
        <v>7</v>
      </c>
      <c r="E13" s="12" t="s">
        <v>7</v>
      </c>
      <c r="F13" s="12"/>
      <c r="G13" s="50">
        <f t="shared" ref="G13:L13" si="4">SUM(G15)</f>
        <v>0</v>
      </c>
      <c r="H13" s="50">
        <f t="shared" si="4"/>
        <v>97</v>
      </c>
      <c r="I13" s="50">
        <f t="shared" si="4"/>
        <v>159</v>
      </c>
      <c r="J13" s="50">
        <f t="shared" si="4"/>
        <v>159</v>
      </c>
      <c r="K13" s="50">
        <f t="shared" si="4"/>
        <v>159</v>
      </c>
      <c r="L13" s="50">
        <f t="shared" si="4"/>
        <v>159</v>
      </c>
      <c r="M13" s="50">
        <f t="shared" ref="M13:R13" si="5">SUM(M14:M15)</f>
        <v>227</v>
      </c>
      <c r="N13" s="50">
        <f t="shared" si="5"/>
        <v>227</v>
      </c>
      <c r="O13" s="50">
        <f t="shared" si="5"/>
        <v>457</v>
      </c>
      <c r="P13" s="50">
        <f t="shared" si="5"/>
        <v>457</v>
      </c>
      <c r="Q13" s="50">
        <f t="shared" si="5"/>
        <v>457</v>
      </c>
      <c r="R13" s="50">
        <f t="shared" si="5"/>
        <v>444</v>
      </c>
      <c r="S13" s="94">
        <f t="shared" si="3"/>
        <v>1.0585290261056144</v>
      </c>
    </row>
    <row r="14" spans="1:21" s="13" customFormat="1" ht="20.25" customHeight="1">
      <c r="A14" s="63">
        <v>5</v>
      </c>
      <c r="B14" s="62" t="s">
        <v>128</v>
      </c>
      <c r="C14" s="6" t="s">
        <v>327</v>
      </c>
      <c r="D14" s="70">
        <v>2017</v>
      </c>
      <c r="E14" s="1">
        <v>68</v>
      </c>
      <c r="F14" s="1">
        <v>240</v>
      </c>
      <c r="G14" s="50" t="s">
        <v>7</v>
      </c>
      <c r="H14" s="50" t="s">
        <v>7</v>
      </c>
      <c r="I14" s="50" t="s">
        <v>7</v>
      </c>
      <c r="J14" s="1" t="s">
        <v>7</v>
      </c>
      <c r="K14" s="1" t="s">
        <v>7</v>
      </c>
      <c r="L14" s="50" t="s">
        <v>7</v>
      </c>
      <c r="M14" s="5">
        <v>68</v>
      </c>
      <c r="N14" s="5">
        <v>68</v>
      </c>
      <c r="O14" s="5">
        <v>298</v>
      </c>
      <c r="P14" s="5">
        <v>298</v>
      </c>
      <c r="Q14" s="5">
        <v>298</v>
      </c>
      <c r="R14" s="5">
        <v>298</v>
      </c>
      <c r="S14" s="98">
        <f>R14/R$6*100</f>
        <v>0.71045416616998447</v>
      </c>
    </row>
    <row r="15" spans="1:21" s="13" customFormat="1" ht="20.25" customHeight="1">
      <c r="A15" s="14">
        <v>6</v>
      </c>
      <c r="B15" s="25" t="s">
        <v>118</v>
      </c>
      <c r="C15" s="35" t="s">
        <v>328</v>
      </c>
      <c r="D15" s="71">
        <v>2012</v>
      </c>
      <c r="E15" s="17">
        <v>97</v>
      </c>
      <c r="F15" s="15">
        <v>214</v>
      </c>
      <c r="G15" s="17" t="s">
        <v>7</v>
      </c>
      <c r="H15" s="22">
        <v>97</v>
      </c>
      <c r="I15" s="16">
        <v>159</v>
      </c>
      <c r="J15" s="16">
        <v>159</v>
      </c>
      <c r="K15" s="16">
        <v>159</v>
      </c>
      <c r="L15" s="16">
        <v>159</v>
      </c>
      <c r="M15" s="16">
        <v>159</v>
      </c>
      <c r="N15" s="16">
        <v>159</v>
      </c>
      <c r="O15" s="16">
        <v>159</v>
      </c>
      <c r="P15" s="16">
        <v>159</v>
      </c>
      <c r="Q15" s="16">
        <v>159</v>
      </c>
      <c r="R15" s="16">
        <v>146</v>
      </c>
      <c r="S15" s="96">
        <f t="shared" si="3"/>
        <v>0.34807485993562998</v>
      </c>
    </row>
    <row r="16" spans="1:21" ht="20.25" customHeight="1">
      <c r="A16" s="63"/>
      <c r="B16" s="65" t="s">
        <v>13</v>
      </c>
      <c r="C16" s="64"/>
      <c r="D16" s="12" t="s">
        <v>7</v>
      </c>
      <c r="E16" s="12" t="s">
        <v>7</v>
      </c>
      <c r="F16" s="12" t="s">
        <v>7</v>
      </c>
      <c r="G16" s="50">
        <f t="shared" ref="G16:H16" si="6">SUM(G19:G24)</f>
        <v>542</v>
      </c>
      <c r="H16" s="50">
        <f t="shared" si="6"/>
        <v>542</v>
      </c>
      <c r="I16" s="50">
        <f t="shared" ref="I16:Q16" si="7">SUM(I17:I24)</f>
        <v>796</v>
      </c>
      <c r="J16" s="50">
        <f t="shared" si="7"/>
        <v>796</v>
      </c>
      <c r="K16" s="50">
        <f t="shared" si="7"/>
        <v>796</v>
      </c>
      <c r="L16" s="50">
        <f t="shared" si="7"/>
        <v>832</v>
      </c>
      <c r="M16" s="50">
        <f t="shared" si="7"/>
        <v>1176</v>
      </c>
      <c r="N16" s="50">
        <f t="shared" si="7"/>
        <v>1388</v>
      </c>
      <c r="O16" s="50">
        <f t="shared" si="7"/>
        <v>1398</v>
      </c>
      <c r="P16" s="50">
        <f t="shared" si="7"/>
        <v>1436</v>
      </c>
      <c r="Q16" s="50">
        <f t="shared" si="7"/>
        <v>2134</v>
      </c>
      <c r="R16" s="50">
        <f t="shared" ref="R16" si="8">SUM(R17:R24)</f>
        <v>2542</v>
      </c>
      <c r="S16" s="94">
        <f t="shared" si="3"/>
        <v>6.060317081892955</v>
      </c>
    </row>
    <row r="17" spans="1:19" ht="20.25" customHeight="1">
      <c r="A17" s="63">
        <v>7</v>
      </c>
      <c r="B17" s="62" t="s">
        <v>129</v>
      </c>
      <c r="C17" s="6" t="s">
        <v>330</v>
      </c>
      <c r="D17" s="73">
        <v>2013</v>
      </c>
      <c r="E17" s="73">
        <v>120</v>
      </c>
      <c r="F17" s="73">
        <v>169</v>
      </c>
      <c r="G17" s="73" t="s">
        <v>7</v>
      </c>
      <c r="H17" s="73" t="s">
        <v>7</v>
      </c>
      <c r="I17" s="1">
        <v>120</v>
      </c>
      <c r="J17" s="1">
        <v>120</v>
      </c>
      <c r="K17" s="1">
        <v>120</v>
      </c>
      <c r="L17" s="1">
        <v>120</v>
      </c>
      <c r="M17" s="1">
        <v>120</v>
      </c>
      <c r="N17" s="1">
        <v>120</v>
      </c>
      <c r="O17" s="1">
        <v>120</v>
      </c>
      <c r="P17" s="1">
        <v>120</v>
      </c>
      <c r="Q17" s="1">
        <v>120</v>
      </c>
      <c r="R17" s="1">
        <v>120</v>
      </c>
      <c r="S17" s="95">
        <f t="shared" si="3"/>
        <v>0.28608892597449043</v>
      </c>
    </row>
    <row r="18" spans="1:19" ht="20.25" customHeight="1">
      <c r="A18" s="63">
        <v>8</v>
      </c>
      <c r="B18" s="62" t="s">
        <v>40</v>
      </c>
      <c r="C18" s="6" t="s">
        <v>331</v>
      </c>
      <c r="D18" s="61" t="s">
        <v>5</v>
      </c>
      <c r="E18" s="73">
        <v>212</v>
      </c>
      <c r="F18" s="1">
        <v>188</v>
      </c>
      <c r="G18" s="73" t="s">
        <v>7</v>
      </c>
      <c r="H18" s="73" t="s">
        <v>7</v>
      </c>
      <c r="I18" s="50" t="s">
        <v>7</v>
      </c>
      <c r="J18" s="50" t="s">
        <v>7</v>
      </c>
      <c r="K18" s="50" t="s">
        <v>7</v>
      </c>
      <c r="L18" s="50" t="s">
        <v>7</v>
      </c>
      <c r="M18" s="50" t="s">
        <v>7</v>
      </c>
      <c r="N18" s="1">
        <v>212</v>
      </c>
      <c r="O18" s="1">
        <v>222</v>
      </c>
      <c r="P18" s="1">
        <v>222</v>
      </c>
      <c r="Q18" s="1">
        <v>222</v>
      </c>
      <c r="R18" s="1">
        <v>222</v>
      </c>
      <c r="S18" s="95">
        <f t="shared" si="3"/>
        <v>0.5292645130528072</v>
      </c>
    </row>
    <row r="19" spans="1:19" ht="20.25" customHeight="1">
      <c r="A19" s="63">
        <v>9</v>
      </c>
      <c r="B19" s="62" t="s">
        <v>130</v>
      </c>
      <c r="C19" s="6" t="s">
        <v>332</v>
      </c>
      <c r="D19" s="70">
        <v>2008</v>
      </c>
      <c r="E19" s="1">
        <v>100</v>
      </c>
      <c r="F19" s="1">
        <v>180</v>
      </c>
      <c r="G19" s="1">
        <v>100</v>
      </c>
      <c r="H19" s="1">
        <v>100</v>
      </c>
      <c r="I19" s="1">
        <v>100</v>
      </c>
      <c r="J19" s="1">
        <v>100</v>
      </c>
      <c r="K19" s="1">
        <v>100</v>
      </c>
      <c r="L19" s="1">
        <v>100</v>
      </c>
      <c r="M19" s="1">
        <v>100</v>
      </c>
      <c r="N19" s="1">
        <v>100</v>
      </c>
      <c r="O19" s="1">
        <v>100</v>
      </c>
      <c r="P19" s="1">
        <v>100</v>
      </c>
      <c r="Q19" s="1">
        <v>100</v>
      </c>
      <c r="R19" s="1">
        <v>100</v>
      </c>
      <c r="S19" s="95">
        <f t="shared" si="3"/>
        <v>0.23840743831207534</v>
      </c>
    </row>
    <row r="20" spans="1:19" ht="20.25" customHeight="1">
      <c r="A20" s="63">
        <v>10</v>
      </c>
      <c r="B20" s="62" t="s">
        <v>405</v>
      </c>
      <c r="C20" s="6" t="s">
        <v>333</v>
      </c>
      <c r="D20" s="70">
        <v>2017</v>
      </c>
      <c r="E20" s="1">
        <v>300</v>
      </c>
      <c r="F20" s="1">
        <v>200</v>
      </c>
      <c r="G20" s="73" t="s">
        <v>7</v>
      </c>
      <c r="H20" s="73" t="s">
        <v>7</v>
      </c>
      <c r="I20" s="73" t="s">
        <v>7</v>
      </c>
      <c r="J20" s="73" t="s">
        <v>7</v>
      </c>
      <c r="K20" s="73" t="s">
        <v>7</v>
      </c>
      <c r="L20" s="73" t="s">
        <v>7</v>
      </c>
      <c r="M20" s="1">
        <v>300</v>
      </c>
      <c r="N20" s="1">
        <v>300</v>
      </c>
      <c r="O20" s="1">
        <v>300</v>
      </c>
      <c r="P20" s="1">
        <v>300</v>
      </c>
      <c r="Q20" s="1">
        <v>300</v>
      </c>
      <c r="R20" s="1">
        <v>300</v>
      </c>
      <c r="S20" s="95">
        <f t="shared" si="3"/>
        <v>0.71522231493622601</v>
      </c>
    </row>
    <row r="21" spans="1:19" ht="20.25" customHeight="1">
      <c r="A21" s="63">
        <v>11</v>
      </c>
      <c r="B21" s="62" t="s">
        <v>385</v>
      </c>
      <c r="C21" s="6" t="s">
        <v>114</v>
      </c>
      <c r="D21" s="70">
        <v>2021</v>
      </c>
      <c r="E21" s="1">
        <v>698</v>
      </c>
      <c r="F21" s="1">
        <v>173</v>
      </c>
      <c r="G21" s="73" t="s">
        <v>7</v>
      </c>
      <c r="H21" s="73" t="s">
        <v>7</v>
      </c>
      <c r="I21" s="73" t="s">
        <v>7</v>
      </c>
      <c r="J21" s="73" t="s">
        <v>7</v>
      </c>
      <c r="K21" s="73" t="s">
        <v>7</v>
      </c>
      <c r="L21" s="73" t="s">
        <v>7</v>
      </c>
      <c r="M21" s="1" t="s">
        <v>7</v>
      </c>
      <c r="N21" s="1" t="s">
        <v>7</v>
      </c>
      <c r="O21" s="1" t="s">
        <v>7</v>
      </c>
      <c r="P21" s="1" t="s">
        <v>7</v>
      </c>
      <c r="Q21" s="1">
        <v>698</v>
      </c>
      <c r="R21" s="1">
        <v>1060</v>
      </c>
      <c r="S21" s="95">
        <f t="shared" si="3"/>
        <v>2.5271188461079985</v>
      </c>
    </row>
    <row r="22" spans="1:19" ht="20.25" customHeight="1">
      <c r="A22" s="63">
        <v>12</v>
      </c>
      <c r="B22" s="62" t="s">
        <v>131</v>
      </c>
      <c r="C22" s="6" t="s">
        <v>334</v>
      </c>
      <c r="D22" s="70">
        <v>2016</v>
      </c>
      <c r="E22" s="1">
        <v>36</v>
      </c>
      <c r="F22" s="1">
        <v>170</v>
      </c>
      <c r="G22" s="1" t="s">
        <v>7</v>
      </c>
      <c r="H22" s="1" t="s">
        <v>7</v>
      </c>
      <c r="I22" s="1" t="s">
        <v>7</v>
      </c>
      <c r="J22" s="1" t="s">
        <v>7</v>
      </c>
      <c r="K22" s="1" t="s">
        <v>7</v>
      </c>
      <c r="L22" s="1">
        <v>36</v>
      </c>
      <c r="M22" s="1">
        <v>74</v>
      </c>
      <c r="N22" s="1">
        <v>74</v>
      </c>
      <c r="O22" s="1">
        <v>74</v>
      </c>
      <c r="P22" s="1">
        <v>112</v>
      </c>
      <c r="Q22" s="1">
        <v>112</v>
      </c>
      <c r="R22" s="1">
        <v>158</v>
      </c>
      <c r="S22" s="95">
        <f t="shared" si="3"/>
        <v>0.37668375253307906</v>
      </c>
    </row>
    <row r="23" spans="1:19" ht="20.25" customHeight="1">
      <c r="A23" s="63">
        <v>13</v>
      </c>
      <c r="B23" s="62" t="s">
        <v>132</v>
      </c>
      <c r="C23" s="6" t="s">
        <v>335</v>
      </c>
      <c r="D23" s="70">
        <v>2008</v>
      </c>
      <c r="E23" s="1">
        <v>200</v>
      </c>
      <c r="F23" s="1">
        <v>238</v>
      </c>
      <c r="G23" s="1">
        <v>442</v>
      </c>
      <c r="H23" s="1">
        <v>442</v>
      </c>
      <c r="I23" s="1">
        <v>442</v>
      </c>
      <c r="J23" s="1">
        <v>442</v>
      </c>
      <c r="K23" s="1">
        <v>442</v>
      </c>
      <c r="L23" s="1">
        <v>442</v>
      </c>
      <c r="M23" s="1">
        <v>448</v>
      </c>
      <c r="N23" s="1">
        <v>448</v>
      </c>
      <c r="O23" s="1">
        <v>448</v>
      </c>
      <c r="P23" s="1">
        <v>448</v>
      </c>
      <c r="Q23" s="1">
        <v>448</v>
      </c>
      <c r="R23" s="1">
        <v>448</v>
      </c>
      <c r="S23" s="95">
        <f t="shared" si="3"/>
        <v>1.0680653236380975</v>
      </c>
    </row>
    <row r="24" spans="1:19" s="13" customFormat="1" ht="20.25" customHeight="1">
      <c r="A24" s="63">
        <v>14</v>
      </c>
      <c r="B24" s="62" t="s">
        <v>133</v>
      </c>
      <c r="C24" s="6" t="s">
        <v>336</v>
      </c>
      <c r="D24" s="18">
        <v>2013</v>
      </c>
      <c r="E24" s="18">
        <v>100</v>
      </c>
      <c r="F24" s="18">
        <v>186</v>
      </c>
      <c r="G24" s="73" t="s">
        <v>7</v>
      </c>
      <c r="H24" s="73" t="s">
        <v>7</v>
      </c>
      <c r="I24" s="1">
        <v>134</v>
      </c>
      <c r="J24" s="1">
        <v>134</v>
      </c>
      <c r="K24" s="1">
        <v>134</v>
      </c>
      <c r="L24" s="1">
        <v>134</v>
      </c>
      <c r="M24" s="1">
        <v>134</v>
      </c>
      <c r="N24" s="1">
        <v>134</v>
      </c>
      <c r="O24" s="1">
        <v>134</v>
      </c>
      <c r="P24" s="1">
        <v>134</v>
      </c>
      <c r="Q24" s="1">
        <v>134</v>
      </c>
      <c r="R24" s="1">
        <v>134</v>
      </c>
      <c r="S24" s="95">
        <f t="shared" si="3"/>
        <v>0.31946596733818095</v>
      </c>
    </row>
    <row r="25" spans="1:19" s="13" customFormat="1" ht="20.25" customHeight="1">
      <c r="A25" s="19"/>
      <c r="B25" s="76" t="s">
        <v>14</v>
      </c>
      <c r="C25" s="75"/>
      <c r="D25" s="12" t="s">
        <v>7</v>
      </c>
      <c r="E25" s="12" t="s">
        <v>7</v>
      </c>
      <c r="F25" s="12" t="s">
        <v>7</v>
      </c>
      <c r="G25" s="20">
        <f t="shared" ref="G25:I25" si="9">SUM(G26)</f>
        <v>470</v>
      </c>
      <c r="H25" s="20">
        <f t="shared" si="9"/>
        <v>470</v>
      </c>
      <c r="I25" s="20">
        <f t="shared" si="9"/>
        <v>470</v>
      </c>
      <c r="J25" s="20">
        <f>SUM(J26:J39)</f>
        <v>656</v>
      </c>
      <c r="K25" s="20">
        <f>SUM(K26:K39)</f>
        <v>680</v>
      </c>
      <c r="L25" s="20">
        <f>SUM(L26:L39)</f>
        <v>810</v>
      </c>
      <c r="M25" s="20">
        <f>SUM(M26:M39)</f>
        <v>1616</v>
      </c>
      <c r="N25" s="20">
        <f>SUM(N26:N39)</f>
        <v>1716</v>
      </c>
      <c r="O25" s="20">
        <f>SUM(O26:O41)</f>
        <v>3324</v>
      </c>
      <c r="P25" s="20">
        <f>SUM(P26:P41)</f>
        <v>3288</v>
      </c>
      <c r="Q25" s="20">
        <f>SUM(Q26:Q41)</f>
        <v>3670</v>
      </c>
      <c r="R25" s="20">
        <f>SUM(R26:R41)</f>
        <v>4146</v>
      </c>
      <c r="S25" s="99">
        <f t="shared" si="3"/>
        <v>9.8843723924186424</v>
      </c>
    </row>
    <row r="26" spans="1:19" s="13" customFormat="1" ht="20.25" customHeight="1">
      <c r="A26" s="63">
        <v>15</v>
      </c>
      <c r="B26" s="62" t="s">
        <v>134</v>
      </c>
      <c r="C26" s="6" t="s">
        <v>337</v>
      </c>
      <c r="D26" s="70">
        <v>2000</v>
      </c>
      <c r="E26" s="73">
        <v>430</v>
      </c>
      <c r="F26" s="1">
        <v>130.30000000000001</v>
      </c>
      <c r="G26" s="5">
        <v>470</v>
      </c>
      <c r="H26" s="5">
        <v>470</v>
      </c>
      <c r="I26" s="5">
        <v>470</v>
      </c>
      <c r="J26" s="5">
        <v>470</v>
      </c>
      <c r="K26" s="5">
        <v>470</v>
      </c>
      <c r="L26" s="5">
        <v>470</v>
      </c>
      <c r="M26" s="5">
        <v>470</v>
      </c>
      <c r="N26" s="5">
        <v>470</v>
      </c>
      <c r="O26" s="5">
        <v>470</v>
      </c>
      <c r="P26" s="5">
        <v>470</v>
      </c>
      <c r="Q26" s="5">
        <v>470</v>
      </c>
      <c r="R26" s="5">
        <v>476</v>
      </c>
      <c r="S26" s="98">
        <f t="shared" si="3"/>
        <v>1.1348194063654786</v>
      </c>
    </row>
    <row r="27" spans="1:19" s="13" customFormat="1" ht="20.25" customHeight="1">
      <c r="A27" s="63">
        <v>16</v>
      </c>
      <c r="B27" s="62" t="s">
        <v>406</v>
      </c>
      <c r="C27" s="6" t="s">
        <v>407</v>
      </c>
      <c r="D27" s="70">
        <v>2022</v>
      </c>
      <c r="E27" s="73">
        <v>160</v>
      </c>
      <c r="F27" s="73">
        <v>4.7</v>
      </c>
      <c r="G27" s="73" t="s">
        <v>7</v>
      </c>
      <c r="H27" s="73" t="s">
        <v>7</v>
      </c>
      <c r="I27" s="73" t="s">
        <v>7</v>
      </c>
      <c r="J27" s="73" t="s">
        <v>7</v>
      </c>
      <c r="K27" s="73" t="s">
        <v>7</v>
      </c>
      <c r="L27" s="73" t="s">
        <v>7</v>
      </c>
      <c r="M27" s="73" t="s">
        <v>7</v>
      </c>
      <c r="N27" s="73" t="s">
        <v>7</v>
      </c>
      <c r="O27" s="73" t="s">
        <v>7</v>
      </c>
      <c r="P27" s="73" t="s">
        <v>7</v>
      </c>
      <c r="Q27" s="73" t="s">
        <v>7</v>
      </c>
      <c r="R27" s="5">
        <v>160</v>
      </c>
      <c r="S27" s="98">
        <f t="shared" si="3"/>
        <v>0.38145190129932049</v>
      </c>
    </row>
    <row r="28" spans="1:19" s="13" customFormat="1" ht="20.25" customHeight="1">
      <c r="A28" s="63">
        <v>17</v>
      </c>
      <c r="B28" s="62" t="s">
        <v>370</v>
      </c>
      <c r="C28" s="6" t="s">
        <v>371</v>
      </c>
      <c r="D28" s="70">
        <v>2020</v>
      </c>
      <c r="E28" s="73">
        <v>158</v>
      </c>
      <c r="F28" s="73">
        <v>156</v>
      </c>
      <c r="G28" s="73" t="s">
        <v>7</v>
      </c>
      <c r="H28" s="73" t="s">
        <v>7</v>
      </c>
      <c r="I28" s="73" t="s">
        <v>7</v>
      </c>
      <c r="J28" s="73" t="s">
        <v>7</v>
      </c>
      <c r="K28" s="73" t="s">
        <v>7</v>
      </c>
      <c r="L28" s="73" t="s">
        <v>7</v>
      </c>
      <c r="M28" s="73" t="s">
        <v>7</v>
      </c>
      <c r="N28" s="73" t="s">
        <v>7</v>
      </c>
      <c r="O28" s="73" t="s">
        <v>7</v>
      </c>
      <c r="P28" s="5">
        <v>158</v>
      </c>
      <c r="Q28" s="5">
        <v>158</v>
      </c>
      <c r="R28" s="5">
        <v>290</v>
      </c>
      <c r="S28" s="98">
        <f t="shared" si="3"/>
        <v>0.69138157110501852</v>
      </c>
    </row>
    <row r="29" spans="1:19" s="13" customFormat="1" ht="20.25" customHeight="1">
      <c r="A29" s="63">
        <v>18</v>
      </c>
      <c r="B29" s="62" t="s">
        <v>41</v>
      </c>
      <c r="C29" s="6" t="s">
        <v>339</v>
      </c>
      <c r="D29" s="70">
        <v>2017</v>
      </c>
      <c r="E29" s="73">
        <v>358</v>
      </c>
      <c r="F29" s="1">
        <v>156</v>
      </c>
      <c r="G29" s="5"/>
      <c r="H29" s="5"/>
      <c r="I29" s="1" t="s">
        <v>7</v>
      </c>
      <c r="J29" s="1" t="s">
        <v>7</v>
      </c>
      <c r="K29" s="1" t="s">
        <v>7</v>
      </c>
      <c r="L29" s="50" t="s">
        <v>7</v>
      </c>
      <c r="M29" s="5">
        <v>358</v>
      </c>
      <c r="N29" s="5">
        <v>358</v>
      </c>
      <c r="O29" s="5">
        <v>358</v>
      </c>
      <c r="P29" s="5">
        <v>362</v>
      </c>
      <c r="Q29" s="5">
        <v>362</v>
      </c>
      <c r="R29" s="5">
        <v>362</v>
      </c>
      <c r="S29" s="98">
        <f t="shared" si="3"/>
        <v>0.86303492668971271</v>
      </c>
    </row>
    <row r="30" spans="1:19" s="13" customFormat="1" ht="20.25" customHeight="1">
      <c r="A30" s="63">
        <v>19</v>
      </c>
      <c r="B30" s="62" t="s">
        <v>116</v>
      </c>
      <c r="C30" s="6" t="s">
        <v>340</v>
      </c>
      <c r="D30" s="70">
        <v>2019</v>
      </c>
      <c r="E30" s="73">
        <v>266</v>
      </c>
      <c r="F30" s="1">
        <v>162</v>
      </c>
      <c r="G30" s="1" t="s">
        <v>7</v>
      </c>
      <c r="H30" s="1" t="s">
        <v>7</v>
      </c>
      <c r="I30" s="1" t="s">
        <v>7</v>
      </c>
      <c r="J30" s="1" t="s">
        <v>7</v>
      </c>
      <c r="K30" s="1" t="s">
        <v>7</v>
      </c>
      <c r="L30" s="1" t="s">
        <v>7</v>
      </c>
      <c r="M30" s="1" t="s">
        <v>7</v>
      </c>
      <c r="N30" s="1" t="s">
        <v>7</v>
      </c>
      <c r="O30" s="5">
        <v>266</v>
      </c>
      <c r="P30" s="5">
        <v>266</v>
      </c>
      <c r="Q30" s="5">
        <v>266</v>
      </c>
      <c r="R30" s="5">
        <v>286</v>
      </c>
      <c r="S30" s="98">
        <f t="shared" si="3"/>
        <v>0.68184527357253544</v>
      </c>
    </row>
    <row r="31" spans="1:19" s="13" customFormat="1" ht="20.25" customHeight="1">
      <c r="A31" s="63">
        <v>20</v>
      </c>
      <c r="B31" s="62" t="s">
        <v>408</v>
      </c>
      <c r="C31" s="6" t="s">
        <v>341</v>
      </c>
      <c r="D31" s="70">
        <v>2019</v>
      </c>
      <c r="E31" s="73">
        <v>160</v>
      </c>
      <c r="F31" s="1">
        <v>186</v>
      </c>
      <c r="G31" s="1" t="s">
        <v>7</v>
      </c>
      <c r="H31" s="1" t="s">
        <v>7</v>
      </c>
      <c r="I31" s="1" t="s">
        <v>7</v>
      </c>
      <c r="J31" s="1" t="s">
        <v>7</v>
      </c>
      <c r="K31" s="1" t="s">
        <v>7</v>
      </c>
      <c r="L31" s="1" t="s">
        <v>7</v>
      </c>
      <c r="M31" s="1" t="s">
        <v>7</v>
      </c>
      <c r="N31" s="1" t="s">
        <v>7</v>
      </c>
      <c r="O31" s="5">
        <v>160</v>
      </c>
      <c r="P31" s="5">
        <v>160</v>
      </c>
      <c r="Q31" s="5">
        <v>160</v>
      </c>
      <c r="R31" s="5">
        <v>176</v>
      </c>
      <c r="S31" s="98">
        <f t="shared" si="3"/>
        <v>0.41959709142925256</v>
      </c>
    </row>
    <row r="32" spans="1:19" s="13" customFormat="1" ht="20.25" customHeight="1">
      <c r="A32" s="63">
        <v>21</v>
      </c>
      <c r="B32" s="62" t="s">
        <v>42</v>
      </c>
      <c r="C32" s="6" t="s">
        <v>342</v>
      </c>
      <c r="D32" s="70">
        <v>2016</v>
      </c>
      <c r="E32" s="73">
        <v>130</v>
      </c>
      <c r="F32" s="1">
        <v>155</v>
      </c>
      <c r="G32" s="5" t="s">
        <v>7</v>
      </c>
      <c r="H32" s="5" t="s">
        <v>7</v>
      </c>
      <c r="I32" s="5" t="s">
        <v>7</v>
      </c>
      <c r="J32" s="5" t="s">
        <v>7</v>
      </c>
      <c r="K32" s="5" t="s">
        <v>7</v>
      </c>
      <c r="L32" s="5">
        <v>130</v>
      </c>
      <c r="M32" s="5">
        <v>202</v>
      </c>
      <c r="N32" s="5">
        <v>202</v>
      </c>
      <c r="O32" s="5">
        <v>202</v>
      </c>
      <c r="P32" s="5">
        <v>214</v>
      </c>
      <c r="Q32" s="5">
        <v>340</v>
      </c>
      <c r="R32" s="5">
        <v>340</v>
      </c>
      <c r="S32" s="98">
        <f t="shared" si="3"/>
        <v>0.81058529026105608</v>
      </c>
    </row>
    <row r="33" spans="1:19" s="13" customFormat="1" ht="20.25" customHeight="1">
      <c r="A33" s="63">
        <v>22</v>
      </c>
      <c r="B33" s="62" t="s">
        <v>135</v>
      </c>
      <c r="C33" s="6" t="s">
        <v>343</v>
      </c>
      <c r="D33" s="70">
        <v>2019</v>
      </c>
      <c r="E33" s="73">
        <v>300</v>
      </c>
      <c r="F33" s="1">
        <v>154</v>
      </c>
      <c r="G33" s="1" t="s">
        <v>7</v>
      </c>
      <c r="H33" s="1" t="s">
        <v>7</v>
      </c>
      <c r="I33" s="1" t="s">
        <v>7</v>
      </c>
      <c r="J33" s="1" t="s">
        <v>7</v>
      </c>
      <c r="K33" s="1" t="s">
        <v>7</v>
      </c>
      <c r="L33" s="1" t="s">
        <v>7</v>
      </c>
      <c r="M33" s="1" t="s">
        <v>7</v>
      </c>
      <c r="N33" s="1" t="s">
        <v>7</v>
      </c>
      <c r="O33" s="5">
        <v>300</v>
      </c>
      <c r="P33" s="5">
        <v>300</v>
      </c>
      <c r="Q33" s="5">
        <v>300</v>
      </c>
      <c r="R33" s="5">
        <v>316</v>
      </c>
      <c r="S33" s="98">
        <f t="shared" si="3"/>
        <v>0.75336750506615813</v>
      </c>
    </row>
    <row r="34" spans="1:19" s="13" customFormat="1" ht="20.25" customHeight="1">
      <c r="A34" s="63">
        <v>23</v>
      </c>
      <c r="B34" s="62" t="s">
        <v>117</v>
      </c>
      <c r="C34" s="6" t="s">
        <v>344</v>
      </c>
      <c r="D34" s="70">
        <v>2019</v>
      </c>
      <c r="E34" s="73">
        <v>194</v>
      </c>
      <c r="F34" s="1">
        <v>146.6</v>
      </c>
      <c r="G34" s="1" t="s">
        <v>7</v>
      </c>
      <c r="H34" s="1" t="s">
        <v>7</v>
      </c>
      <c r="I34" s="1" t="s">
        <v>7</v>
      </c>
      <c r="J34" s="1" t="s">
        <v>7</v>
      </c>
      <c r="K34" s="1" t="s">
        <v>7</v>
      </c>
      <c r="L34" s="1" t="s">
        <v>7</v>
      </c>
      <c r="M34" s="1" t="s">
        <v>7</v>
      </c>
      <c r="N34" s="1" t="s">
        <v>7</v>
      </c>
      <c r="O34" s="5">
        <v>194</v>
      </c>
      <c r="P34" s="5">
        <v>194</v>
      </c>
      <c r="Q34" s="5">
        <v>194</v>
      </c>
      <c r="R34" s="5">
        <v>194</v>
      </c>
      <c r="S34" s="98">
        <f t="shared" si="3"/>
        <v>0.46251043032542616</v>
      </c>
    </row>
    <row r="35" spans="1:19" s="13" customFormat="1" ht="20.25" customHeight="1">
      <c r="A35" s="63">
        <v>24</v>
      </c>
      <c r="B35" s="62" t="s">
        <v>386</v>
      </c>
      <c r="C35" s="6" t="s">
        <v>387</v>
      </c>
      <c r="D35" s="70">
        <v>2021</v>
      </c>
      <c r="E35" s="73">
        <v>88</v>
      </c>
      <c r="F35" s="1">
        <v>171</v>
      </c>
      <c r="G35" s="1" t="s">
        <v>7</v>
      </c>
      <c r="H35" s="1" t="s">
        <v>7</v>
      </c>
      <c r="I35" s="1" t="s">
        <v>7</v>
      </c>
      <c r="J35" s="1" t="s">
        <v>7</v>
      </c>
      <c r="K35" s="1" t="s">
        <v>7</v>
      </c>
      <c r="L35" s="1" t="s">
        <v>7</v>
      </c>
      <c r="M35" s="1" t="s">
        <v>7</v>
      </c>
      <c r="N35" s="1" t="s">
        <v>7</v>
      </c>
      <c r="O35" s="1" t="s">
        <v>7</v>
      </c>
      <c r="P35" s="1" t="s">
        <v>7</v>
      </c>
      <c r="Q35" s="5">
        <v>88</v>
      </c>
      <c r="R35" s="5">
        <v>170</v>
      </c>
      <c r="S35" s="98">
        <f t="shared" si="3"/>
        <v>0.40529264513052804</v>
      </c>
    </row>
    <row r="36" spans="1:19" s="13" customFormat="1" ht="20.25" customHeight="1">
      <c r="A36" s="63">
        <v>25</v>
      </c>
      <c r="B36" s="62" t="s">
        <v>43</v>
      </c>
      <c r="C36" s="6" t="s">
        <v>345</v>
      </c>
      <c r="D36" s="61" t="s">
        <v>5</v>
      </c>
      <c r="E36" s="73">
        <v>100</v>
      </c>
      <c r="F36" s="1">
        <v>171</v>
      </c>
      <c r="G36" s="1" t="s">
        <v>7</v>
      </c>
      <c r="H36" s="1" t="s">
        <v>7</v>
      </c>
      <c r="I36" s="1" t="s">
        <v>7</v>
      </c>
      <c r="J36" s="1" t="s">
        <v>7</v>
      </c>
      <c r="K36" s="50" t="s">
        <v>7</v>
      </c>
      <c r="L36" s="50" t="s">
        <v>7</v>
      </c>
      <c r="M36" s="50" t="s">
        <v>7</v>
      </c>
      <c r="N36" s="5">
        <v>100</v>
      </c>
      <c r="O36" s="5">
        <v>160</v>
      </c>
      <c r="P36" s="5">
        <v>160</v>
      </c>
      <c r="Q36" s="5">
        <v>160</v>
      </c>
      <c r="R36" s="5">
        <v>160</v>
      </c>
      <c r="S36" s="98">
        <f t="shared" si="3"/>
        <v>0.38145190129932049</v>
      </c>
    </row>
    <row r="37" spans="1:19" s="13" customFormat="1" ht="20.25" customHeight="1">
      <c r="A37" s="63">
        <v>26</v>
      </c>
      <c r="B37" s="62" t="s">
        <v>136</v>
      </c>
      <c r="C37" s="6" t="s">
        <v>346</v>
      </c>
      <c r="D37" s="70">
        <v>2017</v>
      </c>
      <c r="E37" s="1">
        <v>214</v>
      </c>
      <c r="F37" s="1">
        <v>159</v>
      </c>
      <c r="G37" s="1" t="s">
        <v>7</v>
      </c>
      <c r="H37" s="1" t="s">
        <v>7</v>
      </c>
      <c r="I37" s="1" t="s">
        <v>7</v>
      </c>
      <c r="J37" s="1" t="s">
        <v>7</v>
      </c>
      <c r="K37" s="1" t="s">
        <v>7</v>
      </c>
      <c r="L37" s="50" t="s">
        <v>7</v>
      </c>
      <c r="M37" s="5">
        <v>214</v>
      </c>
      <c r="N37" s="5">
        <v>214</v>
      </c>
      <c r="O37" s="5">
        <v>214</v>
      </c>
      <c r="P37" s="5">
        <v>214</v>
      </c>
      <c r="Q37" s="5">
        <v>214</v>
      </c>
      <c r="R37" s="5">
        <v>214</v>
      </c>
      <c r="S37" s="98">
        <f t="shared" si="3"/>
        <v>0.51019191798784125</v>
      </c>
    </row>
    <row r="38" spans="1:19" s="13" customFormat="1" ht="20.25" customHeight="1">
      <c r="A38" s="63">
        <v>27</v>
      </c>
      <c r="B38" s="62" t="s">
        <v>409</v>
      </c>
      <c r="C38" s="6" t="s">
        <v>115</v>
      </c>
      <c r="D38" s="70">
        <v>2014</v>
      </c>
      <c r="E38" s="1">
        <v>40</v>
      </c>
      <c r="F38" s="1">
        <v>177</v>
      </c>
      <c r="G38" s="1" t="s">
        <v>7</v>
      </c>
      <c r="H38" s="1" t="s">
        <v>7</v>
      </c>
      <c r="I38" s="1" t="s">
        <v>7</v>
      </c>
      <c r="J38" s="1">
        <v>186</v>
      </c>
      <c r="K38" s="1">
        <v>210</v>
      </c>
      <c r="L38" s="1">
        <v>210</v>
      </c>
      <c r="M38" s="1">
        <v>210</v>
      </c>
      <c r="N38" s="1">
        <v>210</v>
      </c>
      <c r="O38" s="1">
        <v>210</v>
      </c>
      <c r="P38" s="1">
        <v>0</v>
      </c>
      <c r="Q38" s="1">
        <v>168</v>
      </c>
      <c r="R38" s="1">
        <v>212</v>
      </c>
      <c r="S38" s="95">
        <f t="shared" si="3"/>
        <v>0.50542376922159971</v>
      </c>
    </row>
    <row r="39" spans="1:19" s="13" customFormat="1" ht="20.25" customHeight="1">
      <c r="A39" s="63">
        <v>28</v>
      </c>
      <c r="B39" s="62" t="s">
        <v>137</v>
      </c>
      <c r="C39" s="6" t="s">
        <v>347</v>
      </c>
      <c r="D39" s="70">
        <v>2017</v>
      </c>
      <c r="E39" s="1">
        <v>162</v>
      </c>
      <c r="F39" s="1">
        <v>159</v>
      </c>
      <c r="G39" s="1" t="s">
        <v>7</v>
      </c>
      <c r="H39" s="1" t="s">
        <v>7</v>
      </c>
      <c r="I39" s="1" t="s">
        <v>7</v>
      </c>
      <c r="J39" s="1" t="s">
        <v>7</v>
      </c>
      <c r="K39" s="1" t="s">
        <v>7</v>
      </c>
      <c r="L39" s="50" t="s">
        <v>7</v>
      </c>
      <c r="M39" s="5">
        <v>162</v>
      </c>
      <c r="N39" s="5">
        <v>162</v>
      </c>
      <c r="O39" s="5">
        <v>328</v>
      </c>
      <c r="P39" s="5">
        <v>328</v>
      </c>
      <c r="Q39" s="5">
        <v>328</v>
      </c>
      <c r="R39" s="5">
        <v>328</v>
      </c>
      <c r="S39" s="98">
        <f t="shared" si="3"/>
        <v>0.78197639766360716</v>
      </c>
    </row>
    <row r="40" spans="1:19" s="13" customFormat="1" ht="20.25" customHeight="1">
      <c r="A40" s="63">
        <v>29</v>
      </c>
      <c r="B40" s="62" t="s">
        <v>410</v>
      </c>
      <c r="C40" s="6" t="s">
        <v>338</v>
      </c>
      <c r="D40" s="61" t="s">
        <v>5</v>
      </c>
      <c r="E40" s="73">
        <v>244</v>
      </c>
      <c r="F40" s="1">
        <v>147</v>
      </c>
      <c r="G40" s="1" t="s">
        <v>7</v>
      </c>
      <c r="H40" s="1" t="s">
        <v>7</v>
      </c>
      <c r="I40" s="1" t="s">
        <v>7</v>
      </c>
      <c r="J40" s="50" t="s">
        <v>7</v>
      </c>
      <c r="K40" s="50" t="s">
        <v>7</v>
      </c>
      <c r="L40" s="50" t="s">
        <v>7</v>
      </c>
      <c r="M40" s="50" t="s">
        <v>7</v>
      </c>
      <c r="N40" s="5">
        <v>244</v>
      </c>
      <c r="O40" s="5">
        <v>244</v>
      </c>
      <c r="P40" s="5">
        <v>244</v>
      </c>
      <c r="Q40" s="5">
        <v>244</v>
      </c>
      <c r="R40" s="5">
        <v>244</v>
      </c>
      <c r="S40" s="98">
        <f t="shared" si="3"/>
        <v>0.58171414948146383</v>
      </c>
    </row>
    <row r="41" spans="1:19" s="13" customFormat="1" ht="20.25" customHeight="1">
      <c r="A41" s="63">
        <v>30</v>
      </c>
      <c r="B41" s="62" t="s">
        <v>138</v>
      </c>
      <c r="C41" s="6" t="s">
        <v>348</v>
      </c>
      <c r="D41" s="18">
        <v>2019</v>
      </c>
      <c r="E41" s="18">
        <v>218</v>
      </c>
      <c r="F41" s="18">
        <v>181</v>
      </c>
      <c r="G41" s="1" t="s">
        <v>7</v>
      </c>
      <c r="H41" s="1" t="s">
        <v>7</v>
      </c>
      <c r="I41" s="1" t="s">
        <v>7</v>
      </c>
      <c r="J41" s="18" t="s">
        <v>7</v>
      </c>
      <c r="K41" s="18" t="s">
        <v>7</v>
      </c>
      <c r="L41" s="18" t="s">
        <v>7</v>
      </c>
      <c r="M41" s="18" t="s">
        <v>7</v>
      </c>
      <c r="N41" s="18" t="s">
        <v>7</v>
      </c>
      <c r="O41" s="32">
        <v>218</v>
      </c>
      <c r="P41" s="32">
        <v>218</v>
      </c>
      <c r="Q41" s="32">
        <v>218</v>
      </c>
      <c r="R41" s="32">
        <v>218</v>
      </c>
      <c r="S41" s="100">
        <f t="shared" si="3"/>
        <v>0.51972821552032422</v>
      </c>
    </row>
    <row r="42" spans="1:19" s="13" customFormat="1" ht="20.25" customHeight="1">
      <c r="A42" s="19"/>
      <c r="B42" s="76" t="s">
        <v>15</v>
      </c>
      <c r="C42" s="75"/>
      <c r="D42" s="12" t="s">
        <v>7</v>
      </c>
      <c r="E42" s="12" t="s">
        <v>7</v>
      </c>
      <c r="F42" s="12" t="s">
        <v>7</v>
      </c>
      <c r="G42" s="20">
        <f t="shared" ref="G42:Q42" si="10">SUM(G43:G58)</f>
        <v>1398</v>
      </c>
      <c r="H42" s="20">
        <f t="shared" si="10"/>
        <v>1660</v>
      </c>
      <c r="I42" s="20">
        <f t="shared" si="10"/>
        <v>1704</v>
      </c>
      <c r="J42" s="20">
        <f t="shared" si="10"/>
        <v>1704</v>
      </c>
      <c r="K42" s="20">
        <f t="shared" si="10"/>
        <v>1700</v>
      </c>
      <c r="L42" s="20">
        <f t="shared" si="10"/>
        <v>2204</v>
      </c>
      <c r="M42" s="20">
        <f t="shared" si="10"/>
        <v>2562</v>
      </c>
      <c r="N42" s="20">
        <f t="shared" si="10"/>
        <v>2882</v>
      </c>
      <c r="O42" s="20">
        <f t="shared" si="10"/>
        <v>2918</v>
      </c>
      <c r="P42" s="20">
        <f t="shared" si="10"/>
        <v>3104</v>
      </c>
      <c r="Q42" s="20">
        <f t="shared" si="10"/>
        <v>3120</v>
      </c>
      <c r="R42" s="20">
        <f t="shared" ref="R42" si="11">SUM(R43:R58)</f>
        <v>3128</v>
      </c>
      <c r="S42" s="99">
        <f t="shared" si="3"/>
        <v>7.4573846704017166</v>
      </c>
    </row>
    <row r="43" spans="1:19" s="13" customFormat="1" ht="20.25" customHeight="1">
      <c r="A43" s="63">
        <v>31</v>
      </c>
      <c r="B43" s="62" t="s">
        <v>139</v>
      </c>
      <c r="C43" s="6" t="s">
        <v>349</v>
      </c>
      <c r="D43" s="70">
        <v>2010</v>
      </c>
      <c r="E43" s="73">
        <v>110</v>
      </c>
      <c r="F43" s="1">
        <v>125</v>
      </c>
      <c r="G43" s="1">
        <v>110</v>
      </c>
      <c r="H43" s="1">
        <v>164</v>
      </c>
      <c r="I43" s="1">
        <v>172</v>
      </c>
      <c r="J43" s="1">
        <v>172</v>
      </c>
      <c r="K43" s="1">
        <v>172</v>
      </c>
      <c r="L43" s="1">
        <v>172</v>
      </c>
      <c r="M43" s="1">
        <v>172</v>
      </c>
      <c r="N43" s="1">
        <v>178</v>
      </c>
      <c r="O43" s="1">
        <v>178</v>
      </c>
      <c r="P43" s="1">
        <v>178</v>
      </c>
      <c r="Q43" s="1">
        <v>178</v>
      </c>
      <c r="R43" s="1">
        <v>178</v>
      </c>
      <c r="S43" s="95">
        <f t="shared" si="3"/>
        <v>0.4243652401954941</v>
      </c>
    </row>
    <row r="44" spans="1:19" s="13" customFormat="1" ht="20.25" customHeight="1">
      <c r="A44" s="63">
        <v>32</v>
      </c>
      <c r="B44" s="62" t="s">
        <v>140</v>
      </c>
      <c r="C44" s="6" t="s">
        <v>350</v>
      </c>
      <c r="D44" s="21">
        <v>1998</v>
      </c>
      <c r="E44" s="73">
        <v>192</v>
      </c>
      <c r="F44" s="1">
        <v>124</v>
      </c>
      <c r="G44" s="5">
        <v>200</v>
      </c>
      <c r="H44" s="5">
        <v>200</v>
      </c>
      <c r="I44" s="5">
        <v>200</v>
      </c>
      <c r="J44" s="5">
        <v>200</v>
      </c>
      <c r="K44" s="5">
        <v>196</v>
      </c>
      <c r="L44" s="5">
        <v>196</v>
      </c>
      <c r="M44" s="5">
        <v>196</v>
      </c>
      <c r="N44" s="5">
        <v>196</v>
      </c>
      <c r="O44" s="5">
        <v>196</v>
      </c>
      <c r="P44" s="5">
        <v>196</v>
      </c>
      <c r="Q44" s="5">
        <v>196</v>
      </c>
      <c r="R44" s="5">
        <v>196</v>
      </c>
      <c r="S44" s="98">
        <f t="shared" si="3"/>
        <v>0.46727857909166765</v>
      </c>
    </row>
    <row r="45" spans="1:19" s="13" customFormat="1" ht="20.25" customHeight="1">
      <c r="A45" s="63">
        <v>33</v>
      </c>
      <c r="B45" s="62" t="s">
        <v>141</v>
      </c>
      <c r="C45" s="6" t="s">
        <v>351</v>
      </c>
      <c r="D45" s="21" t="s">
        <v>3</v>
      </c>
      <c r="E45" s="73">
        <v>80</v>
      </c>
      <c r="F45" s="1">
        <v>121</v>
      </c>
      <c r="G45" s="5" t="s">
        <v>7</v>
      </c>
      <c r="H45" s="5" t="s">
        <v>7</v>
      </c>
      <c r="I45" s="5" t="s">
        <v>7</v>
      </c>
      <c r="J45" s="5" t="s">
        <v>7</v>
      </c>
      <c r="K45" s="5" t="s">
        <v>7</v>
      </c>
      <c r="L45" s="5">
        <v>80</v>
      </c>
      <c r="M45" s="5">
        <v>80</v>
      </c>
      <c r="N45" s="5">
        <v>80</v>
      </c>
      <c r="O45" s="5">
        <v>80</v>
      </c>
      <c r="P45" s="5">
        <v>170</v>
      </c>
      <c r="Q45" s="5">
        <v>170</v>
      </c>
      <c r="R45" s="5">
        <v>170</v>
      </c>
      <c r="S45" s="98">
        <f t="shared" si="3"/>
        <v>0.40529264513052804</v>
      </c>
    </row>
    <row r="46" spans="1:19" s="13" customFormat="1" ht="20.25" customHeight="1">
      <c r="A46" s="63">
        <v>34</v>
      </c>
      <c r="B46" s="62" t="s">
        <v>352</v>
      </c>
      <c r="C46" s="74" t="s">
        <v>142</v>
      </c>
      <c r="D46" s="70">
        <v>2018</v>
      </c>
      <c r="E46" s="1">
        <v>180</v>
      </c>
      <c r="F46" s="1">
        <v>122</v>
      </c>
      <c r="G46" s="5" t="s">
        <v>7</v>
      </c>
      <c r="H46" s="5" t="s">
        <v>7</v>
      </c>
      <c r="I46" s="50" t="s">
        <v>7</v>
      </c>
      <c r="J46" s="50" t="s">
        <v>7</v>
      </c>
      <c r="K46" s="50" t="s">
        <v>7</v>
      </c>
      <c r="L46" s="50" t="s">
        <v>7</v>
      </c>
      <c r="M46" s="50" t="s">
        <v>7</v>
      </c>
      <c r="N46" s="5">
        <v>180</v>
      </c>
      <c r="O46" s="5">
        <v>180</v>
      </c>
      <c r="P46" s="5">
        <v>180</v>
      </c>
      <c r="Q46" s="5">
        <v>180</v>
      </c>
      <c r="R46" s="5">
        <v>180</v>
      </c>
      <c r="S46" s="98">
        <f t="shared" si="3"/>
        <v>0.42913338896173558</v>
      </c>
    </row>
    <row r="47" spans="1:19" s="13" customFormat="1" ht="20.25" customHeight="1">
      <c r="A47" s="63">
        <v>35</v>
      </c>
      <c r="B47" s="62" t="s">
        <v>143</v>
      </c>
      <c r="C47" s="6" t="s">
        <v>353</v>
      </c>
      <c r="D47" s="21" t="s">
        <v>0</v>
      </c>
      <c r="E47" s="73">
        <v>20</v>
      </c>
      <c r="F47" s="1">
        <v>120</v>
      </c>
      <c r="G47" s="73" t="s">
        <v>7</v>
      </c>
      <c r="H47" s="5">
        <v>208</v>
      </c>
      <c r="I47" s="5">
        <v>208</v>
      </c>
      <c r="J47" s="5">
        <v>208</v>
      </c>
      <c r="K47" s="5">
        <v>208</v>
      </c>
      <c r="L47" s="5">
        <v>208</v>
      </c>
      <c r="M47" s="5">
        <v>208</v>
      </c>
      <c r="N47" s="5">
        <v>208</v>
      </c>
      <c r="O47" s="5">
        <v>208</v>
      </c>
      <c r="P47" s="5">
        <v>208</v>
      </c>
      <c r="Q47" s="5">
        <v>208</v>
      </c>
      <c r="R47" s="5">
        <v>208</v>
      </c>
      <c r="S47" s="98">
        <f t="shared" si="3"/>
        <v>0.49588747168911673</v>
      </c>
    </row>
    <row r="48" spans="1:19" s="13" customFormat="1" ht="20.25" customHeight="1">
      <c r="A48" s="63">
        <v>36</v>
      </c>
      <c r="B48" s="62" t="s">
        <v>144</v>
      </c>
      <c r="C48" s="6" t="s">
        <v>354</v>
      </c>
      <c r="D48" s="21" t="s">
        <v>3</v>
      </c>
      <c r="E48" s="73">
        <v>272</v>
      </c>
      <c r="F48" s="1">
        <v>132</v>
      </c>
      <c r="G48" s="73" t="s">
        <v>7</v>
      </c>
      <c r="H48" s="5" t="s">
        <v>7</v>
      </c>
      <c r="I48" s="5" t="s">
        <v>7</v>
      </c>
      <c r="J48" s="5" t="s">
        <v>7</v>
      </c>
      <c r="K48" s="5" t="s">
        <v>7</v>
      </c>
      <c r="L48" s="5">
        <v>272</v>
      </c>
      <c r="M48" s="5">
        <v>272</v>
      </c>
      <c r="N48" s="5">
        <v>272</v>
      </c>
      <c r="O48" s="5">
        <v>272</v>
      </c>
      <c r="P48" s="5">
        <v>272</v>
      </c>
      <c r="Q48" s="5">
        <v>272</v>
      </c>
      <c r="R48" s="5">
        <v>272</v>
      </c>
      <c r="S48" s="98">
        <f t="shared" si="3"/>
        <v>0.64846823220884486</v>
      </c>
    </row>
    <row r="49" spans="1:19" s="13" customFormat="1" ht="20.25" customHeight="1">
      <c r="A49" s="63">
        <v>37</v>
      </c>
      <c r="B49" s="62" t="s">
        <v>145</v>
      </c>
      <c r="C49" s="6" t="s">
        <v>355</v>
      </c>
      <c r="D49" s="21" t="s">
        <v>3</v>
      </c>
      <c r="E49" s="73">
        <v>26</v>
      </c>
      <c r="F49" s="1">
        <v>135</v>
      </c>
      <c r="G49" s="73" t="s">
        <v>7</v>
      </c>
      <c r="H49" s="5" t="s">
        <v>7</v>
      </c>
      <c r="I49" s="5" t="s">
        <v>7</v>
      </c>
      <c r="J49" s="5" t="s">
        <v>7</v>
      </c>
      <c r="K49" s="5" t="s">
        <v>7</v>
      </c>
      <c r="L49" s="5">
        <v>26</v>
      </c>
      <c r="M49" s="5">
        <v>26</v>
      </c>
      <c r="N49" s="5">
        <v>26</v>
      </c>
      <c r="O49" s="5">
        <v>26</v>
      </c>
      <c r="P49" s="5">
        <v>26</v>
      </c>
      <c r="Q49" s="5">
        <v>26</v>
      </c>
      <c r="R49" s="5">
        <v>26</v>
      </c>
      <c r="S49" s="98">
        <f t="shared" si="3"/>
        <v>6.1985933961139592E-2</v>
      </c>
    </row>
    <row r="50" spans="1:19" s="13" customFormat="1" ht="20.25" customHeight="1">
      <c r="A50" s="63">
        <v>38</v>
      </c>
      <c r="B50" s="62" t="s">
        <v>44</v>
      </c>
      <c r="C50" s="6" t="s">
        <v>356</v>
      </c>
      <c r="D50" s="21" t="s">
        <v>45</v>
      </c>
      <c r="E50" s="73">
        <v>206</v>
      </c>
      <c r="F50" s="1">
        <v>120</v>
      </c>
      <c r="G50" s="5">
        <v>206</v>
      </c>
      <c r="H50" s="5">
        <v>206</v>
      </c>
      <c r="I50" s="5">
        <v>206</v>
      </c>
      <c r="J50" s="5">
        <v>206</v>
      </c>
      <c r="K50" s="5">
        <v>206</v>
      </c>
      <c r="L50" s="5">
        <v>244</v>
      </c>
      <c r="M50" s="5">
        <v>244</v>
      </c>
      <c r="N50" s="5">
        <v>244</v>
      </c>
      <c r="O50" s="5">
        <v>244</v>
      </c>
      <c r="P50" s="5">
        <v>244</v>
      </c>
      <c r="Q50" s="5">
        <v>260</v>
      </c>
      <c r="R50" s="5">
        <v>260</v>
      </c>
      <c r="S50" s="98">
        <f t="shared" si="3"/>
        <v>0.61985933961139594</v>
      </c>
    </row>
    <row r="51" spans="1:19" s="13" customFormat="1" ht="20.25" customHeight="1">
      <c r="A51" s="63">
        <v>39</v>
      </c>
      <c r="B51" s="62" t="s">
        <v>388</v>
      </c>
      <c r="C51" s="6" t="s">
        <v>357</v>
      </c>
      <c r="D51" s="61" t="s">
        <v>46</v>
      </c>
      <c r="E51" s="73">
        <v>200</v>
      </c>
      <c r="F51" s="1">
        <v>104.6</v>
      </c>
      <c r="G51" s="5">
        <v>200</v>
      </c>
      <c r="H51" s="5">
        <v>200</v>
      </c>
      <c r="I51" s="5">
        <v>236</v>
      </c>
      <c r="J51" s="5">
        <v>236</v>
      </c>
      <c r="K51" s="5">
        <v>236</v>
      </c>
      <c r="L51" s="5">
        <v>236</v>
      </c>
      <c r="M51" s="5">
        <v>236</v>
      </c>
      <c r="N51" s="5">
        <v>236</v>
      </c>
      <c r="O51" s="5">
        <v>236</v>
      </c>
      <c r="P51" s="5">
        <v>236</v>
      </c>
      <c r="Q51" s="5">
        <v>236</v>
      </c>
      <c r="R51" s="5">
        <v>236</v>
      </c>
      <c r="S51" s="98">
        <f t="shared" si="3"/>
        <v>0.56264155441649777</v>
      </c>
    </row>
    <row r="52" spans="1:19" s="13" customFormat="1" ht="20.25" customHeight="1">
      <c r="A52" s="63">
        <v>40</v>
      </c>
      <c r="B52" s="62" t="s">
        <v>146</v>
      </c>
      <c r="C52" s="6" t="s">
        <v>358</v>
      </c>
      <c r="D52" s="61" t="s">
        <v>3</v>
      </c>
      <c r="E52" s="73">
        <v>30</v>
      </c>
      <c r="F52" s="1">
        <v>128</v>
      </c>
      <c r="G52" s="5" t="s">
        <v>7</v>
      </c>
      <c r="H52" s="5" t="s">
        <v>7</v>
      </c>
      <c r="I52" s="5" t="s">
        <v>7</v>
      </c>
      <c r="J52" s="5" t="s">
        <v>7</v>
      </c>
      <c r="K52" s="5" t="s">
        <v>7</v>
      </c>
      <c r="L52" s="5">
        <v>88</v>
      </c>
      <c r="M52" s="5">
        <v>100</v>
      </c>
      <c r="N52" s="5">
        <v>100</v>
      </c>
      <c r="O52" s="5">
        <v>100</v>
      </c>
      <c r="P52" s="5">
        <v>100</v>
      </c>
      <c r="Q52" s="5">
        <v>100</v>
      </c>
      <c r="R52" s="5">
        <v>100</v>
      </c>
      <c r="S52" s="98">
        <f t="shared" si="3"/>
        <v>0.23840743831207534</v>
      </c>
    </row>
    <row r="53" spans="1:19" s="13" customFormat="1" ht="20.25" customHeight="1">
      <c r="A53" s="63">
        <v>41</v>
      </c>
      <c r="B53" s="62" t="s">
        <v>47</v>
      </c>
      <c r="C53" s="6" t="s">
        <v>359</v>
      </c>
      <c r="D53" s="61">
        <v>1998</v>
      </c>
      <c r="E53" s="73">
        <v>200</v>
      </c>
      <c r="F53" s="1">
        <v>104.6</v>
      </c>
      <c r="G53" s="5">
        <v>248</v>
      </c>
      <c r="H53" s="5">
        <v>248</v>
      </c>
      <c r="I53" s="5">
        <v>248</v>
      </c>
      <c r="J53" s="5">
        <v>248</v>
      </c>
      <c r="K53" s="5">
        <v>248</v>
      </c>
      <c r="L53" s="5">
        <v>248</v>
      </c>
      <c r="M53" s="5">
        <v>248</v>
      </c>
      <c r="N53" s="5">
        <v>248</v>
      </c>
      <c r="O53" s="5">
        <v>248</v>
      </c>
      <c r="P53" s="5">
        <v>248</v>
      </c>
      <c r="Q53" s="5">
        <v>248</v>
      </c>
      <c r="R53" s="5">
        <v>248</v>
      </c>
      <c r="S53" s="98">
        <f t="shared" si="3"/>
        <v>0.5912504470139468</v>
      </c>
    </row>
    <row r="54" spans="1:19" s="13" customFormat="1" ht="20.25" customHeight="1">
      <c r="A54" s="63">
        <v>42</v>
      </c>
      <c r="B54" s="62" t="s">
        <v>48</v>
      </c>
      <c r="C54" s="6" t="s">
        <v>360</v>
      </c>
      <c r="D54" s="70">
        <v>2001</v>
      </c>
      <c r="E54" s="73">
        <v>304</v>
      </c>
      <c r="F54" s="1">
        <v>110</v>
      </c>
      <c r="G54" s="5">
        <v>304</v>
      </c>
      <c r="H54" s="5">
        <v>304</v>
      </c>
      <c r="I54" s="5">
        <v>304</v>
      </c>
      <c r="J54" s="5">
        <v>304</v>
      </c>
      <c r="K54" s="5">
        <v>304</v>
      </c>
      <c r="L54" s="5">
        <v>304</v>
      </c>
      <c r="M54" s="5">
        <v>304</v>
      </c>
      <c r="N54" s="5">
        <v>304</v>
      </c>
      <c r="O54" s="5">
        <v>304</v>
      </c>
      <c r="P54" s="5">
        <v>304</v>
      </c>
      <c r="Q54" s="5">
        <v>304</v>
      </c>
      <c r="R54" s="5">
        <v>304</v>
      </c>
      <c r="S54" s="98">
        <f t="shared" si="3"/>
        <v>0.72475861246870898</v>
      </c>
    </row>
    <row r="55" spans="1:19" s="13" customFormat="1" ht="20.25" customHeight="1">
      <c r="A55" s="63">
        <v>43</v>
      </c>
      <c r="B55" s="62" t="s">
        <v>49</v>
      </c>
      <c r="C55" s="6" t="s">
        <v>361</v>
      </c>
      <c r="D55" s="5" t="s">
        <v>50</v>
      </c>
      <c r="E55" s="73">
        <v>50</v>
      </c>
      <c r="F55" s="1">
        <v>104.6</v>
      </c>
      <c r="G55" s="5">
        <v>130</v>
      </c>
      <c r="H55" s="5">
        <v>130</v>
      </c>
      <c r="I55" s="5">
        <v>130</v>
      </c>
      <c r="J55" s="5">
        <v>130</v>
      </c>
      <c r="K55" s="5">
        <v>130</v>
      </c>
      <c r="L55" s="5">
        <v>130</v>
      </c>
      <c r="M55" s="5">
        <v>228</v>
      </c>
      <c r="N55" s="5">
        <v>228</v>
      </c>
      <c r="O55" s="5">
        <v>228</v>
      </c>
      <c r="P55" s="5">
        <v>286</v>
      </c>
      <c r="Q55" s="5">
        <v>286</v>
      </c>
      <c r="R55" s="5">
        <v>286</v>
      </c>
      <c r="S55" s="98">
        <f t="shared" si="3"/>
        <v>0.68184527357253544</v>
      </c>
    </row>
    <row r="56" spans="1:19" s="13" customFormat="1" ht="20.25" customHeight="1">
      <c r="A56" s="63">
        <v>44</v>
      </c>
      <c r="B56" s="62" t="s">
        <v>147</v>
      </c>
      <c r="C56" s="6" t="s">
        <v>362</v>
      </c>
      <c r="D56" s="5">
        <v>2019</v>
      </c>
      <c r="E56" s="73">
        <v>24</v>
      </c>
      <c r="F56" s="1">
        <v>126</v>
      </c>
      <c r="G56" s="5" t="s">
        <v>7</v>
      </c>
      <c r="H56" s="5" t="s">
        <v>7</v>
      </c>
      <c r="I56" s="5" t="s">
        <v>7</v>
      </c>
      <c r="J56" s="5" t="s">
        <v>7</v>
      </c>
      <c r="K56" s="5" t="s">
        <v>7</v>
      </c>
      <c r="L56" s="5" t="s">
        <v>7</v>
      </c>
      <c r="M56" s="5" t="s">
        <v>7</v>
      </c>
      <c r="N56" s="5" t="s">
        <v>7</v>
      </c>
      <c r="O56" s="5">
        <v>24</v>
      </c>
      <c r="P56" s="5">
        <v>62</v>
      </c>
      <c r="Q56" s="5">
        <v>62</v>
      </c>
      <c r="R56" s="5">
        <v>62</v>
      </c>
      <c r="S56" s="98">
        <f t="shared" si="3"/>
        <v>0.1478126117534867</v>
      </c>
    </row>
    <row r="57" spans="1:19" s="13" customFormat="1" ht="20.25" customHeight="1">
      <c r="A57" s="63">
        <v>45</v>
      </c>
      <c r="B57" s="74" t="s">
        <v>148</v>
      </c>
      <c r="C57" s="74" t="s">
        <v>363</v>
      </c>
      <c r="D57" s="70">
        <v>2018</v>
      </c>
      <c r="E57" s="1">
        <v>134</v>
      </c>
      <c r="F57" s="1">
        <v>112</v>
      </c>
      <c r="G57" s="50" t="s">
        <v>7</v>
      </c>
      <c r="H57" s="50" t="s">
        <v>7</v>
      </c>
      <c r="I57" s="50" t="s">
        <v>7</v>
      </c>
      <c r="J57" s="50" t="s">
        <v>7</v>
      </c>
      <c r="K57" s="50" t="s">
        <v>7</v>
      </c>
      <c r="L57" s="50" t="s">
        <v>7</v>
      </c>
      <c r="M57" s="50" t="s">
        <v>7</v>
      </c>
      <c r="N57" s="5">
        <v>134</v>
      </c>
      <c r="O57" s="5">
        <v>146</v>
      </c>
      <c r="P57" s="5">
        <v>146</v>
      </c>
      <c r="Q57" s="5">
        <v>146</v>
      </c>
      <c r="R57" s="5">
        <v>146</v>
      </c>
      <c r="S57" s="98">
        <f t="shared" si="3"/>
        <v>0.34807485993562998</v>
      </c>
    </row>
    <row r="58" spans="1:19" s="4" customFormat="1" ht="20.25" customHeight="1">
      <c r="A58" s="63">
        <v>46</v>
      </c>
      <c r="B58" s="85" t="s">
        <v>149</v>
      </c>
      <c r="C58" s="85" t="s">
        <v>364</v>
      </c>
      <c r="D58" s="71">
        <v>2017</v>
      </c>
      <c r="E58" s="15">
        <v>248</v>
      </c>
      <c r="F58" s="15">
        <v>125</v>
      </c>
      <c r="G58" s="22" t="s">
        <v>7</v>
      </c>
      <c r="H58" s="22" t="s">
        <v>7</v>
      </c>
      <c r="I58" s="22" t="s">
        <v>7</v>
      </c>
      <c r="J58" s="22" t="s">
        <v>7</v>
      </c>
      <c r="K58" s="22" t="s">
        <v>7</v>
      </c>
      <c r="L58" s="22" t="s">
        <v>7</v>
      </c>
      <c r="M58" s="22">
        <v>248</v>
      </c>
      <c r="N58" s="22">
        <v>248</v>
      </c>
      <c r="O58" s="22">
        <v>248</v>
      </c>
      <c r="P58" s="22">
        <v>248</v>
      </c>
      <c r="Q58" s="22">
        <v>248</v>
      </c>
      <c r="R58" s="22">
        <v>256</v>
      </c>
      <c r="S58" s="86">
        <f t="shared" si="3"/>
        <v>0.61032304207891286</v>
      </c>
    </row>
    <row r="59" spans="1:19" s="13" customFormat="1" ht="20.25" customHeight="1">
      <c r="A59" s="53"/>
      <c r="B59" s="65" t="s">
        <v>16</v>
      </c>
      <c r="C59" s="64"/>
      <c r="D59" s="12" t="s">
        <v>7</v>
      </c>
      <c r="E59" s="12" t="s">
        <v>7</v>
      </c>
      <c r="F59" s="12" t="s">
        <v>7</v>
      </c>
      <c r="G59" s="12">
        <f t="shared" ref="G59:H59" si="12">SUM(G65:G70)</f>
        <v>1336</v>
      </c>
      <c r="H59" s="12">
        <f t="shared" si="12"/>
        <v>1336</v>
      </c>
      <c r="I59" s="12">
        <f t="shared" ref="I59:Q59" si="13">SUM(I60:I70)</f>
        <v>1476</v>
      </c>
      <c r="J59" s="12">
        <f t="shared" si="13"/>
        <v>1636</v>
      </c>
      <c r="K59" s="12">
        <f t="shared" si="13"/>
        <v>1636</v>
      </c>
      <c r="L59" s="12">
        <f t="shared" si="13"/>
        <v>2138</v>
      </c>
      <c r="M59" s="12">
        <f t="shared" si="13"/>
        <v>2250</v>
      </c>
      <c r="N59" s="12">
        <f t="shared" si="13"/>
        <v>2284</v>
      </c>
      <c r="O59" s="12">
        <f t="shared" si="13"/>
        <v>2440</v>
      </c>
      <c r="P59" s="12">
        <f t="shared" si="13"/>
        <v>2468</v>
      </c>
      <c r="Q59" s="12">
        <f t="shared" si="13"/>
        <v>2774</v>
      </c>
      <c r="R59" s="12">
        <f t="shared" ref="R59" si="14">SUM(R60:R70)</f>
        <v>2862</v>
      </c>
      <c r="S59" s="97">
        <f t="shared" si="3"/>
        <v>6.8232208844915956</v>
      </c>
    </row>
    <row r="60" spans="1:19" s="13" customFormat="1" ht="20.25" customHeight="1">
      <c r="A60" s="63">
        <v>47</v>
      </c>
      <c r="B60" s="62" t="s">
        <v>150</v>
      </c>
      <c r="C60" s="6" t="s">
        <v>365</v>
      </c>
      <c r="D60" s="70">
        <v>2013</v>
      </c>
      <c r="E60" s="1">
        <v>140</v>
      </c>
      <c r="F60" s="1">
        <v>133</v>
      </c>
      <c r="G60" s="1" t="s">
        <v>7</v>
      </c>
      <c r="H60" s="1" t="s">
        <v>7</v>
      </c>
      <c r="I60" s="5">
        <v>140</v>
      </c>
      <c r="J60" s="5">
        <v>300</v>
      </c>
      <c r="K60" s="5">
        <v>300</v>
      </c>
      <c r="L60" s="5">
        <v>300</v>
      </c>
      <c r="M60" s="5">
        <v>300</v>
      </c>
      <c r="N60" s="5">
        <v>300</v>
      </c>
      <c r="O60" s="5">
        <v>300</v>
      </c>
      <c r="P60" s="5">
        <v>300</v>
      </c>
      <c r="Q60" s="5">
        <v>380</v>
      </c>
      <c r="R60" s="5">
        <v>380</v>
      </c>
      <c r="S60" s="98">
        <f t="shared" si="3"/>
        <v>0.90594826558588626</v>
      </c>
    </row>
    <row r="61" spans="1:19" s="13" customFormat="1" ht="20.25" customHeight="1">
      <c r="A61" s="63">
        <v>48</v>
      </c>
      <c r="B61" s="62" t="s">
        <v>151</v>
      </c>
      <c r="C61" s="6" t="s">
        <v>366</v>
      </c>
      <c r="D61" s="61" t="s">
        <v>3</v>
      </c>
      <c r="E61" s="1">
        <v>302</v>
      </c>
      <c r="F61" s="1">
        <v>122</v>
      </c>
      <c r="G61" s="1" t="s">
        <v>7</v>
      </c>
      <c r="H61" s="1" t="s">
        <v>7</v>
      </c>
      <c r="I61" s="1" t="s">
        <v>7</v>
      </c>
      <c r="J61" s="1" t="s">
        <v>7</v>
      </c>
      <c r="K61" s="1" t="s">
        <v>7</v>
      </c>
      <c r="L61" s="5">
        <v>302</v>
      </c>
      <c r="M61" s="5">
        <v>302</v>
      </c>
      <c r="N61" s="5">
        <v>302</v>
      </c>
      <c r="O61" s="5">
        <v>302</v>
      </c>
      <c r="P61" s="5">
        <v>302</v>
      </c>
      <c r="Q61" s="5">
        <v>302</v>
      </c>
      <c r="R61" s="5">
        <v>302</v>
      </c>
      <c r="S61" s="98">
        <f t="shared" si="3"/>
        <v>0.71999046370246755</v>
      </c>
    </row>
    <row r="62" spans="1:19" s="13" customFormat="1" ht="20.25" customHeight="1">
      <c r="A62" s="63">
        <v>49</v>
      </c>
      <c r="B62" s="62" t="s">
        <v>152</v>
      </c>
      <c r="C62" s="6" t="s">
        <v>367</v>
      </c>
      <c r="D62" s="61" t="s">
        <v>4</v>
      </c>
      <c r="E62" s="1">
        <v>98</v>
      </c>
      <c r="F62" s="1">
        <v>145</v>
      </c>
      <c r="G62" s="1" t="s">
        <v>7</v>
      </c>
      <c r="H62" s="1" t="s">
        <v>7</v>
      </c>
      <c r="I62" s="1" t="s">
        <v>7</v>
      </c>
      <c r="J62" s="1" t="s">
        <v>7</v>
      </c>
      <c r="K62" s="1" t="s">
        <v>7</v>
      </c>
      <c r="L62" s="50" t="s">
        <v>7</v>
      </c>
      <c r="M62" s="5">
        <v>98</v>
      </c>
      <c r="N62" s="5">
        <v>98</v>
      </c>
      <c r="O62" s="5">
        <v>98</v>
      </c>
      <c r="P62" s="5">
        <v>126</v>
      </c>
      <c r="Q62" s="5">
        <v>126</v>
      </c>
      <c r="R62" s="5">
        <v>126</v>
      </c>
      <c r="S62" s="98">
        <f t="shared" si="3"/>
        <v>0.30039337227321494</v>
      </c>
    </row>
    <row r="63" spans="1:19" s="13" customFormat="1" ht="20.25" customHeight="1">
      <c r="A63" s="63">
        <v>50</v>
      </c>
      <c r="B63" s="62" t="s">
        <v>153</v>
      </c>
      <c r="C63" s="6" t="s">
        <v>368</v>
      </c>
      <c r="D63" s="61" t="s">
        <v>3</v>
      </c>
      <c r="E63" s="1">
        <v>180</v>
      </c>
      <c r="F63" s="1">
        <v>148</v>
      </c>
      <c r="G63" s="1" t="s">
        <v>7</v>
      </c>
      <c r="H63" s="1" t="s">
        <v>7</v>
      </c>
      <c r="I63" s="5" t="s">
        <v>7</v>
      </c>
      <c r="J63" s="5" t="s">
        <v>7</v>
      </c>
      <c r="K63" s="5" t="s">
        <v>7</v>
      </c>
      <c r="L63" s="5">
        <v>180</v>
      </c>
      <c r="M63" s="5">
        <v>180</v>
      </c>
      <c r="N63" s="5">
        <v>180</v>
      </c>
      <c r="O63" s="5">
        <v>180</v>
      </c>
      <c r="P63" s="5">
        <v>180</v>
      </c>
      <c r="Q63" s="5">
        <v>180</v>
      </c>
      <c r="R63" s="5">
        <v>180</v>
      </c>
      <c r="S63" s="98">
        <f t="shared" si="3"/>
        <v>0.42913338896173558</v>
      </c>
    </row>
    <row r="64" spans="1:19" s="13" customFormat="1" ht="20.25" customHeight="1">
      <c r="A64" s="63">
        <v>51</v>
      </c>
      <c r="B64" s="62" t="s">
        <v>154</v>
      </c>
      <c r="C64" s="6" t="s">
        <v>375</v>
      </c>
      <c r="D64" s="61" t="s">
        <v>113</v>
      </c>
      <c r="E64" s="1">
        <v>156</v>
      </c>
      <c r="F64" s="1">
        <v>130</v>
      </c>
      <c r="G64" s="1" t="s">
        <v>7</v>
      </c>
      <c r="H64" s="1" t="s">
        <v>7</v>
      </c>
      <c r="I64" s="5" t="s">
        <v>7</v>
      </c>
      <c r="J64" s="5" t="s">
        <v>7</v>
      </c>
      <c r="K64" s="5" t="s">
        <v>7</v>
      </c>
      <c r="L64" s="5" t="s">
        <v>7</v>
      </c>
      <c r="M64" s="5" t="s">
        <v>7</v>
      </c>
      <c r="N64" s="5" t="s">
        <v>7</v>
      </c>
      <c r="O64" s="5">
        <v>156</v>
      </c>
      <c r="P64" s="5">
        <v>156</v>
      </c>
      <c r="Q64" s="5">
        <v>156</v>
      </c>
      <c r="R64" s="5">
        <v>156</v>
      </c>
      <c r="S64" s="98">
        <f t="shared" si="3"/>
        <v>0.37191560376683752</v>
      </c>
    </row>
    <row r="65" spans="1:20" ht="20.25" customHeight="1">
      <c r="A65" s="63">
        <v>52</v>
      </c>
      <c r="B65" s="62" t="s">
        <v>155</v>
      </c>
      <c r="C65" s="6" t="s">
        <v>156</v>
      </c>
      <c r="D65" s="61" t="s">
        <v>46</v>
      </c>
      <c r="E65" s="73">
        <v>200</v>
      </c>
      <c r="F65" s="1">
        <v>125.5</v>
      </c>
      <c r="G65" s="1">
        <v>200</v>
      </c>
      <c r="H65" s="1">
        <v>200</v>
      </c>
      <c r="I65" s="5">
        <v>200</v>
      </c>
      <c r="J65" s="5">
        <v>200</v>
      </c>
      <c r="K65" s="5">
        <v>200</v>
      </c>
      <c r="L65" s="5">
        <v>200</v>
      </c>
      <c r="M65" s="5">
        <v>192</v>
      </c>
      <c r="N65" s="5">
        <v>192</v>
      </c>
      <c r="O65" s="5">
        <v>192</v>
      </c>
      <c r="P65" s="5">
        <v>192</v>
      </c>
      <c r="Q65" s="5">
        <v>192</v>
      </c>
      <c r="R65" s="5">
        <v>192</v>
      </c>
      <c r="S65" s="98">
        <f t="shared" si="3"/>
        <v>0.45774228155918462</v>
      </c>
    </row>
    <row r="66" spans="1:20" s="13" customFormat="1" ht="20.25" customHeight="1">
      <c r="A66" s="63">
        <v>53</v>
      </c>
      <c r="B66" s="62" t="s">
        <v>51</v>
      </c>
      <c r="C66" s="6" t="s">
        <v>157</v>
      </c>
      <c r="D66" s="61">
        <v>1998</v>
      </c>
      <c r="E66" s="73">
        <v>90</v>
      </c>
      <c r="F66" s="1">
        <v>128.69999999999999</v>
      </c>
      <c r="G66" s="1">
        <v>120</v>
      </c>
      <c r="H66" s="1">
        <v>120</v>
      </c>
      <c r="I66" s="5">
        <v>120</v>
      </c>
      <c r="J66" s="5">
        <v>120</v>
      </c>
      <c r="K66" s="5">
        <v>120</v>
      </c>
      <c r="L66" s="5">
        <v>130</v>
      </c>
      <c r="M66" s="5">
        <v>130</v>
      </c>
      <c r="N66" s="5">
        <v>130</v>
      </c>
      <c r="O66" s="5">
        <v>130</v>
      </c>
      <c r="P66" s="5">
        <v>130</v>
      </c>
      <c r="Q66" s="5">
        <v>130</v>
      </c>
      <c r="R66" s="5">
        <v>130</v>
      </c>
      <c r="S66" s="98">
        <f t="shared" si="3"/>
        <v>0.30992966980569797</v>
      </c>
    </row>
    <row r="67" spans="1:20" s="13" customFormat="1" ht="20.25" customHeight="1">
      <c r="A67" s="63">
        <v>54</v>
      </c>
      <c r="B67" s="62" t="s">
        <v>158</v>
      </c>
      <c r="C67" s="6" t="s">
        <v>159</v>
      </c>
      <c r="D67" s="61" t="s">
        <v>5</v>
      </c>
      <c r="E67" s="73">
        <v>34</v>
      </c>
      <c r="F67" s="1">
        <v>146</v>
      </c>
      <c r="G67" s="50" t="s">
        <v>7</v>
      </c>
      <c r="H67" s="50" t="s">
        <v>7</v>
      </c>
      <c r="I67" s="50" t="s">
        <v>7</v>
      </c>
      <c r="J67" s="50" t="s">
        <v>7</v>
      </c>
      <c r="K67" s="50" t="s">
        <v>7</v>
      </c>
      <c r="L67" s="50" t="s">
        <v>7</v>
      </c>
      <c r="M67" s="50" t="s">
        <v>7</v>
      </c>
      <c r="N67" s="5">
        <v>34</v>
      </c>
      <c r="O67" s="5">
        <v>34</v>
      </c>
      <c r="P67" s="5">
        <v>34</v>
      </c>
      <c r="Q67" s="5">
        <v>34</v>
      </c>
      <c r="R67" s="5">
        <v>34</v>
      </c>
      <c r="S67" s="98">
        <f t="shared" si="3"/>
        <v>8.1058529026105608E-2</v>
      </c>
    </row>
    <row r="68" spans="1:20" ht="20.25" customHeight="1">
      <c r="A68" s="63">
        <v>55</v>
      </c>
      <c r="B68" s="62" t="s">
        <v>411</v>
      </c>
      <c r="C68" s="6" t="s">
        <v>160</v>
      </c>
      <c r="D68" s="5" t="s">
        <v>52</v>
      </c>
      <c r="E68" s="73">
        <v>18</v>
      </c>
      <c r="F68" s="1">
        <v>128.69999999999999</v>
      </c>
      <c r="G68" s="1">
        <v>768</v>
      </c>
      <c r="H68" s="1">
        <v>768</v>
      </c>
      <c r="I68" s="5">
        <v>768</v>
      </c>
      <c r="J68" s="5">
        <v>768</v>
      </c>
      <c r="K68" s="5">
        <v>768</v>
      </c>
      <c r="L68" s="5">
        <v>778</v>
      </c>
      <c r="M68" s="5">
        <v>778</v>
      </c>
      <c r="N68" s="5">
        <v>778</v>
      </c>
      <c r="O68" s="5">
        <v>778</v>
      </c>
      <c r="P68" s="5">
        <v>778</v>
      </c>
      <c r="Q68" s="5">
        <v>778</v>
      </c>
      <c r="R68" s="5">
        <v>778</v>
      </c>
      <c r="S68" s="98">
        <f t="shared" si="3"/>
        <v>1.8548098700679461</v>
      </c>
    </row>
    <row r="69" spans="1:20" ht="20.25" customHeight="1">
      <c r="A69" s="63">
        <v>56</v>
      </c>
      <c r="B69" s="62" t="s">
        <v>389</v>
      </c>
      <c r="C69" s="6" t="s">
        <v>390</v>
      </c>
      <c r="D69" s="5">
        <v>2021</v>
      </c>
      <c r="E69" s="73">
        <v>226</v>
      </c>
      <c r="F69" s="1">
        <v>130</v>
      </c>
      <c r="G69" s="1" t="s">
        <v>7</v>
      </c>
      <c r="H69" s="1" t="s">
        <v>7</v>
      </c>
      <c r="I69" s="1" t="s">
        <v>7</v>
      </c>
      <c r="J69" s="1" t="s">
        <v>7</v>
      </c>
      <c r="K69" s="1" t="s">
        <v>7</v>
      </c>
      <c r="L69" s="1" t="s">
        <v>7</v>
      </c>
      <c r="M69" s="1" t="s">
        <v>7</v>
      </c>
      <c r="N69" s="1" t="s">
        <v>7</v>
      </c>
      <c r="O69" s="1" t="s">
        <v>7</v>
      </c>
      <c r="P69" s="1" t="s">
        <v>7</v>
      </c>
      <c r="Q69" s="5">
        <v>226</v>
      </c>
      <c r="R69" s="5">
        <v>314</v>
      </c>
      <c r="S69" s="98">
        <f t="shared" si="3"/>
        <v>0.74859935629991659</v>
      </c>
    </row>
    <row r="70" spans="1:20" ht="20.25" customHeight="1">
      <c r="A70" s="63">
        <v>57</v>
      </c>
      <c r="B70" s="25" t="s">
        <v>161</v>
      </c>
      <c r="C70" s="35" t="s">
        <v>162</v>
      </c>
      <c r="D70" s="71">
        <v>1999</v>
      </c>
      <c r="E70" s="17">
        <v>200</v>
      </c>
      <c r="F70" s="15">
        <v>128.69999999999999</v>
      </c>
      <c r="G70" s="15">
        <v>248</v>
      </c>
      <c r="H70" s="15">
        <v>248</v>
      </c>
      <c r="I70" s="23">
        <v>248</v>
      </c>
      <c r="J70" s="23">
        <v>248</v>
      </c>
      <c r="K70" s="23">
        <v>248</v>
      </c>
      <c r="L70" s="23">
        <v>248</v>
      </c>
      <c r="M70" s="23">
        <v>270</v>
      </c>
      <c r="N70" s="23">
        <v>270</v>
      </c>
      <c r="O70" s="23">
        <v>270</v>
      </c>
      <c r="P70" s="23">
        <v>270</v>
      </c>
      <c r="Q70" s="23">
        <v>270</v>
      </c>
      <c r="R70" s="23">
        <v>270</v>
      </c>
      <c r="S70" s="101">
        <f t="shared" si="3"/>
        <v>0.64370008344260343</v>
      </c>
    </row>
    <row r="71" spans="1:20" s="13" customFormat="1" ht="20.25" customHeight="1">
      <c r="A71" s="63"/>
      <c r="B71" s="65" t="s">
        <v>17</v>
      </c>
      <c r="C71" s="64"/>
      <c r="D71" s="12" t="s">
        <v>7</v>
      </c>
      <c r="E71" s="12" t="s">
        <v>7</v>
      </c>
      <c r="F71" s="12" t="s">
        <v>7</v>
      </c>
      <c r="G71" s="12">
        <f t="shared" ref="G71:Q71" si="15">SUM(G72:G130)</f>
        <v>8824</v>
      </c>
      <c r="H71" s="12">
        <f t="shared" si="15"/>
        <v>8828</v>
      </c>
      <c r="I71" s="12">
        <f t="shared" si="15"/>
        <v>8964</v>
      </c>
      <c r="J71" s="12">
        <f t="shared" si="15"/>
        <v>8968</v>
      </c>
      <c r="K71" s="12">
        <f t="shared" si="15"/>
        <v>9088</v>
      </c>
      <c r="L71" s="12">
        <f t="shared" si="15"/>
        <v>9506</v>
      </c>
      <c r="M71" s="12">
        <f t="shared" si="15"/>
        <v>10094</v>
      </c>
      <c r="N71" s="12">
        <f t="shared" si="15"/>
        <v>10568</v>
      </c>
      <c r="O71" s="12">
        <f t="shared" si="15"/>
        <v>12100</v>
      </c>
      <c r="P71" s="12">
        <f t="shared" si="15"/>
        <v>12048</v>
      </c>
      <c r="Q71" s="12">
        <f t="shared" si="15"/>
        <v>12810</v>
      </c>
      <c r="R71" s="12">
        <f t="shared" ref="R71" si="16">SUM(R72:R130)</f>
        <v>13954</v>
      </c>
      <c r="S71" s="97">
        <f t="shared" si="3"/>
        <v>33.267373942066989</v>
      </c>
    </row>
    <row r="72" spans="1:20" ht="20.25" customHeight="1">
      <c r="A72" s="63">
        <v>58</v>
      </c>
      <c r="B72" s="62" t="s">
        <v>163</v>
      </c>
      <c r="C72" s="6" t="s">
        <v>164</v>
      </c>
      <c r="D72" s="21">
        <v>1978</v>
      </c>
      <c r="E72" s="73">
        <v>34</v>
      </c>
      <c r="F72" s="1">
        <v>34</v>
      </c>
      <c r="G72" s="1">
        <v>256</v>
      </c>
      <c r="H72" s="1">
        <v>256</v>
      </c>
      <c r="I72" s="1">
        <v>256</v>
      </c>
      <c r="J72" s="1">
        <v>256</v>
      </c>
      <c r="K72" s="1">
        <v>256</v>
      </c>
      <c r="L72" s="1">
        <v>256</v>
      </c>
      <c r="M72" s="1">
        <v>260</v>
      </c>
      <c r="N72" s="1">
        <v>260</v>
      </c>
      <c r="O72" s="1">
        <v>260</v>
      </c>
      <c r="P72" s="1">
        <v>260</v>
      </c>
      <c r="Q72" s="1">
        <v>260</v>
      </c>
      <c r="R72" s="1">
        <v>244</v>
      </c>
      <c r="S72" s="95">
        <f t="shared" si="3"/>
        <v>0.58171414948146383</v>
      </c>
    </row>
    <row r="73" spans="1:20" ht="20.25" customHeight="1">
      <c r="A73" s="63">
        <v>59</v>
      </c>
      <c r="B73" s="62" t="s">
        <v>165</v>
      </c>
      <c r="C73" s="6" t="s">
        <v>166</v>
      </c>
      <c r="D73" s="5" t="s">
        <v>52</v>
      </c>
      <c r="E73" s="73">
        <v>18</v>
      </c>
      <c r="F73" s="1">
        <v>8</v>
      </c>
      <c r="G73" s="1">
        <v>100</v>
      </c>
      <c r="H73" s="1">
        <v>100</v>
      </c>
      <c r="I73" s="1">
        <v>100</v>
      </c>
      <c r="J73" s="1">
        <v>100</v>
      </c>
      <c r="K73" s="1">
        <v>100</v>
      </c>
      <c r="L73" s="1">
        <v>100</v>
      </c>
      <c r="M73" s="1">
        <v>100</v>
      </c>
      <c r="N73" s="1">
        <v>100</v>
      </c>
      <c r="O73" s="1">
        <v>100</v>
      </c>
      <c r="P73" s="1">
        <v>100</v>
      </c>
      <c r="Q73" s="1">
        <v>100</v>
      </c>
      <c r="R73" s="1">
        <v>100</v>
      </c>
      <c r="S73" s="95">
        <f t="shared" ref="S73:S136" si="17">R73/R$6*100</f>
        <v>0.23840743831207534</v>
      </c>
      <c r="T73" s="13"/>
    </row>
    <row r="74" spans="1:20" ht="20.25" customHeight="1">
      <c r="A74" s="63">
        <v>60</v>
      </c>
      <c r="B74" s="62" t="s">
        <v>167</v>
      </c>
      <c r="C74" s="6" t="s">
        <v>168</v>
      </c>
      <c r="D74" s="5" t="s">
        <v>53</v>
      </c>
      <c r="E74" s="73">
        <v>40</v>
      </c>
      <c r="F74" s="1">
        <v>22.5</v>
      </c>
      <c r="G74" s="1">
        <v>354</v>
      </c>
      <c r="H74" s="1">
        <v>354</v>
      </c>
      <c r="I74" s="1">
        <v>354</v>
      </c>
      <c r="J74" s="1">
        <v>354</v>
      </c>
      <c r="K74" s="1">
        <v>354</v>
      </c>
      <c r="L74" s="1">
        <v>354</v>
      </c>
      <c r="M74" s="1">
        <v>404</v>
      </c>
      <c r="N74" s="1">
        <v>404</v>
      </c>
      <c r="O74" s="1">
        <v>404</v>
      </c>
      <c r="P74" s="1">
        <v>404</v>
      </c>
      <c r="Q74" s="1">
        <v>404</v>
      </c>
      <c r="R74" s="1">
        <v>404</v>
      </c>
      <c r="S74" s="95">
        <f t="shared" si="17"/>
        <v>0.96316605078078432</v>
      </c>
    </row>
    <row r="75" spans="1:20" ht="25.5">
      <c r="A75" s="63">
        <v>61</v>
      </c>
      <c r="B75" s="62" t="s">
        <v>412</v>
      </c>
      <c r="C75" s="62" t="s">
        <v>413</v>
      </c>
      <c r="D75" s="5">
        <v>2022</v>
      </c>
      <c r="E75" s="73">
        <v>768</v>
      </c>
      <c r="F75" s="1">
        <v>13.5</v>
      </c>
      <c r="G75" s="1" t="s">
        <v>7</v>
      </c>
      <c r="H75" s="1" t="s">
        <v>7</v>
      </c>
      <c r="I75" s="1" t="s">
        <v>7</v>
      </c>
      <c r="J75" s="1" t="s">
        <v>7</v>
      </c>
      <c r="K75" s="1" t="s">
        <v>7</v>
      </c>
      <c r="L75" s="1" t="s">
        <v>7</v>
      </c>
      <c r="M75" s="1" t="s">
        <v>7</v>
      </c>
      <c r="N75" s="1" t="s">
        <v>7</v>
      </c>
      <c r="O75" s="1" t="s">
        <v>7</v>
      </c>
      <c r="P75" s="1" t="s">
        <v>7</v>
      </c>
      <c r="Q75" s="1" t="s">
        <v>7</v>
      </c>
      <c r="R75" s="1">
        <v>768</v>
      </c>
      <c r="S75" s="95">
        <f t="shared" si="17"/>
        <v>1.8309691262367385</v>
      </c>
    </row>
    <row r="76" spans="1:20" ht="20.25" customHeight="1">
      <c r="A76" s="63">
        <v>62</v>
      </c>
      <c r="B76" s="62" t="s">
        <v>169</v>
      </c>
      <c r="C76" s="6" t="s">
        <v>170</v>
      </c>
      <c r="D76" s="21" t="s">
        <v>54</v>
      </c>
      <c r="E76" s="73">
        <v>24</v>
      </c>
      <c r="F76" s="1">
        <v>40</v>
      </c>
      <c r="G76" s="1">
        <v>220</v>
      </c>
      <c r="H76" s="1">
        <v>220</v>
      </c>
      <c r="I76" s="1">
        <v>220</v>
      </c>
      <c r="J76" s="1">
        <v>220</v>
      </c>
      <c r="K76" s="1">
        <v>220</v>
      </c>
      <c r="L76" s="1">
        <v>220</v>
      </c>
      <c r="M76" s="1">
        <v>226</v>
      </c>
      <c r="N76" s="1">
        <v>226</v>
      </c>
      <c r="O76" s="1">
        <v>226</v>
      </c>
      <c r="P76" s="1">
        <v>226</v>
      </c>
      <c r="Q76" s="1">
        <v>226</v>
      </c>
      <c r="R76" s="1">
        <v>226</v>
      </c>
      <c r="S76" s="95">
        <f t="shared" si="17"/>
        <v>0.53880081058529028</v>
      </c>
    </row>
    <row r="77" spans="1:20" s="13" customFormat="1" ht="20.25" customHeight="1">
      <c r="A77" s="63">
        <v>63</v>
      </c>
      <c r="B77" s="62" t="s">
        <v>394</v>
      </c>
      <c r="C77" s="6" t="s">
        <v>214</v>
      </c>
      <c r="D77" s="70">
        <v>1986</v>
      </c>
      <c r="E77" s="73">
        <v>32</v>
      </c>
      <c r="F77" s="1">
        <v>27</v>
      </c>
      <c r="G77" s="1">
        <v>138</v>
      </c>
      <c r="H77" s="1">
        <v>138</v>
      </c>
      <c r="I77" s="1">
        <v>138</v>
      </c>
      <c r="J77" s="1">
        <v>138</v>
      </c>
      <c r="K77" s="1">
        <v>138</v>
      </c>
      <c r="L77" s="1">
        <v>138</v>
      </c>
      <c r="M77" s="1">
        <v>176</v>
      </c>
      <c r="N77" s="1">
        <v>176</v>
      </c>
      <c r="O77" s="1">
        <v>176</v>
      </c>
      <c r="P77" s="1">
        <v>176</v>
      </c>
      <c r="Q77" s="1">
        <v>176</v>
      </c>
      <c r="R77" s="1">
        <v>176</v>
      </c>
      <c r="S77" s="95">
        <f t="shared" si="17"/>
        <v>0.41959709142925256</v>
      </c>
    </row>
    <row r="78" spans="1:20" s="13" customFormat="1" ht="20.25" customHeight="1">
      <c r="A78" s="63">
        <v>64</v>
      </c>
      <c r="B78" s="62" t="s">
        <v>171</v>
      </c>
      <c r="C78" s="6" t="s">
        <v>172</v>
      </c>
      <c r="D78" s="61" t="s">
        <v>52</v>
      </c>
      <c r="E78" s="73">
        <v>20</v>
      </c>
      <c r="F78" s="1">
        <v>17</v>
      </c>
      <c r="G78" s="1">
        <v>90</v>
      </c>
      <c r="H78" s="1">
        <v>90</v>
      </c>
      <c r="I78" s="1">
        <v>90</v>
      </c>
      <c r="J78" s="1">
        <v>90</v>
      </c>
      <c r="K78" s="1">
        <v>90</v>
      </c>
      <c r="L78" s="1">
        <v>90</v>
      </c>
      <c r="M78" s="1">
        <v>90</v>
      </c>
      <c r="N78" s="1">
        <v>90</v>
      </c>
      <c r="O78" s="1">
        <v>90</v>
      </c>
      <c r="P78" s="1">
        <v>90</v>
      </c>
      <c r="Q78" s="1">
        <v>90</v>
      </c>
      <c r="R78" s="1">
        <v>90</v>
      </c>
      <c r="S78" s="95">
        <f t="shared" si="17"/>
        <v>0.21456669448086779</v>
      </c>
    </row>
    <row r="79" spans="1:20" ht="20.25" customHeight="1">
      <c r="A79" s="63">
        <v>65</v>
      </c>
      <c r="B79" s="62" t="s">
        <v>55</v>
      </c>
      <c r="C79" s="6" t="s">
        <v>173</v>
      </c>
      <c r="D79" s="21" t="s">
        <v>56</v>
      </c>
      <c r="E79" s="73">
        <v>36</v>
      </c>
      <c r="F79" s="1">
        <v>32</v>
      </c>
      <c r="G79" s="1">
        <v>60</v>
      </c>
      <c r="H79" s="1">
        <v>60</v>
      </c>
      <c r="I79" s="1">
        <v>60</v>
      </c>
      <c r="J79" s="1">
        <v>60</v>
      </c>
      <c r="K79" s="1">
        <v>60</v>
      </c>
      <c r="L79" s="1">
        <v>60</v>
      </c>
      <c r="M79" s="1">
        <v>60</v>
      </c>
      <c r="N79" s="1">
        <v>60</v>
      </c>
      <c r="O79" s="1">
        <v>60</v>
      </c>
      <c r="P79" s="1">
        <v>0</v>
      </c>
      <c r="Q79" s="1">
        <v>0</v>
      </c>
      <c r="R79" s="1">
        <v>0</v>
      </c>
      <c r="S79" s="95">
        <f t="shared" si="17"/>
        <v>0</v>
      </c>
    </row>
    <row r="80" spans="1:20" s="13" customFormat="1" ht="20.25" customHeight="1">
      <c r="A80" s="63">
        <v>66</v>
      </c>
      <c r="B80" s="62" t="s">
        <v>174</v>
      </c>
      <c r="C80" s="6" t="s">
        <v>175</v>
      </c>
      <c r="D80" s="21" t="s">
        <v>57</v>
      </c>
      <c r="E80" s="73">
        <v>220</v>
      </c>
      <c r="F80" s="1">
        <v>8</v>
      </c>
      <c r="G80" s="1">
        <v>450</v>
      </c>
      <c r="H80" s="1">
        <v>450</v>
      </c>
      <c r="I80" s="1">
        <v>450</v>
      </c>
      <c r="J80" s="1">
        <v>430</v>
      </c>
      <c r="K80" s="1">
        <v>430</v>
      </c>
      <c r="L80" s="1">
        <v>430</v>
      </c>
      <c r="M80" s="1">
        <v>430</v>
      </c>
      <c r="N80" s="1">
        <v>430</v>
      </c>
      <c r="O80" s="1">
        <v>430</v>
      </c>
      <c r="P80" s="1">
        <v>430</v>
      </c>
      <c r="Q80" s="1">
        <v>432</v>
      </c>
      <c r="R80" s="1">
        <v>432</v>
      </c>
      <c r="S80" s="95">
        <f t="shared" si="17"/>
        <v>1.0299201335081654</v>
      </c>
    </row>
    <row r="81" spans="1:19" s="13" customFormat="1" ht="20.25" customHeight="1">
      <c r="A81" s="63">
        <v>67</v>
      </c>
      <c r="B81" s="62" t="s">
        <v>58</v>
      </c>
      <c r="C81" s="6" t="s">
        <v>176</v>
      </c>
      <c r="D81" s="5" t="s">
        <v>59</v>
      </c>
      <c r="E81" s="73">
        <v>24</v>
      </c>
      <c r="F81" s="1">
        <v>12</v>
      </c>
      <c r="G81" s="1">
        <v>96</v>
      </c>
      <c r="H81" s="1">
        <v>96</v>
      </c>
      <c r="I81" s="1">
        <v>96</v>
      </c>
      <c r="J81" s="1">
        <v>96</v>
      </c>
      <c r="K81" s="1">
        <v>96</v>
      </c>
      <c r="L81" s="1">
        <v>96</v>
      </c>
      <c r="M81" s="1">
        <v>96</v>
      </c>
      <c r="N81" s="1">
        <v>96</v>
      </c>
      <c r="O81" s="1">
        <v>96</v>
      </c>
      <c r="P81" s="1">
        <v>96</v>
      </c>
      <c r="Q81" s="1">
        <v>96</v>
      </c>
      <c r="R81" s="1">
        <v>96</v>
      </c>
      <c r="S81" s="95">
        <f t="shared" si="17"/>
        <v>0.22887114077959231</v>
      </c>
    </row>
    <row r="82" spans="1:19" ht="20.25" customHeight="1">
      <c r="A82" s="63">
        <v>68</v>
      </c>
      <c r="B82" s="62" t="s">
        <v>177</v>
      </c>
      <c r="C82" s="6" t="s">
        <v>178</v>
      </c>
      <c r="D82" s="21" t="s">
        <v>60</v>
      </c>
      <c r="E82" s="73">
        <v>56</v>
      </c>
      <c r="F82" s="1">
        <v>16</v>
      </c>
      <c r="G82" s="1">
        <v>150</v>
      </c>
      <c r="H82" s="1">
        <v>150</v>
      </c>
      <c r="I82" s="1">
        <v>150</v>
      </c>
      <c r="J82" s="1">
        <v>150</v>
      </c>
      <c r="K82" s="1">
        <v>150</v>
      </c>
      <c r="L82" s="1">
        <v>150</v>
      </c>
      <c r="M82" s="1">
        <v>150</v>
      </c>
      <c r="N82" s="1">
        <v>150</v>
      </c>
      <c r="O82" s="1">
        <v>150</v>
      </c>
      <c r="P82" s="1">
        <v>150</v>
      </c>
      <c r="Q82" s="1">
        <v>150</v>
      </c>
      <c r="R82" s="1">
        <v>150</v>
      </c>
      <c r="S82" s="95">
        <f t="shared" si="17"/>
        <v>0.35761115746811301</v>
      </c>
    </row>
    <row r="83" spans="1:19" s="13" customFormat="1" ht="20.25" customHeight="1">
      <c r="A83" s="63">
        <v>69</v>
      </c>
      <c r="B83" s="62" t="s">
        <v>179</v>
      </c>
      <c r="C83" s="6" t="s">
        <v>180</v>
      </c>
      <c r="D83" s="21" t="s">
        <v>61</v>
      </c>
      <c r="E83" s="73">
        <v>192</v>
      </c>
      <c r="F83" s="1">
        <v>18</v>
      </c>
      <c r="G83" s="1">
        <v>192</v>
      </c>
      <c r="H83" s="1">
        <v>192</v>
      </c>
      <c r="I83" s="1">
        <v>192</v>
      </c>
      <c r="J83" s="1">
        <v>192</v>
      </c>
      <c r="K83" s="1">
        <v>192</v>
      </c>
      <c r="L83" s="1">
        <v>192</v>
      </c>
      <c r="M83" s="1">
        <v>192</v>
      </c>
      <c r="N83" s="1">
        <v>192</v>
      </c>
      <c r="O83" s="1">
        <v>192</v>
      </c>
      <c r="P83" s="1">
        <v>192</v>
      </c>
      <c r="Q83" s="1">
        <v>192</v>
      </c>
      <c r="R83" s="1">
        <v>192</v>
      </c>
      <c r="S83" s="95">
        <f t="shared" si="17"/>
        <v>0.45774228155918462</v>
      </c>
    </row>
    <row r="84" spans="1:19" s="13" customFormat="1" ht="20.25" customHeight="1">
      <c r="A84" s="63">
        <v>70</v>
      </c>
      <c r="B84" s="62" t="s">
        <v>372</v>
      </c>
      <c r="C84" s="6" t="s">
        <v>206</v>
      </c>
      <c r="D84" s="21" t="s">
        <v>61</v>
      </c>
      <c r="E84" s="73">
        <v>64</v>
      </c>
      <c r="F84" s="1">
        <v>12</v>
      </c>
      <c r="G84" s="1">
        <v>174</v>
      </c>
      <c r="H84" s="1">
        <v>178</v>
      </c>
      <c r="I84" s="1">
        <v>178</v>
      </c>
      <c r="J84" s="1">
        <v>178</v>
      </c>
      <c r="K84" s="1">
        <v>178</v>
      </c>
      <c r="L84" s="1">
        <v>178</v>
      </c>
      <c r="M84" s="1">
        <v>196</v>
      </c>
      <c r="N84" s="1">
        <v>196</v>
      </c>
      <c r="O84" s="1">
        <v>196</v>
      </c>
      <c r="P84" s="1">
        <v>222</v>
      </c>
      <c r="Q84" s="1">
        <v>224</v>
      </c>
      <c r="R84" s="1">
        <v>278</v>
      </c>
      <c r="S84" s="95">
        <f t="shared" si="17"/>
        <v>0.66277267850756938</v>
      </c>
    </row>
    <row r="85" spans="1:19" s="13" customFormat="1" ht="20.25" customHeight="1">
      <c r="A85" s="63">
        <v>71</v>
      </c>
      <c r="B85" s="62" t="s">
        <v>181</v>
      </c>
      <c r="C85" s="6" t="s">
        <v>182</v>
      </c>
      <c r="D85" s="61" t="s">
        <v>54</v>
      </c>
      <c r="E85" s="73">
        <v>40</v>
      </c>
      <c r="F85" s="1">
        <v>11.3</v>
      </c>
      <c r="G85" s="1">
        <v>132</v>
      </c>
      <c r="H85" s="1">
        <v>132</v>
      </c>
      <c r="I85" s="1">
        <v>220</v>
      </c>
      <c r="J85" s="1">
        <v>220</v>
      </c>
      <c r="K85" s="1">
        <v>220</v>
      </c>
      <c r="L85" s="1">
        <v>220</v>
      </c>
      <c r="M85" s="1">
        <v>280</v>
      </c>
      <c r="N85" s="1">
        <v>280</v>
      </c>
      <c r="O85" s="1">
        <v>280</v>
      </c>
      <c r="P85" s="1">
        <v>280</v>
      </c>
      <c r="Q85" s="1">
        <v>280</v>
      </c>
      <c r="R85" s="1">
        <v>280</v>
      </c>
      <c r="S85" s="95">
        <f t="shared" si="17"/>
        <v>0.66754082727381092</v>
      </c>
    </row>
    <row r="86" spans="1:19" s="13" customFormat="1" ht="20.25" customHeight="1">
      <c r="A86" s="63">
        <v>72</v>
      </c>
      <c r="B86" s="62" t="s">
        <v>62</v>
      </c>
      <c r="C86" s="6" t="s">
        <v>183</v>
      </c>
      <c r="D86" s="5" t="s">
        <v>56</v>
      </c>
      <c r="E86" s="73">
        <v>20</v>
      </c>
      <c r="F86" s="1">
        <v>13</v>
      </c>
      <c r="G86" s="1">
        <v>296</v>
      </c>
      <c r="H86" s="1">
        <v>296</v>
      </c>
      <c r="I86" s="1">
        <v>296</v>
      </c>
      <c r="J86" s="1">
        <v>296</v>
      </c>
      <c r="K86" s="1">
        <v>296</v>
      </c>
      <c r="L86" s="1">
        <v>296</v>
      </c>
      <c r="M86" s="1">
        <v>296</v>
      </c>
      <c r="N86" s="1">
        <v>296</v>
      </c>
      <c r="O86" s="1">
        <v>296</v>
      </c>
      <c r="P86" s="1">
        <v>296</v>
      </c>
      <c r="Q86" s="1">
        <v>304</v>
      </c>
      <c r="R86" s="1">
        <v>304</v>
      </c>
      <c r="S86" s="95">
        <f t="shared" si="17"/>
        <v>0.72475861246870898</v>
      </c>
    </row>
    <row r="87" spans="1:19" s="13" customFormat="1" ht="20.25" customHeight="1">
      <c r="A87" s="63">
        <v>73</v>
      </c>
      <c r="B87" s="62" t="s">
        <v>184</v>
      </c>
      <c r="C87" s="6" t="s">
        <v>185</v>
      </c>
      <c r="D87" s="61" t="s">
        <v>54</v>
      </c>
      <c r="E87" s="73">
        <v>18</v>
      </c>
      <c r="F87" s="1">
        <v>23</v>
      </c>
      <c r="G87" s="1">
        <v>80</v>
      </c>
      <c r="H87" s="1">
        <v>80</v>
      </c>
      <c r="I87" s="1">
        <v>80</v>
      </c>
      <c r="J87" s="1">
        <v>104</v>
      </c>
      <c r="K87" s="1">
        <v>104</v>
      </c>
      <c r="L87" s="1">
        <v>104</v>
      </c>
      <c r="M87" s="1">
        <v>104</v>
      </c>
      <c r="N87" s="1">
        <v>104</v>
      </c>
      <c r="O87" s="1">
        <v>104</v>
      </c>
      <c r="P87" s="1">
        <v>104</v>
      </c>
      <c r="Q87" s="1">
        <v>104</v>
      </c>
      <c r="R87" s="1">
        <v>104</v>
      </c>
      <c r="S87" s="95">
        <f t="shared" si="17"/>
        <v>0.24794373584455837</v>
      </c>
    </row>
    <row r="88" spans="1:19" s="13" customFormat="1" ht="20.25" customHeight="1">
      <c r="A88" s="63">
        <v>74</v>
      </c>
      <c r="B88" s="62" t="s">
        <v>63</v>
      </c>
      <c r="C88" s="6" t="s">
        <v>186</v>
      </c>
      <c r="D88" s="61" t="s">
        <v>52</v>
      </c>
      <c r="E88" s="73">
        <v>18</v>
      </c>
      <c r="F88" s="1">
        <v>19.3</v>
      </c>
      <c r="G88" s="1">
        <v>448</v>
      </c>
      <c r="H88" s="1">
        <v>448</v>
      </c>
      <c r="I88" s="1">
        <v>492</v>
      </c>
      <c r="J88" s="1">
        <v>492</v>
      </c>
      <c r="K88" s="1">
        <v>492</v>
      </c>
      <c r="L88" s="1">
        <v>492</v>
      </c>
      <c r="M88" s="1">
        <v>492</v>
      </c>
      <c r="N88" s="1">
        <v>544</v>
      </c>
      <c r="O88" s="1">
        <v>544</v>
      </c>
      <c r="P88" s="1">
        <v>544</v>
      </c>
      <c r="Q88" s="1">
        <v>544</v>
      </c>
      <c r="R88" s="1">
        <v>544</v>
      </c>
      <c r="S88" s="95">
        <f t="shared" si="17"/>
        <v>1.2969364644176897</v>
      </c>
    </row>
    <row r="89" spans="1:19" s="13" customFormat="1" ht="20.25" customHeight="1">
      <c r="A89" s="63">
        <v>75</v>
      </c>
      <c r="B89" s="62" t="s">
        <v>414</v>
      </c>
      <c r="C89" s="6" t="s">
        <v>187</v>
      </c>
      <c r="D89" s="21" t="s">
        <v>53</v>
      </c>
      <c r="E89" s="73">
        <v>50</v>
      </c>
      <c r="F89" s="1">
        <v>29</v>
      </c>
      <c r="G89" s="1">
        <v>206</v>
      </c>
      <c r="H89" s="1">
        <v>206</v>
      </c>
      <c r="I89" s="1">
        <v>206</v>
      </c>
      <c r="J89" s="1">
        <v>206</v>
      </c>
      <c r="K89" s="1">
        <v>206</v>
      </c>
      <c r="L89" s="1">
        <v>206</v>
      </c>
      <c r="M89" s="1">
        <v>200</v>
      </c>
      <c r="N89" s="1">
        <v>200</v>
      </c>
      <c r="O89" s="1">
        <v>200</v>
      </c>
      <c r="P89" s="1">
        <v>200</v>
      </c>
      <c r="Q89" s="1">
        <v>200</v>
      </c>
      <c r="R89" s="1">
        <v>200</v>
      </c>
      <c r="S89" s="95">
        <f t="shared" si="17"/>
        <v>0.47681487662415067</v>
      </c>
    </row>
    <row r="90" spans="1:19" s="13" customFormat="1" ht="20.25" customHeight="1">
      <c r="A90" s="63">
        <v>76</v>
      </c>
      <c r="B90" s="62" t="s">
        <v>64</v>
      </c>
      <c r="C90" s="6" t="s">
        <v>188</v>
      </c>
      <c r="D90" s="61" t="s">
        <v>65</v>
      </c>
      <c r="E90" s="73">
        <v>12</v>
      </c>
      <c r="F90" s="1">
        <v>27.4</v>
      </c>
      <c r="G90" s="1">
        <v>14</v>
      </c>
      <c r="H90" s="1">
        <v>14</v>
      </c>
      <c r="I90" s="1">
        <v>14</v>
      </c>
      <c r="J90" s="1">
        <v>14</v>
      </c>
      <c r="K90" s="1">
        <v>14</v>
      </c>
      <c r="L90" s="1">
        <v>14</v>
      </c>
      <c r="M90" s="1">
        <v>14</v>
      </c>
      <c r="N90" s="1">
        <v>14</v>
      </c>
      <c r="O90" s="1">
        <v>14</v>
      </c>
      <c r="P90" s="1">
        <v>0</v>
      </c>
      <c r="Q90" s="1">
        <v>0</v>
      </c>
      <c r="R90" s="1">
        <v>0</v>
      </c>
      <c r="S90" s="95">
        <f t="shared" si="17"/>
        <v>0</v>
      </c>
    </row>
    <row r="91" spans="1:19" s="13" customFormat="1" ht="20.25" customHeight="1">
      <c r="A91" s="63">
        <v>77</v>
      </c>
      <c r="B91" s="62" t="s">
        <v>66</v>
      </c>
      <c r="C91" s="6" t="s">
        <v>189</v>
      </c>
      <c r="D91" s="21">
        <v>1981</v>
      </c>
      <c r="E91" s="73">
        <v>12</v>
      </c>
      <c r="F91" s="1">
        <v>30</v>
      </c>
      <c r="G91" s="1">
        <v>70</v>
      </c>
      <c r="H91" s="1">
        <v>70</v>
      </c>
      <c r="I91" s="1">
        <v>70</v>
      </c>
      <c r="J91" s="1">
        <v>70</v>
      </c>
      <c r="K91" s="1">
        <v>70</v>
      </c>
      <c r="L91" s="1">
        <v>70</v>
      </c>
      <c r="M91" s="1">
        <v>70</v>
      </c>
      <c r="N91" s="1">
        <v>70</v>
      </c>
      <c r="O91" s="1">
        <v>70</v>
      </c>
      <c r="P91" s="1">
        <v>66</v>
      </c>
      <c r="Q91" s="1">
        <v>66</v>
      </c>
      <c r="R91" s="1">
        <v>66</v>
      </c>
      <c r="S91" s="95">
        <f t="shared" si="17"/>
        <v>0.15734890928596973</v>
      </c>
    </row>
    <row r="92" spans="1:19" ht="20.25" customHeight="1">
      <c r="A92" s="63">
        <v>78</v>
      </c>
      <c r="B92" s="62" t="s">
        <v>67</v>
      </c>
      <c r="C92" s="6" t="s">
        <v>190</v>
      </c>
      <c r="D92" s="5" t="s">
        <v>56</v>
      </c>
      <c r="E92" s="73">
        <v>120</v>
      </c>
      <c r="F92" s="1">
        <v>29</v>
      </c>
      <c r="G92" s="1">
        <v>120</v>
      </c>
      <c r="H92" s="1">
        <v>120</v>
      </c>
      <c r="I92" s="1">
        <v>120</v>
      </c>
      <c r="J92" s="1">
        <v>120</v>
      </c>
      <c r="K92" s="1">
        <v>120</v>
      </c>
      <c r="L92" s="1">
        <v>120</v>
      </c>
      <c r="M92" s="1">
        <v>120</v>
      </c>
      <c r="N92" s="1">
        <v>120</v>
      </c>
      <c r="O92" s="1">
        <v>120</v>
      </c>
      <c r="P92" s="1">
        <v>0</v>
      </c>
      <c r="Q92" s="1">
        <v>0</v>
      </c>
      <c r="R92" s="1">
        <v>0</v>
      </c>
      <c r="S92" s="95">
        <f t="shared" si="17"/>
        <v>0</v>
      </c>
    </row>
    <row r="93" spans="1:19" s="13" customFormat="1" ht="20.25" customHeight="1">
      <c r="A93" s="63">
        <v>79</v>
      </c>
      <c r="B93" s="62" t="s">
        <v>191</v>
      </c>
      <c r="C93" s="6" t="s">
        <v>192</v>
      </c>
      <c r="D93" s="61" t="s">
        <v>53</v>
      </c>
      <c r="E93" s="73">
        <v>44</v>
      </c>
      <c r="F93" s="1">
        <v>8</v>
      </c>
      <c r="G93" s="1">
        <v>236</v>
      </c>
      <c r="H93" s="1">
        <v>236</v>
      </c>
      <c r="I93" s="1">
        <v>236</v>
      </c>
      <c r="J93" s="1">
        <v>236</v>
      </c>
      <c r="K93" s="1">
        <v>236</v>
      </c>
      <c r="L93" s="1">
        <v>236</v>
      </c>
      <c r="M93" s="1">
        <v>236</v>
      </c>
      <c r="N93" s="1">
        <v>236</v>
      </c>
      <c r="O93" s="1">
        <v>236</v>
      </c>
      <c r="P93" s="1">
        <v>236</v>
      </c>
      <c r="Q93" s="1">
        <v>236</v>
      </c>
      <c r="R93" s="1">
        <v>236</v>
      </c>
      <c r="S93" s="95">
        <f t="shared" si="17"/>
        <v>0.56264155441649777</v>
      </c>
    </row>
    <row r="94" spans="1:19" s="13" customFormat="1" ht="20.25" customHeight="1">
      <c r="A94" s="63">
        <v>80</v>
      </c>
      <c r="B94" s="62" t="s">
        <v>193</v>
      </c>
      <c r="C94" s="6" t="s">
        <v>194</v>
      </c>
      <c r="D94" s="61" t="s">
        <v>61</v>
      </c>
      <c r="E94" s="73">
        <v>40</v>
      </c>
      <c r="F94" s="1">
        <v>40</v>
      </c>
      <c r="G94" s="1">
        <v>114</v>
      </c>
      <c r="H94" s="1">
        <v>114</v>
      </c>
      <c r="I94" s="1">
        <v>114</v>
      </c>
      <c r="J94" s="1">
        <v>114</v>
      </c>
      <c r="K94" s="1">
        <v>114</v>
      </c>
      <c r="L94" s="1">
        <v>152</v>
      </c>
      <c r="M94" s="1">
        <v>152</v>
      </c>
      <c r="N94" s="1">
        <v>152</v>
      </c>
      <c r="O94" s="1">
        <v>152</v>
      </c>
      <c r="P94" s="1">
        <v>152</v>
      </c>
      <c r="Q94" s="1">
        <v>152</v>
      </c>
      <c r="R94" s="1">
        <v>152</v>
      </c>
      <c r="S94" s="95">
        <f t="shared" si="17"/>
        <v>0.36237930623435449</v>
      </c>
    </row>
    <row r="95" spans="1:19" s="13" customFormat="1" ht="20.25" customHeight="1">
      <c r="A95" s="63">
        <v>81</v>
      </c>
      <c r="B95" s="62" t="s">
        <v>195</v>
      </c>
      <c r="C95" s="6" t="s">
        <v>196</v>
      </c>
      <c r="D95" s="61" t="s">
        <v>56</v>
      </c>
      <c r="E95" s="73">
        <v>90</v>
      </c>
      <c r="F95" s="1">
        <v>28</v>
      </c>
      <c r="G95" s="1">
        <v>300</v>
      </c>
      <c r="H95" s="1">
        <v>300</v>
      </c>
      <c r="I95" s="1">
        <v>300</v>
      </c>
      <c r="J95" s="1">
        <v>300</v>
      </c>
      <c r="K95" s="1">
        <v>300</v>
      </c>
      <c r="L95" s="1">
        <v>300</v>
      </c>
      <c r="M95" s="1">
        <v>300</v>
      </c>
      <c r="N95" s="1">
        <v>300</v>
      </c>
      <c r="O95" s="1">
        <v>300</v>
      </c>
      <c r="P95" s="1">
        <v>300</v>
      </c>
      <c r="Q95" s="1">
        <v>300</v>
      </c>
      <c r="R95" s="1">
        <v>300</v>
      </c>
      <c r="S95" s="95">
        <f t="shared" si="17"/>
        <v>0.71522231493622601</v>
      </c>
    </row>
    <row r="96" spans="1:19" s="13" customFormat="1" ht="20.25" customHeight="1">
      <c r="A96" s="63">
        <v>82</v>
      </c>
      <c r="B96" s="62" t="s">
        <v>68</v>
      </c>
      <c r="C96" s="6" t="s">
        <v>197</v>
      </c>
      <c r="D96" s="61" t="s">
        <v>69</v>
      </c>
      <c r="E96" s="73">
        <v>32</v>
      </c>
      <c r="F96" s="1">
        <v>12.9</v>
      </c>
      <c r="G96" s="1">
        <v>212</v>
      </c>
      <c r="H96" s="1">
        <v>212</v>
      </c>
      <c r="I96" s="1">
        <v>212</v>
      </c>
      <c r="J96" s="1">
        <v>212</v>
      </c>
      <c r="K96" s="1">
        <v>212</v>
      </c>
      <c r="L96" s="1">
        <v>212</v>
      </c>
      <c r="M96" s="1">
        <v>220</v>
      </c>
      <c r="N96" s="1">
        <v>220</v>
      </c>
      <c r="O96" s="1">
        <v>220</v>
      </c>
      <c r="P96" s="1">
        <v>220</v>
      </c>
      <c r="Q96" s="1">
        <v>220</v>
      </c>
      <c r="R96" s="1">
        <v>224</v>
      </c>
      <c r="S96" s="95">
        <f t="shared" si="17"/>
        <v>0.53403266181904874</v>
      </c>
    </row>
    <row r="97" spans="1:19" s="13" customFormat="1" ht="20.25" customHeight="1">
      <c r="A97" s="63">
        <v>83</v>
      </c>
      <c r="B97" s="62" t="s">
        <v>70</v>
      </c>
      <c r="C97" s="6" t="s">
        <v>198</v>
      </c>
      <c r="D97" s="61" t="s">
        <v>54</v>
      </c>
      <c r="E97" s="73">
        <v>44</v>
      </c>
      <c r="F97" s="1">
        <v>38</v>
      </c>
      <c r="G97" s="1">
        <v>200</v>
      </c>
      <c r="H97" s="1">
        <v>200</v>
      </c>
      <c r="I97" s="1">
        <v>200</v>
      </c>
      <c r="J97" s="1">
        <v>200</v>
      </c>
      <c r="K97" s="1">
        <v>200</v>
      </c>
      <c r="L97" s="1">
        <v>200</v>
      </c>
      <c r="M97" s="1">
        <v>150</v>
      </c>
      <c r="N97" s="1">
        <v>150</v>
      </c>
      <c r="O97" s="1">
        <v>150</v>
      </c>
      <c r="P97" s="1">
        <v>150</v>
      </c>
      <c r="Q97" s="1">
        <v>150</v>
      </c>
      <c r="R97" s="1">
        <v>150</v>
      </c>
      <c r="S97" s="95">
        <f t="shared" si="17"/>
        <v>0.35761115746811301</v>
      </c>
    </row>
    <row r="98" spans="1:19" ht="20.25" customHeight="1">
      <c r="A98" s="63">
        <v>84</v>
      </c>
      <c r="B98" s="62" t="s">
        <v>77</v>
      </c>
      <c r="C98" s="6" t="s">
        <v>199</v>
      </c>
      <c r="D98" s="61" t="s">
        <v>54</v>
      </c>
      <c r="E98" s="73">
        <v>12</v>
      </c>
      <c r="F98" s="1">
        <v>9.6999999999999993</v>
      </c>
      <c r="G98" s="1">
        <v>94</v>
      </c>
      <c r="H98" s="1">
        <v>94</v>
      </c>
      <c r="I98" s="1">
        <v>94</v>
      </c>
      <c r="J98" s="1">
        <v>94</v>
      </c>
      <c r="K98" s="1">
        <v>94</v>
      </c>
      <c r="L98" s="1">
        <v>94</v>
      </c>
      <c r="M98" s="1">
        <v>94</v>
      </c>
      <c r="N98" s="1">
        <v>94</v>
      </c>
      <c r="O98" s="1">
        <v>94</v>
      </c>
      <c r="P98" s="1">
        <v>94</v>
      </c>
      <c r="Q98" s="1">
        <v>94</v>
      </c>
      <c r="R98" s="1">
        <v>98</v>
      </c>
      <c r="S98" s="95">
        <f t="shared" si="17"/>
        <v>0.23363928954583382</v>
      </c>
    </row>
    <row r="99" spans="1:19" s="13" customFormat="1" ht="20.25" customHeight="1">
      <c r="A99" s="63">
        <v>85</v>
      </c>
      <c r="B99" s="62" t="s">
        <v>200</v>
      </c>
      <c r="C99" s="6" t="s">
        <v>201</v>
      </c>
      <c r="D99" s="61" t="s">
        <v>4</v>
      </c>
      <c r="E99" s="1">
        <v>250</v>
      </c>
      <c r="F99" s="1">
        <v>18.3</v>
      </c>
      <c r="G99" s="1" t="s">
        <v>7</v>
      </c>
      <c r="H99" s="1" t="s">
        <v>7</v>
      </c>
      <c r="I99" s="1" t="s">
        <v>7</v>
      </c>
      <c r="J99" s="1" t="s">
        <v>7</v>
      </c>
      <c r="K99" s="1" t="s">
        <v>7</v>
      </c>
      <c r="L99" s="5" t="s">
        <v>7</v>
      </c>
      <c r="M99" s="1">
        <v>250</v>
      </c>
      <c r="N99" s="1">
        <v>250</v>
      </c>
      <c r="O99" s="1">
        <v>250</v>
      </c>
      <c r="P99" s="1">
        <v>250</v>
      </c>
      <c r="Q99" s="1">
        <v>250</v>
      </c>
      <c r="R99" s="1">
        <v>250</v>
      </c>
      <c r="S99" s="95">
        <f t="shared" si="17"/>
        <v>0.59601859578018834</v>
      </c>
    </row>
    <row r="100" spans="1:19" s="13" customFormat="1" ht="20.25" customHeight="1">
      <c r="A100" s="63">
        <v>86</v>
      </c>
      <c r="B100" s="62" t="s">
        <v>202</v>
      </c>
      <c r="C100" s="62" t="s">
        <v>230</v>
      </c>
      <c r="D100" s="61" t="s">
        <v>113</v>
      </c>
      <c r="E100" s="1">
        <v>394</v>
      </c>
      <c r="F100" s="1">
        <v>4.2</v>
      </c>
      <c r="G100" s="1" t="s">
        <v>7</v>
      </c>
      <c r="H100" s="1" t="s">
        <v>7</v>
      </c>
      <c r="I100" s="1" t="s">
        <v>7</v>
      </c>
      <c r="J100" s="1" t="s">
        <v>7</v>
      </c>
      <c r="K100" s="1" t="s">
        <v>7</v>
      </c>
      <c r="L100" s="5" t="s">
        <v>7</v>
      </c>
      <c r="M100" s="5" t="s">
        <v>7</v>
      </c>
      <c r="N100" s="5" t="s">
        <v>7</v>
      </c>
      <c r="O100" s="1">
        <v>394</v>
      </c>
      <c r="P100" s="1">
        <v>396</v>
      </c>
      <c r="Q100" s="1">
        <v>396</v>
      </c>
      <c r="R100" s="1">
        <v>396</v>
      </c>
      <c r="S100" s="95">
        <f t="shared" si="17"/>
        <v>0.94409345571581837</v>
      </c>
    </row>
    <row r="101" spans="1:19" s="13" customFormat="1" ht="20.25" customHeight="1">
      <c r="A101" s="63">
        <v>87</v>
      </c>
      <c r="B101" s="62" t="s">
        <v>415</v>
      </c>
      <c r="C101" s="62" t="s">
        <v>416</v>
      </c>
      <c r="D101" s="21" t="s">
        <v>402</v>
      </c>
      <c r="E101" s="1">
        <v>238</v>
      </c>
      <c r="F101" s="1">
        <v>19</v>
      </c>
      <c r="G101" s="1" t="s">
        <v>7</v>
      </c>
      <c r="H101" s="1" t="s">
        <v>7</v>
      </c>
      <c r="I101" s="1" t="s">
        <v>7</v>
      </c>
      <c r="J101" s="1" t="s">
        <v>7</v>
      </c>
      <c r="K101" s="1" t="s">
        <v>7</v>
      </c>
      <c r="L101" s="1" t="s">
        <v>7</v>
      </c>
      <c r="M101" s="1" t="s">
        <v>7</v>
      </c>
      <c r="N101" s="1" t="s">
        <v>7</v>
      </c>
      <c r="O101" s="1" t="s">
        <v>7</v>
      </c>
      <c r="P101" s="1" t="s">
        <v>7</v>
      </c>
      <c r="Q101" s="1" t="s">
        <v>7</v>
      </c>
      <c r="R101" s="1">
        <v>238</v>
      </c>
      <c r="S101" s="95">
        <f t="shared" si="17"/>
        <v>0.56740970318273931</v>
      </c>
    </row>
    <row r="102" spans="1:19" s="13" customFormat="1" ht="20.25" customHeight="1">
      <c r="A102" s="63">
        <v>88</v>
      </c>
      <c r="B102" s="62" t="s">
        <v>203</v>
      </c>
      <c r="C102" s="6" t="s">
        <v>204</v>
      </c>
      <c r="D102" s="61" t="s">
        <v>71</v>
      </c>
      <c r="E102" s="73">
        <v>98</v>
      </c>
      <c r="F102" s="1">
        <v>27.4</v>
      </c>
      <c r="G102" s="1">
        <v>322</v>
      </c>
      <c r="H102" s="1">
        <v>322</v>
      </c>
      <c r="I102" s="1">
        <v>322</v>
      </c>
      <c r="J102" s="1">
        <v>322</v>
      </c>
      <c r="K102" s="1">
        <v>322</v>
      </c>
      <c r="L102" s="1">
        <v>322</v>
      </c>
      <c r="M102" s="1">
        <v>322</v>
      </c>
      <c r="N102" s="1">
        <v>322</v>
      </c>
      <c r="O102" s="1">
        <v>322</v>
      </c>
      <c r="P102" s="1">
        <v>322</v>
      </c>
      <c r="Q102" s="1">
        <v>322</v>
      </c>
      <c r="R102" s="1">
        <v>322</v>
      </c>
      <c r="S102" s="95">
        <f t="shared" si="17"/>
        <v>0.76767195136488264</v>
      </c>
    </row>
    <row r="103" spans="1:19" s="13" customFormat="1" ht="20.25" customHeight="1">
      <c r="A103" s="63">
        <v>89</v>
      </c>
      <c r="B103" s="62" t="s">
        <v>72</v>
      </c>
      <c r="C103" s="6" t="s">
        <v>205</v>
      </c>
      <c r="D103" s="5" t="s">
        <v>53</v>
      </c>
      <c r="E103" s="73">
        <v>80</v>
      </c>
      <c r="F103" s="1">
        <v>25.7</v>
      </c>
      <c r="G103" s="1">
        <v>102</v>
      </c>
      <c r="H103" s="1">
        <v>102</v>
      </c>
      <c r="I103" s="1">
        <v>102</v>
      </c>
      <c r="J103" s="1">
        <v>102</v>
      </c>
      <c r="K103" s="1">
        <v>102</v>
      </c>
      <c r="L103" s="1">
        <v>102</v>
      </c>
      <c r="M103" s="1">
        <v>98</v>
      </c>
      <c r="N103" s="1">
        <v>98</v>
      </c>
      <c r="O103" s="1">
        <v>98</v>
      </c>
      <c r="P103" s="1">
        <v>98</v>
      </c>
      <c r="Q103" s="1">
        <v>98</v>
      </c>
      <c r="R103" s="1">
        <v>98</v>
      </c>
      <c r="S103" s="95">
        <f t="shared" si="17"/>
        <v>0.23363928954583382</v>
      </c>
    </row>
    <row r="104" spans="1:19" s="13" customFormat="1" ht="20.25" customHeight="1">
      <c r="A104" s="63">
        <v>90</v>
      </c>
      <c r="B104" s="62" t="s">
        <v>373</v>
      </c>
      <c r="C104" s="6" t="s">
        <v>374</v>
      </c>
      <c r="D104" s="21" t="s">
        <v>369</v>
      </c>
      <c r="E104" s="73">
        <v>100</v>
      </c>
      <c r="F104" s="1">
        <v>54.3</v>
      </c>
      <c r="G104" s="1"/>
      <c r="H104" s="1"/>
      <c r="I104" s="1"/>
      <c r="J104" s="1"/>
      <c r="K104" s="1"/>
      <c r="L104" s="1"/>
      <c r="M104" s="1"/>
      <c r="N104" s="1"/>
      <c r="O104" s="1"/>
      <c r="P104" s="1">
        <v>100</v>
      </c>
      <c r="Q104" s="1">
        <v>100</v>
      </c>
      <c r="R104" s="1">
        <v>100</v>
      </c>
      <c r="S104" s="95">
        <f t="shared" si="17"/>
        <v>0.23840743831207534</v>
      </c>
    </row>
    <row r="105" spans="1:19" s="13" customFormat="1" ht="20.25" customHeight="1">
      <c r="A105" s="63">
        <v>91</v>
      </c>
      <c r="B105" s="62" t="s">
        <v>395</v>
      </c>
      <c r="C105" s="6" t="s">
        <v>396</v>
      </c>
      <c r="D105" s="21" t="s">
        <v>384</v>
      </c>
      <c r="E105" s="73">
        <v>198</v>
      </c>
      <c r="F105" s="1">
        <v>25.6</v>
      </c>
      <c r="G105" s="1" t="s">
        <v>7</v>
      </c>
      <c r="H105" s="1" t="s">
        <v>7</v>
      </c>
      <c r="I105" s="1" t="s">
        <v>7</v>
      </c>
      <c r="J105" s="1" t="s">
        <v>7</v>
      </c>
      <c r="K105" s="1" t="s">
        <v>7</v>
      </c>
      <c r="L105" s="1" t="s">
        <v>7</v>
      </c>
      <c r="M105" s="1" t="s">
        <v>7</v>
      </c>
      <c r="N105" s="1" t="s">
        <v>7</v>
      </c>
      <c r="O105" s="1" t="s">
        <v>7</v>
      </c>
      <c r="P105" s="1" t="s">
        <v>7</v>
      </c>
      <c r="Q105" s="1">
        <v>198</v>
      </c>
      <c r="R105" s="1">
        <v>198</v>
      </c>
      <c r="S105" s="95">
        <f t="shared" si="17"/>
        <v>0.47204672785790919</v>
      </c>
    </row>
    <row r="106" spans="1:19" s="13" customFormat="1" ht="20.25" customHeight="1">
      <c r="A106" s="63">
        <v>92</v>
      </c>
      <c r="B106" s="62" t="s">
        <v>73</v>
      </c>
      <c r="C106" s="6" t="s">
        <v>207</v>
      </c>
      <c r="D106" s="5" t="s">
        <v>57</v>
      </c>
      <c r="E106" s="73">
        <v>60</v>
      </c>
      <c r="F106" s="1">
        <v>3.2</v>
      </c>
      <c r="G106" s="1">
        <v>362</v>
      </c>
      <c r="H106" s="1">
        <v>362</v>
      </c>
      <c r="I106" s="1">
        <v>362</v>
      </c>
      <c r="J106" s="1">
        <v>362</v>
      </c>
      <c r="K106" s="1">
        <v>362</v>
      </c>
      <c r="L106" s="1">
        <v>362</v>
      </c>
      <c r="M106" s="1">
        <v>362</v>
      </c>
      <c r="N106" s="1">
        <v>362</v>
      </c>
      <c r="O106" s="1">
        <v>362</v>
      </c>
      <c r="P106" s="1">
        <v>362</v>
      </c>
      <c r="Q106" s="1">
        <v>362</v>
      </c>
      <c r="R106" s="1">
        <v>362</v>
      </c>
      <c r="S106" s="95">
        <f t="shared" si="17"/>
        <v>0.86303492668971271</v>
      </c>
    </row>
    <row r="107" spans="1:19" s="13" customFormat="1" ht="20.25" customHeight="1">
      <c r="A107" s="63">
        <v>93</v>
      </c>
      <c r="B107" s="62" t="s">
        <v>397</v>
      </c>
      <c r="C107" s="6" t="s">
        <v>208</v>
      </c>
      <c r="D107" s="21">
        <v>2018</v>
      </c>
      <c r="E107" s="73">
        <v>362</v>
      </c>
      <c r="F107" s="1">
        <v>35</v>
      </c>
      <c r="G107" s="1" t="s">
        <v>7</v>
      </c>
      <c r="H107" s="1" t="s">
        <v>7</v>
      </c>
      <c r="I107" s="1" t="s">
        <v>7</v>
      </c>
      <c r="J107" s="1" t="s">
        <v>7</v>
      </c>
      <c r="K107" s="1" t="s">
        <v>7</v>
      </c>
      <c r="L107" s="1" t="s">
        <v>7</v>
      </c>
      <c r="M107" s="1" t="s">
        <v>7</v>
      </c>
      <c r="N107" s="1">
        <v>94</v>
      </c>
      <c r="O107" s="1">
        <v>182</v>
      </c>
      <c r="P107" s="1">
        <v>182</v>
      </c>
      <c r="Q107" s="1">
        <v>182</v>
      </c>
      <c r="R107" s="1">
        <v>182</v>
      </c>
      <c r="S107" s="95">
        <f t="shared" si="17"/>
        <v>0.43390153772797713</v>
      </c>
    </row>
    <row r="108" spans="1:19" s="13" customFormat="1" ht="20.25" customHeight="1">
      <c r="A108" s="63">
        <v>94</v>
      </c>
      <c r="B108" s="62" t="s">
        <v>209</v>
      </c>
      <c r="C108" s="6" t="s">
        <v>210</v>
      </c>
      <c r="D108" s="5" t="s">
        <v>50</v>
      </c>
      <c r="E108" s="73">
        <v>58</v>
      </c>
      <c r="F108" s="1">
        <v>38.6</v>
      </c>
      <c r="G108" s="1">
        <v>74</v>
      </c>
      <c r="H108" s="1">
        <v>74</v>
      </c>
      <c r="I108" s="1">
        <v>74</v>
      </c>
      <c r="J108" s="1">
        <v>74</v>
      </c>
      <c r="K108" s="1">
        <v>74</v>
      </c>
      <c r="L108" s="1">
        <v>74</v>
      </c>
      <c r="M108" s="1">
        <v>72</v>
      </c>
      <c r="N108" s="1">
        <v>72</v>
      </c>
      <c r="O108" s="1">
        <v>72</v>
      </c>
      <c r="P108" s="1">
        <v>72</v>
      </c>
      <c r="Q108" s="1">
        <v>72</v>
      </c>
      <c r="R108" s="1">
        <v>72</v>
      </c>
      <c r="S108" s="95">
        <f t="shared" si="17"/>
        <v>0.17165335558469424</v>
      </c>
    </row>
    <row r="109" spans="1:19" s="13" customFormat="1" ht="20.25" customHeight="1">
      <c r="A109" s="63">
        <v>95</v>
      </c>
      <c r="B109" s="62" t="s">
        <v>211</v>
      </c>
      <c r="C109" s="6" t="s">
        <v>212</v>
      </c>
      <c r="D109" s="70">
        <v>2016</v>
      </c>
      <c r="E109" s="73">
        <v>164</v>
      </c>
      <c r="F109" s="1">
        <v>8</v>
      </c>
      <c r="G109" s="1" t="s">
        <v>7</v>
      </c>
      <c r="H109" s="1" t="s">
        <v>7</v>
      </c>
      <c r="I109" s="1" t="s">
        <v>7</v>
      </c>
      <c r="J109" s="1" t="s">
        <v>7</v>
      </c>
      <c r="K109" s="1" t="s">
        <v>7</v>
      </c>
      <c r="L109" s="1">
        <v>164</v>
      </c>
      <c r="M109" s="1">
        <v>164</v>
      </c>
      <c r="N109" s="1">
        <v>164</v>
      </c>
      <c r="O109" s="1">
        <v>164</v>
      </c>
      <c r="P109" s="1">
        <v>164</v>
      </c>
      <c r="Q109" s="1">
        <v>164</v>
      </c>
      <c r="R109" s="1">
        <v>164</v>
      </c>
      <c r="S109" s="95">
        <f t="shared" si="17"/>
        <v>0.39098819883180358</v>
      </c>
    </row>
    <row r="110" spans="1:19" s="13" customFormat="1" ht="20.25" customHeight="1">
      <c r="A110" s="63">
        <v>96</v>
      </c>
      <c r="B110" s="62" t="s">
        <v>74</v>
      </c>
      <c r="C110" s="6" t="s">
        <v>213</v>
      </c>
      <c r="D110" s="5" t="s">
        <v>52</v>
      </c>
      <c r="E110" s="73">
        <v>128</v>
      </c>
      <c r="F110" s="1">
        <v>37</v>
      </c>
      <c r="G110" s="1">
        <v>570</v>
      </c>
      <c r="H110" s="1">
        <v>570</v>
      </c>
      <c r="I110" s="1">
        <v>570</v>
      </c>
      <c r="J110" s="1">
        <v>570</v>
      </c>
      <c r="K110" s="1">
        <v>570</v>
      </c>
      <c r="L110" s="1">
        <v>570</v>
      </c>
      <c r="M110" s="1">
        <v>572</v>
      </c>
      <c r="N110" s="1">
        <v>572</v>
      </c>
      <c r="O110" s="1">
        <v>572</v>
      </c>
      <c r="P110" s="1">
        <v>572</v>
      </c>
      <c r="Q110" s="1">
        <v>572</v>
      </c>
      <c r="R110" s="1">
        <v>572</v>
      </c>
      <c r="S110" s="95">
        <f t="shared" si="17"/>
        <v>1.3636905471450709</v>
      </c>
    </row>
    <row r="111" spans="1:19" s="13" customFormat="1" ht="20.25" customHeight="1">
      <c r="A111" s="63">
        <v>97</v>
      </c>
      <c r="B111" s="62" t="s">
        <v>417</v>
      </c>
      <c r="C111" s="6" t="s">
        <v>418</v>
      </c>
      <c r="D111" s="21">
        <v>2022</v>
      </c>
      <c r="E111" s="73">
        <v>70</v>
      </c>
      <c r="F111" s="1">
        <v>48.3</v>
      </c>
      <c r="G111" s="1" t="s">
        <v>7</v>
      </c>
      <c r="H111" s="1" t="s">
        <v>7</v>
      </c>
      <c r="I111" s="1" t="s">
        <v>7</v>
      </c>
      <c r="J111" s="1" t="s">
        <v>7</v>
      </c>
      <c r="K111" s="1" t="s">
        <v>7</v>
      </c>
      <c r="L111" s="1" t="s">
        <v>7</v>
      </c>
      <c r="M111" s="1" t="s">
        <v>7</v>
      </c>
      <c r="N111" s="1" t="s">
        <v>7</v>
      </c>
      <c r="O111" s="1" t="s">
        <v>7</v>
      </c>
      <c r="P111" s="1" t="s">
        <v>7</v>
      </c>
      <c r="Q111" s="1" t="s">
        <v>7</v>
      </c>
      <c r="R111" s="1">
        <v>70</v>
      </c>
      <c r="S111" s="95">
        <f t="shared" si="17"/>
        <v>0.16688520681845273</v>
      </c>
    </row>
    <row r="112" spans="1:19" s="13" customFormat="1" ht="20.25" customHeight="1">
      <c r="A112" s="63">
        <v>98</v>
      </c>
      <c r="B112" s="62" t="s">
        <v>75</v>
      </c>
      <c r="C112" s="6" t="s">
        <v>215</v>
      </c>
      <c r="D112" s="61" t="s">
        <v>53</v>
      </c>
      <c r="E112" s="73">
        <v>20</v>
      </c>
      <c r="F112" s="1">
        <v>46.7</v>
      </c>
      <c r="G112" s="1">
        <v>100</v>
      </c>
      <c r="H112" s="1">
        <v>100</v>
      </c>
      <c r="I112" s="1">
        <v>100</v>
      </c>
      <c r="J112" s="1">
        <v>100</v>
      </c>
      <c r="K112" s="1">
        <v>220</v>
      </c>
      <c r="L112" s="1">
        <v>236</v>
      </c>
      <c r="M112" s="1">
        <v>236</v>
      </c>
      <c r="N112" s="1">
        <v>236</v>
      </c>
      <c r="O112" s="1">
        <v>236</v>
      </c>
      <c r="P112" s="1">
        <v>236</v>
      </c>
      <c r="Q112" s="1">
        <v>236</v>
      </c>
      <c r="R112" s="1">
        <v>236</v>
      </c>
      <c r="S112" s="95">
        <f t="shared" si="17"/>
        <v>0.56264155441649777</v>
      </c>
    </row>
    <row r="113" spans="1:19" s="13" customFormat="1" ht="20.25" customHeight="1">
      <c r="A113" s="63">
        <v>99</v>
      </c>
      <c r="B113" s="62" t="s">
        <v>216</v>
      </c>
      <c r="C113" s="6" t="s">
        <v>217</v>
      </c>
      <c r="D113" s="61" t="s">
        <v>5</v>
      </c>
      <c r="E113" s="73">
        <v>236</v>
      </c>
      <c r="F113" s="1">
        <v>51.9</v>
      </c>
      <c r="G113" s="1"/>
      <c r="H113" s="1"/>
      <c r="I113" s="50" t="s">
        <v>7</v>
      </c>
      <c r="J113" s="50" t="s">
        <v>7</v>
      </c>
      <c r="K113" s="50" t="s">
        <v>7</v>
      </c>
      <c r="L113" s="50" t="s">
        <v>7</v>
      </c>
      <c r="M113" s="50" t="s">
        <v>7</v>
      </c>
      <c r="N113" s="1">
        <v>288</v>
      </c>
      <c r="O113" s="1">
        <v>288</v>
      </c>
      <c r="P113" s="1">
        <v>288</v>
      </c>
      <c r="Q113" s="1">
        <v>288</v>
      </c>
      <c r="R113" s="1">
        <v>288</v>
      </c>
      <c r="S113" s="95">
        <f t="shared" si="17"/>
        <v>0.68661342233877698</v>
      </c>
    </row>
    <row r="114" spans="1:19" s="13" customFormat="1" ht="20.25" customHeight="1">
      <c r="A114" s="63">
        <v>100</v>
      </c>
      <c r="B114" s="62" t="s">
        <v>219</v>
      </c>
      <c r="C114" s="6" t="s">
        <v>220</v>
      </c>
      <c r="D114" s="5" t="s">
        <v>53</v>
      </c>
      <c r="E114" s="73">
        <v>24</v>
      </c>
      <c r="F114" s="1">
        <v>64.400000000000006</v>
      </c>
      <c r="G114" s="1">
        <v>268</v>
      </c>
      <c r="H114" s="1">
        <v>268</v>
      </c>
      <c r="I114" s="1">
        <v>268</v>
      </c>
      <c r="J114" s="1">
        <v>268</v>
      </c>
      <c r="K114" s="1">
        <v>268</v>
      </c>
      <c r="L114" s="1">
        <v>268</v>
      </c>
      <c r="M114" s="1">
        <v>268</v>
      </c>
      <c r="N114" s="1">
        <v>268</v>
      </c>
      <c r="O114" s="1">
        <v>268</v>
      </c>
      <c r="P114" s="1">
        <v>268</v>
      </c>
      <c r="Q114" s="1">
        <v>268</v>
      </c>
      <c r="R114" s="1">
        <v>268</v>
      </c>
      <c r="S114" s="95">
        <f t="shared" si="17"/>
        <v>0.63893193467636189</v>
      </c>
    </row>
    <row r="115" spans="1:19" s="13" customFormat="1" ht="20.25" customHeight="1">
      <c r="A115" s="63">
        <v>101</v>
      </c>
      <c r="B115" s="62" t="s">
        <v>221</v>
      </c>
      <c r="C115" s="6" t="s">
        <v>222</v>
      </c>
      <c r="D115" s="70">
        <v>2016</v>
      </c>
      <c r="E115" s="73">
        <v>198</v>
      </c>
      <c r="F115" s="1">
        <v>36.4</v>
      </c>
      <c r="G115" s="1" t="s">
        <v>7</v>
      </c>
      <c r="H115" s="1" t="s">
        <v>7</v>
      </c>
      <c r="I115" s="1" t="s">
        <v>7</v>
      </c>
      <c r="J115" s="1" t="s">
        <v>7</v>
      </c>
      <c r="K115" s="1" t="s">
        <v>7</v>
      </c>
      <c r="L115" s="1">
        <v>204</v>
      </c>
      <c r="M115" s="1">
        <v>204</v>
      </c>
      <c r="N115" s="1">
        <v>204</v>
      </c>
      <c r="O115" s="1">
        <v>204</v>
      </c>
      <c r="P115" s="1">
        <v>204</v>
      </c>
      <c r="Q115" s="1">
        <v>214</v>
      </c>
      <c r="R115" s="1">
        <v>214</v>
      </c>
      <c r="S115" s="95">
        <f t="shared" si="17"/>
        <v>0.51019191798784125</v>
      </c>
    </row>
    <row r="116" spans="1:19" s="13" customFormat="1" ht="20.25" customHeight="1">
      <c r="A116" s="63">
        <v>102</v>
      </c>
      <c r="B116" s="62" t="s">
        <v>76</v>
      </c>
      <c r="C116" s="6" t="s">
        <v>223</v>
      </c>
      <c r="D116" s="5" t="s">
        <v>53</v>
      </c>
      <c r="E116" s="73">
        <v>24</v>
      </c>
      <c r="F116" s="1">
        <v>9.6</v>
      </c>
      <c r="G116" s="1">
        <v>568</v>
      </c>
      <c r="H116" s="1">
        <v>568</v>
      </c>
      <c r="I116" s="1">
        <v>568</v>
      </c>
      <c r="J116" s="1">
        <v>568</v>
      </c>
      <c r="K116" s="1">
        <v>568</v>
      </c>
      <c r="L116" s="1">
        <v>568</v>
      </c>
      <c r="M116" s="1">
        <v>568</v>
      </c>
      <c r="N116" s="1">
        <v>568</v>
      </c>
      <c r="O116" s="1">
        <v>568</v>
      </c>
      <c r="P116" s="1">
        <v>568</v>
      </c>
      <c r="Q116" s="1">
        <v>568</v>
      </c>
      <c r="R116" s="1">
        <v>568</v>
      </c>
      <c r="S116" s="95">
        <f t="shared" si="17"/>
        <v>1.3541542496125878</v>
      </c>
    </row>
    <row r="117" spans="1:19" s="13" customFormat="1" ht="20.25" customHeight="1">
      <c r="A117" s="63">
        <v>103</v>
      </c>
      <c r="B117" s="62" t="s">
        <v>400</v>
      </c>
      <c r="C117" s="82" t="s">
        <v>401</v>
      </c>
      <c r="D117" s="21">
        <v>2021</v>
      </c>
      <c r="E117" s="73">
        <v>258</v>
      </c>
      <c r="F117" s="1">
        <v>49</v>
      </c>
      <c r="G117" s="1" t="s">
        <v>7</v>
      </c>
      <c r="H117" s="1" t="s">
        <v>7</v>
      </c>
      <c r="I117" s="1" t="s">
        <v>7</v>
      </c>
      <c r="J117" s="1" t="s">
        <v>7</v>
      </c>
      <c r="K117" s="1" t="s">
        <v>7</v>
      </c>
      <c r="L117" s="1" t="s">
        <v>7</v>
      </c>
      <c r="M117" s="1" t="s">
        <v>7</v>
      </c>
      <c r="N117" s="1" t="s">
        <v>7</v>
      </c>
      <c r="O117" s="1" t="s">
        <v>7</v>
      </c>
      <c r="P117" s="1" t="s">
        <v>7</v>
      </c>
      <c r="Q117" s="1">
        <v>258</v>
      </c>
      <c r="R117" s="1">
        <v>258</v>
      </c>
      <c r="S117" s="95">
        <f t="shared" si="17"/>
        <v>0.61509119084515429</v>
      </c>
    </row>
    <row r="118" spans="1:19" s="13" customFormat="1" ht="20.25" customHeight="1">
      <c r="A118" s="63">
        <v>104</v>
      </c>
      <c r="B118" s="62" t="s">
        <v>420</v>
      </c>
      <c r="C118" s="6" t="s">
        <v>224</v>
      </c>
      <c r="D118" s="5" t="s">
        <v>54</v>
      </c>
      <c r="E118" s="73">
        <v>40</v>
      </c>
      <c r="F118" s="1">
        <v>40.200000000000003</v>
      </c>
      <c r="G118" s="1">
        <v>100</v>
      </c>
      <c r="H118" s="1">
        <v>100</v>
      </c>
      <c r="I118" s="1">
        <v>100</v>
      </c>
      <c r="J118" s="1">
        <v>100</v>
      </c>
      <c r="K118" s="1">
        <v>100</v>
      </c>
      <c r="L118" s="1">
        <v>100</v>
      </c>
      <c r="M118" s="1">
        <v>100</v>
      </c>
      <c r="N118" s="1">
        <v>100</v>
      </c>
      <c r="O118" s="1">
        <v>100</v>
      </c>
      <c r="P118" s="1">
        <v>100</v>
      </c>
      <c r="Q118" s="1">
        <v>100</v>
      </c>
      <c r="R118" s="1">
        <v>100</v>
      </c>
      <c r="S118" s="95">
        <f t="shared" si="17"/>
        <v>0.23840743831207534</v>
      </c>
    </row>
    <row r="119" spans="1:19" s="13" customFormat="1" ht="20.25" customHeight="1">
      <c r="A119" s="63">
        <v>105</v>
      </c>
      <c r="B119" s="62" t="s">
        <v>225</v>
      </c>
      <c r="C119" s="6" t="s">
        <v>230</v>
      </c>
      <c r="D119" s="21">
        <v>2019</v>
      </c>
      <c r="E119" s="73">
        <v>340</v>
      </c>
      <c r="F119" s="1">
        <v>4</v>
      </c>
      <c r="G119" s="1"/>
      <c r="H119" s="1"/>
      <c r="I119" s="1" t="s">
        <v>7</v>
      </c>
      <c r="J119" s="1" t="s">
        <v>7</v>
      </c>
      <c r="K119" s="1" t="s">
        <v>7</v>
      </c>
      <c r="L119" s="50" t="s">
        <v>7</v>
      </c>
      <c r="M119" s="50" t="s">
        <v>7</v>
      </c>
      <c r="N119" s="50" t="s">
        <v>7</v>
      </c>
      <c r="O119" s="1">
        <v>340</v>
      </c>
      <c r="P119" s="1">
        <v>340</v>
      </c>
      <c r="Q119" s="1">
        <v>340</v>
      </c>
      <c r="R119" s="1">
        <v>340</v>
      </c>
      <c r="S119" s="95">
        <f t="shared" si="17"/>
        <v>0.81058529026105608</v>
      </c>
    </row>
    <row r="120" spans="1:19" s="13" customFormat="1" ht="20.25" customHeight="1">
      <c r="A120" s="63">
        <v>106</v>
      </c>
      <c r="B120" s="62" t="s">
        <v>226</v>
      </c>
      <c r="C120" s="6" t="s">
        <v>227</v>
      </c>
      <c r="D120" s="61">
        <v>1973</v>
      </c>
      <c r="E120" s="73">
        <v>112</v>
      </c>
      <c r="F120" s="1">
        <v>5.6</v>
      </c>
      <c r="G120" s="1">
        <v>312</v>
      </c>
      <c r="H120" s="1">
        <v>312</v>
      </c>
      <c r="I120" s="1">
        <v>312</v>
      </c>
      <c r="J120" s="1">
        <v>312</v>
      </c>
      <c r="K120" s="1">
        <v>312</v>
      </c>
      <c r="L120" s="1">
        <v>312</v>
      </c>
      <c r="M120" s="1">
        <v>352</v>
      </c>
      <c r="N120" s="1">
        <v>352</v>
      </c>
      <c r="O120" s="1">
        <v>352</v>
      </c>
      <c r="P120" s="1">
        <v>352</v>
      </c>
      <c r="Q120" s="1">
        <v>352</v>
      </c>
      <c r="R120" s="1">
        <v>352</v>
      </c>
      <c r="S120" s="95">
        <f t="shared" si="17"/>
        <v>0.83919418285850511</v>
      </c>
    </row>
    <row r="121" spans="1:19" ht="20.25" customHeight="1">
      <c r="A121" s="63">
        <v>107</v>
      </c>
      <c r="B121" s="62" t="s">
        <v>78</v>
      </c>
      <c r="C121" s="6" t="s">
        <v>228</v>
      </c>
      <c r="D121" s="70">
        <v>1983</v>
      </c>
      <c r="E121" s="73">
        <v>58</v>
      </c>
      <c r="F121" s="1">
        <v>35</v>
      </c>
      <c r="G121" s="1">
        <v>230</v>
      </c>
      <c r="H121" s="1">
        <v>230</v>
      </c>
      <c r="I121" s="1">
        <v>230</v>
      </c>
      <c r="J121" s="1">
        <v>230</v>
      </c>
      <c r="K121" s="1">
        <v>230</v>
      </c>
      <c r="L121" s="1">
        <v>230</v>
      </c>
      <c r="M121" s="1">
        <v>314</v>
      </c>
      <c r="N121" s="1">
        <v>314</v>
      </c>
      <c r="O121" s="1">
        <v>314</v>
      </c>
      <c r="P121" s="1">
        <v>314</v>
      </c>
      <c r="Q121" s="1">
        <v>314</v>
      </c>
      <c r="R121" s="1">
        <v>314</v>
      </c>
      <c r="S121" s="95">
        <f t="shared" si="17"/>
        <v>0.74859935629991659</v>
      </c>
    </row>
    <row r="122" spans="1:19" s="13" customFormat="1" ht="20.25" customHeight="1">
      <c r="A122" s="63">
        <v>108</v>
      </c>
      <c r="B122" s="62" t="s">
        <v>419</v>
      </c>
      <c r="C122" s="6" t="s">
        <v>218</v>
      </c>
      <c r="D122" s="5" t="s">
        <v>53</v>
      </c>
      <c r="E122" s="73">
        <v>36</v>
      </c>
      <c r="F122" s="1">
        <v>51.5</v>
      </c>
      <c r="G122" s="1">
        <v>332</v>
      </c>
      <c r="H122" s="1">
        <v>332</v>
      </c>
      <c r="I122" s="1">
        <v>332</v>
      </c>
      <c r="J122" s="1">
        <v>332</v>
      </c>
      <c r="K122" s="1">
        <v>332</v>
      </c>
      <c r="L122" s="1">
        <v>332</v>
      </c>
      <c r="M122" s="1">
        <v>416</v>
      </c>
      <c r="N122" s="1">
        <v>456</v>
      </c>
      <c r="O122" s="1">
        <v>602</v>
      </c>
      <c r="P122" s="1">
        <v>602</v>
      </c>
      <c r="Q122" s="1">
        <v>654</v>
      </c>
      <c r="R122" s="1">
        <v>654</v>
      </c>
      <c r="S122" s="95">
        <f t="shared" si="17"/>
        <v>1.5591846465609727</v>
      </c>
    </row>
    <row r="123" spans="1:19" s="13" customFormat="1" ht="20.25" customHeight="1">
      <c r="A123" s="63">
        <v>109</v>
      </c>
      <c r="B123" s="62" t="s">
        <v>82</v>
      </c>
      <c r="C123" s="6" t="s">
        <v>235</v>
      </c>
      <c r="D123" s="5">
        <v>1982</v>
      </c>
      <c r="E123" s="73">
        <v>68</v>
      </c>
      <c r="F123" s="1">
        <v>32.200000000000003</v>
      </c>
      <c r="G123" s="1">
        <v>124</v>
      </c>
      <c r="H123" s="1">
        <v>124</v>
      </c>
      <c r="I123" s="1">
        <v>128</v>
      </c>
      <c r="J123" s="1">
        <v>128</v>
      </c>
      <c r="K123" s="1">
        <v>128</v>
      </c>
      <c r="L123" s="5">
        <v>128</v>
      </c>
      <c r="M123" s="5">
        <v>128</v>
      </c>
      <c r="N123" s="5">
        <v>128</v>
      </c>
      <c r="O123" s="1">
        <v>128</v>
      </c>
      <c r="P123" s="1">
        <v>128</v>
      </c>
      <c r="Q123" s="1">
        <v>128</v>
      </c>
      <c r="R123" s="1">
        <v>128</v>
      </c>
      <c r="S123" s="95">
        <f t="shared" si="17"/>
        <v>0.30516152103945643</v>
      </c>
    </row>
    <row r="124" spans="1:19" s="13" customFormat="1" ht="20.25" customHeight="1">
      <c r="A124" s="63">
        <v>110</v>
      </c>
      <c r="B124" s="62" t="s">
        <v>79</v>
      </c>
      <c r="C124" s="6" t="s">
        <v>229</v>
      </c>
      <c r="D124" s="70">
        <v>1983</v>
      </c>
      <c r="E124" s="73">
        <v>20</v>
      </c>
      <c r="F124" s="1">
        <v>12.9</v>
      </c>
      <c r="G124" s="1">
        <v>128</v>
      </c>
      <c r="H124" s="1">
        <v>128</v>
      </c>
      <c r="I124" s="1">
        <v>128</v>
      </c>
      <c r="J124" s="1">
        <v>128</v>
      </c>
      <c r="K124" s="1">
        <v>128</v>
      </c>
      <c r="L124" s="1">
        <v>128</v>
      </c>
      <c r="M124" s="1">
        <v>134</v>
      </c>
      <c r="N124" s="1">
        <v>134</v>
      </c>
      <c r="O124" s="1">
        <v>134</v>
      </c>
      <c r="P124" s="1">
        <v>134</v>
      </c>
      <c r="Q124" s="1">
        <v>134</v>
      </c>
      <c r="R124" s="1">
        <v>134</v>
      </c>
      <c r="S124" s="95">
        <f t="shared" si="17"/>
        <v>0.31946596733818095</v>
      </c>
    </row>
    <row r="125" spans="1:19" ht="20.25" customHeight="1">
      <c r="A125" s="63">
        <v>111</v>
      </c>
      <c r="B125" s="62" t="s">
        <v>122</v>
      </c>
      <c r="C125" s="6" t="s">
        <v>230</v>
      </c>
      <c r="D125" s="70">
        <v>2019</v>
      </c>
      <c r="E125" s="73">
        <v>60</v>
      </c>
      <c r="F125" s="1">
        <v>4</v>
      </c>
      <c r="G125" s="1" t="s">
        <v>7</v>
      </c>
      <c r="H125" s="1" t="s">
        <v>7</v>
      </c>
      <c r="I125" s="1" t="s">
        <v>7</v>
      </c>
      <c r="J125" s="1" t="s">
        <v>7</v>
      </c>
      <c r="K125" s="1" t="s">
        <v>7</v>
      </c>
      <c r="L125" s="1" t="s">
        <v>7</v>
      </c>
      <c r="M125" s="1" t="s">
        <v>7</v>
      </c>
      <c r="N125" s="1" t="s">
        <v>7</v>
      </c>
      <c r="O125" s="1">
        <v>60</v>
      </c>
      <c r="P125" s="1">
        <v>60</v>
      </c>
      <c r="Q125" s="1">
        <v>60</v>
      </c>
      <c r="R125" s="1">
        <v>60</v>
      </c>
      <c r="S125" s="95">
        <f t="shared" si="17"/>
        <v>0.14304446298724521</v>
      </c>
    </row>
    <row r="126" spans="1:19" ht="20.25" customHeight="1">
      <c r="A126" s="63">
        <v>112</v>
      </c>
      <c r="B126" s="62" t="s">
        <v>398</v>
      </c>
      <c r="C126" s="6" t="s">
        <v>399</v>
      </c>
      <c r="D126" s="70">
        <v>2021</v>
      </c>
      <c r="E126" s="73">
        <v>232</v>
      </c>
      <c r="F126" s="1">
        <v>45</v>
      </c>
      <c r="G126" s="1" t="s">
        <v>7</v>
      </c>
      <c r="H126" s="1" t="s">
        <v>7</v>
      </c>
      <c r="I126" s="1" t="s">
        <v>7</v>
      </c>
      <c r="J126" s="1" t="s">
        <v>7</v>
      </c>
      <c r="K126" s="1" t="s">
        <v>7</v>
      </c>
      <c r="L126" s="1" t="s">
        <v>7</v>
      </c>
      <c r="M126" s="1" t="s">
        <v>7</v>
      </c>
      <c r="N126" s="1" t="s">
        <v>7</v>
      </c>
      <c r="O126" s="1" t="s">
        <v>7</v>
      </c>
      <c r="P126" s="1" t="s">
        <v>7</v>
      </c>
      <c r="Q126" s="1">
        <v>232</v>
      </c>
      <c r="R126" s="1">
        <v>232</v>
      </c>
      <c r="S126" s="95">
        <f t="shared" si="17"/>
        <v>0.5531052568840148</v>
      </c>
    </row>
    <row r="127" spans="1:19" s="13" customFormat="1" ht="20.25" customHeight="1">
      <c r="A127" s="63">
        <v>113</v>
      </c>
      <c r="B127" s="62" t="s">
        <v>80</v>
      </c>
      <c r="C127" s="6" t="s">
        <v>231</v>
      </c>
      <c r="D127" s="5" t="s">
        <v>54</v>
      </c>
      <c r="E127" s="73">
        <v>44</v>
      </c>
      <c r="F127" s="1">
        <v>11</v>
      </c>
      <c r="G127" s="1">
        <v>172</v>
      </c>
      <c r="H127" s="1">
        <v>172</v>
      </c>
      <c r="I127" s="1">
        <v>172</v>
      </c>
      <c r="J127" s="1">
        <v>172</v>
      </c>
      <c r="K127" s="1">
        <v>172</v>
      </c>
      <c r="L127" s="1">
        <v>168</v>
      </c>
      <c r="M127" s="1">
        <v>168</v>
      </c>
      <c r="N127" s="1">
        <v>168</v>
      </c>
      <c r="O127" s="1">
        <v>168</v>
      </c>
      <c r="P127" s="1">
        <v>174</v>
      </c>
      <c r="Q127" s="1">
        <v>174</v>
      </c>
      <c r="R127" s="1">
        <v>174</v>
      </c>
      <c r="S127" s="95">
        <f t="shared" si="17"/>
        <v>0.41482894266301107</v>
      </c>
    </row>
    <row r="128" spans="1:19" s="13" customFormat="1" ht="20.25" customHeight="1">
      <c r="A128" s="63">
        <v>114</v>
      </c>
      <c r="B128" s="62" t="s">
        <v>376</v>
      </c>
      <c r="C128" s="6" t="s">
        <v>232</v>
      </c>
      <c r="D128" s="5">
        <v>2019</v>
      </c>
      <c r="E128" s="73">
        <v>232</v>
      </c>
      <c r="F128" s="1">
        <v>39</v>
      </c>
      <c r="G128" s="1" t="s">
        <v>7</v>
      </c>
      <c r="H128" s="1" t="s">
        <v>7</v>
      </c>
      <c r="I128" s="1" t="s">
        <v>7</v>
      </c>
      <c r="J128" s="1" t="s">
        <v>7</v>
      </c>
      <c r="K128" s="1" t="s">
        <v>7</v>
      </c>
      <c r="L128" s="1" t="s">
        <v>7</v>
      </c>
      <c r="M128" s="1" t="s">
        <v>7</v>
      </c>
      <c r="N128" s="1" t="s">
        <v>7</v>
      </c>
      <c r="O128" s="1">
        <v>232</v>
      </c>
      <c r="P128" s="1">
        <v>244</v>
      </c>
      <c r="Q128" s="1">
        <v>244</v>
      </c>
      <c r="R128" s="1">
        <v>244</v>
      </c>
      <c r="S128" s="95">
        <f t="shared" si="17"/>
        <v>0.58171414948146383</v>
      </c>
    </row>
    <row r="129" spans="1:20" s="13" customFormat="1" ht="20.25" customHeight="1">
      <c r="A129" s="63">
        <v>115</v>
      </c>
      <c r="B129" s="62" t="s">
        <v>233</v>
      </c>
      <c r="C129" s="6" t="s">
        <v>234</v>
      </c>
      <c r="D129" s="5" t="s">
        <v>81</v>
      </c>
      <c r="E129" s="73">
        <v>90</v>
      </c>
      <c r="F129" s="1">
        <v>11.3</v>
      </c>
      <c r="G129" s="1">
        <v>258</v>
      </c>
      <c r="H129" s="1">
        <v>258</v>
      </c>
      <c r="I129" s="1">
        <v>258</v>
      </c>
      <c r="J129" s="1">
        <v>258</v>
      </c>
      <c r="K129" s="1">
        <v>258</v>
      </c>
      <c r="L129" s="1">
        <v>258</v>
      </c>
      <c r="M129" s="1">
        <v>258</v>
      </c>
      <c r="N129" s="1">
        <v>258</v>
      </c>
      <c r="O129" s="1">
        <v>258</v>
      </c>
      <c r="P129" s="1">
        <v>258</v>
      </c>
      <c r="Q129" s="1">
        <v>258</v>
      </c>
      <c r="R129" s="1">
        <v>258</v>
      </c>
      <c r="S129" s="95">
        <f t="shared" si="17"/>
        <v>0.61509119084515429</v>
      </c>
    </row>
    <row r="130" spans="1:20" ht="20.25" customHeight="1">
      <c r="A130" s="63">
        <v>116</v>
      </c>
      <c r="B130" s="25" t="s">
        <v>124</v>
      </c>
      <c r="C130" s="35" t="s">
        <v>236</v>
      </c>
      <c r="D130" s="71">
        <v>2019</v>
      </c>
      <c r="E130" s="15">
        <v>272</v>
      </c>
      <c r="F130" s="15">
        <v>24.4</v>
      </c>
      <c r="G130" s="15" t="s">
        <v>7</v>
      </c>
      <c r="H130" s="15" t="s">
        <v>7</v>
      </c>
      <c r="I130" s="15" t="s">
        <v>7</v>
      </c>
      <c r="J130" s="15" t="s">
        <v>7</v>
      </c>
      <c r="K130" s="15" t="s">
        <v>7</v>
      </c>
      <c r="L130" s="15" t="s">
        <v>7</v>
      </c>
      <c r="M130" s="15" t="s">
        <v>7</v>
      </c>
      <c r="N130" s="15" t="s">
        <v>7</v>
      </c>
      <c r="O130" s="15">
        <v>272</v>
      </c>
      <c r="P130" s="15">
        <v>272</v>
      </c>
      <c r="Q130" s="15">
        <v>272</v>
      </c>
      <c r="R130" s="15">
        <v>294</v>
      </c>
      <c r="S130" s="102">
        <f t="shared" si="17"/>
        <v>0.7009178686375015</v>
      </c>
    </row>
    <row r="131" spans="1:20" s="13" customFormat="1" ht="20.25" customHeight="1">
      <c r="A131" s="53"/>
      <c r="B131" s="65" t="s">
        <v>18</v>
      </c>
      <c r="C131" s="64"/>
      <c r="D131" s="12" t="s">
        <v>7</v>
      </c>
      <c r="E131" s="12" t="s">
        <v>7</v>
      </c>
      <c r="F131" s="12" t="s">
        <v>7</v>
      </c>
      <c r="G131" s="12">
        <f t="shared" ref="G131:Q131" si="18">SUM(G132:G144)</f>
        <v>1988</v>
      </c>
      <c r="H131" s="12">
        <f t="shared" si="18"/>
        <v>1988</v>
      </c>
      <c r="I131" s="12">
        <f t="shared" si="18"/>
        <v>2156</v>
      </c>
      <c r="J131" s="12">
        <f t="shared" si="18"/>
        <v>2216</v>
      </c>
      <c r="K131" s="12">
        <f t="shared" si="18"/>
        <v>2244</v>
      </c>
      <c r="L131" s="12">
        <f t="shared" si="18"/>
        <v>2454</v>
      </c>
      <c r="M131" s="12">
        <f t="shared" si="18"/>
        <v>2488</v>
      </c>
      <c r="N131" s="12">
        <f t="shared" si="18"/>
        <v>2488</v>
      </c>
      <c r="O131" s="12">
        <f t="shared" si="18"/>
        <v>2538</v>
      </c>
      <c r="P131" s="12">
        <f t="shared" si="18"/>
        <v>2224</v>
      </c>
      <c r="Q131" s="12">
        <f t="shared" si="18"/>
        <v>2224</v>
      </c>
      <c r="R131" s="12">
        <f t="shared" ref="R131" si="19">SUM(R132:R144)</f>
        <v>2224</v>
      </c>
      <c r="S131" s="97">
        <f t="shared" si="17"/>
        <v>5.302181428060555</v>
      </c>
      <c r="T131" s="3"/>
    </row>
    <row r="132" spans="1:20" s="13" customFormat="1" ht="20.25" customHeight="1">
      <c r="A132" s="63">
        <v>117</v>
      </c>
      <c r="B132" s="62" t="s">
        <v>83</v>
      </c>
      <c r="C132" s="6" t="s">
        <v>238</v>
      </c>
      <c r="D132" s="61" t="s">
        <v>61</v>
      </c>
      <c r="E132" s="73">
        <v>30</v>
      </c>
      <c r="F132" s="1">
        <v>36</v>
      </c>
      <c r="G132" s="1">
        <v>172</v>
      </c>
      <c r="H132" s="1">
        <v>172</v>
      </c>
      <c r="I132" s="1">
        <v>172</v>
      </c>
      <c r="J132" s="1">
        <v>172</v>
      </c>
      <c r="K132" s="1">
        <v>172</v>
      </c>
      <c r="L132" s="1">
        <v>172</v>
      </c>
      <c r="M132" s="1">
        <v>172</v>
      </c>
      <c r="N132" s="1">
        <v>172</v>
      </c>
      <c r="O132" s="1">
        <v>172</v>
      </c>
      <c r="P132" s="1">
        <v>172</v>
      </c>
      <c r="Q132" s="1">
        <v>172</v>
      </c>
      <c r="R132" s="1">
        <v>172</v>
      </c>
      <c r="S132" s="95">
        <f t="shared" si="17"/>
        <v>0.41006079389676964</v>
      </c>
    </row>
    <row r="133" spans="1:20" s="13" customFormat="1" ht="20.25" customHeight="1">
      <c r="A133" s="63">
        <v>118</v>
      </c>
      <c r="B133" s="62" t="s">
        <v>84</v>
      </c>
      <c r="C133" s="6" t="s">
        <v>239</v>
      </c>
      <c r="D133" s="21" t="s">
        <v>71</v>
      </c>
      <c r="E133" s="73">
        <v>32</v>
      </c>
      <c r="F133" s="1">
        <v>54</v>
      </c>
      <c r="G133" s="1">
        <v>224</v>
      </c>
      <c r="H133" s="1">
        <v>224</v>
      </c>
      <c r="I133" s="1">
        <v>224</v>
      </c>
      <c r="J133" s="1">
        <v>224</v>
      </c>
      <c r="K133" s="1">
        <v>224</v>
      </c>
      <c r="L133" s="1">
        <v>224</v>
      </c>
      <c r="M133" s="1">
        <v>224</v>
      </c>
      <c r="N133" s="1">
        <v>224</v>
      </c>
      <c r="O133" s="1">
        <v>224</v>
      </c>
      <c r="P133" s="1">
        <v>224</v>
      </c>
      <c r="Q133" s="1">
        <v>224</v>
      </c>
      <c r="R133" s="1">
        <v>224</v>
      </c>
      <c r="S133" s="95">
        <f t="shared" si="17"/>
        <v>0.53403266181904874</v>
      </c>
    </row>
    <row r="134" spans="1:20" s="13" customFormat="1" ht="20.25" customHeight="1">
      <c r="A134" s="63">
        <v>119</v>
      </c>
      <c r="B134" s="62" t="s">
        <v>85</v>
      </c>
      <c r="C134" s="6" t="s">
        <v>240</v>
      </c>
      <c r="D134" s="61" t="s">
        <v>86</v>
      </c>
      <c r="E134" s="73">
        <v>50</v>
      </c>
      <c r="F134" s="1">
        <v>77.2</v>
      </c>
      <c r="G134" s="1">
        <v>72</v>
      </c>
      <c r="H134" s="1">
        <v>72</v>
      </c>
      <c r="I134" s="1">
        <v>72</v>
      </c>
      <c r="J134" s="1">
        <v>72</v>
      </c>
      <c r="K134" s="1">
        <v>72</v>
      </c>
      <c r="L134" s="1">
        <v>72</v>
      </c>
      <c r="M134" s="1">
        <v>72</v>
      </c>
      <c r="N134" s="1">
        <v>72</v>
      </c>
      <c r="O134" s="1">
        <v>72</v>
      </c>
      <c r="P134" s="1">
        <v>72</v>
      </c>
      <c r="Q134" s="1">
        <v>72</v>
      </c>
      <c r="R134" s="1">
        <v>72</v>
      </c>
      <c r="S134" s="95">
        <f t="shared" si="17"/>
        <v>0.17165335558469424</v>
      </c>
    </row>
    <row r="135" spans="1:20" s="13" customFormat="1" ht="20.25" customHeight="1">
      <c r="A135" s="63">
        <v>120</v>
      </c>
      <c r="B135" s="62" t="s">
        <v>87</v>
      </c>
      <c r="C135" s="6" t="s">
        <v>241</v>
      </c>
      <c r="D135" s="61" t="s">
        <v>2</v>
      </c>
      <c r="E135" s="73">
        <v>60</v>
      </c>
      <c r="F135" s="1">
        <v>74.599999999999994</v>
      </c>
      <c r="G135" s="1" t="s">
        <v>7</v>
      </c>
      <c r="H135" s="1" t="s">
        <v>7</v>
      </c>
      <c r="I135" s="1" t="s">
        <v>7</v>
      </c>
      <c r="J135" s="1">
        <v>60</v>
      </c>
      <c r="K135" s="1">
        <v>60</v>
      </c>
      <c r="L135" s="1">
        <v>60</v>
      </c>
      <c r="M135" s="1">
        <v>60</v>
      </c>
      <c r="N135" s="1">
        <v>60</v>
      </c>
      <c r="O135" s="1">
        <v>60</v>
      </c>
      <c r="P135" s="1">
        <v>60</v>
      </c>
      <c r="Q135" s="1">
        <v>60</v>
      </c>
      <c r="R135" s="1">
        <v>60</v>
      </c>
      <c r="S135" s="95">
        <f t="shared" si="17"/>
        <v>0.14304446298724521</v>
      </c>
    </row>
    <row r="136" spans="1:20" s="13" customFormat="1" ht="20.25" customHeight="1">
      <c r="A136" s="63">
        <v>121</v>
      </c>
      <c r="B136" s="62" t="s">
        <v>88</v>
      </c>
      <c r="C136" s="6" t="s">
        <v>242</v>
      </c>
      <c r="D136" s="5" t="s">
        <v>59</v>
      </c>
      <c r="E136" s="73">
        <v>48</v>
      </c>
      <c r="F136" s="1">
        <v>56.3</v>
      </c>
      <c r="G136" s="1">
        <v>580</v>
      </c>
      <c r="H136" s="1">
        <v>580</v>
      </c>
      <c r="I136" s="1">
        <v>580</v>
      </c>
      <c r="J136" s="1">
        <v>580</v>
      </c>
      <c r="K136" s="1">
        <v>580</v>
      </c>
      <c r="L136" s="1">
        <v>790</v>
      </c>
      <c r="M136" s="1">
        <v>790</v>
      </c>
      <c r="N136" s="1">
        <v>790</v>
      </c>
      <c r="O136" s="1">
        <v>790</v>
      </c>
      <c r="P136" s="1">
        <v>790</v>
      </c>
      <c r="Q136" s="1">
        <v>790</v>
      </c>
      <c r="R136" s="1">
        <v>790</v>
      </c>
      <c r="S136" s="95">
        <f t="shared" si="17"/>
        <v>1.8834187626653953</v>
      </c>
    </row>
    <row r="137" spans="1:20" ht="20.25" customHeight="1">
      <c r="A137" s="63">
        <v>122</v>
      </c>
      <c r="B137" s="62" t="s">
        <v>89</v>
      </c>
      <c r="C137" s="6" t="s">
        <v>243</v>
      </c>
      <c r="D137" s="5" t="s">
        <v>50</v>
      </c>
      <c r="E137" s="73">
        <v>48</v>
      </c>
      <c r="F137" s="1">
        <v>63</v>
      </c>
      <c r="G137" s="1">
        <v>150</v>
      </c>
      <c r="H137" s="1">
        <v>150</v>
      </c>
      <c r="I137" s="1">
        <v>150</v>
      </c>
      <c r="J137" s="1">
        <v>150</v>
      </c>
      <c r="K137" s="1">
        <v>150</v>
      </c>
      <c r="L137" s="1">
        <v>150</v>
      </c>
      <c r="M137" s="1">
        <v>150</v>
      </c>
      <c r="N137" s="1">
        <v>150</v>
      </c>
      <c r="O137" s="1">
        <v>150</v>
      </c>
      <c r="P137" s="1">
        <v>150</v>
      </c>
      <c r="Q137" s="1">
        <v>150</v>
      </c>
      <c r="R137" s="1">
        <v>150</v>
      </c>
      <c r="S137" s="95">
        <f t="shared" ref="S137:S200" si="20">R137/R$6*100</f>
        <v>0.35761115746811301</v>
      </c>
    </row>
    <row r="138" spans="1:20" ht="20.25" customHeight="1">
      <c r="A138" s="63">
        <v>123</v>
      </c>
      <c r="B138" s="62" t="s">
        <v>90</v>
      </c>
      <c r="C138" s="6" t="s">
        <v>244</v>
      </c>
      <c r="D138" s="5" t="s">
        <v>91</v>
      </c>
      <c r="E138" s="73">
        <v>70</v>
      </c>
      <c r="F138" s="1">
        <v>77.2</v>
      </c>
      <c r="G138" s="1">
        <v>112</v>
      </c>
      <c r="H138" s="1">
        <v>112</v>
      </c>
      <c r="I138" s="1">
        <v>112</v>
      </c>
      <c r="J138" s="1">
        <v>112</v>
      </c>
      <c r="K138" s="1">
        <v>112</v>
      </c>
      <c r="L138" s="1">
        <v>112</v>
      </c>
      <c r="M138" s="1">
        <v>112</v>
      </c>
      <c r="N138" s="1">
        <v>112</v>
      </c>
      <c r="O138" s="1">
        <v>112</v>
      </c>
      <c r="P138" s="1">
        <v>0</v>
      </c>
      <c r="Q138" s="1">
        <v>0</v>
      </c>
      <c r="R138" s="1">
        <v>0</v>
      </c>
      <c r="S138" s="95">
        <f t="shared" si="20"/>
        <v>0</v>
      </c>
    </row>
    <row r="139" spans="1:20" ht="20.25" customHeight="1">
      <c r="A139" s="63">
        <v>124</v>
      </c>
      <c r="B139" s="62" t="s">
        <v>92</v>
      </c>
      <c r="C139" s="6" t="s">
        <v>245</v>
      </c>
      <c r="D139" s="5" t="s">
        <v>50</v>
      </c>
      <c r="E139" s="73">
        <v>30</v>
      </c>
      <c r="F139" s="1">
        <v>69.2</v>
      </c>
      <c r="G139" s="1">
        <v>76</v>
      </c>
      <c r="H139" s="1">
        <v>76</v>
      </c>
      <c r="I139" s="1">
        <v>76</v>
      </c>
      <c r="J139" s="1">
        <v>76</v>
      </c>
      <c r="K139" s="1">
        <v>104</v>
      </c>
      <c r="L139" s="1">
        <v>104</v>
      </c>
      <c r="M139" s="1">
        <v>104</v>
      </c>
      <c r="N139" s="1">
        <v>104</v>
      </c>
      <c r="O139" s="1">
        <v>104</v>
      </c>
      <c r="P139" s="1">
        <v>104</v>
      </c>
      <c r="Q139" s="1">
        <v>104</v>
      </c>
      <c r="R139" s="1">
        <v>104</v>
      </c>
      <c r="S139" s="95">
        <f t="shared" si="20"/>
        <v>0.24794373584455837</v>
      </c>
    </row>
    <row r="140" spans="1:20" ht="20.25" customHeight="1">
      <c r="A140" s="63">
        <v>125</v>
      </c>
      <c r="B140" s="62" t="s">
        <v>246</v>
      </c>
      <c r="C140" s="6" t="s">
        <v>247</v>
      </c>
      <c r="D140" s="61">
        <v>2014</v>
      </c>
      <c r="E140" s="73">
        <v>168</v>
      </c>
      <c r="F140" s="1">
        <v>60</v>
      </c>
      <c r="G140" s="1" t="s">
        <v>7</v>
      </c>
      <c r="H140" s="1" t="s">
        <v>7</v>
      </c>
      <c r="I140" s="1">
        <v>168</v>
      </c>
      <c r="J140" s="1">
        <v>168</v>
      </c>
      <c r="K140" s="1">
        <v>168</v>
      </c>
      <c r="L140" s="1">
        <v>168</v>
      </c>
      <c r="M140" s="1">
        <v>168</v>
      </c>
      <c r="N140" s="1">
        <v>168</v>
      </c>
      <c r="O140" s="1">
        <v>168</v>
      </c>
      <c r="P140" s="1">
        <v>168</v>
      </c>
      <c r="Q140" s="1">
        <v>168</v>
      </c>
      <c r="R140" s="1">
        <v>168</v>
      </c>
      <c r="S140" s="95">
        <f t="shared" si="20"/>
        <v>0.40052449636428661</v>
      </c>
    </row>
    <row r="141" spans="1:20" s="13" customFormat="1" ht="20.25" customHeight="1">
      <c r="A141" s="63">
        <v>126</v>
      </c>
      <c r="B141" s="62" t="s">
        <v>391</v>
      </c>
      <c r="C141" s="6" t="s">
        <v>237</v>
      </c>
      <c r="D141" s="21" t="s">
        <v>50</v>
      </c>
      <c r="E141" s="73">
        <v>20</v>
      </c>
      <c r="F141" s="1">
        <v>48.3</v>
      </c>
      <c r="G141" s="1">
        <v>90</v>
      </c>
      <c r="H141" s="1">
        <v>90</v>
      </c>
      <c r="I141" s="1">
        <v>90</v>
      </c>
      <c r="J141" s="1">
        <v>90</v>
      </c>
      <c r="K141" s="1">
        <v>90</v>
      </c>
      <c r="L141" s="1">
        <v>90</v>
      </c>
      <c r="M141" s="1">
        <v>90</v>
      </c>
      <c r="N141" s="1">
        <v>90</v>
      </c>
      <c r="O141" s="1">
        <v>140</v>
      </c>
      <c r="P141" s="1">
        <v>140</v>
      </c>
      <c r="Q141" s="1">
        <v>140</v>
      </c>
      <c r="R141" s="1">
        <v>140</v>
      </c>
      <c r="S141" s="95">
        <f t="shared" si="20"/>
        <v>0.33377041363690546</v>
      </c>
    </row>
    <row r="142" spans="1:20" s="13" customFormat="1" ht="20.25" customHeight="1">
      <c r="A142" s="63">
        <v>127</v>
      </c>
      <c r="B142" s="62" t="s">
        <v>248</v>
      </c>
      <c r="C142" s="6" t="s">
        <v>249</v>
      </c>
      <c r="D142" s="70">
        <v>1989</v>
      </c>
      <c r="E142" s="73">
        <v>22</v>
      </c>
      <c r="F142" s="1">
        <v>80.5</v>
      </c>
      <c r="G142" s="1">
        <v>200</v>
      </c>
      <c r="H142" s="1">
        <v>200</v>
      </c>
      <c r="I142" s="1">
        <v>200</v>
      </c>
      <c r="J142" s="1">
        <v>200</v>
      </c>
      <c r="K142" s="1">
        <v>200</v>
      </c>
      <c r="L142" s="1">
        <v>200</v>
      </c>
      <c r="M142" s="1">
        <v>200</v>
      </c>
      <c r="N142" s="1">
        <v>200</v>
      </c>
      <c r="O142" s="1">
        <v>200</v>
      </c>
      <c r="P142" s="1">
        <v>0</v>
      </c>
      <c r="Q142" s="1">
        <v>0</v>
      </c>
      <c r="R142" s="1">
        <v>0</v>
      </c>
      <c r="S142" s="95">
        <f t="shared" si="20"/>
        <v>0</v>
      </c>
    </row>
    <row r="143" spans="1:20" s="13" customFormat="1" ht="20.25" customHeight="1">
      <c r="A143" s="63">
        <v>128</v>
      </c>
      <c r="B143" s="62" t="s">
        <v>93</v>
      </c>
      <c r="C143" s="6" t="s">
        <v>250</v>
      </c>
      <c r="D143" s="5" t="s">
        <v>94</v>
      </c>
      <c r="E143" s="73">
        <v>34</v>
      </c>
      <c r="F143" s="1">
        <v>51</v>
      </c>
      <c r="G143" s="1">
        <v>148</v>
      </c>
      <c r="H143" s="1">
        <v>148</v>
      </c>
      <c r="I143" s="1">
        <v>148</v>
      </c>
      <c r="J143" s="1">
        <v>148</v>
      </c>
      <c r="K143" s="1">
        <v>148</v>
      </c>
      <c r="L143" s="1">
        <v>148</v>
      </c>
      <c r="M143" s="1">
        <v>182</v>
      </c>
      <c r="N143" s="1">
        <v>182</v>
      </c>
      <c r="O143" s="1">
        <v>182</v>
      </c>
      <c r="P143" s="1">
        <v>182</v>
      </c>
      <c r="Q143" s="1">
        <v>182</v>
      </c>
      <c r="R143" s="1">
        <v>182</v>
      </c>
      <c r="S143" s="95">
        <f t="shared" si="20"/>
        <v>0.43390153772797713</v>
      </c>
      <c r="T143" s="72"/>
    </row>
    <row r="144" spans="1:20" s="13" customFormat="1" ht="20.25" customHeight="1">
      <c r="A144" s="63">
        <v>129</v>
      </c>
      <c r="B144" s="25" t="s">
        <v>377</v>
      </c>
      <c r="C144" s="35" t="s">
        <v>251</v>
      </c>
      <c r="D144" s="69" t="s">
        <v>61</v>
      </c>
      <c r="E144" s="17">
        <v>90</v>
      </c>
      <c r="F144" s="15">
        <v>72.400000000000006</v>
      </c>
      <c r="G144" s="15">
        <v>164</v>
      </c>
      <c r="H144" s="15">
        <v>164</v>
      </c>
      <c r="I144" s="15">
        <v>164</v>
      </c>
      <c r="J144" s="15">
        <v>164</v>
      </c>
      <c r="K144" s="15">
        <v>164</v>
      </c>
      <c r="L144" s="15">
        <v>164</v>
      </c>
      <c r="M144" s="15">
        <v>164</v>
      </c>
      <c r="N144" s="15">
        <v>164</v>
      </c>
      <c r="O144" s="15">
        <v>164</v>
      </c>
      <c r="P144" s="15">
        <v>162</v>
      </c>
      <c r="Q144" s="15">
        <v>162</v>
      </c>
      <c r="R144" s="15">
        <v>162</v>
      </c>
      <c r="S144" s="102">
        <f t="shared" si="20"/>
        <v>0.38622005006556204</v>
      </c>
      <c r="T144" s="72"/>
    </row>
    <row r="145" spans="1:21" s="13" customFormat="1" ht="20.25" customHeight="1">
      <c r="A145" s="63"/>
      <c r="B145" s="65" t="s">
        <v>19</v>
      </c>
      <c r="C145" s="64"/>
      <c r="D145" s="12" t="s">
        <v>7</v>
      </c>
      <c r="E145" s="12" t="s">
        <v>7</v>
      </c>
      <c r="F145" s="12" t="s">
        <v>7</v>
      </c>
      <c r="G145" s="12">
        <f t="shared" ref="G145:Q145" si="21">SUM(G146:G163)</f>
        <v>3818</v>
      </c>
      <c r="H145" s="12">
        <f t="shared" si="21"/>
        <v>3818</v>
      </c>
      <c r="I145" s="12">
        <f t="shared" si="21"/>
        <v>3818</v>
      </c>
      <c r="J145" s="12">
        <f t="shared" si="21"/>
        <v>3862</v>
      </c>
      <c r="K145" s="12">
        <f t="shared" si="21"/>
        <v>3982</v>
      </c>
      <c r="L145" s="12">
        <f t="shared" si="21"/>
        <v>3982</v>
      </c>
      <c r="M145" s="12">
        <f t="shared" si="21"/>
        <v>4036</v>
      </c>
      <c r="N145" s="12">
        <f t="shared" si="21"/>
        <v>4036</v>
      </c>
      <c r="O145" s="12">
        <f t="shared" si="21"/>
        <v>4056</v>
      </c>
      <c r="P145" s="12">
        <f t="shared" si="21"/>
        <v>4350</v>
      </c>
      <c r="Q145" s="12">
        <f t="shared" si="21"/>
        <v>4350</v>
      </c>
      <c r="R145" s="12">
        <f t="shared" ref="R145" si="22">SUM(R146:R163)</f>
        <v>4354</v>
      </c>
      <c r="S145" s="97">
        <f t="shared" si="20"/>
        <v>10.38025986410776</v>
      </c>
      <c r="T145" s="72"/>
      <c r="U145" s="39"/>
    </row>
    <row r="146" spans="1:21" s="13" customFormat="1" ht="20.25" customHeight="1">
      <c r="A146" s="63">
        <v>130</v>
      </c>
      <c r="B146" s="62" t="s">
        <v>262</v>
      </c>
      <c r="C146" s="6" t="s">
        <v>263</v>
      </c>
      <c r="D146" s="61">
        <v>1991</v>
      </c>
      <c r="E146" s="73">
        <v>50</v>
      </c>
      <c r="F146" s="1">
        <v>88.5</v>
      </c>
      <c r="G146" s="1">
        <v>60</v>
      </c>
      <c r="H146" s="1">
        <v>60</v>
      </c>
      <c r="I146" s="1">
        <v>60</v>
      </c>
      <c r="J146" s="1">
        <v>60</v>
      </c>
      <c r="K146" s="1">
        <v>120</v>
      </c>
      <c r="L146" s="1">
        <v>120</v>
      </c>
      <c r="M146" s="1">
        <v>102</v>
      </c>
      <c r="N146" s="1">
        <v>102</v>
      </c>
      <c r="O146" s="1">
        <v>102</v>
      </c>
      <c r="P146" s="1">
        <v>102</v>
      </c>
      <c r="Q146" s="1">
        <v>102</v>
      </c>
      <c r="R146" s="1">
        <v>102</v>
      </c>
      <c r="S146" s="95">
        <f t="shared" si="20"/>
        <v>0.24317558707831685</v>
      </c>
      <c r="T146" s="72"/>
    </row>
    <row r="147" spans="1:21" s="13" customFormat="1" ht="20.25" customHeight="1">
      <c r="A147" s="63">
        <v>131</v>
      </c>
      <c r="B147" s="62" t="s">
        <v>95</v>
      </c>
      <c r="C147" s="6" t="s">
        <v>252</v>
      </c>
      <c r="D147" s="21" t="s">
        <v>91</v>
      </c>
      <c r="E147" s="73">
        <v>100</v>
      </c>
      <c r="F147" s="1">
        <v>85</v>
      </c>
      <c r="G147" s="1">
        <v>140</v>
      </c>
      <c r="H147" s="1">
        <v>140</v>
      </c>
      <c r="I147" s="1">
        <v>140</v>
      </c>
      <c r="J147" s="1">
        <v>180</v>
      </c>
      <c r="K147" s="1">
        <v>180</v>
      </c>
      <c r="L147" s="1">
        <v>180</v>
      </c>
      <c r="M147" s="1">
        <v>180</v>
      </c>
      <c r="N147" s="1">
        <v>180</v>
      </c>
      <c r="O147" s="1">
        <v>180</v>
      </c>
      <c r="P147" s="1">
        <v>180</v>
      </c>
      <c r="Q147" s="1">
        <v>180</v>
      </c>
      <c r="R147" s="1">
        <v>180</v>
      </c>
      <c r="S147" s="95">
        <f t="shared" si="20"/>
        <v>0.42913338896173558</v>
      </c>
      <c r="T147" s="72"/>
    </row>
    <row r="148" spans="1:21" s="13" customFormat="1" ht="20.25" customHeight="1">
      <c r="A148" s="63">
        <v>132</v>
      </c>
      <c r="B148" s="62" t="s">
        <v>97</v>
      </c>
      <c r="C148" s="6" t="s">
        <v>255</v>
      </c>
      <c r="D148" s="5" t="s">
        <v>98</v>
      </c>
      <c r="E148" s="73">
        <v>96</v>
      </c>
      <c r="F148" s="1">
        <v>95</v>
      </c>
      <c r="G148" s="1">
        <v>224</v>
      </c>
      <c r="H148" s="1">
        <v>224</v>
      </c>
      <c r="I148" s="1">
        <v>224</v>
      </c>
      <c r="J148" s="1">
        <v>224</v>
      </c>
      <c r="K148" s="1">
        <v>224</v>
      </c>
      <c r="L148" s="1">
        <v>224</v>
      </c>
      <c r="M148" s="1">
        <v>224</v>
      </c>
      <c r="N148" s="1">
        <v>224</v>
      </c>
      <c r="O148" s="1">
        <v>224</v>
      </c>
      <c r="P148" s="1">
        <v>224</v>
      </c>
      <c r="Q148" s="1">
        <v>224</v>
      </c>
      <c r="R148" s="1">
        <v>224</v>
      </c>
      <c r="S148" s="95">
        <f t="shared" si="20"/>
        <v>0.53403266181904874</v>
      </c>
      <c r="T148" s="72"/>
    </row>
    <row r="149" spans="1:21" s="13" customFormat="1" ht="20.25" customHeight="1">
      <c r="A149" s="63">
        <v>133</v>
      </c>
      <c r="B149" s="62" t="s">
        <v>256</v>
      </c>
      <c r="C149" s="6" t="s">
        <v>257</v>
      </c>
      <c r="D149" s="70">
        <v>1992</v>
      </c>
      <c r="E149" s="73">
        <v>80</v>
      </c>
      <c r="F149" s="1">
        <v>96.6</v>
      </c>
      <c r="G149" s="1">
        <v>304</v>
      </c>
      <c r="H149" s="1">
        <v>304</v>
      </c>
      <c r="I149" s="1">
        <v>304</v>
      </c>
      <c r="J149" s="1">
        <v>304</v>
      </c>
      <c r="K149" s="1">
        <v>304</v>
      </c>
      <c r="L149" s="1">
        <v>304</v>
      </c>
      <c r="M149" s="1">
        <v>304</v>
      </c>
      <c r="N149" s="1">
        <v>304</v>
      </c>
      <c r="O149" s="1">
        <v>304</v>
      </c>
      <c r="P149" s="1">
        <v>310</v>
      </c>
      <c r="Q149" s="1">
        <v>310</v>
      </c>
      <c r="R149" s="1">
        <v>310</v>
      </c>
      <c r="S149" s="95">
        <f t="shared" si="20"/>
        <v>0.7390630587674335</v>
      </c>
      <c r="T149" s="72"/>
    </row>
    <row r="150" spans="1:21" s="13" customFormat="1" ht="20.25" customHeight="1">
      <c r="A150" s="63">
        <v>134</v>
      </c>
      <c r="B150" s="62" t="s">
        <v>99</v>
      </c>
      <c r="C150" s="6" t="s">
        <v>258</v>
      </c>
      <c r="D150" s="5" t="s">
        <v>96</v>
      </c>
      <c r="E150" s="1">
        <v>84</v>
      </c>
      <c r="F150" s="1">
        <v>80</v>
      </c>
      <c r="G150" s="1">
        <v>220</v>
      </c>
      <c r="H150" s="1">
        <v>220</v>
      </c>
      <c r="I150" s="1">
        <v>220</v>
      </c>
      <c r="J150" s="1">
        <v>220</v>
      </c>
      <c r="K150" s="1">
        <v>220</v>
      </c>
      <c r="L150" s="1">
        <v>220</v>
      </c>
      <c r="M150" s="1">
        <v>220</v>
      </c>
      <c r="N150" s="1">
        <v>220</v>
      </c>
      <c r="O150" s="1">
        <v>220</v>
      </c>
      <c r="P150" s="1">
        <v>220</v>
      </c>
      <c r="Q150" s="1">
        <v>220</v>
      </c>
      <c r="R150" s="1">
        <v>220</v>
      </c>
      <c r="S150" s="95">
        <f t="shared" si="20"/>
        <v>0.52449636428656576</v>
      </c>
      <c r="T150" s="72"/>
    </row>
    <row r="151" spans="1:21" s="13" customFormat="1" ht="20.25" customHeight="1">
      <c r="A151" s="63">
        <v>135</v>
      </c>
      <c r="B151" s="62" t="s">
        <v>253</v>
      </c>
      <c r="C151" s="6" t="s">
        <v>254</v>
      </c>
      <c r="D151" s="21" t="s">
        <v>96</v>
      </c>
      <c r="E151" s="73">
        <v>79</v>
      </c>
      <c r="F151" s="1">
        <v>90</v>
      </c>
      <c r="G151" s="1">
        <v>146</v>
      </c>
      <c r="H151" s="1">
        <v>146</v>
      </c>
      <c r="I151" s="1">
        <v>146</v>
      </c>
      <c r="J151" s="1">
        <v>146</v>
      </c>
      <c r="K151" s="1">
        <v>146</v>
      </c>
      <c r="L151" s="1">
        <v>146</v>
      </c>
      <c r="M151" s="1">
        <v>146</v>
      </c>
      <c r="N151" s="1">
        <v>146</v>
      </c>
      <c r="O151" s="1">
        <v>146</v>
      </c>
      <c r="P151" s="1">
        <v>146</v>
      </c>
      <c r="Q151" s="1">
        <v>146</v>
      </c>
      <c r="R151" s="1">
        <v>146</v>
      </c>
      <c r="S151" s="95">
        <f t="shared" si="20"/>
        <v>0.34807485993562998</v>
      </c>
      <c r="T151" s="72"/>
    </row>
    <row r="152" spans="1:21" s="13" customFormat="1" ht="20.25" customHeight="1">
      <c r="A152" s="63">
        <v>136</v>
      </c>
      <c r="B152" s="62" t="s">
        <v>272</v>
      </c>
      <c r="C152" s="6" t="s">
        <v>273</v>
      </c>
      <c r="D152" s="5" t="s">
        <v>96</v>
      </c>
      <c r="E152" s="1">
        <v>74</v>
      </c>
      <c r="F152" s="1">
        <v>80.5</v>
      </c>
      <c r="G152" s="1">
        <v>144</v>
      </c>
      <c r="H152" s="1">
        <v>144</v>
      </c>
      <c r="I152" s="1">
        <v>144</v>
      </c>
      <c r="J152" s="1">
        <v>144</v>
      </c>
      <c r="K152" s="1">
        <v>144</v>
      </c>
      <c r="L152" s="1">
        <v>144</v>
      </c>
      <c r="M152" s="1">
        <v>144</v>
      </c>
      <c r="N152" s="1">
        <v>144</v>
      </c>
      <c r="O152" s="1">
        <v>144</v>
      </c>
      <c r="P152" s="1">
        <v>144</v>
      </c>
      <c r="Q152" s="1">
        <v>144</v>
      </c>
      <c r="R152" s="1">
        <v>144</v>
      </c>
      <c r="S152" s="95">
        <f t="shared" si="20"/>
        <v>0.34330671116938849</v>
      </c>
      <c r="T152" s="72"/>
    </row>
    <row r="153" spans="1:21" s="13" customFormat="1" ht="20.25" customHeight="1">
      <c r="A153" s="63">
        <v>137</v>
      </c>
      <c r="B153" s="62" t="s">
        <v>259</v>
      </c>
      <c r="C153" s="6" t="s">
        <v>260</v>
      </c>
      <c r="D153" s="70">
        <v>2015</v>
      </c>
      <c r="E153" s="73">
        <v>60</v>
      </c>
      <c r="F153" s="1">
        <v>90</v>
      </c>
      <c r="G153" s="1" t="s">
        <v>7</v>
      </c>
      <c r="H153" s="1" t="s">
        <v>7</v>
      </c>
      <c r="I153" s="1" t="s">
        <v>7</v>
      </c>
      <c r="J153" s="1" t="s">
        <v>7</v>
      </c>
      <c r="K153" s="1">
        <v>60</v>
      </c>
      <c r="L153" s="1">
        <v>60</v>
      </c>
      <c r="M153" s="1">
        <v>60</v>
      </c>
      <c r="N153" s="1">
        <v>60</v>
      </c>
      <c r="O153" s="1">
        <v>60</v>
      </c>
      <c r="P153" s="1">
        <v>60</v>
      </c>
      <c r="Q153" s="1">
        <v>60</v>
      </c>
      <c r="R153" s="1">
        <v>60</v>
      </c>
      <c r="S153" s="95">
        <f t="shared" si="20"/>
        <v>0.14304446298724521</v>
      </c>
      <c r="T153" s="72"/>
    </row>
    <row r="154" spans="1:21" s="13" customFormat="1" ht="20.25" customHeight="1">
      <c r="A154" s="63">
        <v>138</v>
      </c>
      <c r="B154" s="62" t="s">
        <v>100</v>
      </c>
      <c r="C154" s="6" t="s">
        <v>261</v>
      </c>
      <c r="D154" s="61">
        <v>1994</v>
      </c>
      <c r="E154" s="73">
        <v>284</v>
      </c>
      <c r="F154" s="1">
        <v>93</v>
      </c>
      <c r="G154" s="1">
        <v>284</v>
      </c>
      <c r="H154" s="1">
        <v>284</v>
      </c>
      <c r="I154" s="1">
        <v>284</v>
      </c>
      <c r="J154" s="1">
        <v>284</v>
      </c>
      <c r="K154" s="1">
        <v>284</v>
      </c>
      <c r="L154" s="1">
        <v>284</v>
      </c>
      <c r="M154" s="1">
        <v>284</v>
      </c>
      <c r="N154" s="1">
        <v>284</v>
      </c>
      <c r="O154" s="1">
        <v>284</v>
      </c>
      <c r="P154" s="1">
        <v>284</v>
      </c>
      <c r="Q154" s="1">
        <v>284</v>
      </c>
      <c r="R154" s="1">
        <v>284</v>
      </c>
      <c r="S154" s="95">
        <f t="shared" si="20"/>
        <v>0.6770771248062939</v>
      </c>
      <c r="T154" s="72"/>
    </row>
    <row r="155" spans="1:21" ht="20.25" customHeight="1">
      <c r="A155" s="63">
        <v>139</v>
      </c>
      <c r="B155" s="62" t="s">
        <v>101</v>
      </c>
      <c r="C155" s="6" t="s">
        <v>264</v>
      </c>
      <c r="D155" s="70">
        <v>1994</v>
      </c>
      <c r="E155" s="73">
        <v>168</v>
      </c>
      <c r="F155" s="1">
        <v>85</v>
      </c>
      <c r="G155" s="1">
        <v>250</v>
      </c>
      <c r="H155" s="1">
        <v>250</v>
      </c>
      <c r="I155" s="1">
        <v>250</v>
      </c>
      <c r="J155" s="1">
        <v>250</v>
      </c>
      <c r="K155" s="1">
        <v>250</v>
      </c>
      <c r="L155" s="1">
        <v>250</v>
      </c>
      <c r="M155" s="1">
        <v>250</v>
      </c>
      <c r="N155" s="1">
        <v>250</v>
      </c>
      <c r="O155" s="1">
        <v>250</v>
      </c>
      <c r="P155" s="1">
        <v>250</v>
      </c>
      <c r="Q155" s="1">
        <v>250</v>
      </c>
      <c r="R155" s="1">
        <v>250</v>
      </c>
      <c r="S155" s="95">
        <f t="shared" si="20"/>
        <v>0.59601859578018834</v>
      </c>
      <c r="T155" s="72"/>
    </row>
    <row r="156" spans="1:21" ht="20.25" customHeight="1">
      <c r="A156" s="63">
        <v>140</v>
      </c>
      <c r="B156" s="62" t="s">
        <v>265</v>
      </c>
      <c r="C156" s="6" t="s">
        <v>266</v>
      </c>
      <c r="D156" s="21">
        <v>1988</v>
      </c>
      <c r="E156" s="73">
        <v>180</v>
      </c>
      <c r="F156" s="1">
        <v>104</v>
      </c>
      <c r="G156" s="1">
        <v>394</v>
      </c>
      <c r="H156" s="1">
        <v>394</v>
      </c>
      <c r="I156" s="1">
        <v>394</v>
      </c>
      <c r="J156" s="1">
        <v>394</v>
      </c>
      <c r="K156" s="1">
        <v>394</v>
      </c>
      <c r="L156" s="1">
        <v>394</v>
      </c>
      <c r="M156" s="1">
        <v>394</v>
      </c>
      <c r="N156" s="1">
        <v>394</v>
      </c>
      <c r="O156" s="1">
        <v>394</v>
      </c>
      <c r="P156" s="1">
        <v>394</v>
      </c>
      <c r="Q156" s="1">
        <v>394</v>
      </c>
      <c r="R156" s="1">
        <v>394</v>
      </c>
      <c r="S156" s="95">
        <f t="shared" si="20"/>
        <v>0.93932530694957672</v>
      </c>
      <c r="T156" s="72"/>
    </row>
    <row r="157" spans="1:21" ht="20.25" customHeight="1">
      <c r="A157" s="63">
        <v>141</v>
      </c>
      <c r="B157" s="62" t="s">
        <v>380</v>
      </c>
      <c r="C157" s="6" t="s">
        <v>274</v>
      </c>
      <c r="D157" s="5" t="s">
        <v>103</v>
      </c>
      <c r="E157" s="1">
        <v>60</v>
      </c>
      <c r="F157" s="1">
        <v>54.7</v>
      </c>
      <c r="G157" s="1">
        <v>98</v>
      </c>
      <c r="H157" s="1">
        <v>98</v>
      </c>
      <c r="I157" s="1">
        <v>98</v>
      </c>
      <c r="J157" s="1">
        <v>98</v>
      </c>
      <c r="K157" s="1">
        <v>98</v>
      </c>
      <c r="L157" s="1">
        <v>98</v>
      </c>
      <c r="M157" s="1">
        <v>98</v>
      </c>
      <c r="N157" s="1">
        <v>98</v>
      </c>
      <c r="O157" s="1">
        <v>98</v>
      </c>
      <c r="P157" s="1">
        <v>178</v>
      </c>
      <c r="Q157" s="1">
        <v>178</v>
      </c>
      <c r="R157" s="1">
        <v>178</v>
      </c>
      <c r="S157" s="95">
        <f t="shared" si="20"/>
        <v>0.4243652401954941</v>
      </c>
      <c r="T157" s="72"/>
    </row>
    <row r="158" spans="1:21" ht="20.25" customHeight="1">
      <c r="A158" s="63">
        <v>142</v>
      </c>
      <c r="B158" s="62" t="s">
        <v>102</v>
      </c>
      <c r="C158" s="6" t="s">
        <v>267</v>
      </c>
      <c r="D158" s="5" t="s">
        <v>91</v>
      </c>
      <c r="E158" s="73">
        <v>36</v>
      </c>
      <c r="F158" s="1">
        <v>112.6</v>
      </c>
      <c r="G158" s="1">
        <v>72</v>
      </c>
      <c r="H158" s="1">
        <v>72</v>
      </c>
      <c r="I158" s="1">
        <v>72</v>
      </c>
      <c r="J158" s="1">
        <v>76</v>
      </c>
      <c r="K158" s="1">
        <v>76</v>
      </c>
      <c r="L158" s="1">
        <v>76</v>
      </c>
      <c r="M158" s="1">
        <v>76</v>
      </c>
      <c r="N158" s="1">
        <v>76</v>
      </c>
      <c r="O158" s="1">
        <v>76</v>
      </c>
      <c r="P158" s="1">
        <v>76</v>
      </c>
      <c r="Q158" s="1">
        <v>76</v>
      </c>
      <c r="R158" s="1">
        <v>76</v>
      </c>
      <c r="S158" s="95">
        <f t="shared" si="20"/>
        <v>0.18118965311717725</v>
      </c>
      <c r="T158" s="72"/>
    </row>
    <row r="159" spans="1:21" ht="20.25" customHeight="1">
      <c r="A159" s="63">
        <v>143</v>
      </c>
      <c r="B159" s="62" t="s">
        <v>378</v>
      </c>
      <c r="C159" s="6" t="s">
        <v>379</v>
      </c>
      <c r="D159" s="70">
        <v>2020</v>
      </c>
      <c r="E159" s="73">
        <v>232</v>
      </c>
      <c r="F159" s="1">
        <v>115</v>
      </c>
      <c r="G159" s="1" t="s">
        <v>7</v>
      </c>
      <c r="H159" s="1" t="s">
        <v>7</v>
      </c>
      <c r="I159" s="1" t="s">
        <v>7</v>
      </c>
      <c r="J159" s="1" t="s">
        <v>7</v>
      </c>
      <c r="K159" s="1" t="s">
        <v>7</v>
      </c>
      <c r="L159" s="1" t="s">
        <v>7</v>
      </c>
      <c r="M159" s="1" t="s">
        <v>7</v>
      </c>
      <c r="N159" s="1" t="s">
        <v>7</v>
      </c>
      <c r="O159" s="1" t="s">
        <v>7</v>
      </c>
      <c r="P159" s="1">
        <v>320</v>
      </c>
      <c r="Q159" s="1">
        <v>320</v>
      </c>
      <c r="R159" s="1">
        <v>320</v>
      </c>
      <c r="S159" s="95">
        <f t="shared" si="20"/>
        <v>0.76290380259864099</v>
      </c>
      <c r="T159" s="72"/>
    </row>
    <row r="160" spans="1:21" ht="20.25" customHeight="1">
      <c r="A160" s="63">
        <v>144</v>
      </c>
      <c r="B160" s="62" t="s">
        <v>268</v>
      </c>
      <c r="C160" s="6" t="s">
        <v>269</v>
      </c>
      <c r="D160" s="70">
        <v>1991</v>
      </c>
      <c r="E160" s="73">
        <v>112</v>
      </c>
      <c r="F160" s="1">
        <v>77</v>
      </c>
      <c r="G160" s="1">
        <v>112</v>
      </c>
      <c r="H160" s="1">
        <v>112</v>
      </c>
      <c r="I160" s="1">
        <v>112</v>
      </c>
      <c r="J160" s="1">
        <v>112</v>
      </c>
      <c r="K160" s="1">
        <v>112</v>
      </c>
      <c r="L160" s="1">
        <v>112</v>
      </c>
      <c r="M160" s="1">
        <v>112</v>
      </c>
      <c r="N160" s="1">
        <v>112</v>
      </c>
      <c r="O160" s="1">
        <v>112</v>
      </c>
      <c r="P160" s="1">
        <v>0</v>
      </c>
      <c r="Q160" s="1">
        <v>0</v>
      </c>
      <c r="R160" s="1">
        <v>0</v>
      </c>
      <c r="S160" s="95">
        <f t="shared" si="20"/>
        <v>0</v>
      </c>
      <c r="T160" s="72"/>
    </row>
    <row r="161" spans="1:21" s="13" customFormat="1" ht="20.25" customHeight="1">
      <c r="A161" s="63">
        <v>145</v>
      </c>
      <c r="B161" s="62" t="s">
        <v>270</v>
      </c>
      <c r="C161" s="6" t="s">
        <v>271</v>
      </c>
      <c r="D161" s="70">
        <v>1998</v>
      </c>
      <c r="E161" s="1">
        <v>700</v>
      </c>
      <c r="F161" s="1">
        <v>99.8</v>
      </c>
      <c r="G161" s="1">
        <v>852</v>
      </c>
      <c r="H161" s="1">
        <v>852</v>
      </c>
      <c r="I161" s="1">
        <v>852</v>
      </c>
      <c r="J161" s="1">
        <v>852</v>
      </c>
      <c r="K161" s="1">
        <v>852</v>
      </c>
      <c r="L161" s="1">
        <v>852</v>
      </c>
      <c r="M161" s="1">
        <v>924</v>
      </c>
      <c r="N161" s="1">
        <v>924</v>
      </c>
      <c r="O161" s="1">
        <v>924</v>
      </c>
      <c r="P161" s="1">
        <v>924</v>
      </c>
      <c r="Q161" s="1">
        <v>924</v>
      </c>
      <c r="R161" s="1">
        <v>924</v>
      </c>
      <c r="S161" s="95">
        <f t="shared" si="20"/>
        <v>2.2028847300035759</v>
      </c>
      <c r="T161" s="72"/>
    </row>
    <row r="162" spans="1:21" s="13" customFormat="1" ht="20.25" customHeight="1">
      <c r="A162" s="63">
        <v>146</v>
      </c>
      <c r="B162" s="62" t="s">
        <v>104</v>
      </c>
      <c r="C162" s="6" t="s">
        <v>275</v>
      </c>
      <c r="D162" s="70">
        <v>1994</v>
      </c>
      <c r="E162" s="1">
        <v>100</v>
      </c>
      <c r="F162" s="1">
        <v>90</v>
      </c>
      <c r="G162" s="1">
        <v>150</v>
      </c>
      <c r="H162" s="1">
        <v>150</v>
      </c>
      <c r="I162" s="1">
        <v>150</v>
      </c>
      <c r="J162" s="1">
        <v>150</v>
      </c>
      <c r="K162" s="1">
        <v>150</v>
      </c>
      <c r="L162" s="1">
        <v>150</v>
      </c>
      <c r="M162" s="1">
        <v>150</v>
      </c>
      <c r="N162" s="1">
        <v>150</v>
      </c>
      <c r="O162" s="1">
        <v>150</v>
      </c>
      <c r="P162" s="1">
        <v>150</v>
      </c>
      <c r="Q162" s="1">
        <v>150</v>
      </c>
      <c r="R162" s="1">
        <v>154</v>
      </c>
      <c r="S162" s="95">
        <f t="shared" si="20"/>
        <v>0.36714745500059603</v>
      </c>
    </row>
    <row r="163" spans="1:21" ht="20.25" customHeight="1">
      <c r="A163" s="63">
        <v>147</v>
      </c>
      <c r="B163" s="25" t="s">
        <v>105</v>
      </c>
      <c r="C163" s="35" t="s">
        <v>276</v>
      </c>
      <c r="D163" s="71">
        <v>1994</v>
      </c>
      <c r="E163" s="15">
        <v>200</v>
      </c>
      <c r="F163" s="15">
        <v>48.3</v>
      </c>
      <c r="G163" s="15">
        <v>368</v>
      </c>
      <c r="H163" s="15">
        <v>368</v>
      </c>
      <c r="I163" s="15">
        <v>368</v>
      </c>
      <c r="J163" s="15">
        <v>368</v>
      </c>
      <c r="K163" s="15">
        <v>368</v>
      </c>
      <c r="L163" s="15">
        <v>368</v>
      </c>
      <c r="M163" s="15">
        <v>368</v>
      </c>
      <c r="N163" s="15">
        <v>368</v>
      </c>
      <c r="O163" s="15">
        <v>388</v>
      </c>
      <c r="P163" s="15">
        <v>388</v>
      </c>
      <c r="Q163" s="15">
        <v>388</v>
      </c>
      <c r="R163" s="15">
        <v>388</v>
      </c>
      <c r="S163" s="102">
        <f t="shared" si="20"/>
        <v>0.92502086065085232</v>
      </c>
    </row>
    <row r="164" spans="1:21" s="13" customFormat="1" ht="20.25" customHeight="1">
      <c r="A164" s="63"/>
      <c r="B164" s="65" t="s">
        <v>20</v>
      </c>
      <c r="C164" s="64"/>
      <c r="D164" s="12" t="s">
        <v>7</v>
      </c>
      <c r="E164" s="12" t="s">
        <v>7</v>
      </c>
      <c r="F164" s="12" t="s">
        <v>7</v>
      </c>
      <c r="G164" s="50">
        <f t="shared" ref="G164:Q164" si="23">SUM(G165:G168)</f>
        <v>350</v>
      </c>
      <c r="H164" s="50">
        <f t="shared" si="23"/>
        <v>402</v>
      </c>
      <c r="I164" s="50">
        <f t="shared" si="23"/>
        <v>402</v>
      </c>
      <c r="J164" s="50">
        <f t="shared" si="23"/>
        <v>402</v>
      </c>
      <c r="K164" s="50">
        <f t="shared" si="23"/>
        <v>402</v>
      </c>
      <c r="L164" s="50">
        <f t="shared" si="23"/>
        <v>434</v>
      </c>
      <c r="M164" s="50">
        <f t="shared" si="23"/>
        <v>434</v>
      </c>
      <c r="N164" s="50">
        <f t="shared" si="23"/>
        <v>434</v>
      </c>
      <c r="O164" s="50">
        <f t="shared" si="23"/>
        <v>614</v>
      </c>
      <c r="P164" s="50">
        <f t="shared" si="23"/>
        <v>614</v>
      </c>
      <c r="Q164" s="50">
        <f t="shared" si="23"/>
        <v>694</v>
      </c>
      <c r="R164" s="50">
        <f t="shared" ref="R164" si="24">SUM(R165:R168)</f>
        <v>694</v>
      </c>
      <c r="S164" s="94">
        <f t="shared" si="20"/>
        <v>1.6545476218858028</v>
      </c>
    </row>
    <row r="165" spans="1:21" ht="20.25" customHeight="1">
      <c r="A165" s="63">
        <v>148</v>
      </c>
      <c r="B165" s="62" t="s">
        <v>106</v>
      </c>
      <c r="C165" s="6" t="s">
        <v>277</v>
      </c>
      <c r="D165" s="21" t="s">
        <v>107</v>
      </c>
      <c r="E165" s="1">
        <v>20</v>
      </c>
      <c r="F165" s="1">
        <v>48</v>
      </c>
      <c r="G165" s="1">
        <v>260</v>
      </c>
      <c r="H165" s="1">
        <v>312</v>
      </c>
      <c r="I165" s="1">
        <v>312</v>
      </c>
      <c r="J165" s="1">
        <v>312</v>
      </c>
      <c r="K165" s="1">
        <v>312</v>
      </c>
      <c r="L165" s="1">
        <v>312</v>
      </c>
      <c r="M165" s="1">
        <v>312</v>
      </c>
      <c r="N165" s="1">
        <v>312</v>
      </c>
      <c r="O165" s="1">
        <v>312</v>
      </c>
      <c r="P165" s="1">
        <v>312</v>
      </c>
      <c r="Q165" s="1">
        <v>312</v>
      </c>
      <c r="R165" s="1">
        <v>312</v>
      </c>
      <c r="S165" s="95">
        <f t="shared" si="20"/>
        <v>0.74383120753367504</v>
      </c>
    </row>
    <row r="166" spans="1:21" ht="20.25" customHeight="1">
      <c r="A166" s="63">
        <v>149</v>
      </c>
      <c r="B166" s="62" t="s">
        <v>278</v>
      </c>
      <c r="C166" s="6" t="s">
        <v>279</v>
      </c>
      <c r="D166" s="21" t="s">
        <v>113</v>
      </c>
      <c r="E166" s="1">
        <v>180</v>
      </c>
      <c r="F166" s="1">
        <v>76.599999999999994</v>
      </c>
      <c r="G166" s="1" t="s">
        <v>7</v>
      </c>
      <c r="H166" s="1" t="s">
        <v>7</v>
      </c>
      <c r="I166" s="1" t="s">
        <v>7</v>
      </c>
      <c r="J166" s="1" t="s">
        <v>7</v>
      </c>
      <c r="K166" s="1" t="s">
        <v>7</v>
      </c>
      <c r="L166" s="1" t="s">
        <v>7</v>
      </c>
      <c r="M166" s="1" t="s">
        <v>7</v>
      </c>
      <c r="N166" s="1" t="s">
        <v>7</v>
      </c>
      <c r="O166" s="1">
        <v>180</v>
      </c>
      <c r="P166" s="1">
        <v>180</v>
      </c>
      <c r="Q166" s="1">
        <v>180</v>
      </c>
      <c r="R166" s="1">
        <v>180</v>
      </c>
      <c r="S166" s="95">
        <f t="shared" si="20"/>
        <v>0.42913338896173558</v>
      </c>
    </row>
    <row r="167" spans="1:21" ht="20.25" customHeight="1">
      <c r="A167" s="63">
        <v>150</v>
      </c>
      <c r="B167" s="62" t="s">
        <v>392</v>
      </c>
      <c r="C167" s="6" t="s">
        <v>393</v>
      </c>
      <c r="D167" s="21" t="s">
        <v>384</v>
      </c>
      <c r="E167" s="1">
        <v>80</v>
      </c>
      <c r="F167" s="1">
        <v>64.3</v>
      </c>
      <c r="G167" s="1" t="s">
        <v>7</v>
      </c>
      <c r="H167" s="1" t="s">
        <v>7</v>
      </c>
      <c r="I167" s="1" t="s">
        <v>7</v>
      </c>
      <c r="J167" s="1" t="s">
        <v>7</v>
      </c>
      <c r="K167" s="1" t="s">
        <v>7</v>
      </c>
      <c r="L167" s="1" t="s">
        <v>7</v>
      </c>
      <c r="M167" s="1" t="s">
        <v>7</v>
      </c>
      <c r="N167" s="1" t="s">
        <v>7</v>
      </c>
      <c r="O167" s="1" t="s">
        <v>7</v>
      </c>
      <c r="P167" s="1" t="s">
        <v>7</v>
      </c>
      <c r="Q167" s="1">
        <v>80</v>
      </c>
      <c r="R167" s="1">
        <v>80</v>
      </c>
      <c r="S167" s="95">
        <f t="shared" si="20"/>
        <v>0.19072595064966025</v>
      </c>
    </row>
    <row r="168" spans="1:21" s="13" customFormat="1" ht="20.25" customHeight="1">
      <c r="A168" s="63">
        <v>151</v>
      </c>
      <c r="B168" s="25" t="s">
        <v>108</v>
      </c>
      <c r="C168" s="35" t="s">
        <v>280</v>
      </c>
      <c r="D168" s="24" t="s">
        <v>61</v>
      </c>
      <c r="E168" s="15">
        <v>50</v>
      </c>
      <c r="F168" s="15">
        <v>32</v>
      </c>
      <c r="G168" s="15">
        <v>90</v>
      </c>
      <c r="H168" s="15">
        <v>90</v>
      </c>
      <c r="I168" s="15">
        <v>90</v>
      </c>
      <c r="J168" s="15">
        <v>90</v>
      </c>
      <c r="K168" s="15">
        <v>90</v>
      </c>
      <c r="L168" s="15">
        <v>122</v>
      </c>
      <c r="M168" s="15">
        <v>122</v>
      </c>
      <c r="N168" s="15">
        <v>122</v>
      </c>
      <c r="O168" s="15">
        <v>122</v>
      </c>
      <c r="P168" s="15">
        <v>122</v>
      </c>
      <c r="Q168" s="15">
        <v>122</v>
      </c>
      <c r="R168" s="15">
        <v>122</v>
      </c>
      <c r="S168" s="102">
        <f t="shared" si="20"/>
        <v>0.29085707474073191</v>
      </c>
    </row>
    <row r="169" spans="1:21" s="13" customFormat="1" ht="20.25" customHeight="1">
      <c r="A169" s="63"/>
      <c r="B169" s="65" t="s">
        <v>21</v>
      </c>
      <c r="C169" s="64"/>
      <c r="D169" s="12" t="s">
        <v>7</v>
      </c>
      <c r="E169" s="12" t="s">
        <v>7</v>
      </c>
      <c r="F169" s="12" t="s">
        <v>7</v>
      </c>
      <c r="G169" s="50">
        <f t="shared" ref="G169:Q169" si="25">SUM(G170:G172)</f>
        <v>400</v>
      </c>
      <c r="H169" s="50">
        <f t="shared" si="25"/>
        <v>400</v>
      </c>
      <c r="I169" s="50">
        <f t="shared" si="25"/>
        <v>400</v>
      </c>
      <c r="J169" s="50">
        <f t="shared" si="25"/>
        <v>400</v>
      </c>
      <c r="K169" s="50">
        <f t="shared" si="25"/>
        <v>400</v>
      </c>
      <c r="L169" s="50">
        <f t="shared" si="25"/>
        <v>400</v>
      </c>
      <c r="M169" s="50">
        <f t="shared" si="25"/>
        <v>400</v>
      </c>
      <c r="N169" s="50">
        <f t="shared" si="25"/>
        <v>400</v>
      </c>
      <c r="O169" s="50">
        <f t="shared" si="25"/>
        <v>400</v>
      </c>
      <c r="P169" s="50">
        <f t="shared" si="25"/>
        <v>440</v>
      </c>
      <c r="Q169" s="50">
        <f t="shared" si="25"/>
        <v>440</v>
      </c>
      <c r="R169" s="50">
        <f t="shared" ref="R169" si="26">SUM(R170:R172)</f>
        <v>614</v>
      </c>
      <c r="S169" s="94">
        <f t="shared" si="20"/>
        <v>1.4638216712361425</v>
      </c>
    </row>
    <row r="170" spans="1:21" ht="20.25" customHeight="1">
      <c r="A170" s="63">
        <v>152</v>
      </c>
      <c r="B170" s="62" t="s">
        <v>109</v>
      </c>
      <c r="C170" s="6" t="s">
        <v>281</v>
      </c>
      <c r="D170" s="61" t="s">
        <v>46</v>
      </c>
      <c r="E170" s="1">
        <v>72</v>
      </c>
      <c r="F170" s="1">
        <v>128.69999999999999</v>
      </c>
      <c r="G170" s="1">
        <v>160</v>
      </c>
      <c r="H170" s="1">
        <v>160</v>
      </c>
      <c r="I170" s="1">
        <v>160</v>
      </c>
      <c r="J170" s="1">
        <v>160</v>
      </c>
      <c r="K170" s="1">
        <v>160</v>
      </c>
      <c r="L170" s="1">
        <v>160</v>
      </c>
      <c r="M170" s="1">
        <v>160</v>
      </c>
      <c r="N170" s="1">
        <v>160</v>
      </c>
      <c r="O170" s="1">
        <v>160</v>
      </c>
      <c r="P170" s="1">
        <v>200</v>
      </c>
      <c r="Q170" s="1">
        <v>200</v>
      </c>
      <c r="R170" s="1">
        <v>200</v>
      </c>
      <c r="S170" s="95">
        <f t="shared" si="20"/>
        <v>0.47681487662415067</v>
      </c>
    </row>
    <row r="171" spans="1:21" ht="20.25" customHeight="1">
      <c r="A171" s="63">
        <v>153</v>
      </c>
      <c r="B171" s="62" t="s">
        <v>421</v>
      </c>
      <c r="C171" s="6"/>
      <c r="D171" s="61" t="s">
        <v>402</v>
      </c>
      <c r="E171" s="1">
        <v>174</v>
      </c>
      <c r="F171" s="1">
        <v>267</v>
      </c>
      <c r="G171" s="1" t="s">
        <v>7</v>
      </c>
      <c r="H171" s="1" t="s">
        <v>7</v>
      </c>
      <c r="I171" s="1" t="s">
        <v>7</v>
      </c>
      <c r="J171" s="1" t="s">
        <v>7</v>
      </c>
      <c r="K171" s="1" t="s">
        <v>7</v>
      </c>
      <c r="L171" s="1" t="s">
        <v>7</v>
      </c>
      <c r="M171" s="1" t="s">
        <v>7</v>
      </c>
      <c r="N171" s="1" t="s">
        <v>7</v>
      </c>
      <c r="O171" s="1" t="s">
        <v>7</v>
      </c>
      <c r="P171" s="1" t="s">
        <v>7</v>
      </c>
      <c r="Q171" s="1" t="s">
        <v>7</v>
      </c>
      <c r="R171" s="1">
        <v>174</v>
      </c>
      <c r="S171" s="95">
        <f t="shared" si="20"/>
        <v>0.41482894266301107</v>
      </c>
    </row>
    <row r="172" spans="1:21" s="13" customFormat="1" ht="20.25" customHeight="1">
      <c r="A172" s="14">
        <v>154</v>
      </c>
      <c r="B172" s="25" t="s">
        <v>110</v>
      </c>
      <c r="C172" s="35" t="s">
        <v>282</v>
      </c>
      <c r="D172" s="26">
        <v>2000</v>
      </c>
      <c r="E172" s="26">
        <v>240</v>
      </c>
      <c r="F172" s="22">
        <v>128.69999999999999</v>
      </c>
      <c r="G172" s="26">
        <v>240</v>
      </c>
      <c r="H172" s="26">
        <v>240</v>
      </c>
      <c r="I172" s="26">
        <v>240</v>
      </c>
      <c r="J172" s="26">
        <v>240</v>
      </c>
      <c r="K172" s="26">
        <v>240</v>
      </c>
      <c r="L172" s="26">
        <v>240</v>
      </c>
      <c r="M172" s="26">
        <v>240</v>
      </c>
      <c r="N172" s="26">
        <v>240</v>
      </c>
      <c r="O172" s="26">
        <v>240</v>
      </c>
      <c r="P172" s="26">
        <v>240</v>
      </c>
      <c r="Q172" s="26">
        <v>240</v>
      </c>
      <c r="R172" s="26">
        <v>240</v>
      </c>
      <c r="S172" s="86">
        <f t="shared" si="20"/>
        <v>0.57217785194898085</v>
      </c>
    </row>
    <row r="173" spans="1:21" s="13" customFormat="1" ht="20.25" customHeight="1">
      <c r="A173" s="63"/>
      <c r="B173" s="65" t="s">
        <v>22</v>
      </c>
      <c r="C173" s="64"/>
      <c r="D173" s="12" t="s">
        <v>7</v>
      </c>
      <c r="E173" s="12" t="s">
        <v>7</v>
      </c>
      <c r="F173" s="12" t="s">
        <v>7</v>
      </c>
      <c r="G173" s="50">
        <f t="shared" ref="G173:R173" si="27">SUM(G174)</f>
        <v>250</v>
      </c>
      <c r="H173" s="50">
        <f t="shared" si="27"/>
        <v>250</v>
      </c>
      <c r="I173" s="50">
        <f t="shared" si="27"/>
        <v>250</v>
      </c>
      <c r="J173" s="50">
        <f t="shared" si="27"/>
        <v>250</v>
      </c>
      <c r="K173" s="50">
        <f t="shared" si="27"/>
        <v>250</v>
      </c>
      <c r="L173" s="50">
        <f t="shared" si="27"/>
        <v>250</v>
      </c>
      <c r="M173" s="50">
        <f t="shared" si="27"/>
        <v>250</v>
      </c>
      <c r="N173" s="50">
        <f t="shared" si="27"/>
        <v>250</v>
      </c>
      <c r="O173" s="50">
        <f t="shared" si="27"/>
        <v>250</v>
      </c>
      <c r="P173" s="50">
        <f t="shared" si="27"/>
        <v>250</v>
      </c>
      <c r="Q173" s="50">
        <f t="shared" si="27"/>
        <v>250</v>
      </c>
      <c r="R173" s="50">
        <f t="shared" si="27"/>
        <v>250</v>
      </c>
      <c r="S173" s="94">
        <f t="shared" si="20"/>
        <v>0.59601859578018834</v>
      </c>
    </row>
    <row r="174" spans="1:21" s="13" customFormat="1" ht="20.25" customHeight="1">
      <c r="A174" s="14">
        <v>155</v>
      </c>
      <c r="B174" s="25" t="s">
        <v>111</v>
      </c>
      <c r="C174" s="35" t="s">
        <v>283</v>
      </c>
      <c r="D174" s="69" t="s">
        <v>46</v>
      </c>
      <c r="E174" s="15">
        <v>250</v>
      </c>
      <c r="F174" s="15">
        <v>120.7</v>
      </c>
      <c r="G174" s="15">
        <v>250</v>
      </c>
      <c r="H174" s="15">
        <v>250</v>
      </c>
      <c r="I174" s="26">
        <v>250</v>
      </c>
      <c r="J174" s="26">
        <v>250</v>
      </c>
      <c r="K174" s="26">
        <v>250</v>
      </c>
      <c r="L174" s="26">
        <v>250</v>
      </c>
      <c r="M174" s="26">
        <v>250</v>
      </c>
      <c r="N174" s="26">
        <v>250</v>
      </c>
      <c r="O174" s="26">
        <v>250</v>
      </c>
      <c r="P174" s="26">
        <v>250</v>
      </c>
      <c r="Q174" s="26">
        <v>250</v>
      </c>
      <c r="R174" s="26">
        <v>250</v>
      </c>
      <c r="S174" s="86">
        <f t="shared" si="20"/>
        <v>0.59601859578018834</v>
      </c>
    </row>
    <row r="175" spans="1:21" s="27" customFormat="1" ht="20.25" customHeight="1">
      <c r="A175" s="63"/>
      <c r="B175" s="65" t="s">
        <v>23</v>
      </c>
      <c r="C175" s="64"/>
      <c r="D175" s="12" t="s">
        <v>7</v>
      </c>
      <c r="E175" s="12" t="s">
        <v>7</v>
      </c>
      <c r="F175" s="12" t="s">
        <v>7</v>
      </c>
      <c r="G175" s="50">
        <f t="shared" ref="G175:Q175" si="28">SUM(G176:G184)</f>
        <v>436</v>
      </c>
      <c r="H175" s="50">
        <f t="shared" si="28"/>
        <v>590</v>
      </c>
      <c r="I175" s="50">
        <f t="shared" si="28"/>
        <v>590</v>
      </c>
      <c r="J175" s="50">
        <f t="shared" si="28"/>
        <v>590</v>
      </c>
      <c r="K175" s="50">
        <f t="shared" si="28"/>
        <v>778</v>
      </c>
      <c r="L175" s="50">
        <f t="shared" si="28"/>
        <v>962</v>
      </c>
      <c r="M175" s="50">
        <f t="shared" si="28"/>
        <v>1512</v>
      </c>
      <c r="N175" s="50">
        <f t="shared" si="28"/>
        <v>1754</v>
      </c>
      <c r="O175" s="50">
        <f t="shared" si="28"/>
        <v>2798</v>
      </c>
      <c r="P175" s="50">
        <f t="shared" si="28"/>
        <v>2806</v>
      </c>
      <c r="Q175" s="50">
        <f t="shared" si="28"/>
        <v>2860</v>
      </c>
      <c r="R175" s="50">
        <f t="shared" ref="R175" si="29">SUM(R176:R184)</f>
        <v>2860</v>
      </c>
      <c r="S175" s="94">
        <f t="shared" si="20"/>
        <v>6.8184527357253542</v>
      </c>
    </row>
    <row r="176" spans="1:21" s="13" customFormat="1" ht="20.25" customHeight="1">
      <c r="A176" s="63">
        <v>156</v>
      </c>
      <c r="B176" s="62" t="s">
        <v>422</v>
      </c>
      <c r="C176" s="6" t="s">
        <v>284</v>
      </c>
      <c r="D176" s="70">
        <v>2015</v>
      </c>
      <c r="E176" s="1">
        <v>66</v>
      </c>
      <c r="F176" s="1">
        <v>158</v>
      </c>
      <c r="G176" s="1" t="s">
        <v>7</v>
      </c>
      <c r="H176" s="1" t="s">
        <v>7</v>
      </c>
      <c r="I176" s="1" t="s">
        <v>7</v>
      </c>
      <c r="J176" s="1" t="s">
        <v>7</v>
      </c>
      <c r="K176" s="1">
        <v>66</v>
      </c>
      <c r="L176" s="1">
        <v>66</v>
      </c>
      <c r="M176" s="1">
        <v>66</v>
      </c>
      <c r="N176" s="1">
        <v>66</v>
      </c>
      <c r="O176" s="1">
        <v>66</v>
      </c>
      <c r="P176" s="1">
        <v>66</v>
      </c>
      <c r="Q176" s="1">
        <v>66</v>
      </c>
      <c r="R176" s="1">
        <v>66</v>
      </c>
      <c r="S176" s="95">
        <f t="shared" si="20"/>
        <v>0.15734890928596973</v>
      </c>
      <c r="T176" s="37"/>
      <c r="U176" s="39"/>
    </row>
    <row r="177" spans="1:21" s="13" customFormat="1" ht="20.25" customHeight="1">
      <c r="A177" s="63">
        <v>157</v>
      </c>
      <c r="B177" s="62" t="s">
        <v>285</v>
      </c>
      <c r="C177" s="6" t="s">
        <v>286</v>
      </c>
      <c r="D177" s="70">
        <v>1998</v>
      </c>
      <c r="E177" s="1">
        <v>50</v>
      </c>
      <c r="F177" s="1">
        <v>146</v>
      </c>
      <c r="G177" s="1">
        <v>236</v>
      </c>
      <c r="H177" s="1">
        <v>236</v>
      </c>
      <c r="I177" s="1">
        <v>236</v>
      </c>
      <c r="J177" s="1">
        <v>236</v>
      </c>
      <c r="K177" s="1">
        <v>238</v>
      </c>
      <c r="L177" s="1">
        <v>238</v>
      </c>
      <c r="M177" s="1">
        <v>238</v>
      </c>
      <c r="N177" s="1">
        <v>238</v>
      </c>
      <c r="O177" s="1">
        <v>238</v>
      </c>
      <c r="P177" s="1">
        <v>238</v>
      </c>
      <c r="Q177" s="1">
        <v>238</v>
      </c>
      <c r="R177" s="1">
        <v>238</v>
      </c>
      <c r="S177" s="95">
        <f t="shared" si="20"/>
        <v>0.56740970318273931</v>
      </c>
      <c r="T177" s="37"/>
      <c r="U177" s="39"/>
    </row>
    <row r="178" spans="1:21" s="13" customFormat="1" ht="20.25" customHeight="1">
      <c r="A178" s="63">
        <v>158</v>
      </c>
      <c r="B178" s="62" t="s">
        <v>287</v>
      </c>
      <c r="C178" s="6" t="s">
        <v>288</v>
      </c>
      <c r="D178" s="70">
        <v>2019</v>
      </c>
      <c r="E178" s="1">
        <v>152</v>
      </c>
      <c r="F178" s="1">
        <v>153</v>
      </c>
      <c r="G178" s="1" t="s">
        <v>7</v>
      </c>
      <c r="H178" s="1" t="s">
        <v>7</v>
      </c>
      <c r="I178" s="1" t="s">
        <v>7</v>
      </c>
      <c r="J178" s="1" t="s">
        <v>7</v>
      </c>
      <c r="K178" s="1" t="s">
        <v>7</v>
      </c>
      <c r="L178" s="1" t="s">
        <v>7</v>
      </c>
      <c r="M178" s="1" t="s">
        <v>7</v>
      </c>
      <c r="N178" s="1" t="s">
        <v>7</v>
      </c>
      <c r="O178" s="1">
        <v>152</v>
      </c>
      <c r="P178" s="1">
        <v>152</v>
      </c>
      <c r="Q178" s="1">
        <v>206</v>
      </c>
      <c r="R178" s="1">
        <v>206</v>
      </c>
      <c r="S178" s="95">
        <f t="shared" si="20"/>
        <v>0.49111932292287519</v>
      </c>
      <c r="T178" s="37"/>
      <c r="U178" s="39"/>
    </row>
    <row r="179" spans="1:21" s="13" customFormat="1" ht="20.25" customHeight="1">
      <c r="A179" s="63">
        <v>159</v>
      </c>
      <c r="B179" s="62" t="s">
        <v>289</v>
      </c>
      <c r="C179" s="6" t="s">
        <v>290</v>
      </c>
      <c r="D179" s="70">
        <v>2017</v>
      </c>
      <c r="E179" s="1">
        <v>544</v>
      </c>
      <c r="F179" s="1">
        <v>171</v>
      </c>
      <c r="G179" s="1" t="s">
        <v>7</v>
      </c>
      <c r="H179" s="1" t="s">
        <v>7</v>
      </c>
      <c r="I179" s="1" t="s">
        <v>7</v>
      </c>
      <c r="J179" s="1" t="s">
        <v>7</v>
      </c>
      <c r="K179" s="1" t="s">
        <v>7</v>
      </c>
      <c r="L179" s="50" t="s">
        <v>7</v>
      </c>
      <c r="M179" s="1">
        <v>544</v>
      </c>
      <c r="N179" s="1">
        <v>544</v>
      </c>
      <c r="O179" s="1">
        <v>544</v>
      </c>
      <c r="P179" s="1">
        <v>544</v>
      </c>
      <c r="Q179" s="1">
        <v>544</v>
      </c>
      <c r="R179" s="1">
        <v>544</v>
      </c>
      <c r="S179" s="95">
        <f t="shared" si="20"/>
        <v>1.2969364644176897</v>
      </c>
      <c r="T179" s="37"/>
      <c r="U179" s="39"/>
    </row>
    <row r="180" spans="1:21" s="13" customFormat="1" ht="20.25" customHeight="1">
      <c r="A180" s="63">
        <v>160</v>
      </c>
      <c r="B180" s="62" t="s">
        <v>291</v>
      </c>
      <c r="C180" s="6" t="s">
        <v>292</v>
      </c>
      <c r="D180" s="70">
        <v>2012</v>
      </c>
      <c r="E180" s="1">
        <v>56</v>
      </c>
      <c r="F180" s="1">
        <v>180</v>
      </c>
      <c r="G180" s="1" t="s">
        <v>7</v>
      </c>
      <c r="H180" s="1">
        <v>154</v>
      </c>
      <c r="I180" s="1">
        <v>154</v>
      </c>
      <c r="J180" s="1">
        <v>154</v>
      </c>
      <c r="K180" s="1">
        <v>274</v>
      </c>
      <c r="L180" s="1">
        <v>274</v>
      </c>
      <c r="M180" s="1">
        <v>274</v>
      </c>
      <c r="N180" s="1">
        <v>274</v>
      </c>
      <c r="O180" s="1">
        <v>274</v>
      </c>
      <c r="P180" s="1">
        <v>274</v>
      </c>
      <c r="Q180" s="1">
        <v>274</v>
      </c>
      <c r="R180" s="1">
        <v>274</v>
      </c>
      <c r="S180" s="95">
        <f t="shared" si="20"/>
        <v>0.65323638097508641</v>
      </c>
      <c r="T180" s="37"/>
      <c r="U180" s="39"/>
    </row>
    <row r="181" spans="1:21" s="13" customFormat="1" ht="20.25" customHeight="1">
      <c r="A181" s="63">
        <v>161</v>
      </c>
      <c r="B181" s="62" t="s">
        <v>293</v>
      </c>
      <c r="C181" s="6" t="s">
        <v>294</v>
      </c>
      <c r="D181" s="70">
        <v>2019</v>
      </c>
      <c r="E181" s="1">
        <v>880</v>
      </c>
      <c r="F181" s="1">
        <v>180</v>
      </c>
      <c r="G181" s="1" t="s">
        <v>7</v>
      </c>
      <c r="H181" s="1" t="s">
        <v>7</v>
      </c>
      <c r="I181" s="1" t="s">
        <v>7</v>
      </c>
      <c r="J181" s="1" t="s">
        <v>7</v>
      </c>
      <c r="K181" s="1" t="s">
        <v>7</v>
      </c>
      <c r="L181" s="50" t="s">
        <v>7</v>
      </c>
      <c r="M181" s="50" t="s">
        <v>7</v>
      </c>
      <c r="N181" s="50" t="s">
        <v>7</v>
      </c>
      <c r="O181" s="1">
        <v>880</v>
      </c>
      <c r="P181" s="1">
        <v>880</v>
      </c>
      <c r="Q181" s="1">
        <v>880</v>
      </c>
      <c r="R181" s="1">
        <v>880</v>
      </c>
      <c r="S181" s="95">
        <f t="shared" si="20"/>
        <v>2.0979854571462631</v>
      </c>
      <c r="T181" s="37"/>
      <c r="U181" s="39"/>
    </row>
    <row r="182" spans="1:21" s="13" customFormat="1" ht="20.25" customHeight="1">
      <c r="A182" s="63">
        <v>162</v>
      </c>
      <c r="B182" s="62" t="s">
        <v>423</v>
      </c>
      <c r="C182" s="6" t="s">
        <v>295</v>
      </c>
      <c r="D182" s="70">
        <v>2018</v>
      </c>
      <c r="E182" s="1">
        <v>242</v>
      </c>
      <c r="F182" s="1">
        <v>153</v>
      </c>
      <c r="G182" s="1" t="s">
        <v>7</v>
      </c>
      <c r="H182" s="1" t="s">
        <v>7</v>
      </c>
      <c r="I182" s="1" t="s">
        <v>7</v>
      </c>
      <c r="J182" s="50" t="s">
        <v>7</v>
      </c>
      <c r="K182" s="50" t="s">
        <v>7</v>
      </c>
      <c r="L182" s="50" t="s">
        <v>7</v>
      </c>
      <c r="M182" s="50" t="s">
        <v>7</v>
      </c>
      <c r="N182" s="1">
        <v>242</v>
      </c>
      <c r="O182" s="1">
        <v>254</v>
      </c>
      <c r="P182" s="1">
        <v>254</v>
      </c>
      <c r="Q182" s="1">
        <v>254</v>
      </c>
      <c r="R182" s="1">
        <v>254</v>
      </c>
      <c r="S182" s="95">
        <f t="shared" si="20"/>
        <v>0.60555489331267143</v>
      </c>
      <c r="T182" s="37"/>
      <c r="U182" s="39"/>
    </row>
    <row r="183" spans="1:21" s="13" customFormat="1" ht="20.25" customHeight="1">
      <c r="A183" s="63">
        <v>163</v>
      </c>
      <c r="B183" s="62" t="s">
        <v>424</v>
      </c>
      <c r="C183" s="6" t="s">
        <v>296</v>
      </c>
      <c r="D183" s="61">
        <v>1998</v>
      </c>
      <c r="E183" s="1">
        <v>136</v>
      </c>
      <c r="F183" s="1">
        <v>144</v>
      </c>
      <c r="G183" s="1">
        <v>200</v>
      </c>
      <c r="H183" s="1">
        <v>200</v>
      </c>
      <c r="I183" s="1">
        <v>200</v>
      </c>
      <c r="J183" s="1">
        <v>200</v>
      </c>
      <c r="K183" s="1">
        <v>200</v>
      </c>
      <c r="L183" s="1">
        <v>200</v>
      </c>
      <c r="M183" s="1">
        <v>200</v>
      </c>
      <c r="N183" s="1">
        <v>200</v>
      </c>
      <c r="O183" s="1">
        <v>200</v>
      </c>
      <c r="P183" s="1">
        <v>208</v>
      </c>
      <c r="Q183" s="1">
        <v>208</v>
      </c>
      <c r="R183" s="1">
        <v>208</v>
      </c>
      <c r="S183" s="95">
        <f t="shared" si="20"/>
        <v>0.49588747168911673</v>
      </c>
      <c r="T183" s="37"/>
      <c r="U183" s="39"/>
    </row>
    <row r="184" spans="1:21" ht="20.25" customHeight="1">
      <c r="A184" s="63">
        <v>164</v>
      </c>
      <c r="B184" s="25" t="s">
        <v>297</v>
      </c>
      <c r="C184" s="35" t="s">
        <v>298</v>
      </c>
      <c r="D184" s="71">
        <v>2016</v>
      </c>
      <c r="E184" s="15">
        <v>28</v>
      </c>
      <c r="F184" s="15">
        <v>160</v>
      </c>
      <c r="G184" s="15" t="s">
        <v>7</v>
      </c>
      <c r="H184" s="15" t="s">
        <v>7</v>
      </c>
      <c r="I184" s="15" t="s">
        <v>7</v>
      </c>
      <c r="J184" s="15" t="s">
        <v>7</v>
      </c>
      <c r="K184" s="15" t="s">
        <v>7</v>
      </c>
      <c r="L184" s="15">
        <v>184</v>
      </c>
      <c r="M184" s="15">
        <v>190</v>
      </c>
      <c r="N184" s="15">
        <v>190</v>
      </c>
      <c r="O184" s="15">
        <v>190</v>
      </c>
      <c r="P184" s="15">
        <v>190</v>
      </c>
      <c r="Q184" s="15">
        <v>190</v>
      </c>
      <c r="R184" s="15">
        <v>190</v>
      </c>
      <c r="S184" s="102">
        <f t="shared" si="20"/>
        <v>0.45297413279294313</v>
      </c>
      <c r="T184" s="38"/>
      <c r="U184" s="39"/>
    </row>
    <row r="185" spans="1:21" s="13" customFormat="1" ht="20.25" customHeight="1">
      <c r="A185" s="63"/>
      <c r="B185" s="65" t="s">
        <v>24</v>
      </c>
      <c r="C185" s="64"/>
      <c r="D185" s="12" t="s">
        <v>7</v>
      </c>
      <c r="E185" s="12" t="s">
        <v>7</v>
      </c>
      <c r="F185" s="12" t="s">
        <v>7</v>
      </c>
      <c r="G185" s="12" t="s">
        <v>7</v>
      </c>
      <c r="H185" s="12" t="s">
        <v>7</v>
      </c>
      <c r="I185" s="12">
        <f t="shared" ref="I185:R185" si="30">SUM(I186)</f>
        <v>46</v>
      </c>
      <c r="J185" s="12">
        <f t="shared" si="30"/>
        <v>132</v>
      </c>
      <c r="K185" s="12">
        <f t="shared" si="30"/>
        <v>152</v>
      </c>
      <c r="L185" s="12">
        <f t="shared" si="30"/>
        <v>152</v>
      </c>
      <c r="M185" s="12">
        <f t="shared" si="30"/>
        <v>152</v>
      </c>
      <c r="N185" s="12">
        <f t="shared" si="30"/>
        <v>152</v>
      </c>
      <c r="O185" s="12">
        <f t="shared" si="30"/>
        <v>152</v>
      </c>
      <c r="P185" s="12">
        <f t="shared" si="30"/>
        <v>152</v>
      </c>
      <c r="Q185" s="12">
        <f t="shared" si="30"/>
        <v>152</v>
      </c>
      <c r="R185" s="12">
        <f t="shared" si="30"/>
        <v>152</v>
      </c>
      <c r="S185" s="97">
        <f t="shared" si="20"/>
        <v>0.36237930623435449</v>
      </c>
    </row>
    <row r="186" spans="1:21" s="13" customFormat="1" ht="20.25" customHeight="1">
      <c r="A186" s="14">
        <v>165</v>
      </c>
      <c r="B186" s="25" t="s">
        <v>299</v>
      </c>
      <c r="C186" s="35" t="s">
        <v>300</v>
      </c>
      <c r="D186" s="69" t="s">
        <v>1</v>
      </c>
      <c r="E186" s="15">
        <v>66</v>
      </c>
      <c r="F186" s="15">
        <v>260</v>
      </c>
      <c r="G186" s="15" t="s">
        <v>7</v>
      </c>
      <c r="H186" s="15" t="s">
        <v>7</v>
      </c>
      <c r="I186" s="15">
        <v>46</v>
      </c>
      <c r="J186" s="15">
        <v>132</v>
      </c>
      <c r="K186" s="15">
        <v>152</v>
      </c>
      <c r="L186" s="15">
        <v>152</v>
      </c>
      <c r="M186" s="15">
        <v>152</v>
      </c>
      <c r="N186" s="15">
        <v>152</v>
      </c>
      <c r="O186" s="15">
        <v>152</v>
      </c>
      <c r="P186" s="15">
        <v>152</v>
      </c>
      <c r="Q186" s="15">
        <v>152</v>
      </c>
      <c r="R186" s="15">
        <v>152</v>
      </c>
      <c r="S186" s="102">
        <f t="shared" si="20"/>
        <v>0.36237930623435449</v>
      </c>
    </row>
    <row r="187" spans="1:21" s="13" customFormat="1" ht="20.25" customHeight="1">
      <c r="A187" s="63"/>
      <c r="B187" s="65" t="s">
        <v>25</v>
      </c>
      <c r="C187" s="64"/>
      <c r="D187" s="12" t="s">
        <v>7</v>
      </c>
      <c r="E187" s="12" t="s">
        <v>7</v>
      </c>
      <c r="F187" s="12" t="s">
        <v>7</v>
      </c>
      <c r="G187" s="12">
        <f t="shared" ref="G187:N187" si="31">SUM(G188)</f>
        <v>194</v>
      </c>
      <c r="H187" s="12">
        <f t="shared" si="31"/>
        <v>194</v>
      </c>
      <c r="I187" s="12">
        <f t="shared" si="31"/>
        <v>194</v>
      </c>
      <c r="J187" s="12">
        <f t="shared" si="31"/>
        <v>194</v>
      </c>
      <c r="K187" s="12">
        <f t="shared" si="31"/>
        <v>194</v>
      </c>
      <c r="L187" s="12">
        <f t="shared" si="31"/>
        <v>194</v>
      </c>
      <c r="M187" s="12">
        <f t="shared" si="31"/>
        <v>194</v>
      </c>
      <c r="N187" s="12">
        <f t="shared" si="31"/>
        <v>194</v>
      </c>
      <c r="O187" s="12">
        <f>SUM(O188:O189)</f>
        <v>242</v>
      </c>
      <c r="P187" s="12">
        <f>SUM(P188:P189)</f>
        <v>242</v>
      </c>
      <c r="Q187" s="12">
        <f>SUM(Q188:Q189)</f>
        <v>242</v>
      </c>
      <c r="R187" s="12">
        <f>SUM(R188:R189)</f>
        <v>242</v>
      </c>
      <c r="S187" s="97">
        <f t="shared" si="20"/>
        <v>0.57694600071522228</v>
      </c>
    </row>
    <row r="188" spans="1:21" s="13" customFormat="1" ht="20.25" customHeight="1">
      <c r="A188" s="63">
        <v>166</v>
      </c>
      <c r="B188" s="62" t="s">
        <v>301</v>
      </c>
      <c r="C188" s="6" t="s">
        <v>302</v>
      </c>
      <c r="D188" s="61">
        <v>2011</v>
      </c>
      <c r="E188" s="1">
        <v>66</v>
      </c>
      <c r="F188" s="1">
        <v>260</v>
      </c>
      <c r="G188" s="1">
        <v>194</v>
      </c>
      <c r="H188" s="1">
        <v>194</v>
      </c>
      <c r="I188" s="1">
        <v>194</v>
      </c>
      <c r="J188" s="1">
        <v>194</v>
      </c>
      <c r="K188" s="1">
        <v>194</v>
      </c>
      <c r="L188" s="1">
        <v>194</v>
      </c>
      <c r="M188" s="1">
        <v>194</v>
      </c>
      <c r="N188" s="1">
        <v>194</v>
      </c>
      <c r="O188" s="1">
        <v>194</v>
      </c>
      <c r="P188" s="1">
        <v>194</v>
      </c>
      <c r="Q188" s="1">
        <v>48</v>
      </c>
      <c r="R188" s="1">
        <v>48</v>
      </c>
      <c r="S188" s="95">
        <f t="shared" si="20"/>
        <v>0.11443557038979615</v>
      </c>
    </row>
    <row r="189" spans="1:21" s="13" customFormat="1" ht="20.25" customHeight="1">
      <c r="A189" s="14">
        <v>167</v>
      </c>
      <c r="B189" s="25" t="s">
        <v>120</v>
      </c>
      <c r="C189" s="35" t="s">
        <v>303</v>
      </c>
      <c r="D189" s="69" t="s">
        <v>113</v>
      </c>
      <c r="E189" s="15">
        <v>48</v>
      </c>
      <c r="F189" s="15">
        <v>267</v>
      </c>
      <c r="G189" s="15"/>
      <c r="H189" s="15"/>
      <c r="I189" s="16" t="s">
        <v>7</v>
      </c>
      <c r="J189" s="16" t="s">
        <v>7</v>
      </c>
      <c r="K189" s="16" t="s">
        <v>7</v>
      </c>
      <c r="L189" s="33" t="s">
        <v>7</v>
      </c>
      <c r="M189" s="33" t="s">
        <v>7</v>
      </c>
      <c r="N189" s="33" t="s">
        <v>7</v>
      </c>
      <c r="O189" s="15">
        <v>48</v>
      </c>
      <c r="P189" s="15">
        <v>48</v>
      </c>
      <c r="Q189" s="15">
        <v>194</v>
      </c>
      <c r="R189" s="15">
        <v>194</v>
      </c>
      <c r="S189" s="102">
        <f t="shared" si="20"/>
        <v>0.46251043032542616</v>
      </c>
    </row>
    <row r="190" spans="1:21" ht="20.25" customHeight="1">
      <c r="A190" s="63"/>
      <c r="B190" s="65" t="s">
        <v>26</v>
      </c>
      <c r="C190" s="64"/>
      <c r="D190" s="12" t="s">
        <v>7</v>
      </c>
      <c r="E190" s="12" t="s">
        <v>7</v>
      </c>
      <c r="F190" s="12" t="s">
        <v>7</v>
      </c>
      <c r="G190" s="50">
        <f t="shared" ref="G190:N190" si="32">SUM(G191:G195)</f>
        <v>324</v>
      </c>
      <c r="H190" s="50">
        <f t="shared" si="32"/>
        <v>524</v>
      </c>
      <c r="I190" s="50">
        <f t="shared" si="32"/>
        <v>576</v>
      </c>
      <c r="J190" s="50">
        <f t="shared" si="32"/>
        <v>576</v>
      </c>
      <c r="K190" s="50">
        <f t="shared" si="32"/>
        <v>576</v>
      </c>
      <c r="L190" s="50">
        <f t="shared" si="32"/>
        <v>616</v>
      </c>
      <c r="M190" s="50">
        <f t="shared" si="32"/>
        <v>616</v>
      </c>
      <c r="N190" s="50">
        <f t="shared" si="32"/>
        <v>616</v>
      </c>
      <c r="O190" s="50">
        <f>SUM(O191:O196)</f>
        <v>1141</v>
      </c>
      <c r="P190" s="50">
        <f>SUM(P191:P196)</f>
        <v>1267</v>
      </c>
      <c r="Q190" s="50">
        <f>SUM(Q191:Q196)</f>
        <v>1279</v>
      </c>
      <c r="R190" s="50">
        <f>SUM(R191:R196)</f>
        <v>1279</v>
      </c>
      <c r="S190" s="94">
        <f t="shared" si="20"/>
        <v>3.0492311360114437</v>
      </c>
    </row>
    <row r="191" spans="1:21" ht="20.25" customHeight="1">
      <c r="A191" s="63">
        <v>168</v>
      </c>
      <c r="B191" s="62" t="s">
        <v>305</v>
      </c>
      <c r="C191" s="6" t="s">
        <v>306</v>
      </c>
      <c r="D191" s="70">
        <v>2009</v>
      </c>
      <c r="E191" s="1">
        <v>100</v>
      </c>
      <c r="F191" s="1">
        <v>405</v>
      </c>
      <c r="G191" s="1">
        <v>100</v>
      </c>
      <c r="H191" s="1">
        <v>100</v>
      </c>
      <c r="I191" s="1">
        <v>100</v>
      </c>
      <c r="J191" s="1">
        <v>100</v>
      </c>
      <c r="K191" s="1">
        <v>100</v>
      </c>
      <c r="L191" s="1">
        <v>100</v>
      </c>
      <c r="M191" s="1">
        <v>100</v>
      </c>
      <c r="N191" s="1">
        <v>100</v>
      </c>
      <c r="O191" s="1">
        <v>100</v>
      </c>
      <c r="P191" s="1">
        <v>100</v>
      </c>
      <c r="Q191" s="1">
        <v>106</v>
      </c>
      <c r="R191" s="1">
        <v>106</v>
      </c>
      <c r="S191" s="95">
        <f t="shared" si="20"/>
        <v>0.25271188461079985</v>
      </c>
    </row>
    <row r="192" spans="1:21" s="13" customFormat="1" ht="20.25" customHeight="1">
      <c r="A192" s="63">
        <v>169</v>
      </c>
      <c r="B192" s="62" t="s">
        <v>119</v>
      </c>
      <c r="C192" s="6" t="s">
        <v>307</v>
      </c>
      <c r="D192" s="70">
        <v>2019</v>
      </c>
      <c r="E192" s="1">
        <v>271</v>
      </c>
      <c r="F192" s="1">
        <v>360</v>
      </c>
      <c r="G192" s="1" t="s">
        <v>7</v>
      </c>
      <c r="H192" s="1" t="s">
        <v>7</v>
      </c>
      <c r="I192" s="1" t="s">
        <v>7</v>
      </c>
      <c r="J192" s="1" t="s">
        <v>7</v>
      </c>
      <c r="K192" s="1" t="s">
        <v>7</v>
      </c>
      <c r="L192" s="50" t="s">
        <v>7</v>
      </c>
      <c r="M192" s="50" t="s">
        <v>7</v>
      </c>
      <c r="N192" s="50" t="s">
        <v>7</v>
      </c>
      <c r="O192" s="1">
        <v>271</v>
      </c>
      <c r="P192" s="1">
        <v>271</v>
      </c>
      <c r="Q192" s="1">
        <v>271</v>
      </c>
      <c r="R192" s="1">
        <v>271</v>
      </c>
      <c r="S192" s="95">
        <f t="shared" si="20"/>
        <v>0.64608415782572415</v>
      </c>
    </row>
    <row r="193" spans="1:24" ht="20.25" customHeight="1">
      <c r="A193" s="63">
        <v>170</v>
      </c>
      <c r="B193" s="62" t="s">
        <v>381</v>
      </c>
      <c r="C193" s="6" t="s">
        <v>304</v>
      </c>
      <c r="D193" s="67">
        <v>2011</v>
      </c>
      <c r="E193" s="67">
        <v>74</v>
      </c>
      <c r="F193" s="1">
        <v>400</v>
      </c>
      <c r="G193" s="1">
        <v>74</v>
      </c>
      <c r="H193" s="1">
        <v>74</v>
      </c>
      <c r="I193" s="1">
        <v>74</v>
      </c>
      <c r="J193" s="1">
        <v>74</v>
      </c>
      <c r="K193" s="1">
        <v>74</v>
      </c>
      <c r="L193" s="1">
        <v>74</v>
      </c>
      <c r="M193" s="1">
        <v>74</v>
      </c>
      <c r="N193" s="1">
        <v>74</v>
      </c>
      <c r="O193" s="1">
        <v>74</v>
      </c>
      <c r="P193" s="1">
        <v>84</v>
      </c>
      <c r="Q193" s="1">
        <v>90</v>
      </c>
      <c r="R193" s="1">
        <v>90</v>
      </c>
      <c r="S193" s="95">
        <f t="shared" si="20"/>
        <v>0.21456669448086779</v>
      </c>
    </row>
    <row r="194" spans="1:24" s="13" customFormat="1" ht="20.25" customHeight="1">
      <c r="A194" s="63">
        <v>171</v>
      </c>
      <c r="B194" s="62" t="s">
        <v>425</v>
      </c>
      <c r="C194" s="6" t="s">
        <v>308</v>
      </c>
      <c r="D194" s="70">
        <v>2009</v>
      </c>
      <c r="E194" s="1">
        <v>100</v>
      </c>
      <c r="F194" s="1">
        <v>400</v>
      </c>
      <c r="G194" s="1">
        <v>150</v>
      </c>
      <c r="H194" s="1">
        <v>150</v>
      </c>
      <c r="I194" s="1">
        <v>202</v>
      </c>
      <c r="J194" s="1">
        <v>202</v>
      </c>
      <c r="K194" s="1">
        <v>202</v>
      </c>
      <c r="L194" s="1">
        <v>242</v>
      </c>
      <c r="M194" s="1">
        <v>242</v>
      </c>
      <c r="N194" s="1">
        <v>242</v>
      </c>
      <c r="O194" s="1">
        <v>242</v>
      </c>
      <c r="P194" s="1">
        <v>242</v>
      </c>
      <c r="Q194" s="1">
        <v>242</v>
      </c>
      <c r="R194" s="1">
        <v>242</v>
      </c>
      <c r="S194" s="95">
        <f t="shared" si="20"/>
        <v>0.57694600071522228</v>
      </c>
    </row>
    <row r="195" spans="1:24" s="13" customFormat="1" ht="20.25" customHeight="1">
      <c r="A195" s="63">
        <v>172</v>
      </c>
      <c r="B195" s="62" t="s">
        <v>309</v>
      </c>
      <c r="C195" s="6" t="s">
        <v>310</v>
      </c>
      <c r="D195" s="70">
        <v>2012</v>
      </c>
      <c r="E195" s="1">
        <v>108</v>
      </c>
      <c r="F195" s="1">
        <v>405</v>
      </c>
      <c r="G195" s="1" t="s">
        <v>7</v>
      </c>
      <c r="H195" s="1">
        <v>200</v>
      </c>
      <c r="I195" s="1">
        <v>200</v>
      </c>
      <c r="J195" s="1">
        <v>200</v>
      </c>
      <c r="K195" s="1">
        <v>200</v>
      </c>
      <c r="L195" s="1">
        <v>200</v>
      </c>
      <c r="M195" s="1">
        <v>200</v>
      </c>
      <c r="N195" s="1">
        <v>200</v>
      </c>
      <c r="O195" s="1">
        <v>200</v>
      </c>
      <c r="P195" s="1">
        <v>200</v>
      </c>
      <c r="Q195" s="1">
        <v>200</v>
      </c>
      <c r="R195" s="1">
        <v>200</v>
      </c>
      <c r="S195" s="95">
        <f t="shared" si="20"/>
        <v>0.47681487662415067</v>
      </c>
    </row>
    <row r="196" spans="1:24" s="13" customFormat="1" ht="20.25" customHeight="1">
      <c r="A196" s="63">
        <v>173</v>
      </c>
      <c r="B196" s="25" t="s">
        <v>123</v>
      </c>
      <c r="C196" s="35" t="s">
        <v>311</v>
      </c>
      <c r="D196" s="69">
        <v>2019</v>
      </c>
      <c r="E196" s="15">
        <v>254</v>
      </c>
      <c r="F196" s="15" t="s">
        <v>39</v>
      </c>
      <c r="G196" s="15" t="s">
        <v>7</v>
      </c>
      <c r="H196" s="15" t="s">
        <v>7</v>
      </c>
      <c r="I196" s="15" t="s">
        <v>7</v>
      </c>
      <c r="J196" s="15" t="s">
        <v>7</v>
      </c>
      <c r="K196" s="16" t="s">
        <v>7</v>
      </c>
      <c r="L196" s="33" t="s">
        <v>7</v>
      </c>
      <c r="M196" s="33" t="s">
        <v>7</v>
      </c>
      <c r="N196" s="33" t="s">
        <v>7</v>
      </c>
      <c r="O196" s="15">
        <v>254</v>
      </c>
      <c r="P196" s="15">
        <v>370</v>
      </c>
      <c r="Q196" s="15">
        <v>370</v>
      </c>
      <c r="R196" s="15">
        <v>370</v>
      </c>
      <c r="S196" s="102">
        <f t="shared" si="20"/>
        <v>0.88210752175467877</v>
      </c>
    </row>
    <row r="197" spans="1:24" s="28" customFormat="1" ht="20.25" customHeight="1">
      <c r="A197" s="63"/>
      <c r="B197" s="65" t="s">
        <v>27</v>
      </c>
      <c r="C197" s="64"/>
      <c r="D197" s="12" t="s">
        <v>7</v>
      </c>
      <c r="E197" s="12" t="s">
        <v>7</v>
      </c>
      <c r="F197" s="12" t="s">
        <v>7</v>
      </c>
      <c r="G197" s="50">
        <f t="shared" ref="G197:Q197" si="33">SUM(G198:G200)</f>
        <v>200</v>
      </c>
      <c r="H197" s="50">
        <f t="shared" si="33"/>
        <v>200</v>
      </c>
      <c r="I197" s="50">
        <f t="shared" si="33"/>
        <v>200</v>
      </c>
      <c r="J197" s="50">
        <f t="shared" si="33"/>
        <v>200</v>
      </c>
      <c r="K197" s="50">
        <f t="shared" si="33"/>
        <v>550</v>
      </c>
      <c r="L197" s="50">
        <f t="shared" si="33"/>
        <v>550</v>
      </c>
      <c r="M197" s="50">
        <f t="shared" si="33"/>
        <v>550</v>
      </c>
      <c r="N197" s="50">
        <f t="shared" si="33"/>
        <v>550</v>
      </c>
      <c r="O197" s="50">
        <f t="shared" si="33"/>
        <v>550</v>
      </c>
      <c r="P197" s="50">
        <f t="shared" si="33"/>
        <v>550</v>
      </c>
      <c r="Q197" s="50">
        <f t="shared" si="33"/>
        <v>550</v>
      </c>
      <c r="R197" s="50">
        <f t="shared" ref="R197" si="34">SUM(R198:R200)</f>
        <v>550</v>
      </c>
      <c r="S197" s="94">
        <f t="shared" si="20"/>
        <v>1.3112409107164145</v>
      </c>
      <c r="X197" s="14"/>
    </row>
    <row r="198" spans="1:24" s="28" customFormat="1" ht="20.25" customHeight="1">
      <c r="A198" s="63">
        <v>174</v>
      </c>
      <c r="B198" s="62" t="s">
        <v>312</v>
      </c>
      <c r="C198" s="68" t="s">
        <v>313</v>
      </c>
      <c r="D198" s="67">
        <v>2015</v>
      </c>
      <c r="E198" s="67">
        <v>240</v>
      </c>
      <c r="F198" s="1">
        <v>240</v>
      </c>
      <c r="G198" s="1" t="s">
        <v>7</v>
      </c>
      <c r="H198" s="1" t="s">
        <v>7</v>
      </c>
      <c r="I198" s="1" t="s">
        <v>7</v>
      </c>
      <c r="J198" s="1" t="s">
        <v>7</v>
      </c>
      <c r="K198" s="1">
        <v>240</v>
      </c>
      <c r="L198" s="1">
        <v>240</v>
      </c>
      <c r="M198" s="1">
        <v>240</v>
      </c>
      <c r="N198" s="1">
        <v>240</v>
      </c>
      <c r="O198" s="1">
        <v>240</v>
      </c>
      <c r="P198" s="1">
        <v>240</v>
      </c>
      <c r="Q198" s="1">
        <v>240</v>
      </c>
      <c r="R198" s="1">
        <v>240</v>
      </c>
      <c r="S198" s="95">
        <f t="shared" si="20"/>
        <v>0.57217785194898085</v>
      </c>
      <c r="X198" s="14"/>
    </row>
    <row r="199" spans="1:24" s="28" customFormat="1" ht="20.25" customHeight="1">
      <c r="A199" s="63">
        <v>175</v>
      </c>
      <c r="B199" s="62" t="s">
        <v>314</v>
      </c>
      <c r="C199" s="6" t="s">
        <v>315</v>
      </c>
      <c r="D199" s="67">
        <v>2011</v>
      </c>
      <c r="E199" s="67">
        <v>200</v>
      </c>
      <c r="F199" s="1">
        <v>420</v>
      </c>
      <c r="G199" s="1">
        <v>200</v>
      </c>
      <c r="H199" s="1">
        <v>200</v>
      </c>
      <c r="I199" s="1">
        <v>200</v>
      </c>
      <c r="J199" s="1">
        <v>200</v>
      </c>
      <c r="K199" s="1">
        <v>200</v>
      </c>
      <c r="L199" s="1">
        <v>200</v>
      </c>
      <c r="M199" s="1">
        <v>200</v>
      </c>
      <c r="N199" s="1">
        <v>200</v>
      </c>
      <c r="O199" s="1">
        <v>200</v>
      </c>
      <c r="P199" s="1">
        <v>200</v>
      </c>
      <c r="Q199" s="1">
        <v>200</v>
      </c>
      <c r="R199" s="1">
        <v>200</v>
      </c>
      <c r="S199" s="95">
        <f t="shared" si="20"/>
        <v>0.47681487662415067</v>
      </c>
    </row>
    <row r="200" spans="1:24" s="28" customFormat="1" ht="20.25" customHeight="1">
      <c r="A200" s="63">
        <v>176</v>
      </c>
      <c r="B200" s="62" t="s">
        <v>316</v>
      </c>
      <c r="C200" s="66" t="s">
        <v>317</v>
      </c>
      <c r="D200" s="29">
        <v>2015</v>
      </c>
      <c r="E200" s="29">
        <v>110</v>
      </c>
      <c r="F200" s="16">
        <v>110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>
        <v>110</v>
      </c>
      <c r="L200" s="16">
        <v>110</v>
      </c>
      <c r="M200" s="16">
        <v>110</v>
      </c>
      <c r="N200" s="16">
        <v>110</v>
      </c>
      <c r="O200" s="16">
        <v>110</v>
      </c>
      <c r="P200" s="16">
        <v>110</v>
      </c>
      <c r="Q200" s="16">
        <v>110</v>
      </c>
      <c r="R200" s="16">
        <v>110</v>
      </c>
      <c r="S200" s="96">
        <f t="shared" si="20"/>
        <v>0.26224818214328288</v>
      </c>
    </row>
    <row r="201" spans="1:24" s="13" customFormat="1" ht="20.25" customHeight="1">
      <c r="A201" s="63"/>
      <c r="B201" s="65" t="s">
        <v>28</v>
      </c>
      <c r="C201" s="64"/>
      <c r="D201" s="12" t="s">
        <v>7</v>
      </c>
      <c r="E201" s="12" t="s">
        <v>7</v>
      </c>
      <c r="F201" s="12" t="s">
        <v>7</v>
      </c>
      <c r="G201" s="50">
        <f t="shared" ref="G201:Q201" si="35">SUM(G202:G204)</f>
        <v>830</v>
      </c>
      <c r="H201" s="50">
        <f t="shared" si="35"/>
        <v>830</v>
      </c>
      <c r="I201" s="50">
        <f t="shared" si="35"/>
        <v>830</v>
      </c>
      <c r="J201" s="50">
        <f t="shared" si="35"/>
        <v>826</v>
      </c>
      <c r="K201" s="50">
        <f t="shared" si="35"/>
        <v>826</v>
      </c>
      <c r="L201" s="50">
        <f t="shared" si="35"/>
        <v>826</v>
      </c>
      <c r="M201" s="50">
        <f t="shared" si="35"/>
        <v>826</v>
      </c>
      <c r="N201" s="50">
        <f t="shared" si="35"/>
        <v>826</v>
      </c>
      <c r="O201" s="50">
        <f t="shared" si="35"/>
        <v>926</v>
      </c>
      <c r="P201" s="50">
        <f t="shared" si="35"/>
        <v>926</v>
      </c>
      <c r="Q201" s="50">
        <f t="shared" si="35"/>
        <v>1086</v>
      </c>
      <c r="R201" s="50">
        <f t="shared" ref="R201" si="36">SUM(R202:R204)</f>
        <v>1086</v>
      </c>
      <c r="S201" s="94">
        <f t="shared" ref="S201:S204" si="37">R201/R$6*100</f>
        <v>2.589104780069138</v>
      </c>
    </row>
    <row r="202" spans="1:24" s="13" customFormat="1" ht="20.25" customHeight="1">
      <c r="A202" s="63">
        <v>177</v>
      </c>
      <c r="B202" s="62" t="s">
        <v>318</v>
      </c>
      <c r="C202" s="6" t="s">
        <v>319</v>
      </c>
      <c r="D202" s="61">
        <v>2007</v>
      </c>
      <c r="E202" s="1">
        <v>106</v>
      </c>
      <c r="F202" s="1">
        <v>480</v>
      </c>
      <c r="G202" s="1">
        <v>546</v>
      </c>
      <c r="H202" s="1">
        <v>546</v>
      </c>
      <c r="I202" s="1">
        <v>546</v>
      </c>
      <c r="J202" s="1">
        <v>542</v>
      </c>
      <c r="K202" s="1">
        <v>542</v>
      </c>
      <c r="L202" s="1">
        <v>542</v>
      </c>
      <c r="M202" s="1">
        <v>542</v>
      </c>
      <c r="N202" s="1">
        <v>542</v>
      </c>
      <c r="O202" s="1">
        <v>542</v>
      </c>
      <c r="P202" s="1">
        <v>542</v>
      </c>
      <c r="Q202" s="1">
        <v>542</v>
      </c>
      <c r="R202" s="1">
        <v>542</v>
      </c>
      <c r="S202" s="95">
        <f t="shared" si="37"/>
        <v>1.2921683156514483</v>
      </c>
    </row>
    <row r="203" spans="1:24" s="13" customFormat="1" ht="20.25" customHeight="1">
      <c r="A203" s="63">
        <v>178</v>
      </c>
      <c r="B203" s="62" t="s">
        <v>320</v>
      </c>
      <c r="C203" s="6" t="s">
        <v>321</v>
      </c>
      <c r="D203" s="61" t="s">
        <v>6</v>
      </c>
      <c r="E203" s="1">
        <v>284</v>
      </c>
      <c r="F203" s="1">
        <v>478</v>
      </c>
      <c r="G203" s="1">
        <v>284</v>
      </c>
      <c r="H203" s="1">
        <v>284</v>
      </c>
      <c r="I203" s="1">
        <v>284</v>
      </c>
      <c r="J203" s="1">
        <v>284</v>
      </c>
      <c r="K203" s="1">
        <v>284</v>
      </c>
      <c r="L203" s="1">
        <v>284</v>
      </c>
      <c r="M203" s="1">
        <v>284</v>
      </c>
      <c r="N203" s="1">
        <v>284</v>
      </c>
      <c r="O203" s="1">
        <v>284</v>
      </c>
      <c r="P203" s="1">
        <v>284</v>
      </c>
      <c r="Q203" s="1">
        <v>284</v>
      </c>
      <c r="R203" s="1">
        <v>284</v>
      </c>
      <c r="S203" s="95">
        <f t="shared" si="37"/>
        <v>0.6770771248062939</v>
      </c>
    </row>
    <row r="204" spans="1:24" s="13" customFormat="1" ht="20.25" customHeight="1">
      <c r="A204" s="30">
        <v>179</v>
      </c>
      <c r="B204" s="60" t="s">
        <v>121</v>
      </c>
      <c r="C204" s="59" t="s">
        <v>322</v>
      </c>
      <c r="D204" s="58" t="s">
        <v>113</v>
      </c>
      <c r="E204" s="2">
        <v>100</v>
      </c>
      <c r="F204" s="2">
        <v>531</v>
      </c>
      <c r="G204" s="2" t="s">
        <v>7</v>
      </c>
      <c r="H204" s="2" t="s">
        <v>7</v>
      </c>
      <c r="I204" s="2" t="s">
        <v>7</v>
      </c>
      <c r="J204" s="2" t="s">
        <v>7</v>
      </c>
      <c r="K204" s="2" t="s">
        <v>7</v>
      </c>
      <c r="L204" s="2" t="s">
        <v>7</v>
      </c>
      <c r="M204" s="2" t="s">
        <v>7</v>
      </c>
      <c r="N204" s="34" t="s">
        <v>7</v>
      </c>
      <c r="O204" s="2">
        <v>100</v>
      </c>
      <c r="P204" s="2">
        <v>100</v>
      </c>
      <c r="Q204" s="2">
        <v>260</v>
      </c>
      <c r="R204" s="2">
        <v>260</v>
      </c>
      <c r="S204" s="103">
        <f t="shared" si="37"/>
        <v>0.61985933961139594</v>
      </c>
    </row>
    <row r="205" spans="1:24" s="13" customFormat="1" ht="11.25" customHeight="1">
      <c r="A205" s="43"/>
      <c r="B205" s="52" t="s">
        <v>112</v>
      </c>
      <c r="C205" s="36"/>
      <c r="D205" s="57"/>
      <c r="E205" s="55"/>
      <c r="F205" s="56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4"/>
    </row>
    <row r="206" spans="1:24">
      <c r="A206" s="53"/>
      <c r="B206" s="52" t="s">
        <v>8</v>
      </c>
      <c r="C206" s="36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</row>
    <row r="207" spans="1:24">
      <c r="A207" s="41" t="s">
        <v>382</v>
      </c>
      <c r="B207" s="31"/>
      <c r="C207" s="49"/>
    </row>
    <row r="208" spans="1:24">
      <c r="A208" s="42" t="s">
        <v>383</v>
      </c>
      <c r="B208" s="31"/>
      <c r="C208" s="49"/>
    </row>
    <row r="210" spans="2:3">
      <c r="B210" s="48"/>
      <c r="C210" s="47"/>
    </row>
    <row r="212" spans="2:3">
      <c r="B212" s="48"/>
      <c r="C212" s="47"/>
    </row>
    <row r="325" spans="2:18">
      <c r="B325" s="46"/>
      <c r="C325" s="45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</row>
  </sheetData>
  <mergeCells count="5">
    <mergeCell ref="B4:B5"/>
    <mergeCell ref="C4:C5"/>
    <mergeCell ref="G4:Q4"/>
    <mergeCell ref="B2:S2"/>
    <mergeCell ref="B1:S1"/>
  </mergeCells>
  <pageMargins left="0.7" right="0.7" top="0.75" bottom="0.75" header="0.3" footer="0.3"/>
  <pageSetup paperSize="9" scale="34" orientation="portrait" horizontalDpi="4294967295" verticalDpi="4294967295" r:id="rId1"/>
  <ignoredErrors>
    <ignoredError sqref="N11:Q11 I59:Q59 I71:Q71 I131:Q131 I145:P145 I185:Q187 S205 G187:H187 S8:S204" unlockedFormula="1"/>
    <ignoredError sqref="D172:D204 D12:D26 D28:D74 D76:D100 D102:D110 D112:D170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10.14</vt:lpstr>
      <vt:lpstr>'10.14'!Print_Area</vt:lpstr>
      <vt:lpstr>'10.14'!Print_Titles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2023-06-20T07:18:36Z</cp:lastPrinted>
  <dcterms:created xsi:type="dcterms:W3CDTF">2019-02-27T06:18:18Z</dcterms:created>
  <dcterms:modified xsi:type="dcterms:W3CDTF">2023-06-20T07:19:40Z</dcterms:modified>
</cp:coreProperties>
</file>