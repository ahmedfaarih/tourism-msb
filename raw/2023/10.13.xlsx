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Tourism\"/>
    </mc:Choice>
  </mc:AlternateContent>
  <xr:revisionPtr revIDLastSave="0" documentId="13_ncr:1_{4F05665C-F391-44C9-B6CD-2ACE2C86CCD6}" xr6:coauthVersionLast="47" xr6:coauthVersionMax="47" xr10:uidLastSave="{00000000-0000-0000-0000-000000000000}"/>
  <bookViews>
    <workbookView xWindow="-120" yWindow="-120" windowWidth="29040" windowHeight="15840" tabRatio="714" xr2:uid="{00000000-000D-0000-FFFF-FFFF00000000}"/>
  </bookViews>
  <sheets>
    <sheet name="10.13" sheetId="13" r:id="rId1"/>
  </sheets>
  <externalReferences>
    <externalReference r:id="rId2"/>
  </externalReferences>
  <definedNames>
    <definedName name="_xlnm.Print_Area" localSheetId="0">'10.13'!$A$1:$O$125</definedName>
    <definedName name="_xlnm.Print_Titles" localSheetId="0">'10.13'!$4:$4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" i="13" l="1"/>
  <c r="K21" i="13"/>
  <c r="I73" i="13"/>
  <c r="I20" i="13"/>
  <c r="H20" i="13"/>
  <c r="G20" i="13"/>
  <c r="E57" i="13"/>
  <c r="D21" i="13" l="1"/>
  <c r="C57" i="13" l="1"/>
  <c r="D57" i="13"/>
  <c r="F57" i="13"/>
  <c r="G57" i="13"/>
  <c r="H57" i="13"/>
  <c r="I57" i="13"/>
  <c r="J57" i="13"/>
  <c r="K57" i="13"/>
  <c r="L57" i="13"/>
  <c r="M57" i="13"/>
  <c r="N57" i="13"/>
  <c r="H29" i="13" l="1"/>
  <c r="C29" i="13" l="1"/>
  <c r="D29" i="13"/>
  <c r="E29" i="13"/>
  <c r="F29" i="13"/>
  <c r="G29" i="13"/>
  <c r="I29" i="13"/>
  <c r="J29" i="13"/>
  <c r="K29" i="13"/>
  <c r="L29" i="13"/>
  <c r="M29" i="13"/>
  <c r="N29" i="13"/>
  <c r="E66" i="13" l="1"/>
  <c r="F66" i="13"/>
  <c r="G66" i="13"/>
  <c r="H66" i="13"/>
  <c r="I66" i="13"/>
  <c r="J66" i="13"/>
  <c r="K66" i="13"/>
  <c r="L66" i="13"/>
  <c r="M66" i="13"/>
  <c r="N66" i="13"/>
  <c r="F51" i="13"/>
  <c r="G51" i="13"/>
  <c r="H51" i="13"/>
  <c r="I51" i="13"/>
  <c r="J51" i="13"/>
  <c r="K51" i="13"/>
  <c r="L51" i="13"/>
  <c r="M51" i="13"/>
  <c r="N51" i="13"/>
  <c r="E46" i="13"/>
  <c r="F46" i="13"/>
  <c r="G46" i="13"/>
  <c r="H46" i="13"/>
  <c r="I46" i="13"/>
  <c r="J46" i="13"/>
  <c r="K46" i="13"/>
  <c r="L46" i="13"/>
  <c r="M46" i="13"/>
  <c r="N46" i="13"/>
  <c r="E38" i="13"/>
  <c r="F38" i="13"/>
  <c r="G38" i="13"/>
  <c r="H38" i="13"/>
  <c r="I38" i="13"/>
  <c r="J38" i="13"/>
  <c r="K38" i="13"/>
  <c r="L38" i="13"/>
  <c r="M38" i="13"/>
  <c r="N38" i="13"/>
  <c r="E21" i="13"/>
  <c r="F21" i="13"/>
  <c r="G21" i="13"/>
  <c r="H21" i="13"/>
  <c r="I21" i="13"/>
  <c r="J21" i="13"/>
  <c r="L21" i="13"/>
  <c r="M21" i="13"/>
  <c r="N21" i="13"/>
  <c r="E7" i="13"/>
  <c r="F7" i="13"/>
  <c r="G7" i="13"/>
  <c r="H7" i="13"/>
  <c r="I7" i="13"/>
  <c r="J7" i="13"/>
  <c r="K7" i="13"/>
  <c r="L7" i="13"/>
  <c r="M7" i="13"/>
  <c r="N7" i="13"/>
  <c r="D7" i="13"/>
  <c r="C7" i="13"/>
  <c r="K50" i="13" l="1"/>
  <c r="H50" i="13"/>
  <c r="G50" i="13"/>
  <c r="I50" i="13"/>
  <c r="M50" i="13"/>
  <c r="E6" i="13"/>
  <c r="M6" i="13"/>
  <c r="G6" i="13"/>
  <c r="H6" i="13"/>
  <c r="I6" i="13"/>
  <c r="J50" i="13"/>
  <c r="N50" i="13"/>
  <c r="J6" i="13"/>
  <c r="L50" i="13"/>
  <c r="F50" i="13"/>
  <c r="N6" i="13"/>
  <c r="F6" i="13"/>
  <c r="L6" i="13"/>
  <c r="K6" i="13"/>
  <c r="M73" i="13" l="1"/>
  <c r="B101" i="13" l="1"/>
  <c r="B100" i="13"/>
  <c r="B99" i="13"/>
  <c r="B98" i="13"/>
  <c r="B97" i="13"/>
  <c r="B96" i="13"/>
  <c r="B95" i="13"/>
  <c r="B94" i="13"/>
  <c r="B93" i="13"/>
  <c r="B92" i="13"/>
  <c r="B91" i="13"/>
  <c r="B90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8" i="13"/>
  <c r="B87" i="13"/>
  <c r="B86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4" i="13"/>
  <c r="B83" i="13"/>
  <c r="B82" i="13"/>
  <c r="B81" i="13"/>
  <c r="B80" i="13"/>
  <c r="B79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7" i="13"/>
  <c r="B76" i="13"/>
  <c r="B75" i="13"/>
  <c r="B74" i="13"/>
  <c r="N73" i="13"/>
  <c r="L73" i="13"/>
  <c r="K73" i="13"/>
  <c r="J73" i="13"/>
  <c r="H73" i="13"/>
  <c r="G73" i="13"/>
  <c r="F73" i="13"/>
  <c r="E73" i="13"/>
  <c r="D73" i="13"/>
  <c r="C73" i="13"/>
  <c r="B72" i="13"/>
  <c r="B71" i="13"/>
  <c r="B70" i="13"/>
  <c r="B69" i="13"/>
  <c r="B68" i="13"/>
  <c r="B67" i="13"/>
  <c r="D66" i="13"/>
  <c r="C66" i="13"/>
  <c r="B65" i="13"/>
  <c r="B64" i="13"/>
  <c r="B63" i="13"/>
  <c r="B62" i="13"/>
  <c r="B61" i="13"/>
  <c r="B60" i="13"/>
  <c r="B59" i="13"/>
  <c r="B58" i="13"/>
  <c r="B56" i="13"/>
  <c r="B55" i="13"/>
  <c r="B54" i="13"/>
  <c r="B53" i="13"/>
  <c r="B52" i="13"/>
  <c r="E51" i="13"/>
  <c r="D51" i="13"/>
  <c r="C51" i="13"/>
  <c r="B49" i="13"/>
  <c r="B48" i="13"/>
  <c r="B47" i="13"/>
  <c r="D46" i="13"/>
  <c r="C46" i="13"/>
  <c r="B45" i="13"/>
  <c r="B44" i="13"/>
  <c r="B43" i="13"/>
  <c r="B42" i="13"/>
  <c r="B41" i="13"/>
  <c r="B40" i="13"/>
  <c r="B39" i="13"/>
  <c r="D38" i="13"/>
  <c r="C38" i="13"/>
  <c r="B37" i="13"/>
  <c r="B36" i="13"/>
  <c r="B35" i="13"/>
  <c r="B34" i="13"/>
  <c r="B33" i="13"/>
  <c r="B32" i="13"/>
  <c r="B31" i="13"/>
  <c r="B30" i="13"/>
  <c r="B28" i="13"/>
  <c r="B27" i="13"/>
  <c r="B26" i="13"/>
  <c r="B25" i="13"/>
  <c r="B24" i="13"/>
  <c r="B23" i="13"/>
  <c r="B22" i="13"/>
  <c r="C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G22" i="13"/>
  <c r="BE22" i="13"/>
  <c r="AY22" i="13"/>
  <c r="L5" i="13" l="1"/>
  <c r="N5" i="13"/>
  <c r="J5" i="13"/>
  <c r="M5" i="13"/>
  <c r="K5" i="13"/>
  <c r="H5" i="13"/>
  <c r="BB21" i="13" s="1"/>
  <c r="F5" i="13"/>
  <c r="G5" i="13"/>
  <c r="BA21" i="13" s="1"/>
  <c r="E50" i="13"/>
  <c r="E5" i="13" s="1"/>
  <c r="I5" i="13"/>
  <c r="AW22" i="13"/>
  <c r="AX22" i="13"/>
  <c r="BF22" i="13"/>
  <c r="D50" i="13"/>
  <c r="AX23" i="13" s="1"/>
  <c r="BF23" i="13"/>
  <c r="BC23" i="13"/>
  <c r="C50" i="13"/>
  <c r="AW23" i="13" s="1"/>
  <c r="BE23" i="13"/>
  <c r="BD23" i="13"/>
  <c r="BA22" i="13"/>
  <c r="AZ22" i="13"/>
  <c r="BH22" i="13"/>
  <c r="B46" i="13"/>
  <c r="B66" i="13"/>
  <c r="B21" i="13"/>
  <c r="BB22" i="13"/>
  <c r="B73" i="13"/>
  <c r="B78" i="13"/>
  <c r="BC22" i="13"/>
  <c r="B51" i="13"/>
  <c r="B89" i="13"/>
  <c r="BD22" i="13"/>
  <c r="B57" i="13"/>
  <c r="B85" i="13"/>
  <c r="B29" i="13"/>
  <c r="B38" i="13"/>
  <c r="B7" i="13"/>
  <c r="D6" i="13"/>
  <c r="AZ23" i="13"/>
  <c r="BH23" i="13"/>
  <c r="BG23" i="13"/>
  <c r="BA23" i="13"/>
  <c r="C6" i="13"/>
  <c r="C5" i="13" l="1"/>
  <c r="AW21" i="13" s="1"/>
  <c r="AY23" i="13"/>
  <c r="BI23" i="13" s="1"/>
  <c r="D5" i="13"/>
  <c r="BE21" i="13"/>
  <c r="BE24" i="13" s="1"/>
  <c r="BB24" i="13"/>
  <c r="BD21" i="13"/>
  <c r="BD24" i="13" s="1"/>
  <c r="BF21" i="13"/>
  <c r="BF24" i="13" s="1"/>
  <c r="AY21" i="13"/>
  <c r="BC21" i="13"/>
  <c r="BC24" i="13" s="1"/>
  <c r="BH21" i="13"/>
  <c r="BH24" i="13" s="1"/>
  <c r="AZ21" i="13"/>
  <c r="AZ24" i="13" s="1"/>
  <c r="BG21" i="13"/>
  <c r="BG24" i="13" s="1"/>
  <c r="B50" i="13"/>
  <c r="BI22" i="13"/>
  <c r="BA24" i="13"/>
  <c r="B6" i="13"/>
  <c r="AX21" i="13" l="1"/>
  <c r="AX24" i="13" s="1"/>
  <c r="B5" i="13"/>
  <c r="AY24" i="13"/>
  <c r="BI21" i="13" l="1"/>
  <c r="AW24" i="13"/>
  <c r="BI24" i="13" s="1"/>
</calcChain>
</file>

<file path=xl/sharedStrings.xml><?xml version="1.0" encoding="utf-8"?>
<sst xmlns="http://schemas.openxmlformats.org/spreadsheetml/2006/main" count="234" uniqueCount="196">
  <si>
    <t>Total</t>
  </si>
  <si>
    <t>ޖުމްލަ</t>
  </si>
  <si>
    <t>Europe</t>
  </si>
  <si>
    <t>ޔޫރަޕް</t>
  </si>
  <si>
    <t>އޮސްޓްރިއާ</t>
  </si>
  <si>
    <t>ބެލްޖިއަމް</t>
  </si>
  <si>
    <t>ފިންލޭންޑް</t>
  </si>
  <si>
    <t>ފްރާންސް</t>
  </si>
  <si>
    <t>ގްރީސް</t>
  </si>
  <si>
    <t>އިޓަލީ</t>
  </si>
  <si>
    <t>ޕޯޗުގަލް</t>
  </si>
  <si>
    <t>ރަޝިއާ</t>
  </si>
  <si>
    <t>ސްލޮވޭކިއާ</t>
  </si>
  <si>
    <t>ސްޕެއިން</t>
  </si>
  <si>
    <t>ޔުނައިޓެޑް ކިންގްޑަމް</t>
  </si>
  <si>
    <t>އެހެނިހެން</t>
  </si>
  <si>
    <t>Asia</t>
  </si>
  <si>
    <t>އޭޝިއާ</t>
  </si>
  <si>
    <t>ޗައިނާ</t>
  </si>
  <si>
    <t>އިންޑިއާ</t>
  </si>
  <si>
    <t>އިންޑޮނޭޝިއާ</t>
  </si>
  <si>
    <t>ޖަޕާން</t>
  </si>
  <si>
    <t>ކޮރެއާ</t>
  </si>
  <si>
    <t>މެލޭޝިއާ</t>
  </si>
  <si>
    <t>ޕާކިސްތާން</t>
  </si>
  <si>
    <t>ޓައިވާން</t>
  </si>
  <si>
    <t>Africa</t>
  </si>
  <si>
    <t>އެފްރިކާ</t>
  </si>
  <si>
    <t>ކެނެޑާ</t>
  </si>
  <si>
    <t>Oceania</t>
  </si>
  <si>
    <t>އޮސްޓްރޭލިއާ</t>
  </si>
  <si>
    <t>Middle East</t>
  </si>
  <si>
    <t>ކުވެއިތު</t>
  </si>
  <si>
    <t>Source: Ministry of Tourism</t>
  </si>
  <si>
    <t>May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</si>
  <si>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</si>
  <si>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</si>
  <si>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</si>
  <si>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</si>
  <si>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</si>
  <si>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</si>
  <si>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</si>
  <si>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</si>
  <si>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</si>
  <si>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</si>
  <si>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</si>
  <si>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</si>
  <si>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Country of Nationality</t>
  </si>
  <si>
    <t>Central/Eastern Europe</t>
  </si>
  <si>
    <t>Northern Europe</t>
  </si>
  <si>
    <t>Southern Europe</t>
  </si>
  <si>
    <t>Western Europe</t>
  </si>
  <si>
    <t>East/Mediterranean Europe</t>
  </si>
  <si>
    <t>North East Asia</t>
  </si>
  <si>
    <t>South East Asia</t>
  </si>
  <si>
    <t>South Asia</t>
  </si>
  <si>
    <t>އެމެރިކާ</t>
  </si>
  <si>
    <t>America</t>
  </si>
  <si>
    <t xml:space="preserve">   Total</t>
  </si>
  <si>
    <t>ވަޒަންވެރިވެފައިވާ ޤައުމު</t>
  </si>
  <si>
    <t>މެދު އިރުމަތީ ޔޫރަޕް</t>
  </si>
  <si>
    <t>Belarus</t>
  </si>
  <si>
    <t>ބެލަރުސް</t>
  </si>
  <si>
    <t>Bulgaria</t>
  </si>
  <si>
    <t>ބަލްގޭރިއާ</t>
  </si>
  <si>
    <t>Czech Republic</t>
  </si>
  <si>
    <t>ޗެކް ރިޕަބްލިކް</t>
  </si>
  <si>
    <t>Hungary</t>
  </si>
  <si>
    <t>ހަންގޭރީ</t>
  </si>
  <si>
    <t>Kazakhstan</t>
  </si>
  <si>
    <t>ކަޒަކިސްތާން</t>
  </si>
  <si>
    <t>Latvia</t>
  </si>
  <si>
    <t>ލެޓްވިއާ</t>
  </si>
  <si>
    <t>Lithuania</t>
  </si>
  <si>
    <t>ލިތުއާނާ</t>
  </si>
  <si>
    <t>Poland</t>
  </si>
  <si>
    <t>ޕޮލަންޑް</t>
  </si>
  <si>
    <t>Romania</t>
  </si>
  <si>
    <t>ރޮމޭނިއާ</t>
  </si>
  <si>
    <t>Russia</t>
  </si>
  <si>
    <t>Slovakia</t>
  </si>
  <si>
    <t>Ukraine</t>
  </si>
  <si>
    <t>ޔޫކްރެއިން</t>
  </si>
  <si>
    <t>Others</t>
  </si>
  <si>
    <t>އުތުރު ޔޫރަޕް</t>
  </si>
  <si>
    <t>Denmark</t>
  </si>
  <si>
    <t>ޑެންމާކް</t>
  </si>
  <si>
    <t>Finland</t>
  </si>
  <si>
    <t>Ireland</t>
  </si>
  <si>
    <t>އަޔަލެންޑް</t>
  </si>
  <si>
    <t>Other continents</t>
  </si>
  <si>
    <t>Norway</t>
  </si>
  <si>
    <t>ނޯވޭ</t>
  </si>
  <si>
    <t>Sweden</t>
  </si>
  <si>
    <t>ސްވިޑެން</t>
  </si>
  <si>
    <t>United Kingdom</t>
  </si>
  <si>
    <t>ދެކުނު ޔޫރަޕް</t>
  </si>
  <si>
    <t>Croatia</t>
  </si>
  <si>
    <t>ކްރޮއޭޝިއާ</t>
  </si>
  <si>
    <t>Greece</t>
  </si>
  <si>
    <t>Italy</t>
  </si>
  <si>
    <t>Portugal</t>
  </si>
  <si>
    <t>Serbia</t>
  </si>
  <si>
    <t>ސަރބިއާ</t>
  </si>
  <si>
    <t>Slovenia</t>
  </si>
  <si>
    <t>ސްލޮވޭނިއާ</t>
  </si>
  <si>
    <t>Spain</t>
  </si>
  <si>
    <t>ހުޅަނގު ޔޫރަޕް</t>
  </si>
  <si>
    <t>Austria</t>
  </si>
  <si>
    <t>Belgium</t>
  </si>
  <si>
    <t>France</t>
  </si>
  <si>
    <t>Germany</t>
  </si>
  <si>
    <t>ޖަރުމަނީ</t>
  </si>
  <si>
    <t xml:space="preserve">Netherlands </t>
  </si>
  <si>
    <t>ނެދަލެންޑްސް</t>
  </si>
  <si>
    <t>Switzerland</t>
  </si>
  <si>
    <t>ސްވިޓްޒަލެންޑް</t>
  </si>
  <si>
    <t>..</t>
  </si>
  <si>
    <t>އިރުމަތީ ޔޫރަޕް</t>
  </si>
  <si>
    <t>Israel</t>
  </si>
  <si>
    <t>އިސްރާއީލް</t>
  </si>
  <si>
    <t>Turkey</t>
  </si>
  <si>
    <t>ތުރުކީ</t>
  </si>
  <si>
    <t>އިރު އުތުރު އޭޝިއާ</t>
  </si>
  <si>
    <t>China</t>
  </si>
  <si>
    <t>Japan</t>
  </si>
  <si>
    <t>Korea</t>
  </si>
  <si>
    <t>Taiwan</t>
  </si>
  <si>
    <t>އިރު ދެކުނު އޭޝިއާ</t>
  </si>
  <si>
    <t>Indonesia</t>
  </si>
  <si>
    <t>Malaysia</t>
  </si>
  <si>
    <t>Myanmar</t>
  </si>
  <si>
    <t>މިޔަންމާ</t>
  </si>
  <si>
    <t>Philippines</t>
  </si>
  <si>
    <t>ފިލިޕިންސް</t>
  </si>
  <si>
    <t>Singapore</t>
  </si>
  <si>
    <t>ސިންގަޕޯ</t>
  </si>
  <si>
    <t>Thailand</t>
  </si>
  <si>
    <t>ތައިލެންޑް</t>
  </si>
  <si>
    <t>Vietnam</t>
  </si>
  <si>
    <t>ވިއެޓްނާމް</t>
  </si>
  <si>
    <t>ދެކުނު އޭޝިއާ</t>
  </si>
  <si>
    <t>Bangladesh</t>
  </si>
  <si>
    <t>ބަންގްލަދެޝް</t>
  </si>
  <si>
    <t>India</t>
  </si>
  <si>
    <t>Iran</t>
  </si>
  <si>
    <t>އިރާން</t>
  </si>
  <si>
    <t>Pakistan</t>
  </si>
  <si>
    <t>Sri Lanka</t>
  </si>
  <si>
    <t>ސްރީ ލަންކާ</t>
  </si>
  <si>
    <t>Algeria</t>
  </si>
  <si>
    <t>އަލްޖީރިއާ</t>
  </si>
  <si>
    <t>Morocco</t>
  </si>
  <si>
    <t>މޮރޮކޯ</t>
  </si>
  <si>
    <t>South Africa</t>
  </si>
  <si>
    <t>ދެކުނު އެފްރިކާ</t>
  </si>
  <si>
    <t>Argentina</t>
  </si>
  <si>
    <t>އަރޖެންޓީނާ</t>
  </si>
  <si>
    <t>Brazil</t>
  </si>
  <si>
    <t>ބްރެޒިލް</t>
  </si>
  <si>
    <t>Canada</t>
  </si>
  <si>
    <t>Mexico</t>
  </si>
  <si>
    <t>މެކްސިކޯ</t>
  </si>
  <si>
    <t>United States</t>
  </si>
  <si>
    <t>ޔުނައިޓެޑް ސްޓޭޓްސް</t>
  </si>
  <si>
    <t>އޯޝިއާނާ</t>
  </si>
  <si>
    <t>Australia</t>
  </si>
  <si>
    <t>New Zealand</t>
  </si>
  <si>
    <t>ނިއުޒިލެންޑް</t>
  </si>
  <si>
    <t>މެދު އިރުމަތީ</t>
  </si>
  <si>
    <t>Egypt</t>
  </si>
  <si>
    <t>އިޖިޕްޓް</t>
  </si>
  <si>
    <t>Jordan</t>
  </si>
  <si>
    <t>ޖޯޑްން</t>
  </si>
  <si>
    <t>Kuwait</t>
  </si>
  <si>
    <t>Lebanon</t>
  </si>
  <si>
    <t>ލެބަނާން</t>
  </si>
  <si>
    <t>Oman</t>
  </si>
  <si>
    <t>އޮމާން</t>
  </si>
  <si>
    <t>Qatar</t>
  </si>
  <si>
    <t>ޤަތަރު</t>
  </si>
  <si>
    <t>Saudi Arabia</t>
  </si>
  <si>
    <t>ސައުދީ އަރަބިއްޔާ</t>
  </si>
  <si>
    <t>Syrian Arab Republic</t>
  </si>
  <si>
    <t>ސީރިއަން އަރަބް ރިޕަބްލިކް</t>
  </si>
  <si>
    <t>United Arab Emirates</t>
  </si>
  <si>
    <t>ޔުނައިޓެޑް އަރަބް އެމަރެޓްސް</t>
  </si>
  <si>
    <t>UN Passpoert holders</t>
  </si>
  <si>
    <t xml:space="preserve">ޔޫ އެން ޕާސްޕޯޓު ހޯލްޑަރސް </t>
  </si>
  <si>
    <t xml:space="preserve">Others Not Stated </t>
  </si>
  <si>
    <t>Maldives Immigration</t>
  </si>
  <si>
    <t>މޯލްޑިވްސް އިމިގްރޭޝަން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</si>
  <si>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</si>
  <si>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</si>
  <si>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Table 10.13 :   MONTHLY DISTRIBUTION OF TOURIST ARRIVALS BY NATIONALITY, 2022</t>
  </si>
  <si>
    <t>ތާވަލު 10.13: ޤައުމުތަކުގެ ގޮތުން ރާއްޖެއައި ފަތުރުވެރިންގެ ޢަދަދު، މަސްމަހުގެ ގޮތުން،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</si>
</sst>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_(* #,##0_);_(* \(#,##0\);_(* &quot;-&quot;??_);_(@_)"/>
    <numFmt numFmtId="171" formatCode="0.00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Faruma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name val="Faruma"/>
    </font>
    <font>
      <sz val="9"/>
      <color theme="1"/>
      <name val="Faruma"/>
    </font>
    <font>
      <sz val="9"/>
      <name val="Faruma"/>
    </font>
    <font>
      <b/>
      <sz val="11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6" fillId="0" borderId="0"/>
    <xf numFmtId="0" fontId="3" fillId="0" borderId="0"/>
    <xf numFmtId="43" fontId="3" fillId="0" borderId="0" applyFont="0" applyFill="0" applyBorder="0" applyAlignment="0" applyProtection="0"/>
    <xf numFmtId="171" fontId="17" fillId="0" borderId="0"/>
    <xf numFmtId="1" fontId="18" fillId="0" borderId="4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6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7" fillId="0" borderId="0"/>
    <xf numFmtId="40" fontId="7" fillId="0" borderId="0" applyFont="0" applyFill="0" applyBorder="0" applyAlignment="0" applyProtection="0"/>
    <xf numFmtId="0" fontId="7" fillId="0" borderId="0"/>
    <xf numFmtId="0" fontId="3" fillId="0" borderId="0"/>
    <xf numFmtId="1" fontId="18" fillId="0" borderId="4" applyNumberFormat="0"/>
    <xf numFmtId="0" fontId="1" fillId="0" borderId="0"/>
    <xf numFmtId="0" fontId="7" fillId="0" borderId="0"/>
    <xf numFmtId="0" fontId="19" fillId="0" borderId="0" applyFill="0" applyProtection="0"/>
    <xf numFmtId="1" fontId="18" fillId="0" borderId="4" applyNumberFormat="0"/>
    <xf numFmtId="43" fontId="1" fillId="0" borderId="0" applyFont="0" applyFill="0" applyBorder="0" applyAlignment="0" applyProtection="0"/>
    <xf numFmtId="0" fontId="1" fillId="0" borderId="0"/>
    <xf numFmtId="0" fontId="20" fillId="0" borderId="0"/>
    <xf numFmtId="0" fontId="21" fillId="0" borderId="0"/>
    <xf numFmtId="0" fontId="20" fillId="0" borderId="0"/>
    <xf numFmtId="0" fontId="1" fillId="0" borderId="0"/>
    <xf numFmtId="0" fontId="7" fillId="0" borderId="0"/>
    <xf numFmtId="0" fontId="19" fillId="0" borderId="0" applyFill="0" applyProtection="0"/>
    <xf numFmtId="1" fontId="18" fillId="0" borderId="4" applyNumberFormat="0"/>
    <xf numFmtId="0" fontId="1" fillId="0" borderId="0"/>
    <xf numFmtId="0" fontId="3" fillId="0" borderId="0"/>
    <xf numFmtId="0" fontId="20" fillId="0" borderId="0"/>
    <xf numFmtId="0" fontId="21" fillId="0" borderId="0"/>
    <xf numFmtId="0" fontId="3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7" fillId="0" borderId="0" applyFont="0" applyFill="0" applyBorder="0" applyAlignment="0" applyProtection="0"/>
    <xf numFmtId="0" fontId="1" fillId="0" borderId="0"/>
    <xf numFmtId="0" fontId="22" fillId="0" borderId="0" applyBorder="0"/>
    <xf numFmtId="0" fontId="1" fillId="0" borderId="0"/>
    <xf numFmtId="40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2" fillId="0" borderId="0" applyBorder="0"/>
    <xf numFmtId="0" fontId="1" fillId="0" borderId="0"/>
    <xf numFmtId="0" fontId="1" fillId="0" borderId="0"/>
    <xf numFmtId="1" fontId="18" fillId="0" borderId="4" applyNumberFormat="0"/>
    <xf numFmtId="1" fontId="18" fillId="0" borderId="4" applyNumberFormat="0"/>
    <xf numFmtId="1" fontId="18" fillId="0" borderId="4" applyNumberFormat="0"/>
    <xf numFmtId="1" fontId="18" fillId="0" borderId="4" applyNumberFormat="0"/>
  </cellStyleXfs>
  <cellXfs count="59">
    <xf numFmtId="0" fontId="0" fillId="0" borderId="0" xfId="0"/>
    <xf numFmtId="0" fontId="9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5" fillId="2" borderId="0" xfId="2" applyFont="1" applyFill="1" applyAlignment="1">
      <alignment vertical="center"/>
    </xf>
    <xf numFmtId="166" fontId="5" fillId="2" borderId="0" xfId="1" applyNumberFormat="1" applyFont="1" applyFill="1" applyBorder="1" applyAlignment="1" applyProtection="1">
      <alignment horizontal="right" vertical="center"/>
    </xf>
    <xf numFmtId="166" fontId="11" fillId="2" borderId="0" xfId="1" applyNumberFormat="1" applyFont="1" applyFill="1" applyBorder="1" applyAlignment="1" applyProtection="1">
      <alignment horizontal="right" vertical="center"/>
    </xf>
    <xf numFmtId="166" fontId="5" fillId="2" borderId="2" xfId="1" applyNumberFormat="1" applyFont="1" applyFill="1" applyBorder="1" applyAlignment="1" applyProtection="1">
      <alignment horizontal="right" vertical="center"/>
    </xf>
    <xf numFmtId="0" fontId="11" fillId="2" borderId="0" xfId="2" applyFont="1" applyFill="1" applyAlignment="1">
      <alignment vertical="center"/>
    </xf>
    <xf numFmtId="0" fontId="11" fillId="2" borderId="0" xfId="2" applyFont="1" applyFill="1"/>
    <xf numFmtId="0" fontId="5" fillId="2" borderId="2" xfId="2" applyFont="1" applyFill="1" applyBorder="1" applyAlignment="1">
      <alignment horizontal="center" vertical="center"/>
    </xf>
    <xf numFmtId="166" fontId="5" fillId="2" borderId="2" xfId="2" applyNumberFormat="1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left" vertical="center"/>
    </xf>
    <xf numFmtId="0" fontId="5" fillId="2" borderId="2" xfId="2" applyFont="1" applyFill="1" applyBorder="1" applyAlignment="1">
      <alignment horizontal="right" vertical="center"/>
    </xf>
    <xf numFmtId="0" fontId="5" fillId="2" borderId="3" xfId="2" applyFont="1" applyFill="1" applyBorder="1" applyAlignment="1">
      <alignment horizontal="right" vertical="center"/>
    </xf>
    <xf numFmtId="0" fontId="12" fillId="2" borderId="3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166" fontId="5" fillId="2" borderId="1" xfId="1" applyNumberFormat="1" applyFont="1" applyFill="1" applyBorder="1" applyAlignment="1" applyProtection="1">
      <alignment horizontal="right" vertical="center"/>
    </xf>
    <xf numFmtId="0" fontId="12" fillId="2" borderId="1" xfId="2" applyFont="1" applyFill="1" applyBorder="1"/>
    <xf numFmtId="0" fontId="6" fillId="2" borderId="0" xfId="2" applyFont="1" applyFill="1"/>
    <xf numFmtId="166" fontId="6" fillId="2" borderId="0" xfId="2" applyNumberFormat="1" applyFont="1" applyFill="1"/>
    <xf numFmtId="0" fontId="5" fillId="2" borderId="0" xfId="2" applyFont="1" applyFill="1" applyAlignment="1">
      <alignment horizontal="left" vertical="center"/>
    </xf>
    <xf numFmtId="0" fontId="12" fillId="2" borderId="0" xfId="2" applyFont="1" applyFill="1"/>
    <xf numFmtId="166" fontId="6" fillId="2" borderId="0" xfId="2" applyNumberFormat="1" applyFont="1" applyFill="1" applyAlignment="1">
      <alignment vertical="center"/>
    </xf>
    <xf numFmtId="17" fontId="5" fillId="2" borderId="0" xfId="4" applyNumberFormat="1" applyFont="1" applyFill="1" applyAlignment="1">
      <alignment horizontal="left" vertical="center" indent="1"/>
    </xf>
    <xf numFmtId="0" fontId="4" fillId="2" borderId="0" xfId="2" applyFont="1" applyFill="1" applyAlignment="1">
      <alignment horizontal="right" vertical="center" indent="1"/>
    </xf>
    <xf numFmtId="0" fontId="11" fillId="2" borderId="0" xfId="4" applyFont="1" applyFill="1" applyAlignment="1">
      <alignment horizontal="left" vertical="center" indent="2"/>
    </xf>
    <xf numFmtId="166" fontId="5" fillId="2" borderId="0" xfId="1" applyNumberFormat="1" applyFont="1" applyFill="1" applyBorder="1" applyAlignment="1">
      <alignment vertical="center"/>
    </xf>
    <xf numFmtId="166" fontId="11" fillId="2" borderId="0" xfId="1" applyNumberFormat="1" applyFont="1" applyFill="1" applyBorder="1" applyAlignment="1">
      <alignment vertical="center"/>
    </xf>
    <xf numFmtId="0" fontId="14" fillId="2" borderId="0" xfId="2" applyFont="1" applyFill="1" applyAlignment="1">
      <alignment horizontal="right" indent="2"/>
    </xf>
    <xf numFmtId="0" fontId="11" fillId="2" borderId="0" xfId="4" quotePrefix="1" applyFont="1" applyFill="1" applyAlignment="1">
      <alignment horizontal="left" vertical="center" indent="2"/>
    </xf>
    <xf numFmtId="166" fontId="5" fillId="2" borderId="0" xfId="1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right" indent="1"/>
    </xf>
    <xf numFmtId="17" fontId="5" fillId="2" borderId="0" xfId="4" applyNumberFormat="1" applyFont="1" applyFill="1" applyAlignment="1">
      <alignment horizontal="left" vertical="center" wrapText="1" indent="1"/>
    </xf>
    <xf numFmtId="0" fontId="11" fillId="2" borderId="2" xfId="4" applyFont="1" applyFill="1" applyBorder="1" applyAlignment="1">
      <alignment horizontal="left" vertical="center" indent="2"/>
    </xf>
    <xf numFmtId="166" fontId="5" fillId="2" borderId="2" xfId="1" applyNumberFormat="1" applyFont="1" applyFill="1" applyBorder="1" applyAlignment="1">
      <alignment vertical="center"/>
    </xf>
    <xf numFmtId="166" fontId="11" fillId="2" borderId="2" xfId="1" applyNumberFormat="1" applyFont="1" applyFill="1" applyBorder="1" applyAlignment="1">
      <alignment vertical="center"/>
    </xf>
    <xf numFmtId="0" fontId="14" fillId="2" borderId="2" xfId="2" applyFont="1" applyFill="1" applyBorder="1" applyAlignment="1">
      <alignment horizontal="right" indent="2"/>
    </xf>
    <xf numFmtId="0" fontId="12" fillId="2" borderId="0" xfId="2" applyFont="1" applyFill="1" applyAlignment="1">
      <alignment horizontal="right" indent="1" readingOrder="1"/>
    </xf>
    <xf numFmtId="0" fontId="11" fillId="2" borderId="0" xfId="4" applyFont="1" applyFill="1" applyAlignment="1">
      <alignment horizontal="left" vertical="center" indent="1"/>
    </xf>
    <xf numFmtId="0" fontId="14" fillId="2" borderId="0" xfId="2" applyFont="1" applyFill="1" applyAlignment="1">
      <alignment horizontal="right" indent="1"/>
    </xf>
    <xf numFmtId="0" fontId="11" fillId="2" borderId="2" xfId="4" applyFont="1" applyFill="1" applyBorder="1" applyAlignment="1">
      <alignment horizontal="left" vertical="center" indent="1"/>
    </xf>
    <xf numFmtId="0" fontId="14" fillId="2" borderId="2" xfId="2" applyFont="1" applyFill="1" applyBorder="1" applyAlignment="1">
      <alignment horizontal="right" indent="1"/>
    </xf>
    <xf numFmtId="166" fontId="11" fillId="2" borderId="0" xfId="1" applyNumberFormat="1" applyFont="1" applyFill="1" applyBorder="1" applyAlignment="1">
      <alignment horizontal="right" vertical="center"/>
    </xf>
    <xf numFmtId="166" fontId="11" fillId="2" borderId="2" xfId="1" applyNumberFormat="1" applyFont="1" applyFill="1" applyBorder="1" applyAlignment="1">
      <alignment horizontal="right" vertical="center"/>
    </xf>
    <xf numFmtId="0" fontId="10" fillId="2" borderId="0" xfId="2" applyFont="1" applyFill="1" applyAlignment="1">
      <alignment horizontal="left" vertical="center"/>
    </xf>
    <xf numFmtId="0" fontId="10" fillId="2" borderId="1" xfId="2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 indent="3"/>
    </xf>
    <xf numFmtId="3" fontId="11" fillId="2" borderId="0" xfId="2" applyNumberFormat="1" applyFont="1" applyFill="1"/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 indent="3"/>
    </xf>
    <xf numFmtId="0" fontId="15" fillId="2" borderId="0" xfId="2" applyFont="1" applyFill="1" applyAlignment="1">
      <alignment horizontal="center" vertical="center"/>
    </xf>
    <xf numFmtId="0" fontId="2" fillId="2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166" fontId="5" fillId="2" borderId="0" xfId="2" applyNumberFormat="1" applyFont="1" applyFill="1" applyAlignment="1">
      <alignment horizontal="center" vertical="center"/>
    </xf>
    <xf numFmtId="0" fontId="5" fillId="2" borderId="0" xfId="2" applyFont="1" applyFill="1" applyAlignment="1">
      <alignment horizontal="right" vertical="center"/>
    </xf>
    <xf numFmtId="0" fontId="12" fillId="2" borderId="0" xfId="2" applyFont="1" applyFill="1" applyAlignment="1">
      <alignment vertical="center"/>
    </xf>
    <xf numFmtId="0" fontId="2" fillId="2" borderId="0" xfId="2" applyFont="1" applyFill="1" applyAlignment="1">
      <alignment horizontal="center" vertical="center"/>
    </xf>
    <xf numFmtId="0" fontId="15" fillId="2" borderId="0" xfId="2" applyFont="1" applyFill="1" applyAlignment="1">
      <alignment horizontal="center" vertical="center"/>
    </xf>
  </cellXfs>
  <cellStyles count="65">
    <cellStyle name="1" xfId="6" xr:uid="{00000000-0005-0000-0000-000000000000}"/>
    <cellStyle name="Comma" xfId="1" builtinId="3"/>
    <cellStyle name="Comma 2" xfId="20" xr:uid="{00000000-0005-0000-0000-000002000000}"/>
    <cellStyle name="Comma 2 2" xfId="47" xr:uid="{71832AE8-63E9-47AC-B43D-24C9B30FD491}"/>
    <cellStyle name="Comma 2 2 2 5" xfId="28" xr:uid="{923A80DF-8391-490C-A9FC-9B04BA3FF02C}"/>
    <cellStyle name="Comma 2 3" xfId="54" xr:uid="{18E20042-2979-46AD-9D37-4A459DA64BAE}"/>
    <cellStyle name="Comma 3" xfId="7" xr:uid="{00000000-0005-0000-0000-000003000000}"/>
    <cellStyle name="Comma 3 2" xfId="50" xr:uid="{C94EE668-205D-4DE2-A3E1-635995599CA4}"/>
    <cellStyle name="Normal" xfId="0" builtinId="0"/>
    <cellStyle name="Normal - Style1" xfId="8" xr:uid="{00000000-0005-0000-0000-000005000000}"/>
    <cellStyle name="Normal 10" xfId="14" xr:uid="{00000000-0005-0000-0000-000006000000}"/>
    <cellStyle name="Normal 11" xfId="25" xr:uid="{95DB1E47-A717-4F50-B120-BDB4A6A98D35}"/>
    <cellStyle name="Normal 12" xfId="27" xr:uid="{5F37676F-9210-428B-A54A-88AF31197612}"/>
    <cellStyle name="Normal 13" xfId="36" xr:uid="{1E44DD08-E506-4B0E-A49D-239619E68ECB}"/>
    <cellStyle name="Normal 14" xfId="61" xr:uid="{CF47567C-18E3-48E3-B4B2-F9546E19550C}"/>
    <cellStyle name="Normal 15" xfId="62" xr:uid="{791BF7C1-0A53-4899-92D0-58D1295D1734}"/>
    <cellStyle name="Normal 16" xfId="63" xr:uid="{FB24067F-240D-455E-8348-EE3147456F5B}"/>
    <cellStyle name="Normal 17" xfId="64" xr:uid="{D4A5C67F-868D-43C6-89A5-249394EF5F61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2 2" xfId="45" xr:uid="{8F8F9C60-80DF-42BF-B765-6C68B3B83858}"/>
    <cellStyle name="Normal 2 2 3" xfId="22" xr:uid="{2E2FEFD2-ABBD-420D-8461-C8F503FDA24A}"/>
    <cellStyle name="Normal 2 2 3 2" xfId="43" xr:uid="{847F1A16-9FCA-412B-AE91-D29E3FC8B338}"/>
    <cellStyle name="Normal 2 2 4" xfId="39" xr:uid="{19B03459-4F46-4840-B83F-02097E770DD0}"/>
    <cellStyle name="Normal 2 3" xfId="24" xr:uid="{48422FEC-E0BC-428C-9750-2D76D2E13FBF}"/>
    <cellStyle name="Normal 2 3 2" xfId="35" xr:uid="{53720891-5BB7-4072-A4AA-9D579EA571CD}"/>
    <cellStyle name="Normal 2 3 3" xfId="38" xr:uid="{7DCAFB35-81DA-42EB-A924-F7ED0EEF7A1F}"/>
    <cellStyle name="Normal 2 4" xfId="26" xr:uid="{84E1C268-3A16-4FB7-A335-F22068D33369}"/>
    <cellStyle name="Normal 2 4 2" xfId="46" xr:uid="{57E5914E-388A-4C4B-895D-9DE84233932D}"/>
    <cellStyle name="Normal 2 5" xfId="30" xr:uid="{D29D2916-D641-4853-A275-3F08E70F8C7A}"/>
    <cellStyle name="Normal 3" xfId="10" xr:uid="{00000000-0005-0000-0000-00000A000000}"/>
    <cellStyle name="Normal 3 2" xfId="23" xr:uid="{44D070A0-948A-45DA-8AFF-8A98BB90EB1D}"/>
    <cellStyle name="Normal 3 2 2" xfId="32" xr:uid="{4957CE97-0C4F-446D-8F13-BA568858B15F}"/>
    <cellStyle name="Normal 3 2 2 2" xfId="57" xr:uid="{2E853BA5-A6AB-4EF9-973C-19000D44968E}"/>
    <cellStyle name="Normal 3 3" xfId="41" xr:uid="{1D4DED44-E767-4414-A710-53A5E77B0231}"/>
    <cellStyle name="Normal 3 3 2" xfId="60" xr:uid="{105881E3-0498-4F49-93D5-84249EBD8B7E}"/>
    <cellStyle name="Normal 3 4" xfId="51" xr:uid="{775CBDBA-2355-47F1-8EDC-996CD2E9D14C}"/>
    <cellStyle name="Normal 3 5" xfId="55" xr:uid="{B67EF198-0A73-4423-9F40-46956DF79B03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2 3" xfId="40" xr:uid="{3CC09F86-6AF3-42B7-B59F-47E11B119A56}"/>
    <cellStyle name="Normal 4 3" xfId="31" xr:uid="{6720CF7E-3D28-49D4-A4F3-23A341275CC3}"/>
    <cellStyle name="Normal 4 3 2" xfId="48" xr:uid="{FF8D28D6-8DB2-418B-A317-8CA9F33A63C6}"/>
    <cellStyle name="Normal 4 4" xfId="53" xr:uid="{506DB73D-6B6B-40EF-85B4-52381B4717DA}"/>
    <cellStyle name="Normal 5" xfId="12" xr:uid="{00000000-0005-0000-0000-00000E000000}"/>
    <cellStyle name="Normal 5 2" xfId="4" xr:uid="{00000000-0005-0000-0000-00000F000000}"/>
    <cellStyle name="Normal 5 2 2" xfId="56" xr:uid="{349C0B77-1FB1-4403-84A0-A4B2133A156A}"/>
    <cellStyle name="Normal 5 3" xfId="29" xr:uid="{F16A05F5-F806-4902-9DAF-1592A0EB3B8F}"/>
    <cellStyle name="Normal 5 4" xfId="42" xr:uid="{A6EA1B92-714A-484D-87C5-6D1A3BC3F4D7}"/>
    <cellStyle name="Normal 6" xfId="17" xr:uid="{00000000-0005-0000-0000-000010000000}"/>
    <cellStyle name="Normal 6 2" xfId="33" xr:uid="{28DCBC0B-46D7-4D92-ADC4-A6E5B7FB0383}"/>
    <cellStyle name="Normal 6 2 2" xfId="58" xr:uid="{35024BBE-69E3-4A93-86D9-3A08FFADFD0D}"/>
    <cellStyle name="Normal 6 3" xfId="44" xr:uid="{A1A5671A-5779-4172-B339-E25C279C443B}"/>
    <cellStyle name="Normal 7" xfId="18" xr:uid="{00000000-0005-0000-0000-000011000000}"/>
    <cellStyle name="Normal 7 2" xfId="34" xr:uid="{F94E59D5-A861-4070-A967-F13E24BDD6F0}"/>
    <cellStyle name="Normal 7 2 2" xfId="49" xr:uid="{3C7963B8-B6CF-4FCF-93B3-DD71D3A617EC}"/>
    <cellStyle name="Normal 7 3" xfId="59" xr:uid="{31B347B4-04A7-4773-99FE-B93DBCB9EF51}"/>
    <cellStyle name="Normal 7 4" xfId="37" xr:uid="{82FD4FAA-650B-46FE-85A5-0119781775C0}"/>
    <cellStyle name="Normal 8" xfId="19" xr:uid="{00000000-0005-0000-0000-000012000000}"/>
    <cellStyle name="Normal 8 2" xfId="52" xr:uid="{2C19882A-370B-4CF1-8D87-E650A5A0EE91}"/>
    <cellStyle name="Normal 9" xfId="5" xr:uid="{00000000-0005-0000-0000-000013000000}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F3F6FB"/>
      <color rgb="FFFCFDFE"/>
      <color rgb="FFFF3B3B"/>
      <color rgb="FFFFB7B7"/>
      <color rgb="FFFF8585"/>
      <color rgb="FFFFDDDD"/>
      <color rgb="FFFFFBFB"/>
      <color rgb="FFFFD5D5"/>
      <color rgb="FFFFCCCC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>
                <a:latin typeface="Candara" pitchFamily="34" charset="0"/>
              </a:rPr>
              <a:t>Figure 10.21: Monthly tourist arrivals by continent, 2022</a:t>
            </a:r>
          </a:p>
        </c:rich>
      </c:tx>
      <c:layout>
        <c:manualLayout>
          <c:xMode val="edge"/>
          <c:yMode val="edge"/>
          <c:x val="0.30845712656267216"/>
          <c:y val="3.703695195061652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1370996945819224E-2"/>
          <c:y val="0.14862277631962667"/>
          <c:w val="0.89444701570498131"/>
          <c:h val="0.71963692038495153"/>
        </c:manualLayout>
      </c:layout>
      <c:lineChart>
        <c:grouping val="standard"/>
        <c:varyColors val="0"/>
        <c:ser>
          <c:idx val="1"/>
          <c:order val="1"/>
          <c:tx>
            <c:strRef>
              <c:f>'10.13'!$AV$22</c:f>
              <c:strCache>
                <c:ptCount val="1"/>
                <c:pt idx="0">
                  <c:v>Europe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diamond"/>
            <c:size val="6"/>
            <c:spPr>
              <a:solidFill>
                <a:srgbClr val="FF8585"/>
              </a:solidFill>
              <a:ln>
                <a:noFill/>
              </a:ln>
            </c:spPr>
          </c:marker>
          <c:cat>
            <c:strRef>
              <c:f>'10.13'!$AW$20:$BH$20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'10.13'!$AW$22:$BH$22</c:f>
              <c:numCache>
                <c:formatCode>_(* #,##0_);_(* \(#,##0\);_(* "-"??_);_(@_)</c:formatCode>
                <c:ptCount val="12"/>
                <c:pt idx="0">
                  <c:v>100595</c:v>
                </c:pt>
                <c:pt idx="1">
                  <c:v>111373</c:v>
                </c:pt>
                <c:pt idx="2">
                  <c:v>93810</c:v>
                </c:pt>
                <c:pt idx="3">
                  <c:v>97514</c:v>
                </c:pt>
                <c:pt idx="4">
                  <c:v>55012</c:v>
                </c:pt>
                <c:pt idx="5">
                  <c:v>55147</c:v>
                </c:pt>
                <c:pt idx="6">
                  <c:v>75778</c:v>
                </c:pt>
                <c:pt idx="7">
                  <c:v>81980</c:v>
                </c:pt>
                <c:pt idx="8">
                  <c:v>63577</c:v>
                </c:pt>
                <c:pt idx="9">
                  <c:v>92543</c:v>
                </c:pt>
                <c:pt idx="10">
                  <c:v>88056</c:v>
                </c:pt>
                <c:pt idx="11">
                  <c:v>107340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26B-41EC-A07D-C41172FBA7F0}"/>
            </c:ext>
          </c:extLst>
        </c:ser>
        <c:ser>
          <c:idx val="2"/>
          <c:order val="2"/>
          <c:tx>
            <c:strRef>
              <c:f>'10.13'!$AV$23</c:f>
              <c:strCache>
                <c:ptCount val="1"/>
                <c:pt idx="0">
                  <c:v>Asia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square"/>
            <c:size val="5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marker>
          <c:cat>
            <c:strRef>
              <c:f>'10.13'!$AW$20:$BH$20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'10.13'!$AW$23:$BH$23</c:f>
              <c:numCache>
                <c:formatCode>_(* #,##0_);_(* \(#,##0\);_(* "-"??_);_(@_)</c:formatCode>
                <c:ptCount val="12"/>
                <c:pt idx="0">
                  <c:v>15575</c:v>
                </c:pt>
                <c:pt idx="1">
                  <c:v>19617</c:v>
                </c:pt>
                <c:pt idx="2">
                  <c:v>30383</c:v>
                </c:pt>
                <c:pt idx="3">
                  <c:v>30811</c:v>
                </c:pt>
                <c:pt idx="4">
                  <c:v>44420</c:v>
                </c:pt>
                <c:pt idx="5">
                  <c:v>0</c:v>
                </c:pt>
                <c:pt idx="6">
                  <c:v>30844</c:v>
                </c:pt>
                <c:pt idx="7">
                  <c:v>30261</c:v>
                </c:pt>
                <c:pt idx="8">
                  <c:v>30505</c:v>
                </c:pt>
                <c:pt idx="9">
                  <c:v>40935</c:v>
                </c:pt>
                <c:pt idx="10">
                  <c:v>35959</c:v>
                </c:pt>
                <c:pt idx="11">
                  <c:v>51144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26B-41EC-A07D-C41172FBA7F0}"/>
            </c:ext>
          </c:extLst>
        </c:ser>
        <c:ser>
          <c:idx val="3"/>
          <c:order val="3"/>
          <c:tx>
            <c:strRef>
              <c:f>'10.13'!$AV$24</c:f>
              <c:strCache>
                <c:ptCount val="1"/>
                <c:pt idx="0">
                  <c:v>Other continents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cat>
            <c:strRef>
              <c:f>'10.13'!$AW$20:$BH$20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'10.13'!$AW$24:$BH$24</c:f>
              <c:numCache>
                <c:formatCode>General</c:formatCode>
                <c:ptCount val="12"/>
                <c:pt idx="0" formatCode="_(* #,##0_);_(* \(#,##0\);_(* &quot;-&quot;??_);_(@_)">
                  <c:v>15595</c:v>
                </c:pt>
                <c:pt idx="1">
                  <c:v>18021</c:v>
                </c:pt>
                <c:pt idx="2">
                  <c:v>26555</c:v>
                </c:pt>
                <c:pt idx="3">
                  <c:v>16957</c:v>
                </c:pt>
                <c:pt idx="4">
                  <c:v>26096</c:v>
                </c:pt>
                <c:pt idx="5">
                  <c:v>55738</c:v>
                </c:pt>
                <c:pt idx="6">
                  <c:v>26939</c:v>
                </c:pt>
                <c:pt idx="7">
                  <c:v>19622</c:v>
                </c:pt>
                <c:pt idx="8">
                  <c:v>17904</c:v>
                </c:pt>
                <c:pt idx="9">
                  <c:v>20259</c:v>
                </c:pt>
                <c:pt idx="10">
                  <c:v>22871</c:v>
                </c:pt>
                <c:pt idx="11">
                  <c:v>25567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6B-41EC-A07D-C41172FBA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31880"/>
        <c:axId val="1584303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'10.13'!$AV$21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marker>
                  <c:symbol val="diamond"/>
                  <c:size val="6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'10.13'!$AW$20:$BH$20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'10.13'!$AW$21:$BH$21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2"/>
                      <c:pt idx="0">
                        <c:v>131765</c:v>
                      </c:pt>
                      <c:pt idx="1">
                        <c:v>149011</c:v>
                      </c:pt>
                      <c:pt idx="2">
                        <c:v>150748</c:v>
                      </c:pt>
                      <c:pt idx="3">
                        <c:v>145282</c:v>
                      </c:pt>
                      <c:pt idx="4">
                        <c:v>125528</c:v>
                      </c:pt>
                      <c:pt idx="5">
                        <c:v>110885</c:v>
                      </c:pt>
                      <c:pt idx="6">
                        <c:v>133561</c:v>
                      </c:pt>
                      <c:pt idx="7">
                        <c:v>131863</c:v>
                      </c:pt>
                      <c:pt idx="8">
                        <c:v>111986</c:v>
                      </c:pt>
                      <c:pt idx="9">
                        <c:v>153737</c:v>
                      </c:pt>
                      <c:pt idx="10">
                        <c:v>146886</c:v>
                      </c:pt>
                      <c:pt idx="11">
                        <c:v>184051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0-026B-41EC-A07D-C41172FBA7F0}"/>
                  </c:ext>
                </c:extLst>
              </c15:ser>
            </c15:filteredLineSeries>
          </c:ext>
        </c:extLst>
      </c:lineChart>
      <c:catAx>
        <c:axId val="158431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58430312"/>
        <c:crosses val="autoZero"/>
        <c:auto val="1"/>
        <c:lblAlgn val="ctr"/>
        <c:lblOffset val="100"/>
        <c:noMultiLvlLbl val="0"/>
      </c:catAx>
      <c:valAx>
        <c:axId val="158430312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15843188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3903887541885747"/>
          <c:y val="0.19905870461844444"/>
          <c:w val="0.39546927859429248"/>
          <c:h val="0.11279426212434579"/>
        </c:manualLayout>
      </c:layout>
      <c:overlay val="0"/>
      <c:txPr>
        <a:bodyPr/>
        <a:lstStyle/>
        <a:p>
          <a:pPr>
            <a:defRPr sz="1050" b="1"/>
          </a:pPr>
          <a:endParaRPr lang="en-US"/>
        </a:p>
      </c:txPr>
    </c:legend>
    <c:plotVisOnly val="1"/>
    <c:dispBlanksAs val="zero"/>
    <c:showDLblsOverMax val="0"/>
  </c:chart>
  <c:spPr>
    <a:solidFill>
      <a:srgbClr val="F3F6FB"/>
    </a:solidFill>
  </c:spPr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474245</xdr:colOff>
      <xdr:row>105</xdr:row>
      <xdr:rowOff>26570</xdr:rowOff>
    </xdr:from>
    <xdr:to>
      <xdr:col>12</xdr:col>
      <xdr:colOff>607251</xdr:colOff>
      <xdr:row>124</xdr:row>
      <xdr:rowOff>3022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0.0069</cdr:x>
      <cdr:y>0.04514</cdr:y>
    </cdr:from>
    <cdr:to>
      <cdr:x>0.12114</cdr:x>
      <cdr:y>0.09028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099" y="111357"/>
          <a:ext cx="647446" cy="1113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>
              <a:latin typeface="+mn-lt"/>
            </a:rPr>
            <a:t>Number</a:t>
          </a:r>
          <a:endParaRPr lang="en-US" sz="1100">
            <a:latin typeface="+mn-lt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BI240"/>
  <sheetViews>
    <sheetView tabSelected="1" zoomScaleNormal="100" zoomScaleSheetLayoutView="100" workbookViewId="0">
      <selection activeCell="P10" sqref="P10"/>
    </sheetView>
  </sheetViews>
  <sheetFormatPr defaultColWidth="9.140625" defaultRowHeight="12.75"/>
  <cols>
    <col min="1" max="1" width="21" style="8" customWidth="1"/>
    <col min="2" max="2" width="11.5703125" style="8" bestFit="1" customWidth="1"/>
    <col min="3" max="9" width="10.28515625" style="8" customWidth="1"/>
    <col min="10" max="10" width="10.28515625" style="8" bestFit="1" customWidth="1"/>
    <col min="11" max="11" width="9.85546875" style="8" bestFit="1" customWidth="1"/>
    <col min="12" max="14" width="10.28515625" style="8" bestFit="1" customWidth="1"/>
    <col min="15" max="15" width="18.28515625" style="8" customWidth="1"/>
    <col min="16" max="60" width="9.140625" style="8"/>
    <col min="61" max="61" width="11.140625" style="8" customWidth="1"/>
    <col min="62" max="16384" width="9.140625" style="8"/>
  </cols>
  <sheetData>
    <row r="1" spans="1:61" s="7" customFormat="1" ht="18.75" customHeight="1">
      <c r="A1" s="58" t="s">
        <v>195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61" ht="17.25" customHeight="1">
      <c r="A2" s="57" t="s">
        <v>194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61" ht="12.75" customHeigh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61" s="15" customFormat="1" ht="18.75" customHeight="1">
      <c r="A4" s="11" t="s">
        <v>47</v>
      </c>
      <c r="B4" s="12" t="s">
        <v>58</v>
      </c>
      <c r="C4" s="12" t="s">
        <v>36</v>
      </c>
      <c r="D4" s="12" t="s">
        <v>37</v>
      </c>
      <c r="E4" s="12" t="s">
        <v>38</v>
      </c>
      <c r="F4" s="12" t="s">
        <v>39</v>
      </c>
      <c r="G4" s="12" t="s">
        <v>34</v>
      </c>
      <c r="H4" s="12" t="s">
        <v>40</v>
      </c>
      <c r="I4" s="12" t="s">
        <v>41</v>
      </c>
      <c r="J4" s="12" t="s">
        <v>42</v>
      </c>
      <c r="K4" s="12" t="s">
        <v>43</v>
      </c>
      <c r="L4" s="12" t="s">
        <v>44</v>
      </c>
      <c r="M4" s="12" t="s">
        <v>45</v>
      </c>
      <c r="N4" s="13" t="s">
        <v>46</v>
      </c>
      <c r="O4" s="14" t="s">
        <v>59</v>
      </c>
    </row>
    <row r="5" spans="1:61" s="19" customFormat="1" ht="18" customHeight="1">
      <c r="A5" s="16" t="s">
        <v>0</v>
      </c>
      <c r="B5" s="17">
        <f>SUM(C5:N5)</f>
        <v>1675303</v>
      </c>
      <c r="C5" s="17">
        <f>C6+C50+C73+C78+C85+C89+C100+C101</f>
        <v>131765</v>
      </c>
      <c r="D5" s="17">
        <f>D6+D50+D73+D78+D85+D89+D100+D101</f>
        <v>149011</v>
      </c>
      <c r="E5" s="17">
        <f t="shared" ref="E5:N5" si="0">E6+E50+E73+E78+E85+E89+E100+E101</f>
        <v>150748</v>
      </c>
      <c r="F5" s="17">
        <f t="shared" si="0"/>
        <v>145282</v>
      </c>
      <c r="G5" s="17">
        <f t="shared" si="0"/>
        <v>125528</v>
      </c>
      <c r="H5" s="17">
        <f t="shared" si="0"/>
        <v>110885</v>
      </c>
      <c r="I5" s="17">
        <f t="shared" si="0"/>
        <v>133561</v>
      </c>
      <c r="J5" s="17">
        <f t="shared" si="0"/>
        <v>131863</v>
      </c>
      <c r="K5" s="17">
        <f t="shared" si="0"/>
        <v>111986</v>
      </c>
      <c r="L5" s="17">
        <f t="shared" si="0"/>
        <v>153737</v>
      </c>
      <c r="M5" s="17">
        <f t="shared" si="0"/>
        <v>146886</v>
      </c>
      <c r="N5" s="17">
        <f t="shared" si="0"/>
        <v>184051</v>
      </c>
      <c r="O5" s="18" t="s">
        <v>1</v>
      </c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</row>
    <row r="6" spans="1:61" s="19" customFormat="1" ht="18" customHeight="1">
      <c r="A6" s="21" t="s">
        <v>2</v>
      </c>
      <c r="B6" s="4">
        <f>SUM(C6:N6)</f>
        <v>1022725</v>
      </c>
      <c r="C6" s="4">
        <f>C7+C21+C29+C38+C46</f>
        <v>100595</v>
      </c>
      <c r="D6" s="4">
        <f t="shared" ref="D6:N6" si="1">D7+D21+D29+D38+D46</f>
        <v>111373</v>
      </c>
      <c r="E6" s="4">
        <f t="shared" si="1"/>
        <v>93810</v>
      </c>
      <c r="F6" s="4">
        <f t="shared" si="1"/>
        <v>97514</v>
      </c>
      <c r="G6" s="4">
        <f t="shared" si="1"/>
        <v>55012</v>
      </c>
      <c r="H6" s="4">
        <f t="shared" si="1"/>
        <v>55147</v>
      </c>
      <c r="I6" s="4">
        <f t="shared" si="1"/>
        <v>75778</v>
      </c>
      <c r="J6" s="4">
        <f t="shared" si="1"/>
        <v>81980</v>
      </c>
      <c r="K6" s="4">
        <f t="shared" si="1"/>
        <v>63577</v>
      </c>
      <c r="L6" s="4">
        <f t="shared" si="1"/>
        <v>92543</v>
      </c>
      <c r="M6" s="4">
        <f t="shared" si="1"/>
        <v>88056</v>
      </c>
      <c r="N6" s="4">
        <f t="shared" si="1"/>
        <v>107340</v>
      </c>
      <c r="O6" s="22" t="s">
        <v>3</v>
      </c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</row>
    <row r="7" spans="1:61" s="19" customFormat="1" ht="18" customHeight="1">
      <c r="A7" s="24" t="s">
        <v>48</v>
      </c>
      <c r="B7" s="4">
        <f>SUM(C7:N7)</f>
        <v>339618</v>
      </c>
      <c r="C7" s="4">
        <f>SUM(C8:C20)</f>
        <v>44563</v>
      </c>
      <c r="D7" s="4">
        <f>SUM(D8:D20)</f>
        <v>40523</v>
      </c>
      <c r="E7" s="4">
        <f t="shared" ref="E7:N7" si="2">SUM(E8:E20)</f>
        <v>24775</v>
      </c>
      <c r="F7" s="4">
        <f t="shared" si="2"/>
        <v>15560</v>
      </c>
      <c r="G7" s="4">
        <f t="shared" si="2"/>
        <v>13923</v>
      </c>
      <c r="H7" s="4">
        <f t="shared" si="2"/>
        <v>21045</v>
      </c>
      <c r="I7" s="4">
        <f t="shared" si="2"/>
        <v>27658</v>
      </c>
      <c r="J7" s="4">
        <f t="shared" si="2"/>
        <v>28115</v>
      </c>
      <c r="K7" s="4">
        <f t="shared" si="2"/>
        <v>25670</v>
      </c>
      <c r="L7" s="4">
        <f t="shared" si="2"/>
        <v>30171</v>
      </c>
      <c r="M7" s="4">
        <f t="shared" si="2"/>
        <v>31270</v>
      </c>
      <c r="N7" s="4">
        <f t="shared" si="2"/>
        <v>36345</v>
      </c>
      <c r="O7" s="25" t="s">
        <v>60</v>
      </c>
    </row>
    <row r="8" spans="1:61" s="19" customFormat="1" ht="18" customHeight="1">
      <c r="A8" s="26" t="s">
        <v>61</v>
      </c>
      <c r="B8" s="27">
        <f>SUM(C8:N8)</f>
        <v>4082</v>
      </c>
      <c r="C8" s="28">
        <v>591</v>
      </c>
      <c r="D8" s="28">
        <v>487</v>
      </c>
      <c r="E8" s="28">
        <v>249</v>
      </c>
      <c r="F8" s="28">
        <v>154</v>
      </c>
      <c r="G8" s="28">
        <v>186</v>
      </c>
      <c r="H8" s="28">
        <v>208</v>
      </c>
      <c r="I8" s="28">
        <v>294</v>
      </c>
      <c r="J8" s="28">
        <v>322</v>
      </c>
      <c r="K8" s="28">
        <v>329</v>
      </c>
      <c r="L8" s="28">
        <v>343</v>
      </c>
      <c r="M8" s="28">
        <v>410</v>
      </c>
      <c r="N8" s="28">
        <v>509</v>
      </c>
      <c r="O8" s="29" t="s">
        <v>62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pans="1:61" s="19" customFormat="1" ht="18" customHeight="1">
      <c r="A9" s="26" t="s">
        <v>63</v>
      </c>
      <c r="B9" s="27">
        <f>SUM(C9:N9)</f>
        <v>7803</v>
      </c>
      <c r="C9" s="28">
        <v>1143</v>
      </c>
      <c r="D9" s="28">
        <v>1585</v>
      </c>
      <c r="E9" s="28">
        <v>1311</v>
      </c>
      <c r="F9" s="28">
        <v>867</v>
      </c>
      <c r="G9" s="28">
        <v>256</v>
      </c>
      <c r="H9" s="28">
        <v>104</v>
      </c>
      <c r="I9" s="28">
        <v>144</v>
      </c>
      <c r="J9" s="28">
        <v>139</v>
      </c>
      <c r="K9" s="28">
        <v>183</v>
      </c>
      <c r="L9" s="28">
        <v>291</v>
      </c>
      <c r="M9" s="28">
        <v>675</v>
      </c>
      <c r="N9" s="28">
        <v>1105</v>
      </c>
      <c r="O9" s="29" t="s">
        <v>64</v>
      </c>
    </row>
    <row r="10" spans="1:61" s="19" customFormat="1" ht="18" customHeight="1">
      <c r="A10" s="26" t="s">
        <v>65</v>
      </c>
      <c r="B10" s="27">
        <f t="shared" ref="B10:B84" si="3">SUM(C10:N10)</f>
        <v>17308</v>
      </c>
      <c r="C10" s="28">
        <v>1556</v>
      </c>
      <c r="D10" s="28">
        <v>2649</v>
      </c>
      <c r="E10" s="28">
        <v>2671</v>
      </c>
      <c r="F10" s="28">
        <v>1738</v>
      </c>
      <c r="G10" s="28">
        <v>681</v>
      </c>
      <c r="H10" s="28">
        <v>425</v>
      </c>
      <c r="I10" s="28">
        <v>1386</v>
      </c>
      <c r="J10" s="28">
        <v>947</v>
      </c>
      <c r="K10" s="28">
        <v>674</v>
      </c>
      <c r="L10" s="28">
        <v>1310</v>
      </c>
      <c r="M10" s="28">
        <v>1740</v>
      </c>
      <c r="N10" s="28">
        <v>1531</v>
      </c>
      <c r="O10" s="29" t="s">
        <v>66</v>
      </c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</row>
    <row r="11" spans="1:61" s="19" customFormat="1" ht="18" customHeight="1">
      <c r="A11" s="30" t="s">
        <v>67</v>
      </c>
      <c r="B11" s="27">
        <f t="shared" si="3"/>
        <v>15224</v>
      </c>
      <c r="C11" s="28">
        <v>2689</v>
      </c>
      <c r="D11" s="28">
        <v>2772</v>
      </c>
      <c r="E11" s="28">
        <v>1851</v>
      </c>
      <c r="F11" s="28">
        <v>1035</v>
      </c>
      <c r="G11" s="28">
        <v>564</v>
      </c>
      <c r="H11" s="28">
        <v>662</v>
      </c>
      <c r="I11" s="28">
        <v>834</v>
      </c>
      <c r="J11" s="28">
        <v>746</v>
      </c>
      <c r="K11" s="28">
        <v>406</v>
      </c>
      <c r="L11" s="28">
        <v>1172</v>
      </c>
      <c r="M11" s="28">
        <v>866</v>
      </c>
      <c r="N11" s="28">
        <v>1627</v>
      </c>
      <c r="O11" s="29" t="s">
        <v>68</v>
      </c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</row>
    <row r="12" spans="1:61" s="19" customFormat="1" ht="18" customHeight="1">
      <c r="A12" s="26" t="s">
        <v>69</v>
      </c>
      <c r="B12" s="27">
        <f t="shared" si="3"/>
        <v>21430</v>
      </c>
      <c r="C12" s="28">
        <v>2008</v>
      </c>
      <c r="D12" s="28">
        <v>2551</v>
      </c>
      <c r="E12" s="28">
        <v>3158</v>
      </c>
      <c r="F12" s="28">
        <v>1275</v>
      </c>
      <c r="G12" s="28">
        <v>1036</v>
      </c>
      <c r="H12" s="28">
        <v>1094</v>
      </c>
      <c r="I12" s="28">
        <v>1414</v>
      </c>
      <c r="J12" s="28">
        <v>1323</v>
      </c>
      <c r="K12" s="28">
        <v>1098</v>
      </c>
      <c r="L12" s="28">
        <v>1514</v>
      </c>
      <c r="M12" s="28">
        <v>1836</v>
      </c>
      <c r="N12" s="28">
        <v>3123</v>
      </c>
      <c r="O12" s="29" t="s">
        <v>70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V12" s="23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</row>
    <row r="13" spans="1:61" s="19" customFormat="1" ht="18" customHeight="1">
      <c r="A13" s="26" t="s">
        <v>71</v>
      </c>
      <c r="B13" s="27">
        <f t="shared" si="3"/>
        <v>1560</v>
      </c>
      <c r="C13" s="28">
        <v>219</v>
      </c>
      <c r="D13" s="28">
        <v>217</v>
      </c>
      <c r="E13" s="28">
        <v>219</v>
      </c>
      <c r="F13" s="28">
        <v>110</v>
      </c>
      <c r="G13" s="28">
        <v>54</v>
      </c>
      <c r="H13" s="28">
        <v>45</v>
      </c>
      <c r="I13" s="28">
        <v>49</v>
      </c>
      <c r="J13" s="28">
        <v>26</v>
      </c>
      <c r="K13" s="28">
        <v>40</v>
      </c>
      <c r="L13" s="28">
        <v>141</v>
      </c>
      <c r="M13" s="28">
        <v>201</v>
      </c>
      <c r="N13" s="28">
        <v>239</v>
      </c>
      <c r="O13" s="29" t="s">
        <v>72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V13" s="23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</row>
    <row r="14" spans="1:61" s="19" customFormat="1" ht="18" customHeight="1">
      <c r="A14" s="26" t="s">
        <v>73</v>
      </c>
      <c r="B14" s="27">
        <f t="shared" si="3"/>
        <v>2551</v>
      </c>
      <c r="C14" s="28">
        <v>325</v>
      </c>
      <c r="D14" s="28">
        <v>503</v>
      </c>
      <c r="E14" s="28">
        <v>345</v>
      </c>
      <c r="F14" s="28">
        <v>243</v>
      </c>
      <c r="G14" s="28">
        <v>96</v>
      </c>
      <c r="H14" s="28">
        <v>63</v>
      </c>
      <c r="I14" s="28">
        <v>79</v>
      </c>
      <c r="J14" s="28">
        <v>76</v>
      </c>
      <c r="K14" s="28">
        <v>115</v>
      </c>
      <c r="L14" s="28">
        <v>171</v>
      </c>
      <c r="M14" s="28">
        <v>296</v>
      </c>
      <c r="N14" s="28">
        <v>239</v>
      </c>
      <c r="O14" s="29" t="s">
        <v>74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V14" s="23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</row>
    <row r="15" spans="1:61" s="19" customFormat="1" ht="18" customHeight="1">
      <c r="A15" s="26" t="s">
        <v>75</v>
      </c>
      <c r="B15" s="27">
        <f t="shared" si="3"/>
        <v>23590</v>
      </c>
      <c r="C15" s="28">
        <v>2807</v>
      </c>
      <c r="D15" s="28">
        <v>2906</v>
      </c>
      <c r="E15" s="28">
        <v>2213</v>
      </c>
      <c r="F15" s="28">
        <v>1444</v>
      </c>
      <c r="G15" s="28">
        <v>738</v>
      </c>
      <c r="H15" s="28">
        <v>1726</v>
      </c>
      <c r="I15" s="28">
        <v>1989</v>
      </c>
      <c r="J15" s="28">
        <v>901</v>
      </c>
      <c r="K15" s="28">
        <v>944</v>
      </c>
      <c r="L15" s="28">
        <v>1808</v>
      </c>
      <c r="M15" s="28">
        <v>3356</v>
      </c>
      <c r="N15" s="28">
        <v>2758</v>
      </c>
      <c r="O15" s="29" t="s">
        <v>76</v>
      </c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</row>
    <row r="16" spans="1:61" s="19" customFormat="1" ht="18" customHeight="1">
      <c r="A16" s="26" t="s">
        <v>77</v>
      </c>
      <c r="B16" s="27">
        <f t="shared" si="3"/>
        <v>11579</v>
      </c>
      <c r="C16" s="28">
        <v>1609</v>
      </c>
      <c r="D16" s="28">
        <v>1562</v>
      </c>
      <c r="E16" s="28">
        <v>1147</v>
      </c>
      <c r="F16" s="28">
        <v>1387</v>
      </c>
      <c r="G16" s="28">
        <v>417</v>
      </c>
      <c r="H16" s="28">
        <v>411</v>
      </c>
      <c r="I16" s="28">
        <v>389</v>
      </c>
      <c r="J16" s="28">
        <v>454</v>
      </c>
      <c r="K16" s="28">
        <v>386</v>
      </c>
      <c r="L16" s="28">
        <v>794</v>
      </c>
      <c r="M16" s="28">
        <v>1245</v>
      </c>
      <c r="N16" s="28">
        <v>1778</v>
      </c>
      <c r="O16" s="29" t="s">
        <v>78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</row>
    <row r="17" spans="1:61" s="19" customFormat="1" ht="18" customHeight="1">
      <c r="A17" s="26" t="s">
        <v>79</v>
      </c>
      <c r="B17" s="27">
        <f t="shared" si="3"/>
        <v>201954</v>
      </c>
      <c r="C17" s="28">
        <v>23341</v>
      </c>
      <c r="D17" s="28">
        <v>20082</v>
      </c>
      <c r="E17" s="28">
        <v>8806</v>
      </c>
      <c r="F17" s="28">
        <v>5384</v>
      </c>
      <c r="G17" s="28">
        <v>8885</v>
      </c>
      <c r="H17" s="28">
        <v>15327</v>
      </c>
      <c r="I17" s="28">
        <v>19585</v>
      </c>
      <c r="J17" s="28">
        <v>21793</v>
      </c>
      <c r="K17" s="28">
        <v>20341</v>
      </c>
      <c r="L17" s="28">
        <v>20639</v>
      </c>
      <c r="M17" s="28">
        <v>18149</v>
      </c>
      <c r="N17" s="28">
        <v>19622</v>
      </c>
      <c r="O17" s="29" t="s">
        <v>11</v>
      </c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</row>
    <row r="18" spans="1:61" s="19" customFormat="1" ht="18" customHeight="1">
      <c r="A18" s="26" t="s">
        <v>80</v>
      </c>
      <c r="B18" s="27">
        <f t="shared" si="3"/>
        <v>9170</v>
      </c>
      <c r="C18" s="28">
        <v>1045</v>
      </c>
      <c r="D18" s="28">
        <v>1539</v>
      </c>
      <c r="E18" s="28">
        <v>1296</v>
      </c>
      <c r="F18" s="28">
        <v>1103</v>
      </c>
      <c r="G18" s="28">
        <v>360</v>
      </c>
      <c r="H18" s="28">
        <v>262</v>
      </c>
      <c r="I18" s="28">
        <v>467</v>
      </c>
      <c r="J18" s="28">
        <v>404</v>
      </c>
      <c r="K18" s="28">
        <v>194</v>
      </c>
      <c r="L18" s="28">
        <v>644</v>
      </c>
      <c r="M18" s="28">
        <v>850</v>
      </c>
      <c r="N18" s="28">
        <v>1006</v>
      </c>
      <c r="O18" s="29" t="s">
        <v>12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</row>
    <row r="19" spans="1:61" s="19" customFormat="1" ht="18" customHeight="1">
      <c r="A19" s="26" t="s">
        <v>81</v>
      </c>
      <c r="B19" s="27">
        <f t="shared" si="3"/>
        <v>12947</v>
      </c>
      <c r="C19" s="28">
        <v>5352</v>
      </c>
      <c r="D19" s="28">
        <v>2564</v>
      </c>
      <c r="E19" s="28">
        <v>330</v>
      </c>
      <c r="F19" s="28">
        <v>321</v>
      </c>
      <c r="G19" s="28">
        <v>268</v>
      </c>
      <c r="H19" s="28">
        <v>266</v>
      </c>
      <c r="I19" s="28">
        <v>418</v>
      </c>
      <c r="J19" s="28">
        <v>341</v>
      </c>
      <c r="K19" s="28">
        <v>366</v>
      </c>
      <c r="L19" s="28">
        <v>628</v>
      </c>
      <c r="M19" s="28">
        <v>763</v>
      </c>
      <c r="N19" s="28">
        <v>1330</v>
      </c>
      <c r="O19" s="29" t="s">
        <v>82</v>
      </c>
    </row>
    <row r="20" spans="1:61" s="19" customFormat="1" ht="18" customHeight="1">
      <c r="A20" s="26" t="s">
        <v>83</v>
      </c>
      <c r="B20" s="27">
        <f t="shared" si="3"/>
        <v>10420</v>
      </c>
      <c r="C20" s="28">
        <v>1878</v>
      </c>
      <c r="D20" s="28">
        <v>1106</v>
      </c>
      <c r="E20" s="28">
        <v>1179</v>
      </c>
      <c r="F20" s="28">
        <v>499</v>
      </c>
      <c r="G20" s="28">
        <f>83+299</f>
        <v>382</v>
      </c>
      <c r="H20" s="28">
        <f>99+353</f>
        <v>452</v>
      </c>
      <c r="I20" s="28">
        <f>103+507</f>
        <v>610</v>
      </c>
      <c r="J20" s="28">
        <v>643</v>
      </c>
      <c r="K20" s="28">
        <v>594</v>
      </c>
      <c r="L20" s="28">
        <v>716</v>
      </c>
      <c r="M20" s="28">
        <v>883</v>
      </c>
      <c r="N20" s="28">
        <f>440+1038</f>
        <v>1478</v>
      </c>
      <c r="O20" s="29" t="s">
        <v>15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W20" s="19" t="s">
        <v>36</v>
      </c>
      <c r="AX20" s="19" t="s">
        <v>37</v>
      </c>
      <c r="AY20" s="19" t="s">
        <v>38</v>
      </c>
      <c r="AZ20" s="19" t="s">
        <v>39</v>
      </c>
      <c r="BA20" s="19" t="s">
        <v>34</v>
      </c>
      <c r="BB20" s="19" t="s">
        <v>40</v>
      </c>
      <c r="BC20" s="19" t="s">
        <v>41</v>
      </c>
      <c r="BD20" s="19" t="s">
        <v>42</v>
      </c>
      <c r="BE20" s="19" t="s">
        <v>43</v>
      </c>
      <c r="BF20" s="19" t="s">
        <v>44</v>
      </c>
      <c r="BG20" s="19" t="s">
        <v>45</v>
      </c>
      <c r="BH20" s="19" t="s">
        <v>46</v>
      </c>
    </row>
    <row r="21" spans="1:61" s="19" customFormat="1" ht="18" customHeight="1">
      <c r="A21" s="24" t="s">
        <v>49</v>
      </c>
      <c r="B21" s="27">
        <f t="shared" si="3"/>
        <v>220075</v>
      </c>
      <c r="C21" s="31">
        <f>SUM(C22:C28)</f>
        <v>17215</v>
      </c>
      <c r="D21" s="31">
        <f t="shared" ref="D21:N21" si="4">SUM(D22:D28)</f>
        <v>24821</v>
      </c>
      <c r="E21" s="31">
        <f t="shared" si="4"/>
        <v>22911</v>
      </c>
      <c r="F21" s="31">
        <f t="shared" si="4"/>
        <v>29193</v>
      </c>
      <c r="G21" s="31">
        <f t="shared" si="4"/>
        <v>14450</v>
      </c>
      <c r="H21" s="31">
        <f t="shared" si="4"/>
        <v>10419</v>
      </c>
      <c r="I21" s="31">
        <f t="shared" si="4"/>
        <v>17235</v>
      </c>
      <c r="J21" s="31">
        <f t="shared" si="4"/>
        <v>14183</v>
      </c>
      <c r="K21" s="31">
        <f t="shared" si="4"/>
        <v>10200</v>
      </c>
      <c r="L21" s="31">
        <f t="shared" si="4"/>
        <v>19696</v>
      </c>
      <c r="M21" s="31">
        <f t="shared" si="4"/>
        <v>18506</v>
      </c>
      <c r="N21" s="31">
        <f t="shared" si="4"/>
        <v>21246</v>
      </c>
      <c r="O21" s="32" t="s">
        <v>84</v>
      </c>
      <c r="AV21" s="19" t="s">
        <v>0</v>
      </c>
      <c r="AW21" s="20">
        <f>C5</f>
        <v>131765</v>
      </c>
      <c r="AX21" s="20">
        <f>D5</f>
        <v>149011</v>
      </c>
      <c r="AY21" s="20">
        <f>E5</f>
        <v>150748</v>
      </c>
      <c r="AZ21" s="20">
        <f>F5</f>
        <v>145282</v>
      </c>
      <c r="BA21" s="20">
        <f>G5</f>
        <v>125528</v>
      </c>
      <c r="BB21" s="20">
        <f>H5</f>
        <v>110885</v>
      </c>
      <c r="BC21" s="20">
        <f>I5</f>
        <v>133561</v>
      </c>
      <c r="BD21" s="20">
        <f>J5</f>
        <v>131863</v>
      </c>
      <c r="BE21" s="20">
        <f>K5</f>
        <v>111986</v>
      </c>
      <c r="BF21" s="20">
        <f>L5</f>
        <v>153737</v>
      </c>
      <c r="BG21" s="20">
        <f>M5</f>
        <v>146886</v>
      </c>
      <c r="BH21" s="20">
        <f>N5</f>
        <v>184051</v>
      </c>
      <c r="BI21" s="20">
        <f>SUM(AW21:BH21)</f>
        <v>1675303</v>
      </c>
    </row>
    <row r="22" spans="1:61" s="19" customFormat="1" ht="18" customHeight="1">
      <c r="A22" s="26" t="s">
        <v>85</v>
      </c>
      <c r="B22" s="27">
        <f t="shared" si="3"/>
        <v>13344</v>
      </c>
      <c r="C22" s="28">
        <v>1427</v>
      </c>
      <c r="D22" s="28">
        <v>2474</v>
      </c>
      <c r="E22" s="28">
        <v>1261</v>
      </c>
      <c r="F22" s="28">
        <v>1867</v>
      </c>
      <c r="G22" s="28">
        <v>526</v>
      </c>
      <c r="H22" s="28">
        <v>387</v>
      </c>
      <c r="I22" s="28">
        <v>1627</v>
      </c>
      <c r="J22" s="28">
        <v>290</v>
      </c>
      <c r="K22" s="28">
        <v>385</v>
      </c>
      <c r="L22" s="28">
        <v>1711</v>
      </c>
      <c r="M22" s="28">
        <v>740</v>
      </c>
      <c r="N22" s="28">
        <v>649</v>
      </c>
      <c r="O22" s="29" t="s">
        <v>86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V22" s="19" t="s">
        <v>2</v>
      </c>
      <c r="AW22" s="20">
        <f>C7+C21+C29+C38+C46</f>
        <v>100595</v>
      </c>
      <c r="AX22" s="20">
        <f>D7+D21+D29+D38+D46</f>
        <v>111373</v>
      </c>
      <c r="AY22" s="20">
        <f>E7+E21+E29+E38+E46</f>
        <v>93810</v>
      </c>
      <c r="AZ22" s="20">
        <f>F7+F21+F29+F38+F46</f>
        <v>97514</v>
      </c>
      <c r="BA22" s="20">
        <f>G7+G21+G29+G38+G46</f>
        <v>55012</v>
      </c>
      <c r="BB22" s="20">
        <f>H7+H21+H29+H38+H46</f>
        <v>55147</v>
      </c>
      <c r="BC22" s="20">
        <f>I7+I21+I29+I38+I46</f>
        <v>75778</v>
      </c>
      <c r="BD22" s="20">
        <f>J7+J21+J29+J38+J46</f>
        <v>81980</v>
      </c>
      <c r="BE22" s="20">
        <f>K7+K21+K29+K38+K46</f>
        <v>63577</v>
      </c>
      <c r="BF22" s="20">
        <f>L7+L21+L29+L38+L46</f>
        <v>92543</v>
      </c>
      <c r="BG22" s="20">
        <f>M7+M21+M29+M38+M46</f>
        <v>88056</v>
      </c>
      <c r="BH22" s="20">
        <f>N7+N21+N29+N38+N46</f>
        <v>107340</v>
      </c>
      <c r="BI22" s="20">
        <f>SUM(AW22:BH22)</f>
        <v>1022725</v>
      </c>
    </row>
    <row r="23" spans="1:61" s="19" customFormat="1" ht="18" customHeight="1">
      <c r="A23" s="26" t="s">
        <v>87</v>
      </c>
      <c r="B23" s="27">
        <f t="shared" si="3"/>
        <v>3126</v>
      </c>
      <c r="C23" s="28">
        <v>396</v>
      </c>
      <c r="D23" s="28">
        <v>401</v>
      </c>
      <c r="E23" s="28">
        <v>308</v>
      </c>
      <c r="F23" s="28">
        <v>260</v>
      </c>
      <c r="G23" s="28">
        <v>104</v>
      </c>
      <c r="H23" s="28">
        <v>118</v>
      </c>
      <c r="I23" s="28">
        <v>139</v>
      </c>
      <c r="J23" s="28">
        <v>104</v>
      </c>
      <c r="K23" s="28">
        <v>119</v>
      </c>
      <c r="L23" s="28">
        <v>350</v>
      </c>
      <c r="M23" s="28">
        <v>276</v>
      </c>
      <c r="N23" s="28">
        <v>551</v>
      </c>
      <c r="O23" s="29" t="s">
        <v>6</v>
      </c>
      <c r="AV23" s="19" t="s">
        <v>16</v>
      </c>
      <c r="AW23" s="20">
        <f>C50</f>
        <v>15575</v>
      </c>
      <c r="AX23" s="20">
        <f>D50</f>
        <v>19617</v>
      </c>
      <c r="AY23" s="20">
        <f>E50</f>
        <v>30383</v>
      </c>
      <c r="AZ23" s="20">
        <f>F50</f>
        <v>30811</v>
      </c>
      <c r="BA23" s="20">
        <f>G50</f>
        <v>44420</v>
      </c>
      <c r="BB23" s="20">
        <v>0</v>
      </c>
      <c r="BC23" s="20">
        <f>I50</f>
        <v>30844</v>
      </c>
      <c r="BD23" s="20">
        <f>J50</f>
        <v>30261</v>
      </c>
      <c r="BE23" s="20">
        <f>K50</f>
        <v>30505</v>
      </c>
      <c r="BF23" s="20">
        <f>L50</f>
        <v>40935</v>
      </c>
      <c r="BG23" s="20">
        <f>M50</f>
        <v>35959</v>
      </c>
      <c r="BH23" s="20">
        <f>N50</f>
        <v>51144</v>
      </c>
      <c r="BI23" s="20">
        <f>SUM(AW23:BH23)</f>
        <v>360454</v>
      </c>
    </row>
    <row r="24" spans="1:61" s="19" customFormat="1" ht="18" customHeight="1">
      <c r="A24" s="26" t="s">
        <v>88</v>
      </c>
      <c r="B24" s="27">
        <f t="shared" si="3"/>
        <v>6691</v>
      </c>
      <c r="C24" s="28">
        <v>424</v>
      </c>
      <c r="D24" s="28">
        <v>568</v>
      </c>
      <c r="E24" s="28">
        <v>600</v>
      </c>
      <c r="F24" s="28">
        <v>882</v>
      </c>
      <c r="G24" s="28">
        <v>495</v>
      </c>
      <c r="H24" s="28">
        <v>483</v>
      </c>
      <c r="I24" s="28">
        <v>561</v>
      </c>
      <c r="J24" s="28">
        <v>422</v>
      </c>
      <c r="K24" s="28">
        <v>337</v>
      </c>
      <c r="L24" s="28">
        <v>689</v>
      </c>
      <c r="M24" s="28">
        <v>609</v>
      </c>
      <c r="N24" s="28">
        <v>621</v>
      </c>
      <c r="O24" s="29" t="s">
        <v>89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V24" s="19" t="s">
        <v>90</v>
      </c>
      <c r="AW24" s="20">
        <f>AW21-AW22-AW23</f>
        <v>15595</v>
      </c>
      <c r="AX24" s="19">
        <f t="shared" ref="AX24:BH24" si="5">AX21-AX22-AX23</f>
        <v>18021</v>
      </c>
      <c r="AY24" s="19">
        <f t="shared" si="5"/>
        <v>26555</v>
      </c>
      <c r="AZ24" s="19">
        <f t="shared" si="5"/>
        <v>16957</v>
      </c>
      <c r="BA24" s="19">
        <f t="shared" si="5"/>
        <v>26096</v>
      </c>
      <c r="BB24" s="19">
        <f t="shared" si="5"/>
        <v>55738</v>
      </c>
      <c r="BC24" s="19">
        <f t="shared" si="5"/>
        <v>26939</v>
      </c>
      <c r="BD24" s="19">
        <f t="shared" si="5"/>
        <v>19622</v>
      </c>
      <c r="BE24" s="19">
        <f t="shared" si="5"/>
        <v>17904</v>
      </c>
      <c r="BF24" s="19">
        <f t="shared" si="5"/>
        <v>20259</v>
      </c>
      <c r="BG24" s="19">
        <f t="shared" si="5"/>
        <v>22871</v>
      </c>
      <c r="BH24" s="19">
        <f t="shared" si="5"/>
        <v>25567</v>
      </c>
      <c r="BI24" s="20">
        <f>SUM(AW24:BH24)</f>
        <v>292124</v>
      </c>
    </row>
    <row r="25" spans="1:61" s="19" customFormat="1" ht="18" customHeight="1">
      <c r="A25" s="26" t="s">
        <v>91</v>
      </c>
      <c r="B25" s="27">
        <f t="shared" si="3"/>
        <v>5336</v>
      </c>
      <c r="C25" s="28">
        <v>306</v>
      </c>
      <c r="D25" s="28">
        <v>1060</v>
      </c>
      <c r="E25" s="28">
        <v>344</v>
      </c>
      <c r="F25" s="28">
        <v>748</v>
      </c>
      <c r="G25" s="28">
        <v>174</v>
      </c>
      <c r="H25" s="28">
        <v>297</v>
      </c>
      <c r="I25" s="28">
        <v>844</v>
      </c>
      <c r="J25" s="28">
        <v>148</v>
      </c>
      <c r="K25" s="28">
        <v>174</v>
      </c>
      <c r="L25" s="28">
        <v>524</v>
      </c>
      <c r="M25" s="28">
        <v>302</v>
      </c>
      <c r="N25" s="28">
        <v>415</v>
      </c>
      <c r="O25" s="29" t="s">
        <v>92</v>
      </c>
      <c r="AV25" s="3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</row>
    <row r="26" spans="1:61" s="19" customFormat="1" ht="18" customHeight="1">
      <c r="A26" s="26" t="s">
        <v>93</v>
      </c>
      <c r="B26" s="27">
        <f t="shared" si="3"/>
        <v>12141</v>
      </c>
      <c r="C26" s="28">
        <v>1460</v>
      </c>
      <c r="D26" s="28">
        <v>2230</v>
      </c>
      <c r="E26" s="28">
        <v>1048</v>
      </c>
      <c r="F26" s="28">
        <v>1081</v>
      </c>
      <c r="G26" s="28">
        <v>340</v>
      </c>
      <c r="H26" s="28">
        <v>393</v>
      </c>
      <c r="I26" s="28">
        <v>539</v>
      </c>
      <c r="J26" s="28">
        <v>261</v>
      </c>
      <c r="K26" s="28">
        <v>328</v>
      </c>
      <c r="L26" s="28">
        <v>1595</v>
      </c>
      <c r="M26" s="28">
        <v>1031</v>
      </c>
      <c r="N26" s="28">
        <v>1835</v>
      </c>
      <c r="O26" s="29" t="s">
        <v>94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V26" s="3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</row>
    <row r="27" spans="1:61" s="19" customFormat="1" ht="18" customHeight="1">
      <c r="A27" s="26" t="s">
        <v>95</v>
      </c>
      <c r="B27" s="27">
        <f t="shared" si="3"/>
        <v>179309</v>
      </c>
      <c r="C27" s="28">
        <v>13184</v>
      </c>
      <c r="D27" s="28">
        <v>18071</v>
      </c>
      <c r="E27" s="28">
        <v>19330</v>
      </c>
      <c r="F27" s="28">
        <v>24347</v>
      </c>
      <c r="G27" s="28">
        <v>12808</v>
      </c>
      <c r="H27" s="28">
        <v>8728</v>
      </c>
      <c r="I27" s="28">
        <v>13519</v>
      </c>
      <c r="J27" s="28">
        <v>12956</v>
      </c>
      <c r="K27" s="28">
        <v>8853</v>
      </c>
      <c r="L27" s="28">
        <v>14815</v>
      </c>
      <c r="M27" s="28">
        <v>15534</v>
      </c>
      <c r="N27" s="28">
        <v>17164</v>
      </c>
      <c r="O27" s="29" t="s">
        <v>14</v>
      </c>
      <c r="AV27" s="20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</row>
    <row r="28" spans="1:61" s="19" customFormat="1" ht="18" customHeight="1">
      <c r="A28" s="26" t="s">
        <v>83</v>
      </c>
      <c r="B28" s="27">
        <f t="shared" si="3"/>
        <v>128</v>
      </c>
      <c r="C28" s="28">
        <v>18</v>
      </c>
      <c r="D28" s="28">
        <v>17</v>
      </c>
      <c r="E28" s="28">
        <v>20</v>
      </c>
      <c r="F28" s="28">
        <v>8</v>
      </c>
      <c r="G28" s="28">
        <v>3</v>
      </c>
      <c r="H28" s="28">
        <v>13</v>
      </c>
      <c r="I28" s="28">
        <v>6</v>
      </c>
      <c r="J28" s="28">
        <v>2</v>
      </c>
      <c r="K28" s="28">
        <v>4</v>
      </c>
      <c r="L28" s="28">
        <v>12</v>
      </c>
      <c r="M28" s="28">
        <v>14</v>
      </c>
      <c r="N28" s="28">
        <v>11</v>
      </c>
      <c r="O28" s="29" t="s">
        <v>15</v>
      </c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V28" s="23"/>
      <c r="AW28" s="4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</row>
    <row r="29" spans="1:61" s="19" customFormat="1" ht="18" customHeight="1">
      <c r="A29" s="24" t="s">
        <v>50</v>
      </c>
      <c r="B29" s="27">
        <f>SUM(C29:N29)</f>
        <v>175611</v>
      </c>
      <c r="C29" s="31">
        <f>SUM(C30:C37)</f>
        <v>14777</v>
      </c>
      <c r="D29" s="31">
        <f t="shared" ref="D29:N29" si="6">SUM(D30:D37)</f>
        <v>14872</v>
      </c>
      <c r="E29" s="31">
        <f t="shared" si="6"/>
        <v>15983</v>
      </c>
      <c r="F29" s="31">
        <f t="shared" si="6"/>
        <v>18504</v>
      </c>
      <c r="G29" s="31">
        <f t="shared" si="6"/>
        <v>8729</v>
      </c>
      <c r="H29" s="31">
        <f t="shared" si="6"/>
        <v>9648</v>
      </c>
      <c r="I29" s="31">
        <f t="shared" si="6"/>
        <v>12234</v>
      </c>
      <c r="J29" s="31">
        <f t="shared" si="6"/>
        <v>20694</v>
      </c>
      <c r="K29" s="31">
        <f t="shared" si="6"/>
        <v>11093</v>
      </c>
      <c r="L29" s="31">
        <f t="shared" si="6"/>
        <v>12682</v>
      </c>
      <c r="M29" s="31">
        <f t="shared" si="6"/>
        <v>13552</v>
      </c>
      <c r="N29" s="31">
        <f t="shared" si="6"/>
        <v>22843</v>
      </c>
      <c r="O29" s="32" t="s">
        <v>96</v>
      </c>
      <c r="AW29" s="4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</row>
    <row r="30" spans="1:61" s="19" customFormat="1" ht="18" customHeight="1">
      <c r="A30" s="26" t="s">
        <v>97</v>
      </c>
      <c r="B30" s="27">
        <f t="shared" si="3"/>
        <v>2895</v>
      </c>
      <c r="C30" s="31">
        <v>313</v>
      </c>
      <c r="D30" s="31">
        <v>385</v>
      </c>
      <c r="E30" s="31">
        <v>265</v>
      </c>
      <c r="F30" s="28">
        <v>266</v>
      </c>
      <c r="G30" s="28">
        <v>114</v>
      </c>
      <c r="H30" s="28">
        <v>125</v>
      </c>
      <c r="I30" s="31">
        <v>122</v>
      </c>
      <c r="J30" s="31">
        <v>244</v>
      </c>
      <c r="K30" s="31">
        <v>106</v>
      </c>
      <c r="L30" s="31">
        <v>177</v>
      </c>
      <c r="M30" s="31">
        <v>374</v>
      </c>
      <c r="N30" s="31">
        <v>404</v>
      </c>
      <c r="O30" s="40" t="s">
        <v>98</v>
      </c>
      <c r="AW30" s="4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</row>
    <row r="31" spans="1:61" s="19" customFormat="1" ht="18" customHeight="1">
      <c r="A31" s="26" t="s">
        <v>99</v>
      </c>
      <c r="B31" s="27">
        <f t="shared" si="3"/>
        <v>3406</v>
      </c>
      <c r="C31" s="28">
        <v>226</v>
      </c>
      <c r="D31" s="28">
        <v>225</v>
      </c>
      <c r="E31" s="28">
        <v>310</v>
      </c>
      <c r="F31" s="28">
        <v>436</v>
      </c>
      <c r="G31" s="28">
        <v>94</v>
      </c>
      <c r="H31" s="28">
        <v>106</v>
      </c>
      <c r="I31" s="28">
        <v>212</v>
      </c>
      <c r="J31" s="28">
        <v>421</v>
      </c>
      <c r="K31" s="28">
        <v>179</v>
      </c>
      <c r="L31" s="28">
        <v>285</v>
      </c>
      <c r="M31" s="28">
        <v>333</v>
      </c>
      <c r="N31" s="28">
        <v>579</v>
      </c>
      <c r="O31" s="29" t="s">
        <v>8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W31" s="4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</row>
    <row r="32" spans="1:61" s="19" customFormat="1" ht="18" customHeight="1">
      <c r="A32" s="26" t="s">
        <v>100</v>
      </c>
      <c r="B32" s="27">
        <f t="shared" si="3"/>
        <v>97627</v>
      </c>
      <c r="C32" s="28">
        <v>10293</v>
      </c>
      <c r="D32" s="28">
        <v>9262</v>
      </c>
      <c r="E32" s="28">
        <v>10481</v>
      </c>
      <c r="F32" s="28">
        <v>10843</v>
      </c>
      <c r="G32" s="28">
        <v>4329</v>
      </c>
      <c r="H32" s="28">
        <v>3872</v>
      </c>
      <c r="I32" s="28">
        <v>4705</v>
      </c>
      <c r="J32" s="28">
        <v>10356</v>
      </c>
      <c r="K32" s="28">
        <v>4675</v>
      </c>
      <c r="L32" s="28">
        <v>6063</v>
      </c>
      <c r="M32" s="28">
        <v>7495</v>
      </c>
      <c r="N32" s="28">
        <v>15253</v>
      </c>
      <c r="O32" s="29" t="s">
        <v>9</v>
      </c>
      <c r="AW32" s="4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</row>
    <row r="33" spans="1:49" s="19" customFormat="1" ht="18" customHeight="1">
      <c r="A33" s="26" t="s">
        <v>101</v>
      </c>
      <c r="B33" s="27">
        <f t="shared" si="3"/>
        <v>13377</v>
      </c>
      <c r="C33" s="28">
        <v>540</v>
      </c>
      <c r="D33" s="28">
        <v>816</v>
      </c>
      <c r="E33" s="28">
        <v>1121</v>
      </c>
      <c r="F33" s="28">
        <v>1531</v>
      </c>
      <c r="G33" s="28">
        <v>1047</v>
      </c>
      <c r="H33" s="28">
        <v>1430</v>
      </c>
      <c r="I33" s="28">
        <v>1341</v>
      </c>
      <c r="J33" s="28">
        <v>1628</v>
      </c>
      <c r="K33" s="28">
        <v>1199</v>
      </c>
      <c r="L33" s="28">
        <v>1077</v>
      </c>
      <c r="M33" s="28">
        <v>761</v>
      </c>
      <c r="N33" s="28">
        <v>886</v>
      </c>
      <c r="O33" s="29" t="s">
        <v>10</v>
      </c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W33" s="4"/>
    </row>
    <row r="34" spans="1:49" s="19" customFormat="1" ht="18" customHeight="1">
      <c r="A34" s="26" t="s">
        <v>102</v>
      </c>
      <c r="B34" s="27">
        <f t="shared" si="3"/>
        <v>5952</v>
      </c>
      <c r="C34" s="28">
        <v>623</v>
      </c>
      <c r="D34" s="28">
        <v>651</v>
      </c>
      <c r="E34" s="28">
        <v>532</v>
      </c>
      <c r="F34" s="28">
        <v>546</v>
      </c>
      <c r="G34" s="28">
        <v>316</v>
      </c>
      <c r="H34" s="28">
        <v>326</v>
      </c>
      <c r="I34" s="28">
        <v>466</v>
      </c>
      <c r="J34" s="28">
        <v>557</v>
      </c>
      <c r="K34" s="28">
        <v>428</v>
      </c>
      <c r="L34" s="28">
        <v>401</v>
      </c>
      <c r="M34" s="28">
        <v>531</v>
      </c>
      <c r="N34" s="28">
        <v>575</v>
      </c>
      <c r="O34" s="29" t="s">
        <v>103</v>
      </c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W34" s="4"/>
    </row>
    <row r="35" spans="1:49" s="19" customFormat="1" ht="18" customHeight="1">
      <c r="A35" s="26" t="s">
        <v>104</v>
      </c>
      <c r="B35" s="27">
        <f t="shared" si="3"/>
        <v>4373</v>
      </c>
      <c r="C35" s="28">
        <v>336</v>
      </c>
      <c r="D35" s="28">
        <v>799</v>
      </c>
      <c r="E35" s="28">
        <v>322</v>
      </c>
      <c r="F35" s="28">
        <v>524</v>
      </c>
      <c r="G35" s="28">
        <v>145</v>
      </c>
      <c r="H35" s="28">
        <v>141</v>
      </c>
      <c r="I35" s="28">
        <v>421</v>
      </c>
      <c r="J35" s="28">
        <v>226</v>
      </c>
      <c r="K35" s="28">
        <v>107</v>
      </c>
      <c r="L35" s="28">
        <v>444</v>
      </c>
      <c r="M35" s="28">
        <v>407</v>
      </c>
      <c r="N35" s="28">
        <v>501</v>
      </c>
      <c r="O35" s="29" t="s">
        <v>105</v>
      </c>
      <c r="AV35" s="20"/>
      <c r="AW35" s="4"/>
    </row>
    <row r="36" spans="1:49" s="19" customFormat="1" ht="18" customHeight="1">
      <c r="A36" s="26" t="s">
        <v>106</v>
      </c>
      <c r="B36" s="27">
        <f t="shared" si="3"/>
        <v>42123</v>
      </c>
      <c r="C36" s="28">
        <v>1944</v>
      </c>
      <c r="D36" s="28">
        <v>2184</v>
      </c>
      <c r="E36" s="28">
        <v>2351</v>
      </c>
      <c r="F36" s="28">
        <v>3875</v>
      </c>
      <c r="G36" s="28">
        <v>2233</v>
      </c>
      <c r="H36" s="28">
        <v>3370</v>
      </c>
      <c r="I36" s="28">
        <v>4604</v>
      </c>
      <c r="J36" s="28">
        <v>6803</v>
      </c>
      <c r="K36" s="28">
        <v>3960</v>
      </c>
      <c r="L36" s="28">
        <v>3661</v>
      </c>
      <c r="M36" s="28">
        <v>3153</v>
      </c>
      <c r="N36" s="28">
        <v>3985</v>
      </c>
      <c r="O36" s="29" t="s">
        <v>13</v>
      </c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V36" s="23"/>
      <c r="AW36" s="4"/>
    </row>
    <row r="37" spans="1:49" s="19" customFormat="1" ht="18" customHeight="1">
      <c r="A37" s="26" t="s">
        <v>83</v>
      </c>
      <c r="B37" s="27">
        <f t="shared" si="3"/>
        <v>5858</v>
      </c>
      <c r="C37" s="28">
        <v>502</v>
      </c>
      <c r="D37" s="28">
        <v>550</v>
      </c>
      <c r="E37" s="28">
        <v>601</v>
      </c>
      <c r="F37" s="28">
        <v>483</v>
      </c>
      <c r="G37" s="28">
        <v>451</v>
      </c>
      <c r="H37" s="28">
        <v>278</v>
      </c>
      <c r="I37" s="28">
        <v>363</v>
      </c>
      <c r="J37" s="28">
        <v>459</v>
      </c>
      <c r="K37" s="28">
        <v>439</v>
      </c>
      <c r="L37" s="28">
        <v>574</v>
      </c>
      <c r="M37" s="28">
        <v>498</v>
      </c>
      <c r="N37" s="28">
        <v>660</v>
      </c>
      <c r="O37" s="29" t="s">
        <v>15</v>
      </c>
      <c r="AW37" s="4"/>
    </row>
    <row r="38" spans="1:49" s="19" customFormat="1" ht="18" customHeight="1">
      <c r="A38" s="24" t="s">
        <v>51</v>
      </c>
      <c r="B38" s="27">
        <f t="shared" si="3"/>
        <v>259971</v>
      </c>
      <c r="C38" s="31">
        <f>SUM(C39:C45)</f>
        <v>22107</v>
      </c>
      <c r="D38" s="31">
        <f t="shared" ref="D38:N38" si="7">SUM(D39:D45)</f>
        <v>29256</v>
      </c>
      <c r="E38" s="31">
        <f t="shared" si="7"/>
        <v>27892</v>
      </c>
      <c r="F38" s="31">
        <f t="shared" si="7"/>
        <v>31120</v>
      </c>
      <c r="G38" s="31">
        <f t="shared" si="7"/>
        <v>16206</v>
      </c>
      <c r="H38" s="31">
        <f t="shared" si="7"/>
        <v>12371</v>
      </c>
      <c r="I38" s="31">
        <f t="shared" si="7"/>
        <v>16452</v>
      </c>
      <c r="J38" s="31">
        <f t="shared" si="7"/>
        <v>15928</v>
      </c>
      <c r="K38" s="31">
        <f t="shared" si="7"/>
        <v>13817</v>
      </c>
      <c r="L38" s="31">
        <f t="shared" si="7"/>
        <v>27246</v>
      </c>
      <c r="M38" s="31">
        <f t="shared" si="7"/>
        <v>22918</v>
      </c>
      <c r="N38" s="31">
        <f t="shared" si="7"/>
        <v>24658</v>
      </c>
      <c r="O38" s="32" t="s">
        <v>107</v>
      </c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W38" s="4"/>
    </row>
    <row r="39" spans="1:49" s="19" customFormat="1" ht="18" customHeight="1">
      <c r="A39" s="26" t="s">
        <v>108</v>
      </c>
      <c r="B39" s="27">
        <f t="shared" si="3"/>
        <v>25056</v>
      </c>
      <c r="C39" s="28">
        <v>2925</v>
      </c>
      <c r="D39" s="28">
        <v>3341</v>
      </c>
      <c r="E39" s="28">
        <v>2833</v>
      </c>
      <c r="F39" s="28">
        <v>2552</v>
      </c>
      <c r="G39" s="28">
        <v>1183</v>
      </c>
      <c r="H39" s="28">
        <v>738</v>
      </c>
      <c r="I39" s="28">
        <v>1684</v>
      </c>
      <c r="J39" s="28">
        <v>1338</v>
      </c>
      <c r="K39" s="28">
        <v>907</v>
      </c>
      <c r="L39" s="28">
        <v>2435</v>
      </c>
      <c r="M39" s="28">
        <v>2304</v>
      </c>
      <c r="N39" s="28">
        <v>2816</v>
      </c>
      <c r="O39" s="29" t="s">
        <v>4</v>
      </c>
    </row>
    <row r="40" spans="1:49" s="19" customFormat="1" ht="18" customHeight="1">
      <c r="A40" s="26" t="s">
        <v>109</v>
      </c>
      <c r="B40" s="27">
        <f t="shared" si="3"/>
        <v>6745</v>
      </c>
      <c r="C40" s="28">
        <v>606</v>
      </c>
      <c r="D40" s="28">
        <v>865</v>
      </c>
      <c r="E40" s="28">
        <v>820</v>
      </c>
      <c r="F40" s="28">
        <v>795</v>
      </c>
      <c r="G40" s="28">
        <v>423</v>
      </c>
      <c r="H40" s="28">
        <v>230</v>
      </c>
      <c r="I40" s="28">
        <v>543</v>
      </c>
      <c r="J40" s="28">
        <v>330</v>
      </c>
      <c r="K40" s="28">
        <v>317</v>
      </c>
      <c r="L40" s="28">
        <v>607</v>
      </c>
      <c r="M40" s="28">
        <v>546</v>
      </c>
      <c r="N40" s="28">
        <v>663</v>
      </c>
      <c r="O40" s="29" t="s">
        <v>5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</row>
    <row r="41" spans="1:49" s="19" customFormat="1" ht="18" customHeight="1">
      <c r="A41" s="26" t="s">
        <v>110</v>
      </c>
      <c r="B41" s="27">
        <f t="shared" si="3"/>
        <v>48341</v>
      </c>
      <c r="C41" s="28">
        <v>5158</v>
      </c>
      <c r="D41" s="28">
        <v>8930</v>
      </c>
      <c r="E41" s="28">
        <v>6541</v>
      </c>
      <c r="F41" s="28">
        <v>5246</v>
      </c>
      <c r="G41" s="28">
        <v>2580</v>
      </c>
      <c r="H41" s="28">
        <v>1380</v>
      </c>
      <c r="I41" s="28">
        <v>2041</v>
      </c>
      <c r="J41" s="28">
        <v>2478</v>
      </c>
      <c r="K41" s="28">
        <v>1507</v>
      </c>
      <c r="L41" s="28">
        <v>3137</v>
      </c>
      <c r="M41" s="28">
        <v>3290</v>
      </c>
      <c r="N41" s="28">
        <v>6053</v>
      </c>
      <c r="O41" s="29" t="s">
        <v>7</v>
      </c>
    </row>
    <row r="42" spans="1:49" s="19" customFormat="1" ht="18" customHeight="1">
      <c r="A42" s="26" t="s">
        <v>111</v>
      </c>
      <c r="B42" s="27">
        <f t="shared" si="3"/>
        <v>133432</v>
      </c>
      <c r="C42" s="28">
        <v>10019</v>
      </c>
      <c r="D42" s="28">
        <v>11276</v>
      </c>
      <c r="E42" s="28">
        <v>13580</v>
      </c>
      <c r="F42" s="28">
        <v>15366</v>
      </c>
      <c r="G42" s="28">
        <v>9151</v>
      </c>
      <c r="H42" s="28">
        <v>8418</v>
      </c>
      <c r="I42" s="28">
        <v>8415</v>
      </c>
      <c r="J42" s="28">
        <v>9473</v>
      </c>
      <c r="K42" s="28">
        <v>8679</v>
      </c>
      <c r="L42" s="28">
        <v>15572</v>
      </c>
      <c r="M42" s="28">
        <v>12499</v>
      </c>
      <c r="N42" s="28">
        <v>10984</v>
      </c>
      <c r="O42" s="29" t="s">
        <v>112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</row>
    <row r="43" spans="1:49" s="19" customFormat="1" ht="18" customHeight="1">
      <c r="A43" s="30" t="s">
        <v>113</v>
      </c>
      <c r="B43" s="27">
        <f t="shared" si="3"/>
        <v>10452</v>
      </c>
      <c r="C43" s="28">
        <v>695</v>
      </c>
      <c r="D43" s="28">
        <v>781</v>
      </c>
      <c r="E43" s="28">
        <v>819</v>
      </c>
      <c r="F43" s="28">
        <v>1046</v>
      </c>
      <c r="G43" s="28">
        <v>868</v>
      </c>
      <c r="H43" s="28">
        <v>679</v>
      </c>
      <c r="I43" s="28">
        <v>1093</v>
      </c>
      <c r="J43" s="28">
        <v>1083</v>
      </c>
      <c r="K43" s="28">
        <v>728</v>
      </c>
      <c r="L43" s="28">
        <v>954</v>
      </c>
      <c r="M43" s="28">
        <v>760</v>
      </c>
      <c r="N43" s="28">
        <v>946</v>
      </c>
      <c r="O43" s="29" t="s">
        <v>114</v>
      </c>
    </row>
    <row r="44" spans="1:49" s="19" customFormat="1" ht="18" customHeight="1">
      <c r="A44" s="26" t="s">
        <v>115</v>
      </c>
      <c r="B44" s="27">
        <f t="shared" si="3"/>
        <v>34614</v>
      </c>
      <c r="C44" s="28">
        <v>2631</v>
      </c>
      <c r="D44" s="28">
        <v>3940</v>
      </c>
      <c r="E44" s="28">
        <v>3201</v>
      </c>
      <c r="F44" s="28">
        <v>5834</v>
      </c>
      <c r="G44" s="28">
        <v>1922</v>
      </c>
      <c r="H44" s="28">
        <v>898</v>
      </c>
      <c r="I44" s="28">
        <v>2584</v>
      </c>
      <c r="J44" s="28">
        <v>1086</v>
      </c>
      <c r="K44" s="28">
        <v>1650</v>
      </c>
      <c r="L44" s="28">
        <v>4433</v>
      </c>
      <c r="M44" s="28">
        <v>3414</v>
      </c>
      <c r="N44" s="28">
        <v>3021</v>
      </c>
      <c r="O44" s="29" t="s">
        <v>116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T44" s="19" t="s">
        <v>117</v>
      </c>
    </row>
    <row r="45" spans="1:49" s="19" customFormat="1" ht="18" customHeight="1">
      <c r="A45" s="26" t="s">
        <v>83</v>
      </c>
      <c r="B45" s="27">
        <f t="shared" si="3"/>
        <v>1331</v>
      </c>
      <c r="C45" s="28">
        <v>73</v>
      </c>
      <c r="D45" s="28">
        <v>123</v>
      </c>
      <c r="E45" s="28">
        <v>98</v>
      </c>
      <c r="F45" s="28">
        <v>281</v>
      </c>
      <c r="G45" s="28">
        <v>79</v>
      </c>
      <c r="H45" s="28">
        <v>28</v>
      </c>
      <c r="I45" s="28">
        <v>92</v>
      </c>
      <c r="J45" s="28">
        <v>140</v>
      </c>
      <c r="K45" s="28">
        <v>29</v>
      </c>
      <c r="L45" s="28">
        <v>108</v>
      </c>
      <c r="M45" s="28">
        <v>105</v>
      </c>
      <c r="N45" s="28">
        <v>175</v>
      </c>
      <c r="O45" s="29" t="s">
        <v>15</v>
      </c>
    </row>
    <row r="46" spans="1:49" s="19" customFormat="1" ht="23.25" customHeight="1">
      <c r="A46" s="33" t="s">
        <v>52</v>
      </c>
      <c r="B46" s="27">
        <f t="shared" si="3"/>
        <v>27450</v>
      </c>
      <c r="C46" s="31">
        <f>SUM(C47:C49)</f>
        <v>1933</v>
      </c>
      <c r="D46" s="31">
        <f t="shared" ref="D46:N46" si="8">SUM(D47:D49)</f>
        <v>1901</v>
      </c>
      <c r="E46" s="31">
        <f t="shared" si="8"/>
        <v>2249</v>
      </c>
      <c r="F46" s="31">
        <f t="shared" si="8"/>
        <v>3137</v>
      </c>
      <c r="G46" s="31">
        <f t="shared" si="8"/>
        <v>1704</v>
      </c>
      <c r="H46" s="31">
        <f t="shared" si="8"/>
        <v>1664</v>
      </c>
      <c r="I46" s="31">
        <f t="shared" si="8"/>
        <v>2199</v>
      </c>
      <c r="J46" s="31">
        <f t="shared" si="8"/>
        <v>3060</v>
      </c>
      <c r="K46" s="31">
        <f t="shared" si="8"/>
        <v>2797</v>
      </c>
      <c r="L46" s="31">
        <f t="shared" si="8"/>
        <v>2748</v>
      </c>
      <c r="M46" s="31">
        <f t="shared" si="8"/>
        <v>1810</v>
      </c>
      <c r="N46" s="31">
        <f t="shared" si="8"/>
        <v>2248</v>
      </c>
      <c r="O46" s="32" t="s">
        <v>118</v>
      </c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</row>
    <row r="47" spans="1:49" s="19" customFormat="1" ht="18" customHeight="1">
      <c r="A47" s="30" t="s">
        <v>119</v>
      </c>
      <c r="B47" s="27">
        <f t="shared" si="3"/>
        <v>15748</v>
      </c>
      <c r="C47" s="28">
        <v>657</v>
      </c>
      <c r="D47" s="28">
        <v>851</v>
      </c>
      <c r="E47" s="28">
        <v>1177</v>
      </c>
      <c r="F47" s="28">
        <v>2278</v>
      </c>
      <c r="G47" s="28">
        <v>789</v>
      </c>
      <c r="H47" s="28">
        <v>784</v>
      </c>
      <c r="I47" s="28">
        <v>1248</v>
      </c>
      <c r="J47" s="28">
        <v>2192</v>
      </c>
      <c r="K47" s="28">
        <v>1951</v>
      </c>
      <c r="L47" s="28">
        <v>1969</v>
      </c>
      <c r="M47" s="28">
        <v>807</v>
      </c>
      <c r="N47" s="28">
        <v>1045</v>
      </c>
      <c r="O47" s="29" t="s">
        <v>120</v>
      </c>
    </row>
    <row r="48" spans="1:49" s="19" customFormat="1" ht="18" customHeight="1">
      <c r="A48" s="26" t="s">
        <v>121</v>
      </c>
      <c r="B48" s="27">
        <f t="shared" si="3"/>
        <v>10502</v>
      </c>
      <c r="C48" s="28">
        <v>1199</v>
      </c>
      <c r="D48" s="28">
        <v>940</v>
      </c>
      <c r="E48" s="28">
        <v>976</v>
      </c>
      <c r="F48" s="28">
        <v>660</v>
      </c>
      <c r="G48" s="28">
        <v>876</v>
      </c>
      <c r="H48" s="28">
        <v>845</v>
      </c>
      <c r="I48" s="28">
        <v>878</v>
      </c>
      <c r="J48" s="28">
        <v>703</v>
      </c>
      <c r="K48" s="28">
        <v>819</v>
      </c>
      <c r="L48" s="28">
        <v>692</v>
      </c>
      <c r="M48" s="28">
        <v>932</v>
      </c>
      <c r="N48" s="28">
        <v>982</v>
      </c>
      <c r="O48" s="29" t="s">
        <v>122</v>
      </c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</row>
    <row r="49" spans="1:43" s="19" customFormat="1" ht="18" customHeight="1">
      <c r="A49" s="34" t="s">
        <v>83</v>
      </c>
      <c r="B49" s="35">
        <f t="shared" si="3"/>
        <v>1200</v>
      </c>
      <c r="C49" s="36">
        <v>77</v>
      </c>
      <c r="D49" s="36">
        <v>110</v>
      </c>
      <c r="E49" s="36">
        <v>96</v>
      </c>
      <c r="F49" s="36">
        <v>199</v>
      </c>
      <c r="G49" s="36">
        <v>39</v>
      </c>
      <c r="H49" s="36">
        <v>35</v>
      </c>
      <c r="I49" s="36">
        <v>73</v>
      </c>
      <c r="J49" s="36">
        <v>165</v>
      </c>
      <c r="K49" s="36">
        <v>27</v>
      </c>
      <c r="L49" s="36">
        <v>87</v>
      </c>
      <c r="M49" s="36">
        <v>71</v>
      </c>
      <c r="N49" s="36">
        <v>221</v>
      </c>
      <c r="O49" s="37" t="s">
        <v>15</v>
      </c>
    </row>
    <row r="50" spans="1:43" s="19" customFormat="1" ht="23.25" customHeight="1">
      <c r="A50" s="21" t="s">
        <v>16</v>
      </c>
      <c r="B50" s="4">
        <f t="shared" si="3"/>
        <v>396261</v>
      </c>
      <c r="C50" s="4">
        <f>C51+C57+C66</f>
        <v>15575</v>
      </c>
      <c r="D50" s="4">
        <f t="shared" ref="D50:N50" si="9">D51+D57+D66</f>
        <v>19617</v>
      </c>
      <c r="E50" s="4">
        <f t="shared" si="9"/>
        <v>30383</v>
      </c>
      <c r="F50" s="4">
        <f t="shared" si="9"/>
        <v>30811</v>
      </c>
      <c r="G50" s="4">
        <f t="shared" si="9"/>
        <v>44420</v>
      </c>
      <c r="H50" s="4">
        <f t="shared" si="9"/>
        <v>35807</v>
      </c>
      <c r="I50" s="4">
        <f t="shared" si="9"/>
        <v>30844</v>
      </c>
      <c r="J50" s="4">
        <f t="shared" si="9"/>
        <v>30261</v>
      </c>
      <c r="K50" s="4">
        <f t="shared" si="9"/>
        <v>30505</v>
      </c>
      <c r="L50" s="4">
        <f t="shared" si="9"/>
        <v>40935</v>
      </c>
      <c r="M50" s="4">
        <f t="shared" si="9"/>
        <v>35959</v>
      </c>
      <c r="N50" s="4">
        <f t="shared" si="9"/>
        <v>51144</v>
      </c>
      <c r="O50" s="22" t="s">
        <v>17</v>
      </c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</row>
    <row r="51" spans="1:43" s="19" customFormat="1" ht="18" customHeight="1">
      <c r="A51" s="24" t="s">
        <v>53</v>
      </c>
      <c r="B51" s="27">
        <f t="shared" si="3"/>
        <v>60067</v>
      </c>
      <c r="C51" s="31">
        <f>SUM(C52:C56)</f>
        <v>1659</v>
      </c>
      <c r="D51" s="31">
        <f>SUM(D52:D56)</f>
        <v>1226</v>
      </c>
      <c r="E51" s="31">
        <f>SUM(E52:E56)</f>
        <v>1964</v>
      </c>
      <c r="F51" s="31">
        <f t="shared" ref="F51:N51" si="10">SUM(F52:F56)</f>
        <v>3796</v>
      </c>
      <c r="G51" s="31">
        <f t="shared" si="10"/>
        <v>5239</v>
      </c>
      <c r="H51" s="31">
        <f t="shared" si="10"/>
        <v>4983</v>
      </c>
      <c r="I51" s="31">
        <f t="shared" si="10"/>
        <v>5316</v>
      </c>
      <c r="J51" s="31">
        <f t="shared" si="10"/>
        <v>5324</v>
      </c>
      <c r="K51" s="31">
        <f t="shared" si="10"/>
        <v>6061</v>
      </c>
      <c r="L51" s="31">
        <f t="shared" si="10"/>
        <v>8435</v>
      </c>
      <c r="M51" s="31">
        <f t="shared" si="10"/>
        <v>7565</v>
      </c>
      <c r="N51" s="31">
        <f t="shared" si="10"/>
        <v>8499</v>
      </c>
      <c r="O51" s="38" t="s">
        <v>123</v>
      </c>
    </row>
    <row r="52" spans="1:43" s="19" customFormat="1" ht="18" customHeight="1">
      <c r="A52" s="26" t="s">
        <v>124</v>
      </c>
      <c r="B52" s="27">
        <f t="shared" si="3"/>
        <v>12764</v>
      </c>
      <c r="C52" s="28">
        <v>314</v>
      </c>
      <c r="D52" s="28">
        <v>299</v>
      </c>
      <c r="E52" s="28">
        <v>399</v>
      </c>
      <c r="F52" s="28">
        <v>770</v>
      </c>
      <c r="G52" s="28">
        <v>815</v>
      </c>
      <c r="H52" s="28">
        <v>1164</v>
      </c>
      <c r="I52" s="28">
        <v>1544</v>
      </c>
      <c r="J52" s="28">
        <v>1605</v>
      </c>
      <c r="K52" s="28">
        <v>1054</v>
      </c>
      <c r="L52" s="28">
        <v>1157</v>
      </c>
      <c r="M52" s="28">
        <v>1175</v>
      </c>
      <c r="N52" s="28">
        <v>2468</v>
      </c>
      <c r="O52" s="29" t="s">
        <v>18</v>
      </c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</row>
    <row r="53" spans="1:43" s="19" customFormat="1" ht="18" customHeight="1">
      <c r="A53" s="26" t="s">
        <v>125</v>
      </c>
      <c r="B53" s="27">
        <f t="shared" si="3"/>
        <v>8543</v>
      </c>
      <c r="C53" s="28">
        <v>114</v>
      </c>
      <c r="D53" s="28">
        <v>119</v>
      </c>
      <c r="E53" s="28">
        <v>243</v>
      </c>
      <c r="F53" s="28">
        <v>501</v>
      </c>
      <c r="G53" s="28">
        <v>313</v>
      </c>
      <c r="H53" s="28">
        <v>409</v>
      </c>
      <c r="I53" s="28">
        <v>758</v>
      </c>
      <c r="J53" s="28">
        <v>1317</v>
      </c>
      <c r="K53" s="28">
        <v>914</v>
      </c>
      <c r="L53" s="28">
        <v>1103</v>
      </c>
      <c r="M53" s="28">
        <v>912</v>
      </c>
      <c r="N53" s="28">
        <v>1840</v>
      </c>
      <c r="O53" s="29" t="s">
        <v>21</v>
      </c>
    </row>
    <row r="54" spans="1:43" s="19" customFormat="1" ht="18" customHeight="1">
      <c r="A54" s="26" t="s">
        <v>126</v>
      </c>
      <c r="B54" s="27">
        <f t="shared" si="3"/>
        <v>35948</v>
      </c>
      <c r="C54" s="28">
        <v>990</v>
      </c>
      <c r="D54" s="28">
        <v>633</v>
      </c>
      <c r="E54" s="28">
        <v>1270</v>
      </c>
      <c r="F54" s="28">
        <v>2515</v>
      </c>
      <c r="G54" s="28">
        <v>4105</v>
      </c>
      <c r="H54" s="28">
        <v>3406</v>
      </c>
      <c r="I54" s="28">
        <v>2744</v>
      </c>
      <c r="J54" s="28">
        <v>2398</v>
      </c>
      <c r="K54" s="28">
        <v>3634</v>
      </c>
      <c r="L54" s="28">
        <v>5654</v>
      </c>
      <c r="M54" s="28">
        <v>4906</v>
      </c>
      <c r="N54" s="28">
        <v>3693</v>
      </c>
      <c r="O54" s="29" t="s">
        <v>22</v>
      </c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</row>
    <row r="55" spans="1:43" s="19" customFormat="1" ht="18" customHeight="1">
      <c r="A55" s="26" t="s">
        <v>127</v>
      </c>
      <c r="B55" s="27">
        <f t="shared" si="3"/>
        <v>2259</v>
      </c>
      <c r="C55" s="28">
        <v>0</v>
      </c>
      <c r="D55" s="28">
        <v>0</v>
      </c>
      <c r="E55" s="28">
        <v>40</v>
      </c>
      <c r="F55" s="28">
        <v>0</v>
      </c>
      <c r="G55" s="28">
        <v>0</v>
      </c>
      <c r="H55" s="28">
        <v>0</v>
      </c>
      <c r="I55" s="28">
        <v>243</v>
      </c>
      <c r="J55" s="28">
        <v>0</v>
      </c>
      <c r="K55" s="28">
        <v>441</v>
      </c>
      <c r="L55" s="28">
        <v>518</v>
      </c>
      <c r="M55" s="28">
        <v>535</v>
      </c>
      <c r="N55" s="28">
        <v>482</v>
      </c>
      <c r="O55" s="29" t="s">
        <v>25</v>
      </c>
    </row>
    <row r="56" spans="1:43" s="19" customFormat="1" ht="18" customHeight="1">
      <c r="A56" s="26" t="s">
        <v>83</v>
      </c>
      <c r="B56" s="27">
        <f t="shared" si="3"/>
        <v>553</v>
      </c>
      <c r="C56" s="28">
        <v>241</v>
      </c>
      <c r="D56" s="28">
        <v>175</v>
      </c>
      <c r="E56" s="28">
        <v>12</v>
      </c>
      <c r="F56" s="28">
        <v>10</v>
      </c>
      <c r="G56" s="28">
        <v>6</v>
      </c>
      <c r="H56" s="28">
        <v>4</v>
      </c>
      <c r="I56" s="28">
        <v>27</v>
      </c>
      <c r="J56" s="28">
        <v>4</v>
      </c>
      <c r="K56" s="28">
        <v>18</v>
      </c>
      <c r="L56" s="28">
        <v>3</v>
      </c>
      <c r="M56" s="28">
        <v>37</v>
      </c>
      <c r="N56" s="28">
        <v>16</v>
      </c>
      <c r="O56" s="29" t="s">
        <v>15</v>
      </c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</row>
    <row r="57" spans="1:43" s="19" customFormat="1" ht="18" customHeight="1">
      <c r="A57" s="24" t="s">
        <v>54</v>
      </c>
      <c r="B57" s="27">
        <f t="shared" si="3"/>
        <v>51927</v>
      </c>
      <c r="C57" s="31">
        <f>SUM(C58:C65)</f>
        <v>755</v>
      </c>
      <c r="D57" s="31">
        <f t="shared" ref="D57:N57" si="11">SUM(D58:D65)</f>
        <v>1079</v>
      </c>
      <c r="E57" s="31">
        <f>SUM(E58:E65)</f>
        <v>2161</v>
      </c>
      <c r="F57" s="31">
        <f t="shared" si="11"/>
        <v>3469</v>
      </c>
      <c r="G57" s="31">
        <f t="shared" si="11"/>
        <v>5079</v>
      </c>
      <c r="H57" s="31">
        <f t="shared" si="11"/>
        <v>5864</v>
      </c>
      <c r="I57" s="31">
        <f t="shared" si="11"/>
        <v>5208</v>
      </c>
      <c r="J57" s="31">
        <f t="shared" si="11"/>
        <v>4524</v>
      </c>
      <c r="K57" s="31">
        <f t="shared" si="11"/>
        <v>5371</v>
      </c>
      <c r="L57" s="31">
        <f t="shared" si="11"/>
        <v>6397</v>
      </c>
      <c r="M57" s="31">
        <f t="shared" si="11"/>
        <v>5527</v>
      </c>
      <c r="N57" s="31">
        <f t="shared" si="11"/>
        <v>6493</v>
      </c>
      <c r="O57" s="38" t="s">
        <v>128</v>
      </c>
    </row>
    <row r="58" spans="1:43" s="19" customFormat="1" ht="18" customHeight="1">
      <c r="A58" s="26" t="s">
        <v>129</v>
      </c>
      <c r="B58" s="27">
        <f t="shared" si="3"/>
        <v>1958</v>
      </c>
      <c r="C58" s="28">
        <v>64</v>
      </c>
      <c r="D58" s="28">
        <v>65</v>
      </c>
      <c r="E58" s="28">
        <v>115</v>
      </c>
      <c r="F58" s="28">
        <v>122</v>
      </c>
      <c r="G58" s="28">
        <v>252</v>
      </c>
      <c r="H58" s="28">
        <v>215</v>
      </c>
      <c r="I58" s="28">
        <v>171</v>
      </c>
      <c r="J58" s="28">
        <v>161</v>
      </c>
      <c r="K58" s="28">
        <v>175</v>
      </c>
      <c r="L58" s="28">
        <v>187</v>
      </c>
      <c r="M58" s="28">
        <v>250</v>
      </c>
      <c r="N58" s="28">
        <v>181</v>
      </c>
      <c r="O58" s="29" t="s">
        <v>20</v>
      </c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</row>
    <row r="59" spans="1:43" s="19" customFormat="1" ht="18" customHeight="1">
      <c r="A59" s="26" t="s">
        <v>130</v>
      </c>
      <c r="B59" s="27">
        <f t="shared" si="3"/>
        <v>8479</v>
      </c>
      <c r="C59" s="28">
        <v>114</v>
      </c>
      <c r="D59" s="28">
        <v>229</v>
      </c>
      <c r="E59" s="28">
        <v>239</v>
      </c>
      <c r="F59" s="28">
        <v>361</v>
      </c>
      <c r="G59" s="28">
        <v>675</v>
      </c>
      <c r="H59" s="28">
        <v>772</v>
      </c>
      <c r="I59" s="28">
        <v>760</v>
      </c>
      <c r="J59" s="28">
        <v>841</v>
      </c>
      <c r="K59" s="28">
        <v>1193</v>
      </c>
      <c r="L59" s="28">
        <v>1058</v>
      </c>
      <c r="M59" s="28">
        <v>962</v>
      </c>
      <c r="N59" s="28">
        <v>1275</v>
      </c>
      <c r="O59" s="29" t="s">
        <v>23</v>
      </c>
    </row>
    <row r="60" spans="1:43" s="19" customFormat="1" ht="18" customHeight="1">
      <c r="A60" s="26" t="s">
        <v>131</v>
      </c>
      <c r="B60" s="27">
        <f t="shared" si="3"/>
        <v>517</v>
      </c>
      <c r="C60" s="28">
        <v>4</v>
      </c>
      <c r="D60" s="28">
        <v>10</v>
      </c>
      <c r="E60" s="28">
        <v>5</v>
      </c>
      <c r="F60" s="28">
        <v>36</v>
      </c>
      <c r="G60" s="28">
        <v>39</v>
      </c>
      <c r="H60" s="28">
        <v>133</v>
      </c>
      <c r="I60" s="28">
        <v>59</v>
      </c>
      <c r="J60" s="28">
        <v>51</v>
      </c>
      <c r="K60" s="28">
        <v>25</v>
      </c>
      <c r="L60" s="28">
        <v>30</v>
      </c>
      <c r="M60" s="28">
        <v>58</v>
      </c>
      <c r="N60" s="28">
        <v>67</v>
      </c>
      <c r="O60" s="29" t="s">
        <v>132</v>
      </c>
    </row>
    <row r="61" spans="1:43" s="19" customFormat="1" ht="18" customHeight="1">
      <c r="A61" s="26" t="s">
        <v>133</v>
      </c>
      <c r="B61" s="27">
        <f t="shared" si="3"/>
        <v>5699</v>
      </c>
      <c r="C61" s="28">
        <v>184</v>
      </c>
      <c r="D61" s="28">
        <v>271</v>
      </c>
      <c r="E61" s="28">
        <v>488</v>
      </c>
      <c r="F61" s="28">
        <v>579</v>
      </c>
      <c r="G61" s="28">
        <v>793</v>
      </c>
      <c r="H61" s="28">
        <v>404</v>
      </c>
      <c r="I61" s="28">
        <v>628</v>
      </c>
      <c r="J61" s="28">
        <v>445</v>
      </c>
      <c r="K61" s="28">
        <v>316</v>
      </c>
      <c r="L61" s="28">
        <v>535</v>
      </c>
      <c r="M61" s="28">
        <v>462</v>
      </c>
      <c r="N61" s="28">
        <v>594</v>
      </c>
      <c r="O61" s="29" t="s">
        <v>134</v>
      </c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</row>
    <row r="62" spans="1:43" s="19" customFormat="1" ht="18" customHeight="1">
      <c r="A62" s="26" t="s">
        <v>135</v>
      </c>
      <c r="B62" s="27">
        <f t="shared" si="3"/>
        <v>15939</v>
      </c>
      <c r="C62" s="28">
        <v>290</v>
      </c>
      <c r="D62" s="28">
        <v>357</v>
      </c>
      <c r="E62" s="28">
        <v>939</v>
      </c>
      <c r="F62" s="28">
        <v>1196</v>
      </c>
      <c r="G62" s="28">
        <v>1768</v>
      </c>
      <c r="H62" s="28">
        <v>2853</v>
      </c>
      <c r="I62" s="28">
        <v>1001</v>
      </c>
      <c r="J62" s="28">
        <v>1034</v>
      </c>
      <c r="K62" s="28">
        <v>1242</v>
      </c>
      <c r="L62" s="28">
        <v>1067</v>
      </c>
      <c r="M62" s="28">
        <v>1886</v>
      </c>
      <c r="N62" s="28">
        <v>2306</v>
      </c>
      <c r="O62" s="29" t="s">
        <v>136</v>
      </c>
    </row>
    <row r="63" spans="1:43" s="19" customFormat="1" ht="18" customHeight="1">
      <c r="A63" s="26" t="s">
        <v>137</v>
      </c>
      <c r="B63" s="27">
        <f t="shared" si="3"/>
        <v>15988</v>
      </c>
      <c r="C63" s="28">
        <v>54</v>
      </c>
      <c r="D63" s="28">
        <v>110</v>
      </c>
      <c r="E63" s="28">
        <v>320</v>
      </c>
      <c r="F63" s="28">
        <v>961</v>
      </c>
      <c r="G63" s="28">
        <v>1329</v>
      </c>
      <c r="H63" s="28">
        <v>1209</v>
      </c>
      <c r="I63" s="28">
        <v>2061</v>
      </c>
      <c r="J63" s="28">
        <v>1712</v>
      </c>
      <c r="K63" s="28">
        <v>2181</v>
      </c>
      <c r="L63" s="28">
        <v>2807</v>
      </c>
      <c r="M63" s="28">
        <v>1568</v>
      </c>
      <c r="N63" s="28">
        <v>1676</v>
      </c>
      <c r="O63" s="29" t="s">
        <v>138</v>
      </c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</row>
    <row r="64" spans="1:43" s="19" customFormat="1" ht="18" customHeight="1">
      <c r="A64" s="26" t="s">
        <v>139</v>
      </c>
      <c r="B64" s="27">
        <f t="shared" si="3"/>
        <v>2276</v>
      </c>
      <c r="C64" s="28">
        <v>38</v>
      </c>
      <c r="D64" s="28">
        <v>24</v>
      </c>
      <c r="E64" s="28">
        <v>46</v>
      </c>
      <c r="F64" s="28">
        <v>183</v>
      </c>
      <c r="G64" s="28">
        <v>160</v>
      </c>
      <c r="H64" s="28">
        <v>227</v>
      </c>
      <c r="I64" s="28">
        <v>459</v>
      </c>
      <c r="J64" s="28">
        <v>213</v>
      </c>
      <c r="K64" s="28">
        <v>180</v>
      </c>
      <c r="L64" s="28">
        <v>296</v>
      </c>
      <c r="M64" s="28">
        <v>283</v>
      </c>
      <c r="N64" s="28">
        <v>167</v>
      </c>
      <c r="O64" s="29" t="s">
        <v>140</v>
      </c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</row>
    <row r="65" spans="1:43" s="19" customFormat="1" ht="18" customHeight="1">
      <c r="A65" s="26" t="s">
        <v>83</v>
      </c>
      <c r="B65" s="27">
        <f t="shared" si="3"/>
        <v>1071</v>
      </c>
      <c r="C65" s="28">
        <v>7</v>
      </c>
      <c r="D65" s="28">
        <v>13</v>
      </c>
      <c r="E65" s="28">
        <v>9</v>
      </c>
      <c r="F65" s="28">
        <v>31</v>
      </c>
      <c r="G65" s="28">
        <v>63</v>
      </c>
      <c r="H65" s="28">
        <v>51</v>
      </c>
      <c r="I65" s="28">
        <v>69</v>
      </c>
      <c r="J65" s="28">
        <v>67</v>
      </c>
      <c r="K65" s="28">
        <v>59</v>
      </c>
      <c r="L65" s="28">
        <v>417</v>
      </c>
      <c r="M65" s="28">
        <v>58</v>
      </c>
      <c r="N65" s="28">
        <v>227</v>
      </c>
      <c r="O65" s="29" t="s">
        <v>15</v>
      </c>
    </row>
    <row r="66" spans="1:43" s="19" customFormat="1" ht="18" customHeight="1">
      <c r="A66" s="24" t="s">
        <v>55</v>
      </c>
      <c r="B66" s="27">
        <f t="shared" si="3"/>
        <v>284267</v>
      </c>
      <c r="C66" s="31">
        <f t="shared" ref="C66:N66" si="12">SUM(C67:C72)</f>
        <v>13161</v>
      </c>
      <c r="D66" s="31">
        <f t="shared" si="12"/>
        <v>17312</v>
      </c>
      <c r="E66" s="31">
        <f t="shared" si="12"/>
        <v>26258</v>
      </c>
      <c r="F66" s="31">
        <f t="shared" si="12"/>
        <v>23546</v>
      </c>
      <c r="G66" s="31">
        <f t="shared" si="12"/>
        <v>34102</v>
      </c>
      <c r="H66" s="31">
        <f t="shared" si="12"/>
        <v>24960</v>
      </c>
      <c r="I66" s="31">
        <f t="shared" si="12"/>
        <v>20320</v>
      </c>
      <c r="J66" s="31">
        <f t="shared" si="12"/>
        <v>20413</v>
      </c>
      <c r="K66" s="31">
        <f t="shared" si="12"/>
        <v>19073</v>
      </c>
      <c r="L66" s="31">
        <f t="shared" si="12"/>
        <v>26103</v>
      </c>
      <c r="M66" s="31">
        <f t="shared" si="12"/>
        <v>22867</v>
      </c>
      <c r="N66" s="31">
        <f t="shared" si="12"/>
        <v>36152</v>
      </c>
      <c r="O66" s="38" t="s">
        <v>141</v>
      </c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</row>
    <row r="67" spans="1:43" s="19" customFormat="1" ht="18" customHeight="1">
      <c r="A67" s="26" t="s">
        <v>142</v>
      </c>
      <c r="B67" s="27">
        <f t="shared" si="3"/>
        <v>16807</v>
      </c>
      <c r="C67" s="28">
        <v>596</v>
      </c>
      <c r="D67" s="28">
        <v>625</v>
      </c>
      <c r="E67" s="28">
        <v>1399</v>
      </c>
      <c r="F67" s="28">
        <v>425</v>
      </c>
      <c r="G67" s="28">
        <v>1889</v>
      </c>
      <c r="H67" s="28">
        <v>1058</v>
      </c>
      <c r="I67" s="28">
        <v>1780</v>
      </c>
      <c r="J67" s="28">
        <v>1697</v>
      </c>
      <c r="K67" s="28">
        <v>1648</v>
      </c>
      <c r="L67" s="28">
        <v>2021</v>
      </c>
      <c r="M67" s="28">
        <v>1636</v>
      </c>
      <c r="N67" s="28">
        <v>2033</v>
      </c>
      <c r="O67" s="29" t="s">
        <v>143</v>
      </c>
    </row>
    <row r="68" spans="1:43" s="19" customFormat="1" ht="18" customHeight="1">
      <c r="A68" s="26" t="s">
        <v>144</v>
      </c>
      <c r="B68" s="27">
        <f t="shared" si="3"/>
        <v>241382</v>
      </c>
      <c r="C68" s="28">
        <v>10750</v>
      </c>
      <c r="D68" s="28">
        <v>14770</v>
      </c>
      <c r="E68" s="28">
        <v>21163</v>
      </c>
      <c r="F68" s="28">
        <v>21839</v>
      </c>
      <c r="G68" s="28">
        <v>29991</v>
      </c>
      <c r="H68" s="28">
        <v>22103</v>
      </c>
      <c r="I68" s="28">
        <v>16229</v>
      </c>
      <c r="J68" s="28">
        <v>16375</v>
      </c>
      <c r="K68" s="28">
        <v>15393</v>
      </c>
      <c r="L68" s="28">
        <v>21750</v>
      </c>
      <c r="M68" s="28">
        <v>19375</v>
      </c>
      <c r="N68" s="28">
        <v>31644</v>
      </c>
      <c r="O68" s="29" t="s">
        <v>19</v>
      </c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</row>
    <row r="69" spans="1:43" s="19" customFormat="1" ht="18" customHeight="1">
      <c r="A69" s="26" t="s">
        <v>145</v>
      </c>
      <c r="B69" s="27">
        <f t="shared" si="3"/>
        <v>3058</v>
      </c>
      <c r="C69" s="28">
        <v>110</v>
      </c>
      <c r="D69" s="28">
        <v>154</v>
      </c>
      <c r="E69" s="28">
        <v>1095</v>
      </c>
      <c r="F69" s="28">
        <v>186</v>
      </c>
      <c r="G69" s="28">
        <v>124</v>
      </c>
      <c r="H69" s="28">
        <v>181</v>
      </c>
      <c r="I69" s="28">
        <v>197</v>
      </c>
      <c r="J69" s="28">
        <v>221</v>
      </c>
      <c r="K69" s="28">
        <v>285</v>
      </c>
      <c r="L69" s="28">
        <v>161</v>
      </c>
      <c r="M69" s="28">
        <v>120</v>
      </c>
      <c r="N69" s="28">
        <v>224</v>
      </c>
      <c r="O69" s="29" t="s">
        <v>146</v>
      </c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</row>
    <row r="70" spans="1:43" s="19" customFormat="1" ht="18" customHeight="1">
      <c r="A70" s="26" t="s">
        <v>147</v>
      </c>
      <c r="B70" s="27">
        <f t="shared" si="3"/>
        <v>9736</v>
      </c>
      <c r="C70" s="28">
        <v>1204</v>
      </c>
      <c r="D70" s="28">
        <v>1125</v>
      </c>
      <c r="E70" s="28">
        <v>1602</v>
      </c>
      <c r="F70" s="28">
        <v>192</v>
      </c>
      <c r="G70" s="28">
        <v>864</v>
      </c>
      <c r="H70" s="28">
        <v>653</v>
      </c>
      <c r="I70" s="28">
        <v>971</v>
      </c>
      <c r="J70" s="28">
        <v>669</v>
      </c>
      <c r="K70" s="28">
        <v>421</v>
      </c>
      <c r="L70" s="28">
        <v>508</v>
      </c>
      <c r="M70" s="28">
        <v>654</v>
      </c>
      <c r="N70" s="28">
        <v>873</v>
      </c>
      <c r="O70" s="29" t="s">
        <v>24</v>
      </c>
    </row>
    <row r="71" spans="1:43" s="19" customFormat="1" ht="18" customHeight="1">
      <c r="A71" s="26" t="s">
        <v>148</v>
      </c>
      <c r="B71" s="27">
        <f t="shared" si="3"/>
        <v>9831</v>
      </c>
      <c r="C71" s="28">
        <v>367</v>
      </c>
      <c r="D71" s="28">
        <v>503</v>
      </c>
      <c r="E71" s="28">
        <v>715</v>
      </c>
      <c r="F71" s="28">
        <v>680</v>
      </c>
      <c r="G71" s="28">
        <v>873</v>
      </c>
      <c r="H71" s="28">
        <v>763</v>
      </c>
      <c r="I71" s="28">
        <v>923</v>
      </c>
      <c r="J71" s="28">
        <v>1114</v>
      </c>
      <c r="K71" s="28">
        <v>1022</v>
      </c>
      <c r="L71" s="28">
        <v>1086</v>
      </c>
      <c r="M71" s="28">
        <v>704</v>
      </c>
      <c r="N71" s="28">
        <v>1081</v>
      </c>
      <c r="O71" s="29" t="s">
        <v>149</v>
      </c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</row>
    <row r="72" spans="1:43" s="19" customFormat="1" ht="18" customHeight="1">
      <c r="A72" s="34" t="s">
        <v>83</v>
      </c>
      <c r="B72" s="35">
        <f t="shared" si="3"/>
        <v>3453</v>
      </c>
      <c r="C72" s="36">
        <v>134</v>
      </c>
      <c r="D72" s="36">
        <v>135</v>
      </c>
      <c r="E72" s="36">
        <v>284</v>
      </c>
      <c r="F72" s="36">
        <v>224</v>
      </c>
      <c r="G72" s="36">
        <v>361</v>
      </c>
      <c r="H72" s="36">
        <v>202</v>
      </c>
      <c r="I72" s="36">
        <v>220</v>
      </c>
      <c r="J72" s="36">
        <v>337</v>
      </c>
      <c r="K72" s="36">
        <v>304</v>
      </c>
      <c r="L72" s="36">
        <v>577</v>
      </c>
      <c r="M72" s="36">
        <v>378</v>
      </c>
      <c r="N72" s="36">
        <v>297</v>
      </c>
      <c r="O72" s="37" t="s">
        <v>15</v>
      </c>
    </row>
    <row r="73" spans="1:43" s="19" customFormat="1" ht="20.25" customHeight="1">
      <c r="A73" s="21" t="s">
        <v>26</v>
      </c>
      <c r="B73" s="4">
        <f t="shared" si="3"/>
        <v>27951</v>
      </c>
      <c r="C73" s="4">
        <f>SUM(C74:C77)</f>
        <v>1339</v>
      </c>
      <c r="D73" s="4">
        <f t="shared" ref="D73:N73" si="13">SUM(D74:D77)</f>
        <v>1600</v>
      </c>
      <c r="E73" s="4">
        <f t="shared" si="13"/>
        <v>2934</v>
      </c>
      <c r="F73" s="4">
        <f t="shared" si="13"/>
        <v>2297</v>
      </c>
      <c r="G73" s="4">
        <f t="shared" si="13"/>
        <v>2503</v>
      </c>
      <c r="H73" s="4">
        <f t="shared" si="13"/>
        <v>2405</v>
      </c>
      <c r="I73" s="4">
        <f t="shared" si="13"/>
        <v>2384</v>
      </c>
      <c r="J73" s="4">
        <f t="shared" si="13"/>
        <v>2653</v>
      </c>
      <c r="K73" s="4">
        <f t="shared" si="13"/>
        <v>1952</v>
      </c>
      <c r="L73" s="4">
        <f t="shared" si="13"/>
        <v>2466</v>
      </c>
      <c r="M73" s="4">
        <f t="shared" si="13"/>
        <v>1649</v>
      </c>
      <c r="N73" s="4">
        <f t="shared" si="13"/>
        <v>3769</v>
      </c>
      <c r="O73" s="22" t="s">
        <v>27</v>
      </c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</row>
    <row r="74" spans="1:43" s="19" customFormat="1" ht="20.25" customHeight="1">
      <c r="A74" s="39" t="s">
        <v>150</v>
      </c>
      <c r="B74" s="4">
        <f>SUM(C74:N74)</f>
        <v>1848</v>
      </c>
      <c r="C74" s="5">
        <v>59</v>
      </c>
      <c r="D74" s="5">
        <v>90</v>
      </c>
      <c r="E74" s="5">
        <v>183</v>
      </c>
      <c r="F74" s="28">
        <v>28</v>
      </c>
      <c r="G74" s="28">
        <v>178</v>
      </c>
      <c r="H74" s="28">
        <v>125</v>
      </c>
      <c r="I74" s="5">
        <v>195</v>
      </c>
      <c r="J74" s="5">
        <v>241</v>
      </c>
      <c r="K74" s="5">
        <v>241</v>
      </c>
      <c r="L74" s="5">
        <v>180</v>
      </c>
      <c r="M74" s="5">
        <v>158</v>
      </c>
      <c r="N74" s="5">
        <v>170</v>
      </c>
      <c r="O74" s="40" t="s">
        <v>151</v>
      </c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</row>
    <row r="75" spans="1:43" s="19" customFormat="1" ht="20.25" customHeight="1">
      <c r="A75" s="39" t="s">
        <v>152</v>
      </c>
      <c r="B75" s="4">
        <f t="shared" si="3"/>
        <v>2264</v>
      </c>
      <c r="C75" s="5">
        <v>72</v>
      </c>
      <c r="D75" s="5">
        <v>169</v>
      </c>
      <c r="E75" s="5">
        <v>256</v>
      </c>
      <c r="F75" s="28">
        <v>41</v>
      </c>
      <c r="G75" s="28">
        <v>224</v>
      </c>
      <c r="H75" s="28">
        <v>150</v>
      </c>
      <c r="I75" s="5">
        <v>269</v>
      </c>
      <c r="J75" s="5">
        <v>310</v>
      </c>
      <c r="K75" s="5">
        <v>134</v>
      </c>
      <c r="L75" s="5">
        <v>181</v>
      </c>
      <c r="M75" s="5">
        <v>182</v>
      </c>
      <c r="N75" s="5">
        <v>276</v>
      </c>
      <c r="O75" s="40" t="s">
        <v>153</v>
      </c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</row>
    <row r="76" spans="1:43" s="19" customFormat="1" ht="18" customHeight="1">
      <c r="A76" s="39" t="s">
        <v>154</v>
      </c>
      <c r="B76" s="27">
        <f t="shared" si="3"/>
        <v>14840</v>
      </c>
      <c r="C76" s="28">
        <v>582</v>
      </c>
      <c r="D76" s="28">
        <v>621</v>
      </c>
      <c r="E76" s="28">
        <v>1729</v>
      </c>
      <c r="F76" s="28">
        <v>1667</v>
      </c>
      <c r="G76" s="28">
        <v>1292</v>
      </c>
      <c r="H76" s="28">
        <v>1471</v>
      </c>
      <c r="I76" s="28">
        <v>1034</v>
      </c>
      <c r="J76" s="28">
        <v>1238</v>
      </c>
      <c r="K76" s="28">
        <v>974</v>
      </c>
      <c r="L76" s="28">
        <v>1481</v>
      </c>
      <c r="M76" s="28">
        <v>683</v>
      </c>
      <c r="N76" s="28">
        <v>2068</v>
      </c>
      <c r="O76" s="40" t="s">
        <v>155</v>
      </c>
    </row>
    <row r="77" spans="1:43" s="19" customFormat="1" ht="18" customHeight="1">
      <c r="A77" s="41" t="s">
        <v>83</v>
      </c>
      <c r="B77" s="35">
        <f t="shared" si="3"/>
        <v>8999</v>
      </c>
      <c r="C77" s="36">
        <v>626</v>
      </c>
      <c r="D77" s="36">
        <v>720</v>
      </c>
      <c r="E77" s="36">
        <v>766</v>
      </c>
      <c r="F77" s="36">
        <v>561</v>
      </c>
      <c r="G77" s="36">
        <v>809</v>
      </c>
      <c r="H77" s="36">
        <v>659</v>
      </c>
      <c r="I77" s="36">
        <v>886</v>
      </c>
      <c r="J77" s="36">
        <v>864</v>
      </c>
      <c r="K77" s="36">
        <v>603</v>
      </c>
      <c r="L77" s="36">
        <v>624</v>
      </c>
      <c r="M77" s="36">
        <v>626</v>
      </c>
      <c r="N77" s="36">
        <v>1255</v>
      </c>
      <c r="O77" s="42" t="s">
        <v>15</v>
      </c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</row>
    <row r="78" spans="1:43" s="19" customFormat="1" ht="24.75" customHeight="1">
      <c r="A78" s="21" t="s">
        <v>57</v>
      </c>
      <c r="B78" s="4">
        <f t="shared" si="3"/>
        <v>121140</v>
      </c>
      <c r="C78" s="4">
        <f>SUM(C79:C84)</f>
        <v>8383</v>
      </c>
      <c r="D78" s="4">
        <f t="shared" ref="D78:N78" si="14">SUM(D79:D84)</f>
        <v>9243</v>
      </c>
      <c r="E78" s="4">
        <f t="shared" si="14"/>
        <v>12713</v>
      </c>
      <c r="F78" s="4">
        <f t="shared" si="14"/>
        <v>10751</v>
      </c>
      <c r="G78" s="4">
        <f t="shared" si="14"/>
        <v>10396</v>
      </c>
      <c r="H78" s="4">
        <f t="shared" si="14"/>
        <v>8725</v>
      </c>
      <c r="I78" s="4">
        <f t="shared" si="14"/>
        <v>9475</v>
      </c>
      <c r="J78" s="4">
        <f t="shared" si="14"/>
        <v>7243</v>
      </c>
      <c r="K78" s="4">
        <f t="shared" si="14"/>
        <v>8088</v>
      </c>
      <c r="L78" s="4">
        <f t="shared" si="14"/>
        <v>10360</v>
      </c>
      <c r="M78" s="4">
        <f t="shared" si="14"/>
        <v>12953</v>
      </c>
      <c r="N78" s="4">
        <f t="shared" si="14"/>
        <v>12810</v>
      </c>
      <c r="O78" s="22" t="s">
        <v>56</v>
      </c>
    </row>
    <row r="79" spans="1:43" s="19" customFormat="1" ht="24.75" customHeight="1">
      <c r="A79" s="39" t="s">
        <v>156</v>
      </c>
      <c r="B79" s="27">
        <f t="shared" si="3"/>
        <v>2761</v>
      </c>
      <c r="C79" s="5">
        <v>252</v>
      </c>
      <c r="D79" s="5">
        <v>217</v>
      </c>
      <c r="E79" s="5">
        <v>239</v>
      </c>
      <c r="F79" s="28">
        <v>298</v>
      </c>
      <c r="G79" s="28">
        <v>274</v>
      </c>
      <c r="H79" s="28">
        <v>196</v>
      </c>
      <c r="I79" s="28">
        <v>101</v>
      </c>
      <c r="J79" s="5">
        <v>131</v>
      </c>
      <c r="K79" s="5">
        <v>180</v>
      </c>
      <c r="L79" s="5">
        <v>184</v>
      </c>
      <c r="M79" s="5">
        <v>274</v>
      </c>
      <c r="N79" s="5">
        <v>415</v>
      </c>
      <c r="O79" s="40" t="s">
        <v>157</v>
      </c>
    </row>
    <row r="80" spans="1:43" s="19" customFormat="1" ht="18" customHeight="1">
      <c r="A80" s="39" t="s">
        <v>158</v>
      </c>
      <c r="B80" s="27">
        <f t="shared" si="3"/>
        <v>18637</v>
      </c>
      <c r="C80" s="28">
        <v>2064</v>
      </c>
      <c r="D80" s="28">
        <v>2039</v>
      </c>
      <c r="E80" s="28">
        <v>1915</v>
      </c>
      <c r="F80" s="28">
        <v>1827</v>
      </c>
      <c r="G80" s="28">
        <v>1956</v>
      </c>
      <c r="H80" s="28">
        <v>1356</v>
      </c>
      <c r="I80" s="28">
        <v>1227</v>
      </c>
      <c r="J80" s="28">
        <v>939</v>
      </c>
      <c r="K80" s="28">
        <v>1265</v>
      </c>
      <c r="L80" s="28">
        <v>1370</v>
      </c>
      <c r="M80" s="28">
        <v>1468</v>
      </c>
      <c r="N80" s="28">
        <v>1211</v>
      </c>
      <c r="O80" s="40" t="s">
        <v>159</v>
      </c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</row>
    <row r="81" spans="1:43" s="19" customFormat="1" ht="18" customHeight="1">
      <c r="A81" s="39" t="s">
        <v>160</v>
      </c>
      <c r="B81" s="27">
        <f t="shared" si="3"/>
        <v>11397</v>
      </c>
      <c r="C81" s="28">
        <v>651</v>
      </c>
      <c r="D81" s="28">
        <v>745</v>
      </c>
      <c r="E81" s="28">
        <v>1197</v>
      </c>
      <c r="F81" s="28">
        <v>966</v>
      </c>
      <c r="G81" s="28">
        <v>897</v>
      </c>
      <c r="H81" s="28">
        <v>587</v>
      </c>
      <c r="I81" s="28">
        <v>858</v>
      </c>
      <c r="J81" s="28">
        <v>738</v>
      </c>
      <c r="K81" s="28">
        <v>799</v>
      </c>
      <c r="L81" s="28">
        <v>1174</v>
      </c>
      <c r="M81" s="28">
        <v>1327</v>
      </c>
      <c r="N81" s="28">
        <v>1458</v>
      </c>
      <c r="O81" s="40" t="s">
        <v>28</v>
      </c>
    </row>
    <row r="82" spans="1:43" s="19" customFormat="1" ht="18" customHeight="1">
      <c r="A82" s="39" t="s">
        <v>161</v>
      </c>
      <c r="B82" s="27">
        <f t="shared" si="3"/>
        <v>2249</v>
      </c>
      <c r="C82" s="28">
        <v>70</v>
      </c>
      <c r="D82" s="28">
        <v>141</v>
      </c>
      <c r="E82" s="28">
        <v>217</v>
      </c>
      <c r="F82" s="28">
        <v>246</v>
      </c>
      <c r="G82" s="28">
        <v>181</v>
      </c>
      <c r="H82" s="28">
        <v>143</v>
      </c>
      <c r="I82" s="28">
        <v>145</v>
      </c>
      <c r="J82" s="28">
        <v>118</v>
      </c>
      <c r="K82" s="28">
        <v>165</v>
      </c>
      <c r="L82" s="28">
        <v>248</v>
      </c>
      <c r="M82" s="28">
        <v>347</v>
      </c>
      <c r="N82" s="28">
        <v>228</v>
      </c>
      <c r="O82" s="40" t="s">
        <v>162</v>
      </c>
    </row>
    <row r="83" spans="1:43" s="19" customFormat="1" ht="18" customHeight="1">
      <c r="A83" s="39" t="s">
        <v>163</v>
      </c>
      <c r="B83" s="27">
        <f t="shared" si="3"/>
        <v>80697</v>
      </c>
      <c r="C83" s="28">
        <v>5028</v>
      </c>
      <c r="D83" s="28">
        <v>5785</v>
      </c>
      <c r="E83" s="28">
        <v>8696</v>
      </c>
      <c r="F83" s="28">
        <v>6926</v>
      </c>
      <c r="G83" s="28">
        <v>6628</v>
      </c>
      <c r="H83" s="28">
        <v>6152</v>
      </c>
      <c r="I83" s="28">
        <v>6743</v>
      </c>
      <c r="J83" s="28">
        <v>4965</v>
      </c>
      <c r="K83" s="28">
        <v>5360</v>
      </c>
      <c r="L83" s="28">
        <v>6726</v>
      </c>
      <c r="M83" s="28">
        <v>8747</v>
      </c>
      <c r="N83" s="28">
        <v>8941</v>
      </c>
      <c r="O83" s="40" t="s">
        <v>164</v>
      </c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</row>
    <row r="84" spans="1:43" s="19" customFormat="1" ht="18" customHeight="1">
      <c r="A84" s="41" t="s">
        <v>83</v>
      </c>
      <c r="B84" s="35">
        <f t="shared" si="3"/>
        <v>5399</v>
      </c>
      <c r="C84" s="36">
        <v>318</v>
      </c>
      <c r="D84" s="36">
        <v>316</v>
      </c>
      <c r="E84" s="36">
        <v>449</v>
      </c>
      <c r="F84" s="36">
        <v>488</v>
      </c>
      <c r="G84" s="36">
        <v>460</v>
      </c>
      <c r="H84" s="36">
        <v>291</v>
      </c>
      <c r="I84" s="36">
        <v>401</v>
      </c>
      <c r="J84" s="36">
        <v>352</v>
      </c>
      <c r="K84" s="36">
        <v>319</v>
      </c>
      <c r="L84" s="36">
        <v>658</v>
      </c>
      <c r="M84" s="36">
        <v>790</v>
      </c>
      <c r="N84" s="36">
        <v>557</v>
      </c>
      <c r="O84" s="42" t="s">
        <v>15</v>
      </c>
    </row>
    <row r="85" spans="1:43" s="19" customFormat="1" ht="22.5" customHeight="1">
      <c r="A85" s="21" t="s">
        <v>29</v>
      </c>
      <c r="B85" s="4">
        <f t="shared" ref="B85:B98" si="15">SUM(C85:N85)</f>
        <v>27094</v>
      </c>
      <c r="C85" s="4">
        <f>SUM(C86:C88)</f>
        <v>766</v>
      </c>
      <c r="D85" s="4">
        <f t="shared" ref="D85:N85" si="16">SUM(D86:D88)</f>
        <v>716</v>
      </c>
      <c r="E85" s="4">
        <f t="shared" si="16"/>
        <v>1313</v>
      </c>
      <c r="F85" s="4">
        <f t="shared" si="16"/>
        <v>2325</v>
      </c>
      <c r="G85" s="4">
        <f t="shared" si="16"/>
        <v>2063</v>
      </c>
      <c r="H85" s="4">
        <f t="shared" si="16"/>
        <v>2111</v>
      </c>
      <c r="I85" s="4">
        <f t="shared" si="16"/>
        <v>2648</v>
      </c>
      <c r="J85" s="4">
        <f t="shared" si="16"/>
        <v>2223</v>
      </c>
      <c r="K85" s="4">
        <f t="shared" si="16"/>
        <v>3540</v>
      </c>
      <c r="L85" s="4">
        <f t="shared" si="16"/>
        <v>3127</v>
      </c>
      <c r="M85" s="4">
        <f t="shared" si="16"/>
        <v>3140</v>
      </c>
      <c r="N85" s="4">
        <f t="shared" si="16"/>
        <v>3122</v>
      </c>
      <c r="O85" s="22" t="s">
        <v>165</v>
      </c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spans="1:43" s="19" customFormat="1" ht="18" customHeight="1">
      <c r="A86" s="39" t="s">
        <v>166</v>
      </c>
      <c r="B86" s="4">
        <f t="shared" si="15"/>
        <v>25049</v>
      </c>
      <c r="C86" s="28">
        <v>699</v>
      </c>
      <c r="D86" s="28">
        <v>655</v>
      </c>
      <c r="E86" s="28">
        <v>1186</v>
      </c>
      <c r="F86" s="28">
        <v>2127</v>
      </c>
      <c r="G86" s="28">
        <v>1897</v>
      </c>
      <c r="H86" s="28">
        <v>2007</v>
      </c>
      <c r="I86" s="28">
        <v>2413</v>
      </c>
      <c r="J86" s="28">
        <v>2051</v>
      </c>
      <c r="K86" s="28">
        <v>3333</v>
      </c>
      <c r="L86" s="28">
        <v>2865</v>
      </c>
      <c r="M86" s="28">
        <v>2940</v>
      </c>
      <c r="N86" s="28">
        <v>2876</v>
      </c>
      <c r="O86" s="40" t="s">
        <v>30</v>
      </c>
    </row>
    <row r="87" spans="1:43" s="19" customFormat="1" ht="18" customHeight="1">
      <c r="A87" s="39" t="s">
        <v>167</v>
      </c>
      <c r="B87" s="4">
        <f t="shared" si="15"/>
        <v>1888</v>
      </c>
      <c r="C87" s="28">
        <v>59</v>
      </c>
      <c r="D87" s="28">
        <v>49</v>
      </c>
      <c r="E87" s="28">
        <v>120</v>
      </c>
      <c r="F87" s="28">
        <v>192</v>
      </c>
      <c r="G87" s="28">
        <v>154</v>
      </c>
      <c r="H87" s="28">
        <v>93</v>
      </c>
      <c r="I87" s="28">
        <v>207</v>
      </c>
      <c r="J87" s="28">
        <v>157</v>
      </c>
      <c r="K87" s="28">
        <v>193</v>
      </c>
      <c r="L87" s="28">
        <v>246</v>
      </c>
      <c r="M87" s="28">
        <v>191</v>
      </c>
      <c r="N87" s="28">
        <v>227</v>
      </c>
      <c r="O87" s="40" t="s">
        <v>168</v>
      </c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</row>
    <row r="88" spans="1:43" s="19" customFormat="1" ht="18" customHeight="1">
      <c r="A88" s="41" t="s">
        <v>83</v>
      </c>
      <c r="B88" s="6">
        <f t="shared" si="15"/>
        <v>157</v>
      </c>
      <c r="C88" s="36">
        <v>8</v>
      </c>
      <c r="D88" s="36">
        <v>12</v>
      </c>
      <c r="E88" s="36">
        <v>7</v>
      </c>
      <c r="F88" s="36">
        <v>6</v>
      </c>
      <c r="G88" s="36">
        <v>12</v>
      </c>
      <c r="H88" s="36">
        <v>11</v>
      </c>
      <c r="I88" s="36">
        <v>28</v>
      </c>
      <c r="J88" s="36">
        <v>15</v>
      </c>
      <c r="K88" s="36">
        <v>14</v>
      </c>
      <c r="L88" s="36">
        <v>16</v>
      </c>
      <c r="M88" s="36">
        <v>9</v>
      </c>
      <c r="N88" s="36">
        <v>19</v>
      </c>
      <c r="O88" s="42" t="s">
        <v>15</v>
      </c>
    </row>
    <row r="89" spans="1:43" s="19" customFormat="1" ht="18.75" customHeight="1">
      <c r="A89" s="21" t="s">
        <v>31</v>
      </c>
      <c r="B89" s="4">
        <f t="shared" si="15"/>
        <v>79963</v>
      </c>
      <c r="C89" s="4">
        <f>SUM(C90:C99)</f>
        <v>5107</v>
      </c>
      <c r="D89" s="4">
        <f t="shared" ref="D89:N89" si="17">SUM(D90:D99)</f>
        <v>6462</v>
      </c>
      <c r="E89" s="4">
        <f t="shared" si="17"/>
        <v>9558</v>
      </c>
      <c r="F89" s="4">
        <f t="shared" si="17"/>
        <v>1584</v>
      </c>
      <c r="G89" s="4">
        <f t="shared" si="17"/>
        <v>11134</v>
      </c>
      <c r="H89" s="4">
        <f t="shared" si="17"/>
        <v>6690</v>
      </c>
      <c r="I89" s="4">
        <f t="shared" si="17"/>
        <v>12407</v>
      </c>
      <c r="J89" s="4">
        <f t="shared" si="17"/>
        <v>7503</v>
      </c>
      <c r="K89" s="4">
        <f t="shared" si="17"/>
        <v>4311</v>
      </c>
      <c r="L89" s="4">
        <f t="shared" si="17"/>
        <v>4273</v>
      </c>
      <c r="M89" s="4">
        <f t="shared" si="17"/>
        <v>5111</v>
      </c>
      <c r="N89" s="4">
        <f t="shared" si="17"/>
        <v>5823</v>
      </c>
      <c r="O89" s="22" t="s">
        <v>169</v>
      </c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</row>
    <row r="90" spans="1:43" s="19" customFormat="1" ht="18.75" customHeight="1">
      <c r="A90" s="39" t="s">
        <v>170</v>
      </c>
      <c r="B90" s="27">
        <f t="shared" si="15"/>
        <v>8646</v>
      </c>
      <c r="C90" s="5">
        <v>491</v>
      </c>
      <c r="D90" s="5">
        <v>851</v>
      </c>
      <c r="E90" s="5">
        <v>803</v>
      </c>
      <c r="F90" s="5">
        <v>153</v>
      </c>
      <c r="G90" s="28">
        <v>981</v>
      </c>
      <c r="H90" s="28">
        <v>509</v>
      </c>
      <c r="I90" s="5">
        <v>1136</v>
      </c>
      <c r="J90" s="5">
        <v>735</v>
      </c>
      <c r="K90" s="5">
        <v>714</v>
      </c>
      <c r="L90" s="5">
        <v>751</v>
      </c>
      <c r="M90" s="5">
        <v>687</v>
      </c>
      <c r="N90" s="5">
        <v>835</v>
      </c>
      <c r="O90" s="40" t="s">
        <v>171</v>
      </c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</row>
    <row r="91" spans="1:43" s="19" customFormat="1" ht="18.75" customHeight="1">
      <c r="A91" s="39" t="s">
        <v>172</v>
      </c>
      <c r="B91" s="27">
        <f t="shared" si="15"/>
        <v>3137</v>
      </c>
      <c r="C91" s="5">
        <v>145</v>
      </c>
      <c r="D91" s="5">
        <v>201</v>
      </c>
      <c r="E91" s="5">
        <v>283</v>
      </c>
      <c r="F91" s="28">
        <v>95</v>
      </c>
      <c r="G91" s="28">
        <v>399</v>
      </c>
      <c r="H91" s="28">
        <v>160</v>
      </c>
      <c r="I91" s="5">
        <v>414</v>
      </c>
      <c r="J91" s="5">
        <v>321</v>
      </c>
      <c r="K91" s="5">
        <v>208</v>
      </c>
      <c r="L91" s="5">
        <v>260</v>
      </c>
      <c r="M91" s="5">
        <v>265</v>
      </c>
      <c r="N91" s="5">
        <v>386</v>
      </c>
      <c r="O91" s="40" t="s">
        <v>173</v>
      </c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</row>
    <row r="92" spans="1:43" s="19" customFormat="1" ht="19.5" customHeight="1">
      <c r="A92" s="39" t="s">
        <v>174</v>
      </c>
      <c r="B92" s="27">
        <f t="shared" si="15"/>
        <v>7934</v>
      </c>
      <c r="C92" s="28">
        <v>313</v>
      </c>
      <c r="D92" s="28">
        <v>1259</v>
      </c>
      <c r="E92" s="28">
        <v>1006</v>
      </c>
      <c r="F92" s="28">
        <v>197</v>
      </c>
      <c r="G92" s="28">
        <v>938</v>
      </c>
      <c r="H92" s="28">
        <v>612</v>
      </c>
      <c r="I92" s="28">
        <v>948</v>
      </c>
      <c r="J92" s="28">
        <v>632</v>
      </c>
      <c r="K92" s="28">
        <v>404</v>
      </c>
      <c r="L92" s="28">
        <v>358</v>
      </c>
      <c r="M92" s="28">
        <v>447</v>
      </c>
      <c r="N92" s="28">
        <v>820</v>
      </c>
      <c r="O92" s="40" t="s">
        <v>32</v>
      </c>
    </row>
    <row r="93" spans="1:43" s="19" customFormat="1" ht="18" customHeight="1">
      <c r="A93" s="39" t="s">
        <v>175</v>
      </c>
      <c r="B93" s="27">
        <f t="shared" si="15"/>
        <v>2701</v>
      </c>
      <c r="C93" s="28">
        <v>133</v>
      </c>
      <c r="D93" s="28">
        <v>229</v>
      </c>
      <c r="E93" s="28">
        <v>286</v>
      </c>
      <c r="F93" s="28">
        <v>318</v>
      </c>
      <c r="G93" s="28">
        <v>275</v>
      </c>
      <c r="H93" s="28">
        <v>121</v>
      </c>
      <c r="I93" s="28">
        <v>252</v>
      </c>
      <c r="J93" s="28">
        <v>238</v>
      </c>
      <c r="K93" s="28">
        <v>135</v>
      </c>
      <c r="L93" s="28">
        <v>175</v>
      </c>
      <c r="M93" s="28">
        <v>182</v>
      </c>
      <c r="N93" s="28">
        <v>357</v>
      </c>
      <c r="O93" s="40" t="s">
        <v>176</v>
      </c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</row>
    <row r="94" spans="1:43" s="19" customFormat="1" ht="18" customHeight="1">
      <c r="A94" s="39" t="s">
        <v>177</v>
      </c>
      <c r="B94" s="27">
        <f t="shared" si="15"/>
        <v>1199</v>
      </c>
      <c r="C94" s="28">
        <v>90</v>
      </c>
      <c r="D94" s="28">
        <v>90</v>
      </c>
      <c r="E94" s="28">
        <v>108</v>
      </c>
      <c r="F94" s="28">
        <v>21</v>
      </c>
      <c r="G94" s="28">
        <v>113</v>
      </c>
      <c r="H94" s="28">
        <v>162</v>
      </c>
      <c r="I94" s="28">
        <v>219</v>
      </c>
      <c r="J94" s="28">
        <v>118</v>
      </c>
      <c r="K94" s="28">
        <v>36</v>
      </c>
      <c r="L94" s="28">
        <v>76</v>
      </c>
      <c r="M94" s="28">
        <v>86</v>
      </c>
      <c r="N94" s="28">
        <v>80</v>
      </c>
      <c r="O94" s="40" t="s">
        <v>178</v>
      </c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</row>
    <row r="95" spans="1:43" s="19" customFormat="1" ht="18" customHeight="1">
      <c r="A95" s="39" t="s">
        <v>179</v>
      </c>
      <c r="B95" s="27">
        <f t="shared" si="15"/>
        <v>6033</v>
      </c>
      <c r="C95" s="28">
        <v>104</v>
      </c>
      <c r="D95" s="28">
        <v>209</v>
      </c>
      <c r="E95" s="28">
        <v>925</v>
      </c>
      <c r="F95" s="28">
        <v>48</v>
      </c>
      <c r="G95" s="28">
        <v>1058</v>
      </c>
      <c r="H95" s="28">
        <v>855</v>
      </c>
      <c r="I95" s="28">
        <v>1707</v>
      </c>
      <c r="J95" s="28">
        <v>469</v>
      </c>
      <c r="K95" s="28">
        <v>178</v>
      </c>
      <c r="L95" s="28">
        <v>98</v>
      </c>
      <c r="M95" s="28">
        <v>123</v>
      </c>
      <c r="N95" s="28">
        <v>259</v>
      </c>
      <c r="O95" s="40" t="s">
        <v>180</v>
      </c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</row>
    <row r="96" spans="1:43" s="19" customFormat="1" ht="18" customHeight="1">
      <c r="A96" s="39" t="s">
        <v>181</v>
      </c>
      <c r="B96" s="27">
        <f t="shared" si="15"/>
        <v>32384</v>
      </c>
      <c r="C96" s="28">
        <v>3189</v>
      </c>
      <c r="D96" s="28">
        <v>2690</v>
      </c>
      <c r="E96" s="28">
        <v>4284</v>
      </c>
      <c r="F96" s="28">
        <v>503</v>
      </c>
      <c r="G96" s="28">
        <v>4619</v>
      </c>
      <c r="H96" s="28">
        <v>2676</v>
      </c>
      <c r="I96" s="28">
        <v>4777</v>
      </c>
      <c r="J96" s="28">
        <v>3120</v>
      </c>
      <c r="K96" s="28">
        <v>1704</v>
      </c>
      <c r="L96" s="28">
        <v>1282</v>
      </c>
      <c r="M96" s="28">
        <v>2208</v>
      </c>
      <c r="N96" s="28">
        <v>1332</v>
      </c>
      <c r="O96" s="40" t="s">
        <v>182</v>
      </c>
    </row>
    <row r="97" spans="1:43" s="19" customFormat="1" ht="18" customHeight="1">
      <c r="A97" s="39" t="s">
        <v>183</v>
      </c>
      <c r="B97" s="27">
        <f t="shared" si="15"/>
        <v>1587</v>
      </c>
      <c r="C97" s="28">
        <v>83</v>
      </c>
      <c r="D97" s="28">
        <v>68</v>
      </c>
      <c r="E97" s="28">
        <v>147</v>
      </c>
      <c r="F97" s="28">
        <v>52</v>
      </c>
      <c r="G97" s="28">
        <v>192</v>
      </c>
      <c r="H97" s="28">
        <v>120</v>
      </c>
      <c r="I97" s="28">
        <v>241</v>
      </c>
      <c r="J97" s="28">
        <v>159</v>
      </c>
      <c r="K97" s="28">
        <v>111</v>
      </c>
      <c r="L97" s="28">
        <v>117</v>
      </c>
      <c r="M97" s="28">
        <v>117</v>
      </c>
      <c r="N97" s="28">
        <v>180</v>
      </c>
      <c r="O97" s="40" t="s">
        <v>184</v>
      </c>
    </row>
    <row r="98" spans="1:43" s="19" customFormat="1" ht="18" customHeight="1">
      <c r="A98" s="39" t="s">
        <v>185</v>
      </c>
      <c r="B98" s="27">
        <f t="shared" si="15"/>
        <v>11456</v>
      </c>
      <c r="C98" s="28">
        <v>325</v>
      </c>
      <c r="D98" s="28">
        <v>493</v>
      </c>
      <c r="E98" s="28">
        <v>1193</v>
      </c>
      <c r="F98" s="28">
        <v>98</v>
      </c>
      <c r="G98" s="28">
        <v>1947</v>
      </c>
      <c r="H98" s="28">
        <v>1095</v>
      </c>
      <c r="I98" s="28">
        <v>1934</v>
      </c>
      <c r="J98" s="28">
        <v>1244</v>
      </c>
      <c r="K98" s="28">
        <v>508</v>
      </c>
      <c r="L98" s="28">
        <v>834</v>
      </c>
      <c r="M98" s="28">
        <v>659</v>
      </c>
      <c r="N98" s="28">
        <v>1126</v>
      </c>
      <c r="O98" s="40" t="s">
        <v>186</v>
      </c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</row>
    <row r="99" spans="1:43" s="19" customFormat="1" ht="18" customHeight="1">
      <c r="A99" s="41" t="s">
        <v>83</v>
      </c>
      <c r="B99" s="35">
        <f>SUM(C99:N99)</f>
        <v>4886</v>
      </c>
      <c r="C99" s="36">
        <v>234</v>
      </c>
      <c r="D99" s="36">
        <v>372</v>
      </c>
      <c r="E99" s="36">
        <v>523</v>
      </c>
      <c r="F99" s="36">
        <v>99</v>
      </c>
      <c r="G99" s="36">
        <v>612</v>
      </c>
      <c r="H99" s="36">
        <v>380</v>
      </c>
      <c r="I99" s="36">
        <v>779</v>
      </c>
      <c r="J99" s="36">
        <v>467</v>
      </c>
      <c r="K99" s="36">
        <v>313</v>
      </c>
      <c r="L99" s="36">
        <v>322</v>
      </c>
      <c r="M99" s="36">
        <v>337</v>
      </c>
      <c r="N99" s="36">
        <v>448</v>
      </c>
      <c r="O99" s="40" t="s">
        <v>15</v>
      </c>
    </row>
    <row r="100" spans="1:43" s="19" customFormat="1" ht="18" customHeight="1">
      <c r="A100" s="21" t="s">
        <v>187</v>
      </c>
      <c r="B100" s="4">
        <f>SUM(C100:N100)</f>
        <v>27</v>
      </c>
      <c r="C100" s="43"/>
      <c r="D100" s="43"/>
      <c r="E100" s="43">
        <v>5</v>
      </c>
      <c r="F100" s="43"/>
      <c r="G100" s="43"/>
      <c r="H100" s="43"/>
      <c r="I100" s="43">
        <v>6</v>
      </c>
      <c r="J100" s="43"/>
      <c r="K100" s="28">
        <v>4</v>
      </c>
      <c r="L100" s="28">
        <v>5</v>
      </c>
      <c r="M100" s="28">
        <v>1</v>
      </c>
      <c r="N100" s="28">
        <v>6</v>
      </c>
      <c r="O100" s="18" t="s">
        <v>188</v>
      </c>
    </row>
    <row r="101" spans="1:43" s="19" customFormat="1" ht="18" customHeight="1">
      <c r="A101" s="11" t="s">
        <v>189</v>
      </c>
      <c r="B101" s="6">
        <f>SUM(C101:N101)</f>
        <v>142</v>
      </c>
      <c r="C101" s="44"/>
      <c r="D101" s="44"/>
      <c r="E101" s="44">
        <v>32</v>
      </c>
      <c r="F101" s="44"/>
      <c r="G101" s="44"/>
      <c r="H101" s="44"/>
      <c r="I101" s="44">
        <v>19</v>
      </c>
      <c r="J101" s="44"/>
      <c r="K101" s="36">
        <v>9</v>
      </c>
      <c r="L101" s="36">
        <v>28</v>
      </c>
      <c r="M101" s="36">
        <v>17</v>
      </c>
      <c r="N101" s="36">
        <v>37</v>
      </c>
      <c r="O101" s="42" t="s">
        <v>15</v>
      </c>
    </row>
    <row r="102" spans="1:43" s="19" customFormat="1" ht="17.25" customHeight="1">
      <c r="A102" s="45" t="s">
        <v>33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6"/>
      <c r="N102" s="46"/>
      <c r="O102" s="1" t="s">
        <v>35</v>
      </c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</row>
    <row r="103" spans="1:43" s="19" customFormat="1" ht="17.25" customHeight="1">
      <c r="A103" s="47" t="s">
        <v>190</v>
      </c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O103" s="2" t="s">
        <v>191</v>
      </c>
    </row>
    <row r="104" spans="1:43" ht="12.75" customHeight="1">
      <c r="A104" s="49" t="s">
        <v>192</v>
      </c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</row>
    <row r="105" spans="1:43" ht="12.75" customHeight="1">
      <c r="A105" s="50" t="s">
        <v>193</v>
      </c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</row>
    <row r="106" spans="1:43"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</row>
    <row r="136" spans="2:43" ht="21"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</row>
    <row r="137" spans="2:43" ht="15"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</row>
    <row r="138" spans="2:43">
      <c r="B138" s="53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</row>
    <row r="139" spans="2:43" ht="17.25">
      <c r="B139" s="21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</row>
    <row r="140" spans="2:43" ht="17.25">
      <c r="B140" s="2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</row>
    <row r="141" spans="2:43" ht="17.25">
      <c r="B141" s="2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</row>
    <row r="142" spans="2:43" ht="18.75">
      <c r="B142" s="2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</row>
    <row r="143" spans="2:43" ht="17.25">
      <c r="B143" s="26"/>
      <c r="C143" s="27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</row>
    <row r="144" spans="2:43" ht="17.25">
      <c r="B144" s="26"/>
      <c r="C144" s="27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</row>
    <row r="145" spans="2:43" ht="17.25">
      <c r="B145" s="26"/>
      <c r="C145" s="27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</row>
    <row r="146" spans="2:43" ht="17.25">
      <c r="B146" s="30"/>
      <c r="C146" s="27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</row>
    <row r="147" spans="2:43" ht="17.25">
      <c r="B147" s="26"/>
      <c r="C147" s="27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</row>
    <row r="148" spans="2:43" ht="17.25">
      <c r="B148" s="26"/>
      <c r="C148" s="27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</row>
    <row r="149" spans="2:43" ht="17.25">
      <c r="B149" s="26"/>
      <c r="C149" s="27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</row>
    <row r="150" spans="2:43" ht="17.25">
      <c r="B150" s="26"/>
      <c r="C150" s="27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</row>
    <row r="151" spans="2:43" ht="17.25">
      <c r="B151" s="26"/>
      <c r="C151" s="27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</row>
    <row r="152" spans="2:43" ht="17.25">
      <c r="B152" s="26"/>
      <c r="C152" s="27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</row>
    <row r="153" spans="2:43" ht="17.25">
      <c r="B153" s="26"/>
      <c r="C153" s="27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</row>
    <row r="154" spans="2:43" ht="17.25">
      <c r="B154" s="26"/>
      <c r="C154" s="27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</row>
    <row r="155" spans="2:43" ht="17.25">
      <c r="B155" s="26"/>
      <c r="C155" s="27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</row>
    <row r="156" spans="2:43" ht="17.25">
      <c r="B156" s="24"/>
      <c r="C156" s="27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</row>
    <row r="157" spans="2:43" ht="17.25">
      <c r="B157" s="26"/>
      <c r="C157" s="27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</row>
    <row r="158" spans="2:43" ht="17.25">
      <c r="B158" s="26"/>
      <c r="C158" s="27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</row>
    <row r="159" spans="2:43" ht="17.25">
      <c r="B159" s="26"/>
      <c r="C159" s="27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</row>
    <row r="160" spans="2:43" ht="17.25">
      <c r="B160" s="26"/>
      <c r="C160" s="27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</row>
    <row r="161" spans="2:43" ht="17.25">
      <c r="B161" s="26"/>
      <c r="C161" s="27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</row>
    <row r="162" spans="2:43" ht="17.25">
      <c r="B162" s="26"/>
      <c r="C162" s="27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</row>
    <row r="163" spans="2:43" ht="17.25">
      <c r="B163" s="26"/>
      <c r="C163" s="27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</row>
    <row r="164" spans="2:43" ht="17.25">
      <c r="B164" s="24"/>
      <c r="C164" s="27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</row>
    <row r="165" spans="2:43" ht="17.25">
      <c r="B165" s="26"/>
      <c r="C165" s="27"/>
      <c r="D165" s="31"/>
      <c r="E165" s="31"/>
      <c r="F165" s="31"/>
      <c r="G165" s="28"/>
      <c r="H165" s="28"/>
      <c r="I165" s="28"/>
      <c r="J165" s="31"/>
      <c r="K165" s="31"/>
      <c r="L165" s="31"/>
      <c r="M165" s="31"/>
      <c r="N165" s="31"/>
      <c r="O165" s="31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</row>
    <row r="166" spans="2:43" ht="17.25">
      <c r="B166" s="26"/>
      <c r="C166" s="27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</row>
    <row r="167" spans="2:43" ht="17.25">
      <c r="B167" s="26"/>
      <c r="C167" s="27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</row>
    <row r="168" spans="2:43" ht="17.25">
      <c r="B168" s="26"/>
      <c r="C168" s="27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</row>
    <row r="169" spans="2:43" ht="17.25">
      <c r="B169" s="26"/>
      <c r="C169" s="27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</row>
    <row r="170" spans="2:43" ht="17.25">
      <c r="B170" s="26"/>
      <c r="C170" s="27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</row>
    <row r="171" spans="2:43" ht="17.25">
      <c r="B171" s="26"/>
      <c r="C171" s="27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</row>
    <row r="172" spans="2:43" ht="17.25">
      <c r="B172" s="26"/>
      <c r="C172" s="27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</row>
    <row r="173" spans="2:43" ht="17.25">
      <c r="B173" s="24"/>
      <c r="C173" s="27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</row>
    <row r="174" spans="2:43" ht="17.25">
      <c r="B174" s="26"/>
      <c r="C174" s="27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</row>
    <row r="175" spans="2:43" ht="17.25">
      <c r="B175" s="26"/>
      <c r="C175" s="27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</row>
    <row r="176" spans="2:43" ht="17.25">
      <c r="B176" s="26"/>
      <c r="C176" s="27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</row>
    <row r="177" spans="2:43" ht="17.25">
      <c r="B177" s="26"/>
      <c r="C177" s="27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</row>
    <row r="178" spans="2:43" ht="17.25">
      <c r="B178" s="30"/>
      <c r="C178" s="27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</row>
    <row r="179" spans="2:43" ht="17.25">
      <c r="B179" s="26"/>
      <c r="C179" s="27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</row>
    <row r="180" spans="2:43" ht="17.25">
      <c r="B180" s="26"/>
      <c r="C180" s="27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</row>
    <row r="181" spans="2:43" ht="17.25">
      <c r="B181" s="33"/>
      <c r="C181" s="27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</row>
    <row r="182" spans="2:43" ht="17.25">
      <c r="B182" s="30"/>
      <c r="C182" s="27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</row>
    <row r="183" spans="2:43" ht="17.25">
      <c r="B183" s="26"/>
      <c r="C183" s="27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</row>
    <row r="184" spans="2:43" ht="17.25">
      <c r="B184" s="26"/>
      <c r="C184" s="27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</row>
    <row r="185" spans="2:43" ht="17.25">
      <c r="B185" s="2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</row>
    <row r="186" spans="2:43" ht="17.25">
      <c r="B186" s="24"/>
      <c r="C186" s="27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</row>
    <row r="187" spans="2:43" ht="17.25">
      <c r="B187" s="26"/>
      <c r="C187" s="27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</row>
    <row r="188" spans="2:43" ht="17.25">
      <c r="B188" s="26"/>
      <c r="C188" s="27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</row>
    <row r="189" spans="2:43" ht="17.25">
      <c r="B189" s="26"/>
      <c r="C189" s="27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</row>
    <row r="190" spans="2:43" ht="17.25">
      <c r="B190" s="26"/>
      <c r="C190" s="27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</row>
    <row r="191" spans="2:43" ht="17.25">
      <c r="B191" s="26"/>
      <c r="C191" s="27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</row>
    <row r="192" spans="2:43" ht="17.25">
      <c r="B192" s="24"/>
      <c r="C192" s="27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</row>
    <row r="193" spans="2:43" ht="17.25">
      <c r="B193" s="26"/>
      <c r="C193" s="27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</row>
    <row r="194" spans="2:43" ht="17.25">
      <c r="B194" s="26"/>
      <c r="C194" s="27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</row>
    <row r="195" spans="2:43" ht="17.25">
      <c r="B195" s="26"/>
      <c r="C195" s="27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</row>
    <row r="196" spans="2:43" ht="17.25">
      <c r="B196" s="26"/>
      <c r="C196" s="27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</row>
    <row r="197" spans="2:43" ht="17.25">
      <c r="B197" s="26"/>
      <c r="C197" s="27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</row>
    <row r="198" spans="2:43" ht="17.25">
      <c r="B198" s="26"/>
      <c r="C198" s="27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</row>
    <row r="199" spans="2:43" ht="17.25">
      <c r="B199" s="26"/>
      <c r="C199" s="27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</row>
    <row r="200" spans="2:43" ht="17.25">
      <c r="B200" s="26"/>
      <c r="C200" s="27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</row>
    <row r="201" spans="2:43" ht="17.25">
      <c r="B201" s="24"/>
      <c r="C201" s="27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</row>
    <row r="202" spans="2:43" ht="17.25">
      <c r="B202" s="26"/>
      <c r="C202" s="27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</row>
    <row r="203" spans="2:43" ht="17.25">
      <c r="B203" s="26"/>
      <c r="C203" s="27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</row>
    <row r="204" spans="2:43" ht="17.25">
      <c r="B204" s="26"/>
      <c r="C204" s="27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</row>
    <row r="205" spans="2:43" ht="17.25">
      <c r="B205" s="26"/>
      <c r="C205" s="27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</row>
    <row r="206" spans="2:43" ht="17.25">
      <c r="B206" s="26"/>
      <c r="C206" s="27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</row>
    <row r="207" spans="2:43" ht="17.25">
      <c r="B207" s="26"/>
      <c r="C207" s="27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</row>
    <row r="208" spans="2:43" ht="17.25">
      <c r="B208" s="2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</row>
    <row r="209" spans="2:43" ht="17.25">
      <c r="B209" s="39"/>
      <c r="C209" s="4"/>
      <c r="D209" s="5"/>
      <c r="E209" s="5"/>
      <c r="F209" s="5"/>
      <c r="G209" s="28"/>
      <c r="H209" s="28"/>
      <c r="I209" s="28"/>
      <c r="J209" s="5"/>
      <c r="K209" s="5"/>
      <c r="L209" s="5"/>
      <c r="M209" s="5"/>
      <c r="N209" s="5"/>
      <c r="O209" s="5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</row>
    <row r="210" spans="2:43" ht="17.25">
      <c r="B210" s="39"/>
      <c r="C210" s="4"/>
      <c r="D210" s="5"/>
      <c r="E210" s="5"/>
      <c r="F210" s="5"/>
      <c r="G210" s="28"/>
      <c r="H210" s="28"/>
      <c r="I210" s="28"/>
      <c r="J210" s="5"/>
      <c r="K210" s="5"/>
      <c r="L210" s="5"/>
      <c r="M210" s="5"/>
      <c r="N210" s="5"/>
      <c r="O210" s="5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</row>
    <row r="211" spans="2:43" ht="17.25">
      <c r="B211" s="39"/>
      <c r="C211" s="27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</row>
    <row r="212" spans="2:43" ht="17.25">
      <c r="B212" s="39"/>
      <c r="C212" s="27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</row>
    <row r="213" spans="2:43" ht="17.25">
      <c r="B213" s="2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</row>
    <row r="214" spans="2:43" ht="17.25">
      <c r="B214" s="39"/>
      <c r="C214" s="27"/>
      <c r="D214" s="5"/>
      <c r="E214" s="5"/>
      <c r="F214" s="5"/>
      <c r="G214" s="28"/>
      <c r="H214" s="28"/>
      <c r="I214" s="28"/>
      <c r="J214" s="28"/>
      <c r="K214" s="5"/>
      <c r="L214" s="5"/>
      <c r="M214" s="5"/>
      <c r="N214" s="5"/>
      <c r="O214" s="5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</row>
    <row r="215" spans="2:43" ht="17.25">
      <c r="B215" s="39"/>
      <c r="C215" s="27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</row>
    <row r="216" spans="2:43" ht="17.25">
      <c r="B216" s="39"/>
      <c r="C216" s="27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</row>
    <row r="217" spans="2:43" ht="17.25">
      <c r="B217" s="39"/>
      <c r="C217" s="27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</row>
    <row r="218" spans="2:43" ht="17.25">
      <c r="B218" s="39"/>
      <c r="C218" s="27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</row>
    <row r="219" spans="2:43" ht="17.25">
      <c r="B219" s="39"/>
      <c r="C219" s="27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</row>
    <row r="220" spans="2:43" ht="17.25">
      <c r="B220" s="2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</row>
    <row r="221" spans="2:43" ht="17.25">
      <c r="B221" s="39"/>
      <c r="C221" s="4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</row>
    <row r="222" spans="2:43" ht="17.25">
      <c r="B222" s="39"/>
      <c r="C222" s="4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</row>
    <row r="223" spans="2:43" ht="17.25">
      <c r="B223" s="39"/>
      <c r="C223" s="4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</row>
    <row r="224" spans="2:43" ht="17.25">
      <c r="B224" s="2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</row>
    <row r="225" spans="2:43" ht="17.25">
      <c r="B225" s="39"/>
      <c r="C225" s="27"/>
      <c r="D225" s="5"/>
      <c r="E225" s="5"/>
      <c r="F225" s="5"/>
      <c r="G225" s="5"/>
      <c r="H225" s="28"/>
      <c r="I225" s="28"/>
      <c r="J225" s="5"/>
      <c r="K225" s="5"/>
      <c r="L225" s="5"/>
      <c r="M225" s="5"/>
      <c r="N225" s="5"/>
      <c r="O225" s="5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</row>
    <row r="226" spans="2:43" ht="17.25">
      <c r="B226" s="39"/>
      <c r="C226" s="27"/>
      <c r="D226" s="5"/>
      <c r="E226" s="5"/>
      <c r="F226" s="5"/>
      <c r="G226" s="28"/>
      <c r="H226" s="28"/>
      <c r="I226" s="28"/>
      <c r="J226" s="5"/>
      <c r="K226" s="5"/>
      <c r="L226" s="5"/>
      <c r="M226" s="5"/>
      <c r="N226" s="5"/>
      <c r="O226" s="5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</row>
    <row r="227" spans="2:43" ht="17.25">
      <c r="B227" s="39"/>
      <c r="C227" s="27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</row>
    <row r="228" spans="2:43" ht="17.25">
      <c r="B228" s="39"/>
      <c r="C228" s="27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</row>
    <row r="229" spans="2:43" ht="17.25">
      <c r="B229" s="39"/>
      <c r="C229" s="27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</row>
    <row r="230" spans="2:43" ht="17.25">
      <c r="B230" s="39"/>
      <c r="C230" s="27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</row>
    <row r="231" spans="2:43" ht="17.25">
      <c r="B231" s="39"/>
      <c r="C231" s="27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</row>
    <row r="232" spans="2:43" ht="17.25">
      <c r="B232" s="39"/>
      <c r="C232" s="27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</row>
    <row r="233" spans="2:43" ht="17.25">
      <c r="B233" s="39"/>
      <c r="C233" s="27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</row>
    <row r="234" spans="2:43" ht="17.25">
      <c r="B234" s="39"/>
      <c r="C234" s="27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</row>
    <row r="235" spans="2:43" ht="17.25">
      <c r="B235" s="21"/>
      <c r="C235" s="4"/>
      <c r="D235" s="43"/>
      <c r="E235" s="43"/>
      <c r="F235" s="43"/>
      <c r="G235" s="43"/>
      <c r="H235" s="43"/>
      <c r="I235" s="43"/>
      <c r="J235" s="43"/>
      <c r="K235" s="43"/>
      <c r="L235" s="28"/>
      <c r="M235" s="28"/>
      <c r="N235" s="28"/>
      <c r="O235" s="28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</row>
    <row r="236" spans="2:43" ht="17.25">
      <c r="B236" s="21"/>
      <c r="C236" s="4"/>
      <c r="D236" s="43"/>
      <c r="E236" s="43"/>
      <c r="F236" s="43"/>
      <c r="G236" s="43"/>
      <c r="H236" s="43"/>
      <c r="I236" s="43"/>
      <c r="J236" s="43"/>
      <c r="K236" s="43"/>
      <c r="L236" s="28"/>
      <c r="M236" s="28"/>
      <c r="N236" s="28"/>
      <c r="O236" s="28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</row>
    <row r="237" spans="2:43" ht="1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2:43" ht="17.25">
      <c r="B238" s="47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19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spans="2:43">
      <c r="B239" s="49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</row>
    <row r="240" spans="2:43">
      <c r="B240" s="50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</row>
  </sheetData>
  <mergeCells count="4">
    <mergeCell ref="A1:O1"/>
    <mergeCell ref="A2:O2"/>
    <mergeCell ref="B136:P136"/>
    <mergeCell ref="B137:P137"/>
  </mergeCells>
  <pageMargins left="0.7" right="0.7" top="0.75" bottom="0.75" header="0.3" footer="0.3"/>
  <pageSetup paperSize="9" scale="50" orientation="portrait" horizontalDpi="4294967295" verticalDpi="4294967295" r:id="rId1"/>
  <rowBreaks count="1" manualBreakCount="1">
    <brk id="77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10.13</vt:lpstr>
      <vt:lpstr>'10.13'!Print_Area</vt:lpstr>
      <vt:lpstr>'10.13'!Print_Titles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2023-06-20T07:16:05Z</cp:lastPrinted>
  <dcterms:created xsi:type="dcterms:W3CDTF">2019-02-27T06:18:18Z</dcterms:created>
  <dcterms:modified xsi:type="dcterms:W3CDTF">2023-06-20T07:16:25Z</dcterms:modified>
</cp:coreProperties>
</file>