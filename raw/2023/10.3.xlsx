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26CB76D9-7BC0-4AA6-8E60-27C326F5FB6D}" xr6:coauthVersionLast="47" xr6:coauthVersionMax="47" xr10:uidLastSave="{00000000-0000-0000-0000-000000000000}"/>
  <bookViews>
    <workbookView xWindow="-120" yWindow="-120" windowWidth="29040" windowHeight="15840" tabRatio="788" xr2:uid="{00000000-000D-0000-FFFF-FFFF00000000}"/>
  </bookViews>
  <sheets>
    <sheet name="10.3" sheetId="3" r:id="rId1"/>
  </sheets>
  <externalReferences>
    <externalReference r:id="rId2"/>
  </externalReferences>
  <definedNames>
    <definedName name="_xlnm.Print_Area" localSheetId="0">'10.3'!$A$1:$N$59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22" i="3" l="1"/>
  <c r="AJ123" i="3"/>
  <c r="AJ124" i="3"/>
  <c r="AJ125" i="3"/>
  <c r="AJ126" i="3"/>
  <c r="AJ127" i="3"/>
  <c r="AJ128" i="3"/>
  <c r="AJ129" i="3"/>
  <c r="AJ130" i="3"/>
  <c r="AJ131" i="3"/>
  <c r="AJ132" i="3"/>
  <c r="AJ121" i="3"/>
  <c r="AW17" i="3"/>
  <c r="AX17" i="3"/>
  <c r="AW18" i="3"/>
  <c r="AX18" i="3"/>
  <c r="AW19" i="3"/>
  <c r="AX19" i="3"/>
  <c r="AW20" i="3"/>
  <c r="AX20" i="3"/>
  <c r="AW21" i="3"/>
  <c r="AX21" i="3"/>
  <c r="AW22" i="3"/>
  <c r="AX22" i="3"/>
  <c r="AW23" i="3"/>
  <c r="AX23" i="3"/>
  <c r="AW24" i="3"/>
  <c r="AX24" i="3"/>
  <c r="AW25" i="3"/>
  <c r="AX25" i="3"/>
  <c r="AW26" i="3"/>
  <c r="AX26" i="3"/>
  <c r="AW27" i="3"/>
  <c r="AX27" i="3"/>
  <c r="AX16" i="3"/>
  <c r="AW16" i="3"/>
  <c r="C6" i="3"/>
  <c r="B6" i="3"/>
  <c r="J18" i="3" l="1"/>
  <c r="J17" i="3"/>
  <c r="J16" i="3"/>
  <c r="J15" i="3"/>
  <c r="J14" i="3"/>
  <c r="J13" i="3"/>
  <c r="J12" i="3"/>
  <c r="J11" i="3"/>
  <c r="J10" i="3"/>
  <c r="J9" i="3"/>
  <c r="J8" i="3"/>
  <c r="J7" i="3"/>
  <c r="M6" i="3"/>
  <c r="L6" i="3"/>
  <c r="K6" i="3"/>
  <c r="I6" i="3"/>
  <c r="H6" i="3"/>
  <c r="AJ110" i="3"/>
  <c r="AJ111" i="3"/>
  <c r="AJ112" i="3"/>
  <c r="AJ113" i="3"/>
  <c r="AJ114" i="3"/>
  <c r="AJ115" i="3"/>
  <c r="AJ116" i="3"/>
  <c r="AJ117" i="3"/>
  <c r="AJ118" i="3"/>
  <c r="AJ119" i="3"/>
  <c r="AJ120" i="3"/>
  <c r="AJ109" i="3"/>
  <c r="J6" i="3" l="1"/>
  <c r="D8" i="3" l="1"/>
  <c r="D9" i="3"/>
  <c r="D10" i="3"/>
  <c r="D11" i="3"/>
  <c r="D12" i="3"/>
  <c r="D13" i="3"/>
  <c r="D14" i="3"/>
  <c r="D15" i="3"/>
  <c r="D16" i="3"/>
  <c r="D17" i="3"/>
  <c r="D18" i="3"/>
  <c r="D7" i="3"/>
  <c r="E6" i="3" l="1"/>
  <c r="G6" i="3" l="1"/>
  <c r="F6" i="3"/>
  <c r="D6" i="3"/>
</calcChain>
</file>

<file path=xl/sharedStrings.xml><?xml version="1.0" encoding="utf-8"?>
<sst xmlns="http://schemas.openxmlformats.org/spreadsheetml/2006/main" count="158" uniqueCount="45">
  <si>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</si>
  <si>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</si>
  <si>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</si>
  <si>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</si>
  <si>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</si>
  <si>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</si>
  <si>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</si>
  <si>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</si>
  <si>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</si>
  <si>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</si>
  <si>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</si>
  <si>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</si>
  <si>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</si>
  <si>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</si>
  <si>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</si>
  <si>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</si>
  <si>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</si>
  <si>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</si>
  <si>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</si>
  <si>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</si>
  <si>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</si>
  <si>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</si>
  <si>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</si>
  <si>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</si>
  <si>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</si>
  <si>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</si>
  <si>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</si>
  <si>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</si>
  <si>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</si>
  <si>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</si>
  <si>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</si>
  <si>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</si>
  <si>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</si>
  <si>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</si>
  <si>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</si>
  <si>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</si>
  <si>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</si>
  <si>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</si>
  <si>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</si>
  <si>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</si>
  <si>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May, June and July 2020, Average Duration of Stay is based on estimated number of tourists in the Maldives.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</si>
  <si>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</si>
  <si>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</si>
  <si>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10.3: BED CAPACITY AND UTILIZATION BY MONTH,  2021-2022</t>
  </si>
  <si>
    <t>2022 - 2021  ,urwvcnim unuverukcnunEb wgWjegudnea iaWa wgWj egudnea uhwmcswmikea : 10.3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</si>
</sst>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9"/>
      <color rgb="FFFF0000"/>
      <name val="Arial"/>
      <family val="2"/>
    </font>
    <font>
      <sz val="9"/>
      <color rgb="FFFF0000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0" fontId="1" fillId="0" borderId="0"/>
    <xf numFmtId="0" fontId="2" fillId="0" borderId="0"/>
    <xf numFmtId="0" fontId="23" fillId="0" borderId="0"/>
    <xf numFmtId="0" fontId="24" fillId="0" borderId="0"/>
    <xf numFmtId="0" fontId="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</cellStyleXfs>
  <cellXfs count="68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horizontal="center"/>
    </xf>
    <xf numFmtId="168" fontId="13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3" fontId="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right" vertical="center"/>
    </xf>
    <xf numFmtId="37" fontId="8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7" fontId="20" fillId="2" borderId="0" xfId="0" applyNumberFormat="1" applyFont="1" applyFill="1"/>
    <xf numFmtId="164" fontId="20" fillId="2" borderId="0" xfId="0" applyNumberFormat="1" applyFont="1" applyFill="1"/>
    <xf numFmtId="0" fontId="20" fillId="2" borderId="0" xfId="0" applyFont="1" applyFill="1"/>
    <xf numFmtId="0" fontId="21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164" fontId="7" fillId="2" borderId="1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167" fontId="9" fillId="2" borderId="0" xfId="0" applyNumberFormat="1" applyFont="1" applyFill="1" applyAlignment="1">
      <alignment horizontal="center"/>
    </xf>
    <xf numFmtId="3" fontId="7" fillId="0" borderId="9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64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10.7: Average duration of stay of tourists, 2021 - 2022</a:t>
            </a:r>
          </a:p>
        </c:rich>
      </c:tx>
      <c:layout>
        <c:manualLayout>
          <c:xMode val="edge"/>
          <c:yMode val="edge"/>
          <c:x val="0.20004409457667005"/>
          <c:y val="4.5386795248124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cat>
            <c:strRef>
              <c:f>'10.3'!$AI$109:$AI$132</c:f>
              <c:strCache>
                <c:ptCount val="24"/>
                <c:pt idx="0">
                  <c:v>Jan-21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Jan-22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'10.3'!$AJ$109:$AJ$132</c:f>
              <c:numCache>
                <c:formatCode>0.0</c:formatCode>
                <c:ptCount val="24"/>
                <c:pt idx="0">
                  <c:v>9.1999999999999993</c:v>
                </c:pt>
                <c:pt idx="1">
                  <c:v>8.8000000000000007</c:v>
                </c:pt>
                <c:pt idx="2">
                  <c:v>8.6999999999999993</c:v>
                </c:pt>
                <c:pt idx="3">
                  <c:v>9.3000000000000007</c:v>
                </c:pt>
                <c:pt idx="4">
                  <c:v>9.1</c:v>
                </c:pt>
                <c:pt idx="5">
                  <c:v>9</c:v>
                </c:pt>
                <c:pt idx="6">
                  <c:v>9.1</c:v>
                </c:pt>
                <c:pt idx="7">
                  <c:v>9.6</c:v>
                </c:pt>
                <c:pt idx="8">
                  <c:v>8.1</c:v>
                </c:pt>
                <c:pt idx="9">
                  <c:v>8.3000000000000007</c:v>
                </c:pt>
                <c:pt idx="10">
                  <c:v>8</c:v>
                </c:pt>
                <c:pt idx="11">
                  <c:v>8.4</c:v>
                </c:pt>
                <c:pt idx="12" formatCode="#,##0.0">
                  <c:v>9</c:v>
                </c:pt>
                <c:pt idx="13" formatCode="#,##0.0">
                  <c:v>8.6</c:v>
                </c:pt>
                <c:pt idx="14" formatCode="#,##0.0">
                  <c:v>8</c:v>
                </c:pt>
                <c:pt idx="15" formatCode="#,##0.0">
                  <c:v>8.1</c:v>
                </c:pt>
                <c:pt idx="16" formatCode="#,##0.0">
                  <c:v>7.2</c:v>
                </c:pt>
                <c:pt idx="17" formatCode="#,##0.0">
                  <c:v>7.7</c:v>
                </c:pt>
                <c:pt idx="18" formatCode="#,##0.0">
                  <c:v>8.3000000000000007</c:v>
                </c:pt>
                <c:pt idx="19" formatCode="#,##0.0">
                  <c:v>8.3000000000000007</c:v>
                </c:pt>
                <c:pt idx="20" formatCode="#,##0.0">
                  <c:v>7.8</c:v>
                </c:pt>
                <c:pt idx="21" formatCode="#,##0.0">
                  <c:v>7.7</c:v>
                </c:pt>
                <c:pt idx="22" formatCode="#,##0.0">
                  <c:v>7.7</c:v>
                </c:pt>
                <c:pt idx="23" formatCode="#,##0.0">
                  <c:v>7.8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16680"/>
        <c:axId val="400021776"/>
      </c:lineChart>
      <c:catAx>
        <c:axId val="4000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800">
                <a:latin typeface="+mn-lt"/>
              </a:defRPr>
            </a:pPr>
            <a:endParaRPr lang="en-US"/>
          </a:p>
        </c:txPr>
        <c:crossAx val="400021776"/>
        <c:crosses val="autoZero"/>
        <c:auto val="1"/>
        <c:lblAlgn val="ctr"/>
        <c:lblOffset val="100"/>
        <c:noMultiLvlLbl val="0"/>
      </c:catAx>
      <c:valAx>
        <c:axId val="400021776"/>
        <c:scaling>
          <c:orientation val="minMax"/>
          <c:max val="20"/>
          <c:min val="0"/>
        </c:scaling>
        <c:delete val="0"/>
        <c:axPos val="l"/>
        <c:majorGridlines>
          <c:spPr>
            <a:ln w="12700"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Average Number of days</a:t>
                </a:r>
              </a:p>
            </c:rich>
          </c:tx>
          <c:layout>
            <c:manualLayout>
              <c:xMode val="edge"/>
              <c:yMode val="edge"/>
              <c:x val="4.0054180419253783E-3"/>
              <c:y val="8.7282570480811436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0016680"/>
        <c:crosses val="autoZero"/>
        <c:crossBetween val="between"/>
        <c:majorUnit val="2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2022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5036451437118789"/>
          <c:y val="6.872001098392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'10.3'!$AW$15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'10.3'!$AV$16:$AV$27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'10.3'!$AW$16:$AW$27</c:f>
              <c:numCache>
                <c:formatCode>#,##0</c:formatCode>
                <c:ptCount val="12"/>
                <c:pt idx="0">
                  <c:v>57452</c:v>
                </c:pt>
                <c:pt idx="1">
                  <c:v>57608</c:v>
                </c:pt>
                <c:pt idx="2">
                  <c:v>58044</c:v>
                </c:pt>
                <c:pt idx="3">
                  <c:v>58319</c:v>
                </c:pt>
                <c:pt idx="4">
                  <c:v>58717</c:v>
                </c:pt>
                <c:pt idx="5">
                  <c:v>58893</c:v>
                </c:pt>
                <c:pt idx="6">
                  <c:v>59501</c:v>
                </c:pt>
                <c:pt idx="7">
                  <c:v>59637</c:v>
                </c:pt>
                <c:pt idx="8">
                  <c:v>59898</c:v>
                </c:pt>
                <c:pt idx="9">
                  <c:v>60434</c:v>
                </c:pt>
                <c:pt idx="10">
                  <c:v>60434</c:v>
                </c:pt>
                <c:pt idx="11">
                  <c:v>60649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9BA-9436-E2340D30CC13}"/>
            </c:ext>
          </c:extLst>
        </c:ser>
        <c:ser>
          <c:idx val="1"/>
          <c:order val="1"/>
          <c:tx>
            <c:strRef>
              <c:f>'10.3'!$AX$15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'10.3'!$AV$16:$AV$27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'10.3'!$AX$16:$AX$27</c:f>
              <c:numCache>
                <c:formatCode>#,##0</c:formatCode>
                <c:ptCount val="12"/>
                <c:pt idx="0">
                  <c:v>54114</c:v>
                </c:pt>
                <c:pt idx="1">
                  <c:v>54172</c:v>
                </c:pt>
                <c:pt idx="2">
                  <c:v>54661</c:v>
                </c:pt>
                <c:pt idx="3">
                  <c:v>54846</c:v>
                </c:pt>
                <c:pt idx="4">
                  <c:v>57595</c:v>
                </c:pt>
                <c:pt idx="5">
                  <c:v>57731</c:v>
                </c:pt>
                <c:pt idx="6">
                  <c:v>58100</c:v>
                </c:pt>
                <c:pt idx="7">
                  <c:v>58233</c:v>
                </c:pt>
                <c:pt idx="8">
                  <c:v>58776</c:v>
                </c:pt>
                <c:pt idx="9">
                  <c:v>59538</c:v>
                </c:pt>
                <c:pt idx="10">
                  <c:v>59538</c:v>
                </c:pt>
                <c:pt idx="11">
                  <c:v>59753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9BA-9436-E2340D30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00019424"/>
        <c:axId val="400015112"/>
      </c:barChart>
      <c:catAx>
        <c:axId val="4000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112"/>
        <c:crosses val="autoZero"/>
        <c:auto val="1"/>
        <c:lblAlgn val="ctr"/>
        <c:lblOffset val="100"/>
        <c:noMultiLvlLbl val="0"/>
      </c:catAx>
      <c:valAx>
        <c:axId val="400015112"/>
        <c:scaling>
          <c:orientation val="minMax"/>
          <c:max val="7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94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6.3895584534217689E-2"/>
          <c:y val="0.1988835414498786"/>
          <c:w val="0.36621896210650873"/>
          <c:h val="7.7168591014461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566109</xdr:colOff>
      <xdr:row>36</xdr:row>
      <xdr:rowOff>139475</xdr:rowOff>
    </xdr:from>
    <xdr:to>
      <xdr:col>11</xdr:col>
      <xdr:colOff>71887</xdr:colOff>
      <xdr:row>57</xdr:row>
      <xdr:rowOff>43225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548137</xdr:colOff>
      <xdr:row>22</xdr:row>
      <xdr:rowOff>166585</xdr:rowOff>
    </xdr:from>
    <xdr:to>
      <xdr:col>11</xdr:col>
      <xdr:colOff>35944</xdr:colOff>
      <xdr:row>35</xdr:row>
      <xdr:rowOff>14185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X132"/>
  <sheetViews>
    <sheetView tabSelected="1" zoomScale="106" zoomScaleNormal="106" workbookViewId="0">
      <pane xSplit="1" ySplit="5" topLeftCell="B6" activePane="bottomRight" state="frozen"/>
      <selection pane="topRight" activeCell="AG1" sqref="AG1"/>
      <selection pane="bottomLeft" activeCell="A6" sqref="A6"/>
      <selection pane="bottomRight" activeCell="O10" sqref="O10"/>
    </sheetView>
  </sheetViews>
  <sheetFormatPr defaultColWidth="9.140625" defaultRowHeight="12"/>
  <cols>
    <col min="1" max="1" width="16.85546875" style="6" customWidth="1"/>
    <col min="2" max="3" width="11.28515625" style="6" customWidth="1"/>
    <col min="4" max="4" width="14.85546875" style="6" customWidth="1"/>
    <col min="5" max="9" width="11.28515625" style="6" customWidth="1"/>
    <col min="10" max="10" width="14.85546875" style="6" customWidth="1"/>
    <col min="11" max="13" width="11.28515625" style="6" customWidth="1"/>
    <col min="14" max="14" width="3.140625" style="6" customWidth="1"/>
    <col min="15" max="29" width="11.28515625" style="6" customWidth="1"/>
    <col min="30" max="16384" width="9.140625" style="6"/>
  </cols>
  <sheetData>
    <row r="1" spans="1:50" ht="17.25" customHeight="1">
      <c r="A1" s="60" t="s">
        <v>44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50" ht="24" customHeight="1">
      <c r="A2" s="61" t="s">
        <v>43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50" s="7" customFormat="1" ht="18.75" customHeight="1">
      <c r="A3" s="63" t="s">
        <v>3</v>
      </c>
      <c r="B3" s="66">
        <v>2021</v>
      </c>
      <c r="C3" s="67"/>
      <c r="D3" s="67"/>
      <c r="E3" s="67"/>
      <c r="F3" s="67"/>
      <c r="G3" s="67"/>
      <c r="H3" s="66">
        <v>2022</v>
      </c>
      <c r="I3" s="67"/>
      <c r="J3" s="67"/>
      <c r="K3" s="67"/>
      <c r="L3" s="67"/>
      <c r="M3" s="67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spans="1:50" s="7" customFormat="1" ht="72" customHeight="1">
      <c r="A4" s="64"/>
      <c r="B4" s="8" t="s">
        <v>4</v>
      </c>
      <c r="C4" s="9" t="s">
        <v>5</v>
      </c>
      <c r="D4" s="9" t="s">
        <v>2</v>
      </c>
      <c r="E4" s="9" t="s">
        <v>6</v>
      </c>
      <c r="F4" s="9" t="s">
        <v>7</v>
      </c>
      <c r="G4" s="9" t="s">
        <v>8</v>
      </c>
      <c r="H4" s="8" t="s">
        <v>4</v>
      </c>
      <c r="I4" s="9" t="s">
        <v>5</v>
      </c>
      <c r="J4" s="9" t="s">
        <v>2</v>
      </c>
      <c r="K4" s="9" t="s">
        <v>6</v>
      </c>
      <c r="L4" s="9" t="s">
        <v>7</v>
      </c>
      <c r="M4" s="9" t="s">
        <v>8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E4" s="62"/>
      <c r="AF4" s="62"/>
      <c r="AG4" s="62"/>
      <c r="AH4" s="62"/>
      <c r="AI4" s="62"/>
      <c r="AJ4" s="62"/>
    </row>
    <row r="5" spans="1:50" s="7" customFormat="1" ht="46.5" customHeight="1">
      <c r="A5" s="65"/>
      <c r="B5" s="44" t="s">
        <v>14</v>
      </c>
      <c r="C5" s="43" t="s">
        <v>9</v>
      </c>
      <c r="D5" s="43" t="s">
        <v>10</v>
      </c>
      <c r="E5" s="43" t="s">
        <v>11</v>
      </c>
      <c r="F5" s="43" t="s">
        <v>12</v>
      </c>
      <c r="G5" s="43" t="s">
        <v>13</v>
      </c>
      <c r="H5" s="44" t="s">
        <v>14</v>
      </c>
      <c r="I5" s="43" t="s">
        <v>9</v>
      </c>
      <c r="J5" s="43" t="s">
        <v>10</v>
      </c>
      <c r="K5" s="43" t="s">
        <v>11</v>
      </c>
      <c r="L5" s="43" t="s">
        <v>12</v>
      </c>
      <c r="M5" s="43" t="s">
        <v>13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spans="1:50" s="7" customFormat="1" ht="16.5" customHeight="1">
      <c r="A6" s="10" t="s">
        <v>15</v>
      </c>
      <c r="B6" s="48">
        <f>AVERAGE(B7:B18)</f>
        <v>54610.25</v>
      </c>
      <c r="C6" s="49">
        <f>AVERAGE(C7:C18)</f>
        <v>48960.416666666664</v>
      </c>
      <c r="D6" s="50">
        <f>AVERAGE(D7:D18)</f>
        <v>89.588585848044474</v>
      </c>
      <c r="E6" s="50">
        <f>AVERAGE(E7:E18)</f>
        <v>56.141363558311788</v>
      </c>
      <c r="F6" s="2">
        <f>SUM(F7:F18)</f>
        <v>10073404.431001486</v>
      </c>
      <c r="G6" s="50">
        <f>AVERAGE(G7:G18)</f>
        <v>8.7999999999999989</v>
      </c>
      <c r="H6" s="48">
        <f>AVERAGE(H7:H18)</f>
        <v>59132.166666666664</v>
      </c>
      <c r="I6" s="49">
        <f>AVERAGE(I7:I18)</f>
        <v>57254.75</v>
      </c>
      <c r="J6" s="50">
        <f>AVERAGE(J7:J18)</f>
        <v>96.794454718197855</v>
      </c>
      <c r="K6" s="50">
        <f>AVERAGE(K7:K18)</f>
        <v>58.9</v>
      </c>
      <c r="L6" s="2">
        <f>SUM(L7:L18)</f>
        <v>12260108.330737725</v>
      </c>
      <c r="M6" s="50">
        <f>AVERAGE(M7:M18)</f>
        <v>8.0166666666666675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50" s="7" customFormat="1" ht="16.5" customHeight="1">
      <c r="A7" s="12" t="s">
        <v>16</v>
      </c>
      <c r="B7" s="51">
        <v>52832</v>
      </c>
      <c r="C7" s="52">
        <v>43984</v>
      </c>
      <c r="D7" s="14">
        <f t="shared" ref="D7:D18" si="0">C7/B7*100</f>
        <v>83.252574197456084</v>
      </c>
      <c r="E7" s="53">
        <v>61.250313248638669</v>
      </c>
      <c r="F7" s="4">
        <v>835150.4711577181</v>
      </c>
      <c r="G7" s="53">
        <v>9.1999999999999993</v>
      </c>
      <c r="H7" s="51">
        <v>57452</v>
      </c>
      <c r="I7" s="52">
        <v>54114</v>
      </c>
      <c r="J7" s="14">
        <f t="shared" ref="J7:J18" si="1">I7/H7*100</f>
        <v>94.189932465362389</v>
      </c>
      <c r="K7" s="53">
        <v>68.599999999999994</v>
      </c>
      <c r="L7" s="4">
        <v>1150713.3636085521</v>
      </c>
      <c r="M7" s="56">
        <v>9</v>
      </c>
      <c r="N7" s="14"/>
      <c r="O7" s="3"/>
      <c r="P7" s="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50" s="7" customFormat="1" ht="16.5" customHeight="1">
      <c r="A8" s="12" t="s">
        <v>17</v>
      </c>
      <c r="B8" s="51">
        <v>52928</v>
      </c>
      <c r="C8" s="52">
        <v>45303</v>
      </c>
      <c r="D8" s="14">
        <f t="shared" si="0"/>
        <v>85.593636638452239</v>
      </c>
      <c r="E8" s="53">
        <v>60.111594210104649</v>
      </c>
      <c r="F8" s="4">
        <v>762505.95470010396</v>
      </c>
      <c r="G8" s="53">
        <v>8.8000000000000007</v>
      </c>
      <c r="H8" s="51">
        <v>57608</v>
      </c>
      <c r="I8" s="52">
        <v>54172</v>
      </c>
      <c r="J8" s="14">
        <f t="shared" si="1"/>
        <v>94.035550617969719</v>
      </c>
      <c r="K8" s="53">
        <v>72.599999999999994</v>
      </c>
      <c r="L8" s="4">
        <v>1100758.9602994234</v>
      </c>
      <c r="M8" s="56">
        <v>8.6</v>
      </c>
      <c r="N8" s="14"/>
      <c r="O8" s="3"/>
      <c r="P8" s="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50" s="7" customFormat="1" ht="16.5" customHeight="1">
      <c r="A9" s="12" t="s">
        <v>18</v>
      </c>
      <c r="B9" s="51">
        <v>53270</v>
      </c>
      <c r="C9" s="52">
        <v>46179</v>
      </c>
      <c r="D9" s="14">
        <f t="shared" si="0"/>
        <v>86.688567674113003</v>
      </c>
      <c r="E9" s="53">
        <v>60.791146762995126</v>
      </c>
      <c r="F9" s="4">
        <v>870255.05357418919</v>
      </c>
      <c r="G9" s="53">
        <v>8.6999999999999993</v>
      </c>
      <c r="H9" s="51">
        <v>58044</v>
      </c>
      <c r="I9" s="52">
        <v>54661</v>
      </c>
      <c r="J9" s="14">
        <f t="shared" si="1"/>
        <v>94.17166287643856</v>
      </c>
      <c r="K9" s="53">
        <v>67.2</v>
      </c>
      <c r="L9" s="4">
        <v>1137971.7070753367</v>
      </c>
      <c r="M9" s="56">
        <v>8</v>
      </c>
      <c r="N9" s="14"/>
      <c r="O9" s="3"/>
      <c r="P9" s="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50" s="7" customFormat="1" ht="16.5" customHeight="1">
      <c r="A10" s="12" t="s">
        <v>19</v>
      </c>
      <c r="B10" s="51">
        <v>53985</v>
      </c>
      <c r="C10" s="52">
        <v>48265</v>
      </c>
      <c r="D10" s="14">
        <f t="shared" si="0"/>
        <v>89.404464203019359</v>
      </c>
      <c r="E10" s="53">
        <v>51.517964282416585</v>
      </c>
      <c r="F10" s="4">
        <v>745954.3638272509</v>
      </c>
      <c r="G10" s="53">
        <v>9.3000000000000007</v>
      </c>
      <c r="H10" s="51">
        <v>58319</v>
      </c>
      <c r="I10" s="52">
        <v>54846</v>
      </c>
      <c r="J10" s="14">
        <f t="shared" si="1"/>
        <v>94.044822442085774</v>
      </c>
      <c r="K10" s="53">
        <v>65.3</v>
      </c>
      <c r="L10" s="4">
        <v>1074531.6077666467</v>
      </c>
      <c r="M10" s="56">
        <v>8.1</v>
      </c>
      <c r="N10" s="14"/>
      <c r="O10" s="3"/>
      <c r="P10" s="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50" s="7" customFormat="1" ht="16.5" customHeight="1">
      <c r="A11" s="12" t="s">
        <v>20</v>
      </c>
      <c r="B11" s="51">
        <v>53859</v>
      </c>
      <c r="C11" s="52">
        <v>48066</v>
      </c>
      <c r="D11" s="14">
        <f t="shared" si="0"/>
        <v>89.244137470060707</v>
      </c>
      <c r="E11" s="53">
        <v>40.279713082647149</v>
      </c>
      <c r="F11" s="4">
        <v>600186.25359946059</v>
      </c>
      <c r="G11" s="53">
        <v>9.1</v>
      </c>
      <c r="H11" s="51">
        <v>58717</v>
      </c>
      <c r="I11" s="52">
        <v>57595</v>
      </c>
      <c r="J11" s="14">
        <f t="shared" si="1"/>
        <v>98.089139431510461</v>
      </c>
      <c r="K11" s="53">
        <v>48.2</v>
      </c>
      <c r="L11" s="4">
        <v>860190.70555042452</v>
      </c>
      <c r="M11" s="56">
        <v>7.2</v>
      </c>
      <c r="N11" s="14"/>
      <c r="O11" s="3"/>
      <c r="P11" s="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50" s="7" customFormat="1" ht="16.5" customHeight="1">
      <c r="A12" s="12" t="s">
        <v>21</v>
      </c>
      <c r="B12" s="51">
        <v>53945</v>
      </c>
      <c r="C12" s="52">
        <v>48396</v>
      </c>
      <c r="D12" s="14">
        <f t="shared" si="0"/>
        <v>89.713597182315326</v>
      </c>
      <c r="E12" s="53">
        <v>32.146243425663293</v>
      </c>
      <c r="F12" s="4">
        <v>466724.87904852029</v>
      </c>
      <c r="G12" s="53">
        <v>9</v>
      </c>
      <c r="H12" s="51">
        <v>58893</v>
      </c>
      <c r="I12" s="52">
        <v>57731</v>
      </c>
      <c r="J12" s="14">
        <f t="shared" si="1"/>
        <v>98.026930195439192</v>
      </c>
      <c r="K12" s="53">
        <v>45.1</v>
      </c>
      <c r="L12" s="4">
        <v>780785.81253420108</v>
      </c>
      <c r="M12" s="56">
        <v>7.7</v>
      </c>
      <c r="N12" s="14"/>
      <c r="O12" s="3"/>
      <c r="P12" s="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50" s="7" customFormat="1" ht="16.5" customHeight="1">
      <c r="A13" s="12" t="s">
        <v>22</v>
      </c>
      <c r="B13" s="51">
        <v>54313</v>
      </c>
      <c r="C13" s="52">
        <v>48752</v>
      </c>
      <c r="D13" s="14">
        <f t="shared" si="0"/>
        <v>89.761198976304016</v>
      </c>
      <c r="E13" s="53">
        <v>50.868997256</v>
      </c>
      <c r="F13" s="4">
        <v>768789.25980959879</v>
      </c>
      <c r="G13" s="53">
        <v>9.1</v>
      </c>
      <c r="H13" s="51">
        <v>59501</v>
      </c>
      <c r="I13" s="52">
        <v>58100</v>
      </c>
      <c r="J13" s="14">
        <f t="shared" si="1"/>
        <v>97.645417724071862</v>
      </c>
      <c r="K13" s="53">
        <v>55.2</v>
      </c>
      <c r="L13" s="4">
        <v>993898.20842588414</v>
      </c>
      <c r="M13" s="56">
        <v>8.3000000000000007</v>
      </c>
      <c r="N13" s="14"/>
      <c r="O13" s="3"/>
      <c r="P13" s="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50" s="7" customFormat="1" ht="16.5" customHeight="1">
      <c r="A14" s="12" t="s">
        <v>23</v>
      </c>
      <c r="B14" s="51">
        <v>54919</v>
      </c>
      <c r="C14" s="52">
        <v>50402</v>
      </c>
      <c r="D14" s="14">
        <f t="shared" si="0"/>
        <v>91.77515978076805</v>
      </c>
      <c r="E14" s="53">
        <v>64.880919713786483</v>
      </c>
      <c r="F14" s="4">
        <v>1013739.7157784224</v>
      </c>
      <c r="G14" s="53">
        <v>9.6</v>
      </c>
      <c r="H14" s="51">
        <v>59637</v>
      </c>
      <c r="I14" s="52">
        <v>58233</v>
      </c>
      <c r="J14" s="14">
        <f t="shared" si="1"/>
        <v>97.645756828814328</v>
      </c>
      <c r="K14" s="53">
        <v>58.8</v>
      </c>
      <c r="L14" s="4">
        <v>1061929.1703655317</v>
      </c>
      <c r="M14" s="56">
        <v>8.3000000000000007</v>
      </c>
      <c r="N14" s="14"/>
      <c r="O14" s="3"/>
      <c r="P14" s="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50" s="7" customFormat="1" ht="16.5" customHeight="1">
      <c r="A15" s="12" t="s">
        <v>24</v>
      </c>
      <c r="B15" s="51">
        <v>55675</v>
      </c>
      <c r="C15" s="52">
        <v>51084</v>
      </c>
      <c r="D15" s="14">
        <f t="shared" si="0"/>
        <v>91.753929052537046</v>
      </c>
      <c r="E15" s="53">
        <v>48.306661392447147</v>
      </c>
      <c r="F15" s="4">
        <v>740309.24717153108</v>
      </c>
      <c r="G15" s="53">
        <v>8.1</v>
      </c>
      <c r="H15" s="51">
        <v>59898</v>
      </c>
      <c r="I15" s="52">
        <v>58776</v>
      </c>
      <c r="J15" s="14">
        <f t="shared" si="1"/>
        <v>98.126815586497045</v>
      </c>
      <c r="K15" s="53">
        <v>45.8</v>
      </c>
      <c r="L15" s="4">
        <v>807036.36245775828</v>
      </c>
      <c r="M15" s="56">
        <v>7.8</v>
      </c>
      <c r="N15" s="14"/>
      <c r="O15" s="3"/>
      <c r="P15" s="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V15" s="6"/>
      <c r="AW15" s="19" t="s">
        <v>14</v>
      </c>
      <c r="AX15" s="19" t="s">
        <v>28</v>
      </c>
    </row>
    <row r="16" spans="1:50" s="7" customFormat="1" ht="16.5" customHeight="1">
      <c r="A16" s="12" t="s">
        <v>25</v>
      </c>
      <c r="B16" s="51">
        <v>56043</v>
      </c>
      <c r="C16" s="52">
        <v>51740</v>
      </c>
      <c r="D16" s="14">
        <f t="shared" si="0"/>
        <v>92.321967061006731</v>
      </c>
      <c r="E16" s="53">
        <v>63.661942576895015</v>
      </c>
      <c r="F16" s="4">
        <v>1021099.3617678499</v>
      </c>
      <c r="G16" s="53">
        <v>8.3000000000000007</v>
      </c>
      <c r="H16" s="51">
        <v>60434</v>
      </c>
      <c r="I16" s="52">
        <v>59538</v>
      </c>
      <c r="J16" s="14">
        <f t="shared" si="1"/>
        <v>98.517390872687557</v>
      </c>
      <c r="K16" s="53">
        <v>58.4</v>
      </c>
      <c r="L16" s="4">
        <v>1078513.3785202014</v>
      </c>
      <c r="M16" s="56">
        <v>7.7</v>
      </c>
      <c r="N16" s="14"/>
      <c r="O16" s="3"/>
      <c r="P16" s="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V16" s="21" t="s">
        <v>29</v>
      </c>
      <c r="AW16" s="13">
        <f>H7</f>
        <v>57452</v>
      </c>
      <c r="AX16" s="22">
        <f>I7</f>
        <v>54114</v>
      </c>
    </row>
    <row r="17" spans="1:50" s="7" customFormat="1" ht="16.5" customHeight="1">
      <c r="A17" s="12" t="s">
        <v>26</v>
      </c>
      <c r="B17" s="51">
        <v>56463</v>
      </c>
      <c r="C17" s="52">
        <v>52194</v>
      </c>
      <c r="D17" s="14">
        <f t="shared" si="0"/>
        <v>92.439296530471282</v>
      </c>
      <c r="E17" s="53">
        <v>68.773875208094537</v>
      </c>
      <c r="F17" s="4">
        <v>1076875.0927833859</v>
      </c>
      <c r="G17" s="53">
        <v>8</v>
      </c>
      <c r="H17" s="51">
        <v>60434</v>
      </c>
      <c r="I17" s="52">
        <v>59538</v>
      </c>
      <c r="J17" s="14">
        <f t="shared" si="1"/>
        <v>98.517390872687557</v>
      </c>
      <c r="K17" s="53">
        <v>59.5</v>
      </c>
      <c r="L17" s="4">
        <v>1063273.9032417238</v>
      </c>
      <c r="M17" s="56">
        <v>7.7</v>
      </c>
      <c r="N17" s="14"/>
      <c r="O17" s="3"/>
      <c r="P17" s="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V17" s="21" t="s">
        <v>30</v>
      </c>
      <c r="AW17" s="13">
        <f t="shared" ref="AW17:AX17" si="2">H8</f>
        <v>57608</v>
      </c>
      <c r="AX17" s="22">
        <f t="shared" si="2"/>
        <v>54172</v>
      </c>
    </row>
    <row r="18" spans="1:50" s="7" customFormat="1" ht="16.5" customHeight="1">
      <c r="A18" s="15" t="s">
        <v>27</v>
      </c>
      <c r="B18" s="54">
        <v>57091</v>
      </c>
      <c r="C18" s="55">
        <v>53160</v>
      </c>
      <c r="D18" s="16">
        <f t="shared" si="0"/>
        <v>93.114501410029604</v>
      </c>
      <c r="E18" s="47">
        <v>71.106991540052832</v>
      </c>
      <c r="F18" s="5">
        <v>1171814.7777834546</v>
      </c>
      <c r="G18" s="47">
        <v>8.4</v>
      </c>
      <c r="H18" s="59">
        <v>60649</v>
      </c>
      <c r="I18" s="55">
        <v>59753</v>
      </c>
      <c r="J18" s="16">
        <f t="shared" si="1"/>
        <v>98.522646704809645</v>
      </c>
      <c r="K18" s="47">
        <v>62.1</v>
      </c>
      <c r="L18" s="5">
        <v>1150505.1508920391</v>
      </c>
      <c r="M18" s="57">
        <v>7.8</v>
      </c>
      <c r="N18" s="14"/>
      <c r="O18" s="3"/>
      <c r="P18" s="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V18" s="21" t="s">
        <v>31</v>
      </c>
      <c r="AW18" s="13">
        <f t="shared" ref="AW18:AX18" si="3">H9</f>
        <v>58044</v>
      </c>
      <c r="AX18" s="22">
        <f t="shared" si="3"/>
        <v>54661</v>
      </c>
    </row>
    <row r="19" spans="1:50" s="38" customFormat="1" ht="13.5" customHeight="1">
      <c r="A19" s="45" t="s">
        <v>41</v>
      </c>
      <c r="B19" s="36"/>
      <c r="C19" s="36"/>
      <c r="D19" s="37"/>
      <c r="G19" s="33"/>
      <c r="H19" s="36"/>
      <c r="I19" s="36"/>
      <c r="J19" s="37"/>
      <c r="M19" s="33" t="s">
        <v>1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V19" s="40" t="s">
        <v>32</v>
      </c>
      <c r="AW19" s="13">
        <f t="shared" ref="AW19:AX19" si="4">H10</f>
        <v>58319</v>
      </c>
      <c r="AX19" s="22">
        <f t="shared" si="4"/>
        <v>54846</v>
      </c>
    </row>
    <row r="20" spans="1:50" ht="13.5" customHeight="1">
      <c r="A20" s="46" t="s">
        <v>40</v>
      </c>
      <c r="B20" s="17"/>
      <c r="C20" s="17"/>
      <c r="D20" s="18"/>
      <c r="H20" s="17"/>
      <c r="I20" s="17"/>
      <c r="J20" s="18"/>
      <c r="AV20" s="21" t="s">
        <v>20</v>
      </c>
      <c r="AW20" s="13">
        <f t="shared" ref="AW20:AX20" si="5">H11</f>
        <v>58717</v>
      </c>
      <c r="AX20" s="22">
        <f t="shared" si="5"/>
        <v>57595</v>
      </c>
    </row>
    <row r="21" spans="1:50" ht="13.5" customHeight="1">
      <c r="A21" s="46" t="s">
        <v>42</v>
      </c>
      <c r="B21" s="17"/>
      <c r="C21" s="17"/>
      <c r="H21" s="17"/>
      <c r="I21" s="17"/>
      <c r="AV21" s="21" t="s">
        <v>33</v>
      </c>
      <c r="AW21" s="13">
        <f t="shared" ref="AW21:AX21" si="6">H12</f>
        <v>58893</v>
      </c>
      <c r="AX21" s="22">
        <f t="shared" si="6"/>
        <v>57731</v>
      </c>
    </row>
    <row r="22" spans="1:50" ht="18.75" customHeight="1">
      <c r="A22" s="1" t="s">
        <v>0</v>
      </c>
      <c r="B22" s="17"/>
      <c r="C22" s="17"/>
      <c r="H22" s="17"/>
      <c r="I22" s="17"/>
      <c r="AV22" s="21" t="s">
        <v>34</v>
      </c>
      <c r="AW22" s="13">
        <f t="shared" ref="AW22:AX22" si="7">H13</f>
        <v>59501</v>
      </c>
      <c r="AX22" s="22">
        <f t="shared" si="7"/>
        <v>58100</v>
      </c>
    </row>
    <row r="23" spans="1:50" ht="18.75" customHeight="1">
      <c r="A23" s="21"/>
      <c r="B23" s="17"/>
      <c r="C23" s="17"/>
      <c r="H23" s="17"/>
      <c r="I23" s="17"/>
      <c r="AV23" s="21" t="s">
        <v>35</v>
      </c>
      <c r="AW23" s="13">
        <f t="shared" ref="AW23:AX23" si="8">H14</f>
        <v>59637</v>
      </c>
      <c r="AX23" s="22">
        <f t="shared" si="8"/>
        <v>58233</v>
      </c>
    </row>
    <row r="24" spans="1:50" ht="18.75" customHeight="1">
      <c r="A24" s="21"/>
      <c r="B24" s="17"/>
      <c r="C24" s="17"/>
      <c r="H24" s="17"/>
      <c r="I24" s="17"/>
      <c r="AV24" s="21" t="s">
        <v>36</v>
      </c>
      <c r="AW24" s="13">
        <f t="shared" ref="AW24:AX24" si="9">H15</f>
        <v>59898</v>
      </c>
      <c r="AX24" s="22">
        <f t="shared" si="9"/>
        <v>58776</v>
      </c>
    </row>
    <row r="25" spans="1:50" ht="18.75" customHeight="1">
      <c r="A25" s="21"/>
      <c r="B25" s="17"/>
      <c r="C25" s="17"/>
      <c r="H25" s="17"/>
      <c r="I25" s="17"/>
      <c r="AI25" s="23">
        <v>41640</v>
      </c>
      <c r="AJ25" s="24">
        <v>6.4975117763257861</v>
      </c>
      <c r="AV25" s="21" t="s">
        <v>37</v>
      </c>
      <c r="AW25" s="13">
        <f t="shared" ref="AW25:AX25" si="10">H16</f>
        <v>60434</v>
      </c>
      <c r="AX25" s="22">
        <f t="shared" si="10"/>
        <v>59538</v>
      </c>
    </row>
    <row r="26" spans="1:50" ht="18.75" customHeight="1">
      <c r="A26" s="21"/>
      <c r="B26" s="17"/>
      <c r="C26" s="17"/>
      <c r="H26" s="17"/>
      <c r="I26" s="17"/>
      <c r="AI26" s="25" t="s">
        <v>17</v>
      </c>
      <c r="AJ26" s="24">
        <v>6.1376541258299087</v>
      </c>
      <c r="AV26" s="21" t="s">
        <v>38</v>
      </c>
      <c r="AW26" s="13">
        <f t="shared" ref="AW26:AX26" si="11">H17</f>
        <v>60434</v>
      </c>
      <c r="AX26" s="22">
        <f t="shared" si="11"/>
        <v>59538</v>
      </c>
    </row>
    <row r="27" spans="1:50" ht="18.75" customHeight="1">
      <c r="A27" s="21"/>
      <c r="B27" s="17"/>
      <c r="C27" s="17"/>
      <c r="H27" s="17"/>
      <c r="I27" s="17"/>
      <c r="AI27" s="25" t="s">
        <v>18</v>
      </c>
      <c r="AJ27" s="24">
        <v>6.4923550587343692</v>
      </c>
      <c r="AV27" s="21" t="s">
        <v>39</v>
      </c>
      <c r="AW27" s="13">
        <f t="shared" ref="AW27:AX27" si="12">H18</f>
        <v>60649</v>
      </c>
      <c r="AX27" s="22">
        <f t="shared" si="12"/>
        <v>59753</v>
      </c>
    </row>
    <row r="28" spans="1:50" ht="18.75" customHeight="1">
      <c r="A28" s="21"/>
      <c r="B28" s="17"/>
      <c r="C28" s="17"/>
      <c r="H28" s="17"/>
      <c r="I28" s="17"/>
      <c r="AI28" s="25" t="s">
        <v>19</v>
      </c>
      <c r="AJ28" s="24">
        <v>6.15079432906969</v>
      </c>
      <c r="AV28" s="7"/>
      <c r="AW28" s="7"/>
      <c r="AX28" s="7"/>
    </row>
    <row r="29" spans="1:50" ht="18.75" customHeight="1">
      <c r="A29" s="21"/>
      <c r="B29" s="17"/>
      <c r="C29" s="17"/>
      <c r="H29" s="17"/>
      <c r="I29" s="17"/>
      <c r="AI29" s="25" t="s">
        <v>20</v>
      </c>
      <c r="AJ29" s="24">
        <v>6.1992748860848232</v>
      </c>
    </row>
    <row r="30" spans="1:50" ht="18.75" customHeight="1">
      <c r="A30" s="21"/>
      <c r="B30" s="17"/>
      <c r="C30" s="17"/>
      <c r="D30" s="20"/>
      <c r="H30" s="17"/>
      <c r="I30" s="17"/>
      <c r="J30" s="20"/>
      <c r="AI30" s="25" t="s">
        <v>21</v>
      </c>
      <c r="AJ30" s="24">
        <v>5.5955943225311051</v>
      </c>
    </row>
    <row r="31" spans="1:50" ht="18.75" customHeight="1">
      <c r="A31" s="21"/>
      <c r="B31" s="17"/>
      <c r="C31" s="17"/>
      <c r="D31" s="20"/>
      <c r="H31" s="17"/>
      <c r="I31" s="17"/>
      <c r="J31" s="20"/>
      <c r="AI31" s="25" t="s">
        <v>22</v>
      </c>
      <c r="AJ31" s="24">
        <v>5.7481210887205441</v>
      </c>
    </row>
    <row r="32" spans="1:50" ht="9.75" customHeight="1">
      <c r="A32" s="21"/>
      <c r="B32" s="26"/>
      <c r="C32" s="26"/>
      <c r="D32" s="26"/>
      <c r="H32" s="26"/>
      <c r="I32" s="26"/>
      <c r="J32" s="26"/>
      <c r="AI32" s="25" t="s">
        <v>23</v>
      </c>
      <c r="AJ32" s="24">
        <v>6.0467913155318369</v>
      </c>
    </row>
    <row r="33" spans="1:36" ht="18.75" customHeight="1">
      <c r="A33" s="21"/>
      <c r="B33" s="27"/>
      <c r="C33" s="27"/>
      <c r="D33" s="27"/>
      <c r="H33" s="27"/>
      <c r="I33" s="27"/>
      <c r="J33" s="27"/>
      <c r="AI33" s="25" t="s">
        <v>24</v>
      </c>
      <c r="AJ33" s="24">
        <v>5.681066930210064</v>
      </c>
    </row>
    <row r="34" spans="1:36" ht="18.75" customHeight="1">
      <c r="A34" s="21"/>
      <c r="B34" s="27"/>
      <c r="C34" s="27"/>
      <c r="D34" s="27"/>
      <c r="H34" s="27"/>
      <c r="I34" s="27"/>
      <c r="J34" s="27"/>
      <c r="AI34" s="25" t="s">
        <v>25</v>
      </c>
      <c r="AJ34" s="24">
        <v>6.0237285984899982</v>
      </c>
    </row>
    <row r="35" spans="1:36">
      <c r="B35" s="27"/>
      <c r="C35" s="27"/>
      <c r="D35" s="27"/>
      <c r="F35" s="28"/>
      <c r="G35" s="28"/>
      <c r="H35" s="27"/>
      <c r="I35" s="27"/>
      <c r="J35" s="2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I35" s="25" t="s">
        <v>26</v>
      </c>
      <c r="AJ35" s="24">
        <v>6.1560850096905702</v>
      </c>
    </row>
    <row r="36" spans="1:36">
      <c r="B36" s="27"/>
      <c r="C36" s="27"/>
      <c r="D36" s="27"/>
      <c r="E36" s="21"/>
      <c r="H36" s="27"/>
      <c r="I36" s="27"/>
      <c r="J36" s="27"/>
      <c r="K36" s="21"/>
      <c r="AI36" s="29" t="s">
        <v>27</v>
      </c>
      <c r="AJ36" s="24">
        <v>5.9540985502776067</v>
      </c>
    </row>
    <row r="37" spans="1:36">
      <c r="B37" s="27"/>
      <c r="C37" s="27"/>
      <c r="D37" s="27"/>
      <c r="E37" s="21"/>
      <c r="H37" s="27"/>
      <c r="I37" s="27"/>
      <c r="J37" s="27"/>
      <c r="K37" s="21"/>
      <c r="AI37" s="23">
        <v>42005</v>
      </c>
      <c r="AJ37" s="24">
        <v>6.4986144447992746</v>
      </c>
    </row>
    <row r="38" spans="1:36">
      <c r="B38" s="27"/>
      <c r="C38" s="27"/>
      <c r="D38" s="27"/>
      <c r="E38" s="21"/>
      <c r="H38" s="27"/>
      <c r="I38" s="27"/>
      <c r="J38" s="27"/>
      <c r="K38" s="21"/>
      <c r="AI38" s="25" t="s">
        <v>17</v>
      </c>
      <c r="AJ38" s="24">
        <v>5.6647325430819802</v>
      </c>
    </row>
    <row r="39" spans="1:36">
      <c r="B39" s="27"/>
      <c r="C39" s="27"/>
      <c r="D39" s="27"/>
      <c r="E39" s="21"/>
      <c r="H39" s="27"/>
      <c r="I39" s="27"/>
      <c r="J39" s="27"/>
      <c r="K39" s="21"/>
      <c r="AI39" s="25" t="s">
        <v>18</v>
      </c>
      <c r="AJ39" s="24">
        <v>5.8371209762779399</v>
      </c>
    </row>
    <row r="40" spans="1:36">
      <c r="B40" s="27"/>
      <c r="C40" s="27"/>
      <c r="D40" s="27"/>
      <c r="E40" s="21"/>
      <c r="H40" s="27"/>
      <c r="I40" s="27"/>
      <c r="J40" s="27"/>
      <c r="K40" s="21"/>
      <c r="AI40" s="25" t="s">
        <v>19</v>
      </c>
      <c r="AJ40" s="24">
        <v>5.8961776960544592</v>
      </c>
    </row>
    <row r="41" spans="1:36">
      <c r="B41" s="27"/>
      <c r="C41" s="27"/>
      <c r="D41" s="27"/>
      <c r="E41" s="21"/>
      <c r="H41" s="27"/>
      <c r="I41" s="27"/>
      <c r="J41" s="27"/>
      <c r="K41" s="21"/>
      <c r="AI41" s="25" t="s">
        <v>20</v>
      </c>
      <c r="AJ41" s="24">
        <v>5.8370252335174913</v>
      </c>
    </row>
    <row r="42" spans="1:36">
      <c r="B42" s="27"/>
      <c r="C42" s="27"/>
      <c r="D42" s="27"/>
      <c r="E42" s="21"/>
      <c r="H42" s="27"/>
      <c r="I42" s="27"/>
      <c r="J42" s="27"/>
      <c r="K42" s="21"/>
      <c r="AI42" s="25" t="s">
        <v>21</v>
      </c>
      <c r="AJ42" s="24">
        <v>5.3335091895075211</v>
      </c>
    </row>
    <row r="43" spans="1:36">
      <c r="B43" s="27"/>
      <c r="C43" s="27"/>
      <c r="D43" s="27"/>
      <c r="E43" s="21"/>
      <c r="H43" s="27"/>
      <c r="I43" s="27"/>
      <c r="J43" s="27"/>
      <c r="K43" s="21"/>
      <c r="AI43" s="25" t="s">
        <v>22</v>
      </c>
      <c r="AJ43" s="24">
        <v>5.2416292086454837</v>
      </c>
    </row>
    <row r="44" spans="1:36">
      <c r="B44" s="27"/>
      <c r="C44" s="27"/>
      <c r="D44" s="27"/>
      <c r="E44" s="21"/>
      <c r="H44" s="27"/>
      <c r="I44" s="27"/>
      <c r="J44" s="27"/>
      <c r="K44" s="21"/>
      <c r="AI44" s="25" t="s">
        <v>23</v>
      </c>
      <c r="AJ44" s="24">
        <v>5.5166509296920392</v>
      </c>
    </row>
    <row r="45" spans="1:36">
      <c r="E45" s="21"/>
      <c r="K45" s="21"/>
      <c r="AI45" s="25" t="s">
        <v>24</v>
      </c>
      <c r="AJ45" s="24">
        <v>5.4870643171990663</v>
      </c>
    </row>
    <row r="46" spans="1:36">
      <c r="E46" s="21"/>
      <c r="K46" s="21"/>
      <c r="AI46" s="25" t="s">
        <v>25</v>
      </c>
      <c r="AJ46" s="24">
        <v>5.783171244952511</v>
      </c>
    </row>
    <row r="47" spans="1:36">
      <c r="E47" s="21"/>
      <c r="K47" s="21"/>
      <c r="AI47" s="25" t="s">
        <v>26</v>
      </c>
      <c r="AJ47" s="24">
        <v>5.9014498215433724</v>
      </c>
    </row>
    <row r="48" spans="1:36">
      <c r="AI48" s="29" t="s">
        <v>27</v>
      </c>
      <c r="AJ48" s="24">
        <v>4.9508699844870234</v>
      </c>
    </row>
    <row r="49" spans="35:36">
      <c r="AI49" s="23">
        <v>42370</v>
      </c>
      <c r="AJ49" s="24">
        <v>6.1</v>
      </c>
    </row>
    <row r="50" spans="35:36">
      <c r="AI50" s="21" t="s">
        <v>30</v>
      </c>
      <c r="AJ50" s="24">
        <v>6.2</v>
      </c>
    </row>
    <row r="51" spans="35:36">
      <c r="AI51" s="21" t="s">
        <v>31</v>
      </c>
      <c r="AJ51" s="24">
        <v>6.5</v>
      </c>
    </row>
    <row r="52" spans="35:36">
      <c r="AI52" s="21" t="s">
        <v>32</v>
      </c>
      <c r="AJ52" s="24">
        <v>6.3</v>
      </c>
    </row>
    <row r="53" spans="35:36">
      <c r="AI53" s="21" t="s">
        <v>20</v>
      </c>
      <c r="AJ53" s="24">
        <v>6.2</v>
      </c>
    </row>
    <row r="54" spans="35:36">
      <c r="AI54" s="21" t="s">
        <v>33</v>
      </c>
      <c r="AJ54" s="24">
        <v>5.6</v>
      </c>
    </row>
    <row r="55" spans="35:36">
      <c r="AI55" s="21" t="s">
        <v>34</v>
      </c>
      <c r="AJ55" s="24">
        <v>5.7</v>
      </c>
    </row>
    <row r="56" spans="35:36">
      <c r="AI56" s="21" t="s">
        <v>35</v>
      </c>
      <c r="AJ56" s="24">
        <v>6</v>
      </c>
    </row>
    <row r="57" spans="35:36">
      <c r="AI57" s="21" t="s">
        <v>36</v>
      </c>
      <c r="AJ57" s="24">
        <v>5.8</v>
      </c>
    </row>
    <row r="58" spans="35:36">
      <c r="AI58" s="21" t="s">
        <v>37</v>
      </c>
      <c r="AJ58" s="24">
        <v>6</v>
      </c>
    </row>
    <row r="59" spans="35:36">
      <c r="AI59" s="21" t="s">
        <v>38</v>
      </c>
      <c r="AJ59" s="24">
        <v>6.2</v>
      </c>
    </row>
    <row r="60" spans="35:36">
      <c r="AI60" s="21" t="s">
        <v>39</v>
      </c>
      <c r="AJ60" s="24">
        <v>5.7</v>
      </c>
    </row>
    <row r="61" spans="35:36">
      <c r="AI61" s="23">
        <v>42736</v>
      </c>
      <c r="AJ61" s="30">
        <v>6.4</v>
      </c>
    </row>
    <row r="62" spans="35:36">
      <c r="AI62" s="21" t="s">
        <v>30</v>
      </c>
      <c r="AJ62" s="30">
        <v>6.4</v>
      </c>
    </row>
    <row r="63" spans="35:36">
      <c r="AI63" s="21" t="s">
        <v>31</v>
      </c>
      <c r="AJ63" s="30">
        <v>6.7</v>
      </c>
    </row>
    <row r="64" spans="35:36">
      <c r="AI64" s="21" t="s">
        <v>32</v>
      </c>
      <c r="AJ64" s="30">
        <v>6.2</v>
      </c>
    </row>
    <row r="65" spans="35:36">
      <c r="AI65" s="21" t="s">
        <v>20</v>
      </c>
      <c r="AJ65" s="30">
        <v>6.4</v>
      </c>
    </row>
    <row r="66" spans="35:36">
      <c r="AI66" s="21" t="s">
        <v>33</v>
      </c>
      <c r="AJ66" s="30">
        <v>5.6</v>
      </c>
    </row>
    <row r="67" spans="35:36">
      <c r="AI67" s="21" t="s">
        <v>34</v>
      </c>
      <c r="AJ67" s="30">
        <v>6.1</v>
      </c>
    </row>
    <row r="68" spans="35:36">
      <c r="AI68" s="21" t="s">
        <v>35</v>
      </c>
      <c r="AJ68" s="30">
        <v>6.2</v>
      </c>
    </row>
    <row r="69" spans="35:36">
      <c r="AI69" s="21" t="s">
        <v>36</v>
      </c>
      <c r="AJ69" s="30">
        <v>5.7</v>
      </c>
    </row>
    <row r="70" spans="35:36">
      <c r="AI70" s="21" t="s">
        <v>37</v>
      </c>
      <c r="AJ70" s="30">
        <v>6.2</v>
      </c>
    </row>
    <row r="71" spans="35:36">
      <c r="AI71" s="21" t="s">
        <v>38</v>
      </c>
      <c r="AJ71" s="30">
        <v>6.2</v>
      </c>
    </row>
    <row r="72" spans="35:36">
      <c r="AI72" s="21" t="s">
        <v>39</v>
      </c>
      <c r="AJ72" s="31">
        <v>6</v>
      </c>
    </row>
    <row r="73" spans="35:36">
      <c r="AI73" s="23">
        <v>43101</v>
      </c>
      <c r="AJ73" s="30">
        <v>6.6</v>
      </c>
    </row>
    <row r="74" spans="35:36">
      <c r="AI74" s="21" t="s">
        <v>30</v>
      </c>
      <c r="AJ74" s="30">
        <v>6.4</v>
      </c>
    </row>
    <row r="75" spans="35:36">
      <c r="AI75" s="21" t="s">
        <v>31</v>
      </c>
      <c r="AJ75" s="30">
        <v>6.5</v>
      </c>
    </row>
    <row r="76" spans="35:36">
      <c r="AI76" s="21" t="s">
        <v>32</v>
      </c>
      <c r="AJ76" s="30">
        <v>6.7</v>
      </c>
    </row>
    <row r="77" spans="35:36">
      <c r="AI77" s="21" t="s">
        <v>20</v>
      </c>
      <c r="AJ77" s="30">
        <v>6.9</v>
      </c>
    </row>
    <row r="78" spans="35:36">
      <c r="AI78" s="21" t="s">
        <v>33</v>
      </c>
      <c r="AJ78" s="30">
        <v>5.8</v>
      </c>
    </row>
    <row r="79" spans="35:36">
      <c r="AI79" s="21" t="s">
        <v>34</v>
      </c>
      <c r="AJ79" s="30">
        <v>6.1</v>
      </c>
    </row>
    <row r="80" spans="35:36">
      <c r="AI80" s="21" t="s">
        <v>35</v>
      </c>
      <c r="AJ80" s="30">
        <v>6.6</v>
      </c>
    </row>
    <row r="81" spans="35:36">
      <c r="AI81" s="21" t="s">
        <v>36</v>
      </c>
      <c r="AJ81" s="30">
        <v>6</v>
      </c>
    </row>
    <row r="82" spans="35:36">
      <c r="AI82" s="21" t="s">
        <v>37</v>
      </c>
      <c r="AJ82" s="30">
        <v>6.4</v>
      </c>
    </row>
    <row r="83" spans="35:36">
      <c r="AI83" s="21" t="s">
        <v>38</v>
      </c>
      <c r="AJ83" s="30">
        <v>6.4</v>
      </c>
    </row>
    <row r="84" spans="35:36">
      <c r="AI84" s="21" t="s">
        <v>39</v>
      </c>
      <c r="AJ84" s="30">
        <v>6</v>
      </c>
    </row>
    <row r="85" spans="35:36">
      <c r="AI85" s="23">
        <v>43466</v>
      </c>
      <c r="AJ85" s="30">
        <v>6.5882149816969973</v>
      </c>
    </row>
    <row r="86" spans="35:36">
      <c r="AI86" s="21" t="s">
        <v>30</v>
      </c>
      <c r="AJ86" s="30">
        <v>6.0482804911572279</v>
      </c>
    </row>
    <row r="87" spans="35:36">
      <c r="AI87" s="21" t="s">
        <v>31</v>
      </c>
      <c r="AJ87" s="30">
        <v>6.1824598176503818</v>
      </c>
    </row>
    <row r="88" spans="35:36">
      <c r="AI88" s="21" t="s">
        <v>32</v>
      </c>
      <c r="AJ88" s="30">
        <v>6.0189152035866762</v>
      </c>
    </row>
    <row r="89" spans="35:36">
      <c r="AI89" s="21" t="s">
        <v>20</v>
      </c>
      <c r="AJ89" s="30">
        <v>6.9693063559966193</v>
      </c>
    </row>
    <row r="90" spans="35:36">
      <c r="AI90" s="21" t="s">
        <v>33</v>
      </c>
      <c r="AJ90" s="30">
        <v>6.2974838531525128</v>
      </c>
    </row>
    <row r="91" spans="35:36">
      <c r="AI91" s="21" t="s">
        <v>34</v>
      </c>
      <c r="AJ91" s="30">
        <v>5.8777392231348422</v>
      </c>
    </row>
    <row r="92" spans="35:36">
      <c r="AI92" s="21" t="s">
        <v>35</v>
      </c>
      <c r="AJ92" s="30">
        <v>6.5354937125120207</v>
      </c>
    </row>
    <row r="93" spans="35:36">
      <c r="AI93" s="21" t="s">
        <v>36</v>
      </c>
      <c r="AJ93" s="30">
        <v>6.0265945053859173</v>
      </c>
    </row>
    <row r="94" spans="35:36">
      <c r="AI94" s="21" t="s">
        <v>37</v>
      </c>
      <c r="AJ94" s="30">
        <v>6.4568748581424016</v>
      </c>
    </row>
    <row r="95" spans="35:36">
      <c r="AI95" s="21" t="s">
        <v>38</v>
      </c>
      <c r="AJ95" s="30">
        <v>6.431551764903114</v>
      </c>
    </row>
    <row r="96" spans="35:36">
      <c r="AI96" s="21" t="s">
        <v>39</v>
      </c>
      <c r="AJ96" s="30">
        <v>6.1300122010911764</v>
      </c>
    </row>
    <row r="97" spans="35:36">
      <c r="AI97" s="23">
        <v>43831</v>
      </c>
      <c r="AJ97" s="30">
        <v>6.5920863312702735</v>
      </c>
    </row>
    <row r="98" spans="35:36">
      <c r="AI98" s="21" t="s">
        <v>30</v>
      </c>
      <c r="AJ98" s="30">
        <v>6.8118280755823273</v>
      </c>
    </row>
    <row r="99" spans="35:36">
      <c r="AI99" s="21" t="s">
        <v>31</v>
      </c>
      <c r="AJ99" s="30">
        <v>9.4298541854713473</v>
      </c>
    </row>
    <row r="100" spans="35:36">
      <c r="AI100" s="21" t="s">
        <v>32</v>
      </c>
      <c r="AJ100" s="30">
        <v>9.4285930300820073</v>
      </c>
    </row>
    <row r="101" spans="35:36">
      <c r="AI101" s="21" t="s">
        <v>20</v>
      </c>
      <c r="AJ101" s="30">
        <v>86.847657368887681</v>
      </c>
    </row>
    <row r="102" spans="35:36">
      <c r="AI102" s="21" t="s">
        <v>33</v>
      </c>
      <c r="AJ102" s="30">
        <v>42.28729376191415</v>
      </c>
    </row>
    <row r="103" spans="35:36">
      <c r="AI103" s="21" t="s">
        <v>34</v>
      </c>
      <c r="AJ103" s="30">
        <v>14.083004941514982</v>
      </c>
    </row>
    <row r="104" spans="35:36">
      <c r="AI104" s="21" t="s">
        <v>35</v>
      </c>
      <c r="AJ104" s="30">
        <v>9.3485538100132146</v>
      </c>
    </row>
    <row r="105" spans="35:36">
      <c r="AI105" s="21" t="s">
        <v>36</v>
      </c>
      <c r="AJ105" s="30">
        <v>9.4824196160074017</v>
      </c>
    </row>
    <row r="106" spans="35:36">
      <c r="AI106" s="21" t="s">
        <v>37</v>
      </c>
      <c r="AJ106" s="30">
        <v>9.6159959503923051</v>
      </c>
    </row>
    <row r="107" spans="35:36">
      <c r="AI107" s="21" t="s">
        <v>38</v>
      </c>
      <c r="AJ107" s="30">
        <v>8.877098540145985</v>
      </c>
    </row>
    <row r="108" spans="35:36">
      <c r="AI108" s="21" t="s">
        <v>39</v>
      </c>
      <c r="AJ108" s="30">
        <v>9.1055876952922024</v>
      </c>
    </row>
    <row r="109" spans="35:36">
      <c r="AI109" s="23">
        <v>44197</v>
      </c>
      <c r="AJ109" s="32">
        <f>G7</f>
        <v>9.1999999999999993</v>
      </c>
    </row>
    <row r="110" spans="35:36">
      <c r="AI110" s="21" t="s">
        <v>30</v>
      </c>
      <c r="AJ110" s="32">
        <f t="shared" ref="AJ110:AJ120" si="13">G8</f>
        <v>8.8000000000000007</v>
      </c>
    </row>
    <row r="111" spans="35:36">
      <c r="AI111" s="21" t="s">
        <v>31</v>
      </c>
      <c r="AJ111" s="32">
        <f t="shared" si="13"/>
        <v>8.6999999999999993</v>
      </c>
    </row>
    <row r="112" spans="35:36">
      <c r="AI112" s="21" t="s">
        <v>32</v>
      </c>
      <c r="AJ112" s="32">
        <f t="shared" si="13"/>
        <v>9.3000000000000007</v>
      </c>
    </row>
    <row r="113" spans="35:36">
      <c r="AI113" s="21" t="s">
        <v>20</v>
      </c>
      <c r="AJ113" s="32">
        <f t="shared" si="13"/>
        <v>9.1</v>
      </c>
    </row>
    <row r="114" spans="35:36">
      <c r="AI114" s="21" t="s">
        <v>33</v>
      </c>
      <c r="AJ114" s="32">
        <f t="shared" si="13"/>
        <v>9</v>
      </c>
    </row>
    <row r="115" spans="35:36">
      <c r="AI115" s="21" t="s">
        <v>34</v>
      </c>
      <c r="AJ115" s="32">
        <f t="shared" si="13"/>
        <v>9.1</v>
      </c>
    </row>
    <row r="116" spans="35:36">
      <c r="AI116" s="21" t="s">
        <v>35</v>
      </c>
      <c r="AJ116" s="32">
        <f t="shared" si="13"/>
        <v>9.6</v>
      </c>
    </row>
    <row r="117" spans="35:36">
      <c r="AI117" s="21" t="s">
        <v>36</v>
      </c>
      <c r="AJ117" s="32">
        <f t="shared" si="13"/>
        <v>8.1</v>
      </c>
    </row>
    <row r="118" spans="35:36">
      <c r="AI118" s="21" t="s">
        <v>37</v>
      </c>
      <c r="AJ118" s="32">
        <f t="shared" si="13"/>
        <v>8.3000000000000007</v>
      </c>
    </row>
    <row r="119" spans="35:36">
      <c r="AI119" s="21" t="s">
        <v>38</v>
      </c>
      <c r="AJ119" s="32">
        <f t="shared" si="13"/>
        <v>8</v>
      </c>
    </row>
    <row r="120" spans="35:36">
      <c r="AI120" s="21" t="s">
        <v>39</v>
      </c>
      <c r="AJ120" s="32">
        <f t="shared" si="13"/>
        <v>8.4</v>
      </c>
    </row>
    <row r="121" spans="35:36">
      <c r="AI121" s="23">
        <v>44562</v>
      </c>
      <c r="AJ121" s="58">
        <f>M7</f>
        <v>9</v>
      </c>
    </row>
    <row r="122" spans="35:36">
      <c r="AI122" s="21" t="s">
        <v>30</v>
      </c>
      <c r="AJ122" s="58">
        <f t="shared" ref="AJ122:AJ132" si="14">M8</f>
        <v>8.6</v>
      </c>
    </row>
    <row r="123" spans="35:36">
      <c r="AI123" s="21" t="s">
        <v>31</v>
      </c>
      <c r="AJ123" s="58">
        <f t="shared" si="14"/>
        <v>8</v>
      </c>
    </row>
    <row r="124" spans="35:36">
      <c r="AI124" s="21" t="s">
        <v>32</v>
      </c>
      <c r="AJ124" s="58">
        <f t="shared" si="14"/>
        <v>8.1</v>
      </c>
    </row>
    <row r="125" spans="35:36">
      <c r="AI125" s="21" t="s">
        <v>20</v>
      </c>
      <c r="AJ125" s="58">
        <f t="shared" si="14"/>
        <v>7.2</v>
      </c>
    </row>
    <row r="126" spans="35:36">
      <c r="AI126" s="21" t="s">
        <v>33</v>
      </c>
      <c r="AJ126" s="58">
        <f t="shared" si="14"/>
        <v>7.7</v>
      </c>
    </row>
    <row r="127" spans="35:36">
      <c r="AI127" s="21" t="s">
        <v>34</v>
      </c>
      <c r="AJ127" s="58">
        <f t="shared" si="14"/>
        <v>8.3000000000000007</v>
      </c>
    </row>
    <row r="128" spans="35:36">
      <c r="AI128" s="21" t="s">
        <v>35</v>
      </c>
      <c r="AJ128" s="58">
        <f t="shared" si="14"/>
        <v>8.3000000000000007</v>
      </c>
    </row>
    <row r="129" spans="35:36">
      <c r="AI129" s="21" t="s">
        <v>36</v>
      </c>
      <c r="AJ129" s="58">
        <f t="shared" si="14"/>
        <v>7.8</v>
      </c>
    </row>
    <row r="130" spans="35:36">
      <c r="AI130" s="21" t="s">
        <v>37</v>
      </c>
      <c r="AJ130" s="58">
        <f t="shared" si="14"/>
        <v>7.7</v>
      </c>
    </row>
    <row r="131" spans="35:36">
      <c r="AI131" s="21" t="s">
        <v>38</v>
      </c>
      <c r="AJ131" s="58">
        <f t="shared" si="14"/>
        <v>7.7</v>
      </c>
    </row>
    <row r="132" spans="35:36">
      <c r="AI132" s="21" t="s">
        <v>39</v>
      </c>
      <c r="AJ132" s="58">
        <f t="shared" si="14"/>
        <v>7.8</v>
      </c>
    </row>
  </sheetData>
  <mergeCells count="6">
    <mergeCell ref="A1:M1"/>
    <mergeCell ref="A2:M2"/>
    <mergeCell ref="AE4:AJ4"/>
    <mergeCell ref="A3:A5"/>
    <mergeCell ref="B3:G3"/>
    <mergeCell ref="H3:M3"/>
  </mergeCells>
  <pageMargins left="0.7" right="0.7" top="0.75" bottom="0.75" header="0.3" footer="0.3"/>
  <pageSetup paperSize="9" scale="72" orientation="landscape" horizontalDpi="4294967295" verticalDpi="4294967295" r:id="rId1"/>
  <rowBreaks count="1" manualBreakCount="1">
    <brk id="36" max="13" man="1"/>
  </rowBreaks>
  <ignoredErrors>
    <ignoredError sqref="F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2023-06-20T05:42:34Z</cp:lastPrinted>
  <dcterms:created xsi:type="dcterms:W3CDTF">2019-02-27T06:18:18Z</dcterms:created>
  <dcterms:modified xsi:type="dcterms:W3CDTF">2023-06-20T05:53:55Z</dcterms:modified>
</cp:coreProperties>
</file>