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3\FINAL\Tourism\"/>
    </mc:Choice>
  </mc:AlternateContent>
  <xr:revisionPtr revIDLastSave="0" documentId="13_ncr:1_{FCC769D4-5EA5-4F42-9F5D-002929364953}" xr6:coauthVersionLast="47" xr6:coauthVersionMax="47" xr10:uidLastSave="{00000000-0000-0000-0000-000000000000}"/>
  <bookViews>
    <workbookView xWindow="-120" yWindow="-120" windowWidth="29040" windowHeight="15840" tabRatio="714" xr2:uid="{00000000-000D-0000-FFFF-FFFF00000000}"/>
  </bookViews>
  <sheets>
    <sheet name="10.11" sheetId="11" r:id="rId1"/>
  </sheets>
  <externalReferences>
    <externalReference r:id="rId2"/>
  </externalReferences>
  <definedNames>
    <definedName name="_xlnm.Print_Area" localSheetId="0">'10.11'!$A$1:$O$45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M37" i="11" l="1"/>
  <c r="AM28" i="11"/>
  <c r="H11" i="11" l="1"/>
  <c r="AN39" i="11" l="1"/>
  <c r="AM39" i="11"/>
  <c r="AN38" i="11"/>
  <c r="AM38" i="11"/>
  <c r="M11" i="11"/>
  <c r="AN37" i="11"/>
  <c r="AN32" i="11"/>
  <c r="AN31" i="11"/>
  <c r="AM30" i="11"/>
  <c r="AN29" i="11"/>
  <c r="AX39" i="11"/>
  <c r="AW39" i="11"/>
  <c r="AV39" i="11"/>
  <c r="AU39" i="11"/>
  <c r="AT39" i="11"/>
  <c r="AS39" i="11"/>
  <c r="AR39" i="11"/>
  <c r="AQ39" i="11"/>
  <c r="AP39" i="11"/>
  <c r="AX38" i="11"/>
  <c r="AW38" i="11"/>
  <c r="AV38" i="11"/>
  <c r="AU38" i="11"/>
  <c r="AT38" i="11"/>
  <c r="AS38" i="11"/>
  <c r="AR38" i="11"/>
  <c r="AQ38" i="11"/>
  <c r="AP38" i="11"/>
  <c r="AX37" i="11"/>
  <c r="AV37" i="11"/>
  <c r="AU37" i="11"/>
  <c r="AT37" i="11"/>
  <c r="AS37" i="11"/>
  <c r="AR37" i="11"/>
  <c r="AQ37" i="11"/>
  <c r="AP37" i="11"/>
  <c r="AX32" i="11"/>
  <c r="AW32" i="11"/>
  <c r="AV32" i="11"/>
  <c r="AU32" i="11"/>
  <c r="AT32" i="11"/>
  <c r="AS32" i="11"/>
  <c r="AR32" i="11"/>
  <c r="AQ32" i="11"/>
  <c r="AP32" i="11"/>
  <c r="AO32" i="11"/>
  <c r="AM32" i="11"/>
  <c r="AX31" i="11"/>
  <c r="AW31" i="11"/>
  <c r="AV31" i="11"/>
  <c r="AU31" i="11"/>
  <c r="AT31" i="11"/>
  <c r="AS31" i="11"/>
  <c r="AR31" i="11"/>
  <c r="AQ31" i="11"/>
  <c r="AP31" i="11"/>
  <c r="AO31" i="11"/>
  <c r="AM31" i="11"/>
  <c r="AX30" i="11"/>
  <c r="AW30" i="11"/>
  <c r="AV30" i="11"/>
  <c r="AU30" i="11"/>
  <c r="AT30" i="11"/>
  <c r="AS30" i="11"/>
  <c r="AR30" i="11"/>
  <c r="AQ30" i="11"/>
  <c r="AP30" i="11"/>
  <c r="AO30" i="11"/>
  <c r="AX29" i="11"/>
  <c r="AW29" i="11"/>
  <c r="AV29" i="11"/>
  <c r="AU29" i="11"/>
  <c r="AT29" i="11"/>
  <c r="AS29" i="11"/>
  <c r="AR29" i="11"/>
  <c r="AQ29" i="11"/>
  <c r="AP29" i="11"/>
  <c r="AO29" i="11"/>
  <c r="AM29" i="11"/>
  <c r="AX28" i="11"/>
  <c r="AW28" i="11"/>
  <c r="AV28" i="11"/>
  <c r="AU28" i="11"/>
  <c r="AT28" i="11"/>
  <c r="AS28" i="11"/>
  <c r="AR28" i="11"/>
  <c r="AQ28" i="11"/>
  <c r="AP28" i="11"/>
  <c r="AO28" i="11"/>
  <c r="AN28" i="11"/>
  <c r="B20" i="11"/>
  <c r="B19" i="11"/>
  <c r="N11" i="11"/>
  <c r="L11" i="11"/>
  <c r="K11" i="11"/>
  <c r="J11" i="11"/>
  <c r="I11" i="11"/>
  <c r="G11" i="11"/>
  <c r="F11" i="11"/>
  <c r="N5" i="11"/>
  <c r="M5" i="11"/>
  <c r="L5" i="11"/>
  <c r="K5" i="11"/>
  <c r="J5" i="11"/>
  <c r="I5" i="11"/>
  <c r="H5" i="11"/>
  <c r="G5" i="11"/>
  <c r="F5" i="11"/>
  <c r="E5" i="11"/>
  <c r="AO37" i="11" l="1"/>
  <c r="C5" i="11"/>
  <c r="B6" i="11"/>
  <c r="B7" i="11"/>
  <c r="B14" i="11"/>
  <c r="B13" i="11"/>
  <c r="B10" i="11"/>
  <c r="AO38" i="11"/>
  <c r="B8" i="11"/>
  <c r="C11" i="11"/>
  <c r="AO39" i="11"/>
  <c r="AW37" i="11"/>
  <c r="B17" i="11"/>
  <c r="B15" i="11"/>
  <c r="B16" i="11"/>
  <c r="B18" i="11"/>
  <c r="E11" i="11"/>
  <c r="E4" i="11" s="1"/>
  <c r="D11" i="11"/>
  <c r="B12" i="11"/>
  <c r="B9" i="11"/>
  <c r="AN30" i="11"/>
  <c r="D5" i="11"/>
  <c r="I4" i="11"/>
  <c r="L4" i="11"/>
  <c r="F4" i="11"/>
  <c r="N4" i="11"/>
  <c r="G4" i="11"/>
  <c r="J4" i="11"/>
  <c r="H4" i="11"/>
  <c r="M4" i="11"/>
  <c r="K4" i="11"/>
  <c r="C4" i="11" l="1"/>
  <c r="B5" i="11"/>
  <c r="B11" i="11"/>
  <c r="D4" i="11"/>
  <c r="B4" i="11" l="1"/>
</calcChain>
</file>

<file path=xl/sharedStrings.xml><?xml version="1.0" encoding="utf-8"?>
<sst xmlns="http://schemas.openxmlformats.org/spreadsheetml/2006/main" count="90" uniqueCount="70">
  <si>
    <t>Total</t>
  </si>
  <si>
    <t>ޖުމްލަ</t>
  </si>
  <si>
    <t>Europe</t>
  </si>
  <si>
    <t>ޔޫރަޕް</t>
  </si>
  <si>
    <t>Asia</t>
  </si>
  <si>
    <t>އޭޝިއާ</t>
  </si>
  <si>
    <t>Africa</t>
  </si>
  <si>
    <t>އެފްރިކާ</t>
  </si>
  <si>
    <t>Oceania</t>
  </si>
  <si>
    <t>Middle East</t>
  </si>
  <si>
    <t>ޔޫ.އެން ޕާސްޕޯޓް ހޯލްޑަރ</t>
  </si>
  <si>
    <t>Source: Ministry of Tourism</t>
  </si>
  <si>
    <t>May</t>
  </si>
  <si>
    <t>cmwzirUT cfoa  IrcTcsinim :ctWrwf ivcaed utWmUluAwm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</si>
  <si>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</si>
  <si>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</si>
  <si>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</si>
  <si>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</si>
  <si>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</si>
  <si>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</si>
  <si>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</si>
  <si>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</si>
  <si>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</si>
  <si>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</si>
  <si>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</si>
  <si>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r>
      <rPr>
        <b/>
        <sz val="9"/>
        <rFont val="Faruma"/>
      </rPr>
      <t>ޖުމްލަ</t>
    </r>
    <r>
      <rPr>
        <b/>
        <sz val="9"/>
        <rFont val="Calibri"/>
        <family val="2"/>
      </rPr>
      <t xml:space="preserve">
Total</t>
    </r>
  </si>
  <si>
    <r>
      <rPr>
        <b/>
        <sz val="9"/>
        <rFont val="Faruma"/>
      </rPr>
      <t>ޖެނުއަރީ</t>
    </r>
    <r>
      <rPr>
        <b/>
        <sz val="9"/>
        <rFont val="Calibri"/>
        <family val="2"/>
      </rPr>
      <t xml:space="preserve">
Jan</t>
    </r>
  </si>
  <si>
    <r>
      <rPr>
        <b/>
        <sz val="9"/>
        <rFont val="Faruma"/>
      </rPr>
      <t>ފެބްރުއަރީ</t>
    </r>
    <r>
      <rPr>
        <b/>
        <sz val="9"/>
        <rFont val="Calibri"/>
        <family val="2"/>
      </rPr>
      <t xml:space="preserve">
Feb</t>
    </r>
  </si>
  <si>
    <r>
      <rPr>
        <b/>
        <sz val="9"/>
        <rFont val="Faruma"/>
      </rPr>
      <t>މާރޗް</t>
    </r>
    <r>
      <rPr>
        <b/>
        <sz val="9"/>
        <rFont val="Calibri"/>
        <family val="2"/>
      </rPr>
      <t xml:space="preserve">
Mar</t>
    </r>
  </si>
  <si>
    <r>
      <rPr>
        <b/>
        <sz val="9"/>
        <rFont val="Faruma"/>
      </rPr>
      <t>އޭޕްރިލް</t>
    </r>
    <r>
      <rPr>
        <b/>
        <sz val="9"/>
        <rFont val="Calibri"/>
        <family val="2"/>
      </rPr>
      <t xml:space="preserve">
Apr</t>
    </r>
  </si>
  <si>
    <r>
      <rPr>
        <b/>
        <sz val="9"/>
        <rFont val="Faruma"/>
      </rPr>
      <t>މެއި</t>
    </r>
    <r>
      <rPr>
        <b/>
        <sz val="9"/>
        <rFont val="Calibri"/>
        <family val="2"/>
      </rPr>
      <t xml:space="preserve">
May</t>
    </r>
  </si>
  <si>
    <r>
      <rPr>
        <b/>
        <sz val="9"/>
        <rFont val="Faruma"/>
      </rPr>
      <t>ޖޫން</t>
    </r>
    <r>
      <rPr>
        <b/>
        <sz val="9"/>
        <rFont val="Calibri"/>
        <family val="2"/>
      </rPr>
      <t xml:space="preserve">
Jun</t>
    </r>
  </si>
  <si>
    <r>
      <rPr>
        <b/>
        <sz val="9"/>
        <rFont val="Faruma"/>
      </rPr>
      <t>ޖުލައި</t>
    </r>
    <r>
      <rPr>
        <b/>
        <sz val="9"/>
        <rFont val="Calibri"/>
        <family val="2"/>
      </rPr>
      <t xml:space="preserve">
Jul</t>
    </r>
  </si>
  <si>
    <r>
      <rPr>
        <b/>
        <sz val="9"/>
        <rFont val="Faruma"/>
      </rPr>
      <t>އޮގަސްޓު</t>
    </r>
    <r>
      <rPr>
        <b/>
        <sz val="9"/>
        <rFont val="Calibri"/>
        <family val="2"/>
      </rPr>
      <t xml:space="preserve">
Aug</t>
    </r>
  </si>
  <si>
    <r>
      <rPr>
        <b/>
        <sz val="9"/>
        <rFont val="Faruma"/>
      </rPr>
      <t>ސެޕްޓެމްބަރ</t>
    </r>
    <r>
      <rPr>
        <b/>
        <sz val="9"/>
        <rFont val="Calibri"/>
        <family val="2"/>
      </rPr>
      <t xml:space="preserve">
Sep</t>
    </r>
  </si>
  <si>
    <r>
      <rPr>
        <b/>
        <sz val="9"/>
        <rFont val="Faruma"/>
      </rPr>
      <t>އޮކްޓޯބަރ</t>
    </r>
    <r>
      <rPr>
        <b/>
        <sz val="9"/>
        <rFont val="Calibri"/>
        <family val="2"/>
      </rPr>
      <t xml:space="preserve">
Oct</t>
    </r>
  </si>
  <si>
    <r>
      <rPr>
        <b/>
        <sz val="9"/>
        <rFont val="Faruma"/>
      </rPr>
      <t>ނޮވެމްބަރ</t>
    </r>
    <r>
      <rPr>
        <b/>
        <sz val="9"/>
        <rFont val="Calibri"/>
        <family val="2"/>
      </rPr>
      <t xml:space="preserve">
Nov</t>
    </r>
  </si>
  <si>
    <r>
      <rPr>
        <b/>
        <sz val="9"/>
        <rFont val="Faruma"/>
      </rPr>
      <t>ޑިސެމްބަރ</t>
    </r>
    <r>
      <rPr>
        <b/>
        <sz val="9"/>
        <rFont val="Calibri"/>
        <family val="2"/>
      </rPr>
      <t xml:space="preserve">
Dec</t>
    </r>
  </si>
  <si>
    <t>Country of Nationality</t>
  </si>
  <si>
    <t>ޤައުމިއްޔަތު/ 
މަސް</t>
  </si>
  <si>
    <t>Central/Eastern Europe</t>
  </si>
  <si>
    <t xml:space="preserve">   މެދު/އިރުމަތި ޔޫރަޕް</t>
  </si>
  <si>
    <t>Northern Europe</t>
  </si>
  <si>
    <t xml:space="preserve">   އުތުރު ޔޫރަޕް</t>
  </si>
  <si>
    <t>Southern Europe</t>
  </si>
  <si>
    <t xml:space="preserve">   ދެކުނު ޔޫރަޕް</t>
  </si>
  <si>
    <t>Western Europe</t>
  </si>
  <si>
    <t xml:space="preserve">   ހުޅަނގު ޔޫރަޕް</t>
  </si>
  <si>
    <t>East/Mediterranean Europe</t>
  </si>
  <si>
    <t xml:space="preserve">   އިރުމަތި/މެޑިޓަރޭނިއަން ޔޫރަޕް</t>
  </si>
  <si>
    <t>North East Asia</t>
  </si>
  <si>
    <t xml:space="preserve">   ހުޅަނގު އުތުރު އޭޝިއާ</t>
  </si>
  <si>
    <t>South East Asia</t>
  </si>
  <si>
    <t xml:space="preserve">   ހުޅަނގު ދެކުނު އޭޝިއާ</t>
  </si>
  <si>
    <t>South Asia</t>
  </si>
  <si>
    <t xml:space="preserve">   ދެކުނު އޭޝިއާ</t>
  </si>
  <si>
    <t>އެމެރިކާ</t>
  </si>
  <si>
    <t>America</t>
  </si>
  <si>
    <t>އޯޝަނިޔާ</t>
  </si>
  <si>
    <t>މެދު އިރުމަތި</t>
  </si>
  <si>
    <t xml:space="preserve">UN Passport Holders </t>
  </si>
  <si>
    <t>Others/Not Stated</t>
  </si>
  <si>
    <t>ބަޔާން ނުކުރާ</t>
  </si>
  <si>
    <t xml:space="preserve"> </t>
  </si>
  <si>
    <t xml:space="preserve">             Maldives Immigration </t>
  </si>
  <si>
    <t xml:space="preserve">       މޯލްޑީވްސް އިމިގްރޭޝަން</t>
  </si>
  <si>
    <t>Note: Maldives border was closed for international visitirs on 27th March 2020 due to global COVID-19 outbreak and was re-opened on 15th July 2020</t>
  </si>
  <si>
    <t>Due to COVIC-19 pandamic, some tourists were unable to travel back to their home country.</t>
  </si>
  <si>
    <t>Table 10.11 :   MONTHLY DISTRIBUTION OF TOURIST ARRIVALS BY NATIONALITY, 2022</t>
  </si>
  <si>
    <t>2022 udwdwA egcnirevurutwf iawaejcaWr cnutogegukwtumuawq uhwmcswmikea : 10.11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</si>
</sst>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6" formatCode="_(* #,##0_);_(* \(#,##0\);_(* &quot;-&quot;??_);_(@_)"/>
    <numFmt numFmtId="167" formatCode="#,##0.0"/>
    <numFmt numFmtId="169" formatCode="General_)"/>
    <numFmt numFmtId="171" formatCode="0.00_)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9"/>
      <name val="Calibri"/>
      <family val="2"/>
      <scheme val="minor"/>
    </font>
    <font>
      <b/>
      <sz val="10"/>
      <name val="Faruma"/>
    </font>
    <font>
      <b/>
      <sz val="10"/>
      <name val="Calibri"/>
      <family val="2"/>
      <scheme val="minor"/>
    </font>
    <font>
      <sz val="10.5"/>
      <name val="Faruma"/>
    </font>
    <font>
      <sz val="10"/>
      <name val="Helv"/>
    </font>
    <font>
      <i/>
      <sz val="9"/>
      <color theme="1"/>
      <name val="Calibri"/>
      <family val="2"/>
      <scheme val="minor"/>
    </font>
    <font>
      <sz val="9"/>
      <name val="Arial"/>
      <family val="2"/>
    </font>
    <font>
      <i/>
      <sz val="9"/>
      <name val="Calibri"/>
      <family val="2"/>
      <scheme val="minor"/>
    </font>
    <font>
      <sz val="10"/>
      <name val="Calibri"/>
      <family val="2"/>
      <scheme val="minor"/>
    </font>
    <font>
      <i/>
      <sz val="9"/>
      <name val="Arial"/>
      <family val="2"/>
    </font>
    <font>
      <b/>
      <sz val="9"/>
      <name val="Faruma"/>
    </font>
    <font>
      <b/>
      <sz val="9"/>
      <name val="Calibri"/>
      <family val="2"/>
    </font>
    <font>
      <sz val="10"/>
      <name val="Faruma"/>
    </font>
    <font>
      <sz val="10"/>
      <name val="Courier"/>
      <family val="3"/>
    </font>
    <font>
      <b/>
      <sz val="9"/>
      <name val="Arial"/>
      <family val="2"/>
    </font>
    <font>
      <sz val="9"/>
      <name val="Faruma"/>
    </font>
    <font>
      <sz val="10"/>
      <name val="Arial"/>
      <family val="2"/>
    </font>
    <font>
      <b/>
      <i/>
      <sz val="16"/>
      <name val="Helv"/>
    </font>
    <font>
      <b/>
      <sz val="10"/>
      <name val="TimesNewRomanPS"/>
    </font>
    <font>
      <sz val="9"/>
      <name val="A_Faseyha"/>
    </font>
    <font>
      <b/>
      <sz val="11"/>
      <name val="A_Faseyha"/>
    </font>
    <font>
      <i/>
      <sz val="9"/>
      <name val="A_Faseyha"/>
    </font>
    <font>
      <sz val="11"/>
      <color indexed="8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68">
    <xf numFmtId="0" fontId="0" fillId="0" borderId="0"/>
    <xf numFmtId="43" fontId="1" fillId="0" borderId="0" applyFont="0" applyFill="0" applyBorder="0" applyAlignment="0" applyProtection="0"/>
    <xf numFmtId="0" fontId="9" fillId="0" borderId="0"/>
    <xf numFmtId="0" fontId="4" fillId="0" borderId="0"/>
    <xf numFmtId="9" fontId="4" fillId="0" borderId="0" applyFont="0" applyFill="0" applyBorder="0" applyAlignment="0" applyProtection="0"/>
    <xf numFmtId="0" fontId="18" fillId="0" borderId="0"/>
    <xf numFmtId="0" fontId="18" fillId="0" borderId="0"/>
    <xf numFmtId="0" fontId="4" fillId="0" borderId="0"/>
    <xf numFmtId="0" fontId="21" fillId="0" borderId="0"/>
    <xf numFmtId="0" fontId="4" fillId="0" borderId="0"/>
    <xf numFmtId="43" fontId="4" fillId="0" borderId="0" applyFont="0" applyFill="0" applyBorder="0" applyAlignment="0" applyProtection="0"/>
    <xf numFmtId="171" fontId="22" fillId="0" borderId="0"/>
    <xf numFmtId="1" fontId="23" fillId="0" borderId="3" applyNumberFormat="0"/>
    <xf numFmtId="0" fontId="4" fillId="0" borderId="0"/>
    <xf numFmtId="0" fontId="1" fillId="0" borderId="0"/>
    <xf numFmtId="0" fontId="4" fillId="0" borderId="0"/>
    <xf numFmtId="9" fontId="4" fillId="0" borderId="0" applyFont="0" applyFill="0" applyBorder="0" applyAlignment="0" applyProtection="0"/>
    <xf numFmtId="0" fontId="2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9" fillId="0" borderId="0"/>
    <xf numFmtId="40" fontId="9" fillId="0" borderId="0" applyFont="0" applyFill="0" applyBorder="0" applyAlignment="0" applyProtection="0"/>
    <xf numFmtId="0" fontId="9" fillId="0" borderId="0"/>
    <xf numFmtId="0" fontId="4" fillId="0" borderId="0"/>
    <xf numFmtId="1" fontId="23" fillId="0" borderId="3" applyNumberFormat="0"/>
    <xf numFmtId="0" fontId="1" fillId="0" borderId="0"/>
    <xf numFmtId="0" fontId="9" fillId="0" borderId="0"/>
    <xf numFmtId="0" fontId="27" fillId="0" borderId="0" applyFill="0" applyProtection="0"/>
    <xf numFmtId="1" fontId="23" fillId="0" borderId="3" applyNumberFormat="0"/>
    <xf numFmtId="43" fontId="1" fillId="0" borderId="0" applyFont="0" applyFill="0" applyBorder="0" applyAlignment="0" applyProtection="0"/>
    <xf numFmtId="0" fontId="1" fillId="0" borderId="0"/>
    <xf numFmtId="0" fontId="28" fillId="0" borderId="0"/>
    <xf numFmtId="0" fontId="29" fillId="0" borderId="0"/>
    <xf numFmtId="0" fontId="28" fillId="0" borderId="0"/>
    <xf numFmtId="0" fontId="1" fillId="0" borderId="0"/>
    <xf numFmtId="0" fontId="9" fillId="0" borderId="0"/>
    <xf numFmtId="0" fontId="27" fillId="0" borderId="0" applyFill="0" applyProtection="0"/>
    <xf numFmtId="1" fontId="23" fillId="0" borderId="3" applyNumberFormat="0"/>
    <xf numFmtId="0" fontId="1" fillId="0" borderId="0"/>
    <xf numFmtId="0" fontId="4" fillId="0" borderId="0"/>
    <xf numFmtId="0" fontId="28" fillId="0" borderId="0"/>
    <xf numFmtId="0" fontId="29" fillId="0" borderId="0"/>
    <xf numFmtId="0" fontId="4" fillId="0" borderId="0"/>
    <xf numFmtId="0" fontId="28" fillId="0" borderId="0"/>
    <xf numFmtId="0" fontId="30" fillId="0" borderId="0"/>
    <xf numFmtId="0" fontId="28" fillId="0" borderId="0"/>
    <xf numFmtId="0" fontId="28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0" fontId="9" fillId="0" borderId="0" applyFont="0" applyFill="0" applyBorder="0" applyAlignment="0" applyProtection="0"/>
    <xf numFmtId="0" fontId="1" fillId="0" borderId="0"/>
    <xf numFmtId="0" fontId="30" fillId="0" borderId="0" applyBorder="0"/>
    <xf numFmtId="0" fontId="1" fillId="0" borderId="0"/>
    <xf numFmtId="40" fontId="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0" fillId="0" borderId="0" applyBorder="0"/>
    <xf numFmtId="0" fontId="1" fillId="0" borderId="0"/>
    <xf numFmtId="0" fontId="1" fillId="0" borderId="0"/>
    <xf numFmtId="1" fontId="23" fillId="0" borderId="3" applyNumberFormat="0"/>
    <xf numFmtId="1" fontId="23" fillId="0" borderId="3" applyNumberFormat="0"/>
    <xf numFmtId="1" fontId="23" fillId="0" borderId="3" applyNumberFormat="0"/>
    <xf numFmtId="1" fontId="23" fillId="0" borderId="3" applyNumberFormat="0"/>
  </cellStyleXfs>
  <cellXfs count="39">
    <xf numFmtId="0" fontId="0" fillId="0" borderId="0" xfId="0"/>
    <xf numFmtId="166" fontId="7" fillId="2" borderId="0" xfId="1" applyNumberFormat="1" applyFont="1" applyFill="1" applyBorder="1" applyAlignment="1" applyProtection="1">
      <alignment horizontal="right" vertical="center"/>
    </xf>
    <xf numFmtId="166" fontId="13" fillId="2" borderId="0" xfId="1" applyNumberFormat="1" applyFont="1" applyFill="1" applyBorder="1" applyAlignment="1" applyProtection="1">
      <alignment horizontal="right" vertical="center"/>
    </xf>
    <xf numFmtId="0" fontId="7" fillId="2" borderId="1" xfId="3" applyFont="1" applyFill="1" applyBorder="1" applyAlignment="1">
      <alignment vertical="center"/>
    </xf>
    <xf numFmtId="166" fontId="7" fillId="2" borderId="1" xfId="1" applyNumberFormat="1" applyFont="1" applyFill="1" applyBorder="1" applyAlignment="1" applyProtection="1">
      <alignment horizontal="right" vertical="center"/>
    </xf>
    <xf numFmtId="0" fontId="15" fillId="2" borderId="1" xfId="3" applyFont="1" applyFill="1" applyBorder="1"/>
    <xf numFmtId="169" fontId="25" fillId="2" borderId="0" xfId="5" applyNumberFormat="1" applyFont="1" applyFill="1" applyBorder="1" applyAlignment="1">
      <alignment horizontal="center" vertical="center"/>
    </xf>
    <xf numFmtId="169" fontId="4" fillId="2" borderId="0" xfId="6" applyNumberFormat="1" applyFont="1" applyFill="1" applyBorder="1" applyAlignment="1">
      <alignment vertical="center"/>
    </xf>
    <xf numFmtId="0" fontId="2" fillId="2" borderId="0" xfId="3" applyFont="1" applyFill="1" applyBorder="1" applyAlignment="1">
      <alignment horizontal="center" vertical="center"/>
    </xf>
    <xf numFmtId="0" fontId="4" fillId="2" borderId="0" xfId="3" applyFill="1" applyBorder="1"/>
    <xf numFmtId="0" fontId="5" fillId="2" borderId="0" xfId="3" applyFont="1" applyFill="1" applyBorder="1" applyAlignment="1">
      <alignment horizontal="left" vertical="center"/>
    </xf>
    <xf numFmtId="0" fontId="5" fillId="2" borderId="0" xfId="3" applyFont="1" applyFill="1" applyBorder="1" applyAlignment="1">
      <alignment horizontal="right" vertical="center" wrapText="1"/>
    </xf>
    <xf numFmtId="0" fontId="15" fillId="2" borderId="0" xfId="3" applyFont="1" applyFill="1" applyBorder="1" applyAlignment="1">
      <alignment horizontal="right" vertical="center" wrapText="1" indent="1"/>
    </xf>
    <xf numFmtId="0" fontId="11" fillId="2" borderId="0" xfId="3" applyFont="1" applyFill="1" applyBorder="1" applyAlignment="1">
      <alignment vertical="center"/>
    </xf>
    <xf numFmtId="0" fontId="7" fillId="2" borderId="0" xfId="3" applyFont="1" applyFill="1" applyBorder="1" applyAlignment="1">
      <alignment vertical="center"/>
    </xf>
    <xf numFmtId="167" fontId="6" fillId="2" borderId="0" xfId="3" applyNumberFormat="1" applyFont="1" applyFill="1" applyBorder="1" applyAlignment="1">
      <alignment horizontal="right"/>
    </xf>
    <xf numFmtId="0" fontId="19" fillId="2" borderId="0" xfId="3" applyFont="1" applyFill="1" applyBorder="1"/>
    <xf numFmtId="166" fontId="19" fillId="2" borderId="0" xfId="3" applyNumberFormat="1" applyFont="1" applyFill="1" applyBorder="1" applyAlignment="1">
      <alignment vertical="center"/>
    </xf>
    <xf numFmtId="17" fontId="13" fillId="2" borderId="0" xfId="7" applyNumberFormat="1" applyFont="1" applyFill="1" applyBorder="1" applyAlignment="1">
      <alignment horizontal="left" vertical="center" indent="1"/>
    </xf>
    <xf numFmtId="167" fontId="17" fillId="2" borderId="0" xfId="3" applyNumberFormat="1" applyFont="1" applyFill="1" applyBorder="1" applyAlignment="1">
      <alignment horizontal="right"/>
    </xf>
    <xf numFmtId="0" fontId="11" fillId="2" borderId="0" xfId="3" applyFont="1" applyFill="1" applyBorder="1"/>
    <xf numFmtId="17" fontId="13" fillId="2" borderId="0" xfId="7" applyNumberFormat="1" applyFont="1" applyFill="1" applyBorder="1" applyAlignment="1">
      <alignment horizontal="left" vertical="center" wrapText="1" indent="1"/>
    </xf>
    <xf numFmtId="0" fontId="19" fillId="2" borderId="0" xfId="3" applyFont="1" applyFill="1" applyBorder="1" applyAlignment="1">
      <alignment vertical="center"/>
    </xf>
    <xf numFmtId="0" fontId="8" fillId="2" borderId="0" xfId="2" applyFont="1" applyFill="1" applyBorder="1" applyAlignment="1">
      <alignment vertical="center"/>
    </xf>
    <xf numFmtId="0" fontId="15" fillId="2" borderId="0" xfId="3" applyFont="1" applyFill="1" applyBorder="1"/>
    <xf numFmtId="0" fontId="10" fillId="2" borderId="0" xfId="0" applyFont="1" applyFill="1" applyBorder="1" applyAlignment="1">
      <alignment horizontal="left" vertical="center"/>
    </xf>
    <xf numFmtId="0" fontId="14" fillId="2" borderId="0" xfId="3" applyFont="1" applyFill="1" applyBorder="1" applyAlignment="1">
      <alignment horizontal="left" vertical="center"/>
    </xf>
    <xf numFmtId="166" fontId="14" fillId="2" borderId="0" xfId="3" applyNumberFormat="1" applyFont="1" applyFill="1" applyBorder="1" applyAlignment="1">
      <alignment horizontal="left" vertical="center"/>
    </xf>
    <xf numFmtId="0" fontId="26" fillId="2" borderId="0" xfId="3" applyFont="1" applyFill="1" applyBorder="1" applyAlignment="1">
      <alignment horizontal="left" vertical="center"/>
    </xf>
    <xf numFmtId="0" fontId="24" fillId="2" borderId="0" xfId="0" applyFont="1" applyFill="1" applyBorder="1" applyAlignment="1">
      <alignment horizontal="right" vertical="center"/>
    </xf>
    <xf numFmtId="0" fontId="12" fillId="2" borderId="0" xfId="3" applyFont="1" applyFill="1" applyBorder="1" applyAlignment="1">
      <alignment horizontal="left" vertical="center"/>
    </xf>
    <xf numFmtId="0" fontId="20" fillId="2" borderId="0" xfId="3" applyFont="1" applyFill="1" applyBorder="1" applyAlignment="1">
      <alignment horizontal="right" vertical="center"/>
    </xf>
    <xf numFmtId="0" fontId="12" fillId="2" borderId="0" xfId="0" applyFont="1" applyFill="1" applyBorder="1" applyAlignment="1">
      <alignment horizontal="left" vertical="center"/>
    </xf>
    <xf numFmtId="3" fontId="4" fillId="2" borderId="0" xfId="3" applyNumberFormat="1" applyFill="1" applyBorder="1"/>
    <xf numFmtId="0" fontId="12" fillId="2" borderId="0" xfId="0" applyFont="1" applyFill="1" applyBorder="1" applyAlignment="1">
      <alignment horizontal="left" vertical="center" indent="3"/>
    </xf>
    <xf numFmtId="0" fontId="3" fillId="2" borderId="0" xfId="3" applyFont="1" applyFill="1" applyBorder="1"/>
    <xf numFmtId="0" fontId="5" fillId="2" borderId="2" xfId="3" applyFont="1" applyFill="1" applyBorder="1" applyAlignment="1">
      <alignment horizontal="left" vertical="center"/>
    </xf>
    <xf numFmtId="0" fontId="5" fillId="2" borderId="2" xfId="3" applyFont="1" applyFill="1" applyBorder="1" applyAlignment="1">
      <alignment horizontal="right" vertical="center" wrapText="1"/>
    </xf>
    <xf numFmtId="0" fontId="15" fillId="2" borderId="2" xfId="3" applyFont="1" applyFill="1" applyBorder="1" applyAlignment="1">
      <alignment horizontal="right" vertical="center" wrapText="1" indent="1"/>
    </xf>
  </cellXfs>
  <cellStyles count="68">
    <cellStyle name="1" xfId="9" xr:uid="{00000000-0005-0000-0000-000000000000}"/>
    <cellStyle name="Comma" xfId="1" builtinId="3"/>
    <cellStyle name="Comma 2" xfId="23" xr:uid="{00000000-0005-0000-0000-000002000000}"/>
    <cellStyle name="Comma 2 2" xfId="50" xr:uid="{71832AE8-63E9-47AC-B43D-24C9B30FD491}"/>
    <cellStyle name="Comma 2 2 2 5" xfId="31" xr:uid="{923A80DF-8391-490C-A9FC-9B04BA3FF02C}"/>
    <cellStyle name="Comma 2 3" xfId="57" xr:uid="{18E20042-2979-46AD-9D37-4A459DA64BAE}"/>
    <cellStyle name="Comma 3" xfId="10" xr:uid="{00000000-0005-0000-0000-000003000000}"/>
    <cellStyle name="Comma 3 2" xfId="53" xr:uid="{C94EE668-205D-4DE2-A3E1-635995599CA4}"/>
    <cellStyle name="Normal" xfId="0" builtinId="0"/>
    <cellStyle name="Normal - Style1" xfId="11" xr:uid="{00000000-0005-0000-0000-000005000000}"/>
    <cellStyle name="Normal 10" xfId="17" xr:uid="{00000000-0005-0000-0000-000006000000}"/>
    <cellStyle name="Normal 11" xfId="28" xr:uid="{95DB1E47-A717-4F50-B120-BDB4A6A98D35}"/>
    <cellStyle name="Normal 12" xfId="30" xr:uid="{5F37676F-9210-428B-A54A-88AF31197612}"/>
    <cellStyle name="Normal 13" xfId="39" xr:uid="{1E44DD08-E506-4B0E-A49D-239619E68ECB}"/>
    <cellStyle name="Normal 14" xfId="64" xr:uid="{CF47567C-18E3-48E3-B4B2-F9546E19550C}"/>
    <cellStyle name="Normal 15" xfId="65" xr:uid="{791BF7C1-0A53-4899-92D0-58D1295D1734}"/>
    <cellStyle name="Normal 16" xfId="66" xr:uid="{FB24067F-240D-455E-8348-EE3147456F5B}"/>
    <cellStyle name="Normal 17" xfId="67" xr:uid="{D4A5C67F-868D-43C6-89A5-249394EF5F61}"/>
    <cellStyle name="Normal 2" xfId="3" xr:uid="{00000000-0005-0000-0000-000007000000}"/>
    <cellStyle name="Normal 2 2" xfId="12" xr:uid="{00000000-0005-0000-0000-000008000000}"/>
    <cellStyle name="Normal 2 2 2" xfId="24" xr:uid="{00000000-0005-0000-0000-000009000000}"/>
    <cellStyle name="Normal 2 2 2 2" xfId="48" xr:uid="{8F8F9C60-80DF-42BF-B765-6C68B3B83858}"/>
    <cellStyle name="Normal 2 2 3" xfId="25" xr:uid="{2E2FEFD2-ABBD-420D-8461-C8F503FDA24A}"/>
    <cellStyle name="Normal 2 2 3 2" xfId="46" xr:uid="{847F1A16-9FCA-412B-AE91-D29E3FC8B338}"/>
    <cellStyle name="Normal 2 2 4" xfId="42" xr:uid="{19B03459-4F46-4840-B83F-02097E770DD0}"/>
    <cellStyle name="Normal 2 3" xfId="27" xr:uid="{48422FEC-E0BC-428C-9750-2D76D2E13FBF}"/>
    <cellStyle name="Normal 2 3 2" xfId="38" xr:uid="{53720891-5BB7-4072-A4AA-9D579EA571CD}"/>
    <cellStyle name="Normal 2 3 3" xfId="41" xr:uid="{7DCAFB35-81DA-42EB-A924-F7ED0EEF7A1F}"/>
    <cellStyle name="Normal 2 4" xfId="29" xr:uid="{84E1C268-3A16-4FB7-A335-F22068D33369}"/>
    <cellStyle name="Normal 2 4 2" xfId="49" xr:uid="{57E5914E-388A-4C4B-895D-9DE84233932D}"/>
    <cellStyle name="Normal 2 5" xfId="33" xr:uid="{D29D2916-D641-4853-A275-3F08E70F8C7A}"/>
    <cellStyle name="Normal 3" xfId="13" xr:uid="{00000000-0005-0000-0000-00000A000000}"/>
    <cellStyle name="Normal 3 2" xfId="26" xr:uid="{44D070A0-948A-45DA-8AFF-8A98BB90EB1D}"/>
    <cellStyle name="Normal 3 2 2" xfId="35" xr:uid="{4957CE97-0C4F-446D-8F13-BA568858B15F}"/>
    <cellStyle name="Normal 3 2 2 2" xfId="60" xr:uid="{2E853BA5-A6AB-4EF9-973C-19000D44968E}"/>
    <cellStyle name="Normal 3 3" xfId="44" xr:uid="{1D4DED44-E767-4414-A710-53A5E77B0231}"/>
    <cellStyle name="Normal 3 3 2" xfId="63" xr:uid="{105881E3-0498-4F49-93D5-84249EBD8B7E}"/>
    <cellStyle name="Normal 3 4" xfId="54" xr:uid="{775CBDBA-2355-47F1-8EDC-996CD2E9D14C}"/>
    <cellStyle name="Normal 3 5" xfId="58" xr:uid="{B67EF198-0A73-4423-9F40-46956DF79B03}"/>
    <cellStyle name="Normal 4" xfId="18" xr:uid="{00000000-0005-0000-0000-00000B000000}"/>
    <cellStyle name="Normal 4 2" xfId="14" xr:uid="{00000000-0005-0000-0000-00000C000000}"/>
    <cellStyle name="Normal 4 2 2" xfId="19" xr:uid="{00000000-0005-0000-0000-00000D000000}"/>
    <cellStyle name="Normal 4 2 3" xfId="43" xr:uid="{3CC09F86-6AF3-42B7-B59F-47E11B119A56}"/>
    <cellStyle name="Normal 4 3" xfId="34" xr:uid="{6720CF7E-3D28-49D4-A4F3-23A341275CC3}"/>
    <cellStyle name="Normal 4 3 2" xfId="51" xr:uid="{FF8D28D6-8DB2-418B-A317-8CA9F33A63C6}"/>
    <cellStyle name="Normal 4 4" xfId="56" xr:uid="{506DB73D-6B6B-40EF-85B4-52381B4717DA}"/>
    <cellStyle name="Normal 5" xfId="15" xr:uid="{00000000-0005-0000-0000-00000E000000}"/>
    <cellStyle name="Normal 5 2" xfId="7" xr:uid="{00000000-0005-0000-0000-00000F000000}"/>
    <cellStyle name="Normal 5 2 2" xfId="59" xr:uid="{349C0B77-1FB1-4403-84A0-A4B2133A156A}"/>
    <cellStyle name="Normal 5 3" xfId="32" xr:uid="{F16A05F5-F806-4902-9DAF-1592A0EB3B8F}"/>
    <cellStyle name="Normal 5 4" xfId="45" xr:uid="{A6EA1B92-714A-484D-87C5-6D1A3BC3F4D7}"/>
    <cellStyle name="Normal 6" xfId="20" xr:uid="{00000000-0005-0000-0000-000010000000}"/>
    <cellStyle name="Normal 6 2" xfId="36" xr:uid="{28DCBC0B-46D7-4D92-ADC4-A6E5B7FB0383}"/>
    <cellStyle name="Normal 6 2 2" xfId="61" xr:uid="{35024BBE-69E3-4A93-86D9-3A08FFADFD0D}"/>
    <cellStyle name="Normal 6 3" xfId="47" xr:uid="{A1A5671A-5779-4172-B339-E25C279C443B}"/>
    <cellStyle name="Normal 7" xfId="21" xr:uid="{00000000-0005-0000-0000-000011000000}"/>
    <cellStyle name="Normal 7 2" xfId="37" xr:uid="{F94E59D5-A861-4070-A967-F13E24BDD6F0}"/>
    <cellStyle name="Normal 7 2 2" xfId="52" xr:uid="{3C7963B8-B6CF-4FCF-93B3-DD71D3A617EC}"/>
    <cellStyle name="Normal 7 3" xfId="62" xr:uid="{31B347B4-04A7-4773-99FE-B93DBCB9EF51}"/>
    <cellStyle name="Normal 7 4" xfId="40" xr:uid="{82FD4FAA-650B-46FE-85A5-0119781775C0}"/>
    <cellStyle name="Normal 8" xfId="22" xr:uid="{00000000-0005-0000-0000-000012000000}"/>
    <cellStyle name="Normal 8 2" xfId="55" xr:uid="{2C19882A-370B-4CF1-8D87-E650A5A0EE91}"/>
    <cellStyle name="Normal 9" xfId="8" xr:uid="{00000000-0005-0000-0000-000013000000}"/>
    <cellStyle name="Normal_TABLE456" xfId="2" xr:uid="{00000000-0005-0000-0000-000017000000}"/>
    <cellStyle name="Normal_VIII-8 (Tourism) 2" xfId="5" xr:uid="{00000000-0005-0000-0000-000018000000}"/>
    <cellStyle name="Normal_VIII-8 (Tourism) 2 3" xfId="6" xr:uid="{00000000-0005-0000-0000-000019000000}"/>
    <cellStyle name="Percent 2" xfId="16" xr:uid="{00000000-0005-0000-0000-00001B000000}"/>
    <cellStyle name="Percent 2 2" xfId="4" xr:uid="{00000000-0005-0000-0000-00001C000000}"/>
  </cellStyles>
  <dxfs count="0"/>
  <tableStyles count="0" defaultTableStyle="TableStyleMedium2" defaultPivotStyle="PivotStyleLight16"/>
  <colors>
    <mruColors>
      <color rgb="FFF3F6FB"/>
      <color rgb="FFFCFDFE"/>
      <color rgb="FFFF3B3B"/>
      <color rgb="FFFFB7B7"/>
      <color rgb="FFFF8585"/>
      <color rgb="FFFFDDDD"/>
      <color rgb="FFFFFBFB"/>
      <color rgb="FFFFD5D5"/>
      <color rgb="FFFFCCCC"/>
      <color rgb="FFFFC1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Figure 10.17: Monthly tourist arrivals by European Market, 2022 </a:t>
            </a:r>
          </a:p>
        </c:rich>
      </c:tx>
      <c:layout>
        <c:manualLayout>
          <c:xMode val="edge"/>
          <c:yMode val="edge"/>
          <c:x val="0.12215975586255923"/>
          <c:y val="1.97665180754237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064618374825347"/>
          <c:y val="0.12103060151902054"/>
          <c:w val="0.87957552340085354"/>
          <c:h val="0.78856609237787967"/>
        </c:manualLayout>
      </c:layout>
      <c:lineChart>
        <c:grouping val="standard"/>
        <c:varyColors val="0"/>
        <c:ser>
          <c:idx val="0"/>
          <c:order val="0"/>
          <c:tx>
            <c:strRef>
              <c:f>'10.11'!$AL$28</c:f>
              <c:strCache>
                <c:ptCount val="1"/>
                <c:pt idx="0">
                  <c:v>Central/Eastern Europe</c:v>
                </c:pt>
              </c:strCache>
            </c:strRef>
          </c:tx>
          <c:spPr>
            <a:ln w="34925" cap="rnd">
              <a:solidFill>
                <a:schemeClr val="accent5">
                  <a:lumMod val="75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'10.11'!$AM$27:$AX$27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'10.11'!$AM$28:$AX$28</c:f>
              <c:numCache>
                <c:formatCode>_(* #,##0_);_(* \(#,##0\);_(* "-"??_);_(@_)</c:formatCode>
                <c:ptCount val="12"/>
                <c:pt idx="0">
                  <c:v>44563</c:v>
                </c:pt>
                <c:pt idx="1">
                  <c:v>40523</c:v>
                </c:pt>
                <c:pt idx="2">
                  <c:v>24775</c:v>
                </c:pt>
                <c:pt idx="3">
                  <c:v>15560</c:v>
                </c:pt>
                <c:pt idx="4">
                  <c:v>13923</c:v>
                </c:pt>
                <c:pt idx="5">
                  <c:v>21045</c:v>
                </c:pt>
                <c:pt idx="6">
                  <c:v>27658</c:v>
                </c:pt>
                <c:pt idx="7">
                  <c:v>28115</c:v>
                </c:pt>
                <c:pt idx="8">
                  <c:v>25670</c:v>
                </c:pt>
                <c:pt idx="9">
                  <c:v>30171</c:v>
                </c:pt>
                <c:pt idx="10">
                  <c:v>31270</c:v>
                </c:pt>
                <c:pt idx="11">
                  <c:v>36345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0AF-489F-AC73-381DC72CD132}"/>
            </c:ext>
          </c:extLst>
        </c:ser>
        <c:ser>
          <c:idx val="1"/>
          <c:order val="1"/>
          <c:tx>
            <c:strRef>
              <c:f>'10.11'!$AL$29</c:f>
              <c:strCache>
                <c:ptCount val="1"/>
                <c:pt idx="0">
                  <c:v>Northern Europe</c:v>
                </c:pt>
              </c:strCache>
            </c:strRef>
          </c:tx>
          <c:spPr>
            <a:ln w="3492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'10.11'!$AM$27:$AX$27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'10.11'!$AM$29:$AX$29</c:f>
              <c:numCache>
                <c:formatCode>_(* #,##0_);_(* \(#,##0\);_(* "-"??_);_(@_)</c:formatCode>
                <c:ptCount val="12"/>
                <c:pt idx="0">
                  <c:v>17215</c:v>
                </c:pt>
                <c:pt idx="1">
                  <c:v>24821</c:v>
                </c:pt>
                <c:pt idx="2">
                  <c:v>22911</c:v>
                </c:pt>
                <c:pt idx="3">
                  <c:v>29193</c:v>
                </c:pt>
                <c:pt idx="4">
                  <c:v>14450</c:v>
                </c:pt>
                <c:pt idx="5">
                  <c:v>10419</c:v>
                </c:pt>
                <c:pt idx="6">
                  <c:v>17235</c:v>
                </c:pt>
                <c:pt idx="7">
                  <c:v>14183</c:v>
                </c:pt>
                <c:pt idx="8">
                  <c:v>10200</c:v>
                </c:pt>
                <c:pt idx="9">
                  <c:v>19696</c:v>
                </c:pt>
                <c:pt idx="10">
                  <c:v>18506</c:v>
                </c:pt>
                <c:pt idx="11">
                  <c:v>21246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0AF-489F-AC73-381DC72CD132}"/>
            </c:ext>
          </c:extLst>
        </c:ser>
        <c:ser>
          <c:idx val="3"/>
          <c:order val="2"/>
          <c:tx>
            <c:strRef>
              <c:f>'10.11'!$AL$30</c:f>
              <c:strCache>
                <c:ptCount val="1"/>
                <c:pt idx="0">
                  <c:v>Southern Europe</c:v>
                </c:pt>
              </c:strCache>
            </c:strRef>
          </c:tx>
          <c:spPr>
            <a:ln w="34925" cap="rnd">
              <a:solidFill>
                <a:srgbClr val="00B0F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'10.11'!$AM$27:$AX$27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'10.11'!$AM$30:$AX$30</c:f>
              <c:numCache>
                <c:formatCode>_(* #,##0_);_(* \(#,##0\);_(* "-"??_);_(@_)</c:formatCode>
                <c:ptCount val="12"/>
                <c:pt idx="0">
                  <c:v>14777</c:v>
                </c:pt>
                <c:pt idx="1">
                  <c:v>14872</c:v>
                </c:pt>
                <c:pt idx="2">
                  <c:v>15983</c:v>
                </c:pt>
                <c:pt idx="3">
                  <c:v>18504</c:v>
                </c:pt>
                <c:pt idx="4">
                  <c:v>8729</c:v>
                </c:pt>
                <c:pt idx="5">
                  <c:v>9648</c:v>
                </c:pt>
                <c:pt idx="6">
                  <c:v>12234</c:v>
                </c:pt>
                <c:pt idx="7">
                  <c:v>20694</c:v>
                </c:pt>
                <c:pt idx="8">
                  <c:v>11093</c:v>
                </c:pt>
                <c:pt idx="9">
                  <c:v>12682</c:v>
                </c:pt>
                <c:pt idx="10">
                  <c:v>13552</c:v>
                </c:pt>
                <c:pt idx="11">
                  <c:v>22843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E0AF-489F-AC73-381DC72CD132}"/>
            </c:ext>
          </c:extLst>
        </c:ser>
        <c:ser>
          <c:idx val="4"/>
          <c:order val="3"/>
          <c:tx>
            <c:strRef>
              <c:f>'10.11'!$AL$31</c:f>
              <c:strCache>
                <c:ptCount val="1"/>
                <c:pt idx="0">
                  <c:v>Western Europe</c:v>
                </c:pt>
              </c:strCache>
            </c:strRef>
          </c:tx>
          <c:spPr>
            <a:ln w="34925" cap="rnd">
              <a:solidFill>
                <a:schemeClr val="accent1">
                  <a:lumMod val="20000"/>
                  <a:lumOff val="8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'10.11'!$AM$27:$AX$27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'10.11'!$AM$31:$AX$31</c:f>
              <c:numCache>
                <c:formatCode>_(* #,##0_);_(* \(#,##0\);_(* "-"??_);_(@_)</c:formatCode>
                <c:ptCount val="12"/>
                <c:pt idx="0">
                  <c:v>22107</c:v>
                </c:pt>
                <c:pt idx="1">
                  <c:v>29256</c:v>
                </c:pt>
                <c:pt idx="2">
                  <c:v>27892</c:v>
                </c:pt>
                <c:pt idx="3">
                  <c:v>31120</c:v>
                </c:pt>
                <c:pt idx="4">
                  <c:v>16206</c:v>
                </c:pt>
                <c:pt idx="5">
                  <c:v>12371</c:v>
                </c:pt>
                <c:pt idx="6">
                  <c:v>16452</c:v>
                </c:pt>
                <c:pt idx="7">
                  <c:v>15928</c:v>
                </c:pt>
                <c:pt idx="8">
                  <c:v>13817</c:v>
                </c:pt>
                <c:pt idx="9">
                  <c:v>27246</c:v>
                </c:pt>
                <c:pt idx="10">
                  <c:v>22918</c:v>
                </c:pt>
                <c:pt idx="11">
                  <c:v>24658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E0AF-489F-AC73-381DC72CD132}"/>
            </c:ext>
          </c:extLst>
        </c:ser>
        <c:ser>
          <c:idx val="2"/>
          <c:order val="4"/>
          <c:tx>
            <c:strRef>
              <c:f>'10.11'!$AL$32</c:f>
              <c:strCache>
                <c:ptCount val="1"/>
                <c:pt idx="0">
                  <c:v>East/Mediterranean Europe</c:v>
                </c:pt>
              </c:strCache>
            </c:strRef>
          </c:tx>
          <c:spPr>
            <a:ln w="34925" cap="rnd">
              <a:solidFill>
                <a:schemeClr val="tx2">
                  <a:lumMod val="75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'10.11'!$AM$27:$AX$27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'10.11'!$AM$32:$AX$32</c:f>
              <c:numCache>
                <c:formatCode>_(* #,##0_);_(* \(#,##0\);_(* "-"??_);_(@_)</c:formatCode>
                <c:ptCount val="12"/>
                <c:pt idx="0">
                  <c:v>1933</c:v>
                </c:pt>
                <c:pt idx="1">
                  <c:v>1901</c:v>
                </c:pt>
                <c:pt idx="2">
                  <c:v>2249</c:v>
                </c:pt>
                <c:pt idx="3">
                  <c:v>3137</c:v>
                </c:pt>
                <c:pt idx="4">
                  <c:v>1704</c:v>
                </c:pt>
                <c:pt idx="5">
                  <c:v>1664</c:v>
                </c:pt>
                <c:pt idx="6">
                  <c:v>2199</c:v>
                </c:pt>
                <c:pt idx="7">
                  <c:v>3060</c:v>
                </c:pt>
                <c:pt idx="8">
                  <c:v>2797</c:v>
                </c:pt>
                <c:pt idx="9">
                  <c:v>2748</c:v>
                </c:pt>
                <c:pt idx="10">
                  <c:v>1810</c:v>
                </c:pt>
                <c:pt idx="11">
                  <c:v>2248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0AF-489F-AC73-381DC72CD13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10830560"/>
        <c:axId val="528824280"/>
      </c:lineChart>
      <c:catAx>
        <c:axId val="410830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824280"/>
        <c:crosses val="autoZero"/>
        <c:auto val="1"/>
        <c:lblAlgn val="ctr"/>
        <c:lblOffset val="100"/>
        <c:noMultiLvlLbl val="0"/>
      </c:catAx>
      <c:valAx>
        <c:axId val="5288242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accent5">
                  <a:lumMod val="40000"/>
                  <a:lumOff val="6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Numbers</a:t>
                </a:r>
              </a:p>
            </c:rich>
          </c:tx>
          <c:layout>
            <c:manualLayout>
              <c:xMode val="edge"/>
              <c:yMode val="edge"/>
              <c:x val="1.2004699827419154E-3"/>
              <c:y val="0.409976166345931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830560"/>
        <c:crosses val="autoZero"/>
        <c:crossBetween val="between"/>
      </c:valAx>
      <c:spPr>
        <a:solidFill>
          <a:srgbClr val="F3F6FB"/>
        </a:solidFill>
        <a:ln>
          <a:solidFill>
            <a:schemeClr val="bg1">
              <a:lumMod val="9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37699160657901809"/>
          <c:y val="0.14910428005976731"/>
          <c:w val="0.60007397779924387"/>
          <c:h val="0.190277387296603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Figure 10.18: Monthly tourist arrivals by Asian Market, 2022 </a:t>
            </a:r>
          </a:p>
        </c:rich>
      </c:tx>
      <c:layout>
        <c:manualLayout>
          <c:xMode val="edge"/>
          <c:yMode val="edge"/>
          <c:x val="0.17351425367412587"/>
          <c:y val="4.37471646600123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76545986632074"/>
          <c:y val="0.15014656490773748"/>
          <c:w val="0.86420778143168298"/>
          <c:h val="0.74491601350388115"/>
        </c:manualLayout>
      </c:layout>
      <c:lineChart>
        <c:grouping val="standard"/>
        <c:varyColors val="0"/>
        <c:ser>
          <c:idx val="0"/>
          <c:order val="0"/>
          <c:tx>
            <c:strRef>
              <c:f>'10.11'!$AL$37</c:f>
              <c:strCache>
                <c:ptCount val="1"/>
                <c:pt idx="0">
                  <c:v>North East Asia</c:v>
                </c:pt>
              </c:strCache>
            </c:strRef>
          </c:tx>
          <c:spPr>
            <a:ln w="3492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'10.11'!$AM$36:$AX$36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'10.11'!$AM$37:$AX$37</c:f>
              <c:numCache>
                <c:formatCode>_(* #,##0_);_(* \(#,##0\);_(* "-"??_);_(@_)</c:formatCode>
                <c:ptCount val="12"/>
                <c:pt idx="0">
                  <c:v>1659</c:v>
                </c:pt>
                <c:pt idx="1">
                  <c:v>1226</c:v>
                </c:pt>
                <c:pt idx="2">
                  <c:v>1964</c:v>
                </c:pt>
                <c:pt idx="3">
                  <c:v>3796</c:v>
                </c:pt>
                <c:pt idx="4">
                  <c:v>5239</c:v>
                </c:pt>
                <c:pt idx="5">
                  <c:v>4983</c:v>
                </c:pt>
                <c:pt idx="6">
                  <c:v>5316</c:v>
                </c:pt>
                <c:pt idx="7">
                  <c:v>5324</c:v>
                </c:pt>
                <c:pt idx="8">
                  <c:v>6061</c:v>
                </c:pt>
                <c:pt idx="9">
                  <c:v>8435</c:v>
                </c:pt>
                <c:pt idx="10">
                  <c:v>7565</c:v>
                </c:pt>
                <c:pt idx="11">
                  <c:v>8499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72-40F7-B71E-05A7C82D9A47}"/>
            </c:ext>
          </c:extLst>
        </c:ser>
        <c:ser>
          <c:idx val="1"/>
          <c:order val="1"/>
          <c:tx>
            <c:strRef>
              <c:f>'10.11'!$AL$38</c:f>
              <c:strCache>
                <c:ptCount val="1"/>
                <c:pt idx="0">
                  <c:v>South East Asia</c:v>
                </c:pt>
              </c:strCache>
            </c:strRef>
          </c:tx>
          <c:spPr>
            <a:ln w="34925" cap="rnd">
              <a:solidFill>
                <a:schemeClr val="tx2">
                  <a:lumMod val="75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'10.11'!$AM$36:$AX$36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'10.11'!$AM$38:$AX$38</c:f>
              <c:numCache>
                <c:formatCode>_(* #,##0_);_(* \(#,##0\);_(* "-"??_);_(@_)</c:formatCode>
                <c:ptCount val="12"/>
                <c:pt idx="0">
                  <c:v>755</c:v>
                </c:pt>
                <c:pt idx="1">
                  <c:v>1079</c:v>
                </c:pt>
                <c:pt idx="2">
                  <c:v>2161</c:v>
                </c:pt>
                <c:pt idx="3">
                  <c:v>3469</c:v>
                </c:pt>
                <c:pt idx="4">
                  <c:v>5079</c:v>
                </c:pt>
                <c:pt idx="5">
                  <c:v>5864</c:v>
                </c:pt>
                <c:pt idx="6">
                  <c:v>5208</c:v>
                </c:pt>
                <c:pt idx="7">
                  <c:v>4524</c:v>
                </c:pt>
                <c:pt idx="8">
                  <c:v>5371</c:v>
                </c:pt>
                <c:pt idx="9">
                  <c:v>6397</c:v>
                </c:pt>
                <c:pt idx="10">
                  <c:v>5527</c:v>
                </c:pt>
                <c:pt idx="11">
                  <c:v>6493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72-40F7-B71E-05A7C82D9A47}"/>
            </c:ext>
          </c:extLst>
        </c:ser>
        <c:ser>
          <c:idx val="2"/>
          <c:order val="2"/>
          <c:tx>
            <c:strRef>
              <c:f>'10.11'!$AL$39</c:f>
              <c:strCache>
                <c:ptCount val="1"/>
                <c:pt idx="0">
                  <c:v>South Asia</c:v>
                </c:pt>
              </c:strCache>
            </c:strRef>
          </c:tx>
          <c:spPr>
            <a:ln w="34925" cap="rnd">
              <a:solidFill>
                <a:schemeClr val="accent5">
                  <a:lumMod val="75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'10.11'!$AM$36:$AX$36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'10.11'!$AM$39:$AX$39</c:f>
              <c:numCache>
                <c:formatCode>_(* #,##0_);_(* \(#,##0\);_(* "-"??_);_(@_)</c:formatCode>
                <c:ptCount val="12"/>
                <c:pt idx="0">
                  <c:v>13161</c:v>
                </c:pt>
                <c:pt idx="1">
                  <c:v>17312</c:v>
                </c:pt>
                <c:pt idx="2">
                  <c:v>26258</c:v>
                </c:pt>
                <c:pt idx="3">
                  <c:v>23546</c:v>
                </c:pt>
                <c:pt idx="4">
                  <c:v>34102</c:v>
                </c:pt>
                <c:pt idx="5">
                  <c:v>24960</c:v>
                </c:pt>
                <c:pt idx="6">
                  <c:v>20320</c:v>
                </c:pt>
                <c:pt idx="7">
                  <c:v>20413</c:v>
                </c:pt>
                <c:pt idx="8">
                  <c:v>19073</c:v>
                </c:pt>
                <c:pt idx="9">
                  <c:v>26103</c:v>
                </c:pt>
                <c:pt idx="10">
                  <c:v>22867</c:v>
                </c:pt>
                <c:pt idx="11">
                  <c:v>36152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72-40F7-B71E-05A7C82D9A4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06955272"/>
        <c:axId val="158431488"/>
      </c:lineChart>
      <c:catAx>
        <c:axId val="406955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31488"/>
        <c:crosses val="autoZero"/>
        <c:auto val="1"/>
        <c:lblAlgn val="ctr"/>
        <c:lblOffset val="100"/>
        <c:noMultiLvlLbl val="0"/>
      </c:catAx>
      <c:valAx>
        <c:axId val="15843148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accent5">
                  <a:lumMod val="40000"/>
                  <a:lumOff val="6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Numbers</a:t>
                </a:r>
              </a:p>
            </c:rich>
          </c:tx>
          <c:layout>
            <c:manualLayout>
              <c:xMode val="edge"/>
              <c:yMode val="edge"/>
              <c:x val="8.5919833505218243E-3"/>
              <c:y val="0.441281050173451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955272"/>
        <c:crosses val="autoZero"/>
        <c:crossBetween val="between"/>
      </c:valAx>
      <c:spPr>
        <a:solidFill>
          <a:srgbClr val="F3F6FB"/>
        </a:solidFill>
        <a:ln>
          <a:solidFill>
            <a:schemeClr val="bg1">
              <a:lumMod val="9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2732764423950405"/>
          <c:y val="0.16509761789632929"/>
          <c:w val="0.6421910526440282"/>
          <c:h val="8.05911804610693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64943</xdr:colOff>
      <xdr:row>24</xdr:row>
      <xdr:rowOff>146159</xdr:rowOff>
    </xdr:from>
    <xdr:to>
      <xdr:col>6</xdr:col>
      <xdr:colOff>324478</xdr:colOff>
      <xdr:row>43</xdr:row>
      <xdr:rowOff>73269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460551</xdr:colOff>
      <xdr:row>24</xdr:row>
      <xdr:rowOff>121165</xdr:rowOff>
    </xdr:from>
    <xdr:to>
      <xdr:col>14</xdr:col>
      <xdr:colOff>1370889</xdr:colOff>
      <xdr:row>43</xdr:row>
      <xdr:rowOff>62801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10%20%20TOURISM%20-%20Mo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.1"/>
      <sheetName val="10.1 figures workings"/>
      <sheetName val="10.2"/>
      <sheetName val="10.3"/>
      <sheetName val="10.4"/>
      <sheetName val="Sheet1"/>
      <sheetName val="10.5"/>
      <sheetName val="10.6"/>
      <sheetName val="10.7"/>
      <sheetName val="10.8"/>
      <sheetName val="10.9"/>
      <sheetName val="10.11"/>
      <sheetName val="10.12"/>
      <sheetName val="10.13"/>
      <sheetName val="10.14"/>
    </sheetNames>
    <sheetDataSet>
      <sheetData sheetId="0"/>
      <sheetData sheetId="1"/>
      <sheetData sheetId="2">
        <row r="40">
          <cell r="AC40" t="str">
            <v>Resorts (including Marinas)</v>
          </cell>
        </row>
      </sheetData>
      <sheetData sheetId="3">
        <row r="19">
          <cell r="AI19" t="str">
            <v xml:space="preserve">Registered Bed Capacity </v>
          </cell>
          <cell r="AJ19" t="str">
            <v xml:space="preserve">Beds in operation </v>
          </cell>
        </row>
        <row r="20">
          <cell r="AH20" t="str">
            <v>Jan</v>
          </cell>
          <cell r="AI20">
            <v>41602</v>
          </cell>
          <cell r="AJ20">
            <v>40943</v>
          </cell>
        </row>
        <row r="21">
          <cell r="AH21" t="str">
            <v>Feb</v>
          </cell>
          <cell r="AI21">
            <v>41710</v>
          </cell>
          <cell r="AJ21">
            <v>40807</v>
          </cell>
        </row>
        <row r="22">
          <cell r="AH22" t="str">
            <v>Mar</v>
          </cell>
          <cell r="AI22">
            <v>42050</v>
          </cell>
          <cell r="AJ22">
            <v>41137</v>
          </cell>
        </row>
        <row r="23">
          <cell r="AH23" t="str">
            <v>Apr</v>
          </cell>
          <cell r="AI23">
            <v>42688</v>
          </cell>
          <cell r="AJ23">
            <v>41835</v>
          </cell>
        </row>
        <row r="24">
          <cell r="AH24" t="str">
            <v>May</v>
          </cell>
          <cell r="AI24">
            <v>42736</v>
          </cell>
          <cell r="AJ24">
            <v>41513</v>
          </cell>
        </row>
        <row r="25">
          <cell r="AH25" t="str">
            <v>Jun</v>
          </cell>
          <cell r="AI25">
            <v>42822</v>
          </cell>
          <cell r="AJ25">
            <v>41503</v>
          </cell>
        </row>
        <row r="26">
          <cell r="AH26" t="str">
            <v>Jul</v>
          </cell>
          <cell r="AI26">
            <v>42929</v>
          </cell>
          <cell r="AJ26">
            <v>41534</v>
          </cell>
        </row>
        <row r="27">
          <cell r="AH27" t="str">
            <v>Aug</v>
          </cell>
          <cell r="AI27">
            <v>43099</v>
          </cell>
          <cell r="AJ27">
            <v>41780</v>
          </cell>
        </row>
        <row r="28">
          <cell r="AH28" t="str">
            <v>Sep</v>
          </cell>
          <cell r="AI28">
            <v>43660</v>
          </cell>
          <cell r="AJ28">
            <v>42355</v>
          </cell>
        </row>
        <row r="29">
          <cell r="AH29" t="str">
            <v>Oct</v>
          </cell>
          <cell r="AI29">
            <v>43806</v>
          </cell>
          <cell r="AJ29">
            <v>42501</v>
          </cell>
        </row>
        <row r="30">
          <cell r="AH30" t="str">
            <v>Nov</v>
          </cell>
          <cell r="AI30">
            <v>44345</v>
          </cell>
          <cell r="AJ30">
            <v>42960</v>
          </cell>
        </row>
        <row r="31">
          <cell r="AH31" t="str">
            <v>Dec</v>
          </cell>
          <cell r="AI31">
            <v>44860</v>
          </cell>
          <cell r="AJ31">
            <v>43448</v>
          </cell>
        </row>
      </sheetData>
      <sheetData sheetId="4">
        <row r="19">
          <cell r="AE19" t="str">
            <v xml:space="preserve">Registered Bed Capacity </v>
          </cell>
        </row>
      </sheetData>
      <sheetData sheetId="5"/>
      <sheetData sheetId="6">
        <row r="21">
          <cell r="AF21" t="str">
            <v xml:space="preserve">Registered Bed Capacity </v>
          </cell>
          <cell r="AG21" t="str">
            <v xml:space="preserve">Beds in operation </v>
          </cell>
        </row>
        <row r="22">
          <cell r="AE22" t="str">
            <v>Jan</v>
          </cell>
          <cell r="AF22">
            <v>10</v>
          </cell>
          <cell r="AG22">
            <v>10</v>
          </cell>
        </row>
        <row r="23">
          <cell r="AE23" t="str">
            <v>Feb</v>
          </cell>
          <cell r="AF23">
            <v>10</v>
          </cell>
          <cell r="AG23">
            <v>10</v>
          </cell>
        </row>
        <row r="24">
          <cell r="AE24" t="str">
            <v>Mar</v>
          </cell>
          <cell r="AF24">
            <v>10</v>
          </cell>
          <cell r="AG24">
            <v>10</v>
          </cell>
        </row>
        <row r="25">
          <cell r="AE25" t="str">
            <v>Apr</v>
          </cell>
          <cell r="AF25">
            <v>12</v>
          </cell>
          <cell r="AG25">
            <v>12</v>
          </cell>
        </row>
        <row r="26">
          <cell r="AE26" t="str">
            <v>May</v>
          </cell>
          <cell r="AF26">
            <v>12</v>
          </cell>
          <cell r="AG26">
            <v>12</v>
          </cell>
        </row>
        <row r="27">
          <cell r="AE27" t="str">
            <v>Jun</v>
          </cell>
          <cell r="AF27">
            <v>12</v>
          </cell>
          <cell r="AG27">
            <v>12</v>
          </cell>
        </row>
        <row r="28">
          <cell r="AE28" t="str">
            <v>Jul</v>
          </cell>
          <cell r="AF28">
            <v>12</v>
          </cell>
          <cell r="AG28">
            <v>12</v>
          </cell>
        </row>
        <row r="29">
          <cell r="AE29" t="str">
            <v>Aug</v>
          </cell>
          <cell r="AF29">
            <v>12</v>
          </cell>
          <cell r="AG29">
            <v>12</v>
          </cell>
        </row>
        <row r="30">
          <cell r="AE30" t="str">
            <v>Sep</v>
          </cell>
          <cell r="AF30">
            <v>12</v>
          </cell>
          <cell r="AG30">
            <v>12</v>
          </cell>
        </row>
        <row r="31">
          <cell r="AE31" t="str">
            <v>Oct</v>
          </cell>
          <cell r="AF31">
            <v>12</v>
          </cell>
          <cell r="AG31">
            <v>12</v>
          </cell>
        </row>
        <row r="32">
          <cell r="AE32" t="str">
            <v>Nov</v>
          </cell>
          <cell r="AF32">
            <v>12</v>
          </cell>
          <cell r="AG32">
            <v>12</v>
          </cell>
        </row>
        <row r="33">
          <cell r="AE33" t="str">
            <v>Dec</v>
          </cell>
          <cell r="AF33">
            <v>12</v>
          </cell>
          <cell r="AG33">
            <v>12</v>
          </cell>
        </row>
      </sheetData>
      <sheetData sheetId="7">
        <row r="19">
          <cell r="AE19" t="str">
            <v xml:space="preserve">Registered Bed Capacity </v>
          </cell>
          <cell r="AF19" t="str">
            <v xml:space="preserve">Beds in operation </v>
          </cell>
        </row>
        <row r="20">
          <cell r="AD20" t="str">
            <v>Jan</v>
          </cell>
          <cell r="AE20">
            <v>7464</v>
          </cell>
          <cell r="AF20">
            <v>7464</v>
          </cell>
        </row>
        <row r="21">
          <cell r="AD21" t="str">
            <v>Feb</v>
          </cell>
          <cell r="AE21">
            <v>7528</v>
          </cell>
          <cell r="AF21">
            <v>7528</v>
          </cell>
        </row>
        <row r="22">
          <cell r="AD22" t="str">
            <v>Mar</v>
          </cell>
          <cell r="AE22">
            <v>7750</v>
          </cell>
          <cell r="AF22">
            <v>7750</v>
          </cell>
        </row>
        <row r="23">
          <cell r="AD23" t="str">
            <v>Apr</v>
          </cell>
          <cell r="AE23">
            <v>7922</v>
          </cell>
          <cell r="AF23">
            <v>7922</v>
          </cell>
        </row>
        <row r="24">
          <cell r="AD24" t="str">
            <v>May</v>
          </cell>
          <cell r="AE24">
            <v>7948</v>
          </cell>
          <cell r="AF24">
            <v>7948</v>
          </cell>
        </row>
        <row r="25">
          <cell r="AD25" t="str">
            <v>Jun</v>
          </cell>
          <cell r="AE25">
            <v>8006</v>
          </cell>
          <cell r="AF25">
            <v>7998</v>
          </cell>
        </row>
        <row r="26">
          <cell r="AD26" t="str">
            <v>Jul</v>
          </cell>
          <cell r="AE26">
            <v>8098</v>
          </cell>
          <cell r="AF26">
            <v>8090</v>
          </cell>
        </row>
        <row r="27">
          <cell r="AD27" t="str">
            <v>Aug</v>
          </cell>
          <cell r="AE27">
            <v>8134</v>
          </cell>
          <cell r="AF27">
            <v>8112</v>
          </cell>
        </row>
        <row r="28">
          <cell r="AD28" t="str">
            <v>Sep</v>
          </cell>
          <cell r="AE28">
            <v>8208</v>
          </cell>
          <cell r="AF28">
            <v>8200</v>
          </cell>
        </row>
        <row r="29">
          <cell r="AD29" t="str">
            <v>Oct</v>
          </cell>
          <cell r="AE29">
            <v>8294</v>
          </cell>
          <cell r="AF29">
            <v>8286</v>
          </cell>
        </row>
        <row r="30">
          <cell r="AD30" t="str">
            <v>Nov</v>
          </cell>
          <cell r="AE30">
            <v>8292</v>
          </cell>
          <cell r="AF30">
            <v>8248</v>
          </cell>
        </row>
        <row r="31">
          <cell r="AD31" t="str">
            <v>Dec</v>
          </cell>
          <cell r="AE31">
            <v>8563</v>
          </cell>
          <cell r="AF31">
            <v>8454</v>
          </cell>
        </row>
      </sheetData>
      <sheetData sheetId="8">
        <row r="20">
          <cell r="AF20" t="str">
            <v xml:space="preserve">Registered Bed Capacity </v>
          </cell>
          <cell r="AG20" t="str">
            <v xml:space="preserve">Beds in operation </v>
          </cell>
        </row>
        <row r="21">
          <cell r="AE21" t="str">
            <v>Jan</v>
          </cell>
          <cell r="AF21">
            <v>2619</v>
          </cell>
          <cell r="AG21">
            <v>2619</v>
          </cell>
        </row>
        <row r="22">
          <cell r="AE22" t="str">
            <v>Feb</v>
          </cell>
          <cell r="AF22">
            <v>2663</v>
          </cell>
          <cell r="AG22">
            <v>2663</v>
          </cell>
        </row>
        <row r="23">
          <cell r="AE23" t="str">
            <v>Mar</v>
          </cell>
          <cell r="AF23">
            <v>2663</v>
          </cell>
          <cell r="AG23">
            <v>2663</v>
          </cell>
        </row>
        <row r="24">
          <cell r="AE24" t="str">
            <v>Apr</v>
          </cell>
          <cell r="AF24">
            <v>2719</v>
          </cell>
          <cell r="AG24">
            <v>2719</v>
          </cell>
        </row>
        <row r="25">
          <cell r="AE25" t="str">
            <v>May</v>
          </cell>
          <cell r="AF25">
            <v>2741</v>
          </cell>
          <cell r="AG25">
            <v>2741</v>
          </cell>
        </row>
        <row r="26">
          <cell r="AE26" t="str">
            <v>Jun</v>
          </cell>
          <cell r="AF26">
            <v>2749</v>
          </cell>
          <cell r="AG26">
            <v>2735</v>
          </cell>
        </row>
        <row r="27">
          <cell r="AE27" t="str">
            <v>Jul</v>
          </cell>
          <cell r="AF27">
            <v>2764</v>
          </cell>
          <cell r="AG27">
            <v>2764</v>
          </cell>
        </row>
        <row r="28">
          <cell r="AE28" t="str">
            <v>Aug</v>
          </cell>
          <cell r="AF28">
            <v>2764</v>
          </cell>
          <cell r="AG28">
            <v>2764</v>
          </cell>
        </row>
        <row r="29">
          <cell r="AE29" t="str">
            <v>Sep</v>
          </cell>
          <cell r="AF29">
            <v>2769</v>
          </cell>
          <cell r="AG29">
            <v>2769</v>
          </cell>
        </row>
        <row r="30">
          <cell r="AE30" t="str">
            <v>Oct</v>
          </cell>
          <cell r="AF30">
            <v>2769</v>
          </cell>
          <cell r="AG30">
            <v>2769</v>
          </cell>
        </row>
        <row r="31">
          <cell r="AE31" t="str">
            <v>Nov</v>
          </cell>
          <cell r="AF31">
            <v>2772</v>
          </cell>
          <cell r="AG31">
            <v>2772</v>
          </cell>
        </row>
        <row r="32">
          <cell r="AE32" t="str">
            <v>Dec</v>
          </cell>
          <cell r="AF32">
            <v>2758</v>
          </cell>
          <cell r="AG32">
            <v>2758</v>
          </cell>
        </row>
      </sheetData>
      <sheetData sheetId="9">
        <row r="15">
          <cell r="A15" t="str">
            <v>Male</v>
          </cell>
        </row>
      </sheetData>
      <sheetData sheetId="10">
        <row r="5">
          <cell r="O5" t="str">
            <v xml:space="preserve">Tourist Arrivals </v>
          </cell>
        </row>
      </sheetData>
      <sheetData sheetId="11">
        <row r="6">
          <cell r="A6" t="str">
            <v>Central/Eastern Europe</v>
          </cell>
        </row>
      </sheetData>
      <sheetData sheetId="12">
        <row r="27">
          <cell r="X27" t="str">
            <v>HA</v>
          </cell>
        </row>
      </sheetData>
      <sheetData sheetId="13">
        <row r="20">
          <cell r="V20" t="str">
            <v>Jan</v>
          </cell>
        </row>
      </sheetData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AX76"/>
  <sheetViews>
    <sheetView tabSelected="1" zoomScale="96" zoomScaleNormal="96" zoomScaleSheetLayoutView="112" workbookViewId="0">
      <selection activeCell="R20" sqref="R20"/>
    </sheetView>
  </sheetViews>
  <sheetFormatPr defaultColWidth="9.140625" defaultRowHeight="12.75"/>
  <cols>
    <col min="1" max="1" width="24.42578125" style="9" customWidth="1"/>
    <col min="2" max="3" width="10.7109375" style="9" customWidth="1"/>
    <col min="4" max="4" width="10.28515625" style="9" customWidth="1"/>
    <col min="5" max="5" width="10.5703125" style="9" customWidth="1"/>
    <col min="6" max="6" width="10.28515625" style="9" customWidth="1"/>
    <col min="7" max="7" width="9.5703125" style="9" customWidth="1"/>
    <col min="8" max="8" width="9.140625" style="9" customWidth="1"/>
    <col min="9" max="9" width="9.28515625" style="9" customWidth="1"/>
    <col min="10" max="10" width="8.7109375" style="9" customWidth="1"/>
    <col min="11" max="11" width="9.42578125" style="9" customWidth="1"/>
    <col min="12" max="12" width="8.7109375" style="9" customWidth="1"/>
    <col min="13" max="13" width="9" style="9" customWidth="1"/>
    <col min="14" max="14" width="9.5703125" style="9" customWidth="1"/>
    <col min="15" max="15" width="21.5703125" style="9" customWidth="1"/>
    <col min="16" max="37" width="9.140625" style="9"/>
    <col min="38" max="38" width="13.7109375" style="9" customWidth="1"/>
    <col min="39" max="16384" width="9.140625" style="9"/>
  </cols>
  <sheetData>
    <row r="1" spans="1:50" s="7" customFormat="1" ht="19.5" customHeight="1">
      <c r="A1" s="6" t="s">
        <v>69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50" ht="16.5" customHeight="1">
      <c r="A2" s="8" t="s">
        <v>68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50" s="13" customFormat="1" ht="29.25" customHeight="1">
      <c r="A3" s="36" t="s">
        <v>38</v>
      </c>
      <c r="B3" s="37" t="s">
        <v>25</v>
      </c>
      <c r="C3" s="37" t="s">
        <v>26</v>
      </c>
      <c r="D3" s="37" t="s">
        <v>27</v>
      </c>
      <c r="E3" s="37" t="s">
        <v>28</v>
      </c>
      <c r="F3" s="37" t="s">
        <v>29</v>
      </c>
      <c r="G3" s="37" t="s">
        <v>30</v>
      </c>
      <c r="H3" s="37" t="s">
        <v>31</v>
      </c>
      <c r="I3" s="37" t="s">
        <v>32</v>
      </c>
      <c r="J3" s="37" t="s">
        <v>33</v>
      </c>
      <c r="K3" s="37" t="s">
        <v>34</v>
      </c>
      <c r="L3" s="37" t="s">
        <v>35</v>
      </c>
      <c r="M3" s="37" t="s">
        <v>36</v>
      </c>
      <c r="N3" s="37" t="s">
        <v>37</v>
      </c>
      <c r="O3" s="38" t="s">
        <v>39</v>
      </c>
    </row>
    <row r="4" spans="1:50" s="16" customFormat="1" ht="17.25" customHeight="1">
      <c r="A4" s="14" t="s">
        <v>0</v>
      </c>
      <c r="B4" s="1">
        <f>B5+B11+B15+B16+B17+B18+B19+B20</f>
        <v>1675303</v>
      </c>
      <c r="C4" s="1">
        <f t="shared" ref="C4:N4" si="0">C5+C11+C15+C16+C17+C18+C19+C20</f>
        <v>131765</v>
      </c>
      <c r="D4" s="1">
        <f t="shared" si="0"/>
        <v>149011</v>
      </c>
      <c r="E4" s="1">
        <f t="shared" si="0"/>
        <v>150748</v>
      </c>
      <c r="F4" s="1">
        <f t="shared" si="0"/>
        <v>145282</v>
      </c>
      <c r="G4" s="1">
        <f t="shared" si="0"/>
        <v>125528</v>
      </c>
      <c r="H4" s="1">
        <f t="shared" si="0"/>
        <v>110885</v>
      </c>
      <c r="I4" s="1">
        <f t="shared" si="0"/>
        <v>133561</v>
      </c>
      <c r="J4" s="1">
        <f t="shared" si="0"/>
        <v>131863</v>
      </c>
      <c r="K4" s="1">
        <f t="shared" si="0"/>
        <v>111986</v>
      </c>
      <c r="L4" s="1">
        <f t="shared" si="0"/>
        <v>153737</v>
      </c>
      <c r="M4" s="1">
        <f t="shared" si="0"/>
        <v>146886</v>
      </c>
      <c r="N4" s="1">
        <f t="shared" si="0"/>
        <v>184051</v>
      </c>
      <c r="O4" s="15" t="s">
        <v>1</v>
      </c>
    </row>
    <row r="5" spans="1:50" s="16" customFormat="1" ht="19.5" customHeight="1">
      <c r="A5" s="14" t="s">
        <v>2</v>
      </c>
      <c r="B5" s="1">
        <f t="shared" ref="B5:N5" si="1">SUM(B6:B10)</f>
        <v>1022725</v>
      </c>
      <c r="C5" s="1">
        <f>SUM(C6:C10)</f>
        <v>100595</v>
      </c>
      <c r="D5" s="1">
        <f>SUM(D6:D10)</f>
        <v>111373</v>
      </c>
      <c r="E5" s="1">
        <f t="shared" si="1"/>
        <v>93810</v>
      </c>
      <c r="F5" s="1">
        <f t="shared" si="1"/>
        <v>97514</v>
      </c>
      <c r="G5" s="1">
        <f t="shared" si="1"/>
        <v>55012</v>
      </c>
      <c r="H5" s="1">
        <f t="shared" si="1"/>
        <v>55147</v>
      </c>
      <c r="I5" s="1">
        <f t="shared" si="1"/>
        <v>75778</v>
      </c>
      <c r="J5" s="1">
        <f t="shared" si="1"/>
        <v>81980</v>
      </c>
      <c r="K5" s="1">
        <f t="shared" si="1"/>
        <v>63577</v>
      </c>
      <c r="L5" s="1">
        <f t="shared" si="1"/>
        <v>92543</v>
      </c>
      <c r="M5" s="1">
        <f t="shared" si="1"/>
        <v>88056</v>
      </c>
      <c r="N5" s="1">
        <f t="shared" si="1"/>
        <v>107340</v>
      </c>
      <c r="O5" s="15" t="s">
        <v>3</v>
      </c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</row>
    <row r="6" spans="1:50" s="20" customFormat="1" ht="19.5" customHeight="1">
      <c r="A6" s="18" t="s">
        <v>40</v>
      </c>
      <c r="B6" s="2">
        <f t="shared" ref="B6:B18" si="2">SUM(C6:N6)</f>
        <v>339618</v>
      </c>
      <c r="C6" s="2">
        <v>44563</v>
      </c>
      <c r="D6" s="2">
        <v>40523</v>
      </c>
      <c r="E6" s="2">
        <v>24775</v>
      </c>
      <c r="F6" s="2">
        <v>15560</v>
      </c>
      <c r="G6" s="2">
        <v>13923</v>
      </c>
      <c r="H6" s="2">
        <v>21045</v>
      </c>
      <c r="I6" s="2">
        <v>27658</v>
      </c>
      <c r="J6" s="2">
        <v>28115</v>
      </c>
      <c r="K6" s="2">
        <v>25670</v>
      </c>
      <c r="L6" s="2">
        <v>30171</v>
      </c>
      <c r="M6" s="2">
        <v>31270</v>
      </c>
      <c r="N6" s="2">
        <v>36345</v>
      </c>
      <c r="O6" s="19" t="s">
        <v>41</v>
      </c>
    </row>
    <row r="7" spans="1:50" s="20" customFormat="1" ht="19.5" customHeight="1">
      <c r="A7" s="18" t="s">
        <v>42</v>
      </c>
      <c r="B7" s="2">
        <f t="shared" si="2"/>
        <v>220075</v>
      </c>
      <c r="C7" s="2">
        <v>17215</v>
      </c>
      <c r="D7" s="2">
        <v>24821</v>
      </c>
      <c r="E7" s="2">
        <v>22911</v>
      </c>
      <c r="F7" s="2">
        <v>29193</v>
      </c>
      <c r="G7" s="2">
        <v>14450</v>
      </c>
      <c r="H7" s="2">
        <v>10419</v>
      </c>
      <c r="I7" s="2">
        <v>17235</v>
      </c>
      <c r="J7" s="2">
        <v>14183</v>
      </c>
      <c r="K7" s="2">
        <v>10200</v>
      </c>
      <c r="L7" s="2">
        <v>19696</v>
      </c>
      <c r="M7" s="2">
        <v>18506</v>
      </c>
      <c r="N7" s="2">
        <v>21246</v>
      </c>
      <c r="O7" s="19" t="s">
        <v>43</v>
      </c>
    </row>
    <row r="8" spans="1:50" s="20" customFormat="1" ht="19.5" customHeight="1">
      <c r="A8" s="18" t="s">
        <v>44</v>
      </c>
      <c r="B8" s="2">
        <f t="shared" si="2"/>
        <v>175611</v>
      </c>
      <c r="C8" s="2">
        <v>14777</v>
      </c>
      <c r="D8" s="2">
        <v>14872</v>
      </c>
      <c r="E8" s="2">
        <v>15983</v>
      </c>
      <c r="F8" s="2">
        <v>18504</v>
      </c>
      <c r="G8" s="2">
        <v>8729</v>
      </c>
      <c r="H8" s="2">
        <v>9648</v>
      </c>
      <c r="I8" s="2">
        <v>12234</v>
      </c>
      <c r="J8" s="2">
        <v>20694</v>
      </c>
      <c r="K8" s="2">
        <v>11093</v>
      </c>
      <c r="L8" s="2">
        <v>12682</v>
      </c>
      <c r="M8" s="2">
        <v>13552</v>
      </c>
      <c r="N8" s="2">
        <v>22843</v>
      </c>
      <c r="O8" s="19" t="s">
        <v>45</v>
      </c>
    </row>
    <row r="9" spans="1:50" s="20" customFormat="1" ht="19.5" customHeight="1">
      <c r="A9" s="18" t="s">
        <v>46</v>
      </c>
      <c r="B9" s="2">
        <f t="shared" si="2"/>
        <v>259971</v>
      </c>
      <c r="C9" s="2">
        <v>22107</v>
      </c>
      <c r="D9" s="2">
        <v>29256</v>
      </c>
      <c r="E9" s="2">
        <v>27892</v>
      </c>
      <c r="F9" s="2">
        <v>31120</v>
      </c>
      <c r="G9" s="2">
        <v>16206</v>
      </c>
      <c r="H9" s="2">
        <v>12371</v>
      </c>
      <c r="I9" s="2">
        <v>16452</v>
      </c>
      <c r="J9" s="2">
        <v>15928</v>
      </c>
      <c r="K9" s="2">
        <v>13817</v>
      </c>
      <c r="L9" s="2">
        <v>27246</v>
      </c>
      <c r="M9" s="2">
        <v>22918</v>
      </c>
      <c r="N9" s="2">
        <v>24658</v>
      </c>
      <c r="O9" s="19" t="s">
        <v>47</v>
      </c>
      <c r="P9" s="13"/>
    </row>
    <row r="10" spans="1:50" s="20" customFormat="1" ht="19.5" customHeight="1">
      <c r="A10" s="21" t="s">
        <v>48</v>
      </c>
      <c r="B10" s="2">
        <f t="shared" si="2"/>
        <v>27450</v>
      </c>
      <c r="C10" s="2">
        <v>1933</v>
      </c>
      <c r="D10" s="2">
        <v>1901</v>
      </c>
      <c r="E10" s="2">
        <v>2249</v>
      </c>
      <c r="F10" s="2">
        <v>3137</v>
      </c>
      <c r="G10" s="2">
        <v>1704</v>
      </c>
      <c r="H10" s="2">
        <v>1664</v>
      </c>
      <c r="I10" s="2">
        <v>2199</v>
      </c>
      <c r="J10" s="2">
        <v>3060</v>
      </c>
      <c r="K10" s="2">
        <v>2797</v>
      </c>
      <c r="L10" s="2">
        <v>2748</v>
      </c>
      <c r="M10" s="2">
        <v>1810</v>
      </c>
      <c r="N10" s="2">
        <v>2248</v>
      </c>
      <c r="O10" s="19" t="s">
        <v>49</v>
      </c>
      <c r="P10" s="13"/>
    </row>
    <row r="11" spans="1:50" s="16" customFormat="1" ht="19.5" customHeight="1">
      <c r="A11" s="14" t="s">
        <v>4</v>
      </c>
      <c r="B11" s="1">
        <f t="shared" si="2"/>
        <v>396261</v>
      </c>
      <c r="C11" s="1">
        <f>SUM(C12:C14)</f>
        <v>15575</v>
      </c>
      <c r="D11" s="1">
        <f>SUM(D12:D14)</f>
        <v>19617</v>
      </c>
      <c r="E11" s="1">
        <f t="shared" ref="E11:N11" si="3">SUM(E12:E14)</f>
        <v>30383</v>
      </c>
      <c r="F11" s="1">
        <f t="shared" si="3"/>
        <v>30811</v>
      </c>
      <c r="G11" s="1">
        <f t="shared" si="3"/>
        <v>44420</v>
      </c>
      <c r="H11" s="1">
        <f t="shared" si="3"/>
        <v>35807</v>
      </c>
      <c r="I11" s="1">
        <f t="shared" si="3"/>
        <v>30844</v>
      </c>
      <c r="J11" s="1">
        <f t="shared" si="3"/>
        <v>30261</v>
      </c>
      <c r="K11" s="1">
        <f t="shared" si="3"/>
        <v>30505</v>
      </c>
      <c r="L11" s="1">
        <f t="shared" si="3"/>
        <v>40935</v>
      </c>
      <c r="M11" s="1">
        <f t="shared" si="3"/>
        <v>35959</v>
      </c>
      <c r="N11" s="1">
        <f t="shared" si="3"/>
        <v>51144</v>
      </c>
      <c r="O11" s="15" t="s">
        <v>5</v>
      </c>
      <c r="P11" s="22"/>
    </row>
    <row r="12" spans="1:50" s="20" customFormat="1" ht="19.5" customHeight="1">
      <c r="A12" s="18" t="s">
        <v>50</v>
      </c>
      <c r="B12" s="2">
        <f t="shared" si="2"/>
        <v>60067</v>
      </c>
      <c r="C12" s="2">
        <v>1659</v>
      </c>
      <c r="D12" s="2">
        <v>1226</v>
      </c>
      <c r="E12" s="2">
        <v>1964</v>
      </c>
      <c r="F12" s="2">
        <v>3796</v>
      </c>
      <c r="G12" s="2">
        <v>5239</v>
      </c>
      <c r="H12" s="2">
        <v>4983</v>
      </c>
      <c r="I12" s="2">
        <v>5316</v>
      </c>
      <c r="J12" s="2">
        <v>5324</v>
      </c>
      <c r="K12" s="2">
        <v>6061</v>
      </c>
      <c r="L12" s="2">
        <v>8435</v>
      </c>
      <c r="M12" s="2">
        <v>7565</v>
      </c>
      <c r="N12" s="2">
        <v>8499</v>
      </c>
      <c r="O12" s="19" t="s">
        <v>51</v>
      </c>
    </row>
    <row r="13" spans="1:50" s="20" customFormat="1" ht="19.5" customHeight="1">
      <c r="A13" s="18" t="s">
        <v>52</v>
      </c>
      <c r="B13" s="2">
        <f t="shared" si="2"/>
        <v>51927</v>
      </c>
      <c r="C13" s="2">
        <v>755</v>
      </c>
      <c r="D13" s="2">
        <v>1079</v>
      </c>
      <c r="E13" s="2">
        <v>2161</v>
      </c>
      <c r="F13" s="2">
        <v>3469</v>
      </c>
      <c r="G13" s="2">
        <v>5079</v>
      </c>
      <c r="H13" s="2">
        <v>5864</v>
      </c>
      <c r="I13" s="2">
        <v>5208</v>
      </c>
      <c r="J13" s="2">
        <v>4524</v>
      </c>
      <c r="K13" s="2">
        <v>5371</v>
      </c>
      <c r="L13" s="2">
        <v>6397</v>
      </c>
      <c r="M13" s="2">
        <v>5527</v>
      </c>
      <c r="N13" s="2">
        <v>6493</v>
      </c>
      <c r="O13" s="19" t="s">
        <v>53</v>
      </c>
    </row>
    <row r="14" spans="1:50" s="20" customFormat="1" ht="19.5" customHeight="1">
      <c r="A14" s="18" t="s">
        <v>54</v>
      </c>
      <c r="B14" s="2">
        <f t="shared" si="2"/>
        <v>284267</v>
      </c>
      <c r="C14" s="2">
        <v>13161</v>
      </c>
      <c r="D14" s="2">
        <v>17312</v>
      </c>
      <c r="E14" s="2">
        <v>26258</v>
      </c>
      <c r="F14" s="2">
        <v>23546</v>
      </c>
      <c r="G14" s="2">
        <v>34102</v>
      </c>
      <c r="H14" s="2">
        <v>24960</v>
      </c>
      <c r="I14" s="2">
        <v>20320</v>
      </c>
      <c r="J14" s="2">
        <v>20413</v>
      </c>
      <c r="K14" s="2">
        <v>19073</v>
      </c>
      <c r="L14" s="2">
        <v>26103</v>
      </c>
      <c r="M14" s="2">
        <v>22867</v>
      </c>
      <c r="N14" s="2">
        <v>36152</v>
      </c>
      <c r="O14" s="19" t="s">
        <v>55</v>
      </c>
      <c r="P14" s="13"/>
    </row>
    <row r="15" spans="1:50" s="16" customFormat="1" ht="19.5" customHeight="1">
      <c r="A15" s="14" t="s">
        <v>8</v>
      </c>
      <c r="B15" s="1">
        <f t="shared" si="2"/>
        <v>27094</v>
      </c>
      <c r="C15" s="1">
        <v>766</v>
      </c>
      <c r="D15" s="1">
        <v>716</v>
      </c>
      <c r="E15" s="1">
        <v>1313</v>
      </c>
      <c r="F15" s="1">
        <v>2325</v>
      </c>
      <c r="G15" s="1">
        <v>2063</v>
      </c>
      <c r="H15" s="1">
        <v>2111</v>
      </c>
      <c r="I15" s="1">
        <v>2648</v>
      </c>
      <c r="J15" s="1">
        <v>2223</v>
      </c>
      <c r="K15" s="1">
        <v>3540</v>
      </c>
      <c r="L15" s="1">
        <v>3127</v>
      </c>
      <c r="M15" s="1">
        <v>3140</v>
      </c>
      <c r="N15" s="1">
        <v>3122</v>
      </c>
      <c r="O15" s="15" t="s">
        <v>7</v>
      </c>
      <c r="P15" s="22"/>
      <c r="AL15" s="14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</row>
    <row r="16" spans="1:50" s="16" customFormat="1" ht="19.5" customHeight="1">
      <c r="A16" s="14" t="s">
        <v>6</v>
      </c>
      <c r="B16" s="1">
        <f t="shared" si="2"/>
        <v>27951</v>
      </c>
      <c r="C16" s="1">
        <v>1339</v>
      </c>
      <c r="D16" s="1">
        <v>1600</v>
      </c>
      <c r="E16" s="1">
        <v>2934</v>
      </c>
      <c r="F16" s="1">
        <v>2297</v>
      </c>
      <c r="G16" s="1">
        <v>2503</v>
      </c>
      <c r="H16" s="1">
        <v>2405</v>
      </c>
      <c r="I16" s="1">
        <v>2384</v>
      </c>
      <c r="J16" s="1">
        <v>2653</v>
      </c>
      <c r="K16" s="1">
        <v>1952</v>
      </c>
      <c r="L16" s="1">
        <v>2466</v>
      </c>
      <c r="M16" s="1">
        <v>1649</v>
      </c>
      <c r="N16" s="1">
        <v>3769</v>
      </c>
      <c r="O16" s="15" t="s">
        <v>56</v>
      </c>
      <c r="AL16" s="18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</row>
    <row r="17" spans="1:50" s="16" customFormat="1" ht="19.5" customHeight="1">
      <c r="A17" s="14" t="s">
        <v>57</v>
      </c>
      <c r="B17" s="1">
        <f t="shared" si="2"/>
        <v>121140</v>
      </c>
      <c r="C17" s="1">
        <v>8383</v>
      </c>
      <c r="D17" s="1">
        <v>9243</v>
      </c>
      <c r="E17" s="1">
        <v>12713</v>
      </c>
      <c r="F17" s="1">
        <v>10751</v>
      </c>
      <c r="G17" s="1">
        <v>10396</v>
      </c>
      <c r="H17" s="1">
        <v>8725</v>
      </c>
      <c r="I17" s="1">
        <v>9475</v>
      </c>
      <c r="J17" s="1">
        <v>7243</v>
      </c>
      <c r="K17" s="1">
        <v>8088</v>
      </c>
      <c r="L17" s="1">
        <v>10360</v>
      </c>
      <c r="M17" s="1">
        <v>12953</v>
      </c>
      <c r="N17" s="1">
        <v>12810</v>
      </c>
      <c r="O17" s="15" t="s">
        <v>58</v>
      </c>
      <c r="P17" s="22"/>
      <c r="AL17" s="18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</row>
    <row r="18" spans="1:50" s="16" customFormat="1" ht="19.5" customHeight="1">
      <c r="A18" s="14" t="s">
        <v>9</v>
      </c>
      <c r="B18" s="1">
        <f t="shared" si="2"/>
        <v>79963</v>
      </c>
      <c r="C18" s="1">
        <v>5107</v>
      </c>
      <c r="D18" s="1">
        <v>6462</v>
      </c>
      <c r="E18" s="1">
        <v>9558</v>
      </c>
      <c r="F18" s="1">
        <v>1584</v>
      </c>
      <c r="G18" s="1">
        <v>11134</v>
      </c>
      <c r="H18" s="1">
        <v>6690</v>
      </c>
      <c r="I18" s="1">
        <v>12407</v>
      </c>
      <c r="J18" s="1">
        <v>7503</v>
      </c>
      <c r="K18" s="1">
        <v>4311</v>
      </c>
      <c r="L18" s="1">
        <v>4273</v>
      </c>
      <c r="M18" s="1">
        <v>5111</v>
      </c>
      <c r="N18" s="1">
        <v>5823</v>
      </c>
      <c r="O18" s="15" t="s">
        <v>59</v>
      </c>
      <c r="P18" s="22"/>
      <c r="AL18" s="18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</row>
    <row r="19" spans="1:50" s="16" customFormat="1" ht="19.5" customHeight="1">
      <c r="A19" s="14" t="s">
        <v>60</v>
      </c>
      <c r="B19" s="1">
        <f>SUM(C19:N19)</f>
        <v>27</v>
      </c>
      <c r="C19" s="1">
        <v>0</v>
      </c>
      <c r="D19" s="1">
        <v>0</v>
      </c>
      <c r="E19" s="1">
        <v>5</v>
      </c>
      <c r="F19" s="1">
        <v>0</v>
      </c>
      <c r="G19" s="1">
        <v>0</v>
      </c>
      <c r="H19" s="1">
        <v>0</v>
      </c>
      <c r="I19" s="1">
        <v>6</v>
      </c>
      <c r="J19" s="1">
        <v>0</v>
      </c>
      <c r="K19" s="1">
        <v>4</v>
      </c>
      <c r="L19" s="1">
        <v>5</v>
      </c>
      <c r="M19" s="1">
        <v>1</v>
      </c>
      <c r="N19" s="1">
        <v>6</v>
      </c>
      <c r="O19" s="23" t="s">
        <v>10</v>
      </c>
      <c r="P19" s="22"/>
      <c r="AL19" s="18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</row>
    <row r="20" spans="1:50" s="16" customFormat="1" ht="19.5" customHeight="1">
      <c r="A20" s="3" t="s">
        <v>61</v>
      </c>
      <c r="B20" s="4">
        <f>SUM(C20:N20)</f>
        <v>142</v>
      </c>
      <c r="C20" s="4">
        <v>0</v>
      </c>
      <c r="D20" s="4">
        <v>0</v>
      </c>
      <c r="E20" s="4">
        <v>32</v>
      </c>
      <c r="F20" s="4">
        <v>0</v>
      </c>
      <c r="G20" s="4">
        <v>0</v>
      </c>
      <c r="H20" s="4">
        <v>0</v>
      </c>
      <c r="I20" s="4">
        <v>19</v>
      </c>
      <c r="J20" s="4">
        <v>0</v>
      </c>
      <c r="K20" s="4">
        <v>9</v>
      </c>
      <c r="L20" s="4">
        <v>28</v>
      </c>
      <c r="M20" s="4">
        <v>17</v>
      </c>
      <c r="N20" s="4">
        <v>37</v>
      </c>
      <c r="O20" s="5" t="s">
        <v>62</v>
      </c>
      <c r="P20" s="22"/>
      <c r="AL20" s="18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</row>
    <row r="21" spans="1:50" s="20" customFormat="1" ht="15.75" customHeight="1">
      <c r="A21" s="25" t="s">
        <v>11</v>
      </c>
      <c r="B21" s="26"/>
      <c r="C21" s="27"/>
      <c r="D21" s="26" t="s">
        <v>63</v>
      </c>
      <c r="E21" s="26"/>
      <c r="F21" s="26"/>
      <c r="G21" s="26"/>
      <c r="H21" s="26"/>
      <c r="I21" s="26"/>
      <c r="J21" s="26"/>
      <c r="K21" s="26"/>
      <c r="L21" s="26"/>
      <c r="M21" s="28"/>
      <c r="N21" s="28"/>
      <c r="O21" s="29" t="s">
        <v>13</v>
      </c>
      <c r="P21" s="13"/>
      <c r="AL21" s="18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</row>
    <row r="22" spans="1:50" s="20" customFormat="1" ht="13.5" customHeight="1">
      <c r="A22" s="30" t="s">
        <v>64</v>
      </c>
      <c r="B22" s="26"/>
      <c r="C22" s="27"/>
      <c r="D22" s="26"/>
      <c r="E22" s="26"/>
      <c r="F22" s="26"/>
      <c r="G22" s="26"/>
      <c r="H22" s="26"/>
      <c r="I22" s="26"/>
      <c r="J22" s="26"/>
      <c r="K22" s="26"/>
      <c r="L22" s="26"/>
      <c r="M22" s="31" t="s">
        <v>65</v>
      </c>
      <c r="N22" s="31"/>
      <c r="O22" s="31"/>
      <c r="AL22" s="21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</row>
    <row r="23" spans="1:50">
      <c r="A23" s="32" t="s">
        <v>66</v>
      </c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</row>
    <row r="24" spans="1:50">
      <c r="A24" s="34" t="s">
        <v>67</v>
      </c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</row>
    <row r="27" spans="1:50">
      <c r="AL27" s="14"/>
      <c r="AM27" s="9" t="s">
        <v>14</v>
      </c>
      <c r="AN27" s="9" t="s">
        <v>15</v>
      </c>
      <c r="AO27" s="9" t="s">
        <v>16</v>
      </c>
      <c r="AP27" s="9" t="s">
        <v>17</v>
      </c>
      <c r="AQ27" s="9" t="s">
        <v>12</v>
      </c>
      <c r="AR27" s="9" t="s">
        <v>18</v>
      </c>
      <c r="AS27" s="9" t="s">
        <v>19</v>
      </c>
      <c r="AT27" s="9" t="s">
        <v>20</v>
      </c>
      <c r="AU27" s="9" t="s">
        <v>21</v>
      </c>
      <c r="AV27" s="9" t="s">
        <v>22</v>
      </c>
      <c r="AW27" s="9" t="s">
        <v>23</v>
      </c>
      <c r="AX27" s="9" t="s">
        <v>24</v>
      </c>
    </row>
    <row r="28" spans="1:50">
      <c r="A28" s="14"/>
      <c r="B28" s="1"/>
      <c r="AL28" s="18" t="s">
        <v>40</v>
      </c>
      <c r="AM28" s="2">
        <f>C6</f>
        <v>44563</v>
      </c>
      <c r="AN28" s="2">
        <f t="shared" ref="AN28:AX32" si="4">D6</f>
        <v>40523</v>
      </c>
      <c r="AO28" s="2">
        <f t="shared" si="4"/>
        <v>24775</v>
      </c>
      <c r="AP28" s="2">
        <f t="shared" si="4"/>
        <v>15560</v>
      </c>
      <c r="AQ28" s="2">
        <f t="shared" si="4"/>
        <v>13923</v>
      </c>
      <c r="AR28" s="2">
        <f t="shared" si="4"/>
        <v>21045</v>
      </c>
      <c r="AS28" s="2">
        <f t="shared" si="4"/>
        <v>27658</v>
      </c>
      <c r="AT28" s="2">
        <f t="shared" si="4"/>
        <v>28115</v>
      </c>
      <c r="AU28" s="2">
        <f t="shared" si="4"/>
        <v>25670</v>
      </c>
      <c r="AV28" s="2">
        <f t="shared" si="4"/>
        <v>30171</v>
      </c>
      <c r="AW28" s="2">
        <f t="shared" si="4"/>
        <v>31270</v>
      </c>
      <c r="AX28" s="2">
        <f t="shared" si="4"/>
        <v>36345</v>
      </c>
    </row>
    <row r="29" spans="1:50">
      <c r="A29" s="14"/>
      <c r="B29" s="1"/>
      <c r="AL29" s="18" t="s">
        <v>42</v>
      </c>
      <c r="AM29" s="2">
        <f>C7</f>
        <v>17215</v>
      </c>
      <c r="AN29" s="2">
        <f t="shared" si="4"/>
        <v>24821</v>
      </c>
      <c r="AO29" s="2">
        <f t="shared" si="4"/>
        <v>22911</v>
      </c>
      <c r="AP29" s="2">
        <f t="shared" si="4"/>
        <v>29193</v>
      </c>
      <c r="AQ29" s="2">
        <f t="shared" si="4"/>
        <v>14450</v>
      </c>
      <c r="AR29" s="2">
        <f t="shared" si="4"/>
        <v>10419</v>
      </c>
      <c r="AS29" s="2">
        <f t="shared" si="4"/>
        <v>17235</v>
      </c>
      <c r="AT29" s="2">
        <f t="shared" si="4"/>
        <v>14183</v>
      </c>
      <c r="AU29" s="2">
        <f t="shared" si="4"/>
        <v>10200</v>
      </c>
      <c r="AV29" s="2">
        <f t="shared" si="4"/>
        <v>19696</v>
      </c>
      <c r="AW29" s="2">
        <f t="shared" si="4"/>
        <v>18506</v>
      </c>
      <c r="AX29" s="2">
        <f t="shared" si="4"/>
        <v>21246</v>
      </c>
    </row>
    <row r="30" spans="1:50">
      <c r="A30" s="14"/>
      <c r="B30" s="1"/>
      <c r="AL30" s="18" t="s">
        <v>44</v>
      </c>
      <c r="AM30" s="2">
        <f>C8</f>
        <v>14777</v>
      </c>
      <c r="AN30" s="2">
        <f t="shared" si="4"/>
        <v>14872</v>
      </c>
      <c r="AO30" s="2">
        <f t="shared" si="4"/>
        <v>15983</v>
      </c>
      <c r="AP30" s="2">
        <f t="shared" si="4"/>
        <v>18504</v>
      </c>
      <c r="AQ30" s="2">
        <f t="shared" si="4"/>
        <v>8729</v>
      </c>
      <c r="AR30" s="2">
        <f t="shared" si="4"/>
        <v>9648</v>
      </c>
      <c r="AS30" s="2">
        <f t="shared" si="4"/>
        <v>12234</v>
      </c>
      <c r="AT30" s="2">
        <f t="shared" si="4"/>
        <v>20694</v>
      </c>
      <c r="AU30" s="2">
        <f t="shared" si="4"/>
        <v>11093</v>
      </c>
      <c r="AV30" s="2">
        <f t="shared" si="4"/>
        <v>12682</v>
      </c>
      <c r="AW30" s="2">
        <f t="shared" si="4"/>
        <v>13552</v>
      </c>
      <c r="AX30" s="2">
        <f t="shared" si="4"/>
        <v>22843</v>
      </c>
    </row>
    <row r="31" spans="1:50">
      <c r="A31" s="14"/>
      <c r="B31" s="14"/>
      <c r="C31" s="14"/>
      <c r="AL31" s="18" t="s">
        <v>46</v>
      </c>
      <c r="AM31" s="2">
        <f>C9</f>
        <v>22107</v>
      </c>
      <c r="AN31" s="2">
        <f t="shared" si="4"/>
        <v>29256</v>
      </c>
      <c r="AO31" s="2">
        <f t="shared" si="4"/>
        <v>27892</v>
      </c>
      <c r="AP31" s="2">
        <f t="shared" si="4"/>
        <v>31120</v>
      </c>
      <c r="AQ31" s="2">
        <f t="shared" si="4"/>
        <v>16206</v>
      </c>
      <c r="AR31" s="2">
        <f t="shared" si="4"/>
        <v>12371</v>
      </c>
      <c r="AS31" s="2">
        <f t="shared" si="4"/>
        <v>16452</v>
      </c>
      <c r="AT31" s="2">
        <f t="shared" si="4"/>
        <v>15928</v>
      </c>
      <c r="AU31" s="2">
        <f t="shared" si="4"/>
        <v>13817</v>
      </c>
      <c r="AV31" s="2">
        <f t="shared" si="4"/>
        <v>27246</v>
      </c>
      <c r="AW31" s="2">
        <f t="shared" si="4"/>
        <v>22918</v>
      </c>
      <c r="AX31" s="2">
        <f t="shared" si="4"/>
        <v>24658</v>
      </c>
    </row>
    <row r="32" spans="1:50" ht="25.5">
      <c r="A32" s="14"/>
      <c r="B32" s="14"/>
      <c r="C32" s="14"/>
      <c r="AL32" s="21" t="s">
        <v>48</v>
      </c>
      <c r="AM32" s="2">
        <f>C10</f>
        <v>1933</v>
      </c>
      <c r="AN32" s="2">
        <f t="shared" si="4"/>
        <v>1901</v>
      </c>
      <c r="AO32" s="2">
        <f t="shared" si="4"/>
        <v>2249</v>
      </c>
      <c r="AP32" s="2">
        <f t="shared" si="4"/>
        <v>3137</v>
      </c>
      <c r="AQ32" s="2">
        <f t="shared" si="4"/>
        <v>1704</v>
      </c>
      <c r="AR32" s="2">
        <f t="shared" si="4"/>
        <v>1664</v>
      </c>
      <c r="AS32" s="2">
        <f t="shared" si="4"/>
        <v>2199</v>
      </c>
      <c r="AT32" s="2">
        <f t="shared" si="4"/>
        <v>3060</v>
      </c>
      <c r="AU32" s="2">
        <f t="shared" si="4"/>
        <v>2797</v>
      </c>
      <c r="AV32" s="2">
        <f t="shared" si="4"/>
        <v>2748</v>
      </c>
      <c r="AW32" s="2">
        <f t="shared" si="4"/>
        <v>1810</v>
      </c>
      <c r="AX32" s="2">
        <f t="shared" si="4"/>
        <v>2248</v>
      </c>
    </row>
    <row r="33" spans="1:50">
      <c r="A33" s="14"/>
      <c r="B33" s="14"/>
      <c r="C33" s="14"/>
    </row>
    <row r="34" spans="1:50">
      <c r="A34" s="14"/>
      <c r="B34" s="14"/>
      <c r="C34" s="14"/>
    </row>
    <row r="35" spans="1:50">
      <c r="A35" s="14"/>
      <c r="B35" s="14"/>
      <c r="C35" s="14"/>
    </row>
    <row r="36" spans="1:50">
      <c r="AL36" s="14"/>
      <c r="AM36" s="9" t="s">
        <v>14</v>
      </c>
      <c r="AN36" s="9" t="s">
        <v>15</v>
      </c>
      <c r="AO36" s="9" t="s">
        <v>16</v>
      </c>
      <c r="AP36" s="9" t="s">
        <v>17</v>
      </c>
      <c r="AQ36" s="9" t="s">
        <v>12</v>
      </c>
      <c r="AR36" s="9" t="s">
        <v>18</v>
      </c>
      <c r="AS36" s="9" t="s">
        <v>19</v>
      </c>
      <c r="AT36" s="9" t="s">
        <v>20</v>
      </c>
      <c r="AU36" s="9" t="s">
        <v>21</v>
      </c>
      <c r="AV36" s="9" t="s">
        <v>22</v>
      </c>
      <c r="AW36" s="9" t="s">
        <v>23</v>
      </c>
      <c r="AX36" s="9" t="s">
        <v>24</v>
      </c>
    </row>
    <row r="37" spans="1:50">
      <c r="AL37" s="18" t="s">
        <v>50</v>
      </c>
      <c r="AM37" s="2">
        <f>C12</f>
        <v>1659</v>
      </c>
      <c r="AN37" s="2">
        <f t="shared" ref="AN37:AX39" si="5">D12</f>
        <v>1226</v>
      </c>
      <c r="AO37" s="2">
        <f t="shared" si="5"/>
        <v>1964</v>
      </c>
      <c r="AP37" s="2">
        <f t="shared" si="5"/>
        <v>3796</v>
      </c>
      <c r="AQ37" s="2">
        <f t="shared" si="5"/>
        <v>5239</v>
      </c>
      <c r="AR37" s="2">
        <f t="shared" si="5"/>
        <v>4983</v>
      </c>
      <c r="AS37" s="2">
        <f t="shared" si="5"/>
        <v>5316</v>
      </c>
      <c r="AT37" s="2">
        <f t="shared" si="5"/>
        <v>5324</v>
      </c>
      <c r="AU37" s="2">
        <f t="shared" si="5"/>
        <v>6061</v>
      </c>
      <c r="AV37" s="2">
        <f t="shared" si="5"/>
        <v>8435</v>
      </c>
      <c r="AW37" s="2">
        <f t="shared" si="5"/>
        <v>7565</v>
      </c>
      <c r="AX37" s="2">
        <f t="shared" si="5"/>
        <v>8499</v>
      </c>
    </row>
    <row r="38" spans="1:50">
      <c r="AL38" s="18" t="s">
        <v>52</v>
      </c>
      <c r="AM38" s="2">
        <f>C13</f>
        <v>755</v>
      </c>
      <c r="AN38" s="2">
        <f t="shared" si="5"/>
        <v>1079</v>
      </c>
      <c r="AO38" s="2">
        <f t="shared" si="5"/>
        <v>2161</v>
      </c>
      <c r="AP38" s="2">
        <f t="shared" si="5"/>
        <v>3469</v>
      </c>
      <c r="AQ38" s="2">
        <f t="shared" si="5"/>
        <v>5079</v>
      </c>
      <c r="AR38" s="2">
        <f t="shared" si="5"/>
        <v>5864</v>
      </c>
      <c r="AS38" s="2">
        <f t="shared" si="5"/>
        <v>5208</v>
      </c>
      <c r="AT38" s="2">
        <f t="shared" si="5"/>
        <v>4524</v>
      </c>
      <c r="AU38" s="2">
        <f t="shared" si="5"/>
        <v>5371</v>
      </c>
      <c r="AV38" s="2">
        <f t="shared" si="5"/>
        <v>6397</v>
      </c>
      <c r="AW38" s="2">
        <f t="shared" si="5"/>
        <v>5527</v>
      </c>
      <c r="AX38" s="2">
        <f t="shared" si="5"/>
        <v>6493</v>
      </c>
    </row>
    <row r="39" spans="1:50">
      <c r="AL39" s="18" t="s">
        <v>54</v>
      </c>
      <c r="AM39" s="2">
        <f>C14</f>
        <v>13161</v>
      </c>
      <c r="AN39" s="2">
        <f t="shared" si="5"/>
        <v>17312</v>
      </c>
      <c r="AO39" s="2">
        <f t="shared" si="5"/>
        <v>26258</v>
      </c>
      <c r="AP39" s="2">
        <f t="shared" si="5"/>
        <v>23546</v>
      </c>
      <c r="AQ39" s="2">
        <f t="shared" si="5"/>
        <v>34102</v>
      </c>
      <c r="AR39" s="2">
        <f t="shared" si="5"/>
        <v>24960</v>
      </c>
      <c r="AS39" s="2">
        <f t="shared" si="5"/>
        <v>20320</v>
      </c>
      <c r="AT39" s="2">
        <f t="shared" si="5"/>
        <v>20413</v>
      </c>
      <c r="AU39" s="2">
        <f t="shared" si="5"/>
        <v>19073</v>
      </c>
      <c r="AV39" s="2">
        <f t="shared" si="5"/>
        <v>26103</v>
      </c>
      <c r="AW39" s="2">
        <f t="shared" si="5"/>
        <v>22867</v>
      </c>
      <c r="AX39" s="2">
        <f t="shared" si="5"/>
        <v>36152</v>
      </c>
    </row>
    <row r="52" spans="1:15">
      <c r="A52" s="35"/>
    </row>
    <row r="53" spans="1:15" ht="18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</row>
    <row r="54" spans="1:15" ht="1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</row>
    <row r="55" spans="1:15" ht="17.25">
      <c r="A55" s="10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2"/>
    </row>
    <row r="56" spans="1:15" ht="18.75">
      <c r="A56" s="14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5"/>
    </row>
    <row r="57" spans="1:15" ht="18.75">
      <c r="A57" s="14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5"/>
    </row>
    <row r="58" spans="1:15" ht="18.75">
      <c r="A58" s="18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19"/>
    </row>
    <row r="59" spans="1:15" ht="18.75">
      <c r="A59" s="18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19"/>
    </row>
    <row r="60" spans="1:15" ht="18.75">
      <c r="A60" s="18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19"/>
    </row>
    <row r="61" spans="1:15" ht="18.75">
      <c r="A61" s="18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19"/>
    </row>
    <row r="62" spans="1:15" ht="18.75">
      <c r="A62" s="2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19"/>
    </row>
    <row r="63" spans="1:15" ht="18.75">
      <c r="A63" s="14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5"/>
    </row>
    <row r="64" spans="1:15" ht="18.75">
      <c r="A64" s="18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19"/>
    </row>
    <row r="65" spans="1:15" ht="18.75">
      <c r="A65" s="18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19"/>
    </row>
    <row r="66" spans="1:15" ht="18.75">
      <c r="A66" s="18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19"/>
    </row>
    <row r="67" spans="1:15" ht="18.75">
      <c r="A67" s="14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5"/>
    </row>
    <row r="68" spans="1:15" ht="18.75">
      <c r="A68" s="14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5"/>
    </row>
    <row r="69" spans="1:15" ht="18.75">
      <c r="A69" s="14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5"/>
    </row>
    <row r="70" spans="1:15" ht="18.75">
      <c r="A70" s="14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5"/>
    </row>
    <row r="71" spans="1:15" ht="19.5">
      <c r="A71" s="14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23"/>
    </row>
    <row r="72" spans="1:15" ht="17.25">
      <c r="A72" s="14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24"/>
    </row>
    <row r="73" spans="1:15" ht="14.25">
      <c r="A73" s="25"/>
      <c r="B73" s="26"/>
      <c r="C73" s="27"/>
      <c r="D73" s="26"/>
      <c r="E73" s="26"/>
      <c r="F73" s="26"/>
      <c r="G73" s="26"/>
      <c r="H73" s="26"/>
      <c r="I73" s="26"/>
      <c r="J73" s="26"/>
      <c r="K73" s="26"/>
      <c r="L73" s="26"/>
      <c r="M73" s="28"/>
      <c r="N73" s="28"/>
      <c r="O73" s="29"/>
    </row>
    <row r="74" spans="1:15" ht="17.25">
      <c r="A74" s="30"/>
      <c r="B74" s="26"/>
      <c r="C74" s="27"/>
      <c r="D74" s="26"/>
      <c r="E74" s="26"/>
      <c r="F74" s="26"/>
      <c r="G74" s="26"/>
      <c r="H74" s="26"/>
      <c r="I74" s="26"/>
      <c r="J74" s="26"/>
      <c r="K74" s="26"/>
      <c r="L74" s="26"/>
      <c r="M74" s="31"/>
      <c r="N74" s="31"/>
      <c r="O74" s="31"/>
    </row>
    <row r="75" spans="1:15">
      <c r="A75" s="32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</row>
    <row r="76" spans="1:15">
      <c r="A76" s="34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</row>
  </sheetData>
  <mergeCells count="6">
    <mergeCell ref="M74:O74"/>
    <mergeCell ref="A1:O1"/>
    <mergeCell ref="A2:O2"/>
    <mergeCell ref="M22:O22"/>
    <mergeCell ref="A53:O53"/>
    <mergeCell ref="A54:O54"/>
  </mergeCells>
  <pageMargins left="0.7" right="0.7" top="0.75" bottom="0.75" header="0.3" footer="0.3"/>
  <pageSetup paperSize="9" scale="70" orientation="landscape" horizontalDpi="4294967295" verticalDpi="4294967295" r:id="rId1"/>
  <ignoredErrors>
    <ignoredError sqref="C11:N11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10.11</vt:lpstr>
      <vt:lpstr>'10.11'!Print_Area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2023-06-20T07:13:12Z</cp:lastPrinted>
  <dcterms:created xsi:type="dcterms:W3CDTF">2019-02-27T06:18:18Z</dcterms:created>
  <dcterms:modified xsi:type="dcterms:W3CDTF">2023-06-20T07:13:20Z</dcterms:modified>
</cp:coreProperties>
</file>