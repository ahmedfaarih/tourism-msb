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CF1A9B74-400B-43C5-83A0-5B5BC6025514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4" sheetId="4" r:id="rId1"/>
  </sheets>
  <definedNames>
    <definedName name="_xlnm.Print_Area" localSheetId="0">'10.4'!$A$1:$L$25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4" l="1"/>
  <c r="I18" i="4"/>
  <c r="I17" i="4"/>
  <c r="I16" i="4"/>
  <c r="I15" i="4"/>
  <c r="I14" i="4"/>
  <c r="I13" i="4"/>
  <c r="I12" i="4"/>
  <c r="I11" i="4"/>
  <c r="I10" i="4"/>
  <c r="I9" i="4"/>
  <c r="I8" i="4"/>
  <c r="K7" i="4"/>
  <c r="J7" i="4"/>
  <c r="H7" i="4"/>
  <c r="G7" i="4"/>
  <c r="I7" i="4" l="1"/>
  <c r="D9" i="4" l="1"/>
  <c r="D19" i="4" l="1"/>
  <c r="D18" i="4"/>
  <c r="D17" i="4"/>
  <c r="D16" i="4"/>
  <c r="D15" i="4"/>
  <c r="D14" i="4"/>
  <c r="D13" i="4"/>
  <c r="D12" i="4"/>
  <c r="D11" i="4"/>
  <c r="D10" i="4"/>
  <c r="D8" i="4"/>
  <c r="F7" i="4"/>
  <c r="E7" i="4"/>
  <c r="C7" i="4"/>
  <c r="B7" i="4"/>
  <c r="D7" i="4" l="1"/>
</calcChain>
</file>

<file path=xl/sharedStrings.xml><?xml version="1.0" encoding="utf-8"?>
<sst xmlns="http://schemas.openxmlformats.org/spreadsheetml/2006/main" count="40" uniqueCount="30">
  <si>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</si>
  <si>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</si>
  <si>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</si>
  <si>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</si>
  <si>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</si>
  <si>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</si>
  <si>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</si>
  <si>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</si>
  <si>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</si>
  <si>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</si>
  <si>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</si>
  <si>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</si>
  <si>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</si>
  <si>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</si>
  <si>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</si>
  <si>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</si>
  <si>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</si>
  <si>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</si>
  <si>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</si>
  <si>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</si>
  <si>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</si>
  <si>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</si>
  <si>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</si>
  <si>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</si>
  <si>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</si>
  <si>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</si>
  <si>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10.4: BED CAPACITY AND UTILIZATION OF RESORTS BY MONTH,  2024 - 2025</t>
  </si>
  <si>
    <t>2025 - 2024  ,urwvcnim unuverukcnunEb wgWjegudnea iaWa wgWj egudnea egukwtuTOsir uhwmcswmikea : 10.4 ulwvWt</t>
  </si>
  <si>
    <t>Source: Ministry Tourism and Civil Aviation</t>
  </si>
  <si>
    <t>މަޢުލޫމާތު ދެއްވީ: މިނިސްޓްރީ އޮފް ޓޫރިޒަމް އެންޑް ސިވިލް އޭވިއޭޝަން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</si>
</sst>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#,##0.0"/>
    <numFmt numFmtId="171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171" fontId="14" fillId="0" borderId="0"/>
    <xf numFmtId="1" fontId="15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3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5" fillId="0" borderId="12" applyNumberFormat="0"/>
    <xf numFmtId="0" fontId="1" fillId="0" borderId="0"/>
    <xf numFmtId="0" fontId="3" fillId="0" borderId="0"/>
    <xf numFmtId="0" fontId="17" fillId="0" borderId="0" applyFill="0" applyProtection="0"/>
    <xf numFmtId="1" fontId="15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3" fillId="0" borderId="0"/>
    <xf numFmtId="0" fontId="17" fillId="0" borderId="0" applyFill="0" applyProtection="0"/>
    <xf numFmtId="1" fontId="15" fillId="0" borderId="12" applyNumberFormat="0"/>
    <xf numFmtId="0" fontId="1" fillId="0" borderId="0"/>
    <xf numFmtId="0" fontId="2" fillId="0" borderId="0"/>
    <xf numFmtId="0" fontId="18" fillId="0" borderId="0"/>
    <xf numFmtId="0" fontId="19" fillId="0" borderId="0"/>
    <xf numFmtId="0" fontId="2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0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 applyBorder="0"/>
    <xf numFmtId="0" fontId="1" fillId="0" borderId="0"/>
    <xf numFmtId="0" fontId="1" fillId="0" borderId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1" fontId="15" fillId="0" borderId="12" applyNumberFormat="0"/>
    <xf numFmtId="0" fontId="1" fillId="0" borderId="0"/>
    <xf numFmtId="0" fontId="1" fillId="0" borderId="0"/>
    <xf numFmtId="0" fontId="20" fillId="0" borderId="0" applyBorder="0"/>
    <xf numFmtId="0" fontId="20" fillId="0" borderId="0"/>
    <xf numFmtId="0" fontId="1" fillId="0" borderId="0"/>
    <xf numFmtId="0" fontId="3" fillId="0" borderId="0"/>
    <xf numFmtId="0" fontId="3" fillId="0" borderId="0"/>
    <xf numFmtId="1" fontId="15" fillId="0" borderId="12" applyNumberFormat="0"/>
    <xf numFmtId="0" fontId="20" fillId="0" borderId="0" applyBorder="0"/>
    <xf numFmtId="0" fontId="20" fillId="0" borderId="0" applyBorder="0"/>
    <xf numFmtId="0" fontId="3" fillId="0" borderId="0"/>
    <xf numFmtId="0" fontId="2" fillId="0" borderId="0"/>
    <xf numFmtId="0" fontId="2" fillId="0" borderId="0"/>
    <xf numFmtId="0" fontId="2" fillId="0" borderId="0"/>
  </cellStyleXfs>
  <cellXfs count="36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right" vertical="center" wrapText="1"/>
    </xf>
    <xf numFmtId="166" fontId="6" fillId="2" borderId="0" xfId="1" applyNumberFormat="1" applyFont="1" applyFill="1" applyAlignment="1">
      <alignment horizontal="right" vertical="center"/>
    </xf>
    <xf numFmtId="166" fontId="7" fillId="2" borderId="0" xfId="1" applyNumberFormat="1" applyFont="1" applyFill="1" applyBorder="1" applyAlignment="1">
      <alignment horizontal="right" vertical="center"/>
    </xf>
    <xf numFmtId="166" fontId="7" fillId="2" borderId="1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12" fillId="2" borderId="0" xfId="0" applyFont="1" applyFill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82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0 2" xfId="81" xr:uid="{AF4FE69F-9401-42FA-B027-EEF0FEB874E3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24" xfId="76" xr:uid="{DB5E392E-84E8-49A0-A5E9-BE8B736EFA85}"/>
    <cellStyle name="Normal 25" xfId="77" xr:uid="{6753E3D1-5C90-4E93-BA77-A2FB0D20D5D4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2 3" xfId="79" xr:uid="{2702B235-7DDF-4A16-AFF9-4947AD331AEF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4 5" xfId="78" xr:uid="{29A6969F-54E4-4383-BF5F-A7F4F715B13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Normal 9 2" xfId="80" xr:uid="{8B69E301-AFA8-488E-94F8-DE9EB7E34FB9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34"/>
  <sheetViews>
    <sheetView tabSelected="1" zoomScaleNormal="100" workbookViewId="0">
      <pane ySplit="2" topLeftCell="A3" activePane="bottomLeft" state="frozen"/>
      <selection pane="bottomLeft" activeCell="P7" sqref="P7"/>
    </sheetView>
  </sheetViews>
  <sheetFormatPr defaultColWidth="9.140625" defaultRowHeight="12"/>
  <cols>
    <col min="1" max="1" width="13.7109375" style="3" customWidth="1"/>
    <col min="2" max="2" width="16.5703125" style="3" customWidth="1"/>
    <col min="3" max="3" width="13.28515625" style="3" customWidth="1"/>
    <col min="4" max="4" width="14" style="3" customWidth="1"/>
    <col min="5" max="5" width="15.140625" style="3" customWidth="1"/>
    <col min="6" max="6" width="13.140625" style="3" customWidth="1"/>
    <col min="7" max="7" width="16.5703125" style="3" customWidth="1"/>
    <col min="8" max="8" width="13.28515625" style="3" customWidth="1"/>
    <col min="9" max="9" width="14" style="3" customWidth="1"/>
    <col min="10" max="10" width="15.140625" style="3" customWidth="1"/>
    <col min="11" max="11" width="13.140625" style="3" customWidth="1"/>
    <col min="12" max="16384" width="9.140625" style="3"/>
  </cols>
  <sheetData>
    <row r="1" spans="1:11" ht="14.25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2.75">
      <c r="A2" s="31" t="s">
        <v>26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2.75">
      <c r="A3" s="23"/>
    </row>
    <row r="4" spans="1:11" s="4" customFormat="1" ht="12.75">
      <c r="A4" s="33" t="s">
        <v>1</v>
      </c>
      <c r="B4" s="29">
        <v>2024</v>
      </c>
      <c r="C4" s="30"/>
      <c r="D4" s="30"/>
      <c r="E4" s="30"/>
      <c r="F4" s="30"/>
      <c r="G4" s="29">
        <v>2025</v>
      </c>
      <c r="H4" s="30"/>
      <c r="I4" s="30"/>
      <c r="J4" s="30"/>
      <c r="K4" s="30"/>
    </row>
    <row r="5" spans="1:11" s="4" customFormat="1" ht="63.75" customHeight="1">
      <c r="A5" s="34"/>
      <c r="B5" s="5" t="s">
        <v>2</v>
      </c>
      <c r="C5" s="6" t="s">
        <v>3</v>
      </c>
      <c r="D5" s="6" t="s">
        <v>0</v>
      </c>
      <c r="E5" s="6" t="s">
        <v>4</v>
      </c>
      <c r="F5" s="6" t="s">
        <v>5</v>
      </c>
      <c r="G5" s="5" t="s">
        <v>2</v>
      </c>
      <c r="H5" s="6" t="s">
        <v>3</v>
      </c>
      <c r="I5" s="6" t="s">
        <v>0</v>
      </c>
      <c r="J5" s="6" t="s">
        <v>4</v>
      </c>
      <c r="K5" s="6" t="s">
        <v>5</v>
      </c>
    </row>
    <row r="6" spans="1:11" s="4" customFormat="1" ht="36" customHeight="1">
      <c r="A6" s="35"/>
      <c r="B6" s="25" t="s">
        <v>10</v>
      </c>
      <c r="C6" s="24" t="s">
        <v>6</v>
      </c>
      <c r="D6" s="24" t="s">
        <v>7</v>
      </c>
      <c r="E6" s="24" t="s">
        <v>8</v>
      </c>
      <c r="F6" s="19" t="s">
        <v>9</v>
      </c>
      <c r="G6" s="25" t="s">
        <v>10</v>
      </c>
      <c r="H6" s="24" t="s">
        <v>6</v>
      </c>
      <c r="I6" s="24" t="s">
        <v>7</v>
      </c>
      <c r="J6" s="24" t="s">
        <v>8</v>
      </c>
      <c r="K6" s="19" t="s">
        <v>9</v>
      </c>
    </row>
    <row r="7" spans="1:11" s="4" customFormat="1" ht="18.75" customHeight="1">
      <c r="A7" s="7" t="s">
        <v>11</v>
      </c>
      <c r="B7" s="8">
        <f>AVERAGE(B8:B19)</f>
        <v>44383.166666666664</v>
      </c>
      <c r="C7" s="9">
        <f>AVERAGE(C8:C19)</f>
        <v>42147.25</v>
      </c>
      <c r="D7" s="10">
        <f>AVERAGE(D8:D19)</f>
        <v>94.963009825196025</v>
      </c>
      <c r="E7" s="10">
        <f>AVERAGE(E8:E19)</f>
        <v>71.171474671917181</v>
      </c>
      <c r="F7" s="20">
        <f>SUM(F8:F19)</f>
        <v>10982980.527175102</v>
      </c>
      <c r="G7" s="8">
        <f>AVERAGE(G8:G19)</f>
        <v>45454</v>
      </c>
      <c r="H7" s="9">
        <f>AVERAGE(H8:H19)</f>
        <v>44121.5</v>
      </c>
      <c r="I7" s="10">
        <f>AVERAGE(I8:I19)</f>
        <v>97.068052813891128</v>
      </c>
      <c r="J7" s="10">
        <f>AVERAGE(J8:J19)</f>
        <v>68.344965459207955</v>
      </c>
      <c r="K7" s="20">
        <f>SUM(K8:K19)</f>
        <v>10993875.811189402</v>
      </c>
    </row>
    <row r="8" spans="1:11" s="4" customFormat="1" ht="18.75" customHeight="1">
      <c r="A8" s="11" t="s">
        <v>12</v>
      </c>
      <c r="B8" s="12">
        <v>44081</v>
      </c>
      <c r="C8" s="2">
        <v>42397</v>
      </c>
      <c r="D8" s="13">
        <f t="shared" ref="D8:D19" si="0">C8/B8*100</f>
        <v>96.179759987296109</v>
      </c>
      <c r="E8" s="13">
        <v>82.643721369420874</v>
      </c>
      <c r="F8" s="21">
        <v>1086192.2150187944</v>
      </c>
      <c r="G8" s="12">
        <v>44411</v>
      </c>
      <c r="H8" s="2">
        <v>42959</v>
      </c>
      <c r="I8" s="13">
        <f>H8/G8*100</f>
        <v>96.730539731147687</v>
      </c>
      <c r="J8" s="13">
        <v>82.283149472098728</v>
      </c>
      <c r="K8" s="21">
        <v>1095788.5636332857</v>
      </c>
    </row>
    <row r="9" spans="1:11" s="4" customFormat="1" ht="18.75" customHeight="1">
      <c r="A9" s="11" t="s">
        <v>13</v>
      </c>
      <c r="B9" s="12">
        <v>44249</v>
      </c>
      <c r="C9" s="2">
        <v>42468</v>
      </c>
      <c r="D9" s="13">
        <f>C9/B9*100</f>
        <v>95.975050283622238</v>
      </c>
      <c r="E9" s="13">
        <v>94.743842899159375</v>
      </c>
      <c r="F9" s="21">
        <v>1166838.6408700352</v>
      </c>
      <c r="G9" s="12">
        <v>44805</v>
      </c>
      <c r="H9" s="2">
        <v>43515</v>
      </c>
      <c r="I9" s="13">
        <f>H9/G9*100</f>
        <v>97.120857047204552</v>
      </c>
      <c r="J9" s="13">
        <v>86.536521768514277</v>
      </c>
      <c r="K9" s="21">
        <v>1054378.2885319316</v>
      </c>
    </row>
    <row r="10" spans="1:11" s="4" customFormat="1" ht="18.75" customHeight="1">
      <c r="A10" s="11" t="s">
        <v>14</v>
      </c>
      <c r="B10" s="12">
        <v>44249</v>
      </c>
      <c r="C10" s="2">
        <v>42466</v>
      </c>
      <c r="D10" s="13">
        <f t="shared" si="0"/>
        <v>95.970530407466839</v>
      </c>
      <c r="E10" s="13">
        <v>83.2882886706861</v>
      </c>
      <c r="F10" s="21">
        <v>1096445.3446737002</v>
      </c>
      <c r="G10" s="12">
        <v>45295</v>
      </c>
      <c r="H10" s="2">
        <v>44005</v>
      </c>
      <c r="I10" s="13">
        <f t="shared" ref="I10:I19" si="1">H10/G10*100</f>
        <v>97.152003532398723</v>
      </c>
      <c r="J10" s="13">
        <v>71.08786964169289</v>
      </c>
      <c r="K10" s="21">
        <v>969748.72811063565</v>
      </c>
    </row>
    <row r="11" spans="1:11" s="4" customFormat="1" ht="18.75" customHeight="1">
      <c r="A11" s="11" t="s">
        <v>15</v>
      </c>
      <c r="B11" s="12">
        <v>44281</v>
      </c>
      <c r="C11" s="2">
        <v>42498</v>
      </c>
      <c r="D11" s="13">
        <f t="shared" si="0"/>
        <v>95.973442334183957</v>
      </c>
      <c r="E11" s="13">
        <v>76.288570741415967</v>
      </c>
      <c r="F11" s="21">
        <v>972633.50381060864</v>
      </c>
      <c r="G11" s="12">
        <v>45421</v>
      </c>
      <c r="H11" s="2">
        <v>44131</v>
      </c>
      <c r="I11" s="13">
        <f t="shared" si="1"/>
        <v>97.159904009158765</v>
      </c>
      <c r="J11" s="13">
        <v>71.555442352831776</v>
      </c>
      <c r="K11" s="21">
        <v>947343.96794184577</v>
      </c>
    </row>
    <row r="12" spans="1:11" s="4" customFormat="1" ht="18.75" customHeight="1">
      <c r="A12" s="11" t="s">
        <v>16</v>
      </c>
      <c r="B12" s="12">
        <v>44319</v>
      </c>
      <c r="C12" s="2">
        <v>42229</v>
      </c>
      <c r="D12" s="13">
        <f t="shared" si="0"/>
        <v>95.284189625217181</v>
      </c>
      <c r="E12" s="13">
        <v>55.83349838536116</v>
      </c>
      <c r="F12" s="21">
        <v>730915.769027779</v>
      </c>
      <c r="G12" s="12">
        <v>45437</v>
      </c>
      <c r="H12" s="2">
        <v>44383</v>
      </c>
      <c r="I12" s="13">
        <f t="shared" si="1"/>
        <v>97.680304597574661</v>
      </c>
      <c r="J12" s="13">
        <v>53.95357856076911</v>
      </c>
      <c r="K12" s="21">
        <v>742332.71995141078</v>
      </c>
    </row>
    <row r="13" spans="1:11" s="4" customFormat="1" ht="18.75" customHeight="1">
      <c r="A13" s="11" t="s">
        <v>17</v>
      </c>
      <c r="B13" s="12">
        <v>44319</v>
      </c>
      <c r="C13" s="2">
        <v>41991</v>
      </c>
      <c r="D13" s="13">
        <f t="shared" si="0"/>
        <v>94.747173898328029</v>
      </c>
      <c r="E13" s="13">
        <v>49.420441688329397</v>
      </c>
      <c r="F13" s="21">
        <v>622564.13008039189</v>
      </c>
      <c r="G13" s="12">
        <v>45573</v>
      </c>
      <c r="H13" s="2">
        <v>44047</v>
      </c>
      <c r="I13" s="13">
        <f t="shared" si="1"/>
        <v>96.651526122923656</v>
      </c>
      <c r="J13" s="13">
        <v>50.037607490559274</v>
      </c>
      <c r="K13" s="21">
        <v>664744.61175133102</v>
      </c>
    </row>
    <row r="14" spans="1:11" s="4" customFormat="1" ht="18.75" customHeight="1">
      <c r="A14" s="11" t="s">
        <v>18</v>
      </c>
      <c r="B14" s="12">
        <v>44329</v>
      </c>
      <c r="C14" s="2">
        <v>41459</v>
      </c>
      <c r="D14" s="13">
        <f t="shared" si="0"/>
        <v>93.525682961492478</v>
      </c>
      <c r="E14" s="13">
        <v>70.921191328321797</v>
      </c>
      <c r="F14" s="21">
        <v>911499.71809707687</v>
      </c>
      <c r="G14" s="12">
        <v>45579</v>
      </c>
      <c r="H14" s="2">
        <v>44289</v>
      </c>
      <c r="I14" s="13">
        <f t="shared" si="1"/>
        <v>97.169749226617512</v>
      </c>
      <c r="J14" s="13">
        <v>68.506838735270549</v>
      </c>
      <c r="K14" s="21">
        <v>940570.8080313832</v>
      </c>
    </row>
    <row r="15" spans="1:11" s="4" customFormat="1" ht="18.75" customHeight="1">
      <c r="A15" s="11" t="s">
        <v>19</v>
      </c>
      <c r="B15" s="12">
        <v>44329</v>
      </c>
      <c r="C15" s="2">
        <v>41313</v>
      </c>
      <c r="D15" s="13">
        <f t="shared" si="0"/>
        <v>93.196327460578857</v>
      </c>
      <c r="E15" s="13">
        <v>78.542499927564194</v>
      </c>
      <c r="F15" s="21">
        <v>1005896.1528473125</v>
      </c>
      <c r="G15" s="12">
        <v>45639</v>
      </c>
      <c r="H15" s="2">
        <v>44349</v>
      </c>
      <c r="I15" s="13">
        <f t="shared" si="1"/>
        <v>97.173470058502602</v>
      </c>
      <c r="J15" s="13">
        <v>73.152412593532844</v>
      </c>
      <c r="K15" s="21">
        <v>1005713.2672942823</v>
      </c>
    </row>
    <row r="16" spans="1:11" s="4" customFormat="1" ht="18.75" customHeight="1">
      <c r="A16" s="11" t="s">
        <v>20</v>
      </c>
      <c r="B16" s="12">
        <v>44409</v>
      </c>
      <c r="C16" s="2">
        <v>41339</v>
      </c>
      <c r="D16" s="13">
        <f t="shared" si="0"/>
        <v>93.086986872030437</v>
      </c>
      <c r="E16" s="13">
        <v>53.129363469352789</v>
      </c>
      <c r="F16" s="21">
        <v>658894.42693787243</v>
      </c>
      <c r="G16" s="12">
        <v>45737</v>
      </c>
      <c r="H16" s="2">
        <v>44211</v>
      </c>
      <c r="I16" s="13">
        <f t="shared" si="1"/>
        <v>96.663532807136448</v>
      </c>
      <c r="J16" s="13">
        <v>55.487441901748483</v>
      </c>
      <c r="K16" s="21">
        <v>735946.58817546058</v>
      </c>
    </row>
    <row r="17" spans="1:11" s="4" customFormat="1" ht="18.75" customHeight="1">
      <c r="A17" s="11" t="s">
        <v>21</v>
      </c>
      <c r="B17" s="12">
        <v>44663</v>
      </c>
      <c r="C17" s="2">
        <v>42521</v>
      </c>
      <c r="D17" s="13">
        <f t="shared" si="0"/>
        <v>95.204083917336504</v>
      </c>
      <c r="E17" s="13">
        <v>71.525559134017698</v>
      </c>
      <c r="F17" s="21">
        <v>942814.87298064551</v>
      </c>
      <c r="G17" s="12">
        <v>45865</v>
      </c>
      <c r="H17" s="2">
        <v>44339</v>
      </c>
      <c r="I17" s="13">
        <f t="shared" si="1"/>
        <v>96.672844216722993</v>
      </c>
      <c r="J17" s="13">
        <v>70.432891816466352</v>
      </c>
      <c r="K17" s="21">
        <v>968106.43697759358</v>
      </c>
    </row>
    <row r="18" spans="1:11" s="4" customFormat="1" ht="18.75" customHeight="1">
      <c r="A18" s="11" t="s">
        <v>22</v>
      </c>
      <c r="B18" s="12">
        <v>44681</v>
      </c>
      <c r="C18" s="2">
        <v>42539</v>
      </c>
      <c r="D18" s="13">
        <f t="shared" si="0"/>
        <v>95.206015979946727</v>
      </c>
      <c r="E18" s="13">
        <v>65.887544365011735</v>
      </c>
      <c r="F18" s="21">
        <v>840837.07492297038</v>
      </c>
      <c r="G18" s="12">
        <v>45793</v>
      </c>
      <c r="H18" s="2">
        <v>44423</v>
      </c>
      <c r="I18" s="13">
        <f t="shared" si="1"/>
        <v>97.008276374118324</v>
      </c>
      <c r="J18" s="13">
        <v>62.530353560002617</v>
      </c>
      <c r="K18" s="21">
        <v>833335.7688587989</v>
      </c>
    </row>
    <row r="19" spans="1:11" s="4" customFormat="1" ht="18.75" customHeight="1">
      <c r="A19" s="14" t="s">
        <v>23</v>
      </c>
      <c r="B19" s="15">
        <v>44689</v>
      </c>
      <c r="C19" s="16">
        <v>42547</v>
      </c>
      <c r="D19" s="17">
        <f t="shared" si="0"/>
        <v>95.206874174852871</v>
      </c>
      <c r="E19" s="17">
        <v>71.833174084364899</v>
      </c>
      <c r="F19" s="22">
        <v>947448.67790791672</v>
      </c>
      <c r="G19" s="15">
        <v>45893</v>
      </c>
      <c r="H19" s="16">
        <v>44807</v>
      </c>
      <c r="I19" s="17">
        <f t="shared" si="1"/>
        <v>97.633626043187419</v>
      </c>
      <c r="J19" s="17">
        <v>74.575477617008474</v>
      </c>
      <c r="K19" s="22">
        <v>1035866.0619314425</v>
      </c>
    </row>
    <row r="20" spans="1:11" ht="15" customHeight="1">
      <c r="A20" s="1" t="s">
        <v>28</v>
      </c>
      <c r="K20" s="28" t="s">
        <v>29</v>
      </c>
    </row>
    <row r="21" spans="1:11">
      <c r="A21" s="26" t="s">
        <v>24</v>
      </c>
    </row>
    <row r="22" spans="1:11">
      <c r="A22" s="27" t="s">
        <v>25</v>
      </c>
    </row>
    <row r="23" spans="1:11">
      <c r="A23" s="18"/>
    </row>
    <row r="24" spans="1:11">
      <c r="A24" s="18"/>
    </row>
    <row r="25" spans="1:11">
      <c r="A25" s="18"/>
    </row>
    <row r="26" spans="1:11">
      <c r="A26" s="18"/>
    </row>
    <row r="27" spans="1:11">
      <c r="A27" s="18"/>
    </row>
    <row r="28" spans="1:11">
      <c r="A28" s="18"/>
    </row>
    <row r="29" spans="1:11">
      <c r="A29" s="18"/>
    </row>
    <row r="30" spans="1:11">
      <c r="A30" s="18"/>
    </row>
    <row r="31" spans="1:11">
      <c r="A31" s="18"/>
    </row>
    <row r="32" spans="1:11">
      <c r="A32" s="18"/>
    </row>
    <row r="33" spans="1:1">
      <c r="A33" s="18"/>
    </row>
    <row r="34" spans="1:1">
      <c r="A34" s="18"/>
    </row>
  </sheetData>
  <mergeCells count="5">
    <mergeCell ref="G4:K4"/>
    <mergeCell ref="A2:K2"/>
    <mergeCell ref="A1:K1"/>
    <mergeCell ref="A4:A6"/>
    <mergeCell ref="B4:F4"/>
  </mergeCells>
  <pageMargins left="0.7" right="0.7" top="0.75" bottom="0.75" header="0.3" footer="0.3"/>
  <pageSetup paperSize="9" scale="51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10.4</vt:lpstr>
      <vt:lpstr>'10.4'!Print_Area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2026-06-11T08:52:04Z</cp:lastPrinted>
  <dcterms:created xsi:type="dcterms:W3CDTF">2019-02-27T06:18:18Z</dcterms:created>
  <dcterms:modified xsi:type="dcterms:W3CDTF">2026-06-11T08:53:32Z</dcterms:modified>
</cp:coreProperties>
</file>