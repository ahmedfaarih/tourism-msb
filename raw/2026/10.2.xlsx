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C8C5EBB6-B8FB-4E64-8B7E-EB1FBA297B0F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10.2" sheetId="2" r:id="rId1"/>
  </sheets>
  <definedNames>
    <definedName name="_xlnm.Print_Area" localSheetId="0">'10.2'!$A$1:$J$72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12" i="2"/>
  <c r="H18" i="2"/>
  <c r="H24" i="2"/>
  <c r="G24" i="2" l="1"/>
  <c r="G18" i="2"/>
  <c r="S44" i="2" s="1"/>
  <c r="G12" i="2"/>
  <c r="G6" i="2"/>
  <c r="F24" i="2" l="1"/>
  <c r="F18" i="2"/>
  <c r="F12" i="2"/>
  <c r="F6" i="2"/>
  <c r="E12" i="2" l="1"/>
  <c r="E24" i="2" l="1"/>
  <c r="E18" i="2"/>
  <c r="E6" i="2"/>
  <c r="S37" i="2" s="1"/>
  <c r="D12" i="2"/>
  <c r="S46" i="2" l="1"/>
  <c r="S45" i="2"/>
  <c r="S47" i="2"/>
  <c r="S40" i="2"/>
  <c r="S39" i="2"/>
  <c r="S38" i="2"/>
  <c r="D24" i="2" l="1"/>
  <c r="D18" i="2"/>
  <c r="D6" i="2"/>
  <c r="C24" i="2" l="1"/>
  <c r="C18" i="2" l="1"/>
  <c r="C12" i="2"/>
  <c r="C6" i="2"/>
  <c r="B24" i="2" l="1"/>
  <c r="B18" i="2"/>
  <c r="B12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Sharmeela</author>
  </authors>
  <commentList>
    <comment ref="B7" authorId="0" shapeId="0" xr:uid="{0D510B10-0A25-41AD-BDD4-86FF8286E7B6}">
      <text>
        <r>
          <rPr>
            <sz val="9"/>
            <color indexed="81"/>
            <rFont val="Tahoma"/>
            <family val="2"/>
          </rPr>
          <t xml:space="preserve">
Revised: 26 May 2025</t>
        </r>
      </text>
    </comment>
  </commentList>
</comments>
</file>

<file path=xl/sharedStrings.xml><?xml version="1.0" encoding="utf-8"?>
<sst xmlns="http://schemas.openxmlformats.org/spreadsheetml/2006/main" count="74" uniqueCount="29">
  <si>
    <t>Total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</si>
  <si>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</si>
  <si>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</si>
  <si>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</si>
  <si>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</si>
  <si>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</si>
  <si>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</si>
  <si>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</si>
  <si>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</si>
  <si>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</si>
  <si>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</si>
  <si>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</si>
  <si>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</si>
  <si>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</si>
  <si>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</si>
  <si>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</si>
  <si>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</si>
  <si>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</si>
  <si>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</si>
  <si>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</si>
  <si>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</si>
  <si>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</si>
  <si>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</si>
  <si>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Source: Ministry Tourism and Civil Aviation</t>
  </si>
  <si>
    <t>މަޢުލޫމާތު ދެއްވީ: މިނިސްޓްރީ އޮފް ޓޫރިޒަމް އެންޑް ސިވިލް އޭވިއޭޝަން</t>
  </si>
  <si>
    <t>Note:1_/: 2019 data revised</t>
  </si>
  <si>
    <t>ނޯޓް: /_1: 2019 ގެ މަޢުލޫމާތު އިސްލާޙުކުރެވިފައި</t>
  </si>
  <si>
    <t>2025 - 2019 ,udwdwA egunwt iaWawlcmuj egiawgWj egudnea WviawfcSokIrwTcsijwr cnutwvWb egunwtcnwt Wviawfihejwmwh cmWzitcnia egumubit cnirevurutwf : 10.2 ulwvWt</t>
  </si>
  <si>
    <t>Table  10.2 :  TOTAL REGISTERED BED CAPACITY AND NUMBER OF ACCOMMODATION ESTABLISHMENTS  BY TYPE, 2019 - 2025 (end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</si>
</sst>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71" formatCode="0.00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9"/>
      <color indexed="81"/>
      <name val="Tahoma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8" fillId="0" borderId="0"/>
    <xf numFmtId="0" fontId="5" fillId="0" borderId="0"/>
    <xf numFmtId="43" fontId="5" fillId="0" borderId="0" applyFont="0" applyFill="0" applyBorder="0" applyAlignment="0" applyProtection="0"/>
    <xf numFmtId="171" fontId="29" fillId="0" borderId="0"/>
    <xf numFmtId="1" fontId="30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8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5" fillId="0" borderId="0"/>
    <xf numFmtId="1" fontId="30" fillId="0" borderId="5" applyNumberFormat="0"/>
    <xf numFmtId="0" fontId="1" fillId="0" borderId="0"/>
    <xf numFmtId="0" fontId="7" fillId="0" borderId="0"/>
    <xf numFmtId="0" fontId="39" fillId="0" borderId="0" applyFill="0" applyProtection="0"/>
    <xf numFmtId="1" fontId="30" fillId="0" borderId="5" applyNumberFormat="0"/>
    <xf numFmtId="43" fontId="1" fillId="0" borderId="0" applyFont="0" applyFill="0" applyBorder="0" applyAlignment="0" applyProtection="0"/>
    <xf numFmtId="0" fontId="1" fillId="0" borderId="0"/>
    <xf numFmtId="0" fontId="40" fillId="0" borderId="0"/>
    <xf numFmtId="0" fontId="41" fillId="0" borderId="0"/>
    <xf numFmtId="0" fontId="40" fillId="0" borderId="0"/>
    <xf numFmtId="0" fontId="1" fillId="0" borderId="0"/>
    <xf numFmtId="0" fontId="7" fillId="0" borderId="0"/>
    <xf numFmtId="0" fontId="39" fillId="0" borderId="0" applyFill="0" applyProtection="0"/>
    <xf numFmtId="1" fontId="30" fillId="0" borderId="5" applyNumberFormat="0"/>
    <xf numFmtId="0" fontId="1" fillId="0" borderId="0"/>
    <xf numFmtId="0" fontId="5" fillId="0" borderId="0"/>
    <xf numFmtId="0" fontId="40" fillId="0" borderId="0"/>
    <xf numFmtId="0" fontId="41" fillId="0" borderId="0"/>
    <xf numFmtId="0" fontId="5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42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2" fillId="0" borderId="0" applyBorder="0"/>
    <xf numFmtId="0" fontId="1" fillId="0" borderId="0"/>
    <xf numFmtId="0" fontId="1" fillId="0" borderId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0" fontId="1" fillId="0" borderId="0"/>
    <xf numFmtId="0" fontId="1" fillId="0" borderId="0"/>
    <xf numFmtId="0" fontId="42" fillId="0" borderId="0" applyBorder="0"/>
    <xf numFmtId="0" fontId="42" fillId="0" borderId="0"/>
    <xf numFmtId="0" fontId="1" fillId="0" borderId="0"/>
    <xf numFmtId="0" fontId="7" fillId="0" borderId="0"/>
    <xf numFmtId="0" fontId="7" fillId="0" borderId="0"/>
    <xf numFmtId="1" fontId="30" fillId="0" borderId="5" applyNumberFormat="0"/>
    <xf numFmtId="0" fontId="42" fillId="0" borderId="0" applyBorder="0"/>
    <xf numFmtId="0" fontId="42" fillId="0" borderId="0" applyBorder="0"/>
    <xf numFmtId="0" fontId="7" fillId="0" borderId="0"/>
    <xf numFmtId="0" fontId="5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3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 wrapText="1"/>
    </xf>
    <xf numFmtId="0" fontId="14" fillId="2" borderId="0" xfId="0" applyFont="1" applyFill="1" applyAlignment="1">
      <alignment horizontal="right" vertical="center" wrapText="1"/>
    </xf>
    <xf numFmtId="0" fontId="9" fillId="2" borderId="0" xfId="0" applyFont="1" applyFill="1"/>
    <xf numFmtId="3" fontId="16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17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right" vertical="center" indent="1"/>
    </xf>
    <xf numFmtId="9" fontId="19" fillId="2" borderId="0" xfId="1" applyFont="1" applyFill="1" applyBorder="1" applyAlignment="1">
      <alignment horizontal="right" vertical="center"/>
    </xf>
    <xf numFmtId="3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2" fontId="9" fillId="2" borderId="0" xfId="0" applyNumberFormat="1" applyFont="1" applyFill="1"/>
    <xf numFmtId="3" fontId="17" fillId="2" borderId="0" xfId="0" applyNumberFormat="1" applyFont="1" applyFill="1"/>
    <xf numFmtId="0" fontId="19" fillId="2" borderId="0" xfId="0" applyFont="1" applyFill="1" applyAlignment="1">
      <alignment horizontal="right" vertical="center" indent="1"/>
    </xf>
    <xf numFmtId="0" fontId="15" fillId="2" borderId="4" xfId="0" applyFont="1" applyFill="1" applyBorder="1" applyAlignment="1">
      <alignment horizontal="left" vertical="center" indent="1"/>
    </xf>
    <xf numFmtId="3" fontId="17" fillId="2" borderId="4" xfId="0" applyNumberFormat="1" applyFont="1" applyFill="1" applyBorder="1" applyAlignment="1">
      <alignment vertical="center"/>
    </xf>
    <xf numFmtId="37" fontId="21" fillId="2" borderId="0" xfId="0" applyNumberFormat="1" applyFont="1" applyFill="1" applyAlignment="1">
      <alignment horizontal="right" vertical="center" wrapText="1"/>
    </xf>
    <xf numFmtId="0" fontId="15" fillId="2" borderId="2" xfId="0" applyFont="1" applyFill="1" applyBorder="1" applyAlignment="1">
      <alignment horizontal="left" vertical="center" indent="1"/>
    </xf>
    <xf numFmtId="3" fontId="17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horizontal="right" vertical="center"/>
    </xf>
    <xf numFmtId="3" fontId="16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horizontal="right" vertical="center"/>
    </xf>
    <xf numFmtId="2" fontId="19" fillId="2" borderId="0" xfId="0" applyNumberFormat="1" applyFont="1" applyFill="1" applyAlignment="1">
      <alignment horizontal="right" vertical="center"/>
    </xf>
    <xf numFmtId="1" fontId="19" fillId="2" borderId="0" xfId="0" applyNumberFormat="1" applyFont="1" applyFill="1" applyAlignment="1">
      <alignment horizontal="right" vertical="center"/>
    </xf>
    <xf numFmtId="3" fontId="17" fillId="2" borderId="4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/>
    </xf>
    <xf numFmtId="3" fontId="17" fillId="2" borderId="2" xfId="0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9" fontId="9" fillId="2" borderId="0" xfId="3" applyFont="1" applyFill="1"/>
    <xf numFmtId="0" fontId="6" fillId="2" borderId="0" xfId="0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left" vertical="center"/>
    </xf>
    <xf numFmtId="3" fontId="0" fillId="2" borderId="0" xfId="0" applyNumberFormat="1" applyFill="1"/>
    <xf numFmtId="0" fontId="12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right" vertical="center"/>
    </xf>
    <xf numFmtId="0" fontId="31" fillId="2" borderId="3" xfId="0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right" vertical="center"/>
    </xf>
    <xf numFmtId="0" fontId="36" fillId="2" borderId="0" xfId="0" applyFont="1" applyFill="1" applyAlignment="1">
      <alignment horizontal="right" vertical="center" wrapText="1"/>
    </xf>
    <xf numFmtId="0" fontId="36" fillId="2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right" vertical="center" indent="1"/>
    </xf>
    <xf numFmtId="0" fontId="37" fillId="2" borderId="4" xfId="0" applyFont="1" applyFill="1" applyBorder="1" applyAlignment="1">
      <alignment horizontal="right" vertical="center" indent="1"/>
    </xf>
    <xf numFmtId="0" fontId="37" fillId="2" borderId="2" xfId="0" applyFont="1" applyFill="1" applyBorder="1" applyAlignment="1">
      <alignment horizontal="right" vertical="center" indent="1"/>
    </xf>
    <xf numFmtId="0" fontId="33" fillId="2" borderId="4" xfId="0" applyFont="1" applyFill="1" applyBorder="1" applyAlignment="1">
      <alignment horizontal="right" indent="1"/>
    </xf>
    <xf numFmtId="0" fontId="33" fillId="2" borderId="2" xfId="0" applyFont="1" applyFill="1" applyBorder="1" applyAlignment="1">
      <alignment horizontal="right" indent="1"/>
    </xf>
    <xf numFmtId="0" fontId="34" fillId="2" borderId="0" xfId="0" applyFont="1" applyFill="1"/>
    <xf numFmtId="0" fontId="32" fillId="2" borderId="0" xfId="0" applyFont="1" applyFill="1"/>
    <xf numFmtId="0" fontId="3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1" fontId="0" fillId="2" borderId="0" xfId="0" applyNumberFormat="1" applyFill="1"/>
    <xf numFmtId="1" fontId="38" fillId="2" borderId="0" xfId="0" applyNumberFormat="1" applyFont="1" applyFill="1"/>
    <xf numFmtId="0" fontId="27" fillId="2" borderId="0" xfId="0" applyFont="1" applyFill="1"/>
    <xf numFmtId="0" fontId="27" fillId="2" borderId="0" xfId="0" applyFont="1" applyFill="1" applyAlignment="1">
      <alignment horizontal="right" vertical="center"/>
    </xf>
    <xf numFmtId="0" fontId="35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</cellXfs>
  <cellStyles count="82">
    <cellStyle name="1" xfId="6" xr:uid="{00000000-0005-0000-0000-000000000000}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Normal 9 2" xfId="80" xr:uid="{8B69E301-AFA8-488E-94F8-DE9EB7E34FB9}"/>
    <cellStyle name="Percent" xfId="1" builtinId="5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79733218273861"/>
          <c:y val="0.14894033278786817"/>
          <c:w val="0.43416400020253987"/>
          <c:h val="0.832852944259916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1-E716-4435-84E4-D96E57A69539}"/>
              </c:ext>
            </c:extLst>
          </c:dPt>
          <c:dPt>
            <c:idx val="1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2-E716-4435-84E4-D96E57A6953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716-4435-84E4-D96E57A69539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716-4435-84E4-D96E57A695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716-4435-84E4-D96E57A69539}"/>
                </c:ext>
              </c:extLst>
            </c:dLbl>
            <c:dLbl>
              <c:idx val="2"/>
              <c:layout>
                <c:manualLayout>
                  <c:x val="1.7866752532969009E-2"/>
                  <c:y val="-0.209853210043223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16-4435-84E4-D96E57A69539}"/>
                </c:ext>
              </c:extLst>
            </c:dLbl>
            <c:dLbl>
              <c:idx val="3"/>
              <c:layout>
                <c:manualLayout>
                  <c:x val="7.8170448086519864E-2"/>
                  <c:y val="0.169397682991163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16-4435-84E4-D96E57A695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'10.2'!$A$19:$A$22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'10.2'!$H$19:$H$22</c:f>
              <c:numCache>
                <c:formatCode>#,##0</c:formatCode>
                <c:ptCount val="4"/>
                <c:pt idx="0">
                  <c:v>186</c:v>
                </c:pt>
                <c:pt idx="1">
                  <c:v>16</c:v>
                </c:pt>
                <c:pt idx="2">
                  <c:v>973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1B21-4F74-ABEF-516A0EC61F5B}"/>
              </c:ext>
            </c:extLst>
          </c:dPt>
          <c:dLbls>
            <c:dLbl>
              <c:idx val="0"/>
              <c:layout>
                <c:manualLayout>
                  <c:x val="0.25250669766232925"/>
                  <c:y val="-7.98267430340586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'10.2'!$A$7:$A$10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'10.2'!$H$7:$H$10</c:f>
              <c:numCache>
                <c:formatCode>#,##0</c:formatCode>
                <c:ptCount val="4"/>
                <c:pt idx="0">
                  <c:v>45893</c:v>
                </c:pt>
                <c:pt idx="1">
                  <c:v>2598</c:v>
                </c:pt>
                <c:pt idx="2">
                  <c:v>16824</c:v>
                </c:pt>
                <c:pt idx="3">
                  <c:v>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624460</xdr:colOff>
      <xdr:row>35</xdr:row>
      <xdr:rowOff>85776</xdr:rowOff>
    </xdr:from>
    <xdr:to>
      <xdr:col>8</xdr:col>
      <xdr:colOff>1393338</xdr:colOff>
      <xdr:row>52</xdr:row>
      <xdr:rowOff>91411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519432</xdr:colOff>
      <xdr:row>53</xdr:row>
      <xdr:rowOff>1352</xdr:rowOff>
    </xdr:from>
    <xdr:to>
      <xdr:col>8</xdr:col>
      <xdr:colOff>1406071</xdr:colOff>
      <xdr:row>71</xdr:row>
      <xdr:rowOff>93771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680357</xdr:colOff>
      <xdr:row>53</xdr:row>
      <xdr:rowOff>174584</xdr:rowOff>
    </xdr:from>
    <xdr:to>
      <xdr:col>8</xdr:col>
      <xdr:colOff>884464</xdr:colOff>
      <xdr:row>55</xdr:row>
      <xdr:rowOff>49690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80357" y="11547888"/>
          <a:ext cx="6406696" cy="3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2025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0.12049</cdr:x>
      <cdr:y>0.05845</cdr:y>
    </cdr:from>
    <cdr:to>
      <cdr:x>0.90566</cdr:x>
      <cdr:y>0.13861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9971" y="212420"/>
          <a:ext cx="5473818" cy="29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2025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7"/>
  <sheetViews>
    <sheetView tabSelected="1" zoomScaleNormal="100" zoomScaleSheetLayoutView="96" workbookViewId="0">
      <selection activeCell="K10" sqref="K10"/>
    </sheetView>
  </sheetViews>
  <sheetFormatPr defaultColWidth="8.85546875" defaultRowHeight="18"/>
  <cols>
    <col min="1" max="1" width="29.7109375" style="1" customWidth="1"/>
    <col min="2" max="8" width="12.28515625" style="1" customWidth="1"/>
    <col min="9" max="9" width="37" style="64" customWidth="1"/>
    <col min="10" max="10" width="2.5703125" style="1" customWidth="1"/>
    <col min="11" max="11" width="31.7109375" style="1" customWidth="1"/>
    <col min="12" max="16" width="38.42578125" style="1" customWidth="1"/>
    <col min="17" max="17" width="12.85546875" style="1" customWidth="1"/>
    <col min="18" max="18" width="16.85546875" style="1" customWidth="1"/>
    <col min="19" max="19" width="10.5703125" style="1" customWidth="1"/>
    <col min="20" max="20" width="9.7109375" style="1" customWidth="1"/>
    <col min="21" max="24" width="46.42578125" style="1" customWidth="1"/>
    <col min="25" max="16384" width="8.85546875" style="1"/>
  </cols>
  <sheetData>
    <row r="1" spans="1:25" ht="21.75" customHeight="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52"/>
      <c r="K1" s="52"/>
      <c r="L1" s="52"/>
      <c r="M1" s="52"/>
      <c r="N1" s="52"/>
      <c r="O1" s="52"/>
      <c r="P1" s="52"/>
      <c r="Q1" s="7"/>
      <c r="R1" s="7"/>
      <c r="S1" s="7"/>
      <c r="T1" s="7"/>
      <c r="U1" s="7"/>
      <c r="V1" s="7"/>
      <c r="W1" s="7"/>
      <c r="X1" s="7"/>
    </row>
    <row r="2" spans="1:25" ht="22.5" customHeight="1">
      <c r="A2" s="72" t="s">
        <v>28</v>
      </c>
      <c r="B2" s="72"/>
      <c r="C2" s="72"/>
      <c r="D2" s="72"/>
      <c r="E2" s="72"/>
      <c r="F2" s="72"/>
      <c r="G2" s="72"/>
      <c r="H2" s="72"/>
      <c r="I2" s="72"/>
      <c r="J2" s="8"/>
      <c r="K2" s="8"/>
      <c r="L2" s="8"/>
      <c r="M2" s="8"/>
      <c r="N2" s="8"/>
      <c r="O2" s="8"/>
      <c r="P2" s="8"/>
      <c r="Q2" s="2"/>
      <c r="R2" s="2"/>
      <c r="S2" s="2"/>
      <c r="T2" s="2"/>
      <c r="U2" s="2"/>
      <c r="V2" s="2"/>
      <c r="W2" s="2"/>
      <c r="X2" s="2"/>
    </row>
    <row r="3" spans="1:25" s="3" customFormat="1" ht="18.600000000000001" customHeight="1">
      <c r="A3" s="9" t="s">
        <v>1</v>
      </c>
      <c r="B3" s="4">
        <v>2019</v>
      </c>
      <c r="C3" s="4">
        <v>2020</v>
      </c>
      <c r="D3" s="4">
        <v>2021</v>
      </c>
      <c r="E3" s="4">
        <v>2022</v>
      </c>
      <c r="F3" s="4">
        <v>2023</v>
      </c>
      <c r="G3" s="4">
        <v>2024</v>
      </c>
      <c r="H3" s="4">
        <v>2025</v>
      </c>
      <c r="I3" s="54" t="s">
        <v>2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5" s="3" customFormat="1" ht="7.9" customHeight="1">
      <c r="A4" s="11"/>
      <c r="B4" s="12"/>
      <c r="C4" s="12"/>
      <c r="D4" s="12"/>
      <c r="E4" s="12"/>
      <c r="F4" s="12"/>
      <c r="G4" s="12"/>
      <c r="H4" s="12"/>
      <c r="I4" s="5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5" s="16" customFormat="1" ht="17.25" customHeight="1">
      <c r="A5" s="13" t="s">
        <v>3</v>
      </c>
      <c r="B5" s="14"/>
      <c r="C5" s="14"/>
      <c r="D5" s="14"/>
      <c r="E5" s="14"/>
      <c r="F5" s="14"/>
      <c r="G5" s="14"/>
      <c r="H5" s="14"/>
      <c r="I5" s="56" t="s">
        <v>4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5" s="16" customFormat="1" ht="17.25" customHeight="1">
      <c r="A6" s="13" t="s">
        <v>0</v>
      </c>
      <c r="B6" s="17">
        <f t="shared" ref="B6:E6" si="0">SUM(B7:B10)</f>
        <v>51374</v>
      </c>
      <c r="C6" s="17">
        <f t="shared" si="0"/>
        <v>52108</v>
      </c>
      <c r="D6" s="17">
        <f t="shared" si="0"/>
        <v>57091</v>
      </c>
      <c r="E6" s="17">
        <f t="shared" si="0"/>
        <v>60649</v>
      </c>
      <c r="F6" s="17">
        <f>SUM(F7:F10)</f>
        <v>62552</v>
      </c>
      <c r="G6" s="17">
        <f>SUM(G7:G10)</f>
        <v>65286</v>
      </c>
      <c r="H6" s="17">
        <f>SUM(H7:H10)</f>
        <v>68671</v>
      </c>
      <c r="I6" s="57" t="s">
        <v>5</v>
      </c>
      <c r="J6" s="18"/>
      <c r="L6" s="18"/>
      <c r="M6" s="18"/>
      <c r="N6" s="18"/>
      <c r="O6" s="18"/>
      <c r="P6" s="18"/>
      <c r="Q6" s="18"/>
      <c r="R6" s="15"/>
      <c r="S6" s="18"/>
      <c r="T6" s="18"/>
      <c r="U6" s="18"/>
      <c r="V6" s="18"/>
      <c r="W6" s="18"/>
      <c r="X6" s="18"/>
    </row>
    <row r="7" spans="1:25" s="16" customFormat="1" ht="17.25" customHeight="1">
      <c r="A7" s="19" t="s">
        <v>6</v>
      </c>
      <c r="B7" s="20">
        <v>37016</v>
      </c>
      <c r="C7" s="20">
        <v>37134</v>
      </c>
      <c r="D7" s="20">
        <v>39604</v>
      </c>
      <c r="E7" s="20">
        <v>41945</v>
      </c>
      <c r="F7" s="20">
        <v>44125</v>
      </c>
      <c r="G7" s="20">
        <v>44689</v>
      </c>
      <c r="H7" s="20">
        <v>45893</v>
      </c>
      <c r="I7" s="21" t="s">
        <v>7</v>
      </c>
      <c r="J7" s="21"/>
      <c r="L7" s="21"/>
      <c r="M7" s="21"/>
      <c r="N7" s="21"/>
      <c r="O7" s="21"/>
      <c r="P7" s="21"/>
      <c r="Q7" s="22"/>
      <c r="R7" s="15"/>
      <c r="S7" s="23"/>
      <c r="T7" s="24"/>
      <c r="U7" s="24"/>
      <c r="V7" s="24"/>
      <c r="W7" s="24"/>
      <c r="X7" s="24"/>
      <c r="Y7" s="25"/>
    </row>
    <row r="8" spans="1:25" s="16" customFormat="1" ht="17.25" customHeight="1">
      <c r="A8" s="19" t="s">
        <v>8</v>
      </c>
      <c r="B8" s="20">
        <v>1642</v>
      </c>
      <c r="C8" s="20">
        <v>1698</v>
      </c>
      <c r="D8" s="20">
        <v>1508</v>
      </c>
      <c r="E8" s="20">
        <v>1640</v>
      </c>
      <c r="F8" s="20">
        <v>1940</v>
      </c>
      <c r="G8" s="20">
        <v>2028</v>
      </c>
      <c r="H8" s="20">
        <v>2598</v>
      </c>
      <c r="I8" s="58" t="s">
        <v>9</v>
      </c>
      <c r="J8" s="27"/>
      <c r="L8" s="27"/>
      <c r="M8" s="27"/>
      <c r="N8" s="27"/>
      <c r="O8" s="27"/>
      <c r="P8" s="27"/>
      <c r="Q8" s="22"/>
      <c r="R8" s="15"/>
      <c r="S8" s="23"/>
      <c r="T8" s="24"/>
      <c r="U8" s="24"/>
      <c r="V8" s="24"/>
      <c r="W8" s="24"/>
      <c r="X8" s="24"/>
    </row>
    <row r="9" spans="1:25" s="16" customFormat="1" ht="17.25" customHeight="1">
      <c r="A9" s="19" t="s">
        <v>10</v>
      </c>
      <c r="B9" s="20">
        <v>9753</v>
      </c>
      <c r="C9" s="20">
        <v>10343</v>
      </c>
      <c r="D9" s="20">
        <v>13040</v>
      </c>
      <c r="E9" s="20">
        <v>14146</v>
      </c>
      <c r="F9" s="20">
        <v>13657</v>
      </c>
      <c r="G9" s="20">
        <v>15491</v>
      </c>
      <c r="H9" s="20">
        <v>16824</v>
      </c>
      <c r="I9" s="58" t="s">
        <v>11</v>
      </c>
      <c r="J9" s="27"/>
      <c r="L9" s="27"/>
      <c r="M9" s="27"/>
      <c r="N9" s="27"/>
      <c r="O9" s="27"/>
      <c r="P9" s="27"/>
      <c r="Q9" s="22"/>
      <c r="R9" s="15"/>
      <c r="S9" s="23"/>
      <c r="T9" s="24"/>
      <c r="U9" s="24"/>
      <c r="V9" s="24"/>
      <c r="W9" s="24"/>
      <c r="X9" s="24"/>
    </row>
    <row r="10" spans="1:25" s="16" customFormat="1" ht="17.25" customHeight="1">
      <c r="A10" s="28" t="s">
        <v>12</v>
      </c>
      <c r="B10" s="29">
        <v>2963</v>
      </c>
      <c r="C10" s="29">
        <v>2933</v>
      </c>
      <c r="D10" s="29">
        <v>2939</v>
      </c>
      <c r="E10" s="29">
        <v>2918</v>
      </c>
      <c r="F10" s="29">
        <v>2830</v>
      </c>
      <c r="G10" s="29">
        <v>3078</v>
      </c>
      <c r="H10" s="29">
        <v>3356</v>
      </c>
      <c r="I10" s="59" t="s">
        <v>13</v>
      </c>
      <c r="J10" s="27"/>
      <c r="L10" s="27"/>
      <c r="M10" s="27"/>
      <c r="N10" s="27"/>
      <c r="O10" s="27"/>
      <c r="P10" s="27"/>
      <c r="Q10" s="22"/>
      <c r="R10" s="15"/>
      <c r="S10" s="23"/>
      <c r="T10" s="24"/>
      <c r="U10" s="24"/>
      <c r="V10" s="24"/>
      <c r="W10" s="24"/>
      <c r="X10" s="24"/>
    </row>
    <row r="11" spans="1:25" ht="18.75">
      <c r="A11" s="13" t="s">
        <v>22</v>
      </c>
      <c r="B11" s="14"/>
      <c r="C11" s="14"/>
      <c r="D11" s="14"/>
      <c r="E11" s="14"/>
      <c r="F11" s="14"/>
      <c r="G11" s="14"/>
      <c r="H11" s="14"/>
      <c r="I11" s="30" t="s">
        <v>14</v>
      </c>
      <c r="K11" s="67"/>
      <c r="L11" s="67"/>
    </row>
    <row r="12" spans="1:25" ht="15.75">
      <c r="A12" s="13" t="s">
        <v>0</v>
      </c>
      <c r="B12" s="17">
        <f t="shared" ref="B12:C12" si="1">SUM(B13:B16)</f>
        <v>47268.5</v>
      </c>
      <c r="C12" s="17">
        <f t="shared" si="1"/>
        <v>27744.666666666668</v>
      </c>
      <c r="D12" s="17">
        <f>SUM(D13:D16)</f>
        <v>53160</v>
      </c>
      <c r="E12" s="17">
        <f>SUM(E13:E16)</f>
        <v>59755</v>
      </c>
      <c r="F12" s="17">
        <f>SUM(F13:F16)</f>
        <v>61579.75</v>
      </c>
      <c r="G12" s="17">
        <f>SUM(G13:G16)</f>
        <v>63336</v>
      </c>
      <c r="H12" s="17">
        <f>SUM(H13:H16)</f>
        <v>67585</v>
      </c>
      <c r="I12" s="57" t="s">
        <v>5</v>
      </c>
      <c r="K12" s="68"/>
      <c r="L12" s="68"/>
    </row>
    <row r="13" spans="1:25" ht="18.75">
      <c r="A13" s="19" t="s">
        <v>6</v>
      </c>
      <c r="B13" s="20">
        <v>33439.75</v>
      </c>
      <c r="C13" s="20">
        <v>21445.666666666668</v>
      </c>
      <c r="D13" s="20">
        <v>38226</v>
      </c>
      <c r="E13" s="20">
        <v>41049</v>
      </c>
      <c r="F13" s="20">
        <v>41944.666666666664</v>
      </c>
      <c r="G13" s="20">
        <v>42739</v>
      </c>
      <c r="H13" s="20">
        <v>44807</v>
      </c>
      <c r="I13" s="21" t="s">
        <v>7</v>
      </c>
      <c r="K13" s="68"/>
      <c r="L13" s="67"/>
    </row>
    <row r="14" spans="1:25" ht="15.75">
      <c r="A14" s="19" t="s">
        <v>8</v>
      </c>
      <c r="B14" s="20">
        <v>1723</v>
      </c>
      <c r="C14" s="20">
        <v>1032.5</v>
      </c>
      <c r="D14" s="20">
        <v>1360</v>
      </c>
      <c r="E14" s="20">
        <v>1640</v>
      </c>
      <c r="F14" s="20">
        <v>1765</v>
      </c>
      <c r="G14" s="20">
        <v>2028</v>
      </c>
      <c r="H14" s="20">
        <v>2598</v>
      </c>
      <c r="I14" s="58" t="s">
        <v>9</v>
      </c>
      <c r="K14" s="67"/>
      <c r="L14" s="67"/>
    </row>
    <row r="15" spans="1:25" ht="15.75">
      <c r="A15" s="19" t="s">
        <v>10</v>
      </c>
      <c r="B15" s="20">
        <v>9200.1666666666661</v>
      </c>
      <c r="C15" s="20">
        <v>3615.0833333333335</v>
      </c>
      <c r="D15" s="20">
        <v>10716</v>
      </c>
      <c r="E15" s="20">
        <v>14148</v>
      </c>
      <c r="F15" s="20">
        <v>14784.583333333334</v>
      </c>
      <c r="G15" s="20">
        <v>15491</v>
      </c>
      <c r="H15" s="20">
        <v>16824</v>
      </c>
      <c r="I15" s="58" t="s">
        <v>11</v>
      </c>
      <c r="K15" s="67"/>
      <c r="L15" s="67"/>
    </row>
    <row r="16" spans="1:25" ht="15.75">
      <c r="A16" s="31" t="s">
        <v>12</v>
      </c>
      <c r="B16" s="32">
        <v>2905.5833333333335</v>
      </c>
      <c r="C16" s="32">
        <v>1651.4166666666667</v>
      </c>
      <c r="D16" s="32">
        <v>2858</v>
      </c>
      <c r="E16" s="32">
        <v>2918</v>
      </c>
      <c r="F16" s="32">
        <v>3085.5</v>
      </c>
      <c r="G16" s="32">
        <v>3078</v>
      </c>
      <c r="H16" s="32">
        <v>3356</v>
      </c>
      <c r="I16" s="60" t="s">
        <v>13</v>
      </c>
      <c r="K16" s="51"/>
      <c r="L16" s="51"/>
    </row>
    <row r="17" spans="1:24" ht="12.75" customHeight="1">
      <c r="A17" s="13" t="s">
        <v>15</v>
      </c>
      <c r="B17" s="26"/>
      <c r="C17" s="26"/>
      <c r="D17" s="26"/>
      <c r="E17" s="26"/>
      <c r="F17" s="26"/>
      <c r="G17" s="26"/>
      <c r="H17" s="26"/>
      <c r="I17" s="66" t="s">
        <v>16</v>
      </c>
      <c r="J17" s="33"/>
      <c r="K17" s="33"/>
      <c r="L17" s="33"/>
      <c r="M17" s="33"/>
      <c r="N17" s="33"/>
      <c r="O17" s="33"/>
      <c r="P17" s="33"/>
      <c r="Q17" s="18"/>
      <c r="R17" s="15"/>
      <c r="S17" s="18"/>
      <c r="T17" s="18"/>
      <c r="U17" s="18"/>
      <c r="V17" s="18"/>
      <c r="W17" s="18"/>
      <c r="X17" s="18"/>
    </row>
    <row r="18" spans="1:24" s="16" customFormat="1" ht="17.25" customHeight="1">
      <c r="A18" s="13" t="s">
        <v>0</v>
      </c>
      <c r="B18" s="34">
        <f t="shared" ref="B18:D18" si="2">SUM(B19:B22)</f>
        <v>938</v>
      </c>
      <c r="C18" s="34">
        <f t="shared" si="2"/>
        <v>949</v>
      </c>
      <c r="D18" s="34">
        <f t="shared" si="2"/>
        <v>1137</v>
      </c>
      <c r="E18" s="34">
        <f>SUM(E19:E22)</f>
        <v>1216</v>
      </c>
      <c r="F18" s="34">
        <f>SUM(F19:F22)</f>
        <v>1156</v>
      </c>
      <c r="G18" s="34">
        <f>SUM(G19:G22)</f>
        <v>1284</v>
      </c>
      <c r="H18" s="34">
        <f>SUM(H19:H22)</f>
        <v>1343</v>
      </c>
      <c r="I18" s="57" t="s">
        <v>5</v>
      </c>
      <c r="J18" s="18"/>
      <c r="M18" s="18"/>
      <c r="N18" s="18"/>
      <c r="O18" s="18"/>
      <c r="P18" s="18"/>
      <c r="Q18" s="18"/>
      <c r="R18" s="15"/>
      <c r="S18" s="18"/>
      <c r="T18" s="18"/>
      <c r="U18" s="18"/>
      <c r="V18" s="18"/>
      <c r="W18" s="18"/>
      <c r="X18" s="18"/>
    </row>
    <row r="19" spans="1:24" s="16" customFormat="1" ht="17.25" customHeight="1">
      <c r="A19" s="19" t="s">
        <v>6</v>
      </c>
      <c r="B19" s="20">
        <v>164</v>
      </c>
      <c r="C19" s="20">
        <v>156</v>
      </c>
      <c r="D19" s="20">
        <v>167</v>
      </c>
      <c r="E19" s="20">
        <v>172</v>
      </c>
      <c r="F19" s="20">
        <v>180</v>
      </c>
      <c r="G19" s="20">
        <v>183</v>
      </c>
      <c r="H19" s="20">
        <v>186</v>
      </c>
      <c r="I19" s="21" t="s">
        <v>7</v>
      </c>
      <c r="J19" s="21"/>
      <c r="L19" s="21"/>
      <c r="M19" s="21"/>
      <c r="N19" s="21"/>
      <c r="O19" s="21"/>
      <c r="P19" s="21"/>
      <c r="Q19" s="36"/>
      <c r="R19" s="15"/>
      <c r="S19" s="24"/>
      <c r="T19" s="24"/>
      <c r="U19" s="24"/>
      <c r="V19" s="24"/>
      <c r="W19" s="24"/>
      <c r="X19" s="24"/>
    </row>
    <row r="20" spans="1:24" s="16" customFormat="1" ht="17.25" customHeight="1">
      <c r="A20" s="19" t="s">
        <v>8</v>
      </c>
      <c r="B20" s="20">
        <v>12</v>
      </c>
      <c r="C20" s="20">
        <v>13</v>
      </c>
      <c r="D20" s="20">
        <v>11</v>
      </c>
      <c r="E20" s="20">
        <v>13</v>
      </c>
      <c r="F20" s="20">
        <v>14</v>
      </c>
      <c r="G20" s="20">
        <v>15</v>
      </c>
      <c r="H20" s="20">
        <v>16</v>
      </c>
      <c r="I20" s="58" t="s">
        <v>17</v>
      </c>
      <c r="J20" s="27"/>
      <c r="L20" s="27"/>
      <c r="M20" s="27"/>
      <c r="N20" s="27"/>
      <c r="O20" s="27"/>
      <c r="P20" s="27"/>
      <c r="Q20" s="36"/>
      <c r="R20" s="15"/>
      <c r="S20" s="24"/>
      <c r="T20" s="24"/>
      <c r="U20" s="24"/>
      <c r="V20" s="24"/>
      <c r="W20" s="24"/>
      <c r="X20" s="24"/>
    </row>
    <row r="21" spans="1:24" s="16" customFormat="1" ht="17.25" customHeight="1">
      <c r="A21" s="19" t="s">
        <v>10</v>
      </c>
      <c r="B21" s="20">
        <v>605</v>
      </c>
      <c r="C21" s="20">
        <v>638</v>
      </c>
      <c r="D21" s="20">
        <v>802</v>
      </c>
      <c r="E21" s="20">
        <v>874</v>
      </c>
      <c r="F21" s="20">
        <v>815</v>
      </c>
      <c r="G21" s="20">
        <v>929</v>
      </c>
      <c r="H21" s="20">
        <v>973</v>
      </c>
      <c r="I21" s="58" t="s">
        <v>11</v>
      </c>
      <c r="J21" s="27"/>
      <c r="L21" s="27"/>
      <c r="M21" s="27"/>
      <c r="N21" s="27"/>
      <c r="O21" s="27"/>
      <c r="P21" s="27"/>
      <c r="Q21" s="36"/>
      <c r="R21" s="24"/>
      <c r="S21" s="37"/>
      <c r="T21" s="24"/>
      <c r="U21" s="24"/>
      <c r="V21" s="24"/>
      <c r="W21" s="24"/>
      <c r="X21" s="24"/>
    </row>
    <row r="22" spans="1:24" s="16" customFormat="1" ht="17.25" customHeight="1">
      <c r="A22" s="28" t="s">
        <v>12</v>
      </c>
      <c r="B22" s="38">
        <v>157</v>
      </c>
      <c r="C22" s="38">
        <v>142</v>
      </c>
      <c r="D22" s="38">
        <v>157</v>
      </c>
      <c r="E22" s="38">
        <v>157</v>
      </c>
      <c r="F22" s="38">
        <v>147</v>
      </c>
      <c r="G22" s="38">
        <v>157</v>
      </c>
      <c r="H22" s="38">
        <v>168</v>
      </c>
      <c r="I22" s="61" t="s">
        <v>13</v>
      </c>
      <c r="J22" s="39"/>
      <c r="L22" s="39"/>
      <c r="M22" s="39"/>
      <c r="N22" s="39"/>
      <c r="O22" s="39"/>
      <c r="P22" s="39"/>
      <c r="Q22" s="36"/>
      <c r="R22" s="40"/>
      <c r="S22" s="37"/>
      <c r="T22" s="40"/>
      <c r="U22" s="40"/>
      <c r="V22" s="40"/>
      <c r="W22" s="40"/>
      <c r="X22" s="40"/>
    </row>
    <row r="23" spans="1:24" ht="18.75">
      <c r="A23" s="13" t="s">
        <v>18</v>
      </c>
      <c r="B23" s="14"/>
      <c r="C23" s="14"/>
      <c r="D23" s="14"/>
      <c r="E23" s="14"/>
      <c r="F23" s="14"/>
      <c r="G23" s="14"/>
      <c r="H23" s="14"/>
      <c r="I23" s="66" t="s">
        <v>19</v>
      </c>
    </row>
    <row r="24" spans="1:24" ht="15.75">
      <c r="A24" s="13" t="s">
        <v>0</v>
      </c>
      <c r="B24" s="17">
        <f t="shared" ref="B24:C24" si="3">SUM(B25:B28)</f>
        <v>872.16666666666663</v>
      </c>
      <c r="C24" s="17">
        <f t="shared" si="3"/>
        <v>550</v>
      </c>
      <c r="D24" s="17">
        <f>SUM(D25:D28)</f>
        <v>929</v>
      </c>
      <c r="E24" s="17">
        <f>SUM(E25:E28)</f>
        <v>1212</v>
      </c>
      <c r="F24" s="17">
        <f>SUM(F25:F28)</f>
        <v>1152</v>
      </c>
      <c r="G24" s="17">
        <f>SUM(G25:G28)</f>
        <v>1273</v>
      </c>
      <c r="H24" s="17">
        <f>SUM(H25:H28)</f>
        <v>1336</v>
      </c>
      <c r="I24" s="57" t="s">
        <v>5</v>
      </c>
    </row>
    <row r="25" spans="1:24" ht="18.75">
      <c r="A25" s="19" t="s">
        <v>6</v>
      </c>
      <c r="B25" s="20">
        <v>146</v>
      </c>
      <c r="C25" s="20">
        <v>140</v>
      </c>
      <c r="D25" s="20">
        <v>161</v>
      </c>
      <c r="E25" s="20">
        <v>168</v>
      </c>
      <c r="F25" s="20">
        <v>176</v>
      </c>
      <c r="G25" s="20">
        <v>172</v>
      </c>
      <c r="H25" s="20">
        <v>179</v>
      </c>
      <c r="I25" s="21" t="s">
        <v>7</v>
      </c>
    </row>
    <row r="26" spans="1:24" ht="15.75">
      <c r="A26" s="19" t="s">
        <v>8</v>
      </c>
      <c r="B26" s="20">
        <v>11.416666666666666</v>
      </c>
      <c r="C26" s="20">
        <v>11</v>
      </c>
      <c r="D26" s="20">
        <v>10</v>
      </c>
      <c r="E26" s="20">
        <v>13</v>
      </c>
      <c r="F26" s="20">
        <v>14</v>
      </c>
      <c r="G26" s="20">
        <v>15</v>
      </c>
      <c r="H26" s="20">
        <v>16</v>
      </c>
      <c r="I26" s="58" t="s">
        <v>9</v>
      </c>
    </row>
    <row r="27" spans="1:24" ht="15.75">
      <c r="A27" s="19" t="s">
        <v>10</v>
      </c>
      <c r="B27" s="20">
        <v>561</v>
      </c>
      <c r="C27" s="20">
        <v>268</v>
      </c>
      <c r="D27" s="20">
        <v>613</v>
      </c>
      <c r="E27" s="20">
        <v>874</v>
      </c>
      <c r="F27" s="20">
        <v>815</v>
      </c>
      <c r="G27" s="20">
        <v>929</v>
      </c>
      <c r="H27" s="20">
        <v>973</v>
      </c>
      <c r="I27" s="58" t="s">
        <v>11</v>
      </c>
    </row>
    <row r="28" spans="1:24" ht="15.75">
      <c r="A28" s="31" t="s">
        <v>12</v>
      </c>
      <c r="B28" s="32">
        <v>153.75</v>
      </c>
      <c r="C28" s="32">
        <v>131</v>
      </c>
      <c r="D28" s="32">
        <v>145</v>
      </c>
      <c r="E28" s="32">
        <v>157</v>
      </c>
      <c r="F28" s="32">
        <v>147</v>
      </c>
      <c r="G28" s="32">
        <v>157</v>
      </c>
      <c r="H28" s="32">
        <v>168</v>
      </c>
      <c r="I28" s="60" t="s">
        <v>13</v>
      </c>
    </row>
    <row r="29" spans="1:24" ht="18.75">
      <c r="A29" s="13" t="s">
        <v>21</v>
      </c>
      <c r="B29" s="26"/>
      <c r="C29" s="26"/>
      <c r="D29" s="26"/>
      <c r="E29" s="26"/>
      <c r="F29" s="26"/>
      <c r="G29" s="26"/>
      <c r="H29" s="26"/>
      <c r="I29" s="30" t="s">
        <v>20</v>
      </c>
    </row>
    <row r="30" spans="1:24" ht="18.75">
      <c r="A30" s="19" t="s">
        <v>6</v>
      </c>
      <c r="B30" s="20">
        <v>74.139742717834707</v>
      </c>
      <c r="C30" s="20">
        <v>28.978640707515321</v>
      </c>
      <c r="D30" s="20">
        <v>63</v>
      </c>
      <c r="E30" s="20">
        <v>71.400000000000006</v>
      </c>
      <c r="F30" s="20">
        <v>63.8</v>
      </c>
      <c r="G30" s="20">
        <v>71.833174084364899</v>
      </c>
      <c r="H30" s="20">
        <v>68.3</v>
      </c>
      <c r="I30" s="21" t="s">
        <v>7</v>
      </c>
    </row>
    <row r="31" spans="1:24" ht="15.75">
      <c r="A31" s="19" t="s">
        <v>8</v>
      </c>
      <c r="B31" s="20">
        <v>45.412556932056837</v>
      </c>
      <c r="C31" s="20">
        <v>17.074461530906429</v>
      </c>
      <c r="D31" s="20">
        <v>41.4</v>
      </c>
      <c r="E31" s="20">
        <v>36.4</v>
      </c>
      <c r="F31" s="20">
        <v>39.5</v>
      </c>
      <c r="G31" s="20">
        <v>26.265349621429024</v>
      </c>
      <c r="H31" s="20">
        <v>32.5</v>
      </c>
      <c r="I31" s="58" t="s">
        <v>17</v>
      </c>
    </row>
    <row r="32" spans="1:24" ht="15.75">
      <c r="A32" s="19" t="s">
        <v>10</v>
      </c>
      <c r="B32" s="20">
        <v>33.86767677413031</v>
      </c>
      <c r="C32" s="20">
        <v>18.371216403823603</v>
      </c>
      <c r="D32" s="20">
        <v>33.700000000000003</v>
      </c>
      <c r="E32" s="20">
        <v>30.8</v>
      </c>
      <c r="F32" s="20">
        <v>57.2</v>
      </c>
      <c r="G32" s="20">
        <v>39.56122789282734</v>
      </c>
      <c r="H32" s="20">
        <v>40.9</v>
      </c>
      <c r="I32" s="58" t="s">
        <v>11</v>
      </c>
    </row>
    <row r="33" spans="1:25" ht="17.25">
      <c r="A33" s="31" t="s">
        <v>12</v>
      </c>
      <c r="B33" s="41">
        <v>26.153650176008821</v>
      </c>
      <c r="C33" s="41">
        <v>12.572498801223105</v>
      </c>
      <c r="D33" s="41">
        <v>19.3</v>
      </c>
      <c r="E33" s="41">
        <v>24.2</v>
      </c>
      <c r="F33" s="41">
        <v>19.3</v>
      </c>
      <c r="G33" s="41">
        <v>18.046256847230673</v>
      </c>
      <c r="H33" s="41">
        <v>24</v>
      </c>
      <c r="I33" s="62" t="s">
        <v>13</v>
      </c>
    </row>
    <row r="34" spans="1:25" s="16" customFormat="1" ht="15.75" customHeight="1">
      <c r="A34" s="73" t="s">
        <v>25</v>
      </c>
      <c r="B34" s="35"/>
      <c r="C34" s="35"/>
      <c r="D34" s="35"/>
      <c r="E34" s="35"/>
      <c r="F34" s="35"/>
      <c r="G34" s="35"/>
      <c r="H34" s="35"/>
      <c r="I34" s="69" t="s">
        <v>26</v>
      </c>
      <c r="J34" s="39"/>
      <c r="K34" s="39"/>
      <c r="L34" s="39"/>
      <c r="M34" s="39"/>
      <c r="N34" s="39"/>
      <c r="O34" s="39"/>
      <c r="P34" s="39"/>
      <c r="Q34" s="36"/>
      <c r="R34" s="40"/>
      <c r="S34" s="37"/>
      <c r="T34" s="40"/>
      <c r="U34" s="40"/>
      <c r="V34" s="40"/>
      <c r="W34" s="40"/>
      <c r="X34" s="40"/>
    </row>
    <row r="35" spans="1:25" s="16" customFormat="1" ht="18" customHeight="1">
      <c r="A35" s="5" t="s">
        <v>23</v>
      </c>
      <c r="B35" s="42"/>
      <c r="C35" s="42"/>
      <c r="D35" s="42"/>
      <c r="E35" s="42"/>
      <c r="F35" s="42"/>
      <c r="G35" s="42"/>
      <c r="H35" s="42"/>
      <c r="I35" s="70" t="s">
        <v>24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42"/>
    </row>
    <row r="36" spans="1:25" s="16" customFormat="1" ht="18" customHeight="1">
      <c r="B36" s="42"/>
      <c r="C36" s="42"/>
      <c r="D36" s="42"/>
      <c r="E36" s="42"/>
      <c r="F36" s="42"/>
      <c r="G36" s="42"/>
      <c r="H36" s="42"/>
      <c r="I36" s="5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43"/>
    </row>
    <row r="37" spans="1:25" s="16" customFormat="1" ht="14.25">
      <c r="I37" s="63"/>
      <c r="R37" s="44" t="s">
        <v>6</v>
      </c>
      <c r="S37" s="45">
        <f>E7/$E$6*100</f>
        <v>69.16024996290129</v>
      </c>
      <c r="Y37" s="46"/>
    </row>
    <row r="38" spans="1:25" s="16" customFormat="1" ht="14.25">
      <c r="I38" s="63"/>
      <c r="R38" s="44" t="s">
        <v>8</v>
      </c>
      <c r="S38" s="45">
        <f>E8/$E$6*100</f>
        <v>2.7040841563752083</v>
      </c>
      <c r="Y38" s="46"/>
    </row>
    <row r="39" spans="1:25" s="16" customFormat="1" ht="14.25">
      <c r="I39" s="63"/>
      <c r="R39" s="44" t="s">
        <v>10</v>
      </c>
      <c r="S39" s="45">
        <f>E9/$E$6*100</f>
        <v>23.324374680538838</v>
      </c>
      <c r="Y39" s="46"/>
    </row>
    <row r="40" spans="1:25" s="16" customFormat="1" ht="14.25">
      <c r="I40" s="63"/>
      <c r="R40" s="44" t="s">
        <v>12</v>
      </c>
      <c r="S40" s="45">
        <f>E10/$E$6*100</f>
        <v>4.8112912001846686</v>
      </c>
      <c r="Y40" s="46"/>
    </row>
    <row r="41" spans="1:25" s="16" customFormat="1" ht="14.25">
      <c r="I41" s="63"/>
      <c r="Y41" s="46"/>
    </row>
    <row r="42" spans="1:25">
      <c r="Y42" s="47"/>
    </row>
    <row r="43" spans="1:25">
      <c r="Y43" s="47"/>
    </row>
    <row r="44" spans="1:25">
      <c r="R44" s="44" t="s">
        <v>6</v>
      </c>
      <c r="S44" s="48">
        <f>G19/$G$18</f>
        <v>0.1425233644859813</v>
      </c>
      <c r="Y44" s="47"/>
    </row>
    <row r="45" spans="1:25">
      <c r="R45" s="44" t="s">
        <v>8</v>
      </c>
      <c r="S45" s="48">
        <f>E20/$E$18</f>
        <v>1.0690789473684211E-2</v>
      </c>
      <c r="Y45" s="47"/>
    </row>
    <row r="46" spans="1:25">
      <c r="R46" s="44" t="s">
        <v>10</v>
      </c>
      <c r="S46" s="48">
        <f>E21/$E$18</f>
        <v>0.71875</v>
      </c>
      <c r="Y46" s="47"/>
    </row>
    <row r="47" spans="1:25">
      <c r="R47" s="44" t="s">
        <v>12</v>
      </c>
      <c r="S47" s="48">
        <f>E22/$E$18</f>
        <v>0.12911184210526316</v>
      </c>
      <c r="Y47" s="47"/>
    </row>
    <row r="72" spans="1:9" ht="15.75">
      <c r="A72" s="13"/>
      <c r="B72" s="49"/>
      <c r="C72" s="49"/>
      <c r="D72" s="49"/>
      <c r="E72" s="49"/>
      <c r="F72" s="49"/>
      <c r="G72" s="49"/>
      <c r="H72" s="49"/>
      <c r="I72" s="65"/>
    </row>
    <row r="73" spans="1:9" ht="15.75">
      <c r="A73" s="13"/>
      <c r="B73" s="49"/>
      <c r="C73" s="49"/>
      <c r="D73" s="49"/>
      <c r="E73" s="49"/>
      <c r="F73" s="49"/>
      <c r="G73" s="49"/>
      <c r="H73" s="49"/>
      <c r="I73" s="65"/>
    </row>
    <row r="74" spans="1:9" ht="15">
      <c r="A74" s="5"/>
      <c r="B74" s="42"/>
      <c r="C74" s="42"/>
      <c r="D74" s="42"/>
      <c r="E74" s="42"/>
      <c r="F74" s="42"/>
      <c r="G74" s="42"/>
      <c r="H74" s="42"/>
      <c r="I74" s="53"/>
    </row>
    <row r="75" spans="1:9" ht="15">
      <c r="A75" s="42"/>
      <c r="B75" s="50"/>
      <c r="C75" s="50"/>
      <c r="D75" s="50"/>
      <c r="E75" s="50"/>
      <c r="F75" s="50"/>
      <c r="G75" s="50"/>
      <c r="H75" s="50"/>
      <c r="I75" s="53"/>
    </row>
    <row r="76" spans="1:9" ht="15">
      <c r="A76" s="42"/>
      <c r="B76" s="42"/>
      <c r="C76" s="42"/>
      <c r="D76" s="42"/>
      <c r="E76" s="42"/>
      <c r="F76" s="42"/>
      <c r="G76" s="42"/>
      <c r="H76" s="42"/>
      <c r="I76" s="53"/>
    </row>
    <row r="77" spans="1:9" ht="15">
      <c r="A77" s="16"/>
      <c r="B77" s="42"/>
      <c r="C77" s="42"/>
      <c r="D77" s="42"/>
      <c r="E77" s="42"/>
      <c r="F77" s="42"/>
      <c r="G77" s="42"/>
      <c r="H77" s="42"/>
      <c r="I77" s="53"/>
    </row>
  </sheetData>
  <mergeCells count="2">
    <mergeCell ref="A1:I1"/>
    <mergeCell ref="A2:I2"/>
  </mergeCells>
  <pageMargins left="0.7" right="0.7" top="0.75" bottom="0.75" header="0.3" footer="0.3"/>
  <pageSetup paperSize="9" scale="78" orientation="landscape" horizontalDpi="4294967295" verticalDpi="4294967295" r:id="rId1"/>
  <rowBreaks count="1" manualBreakCount="1">
    <brk id="35" max="2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2026-06-11T08:49:09Z</cp:lastPrinted>
  <dcterms:created xsi:type="dcterms:W3CDTF">2019-02-27T06:18:18Z</dcterms:created>
  <dcterms:modified xsi:type="dcterms:W3CDTF">2026-06-11T08:49:16Z</dcterms:modified>
</cp:coreProperties>
</file>