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9DD957C3-C209-4038-9429-A4F217086CCA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3" sheetId="3" r:id="rId1"/>
  </sheets>
  <definedNames>
    <definedName name="_xlnm.Print_Area" localSheetId="0">'10.3'!$A$1:$N$60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58" i="3" l="1"/>
  <c r="AP159" i="3"/>
  <c r="AP160" i="3"/>
  <c r="AP161" i="3"/>
  <c r="AP162" i="3"/>
  <c r="AP163" i="3"/>
  <c r="AP164" i="3"/>
  <c r="AP165" i="3"/>
  <c r="AP166" i="3"/>
  <c r="AP167" i="3"/>
  <c r="AP168" i="3"/>
  <c r="AP145" i="3"/>
  <c r="AP157" i="3"/>
  <c r="M6" i="3"/>
  <c r="J18" i="3" l="1"/>
  <c r="J17" i="3"/>
  <c r="J16" i="3"/>
  <c r="J15" i="3"/>
  <c r="J14" i="3"/>
  <c r="J13" i="3"/>
  <c r="J12" i="3"/>
  <c r="J11" i="3"/>
  <c r="J10" i="3"/>
  <c r="J9" i="3"/>
  <c r="J8" i="3"/>
  <c r="J7" i="3"/>
  <c r="L6" i="3"/>
  <c r="K6" i="3"/>
  <c r="I6" i="3"/>
  <c r="H6" i="3"/>
  <c r="AP146" i="3"/>
  <c r="AP147" i="3"/>
  <c r="AP148" i="3"/>
  <c r="AP149" i="3"/>
  <c r="AP150" i="3"/>
  <c r="AP151" i="3"/>
  <c r="AP152" i="3"/>
  <c r="AP153" i="3"/>
  <c r="AP154" i="3"/>
  <c r="AP155" i="3"/>
  <c r="AP156" i="3"/>
  <c r="AP134" i="3"/>
  <c r="AP135" i="3"/>
  <c r="AP136" i="3"/>
  <c r="AP137" i="3"/>
  <c r="AP138" i="3"/>
  <c r="AP139" i="3"/>
  <c r="AP140" i="3"/>
  <c r="AP141" i="3"/>
  <c r="AP142" i="3"/>
  <c r="AP143" i="3"/>
  <c r="AP144" i="3"/>
  <c r="AP133" i="3"/>
  <c r="J6" i="3" l="1"/>
  <c r="D18" i="3" l="1"/>
  <c r="D17" i="3"/>
  <c r="D16" i="3"/>
  <c r="D15" i="3"/>
  <c r="D14" i="3"/>
  <c r="D13" i="3"/>
  <c r="D12" i="3"/>
  <c r="D11" i="3"/>
  <c r="D10" i="3"/>
  <c r="D9" i="3"/>
  <c r="D8" i="3"/>
  <c r="D7" i="3"/>
  <c r="G6" i="3"/>
  <c r="F6" i="3"/>
  <c r="E6" i="3"/>
  <c r="C6" i="3"/>
  <c r="B6" i="3"/>
  <c r="D6" i="3" l="1"/>
  <c r="AP122" i="3" l="1"/>
  <c r="AP123" i="3"/>
  <c r="AP124" i="3"/>
  <c r="AP125" i="3"/>
  <c r="AP126" i="3"/>
  <c r="AP127" i="3"/>
  <c r="AP128" i="3"/>
  <c r="AP129" i="3"/>
  <c r="AP130" i="3"/>
  <c r="AP131" i="3"/>
  <c r="AP132" i="3"/>
  <c r="AP121" i="3"/>
  <c r="BC17" i="3"/>
  <c r="BD17" i="3"/>
  <c r="BC18" i="3"/>
  <c r="BD18" i="3"/>
  <c r="BC19" i="3"/>
  <c r="BD19" i="3"/>
  <c r="BC20" i="3"/>
  <c r="BD20" i="3"/>
  <c r="BC21" i="3"/>
  <c r="BD21" i="3"/>
  <c r="BC22" i="3"/>
  <c r="BD22" i="3"/>
  <c r="BC23" i="3"/>
  <c r="BD23" i="3"/>
  <c r="BC24" i="3"/>
  <c r="BD24" i="3"/>
  <c r="BC25" i="3"/>
  <c r="BD25" i="3"/>
  <c r="BC26" i="3"/>
  <c r="BD26" i="3"/>
  <c r="BC27" i="3"/>
  <c r="BD27" i="3"/>
  <c r="BD16" i="3"/>
  <c r="BC16" i="3"/>
  <c r="AP110" i="3" l="1"/>
  <c r="AP111" i="3"/>
  <c r="AP112" i="3"/>
  <c r="AP113" i="3"/>
  <c r="AP114" i="3"/>
  <c r="AP115" i="3"/>
  <c r="AP116" i="3"/>
  <c r="AP117" i="3"/>
  <c r="AP118" i="3"/>
  <c r="AP119" i="3"/>
  <c r="AP120" i="3"/>
  <c r="AP109" i="3"/>
  <c r="AP97" i="3"/>
  <c r="AP98" i="3" l="1"/>
  <c r="AP99" i="3"/>
  <c r="AP100" i="3"/>
  <c r="AP101" i="3"/>
  <c r="AP102" i="3"/>
  <c r="AP103" i="3"/>
  <c r="AP104" i="3"/>
  <c r="AP105" i="3"/>
  <c r="AP106" i="3"/>
  <c r="AP107" i="3"/>
  <c r="AP108" i="3"/>
  <c r="AP86" i="3" l="1"/>
  <c r="AP87" i="3"/>
  <c r="AP88" i="3"/>
  <c r="AP89" i="3"/>
  <c r="AP90" i="3"/>
  <c r="AP91" i="3"/>
  <c r="AP92" i="3"/>
  <c r="AP93" i="3"/>
  <c r="AP94" i="3"/>
  <c r="AP95" i="3"/>
  <c r="AP96" i="3"/>
  <c r="AP85" i="3"/>
  <c r="AP84" i="3" l="1"/>
  <c r="AP83" i="3"/>
  <c r="AP8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36" i="3"/>
  <c r="AP35" i="3"/>
  <c r="AP34" i="3"/>
  <c r="AP33" i="3"/>
  <c r="AP32" i="3"/>
  <c r="AP31" i="3"/>
  <c r="AP30" i="3"/>
  <c r="AP29" i="3"/>
  <c r="AP28" i="3"/>
  <c r="AP27" i="3"/>
  <c r="AP26" i="3"/>
  <c r="AP25" i="3"/>
</calcChain>
</file>

<file path=xl/sharedStrings.xml><?xml version="1.0" encoding="utf-8"?>
<sst xmlns="http://schemas.openxmlformats.org/spreadsheetml/2006/main" count="191" uniqueCount="45">
  <si>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</si>
  <si>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</si>
  <si>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</si>
  <si>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</si>
  <si>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</si>
  <si>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</si>
  <si>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</si>
  <si>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</si>
  <si>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</si>
  <si>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</si>
  <si>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</si>
  <si>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</si>
  <si>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</si>
  <si>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</si>
  <si>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</si>
  <si>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</si>
  <si>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</si>
  <si>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</si>
  <si>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</si>
  <si>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</si>
  <si>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</si>
  <si>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</si>
  <si>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</si>
  <si>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</si>
  <si>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</si>
  <si>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</si>
  <si>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</si>
  <si>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</si>
  <si>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</si>
  <si>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</si>
  <si>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</si>
  <si>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</si>
  <si>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</si>
  <si>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</si>
  <si>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</si>
  <si>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</si>
  <si>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</si>
  <si>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</si>
  <si>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</si>
  <si>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</si>
  <si>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</si>
  <si>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Source: Ministry Tourism and Civil Aviation</t>
  </si>
  <si>
    <t>މަޢުލޫމާތު ދެއްވީ: މިނިސްޓްރީ އޮފް ޓޫރިޒަމް އެންޑް ސިވިލް އޭވިއޭޝަން</t>
  </si>
  <si>
    <t>2025 - 2024  ,urwvcnim unuverukcnunEb wgWjegudnea iaWa wgWj egudnea uhwmcswmikea : 10.3 ulwvWt</t>
  </si>
  <si>
    <t>Table  10.3: BED CAPACITY AND UTILIZATION BY MONTH,  2024 - 2025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</si>
</sst>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9"/>
      <color rgb="FFFF0000"/>
      <name val="Arial"/>
      <family val="2"/>
    </font>
    <font>
      <sz val="9"/>
      <color rgb="FFFF0000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8" fillId="0" borderId="12" applyNumberFormat="0"/>
    <xf numFmtId="0" fontId="1" fillId="0" borderId="0"/>
    <xf numFmtId="0" fontId="3" fillId="0" borderId="0"/>
    <xf numFmtId="0" fontId="23" fillId="0" borderId="0" applyFill="0" applyProtection="0"/>
    <xf numFmtId="1" fontId="18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3" fillId="0" borderId="0"/>
    <xf numFmtId="0" fontId="23" fillId="0" borderId="0" applyFill="0" applyProtection="0"/>
    <xf numFmtId="1" fontId="18" fillId="0" borderId="12" applyNumberFormat="0"/>
    <xf numFmtId="0" fontId="1" fillId="0" borderId="0"/>
    <xf numFmtId="0" fontId="2" fillId="0" borderId="0"/>
    <xf numFmtId="0" fontId="24" fillId="0" borderId="0"/>
    <xf numFmtId="0" fontId="25" fillId="0" borderId="0"/>
    <xf numFmtId="0" fontId="2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6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1" fillId="0" borderId="0"/>
    <xf numFmtId="0" fontId="1" fillId="0" borderId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0" fontId="1" fillId="0" borderId="0"/>
    <xf numFmtId="0" fontId="1" fillId="0" borderId="0"/>
    <xf numFmtId="0" fontId="26" fillId="0" borderId="0" applyBorder="0"/>
    <xf numFmtId="0" fontId="26" fillId="0" borderId="0"/>
    <xf numFmtId="0" fontId="1" fillId="0" borderId="0"/>
    <xf numFmtId="0" fontId="3" fillId="0" borderId="0"/>
    <xf numFmtId="0" fontId="3" fillId="0" borderId="0"/>
    <xf numFmtId="1" fontId="18" fillId="0" borderId="12" applyNumberFormat="0"/>
    <xf numFmtId="0" fontId="26" fillId="0" borderId="0" applyBorder="0"/>
    <xf numFmtId="0" fontId="26" fillId="0" borderId="0" applyBorder="0"/>
    <xf numFmtId="0" fontId="3" fillId="0" borderId="0"/>
    <xf numFmtId="0" fontId="2" fillId="0" borderId="0"/>
    <xf numFmtId="0" fontId="2" fillId="0" borderId="0"/>
    <xf numFmtId="0" fontId="2" fillId="0" borderId="0"/>
  </cellStyleXfs>
  <cellXfs count="61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right" vertical="center"/>
    </xf>
    <xf numFmtId="37" fontId="8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1" fillId="2" borderId="0" xfId="0" applyFont="1" applyFill="1"/>
    <xf numFmtId="0" fontId="22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164" fontId="7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</cellXfs>
  <cellStyles count="81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0 2" xfId="80" xr:uid="{AF4FE69F-9401-42FA-B027-EEF0FEB874E3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Normal 9 2" xfId="79" xr:uid="{8B69E301-AFA8-488E-94F8-DE9EB7E34FB9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2024 - 2025</a:t>
            </a:r>
          </a:p>
        </c:rich>
      </c:tx>
      <c:layout>
        <c:manualLayout>
          <c:xMode val="edge"/>
          <c:yMode val="edge"/>
          <c:x val="0.20004409457667005"/>
          <c:y val="4.5386795248124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336600"/>
              </a:solidFill>
            </a:ln>
          </c:spPr>
          <c:marker>
            <c:symbol val="diamond"/>
            <c:size val="6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rgbClr val="003300"/>
                </a:solidFill>
              </a:ln>
            </c:spPr>
          </c:marker>
          <c:cat>
            <c:strRef>
              <c:f>'10.3'!$AO$145:$AO$168</c:f>
              <c:strCache>
                <c:ptCount val="24"/>
                <c:pt idx="0">
                  <c:v>Jan-24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Jan-25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'10.3'!$AP$145:$AP$168</c:f>
              <c:numCache>
                <c:formatCode>#,##0.0</c:formatCode>
                <c:ptCount val="24"/>
                <c:pt idx="0">
                  <c:v>7.9</c:v>
                </c:pt>
                <c:pt idx="1">
                  <c:v>7.9</c:v>
                </c:pt>
                <c:pt idx="2">
                  <c:v>7.8</c:v>
                </c:pt>
                <c:pt idx="3">
                  <c:v>8.0474913417991303</c:v>
                </c:pt>
                <c:pt idx="4">
                  <c:v>7.6</c:v>
                </c:pt>
                <c:pt idx="5">
                  <c:v>7.3</c:v>
                </c:pt>
                <c:pt idx="6">
                  <c:v>7.2</c:v>
                </c:pt>
                <c:pt idx="7">
                  <c:v>7.7</c:v>
                </c:pt>
                <c:pt idx="8">
                  <c:v>7.7</c:v>
                </c:pt>
                <c:pt idx="9">
                  <c:v>6.893582887700533</c:v>
                </c:pt>
                <c:pt idx="10">
                  <c:v>6.6521505376344088</c:v>
                </c:pt>
                <c:pt idx="11">
                  <c:v>6.7238636363636397</c:v>
                </c:pt>
                <c:pt idx="12">
                  <c:v>7</c:v>
                </c:pt>
                <c:pt idx="13">
                  <c:v>6.6720238095238145</c:v>
                </c:pt>
                <c:pt idx="14">
                  <c:v>6.855487804878047</c:v>
                </c:pt>
                <c:pt idx="15">
                  <c:v>6.9279069767441879</c:v>
                </c:pt>
                <c:pt idx="16">
                  <c:v>6.5655172413793119</c:v>
                </c:pt>
                <c:pt idx="17">
                  <c:v>7.0281437125748498</c:v>
                </c:pt>
                <c:pt idx="18">
                  <c:v>7.5</c:v>
                </c:pt>
                <c:pt idx="19">
                  <c:v>7</c:v>
                </c:pt>
                <c:pt idx="20">
                  <c:v>6.8761904761904793</c:v>
                </c:pt>
                <c:pt idx="21">
                  <c:v>6.8817647058823574</c:v>
                </c:pt>
                <c:pt idx="22">
                  <c:v>7.1</c:v>
                </c:pt>
                <c:pt idx="23">
                  <c:v>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20"/>
          <c:min val="0"/>
        </c:scaling>
        <c:delete val="0"/>
        <c:axPos val="l"/>
        <c:majorGridlines>
          <c:spPr>
            <a:ln w="12700"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2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2025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805367890538507"/>
          <c:y val="6.872017397041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'10.3'!$H$5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strRef>
              <c:f>'10.3'!$A$7:$A$18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'10.3'!$H$7:$H$18</c:f>
              <c:numCache>
                <c:formatCode>#,##0</c:formatCode>
                <c:ptCount val="12"/>
                <c:pt idx="0">
                  <c:v>62957</c:v>
                </c:pt>
                <c:pt idx="1">
                  <c:v>63371</c:v>
                </c:pt>
                <c:pt idx="2">
                  <c:v>64841</c:v>
                </c:pt>
                <c:pt idx="3">
                  <c:v>65049</c:v>
                </c:pt>
                <c:pt idx="4">
                  <c:v>65334</c:v>
                </c:pt>
                <c:pt idx="5">
                  <c:v>65675</c:v>
                </c:pt>
                <c:pt idx="6">
                  <c:v>66285</c:v>
                </c:pt>
                <c:pt idx="7">
                  <c:v>66829</c:v>
                </c:pt>
                <c:pt idx="8">
                  <c:v>67300</c:v>
                </c:pt>
                <c:pt idx="9">
                  <c:v>69283</c:v>
                </c:pt>
                <c:pt idx="10">
                  <c:v>68041</c:v>
                </c:pt>
                <c:pt idx="11">
                  <c:v>68671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'10.3'!$I$5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'10.3'!$A$7:$A$18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'10.3'!$I$7:$I$18</c:f>
              <c:numCache>
                <c:formatCode>#,##0</c:formatCode>
                <c:ptCount val="12"/>
                <c:pt idx="0">
                  <c:v>61505</c:v>
                </c:pt>
                <c:pt idx="1">
                  <c:v>62081</c:v>
                </c:pt>
                <c:pt idx="2">
                  <c:v>63551</c:v>
                </c:pt>
                <c:pt idx="3">
                  <c:v>63711</c:v>
                </c:pt>
                <c:pt idx="4">
                  <c:v>64280</c:v>
                </c:pt>
                <c:pt idx="5">
                  <c:v>64385</c:v>
                </c:pt>
                <c:pt idx="6">
                  <c:v>64995</c:v>
                </c:pt>
                <c:pt idx="7">
                  <c:v>65496</c:v>
                </c:pt>
                <c:pt idx="8">
                  <c:v>65722</c:v>
                </c:pt>
                <c:pt idx="9">
                  <c:v>66130</c:v>
                </c:pt>
                <c:pt idx="10">
                  <c:v>66671</c:v>
                </c:pt>
                <c:pt idx="11">
                  <c:v>67585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7243906336629674E-2"/>
          <c:y val="0.19433959293842698"/>
          <c:w val="0.34557480262975271"/>
          <c:h val="7.716860146020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1121171</xdr:colOff>
      <xdr:row>37</xdr:row>
      <xdr:rowOff>49017</xdr:rowOff>
    </xdr:from>
    <xdr:to>
      <xdr:col>10</xdr:col>
      <xdr:colOff>297656</xdr:colOff>
      <xdr:row>57</xdr:row>
      <xdr:rowOff>111516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158750</xdr:rowOff>
    </xdr:from>
    <xdr:to>
      <xdr:col>10</xdr:col>
      <xdr:colOff>367110</xdr:colOff>
      <xdr:row>36</xdr:row>
      <xdr:rowOff>127406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70"/>
  <sheetViews>
    <sheetView tabSelected="1" zoomScale="96" zoomScaleNormal="96" zoomScaleSheetLayoutView="160" workbookViewId="0">
      <selection activeCell="P18" sqref="P18"/>
    </sheetView>
  </sheetViews>
  <sheetFormatPr defaultColWidth="9.140625" defaultRowHeight="12"/>
  <cols>
    <col min="1" max="1" width="16.85546875" style="5" customWidth="1"/>
    <col min="2" max="12" width="11.28515625" style="5" customWidth="1"/>
    <col min="13" max="13" width="12.7109375" style="5" customWidth="1"/>
    <col min="14" max="14" width="4.140625" style="5" customWidth="1"/>
    <col min="15" max="35" width="11.28515625" style="5" customWidth="1"/>
    <col min="36" max="16384" width="9.140625" style="5"/>
  </cols>
  <sheetData>
    <row r="1" spans="1:56" ht="17.25" customHeight="1">
      <c r="A1" s="56" t="s">
        <v>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</row>
    <row r="2" spans="1:56" ht="24" customHeight="1">
      <c r="A2" s="55" t="s">
        <v>44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56" s="6" customFormat="1" ht="18.75" customHeight="1">
      <c r="A3" s="57" t="s">
        <v>1</v>
      </c>
      <c r="B3" s="53">
        <v>2024</v>
      </c>
      <c r="C3" s="54"/>
      <c r="D3" s="54"/>
      <c r="E3" s="54"/>
      <c r="F3" s="54"/>
      <c r="G3" s="54"/>
      <c r="H3" s="53">
        <v>2025</v>
      </c>
      <c r="I3" s="54"/>
      <c r="J3" s="54"/>
      <c r="K3" s="54"/>
      <c r="L3" s="54"/>
      <c r="M3" s="5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spans="1:56" s="6" customFormat="1" ht="72" customHeight="1">
      <c r="A4" s="58"/>
      <c r="B4" s="7" t="s">
        <v>2</v>
      </c>
      <c r="C4" s="8" t="s">
        <v>3</v>
      </c>
      <c r="D4" s="8" t="s">
        <v>0</v>
      </c>
      <c r="E4" s="8" t="s">
        <v>4</v>
      </c>
      <c r="F4" s="8" t="s">
        <v>5</v>
      </c>
      <c r="G4" s="8" t="s">
        <v>6</v>
      </c>
      <c r="H4" s="7" t="s">
        <v>2</v>
      </c>
      <c r="I4" s="8" t="s">
        <v>3</v>
      </c>
      <c r="J4" s="8" t="s">
        <v>0</v>
      </c>
      <c r="K4" s="8" t="s">
        <v>4</v>
      </c>
      <c r="L4" s="8" t="s">
        <v>5</v>
      </c>
      <c r="M4" s="8" t="s">
        <v>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K4" s="60"/>
      <c r="AL4" s="60"/>
      <c r="AM4" s="60"/>
      <c r="AN4" s="60"/>
      <c r="AO4" s="60"/>
      <c r="AP4" s="60"/>
    </row>
    <row r="5" spans="1:56" s="6" customFormat="1" ht="46.5" customHeight="1">
      <c r="A5" s="59"/>
      <c r="B5" s="37" t="s">
        <v>11</v>
      </c>
      <c r="C5" s="36" t="s">
        <v>40</v>
      </c>
      <c r="D5" s="36" t="s">
        <v>7</v>
      </c>
      <c r="E5" s="36" t="s">
        <v>8</v>
      </c>
      <c r="F5" s="36" t="s">
        <v>9</v>
      </c>
      <c r="G5" s="36" t="s">
        <v>10</v>
      </c>
      <c r="H5" s="37" t="s">
        <v>11</v>
      </c>
      <c r="I5" s="36" t="s">
        <v>40</v>
      </c>
      <c r="J5" s="36" t="s">
        <v>7</v>
      </c>
      <c r="K5" s="36" t="s">
        <v>8</v>
      </c>
      <c r="L5" s="36" t="s">
        <v>9</v>
      </c>
      <c r="M5" s="36" t="s">
        <v>10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spans="1:56" s="6" customFormat="1" ht="16.5" customHeight="1">
      <c r="A6" s="9" t="s">
        <v>12</v>
      </c>
      <c r="B6" s="41">
        <f>AVERAGE(B7:B18)</f>
        <v>63970.166666666664</v>
      </c>
      <c r="C6" s="42">
        <f>AVERAGE(C7:C18)</f>
        <v>61750.25</v>
      </c>
      <c r="D6" s="43">
        <f>AVERAGE(D7:D18)</f>
        <v>96.532328863829605</v>
      </c>
      <c r="E6" s="43">
        <f>AVERAGE(E7:E18)</f>
        <v>59.044458895204428</v>
      </c>
      <c r="F6" s="2">
        <f>SUM(F7:F18)</f>
        <v>13340875.296289206</v>
      </c>
      <c r="G6" s="43">
        <f>AVERAGE(G7:G18)</f>
        <v>7.3788388063520829</v>
      </c>
      <c r="H6" s="41">
        <f>AVERAGE(H7:H18)</f>
        <v>66136.333333333328</v>
      </c>
      <c r="I6" s="42">
        <f>AVERAGE(I7:I18)</f>
        <v>64676</v>
      </c>
      <c r="J6" s="43">
        <f>AVERAGE(J7:J18)</f>
        <v>97.800234815551406</v>
      </c>
      <c r="K6" s="43">
        <f>AVERAGE(K7:K18)</f>
        <v>58.514525301519022</v>
      </c>
      <c r="L6" s="2">
        <f>SUM(L7:L18)</f>
        <v>13773172.43068756</v>
      </c>
      <c r="M6" s="43">
        <f>AVERAGE(M7:M18)</f>
        <v>6.9672528939310867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56" s="6" customFormat="1" ht="16.5" customHeight="1">
      <c r="A7" s="11" t="s">
        <v>13</v>
      </c>
      <c r="B7" s="44">
        <v>62720</v>
      </c>
      <c r="C7" s="45">
        <v>61036</v>
      </c>
      <c r="D7" s="13">
        <f t="shared" ref="D7:D18" si="0">C7/B7*100</f>
        <v>97.315051020408163</v>
      </c>
      <c r="E7" s="46">
        <v>70.166349415449318</v>
      </c>
      <c r="F7" s="3">
        <v>1327628.723905623</v>
      </c>
      <c r="G7" s="49">
        <v>7.9</v>
      </c>
      <c r="H7" s="44">
        <v>62957</v>
      </c>
      <c r="I7" s="45">
        <v>61505</v>
      </c>
      <c r="J7" s="13">
        <f t="shared" ref="J7:J18" si="1">I7/H7*100</f>
        <v>97.693663929348602</v>
      </c>
      <c r="K7" s="46">
        <v>73.412051136706907</v>
      </c>
      <c r="L7" s="3">
        <v>1399714.543600579</v>
      </c>
      <c r="M7" s="49">
        <v>7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56" s="6" customFormat="1" ht="16.5" customHeight="1">
      <c r="A8" s="11" t="s">
        <v>14</v>
      </c>
      <c r="B8" s="44">
        <v>63092</v>
      </c>
      <c r="C8" s="45">
        <v>61311</v>
      </c>
      <c r="D8" s="13">
        <f t="shared" si="0"/>
        <v>97.17713814746719</v>
      </c>
      <c r="E8" s="46">
        <v>79.530321714173724</v>
      </c>
      <c r="F8" s="3">
        <v>1414064.2308391344</v>
      </c>
      <c r="G8" s="49">
        <v>7.8</v>
      </c>
      <c r="H8" s="44">
        <v>63371</v>
      </c>
      <c r="I8" s="45">
        <v>62081</v>
      </c>
      <c r="J8" s="13">
        <f t="shared" si="1"/>
        <v>97.964368559751307</v>
      </c>
      <c r="K8" s="46">
        <v>77.742836614321774</v>
      </c>
      <c r="L8" s="3">
        <v>1351378.851159039</v>
      </c>
      <c r="M8" s="49">
        <v>6.6720238095238145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56" s="6" customFormat="1" ht="16.5" customHeight="1">
      <c r="A9" s="11" t="s">
        <v>15</v>
      </c>
      <c r="B9" s="44">
        <v>63338</v>
      </c>
      <c r="C9" s="45">
        <v>61555</v>
      </c>
      <c r="D9" s="13">
        <f t="shared" si="0"/>
        <v>97.184944267264513</v>
      </c>
      <c r="E9" s="46">
        <v>69.447190036090163</v>
      </c>
      <c r="F9" s="3">
        <v>1325194.7526281744</v>
      </c>
      <c r="G9" s="49">
        <v>8.0474913417991303</v>
      </c>
      <c r="H9" s="44">
        <v>64841</v>
      </c>
      <c r="I9" s="45">
        <v>63551</v>
      </c>
      <c r="J9" s="13">
        <f t="shared" si="1"/>
        <v>98.01051803642757</v>
      </c>
      <c r="K9" s="46">
        <v>64.840619485382945</v>
      </c>
      <c r="L9" s="3">
        <v>1277412.7247638272</v>
      </c>
      <c r="M9" s="49">
        <v>6.855487804878047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56" s="6" customFormat="1" ht="16.5" customHeight="1">
      <c r="A10" s="11" t="s">
        <v>16</v>
      </c>
      <c r="B10" s="44">
        <v>63544</v>
      </c>
      <c r="C10" s="45">
        <v>61761</v>
      </c>
      <c r="D10" s="13">
        <f t="shared" si="0"/>
        <v>97.194070250535063</v>
      </c>
      <c r="E10" s="46">
        <v>62.384671439993134</v>
      </c>
      <c r="F10" s="3">
        <v>1155881.9078416247</v>
      </c>
      <c r="G10" s="49">
        <v>7.6</v>
      </c>
      <c r="H10" s="44">
        <v>65049</v>
      </c>
      <c r="I10" s="45">
        <v>63711</v>
      </c>
      <c r="J10" s="13">
        <f t="shared" si="1"/>
        <v>97.943089055942451</v>
      </c>
      <c r="K10" s="46">
        <v>59.785861203648182</v>
      </c>
      <c r="L10" s="3">
        <v>1142705.1009436888</v>
      </c>
      <c r="M10" s="49">
        <v>6.9279069767441879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56" s="6" customFormat="1" ht="16.5" customHeight="1">
      <c r="A11" s="11" t="s">
        <v>17</v>
      </c>
      <c r="B11" s="44">
        <v>63706</v>
      </c>
      <c r="C11" s="45">
        <v>61616</v>
      </c>
      <c r="D11" s="13">
        <f t="shared" si="0"/>
        <v>96.719304304147187</v>
      </c>
      <c r="E11" s="46">
        <v>44.688954104419601</v>
      </c>
      <c r="F11" s="3">
        <v>853601.92479035456</v>
      </c>
      <c r="G11" s="49">
        <v>7.3</v>
      </c>
      <c r="H11" s="44">
        <v>65334</v>
      </c>
      <c r="I11" s="45">
        <v>64280</v>
      </c>
      <c r="J11" s="13">
        <f t="shared" si="1"/>
        <v>98.38675115560045</v>
      </c>
      <c r="K11" s="46">
        <v>43.193033317739321</v>
      </c>
      <c r="L11" s="3">
        <v>860698.93631592789</v>
      </c>
      <c r="M11" s="49">
        <v>6.5655172413793119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56" s="6" customFormat="1" ht="16.5" customHeight="1">
      <c r="A12" s="11" t="s">
        <v>18</v>
      </c>
      <c r="B12" s="44">
        <v>63803</v>
      </c>
      <c r="C12" s="45">
        <v>61475</v>
      </c>
      <c r="D12" s="13">
        <f t="shared" si="0"/>
        <v>96.351268749118375</v>
      </c>
      <c r="E12" s="46">
        <v>39.823880091950336</v>
      </c>
      <c r="F12" s="3">
        <v>734451.90859579411</v>
      </c>
      <c r="G12" s="49">
        <v>7.2</v>
      </c>
      <c r="H12" s="44">
        <v>65675</v>
      </c>
      <c r="I12" s="45">
        <v>64385</v>
      </c>
      <c r="J12" s="13">
        <f t="shared" si="1"/>
        <v>98.035782261134372</v>
      </c>
      <c r="K12" s="46">
        <v>39.305414593329786</v>
      </c>
      <c r="L12" s="3">
        <v>759203.73557746143</v>
      </c>
      <c r="M12" s="49">
        <v>7.0281437125748498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56" s="6" customFormat="1" ht="16.5" customHeight="1">
      <c r="A13" s="11" t="s">
        <v>19</v>
      </c>
      <c r="B13" s="44">
        <v>63945</v>
      </c>
      <c r="C13" s="45">
        <v>61075</v>
      </c>
      <c r="D13" s="13">
        <f t="shared" si="0"/>
        <v>95.511767925561031</v>
      </c>
      <c r="E13" s="46">
        <v>56.650654782764377</v>
      </c>
      <c r="F13" s="3">
        <v>1072581.0096657737</v>
      </c>
      <c r="G13" s="49">
        <v>7.7</v>
      </c>
      <c r="H13" s="44">
        <v>66285</v>
      </c>
      <c r="I13" s="45">
        <v>64995</v>
      </c>
      <c r="J13" s="13">
        <f t="shared" si="1"/>
        <v>98.053858338990722</v>
      </c>
      <c r="K13" s="46">
        <v>57.703106986752374</v>
      </c>
      <c r="L13" s="3">
        <v>1162628.1659672309</v>
      </c>
      <c r="M13" s="49">
        <v>7.5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56" s="6" customFormat="1" ht="16.5" customHeight="1">
      <c r="A14" s="11" t="s">
        <v>20</v>
      </c>
      <c r="B14" s="44">
        <v>64120</v>
      </c>
      <c r="C14" s="45">
        <v>61104</v>
      </c>
      <c r="D14" s="13">
        <f t="shared" si="0"/>
        <v>95.296319401122901</v>
      </c>
      <c r="E14" s="46">
        <v>63.470721789892551</v>
      </c>
      <c r="F14" s="3">
        <v>1202277.6451173744</v>
      </c>
      <c r="G14" s="49">
        <v>7.7</v>
      </c>
      <c r="H14" s="44">
        <v>66829</v>
      </c>
      <c r="I14" s="45">
        <v>65496</v>
      </c>
      <c r="J14" s="13">
        <f t="shared" si="1"/>
        <v>98.005356955812601</v>
      </c>
      <c r="K14" s="46">
        <v>61.080091876366083</v>
      </c>
      <c r="L14" s="3">
        <v>1240155.5262356866</v>
      </c>
      <c r="M14" s="49">
        <v>7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56" s="6" customFormat="1" ht="16.5" customHeight="1">
      <c r="A15" s="11" t="s">
        <v>21</v>
      </c>
      <c r="B15" s="44">
        <v>64344</v>
      </c>
      <c r="C15" s="45">
        <v>61274</v>
      </c>
      <c r="D15" s="13">
        <f t="shared" si="0"/>
        <v>95.228770359318659</v>
      </c>
      <c r="E15" s="46">
        <v>44.981360935332113</v>
      </c>
      <c r="F15" s="3">
        <v>826856.37298546184</v>
      </c>
      <c r="G15" s="49">
        <v>6.893582887700533</v>
      </c>
      <c r="H15" s="44">
        <v>67300</v>
      </c>
      <c r="I15" s="45">
        <v>65722</v>
      </c>
      <c r="J15" s="13">
        <f t="shared" si="1"/>
        <v>97.655274888558694</v>
      </c>
      <c r="K15" s="46">
        <v>46.691846843267307</v>
      </c>
      <c r="L15" s="3">
        <v>920604.46746996418</v>
      </c>
      <c r="M15" s="49">
        <v>6.8761904761904793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BB15" s="5"/>
      <c r="BC15" s="17" t="s">
        <v>11</v>
      </c>
      <c r="BD15" s="17" t="s">
        <v>25</v>
      </c>
    </row>
    <row r="16" spans="1:56" s="6" customFormat="1" ht="16.5" customHeight="1">
      <c r="A16" s="11" t="s">
        <v>22</v>
      </c>
      <c r="B16" s="44">
        <v>64682</v>
      </c>
      <c r="C16" s="45">
        <v>62540</v>
      </c>
      <c r="D16" s="13">
        <f t="shared" si="0"/>
        <v>96.688414087381346</v>
      </c>
      <c r="E16" s="46">
        <v>58.339252852128951</v>
      </c>
      <c r="F16" s="3">
        <v>1131046.4307453649</v>
      </c>
      <c r="G16" s="49">
        <v>6.6521505376344088</v>
      </c>
      <c r="H16" s="44">
        <v>69283</v>
      </c>
      <c r="I16" s="45">
        <v>66130</v>
      </c>
      <c r="J16" s="13">
        <f t="shared" si="1"/>
        <v>95.449100067837705</v>
      </c>
      <c r="K16" s="46">
        <v>57.909481990343266</v>
      </c>
      <c r="L16" s="3">
        <v>1187161.7536466343</v>
      </c>
      <c r="M16" s="49">
        <v>6.8817647058823574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BB16" s="18" t="s">
        <v>26</v>
      </c>
      <c r="BC16" s="12" t="e">
        <f>#REF!</f>
        <v>#REF!</v>
      </c>
      <c r="BD16" s="19" t="e">
        <f>#REF!</f>
        <v>#REF!</v>
      </c>
    </row>
    <row r="17" spans="1:56" s="6" customFormat="1" ht="16.5" customHeight="1">
      <c r="A17" s="11" t="s">
        <v>23</v>
      </c>
      <c r="B17" s="44">
        <v>65062</v>
      </c>
      <c r="C17" s="45">
        <v>62920</v>
      </c>
      <c r="D17" s="13">
        <f t="shared" si="0"/>
        <v>96.7077556791983</v>
      </c>
      <c r="E17" s="46">
        <v>52.969420317885529</v>
      </c>
      <c r="F17" s="3">
        <v>999850.77792040724</v>
      </c>
      <c r="G17" s="49">
        <v>6.7238636363636397</v>
      </c>
      <c r="H17" s="44">
        <v>68041</v>
      </c>
      <c r="I17" s="45">
        <v>66671</v>
      </c>
      <c r="J17" s="13">
        <f t="shared" si="1"/>
        <v>97.98650813480107</v>
      </c>
      <c r="K17" s="46">
        <v>56.142009828069547</v>
      </c>
      <c r="L17" s="3">
        <v>1122913.1811741674</v>
      </c>
      <c r="M17" s="49">
        <v>7.1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BB17" s="18" t="s">
        <v>27</v>
      </c>
      <c r="BC17" s="12" t="e">
        <f>#REF!</f>
        <v>#REF!</v>
      </c>
      <c r="BD17" s="19" t="e">
        <f>#REF!</f>
        <v>#REF!</v>
      </c>
    </row>
    <row r="18" spans="1:56" s="6" customFormat="1" ht="16.5" customHeight="1">
      <c r="A18" s="14" t="s">
        <v>24</v>
      </c>
      <c r="B18" s="47">
        <v>65286</v>
      </c>
      <c r="C18" s="48">
        <v>63336</v>
      </c>
      <c r="D18" s="15">
        <f t="shared" si="0"/>
        <v>97.013142174432502</v>
      </c>
      <c r="E18" s="40">
        <v>66.080729262373211</v>
      </c>
      <c r="F18" s="4">
        <v>1297439.6112541175</v>
      </c>
      <c r="G18" s="50">
        <v>7.0289772727272712</v>
      </c>
      <c r="H18" s="47">
        <v>68671</v>
      </c>
      <c r="I18" s="48">
        <v>67585</v>
      </c>
      <c r="J18" s="15">
        <f t="shared" si="1"/>
        <v>98.418546402411494</v>
      </c>
      <c r="K18" s="40">
        <v>64.367949742300752</v>
      </c>
      <c r="L18" s="4">
        <v>1348595.443833353</v>
      </c>
      <c r="M18" s="50">
        <v>7.2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BB18" s="18" t="s">
        <v>28</v>
      </c>
      <c r="BC18" s="12" t="e">
        <f>#REF!</f>
        <v>#REF!</v>
      </c>
      <c r="BD18" s="19" t="e">
        <f>#REF!</f>
        <v>#REF!</v>
      </c>
    </row>
    <row r="19" spans="1:56" s="31" customFormat="1" ht="13.5" customHeight="1">
      <c r="A19" s="38" t="s">
        <v>38</v>
      </c>
      <c r="B19" s="32"/>
      <c r="C19" s="32"/>
      <c r="D19" s="32"/>
      <c r="E19" s="32"/>
      <c r="F19" s="32"/>
      <c r="G19" s="28"/>
      <c r="H19" s="32"/>
      <c r="I19" s="32"/>
      <c r="J19" s="32"/>
      <c r="K19" s="32"/>
      <c r="L19" s="32"/>
      <c r="M19" s="52" t="s">
        <v>42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BB19" s="33" t="s">
        <v>29</v>
      </c>
      <c r="BC19" s="12" t="e">
        <f>#REF!</f>
        <v>#REF!</v>
      </c>
      <c r="BD19" s="19" t="e">
        <f>#REF!</f>
        <v>#REF!</v>
      </c>
    </row>
    <row r="20" spans="1:56" ht="13.5" customHeight="1">
      <c r="A20" s="39" t="s">
        <v>37</v>
      </c>
      <c r="BB20" s="18" t="s">
        <v>17</v>
      </c>
      <c r="BC20" s="12" t="e">
        <f>#REF!</f>
        <v>#REF!</v>
      </c>
      <c r="BD20" s="19" t="e">
        <f>#REF!</f>
        <v>#REF!</v>
      </c>
    </row>
    <row r="21" spans="1:56" ht="13.5" customHeight="1">
      <c r="A21" s="39" t="s">
        <v>39</v>
      </c>
      <c r="BB21" s="18" t="s">
        <v>30</v>
      </c>
      <c r="BC21" s="12" t="e">
        <f>#REF!</f>
        <v>#REF!</v>
      </c>
      <c r="BD21" s="19" t="e">
        <f>#REF!</f>
        <v>#REF!</v>
      </c>
    </row>
    <row r="22" spans="1:56" ht="18.75" customHeight="1">
      <c r="A22" s="1" t="s">
        <v>41</v>
      </c>
      <c r="BB22" s="18" t="s">
        <v>31</v>
      </c>
      <c r="BC22" s="12" t="e">
        <f>#REF!</f>
        <v>#REF!</v>
      </c>
      <c r="BD22" s="19" t="e">
        <f>#REF!</f>
        <v>#REF!</v>
      </c>
    </row>
    <row r="23" spans="1:56" ht="18.75" customHeight="1">
      <c r="A23" s="18"/>
      <c r="L23" s="3"/>
      <c r="BB23" s="18" t="s">
        <v>32</v>
      </c>
      <c r="BC23" s="12" t="e">
        <f>#REF!</f>
        <v>#REF!</v>
      </c>
      <c r="BD23" s="19" t="e">
        <f>#REF!</f>
        <v>#REF!</v>
      </c>
    </row>
    <row r="24" spans="1:56" ht="18.75" customHeight="1">
      <c r="A24" s="18"/>
      <c r="L24" s="3"/>
      <c r="BB24" s="18" t="s">
        <v>33</v>
      </c>
      <c r="BC24" s="12" t="e">
        <f>#REF!</f>
        <v>#REF!</v>
      </c>
      <c r="BD24" s="19" t="e">
        <f>#REF!</f>
        <v>#REF!</v>
      </c>
    </row>
    <row r="25" spans="1:56" ht="18.75" customHeight="1">
      <c r="A25" s="18"/>
      <c r="L25" s="3"/>
      <c r="AO25" s="20">
        <v>41640</v>
      </c>
      <c r="AP25" s="21" t="e">
        <f>#REF!</f>
        <v>#REF!</v>
      </c>
      <c r="BB25" s="18" t="s">
        <v>34</v>
      </c>
      <c r="BC25" s="12" t="e">
        <f>#REF!</f>
        <v>#REF!</v>
      </c>
      <c r="BD25" s="19" t="e">
        <f>#REF!</f>
        <v>#REF!</v>
      </c>
    </row>
    <row r="26" spans="1:56" ht="18.75" customHeight="1">
      <c r="A26" s="18"/>
      <c r="L26" s="3"/>
      <c r="AO26" s="22" t="s">
        <v>14</v>
      </c>
      <c r="AP26" s="21" t="e">
        <f>#REF!</f>
        <v>#REF!</v>
      </c>
      <c r="BB26" s="18" t="s">
        <v>35</v>
      </c>
      <c r="BC26" s="12" t="e">
        <f>#REF!</f>
        <v>#REF!</v>
      </c>
      <c r="BD26" s="19" t="e">
        <f>#REF!</f>
        <v>#REF!</v>
      </c>
    </row>
    <row r="27" spans="1:56" ht="18.75" customHeight="1">
      <c r="A27" s="18"/>
      <c r="L27" s="3"/>
      <c r="AO27" s="22" t="s">
        <v>15</v>
      </c>
      <c r="AP27" s="21" t="e">
        <f>#REF!</f>
        <v>#REF!</v>
      </c>
      <c r="BB27" s="18" t="s">
        <v>36</v>
      </c>
      <c r="BC27" s="12" t="e">
        <f>#REF!</f>
        <v>#REF!</v>
      </c>
      <c r="BD27" s="19" t="e">
        <f>#REF!</f>
        <v>#REF!</v>
      </c>
    </row>
    <row r="28" spans="1:56" ht="18.75" customHeight="1">
      <c r="A28" s="18"/>
      <c r="L28" s="3"/>
      <c r="AO28" s="22" t="s">
        <v>16</v>
      </c>
      <c r="AP28" s="21" t="e">
        <f>#REF!</f>
        <v>#REF!</v>
      </c>
      <c r="BB28" s="6"/>
      <c r="BC28" s="6"/>
      <c r="BD28" s="6"/>
    </row>
    <row r="29" spans="1:56" ht="18.75" customHeight="1">
      <c r="A29" s="18"/>
      <c r="L29" s="3"/>
      <c r="AO29" s="22" t="s">
        <v>17</v>
      </c>
      <c r="AP29" s="21" t="e">
        <f>#REF!</f>
        <v>#REF!</v>
      </c>
    </row>
    <row r="30" spans="1:56" ht="18.75" customHeight="1">
      <c r="A30" s="18"/>
      <c r="L30" s="3"/>
      <c r="AO30" s="22" t="s">
        <v>18</v>
      </c>
      <c r="AP30" s="21" t="e">
        <f>#REF!</f>
        <v>#REF!</v>
      </c>
    </row>
    <row r="31" spans="1:56" ht="18.75" customHeight="1">
      <c r="A31" s="18"/>
      <c r="L31" s="3"/>
      <c r="AO31" s="22" t="s">
        <v>19</v>
      </c>
      <c r="AP31" s="21" t="e">
        <f>#REF!</f>
        <v>#REF!</v>
      </c>
    </row>
    <row r="32" spans="1:56" ht="9.75" customHeight="1">
      <c r="A32" s="18"/>
      <c r="L32" s="3"/>
      <c r="AO32" s="22" t="s">
        <v>20</v>
      </c>
      <c r="AP32" s="21" t="e">
        <f>#REF!</f>
        <v>#REF!</v>
      </c>
    </row>
    <row r="33" spans="1:42" ht="18.75" customHeight="1">
      <c r="A33" s="18"/>
      <c r="L33" s="3"/>
      <c r="AO33" s="22" t="s">
        <v>21</v>
      </c>
      <c r="AP33" s="21" t="e">
        <f>#REF!</f>
        <v>#REF!</v>
      </c>
    </row>
    <row r="34" spans="1:42" ht="18.75" customHeight="1">
      <c r="A34" s="18"/>
      <c r="L34" s="3"/>
      <c r="AO34" s="22" t="s">
        <v>22</v>
      </c>
      <c r="AP34" s="21" t="e">
        <f>#REF!</f>
        <v>#REF!</v>
      </c>
    </row>
    <row r="35" spans="1:42" ht="12.75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O35" s="22" t="s">
        <v>23</v>
      </c>
      <c r="AP35" s="21" t="e">
        <f>#REF!</f>
        <v>#REF!</v>
      </c>
    </row>
    <row r="36" spans="1:42">
      <c r="AO36" s="24" t="s">
        <v>24</v>
      </c>
      <c r="AP36" s="21" t="e">
        <f>#REF!</f>
        <v>#REF!</v>
      </c>
    </row>
    <row r="37" spans="1:42">
      <c r="AO37" s="20">
        <v>42005</v>
      </c>
      <c r="AP37" s="21">
        <v>6.4986144447992746</v>
      </c>
    </row>
    <row r="38" spans="1:42">
      <c r="AO38" s="22" t="s">
        <v>14</v>
      </c>
      <c r="AP38" s="21">
        <v>5.6647325430819802</v>
      </c>
    </row>
    <row r="39" spans="1:42">
      <c r="AO39" s="22" t="s">
        <v>15</v>
      </c>
      <c r="AP39" s="21">
        <v>5.8371209762779399</v>
      </c>
    </row>
    <row r="40" spans="1:42">
      <c r="AO40" s="22" t="s">
        <v>16</v>
      </c>
      <c r="AP40" s="21">
        <v>5.8961776960544592</v>
      </c>
    </row>
    <row r="41" spans="1:42">
      <c r="AO41" s="22" t="s">
        <v>17</v>
      </c>
      <c r="AP41" s="21">
        <v>5.8370252335174913</v>
      </c>
    </row>
    <row r="42" spans="1:42">
      <c r="AO42" s="22" t="s">
        <v>18</v>
      </c>
      <c r="AP42" s="21">
        <v>5.3335091895075211</v>
      </c>
    </row>
    <row r="43" spans="1:42">
      <c r="AO43" s="22" t="s">
        <v>19</v>
      </c>
      <c r="AP43" s="21">
        <v>5.2416292086454837</v>
      </c>
    </row>
    <row r="44" spans="1:42">
      <c r="AO44" s="22" t="s">
        <v>20</v>
      </c>
      <c r="AP44" s="21">
        <v>5.5166509296920392</v>
      </c>
    </row>
    <row r="45" spans="1:42">
      <c r="AO45" s="22" t="s">
        <v>21</v>
      </c>
      <c r="AP45" s="21">
        <v>5.4870643171990663</v>
      </c>
    </row>
    <row r="46" spans="1:42">
      <c r="AO46" s="22" t="s">
        <v>22</v>
      </c>
      <c r="AP46" s="21">
        <v>5.783171244952511</v>
      </c>
    </row>
    <row r="47" spans="1:42">
      <c r="AO47" s="22" t="s">
        <v>23</v>
      </c>
      <c r="AP47" s="21">
        <v>5.9014498215433724</v>
      </c>
    </row>
    <row r="48" spans="1:42">
      <c r="AO48" s="24" t="s">
        <v>24</v>
      </c>
      <c r="AP48" s="21">
        <v>4.9508699844870234</v>
      </c>
    </row>
    <row r="49" spans="41:42">
      <c r="AO49" s="20">
        <v>42370</v>
      </c>
      <c r="AP49" s="21" t="e">
        <f>#REF!</f>
        <v>#REF!</v>
      </c>
    </row>
    <row r="50" spans="41:42">
      <c r="AO50" s="18" t="s">
        <v>27</v>
      </c>
      <c r="AP50" s="21" t="e">
        <f>#REF!</f>
        <v>#REF!</v>
      </c>
    </row>
    <row r="51" spans="41:42">
      <c r="AO51" s="18" t="s">
        <v>28</v>
      </c>
      <c r="AP51" s="21" t="e">
        <f>#REF!</f>
        <v>#REF!</v>
      </c>
    </row>
    <row r="52" spans="41:42">
      <c r="AO52" s="18" t="s">
        <v>29</v>
      </c>
      <c r="AP52" s="21" t="e">
        <f>#REF!</f>
        <v>#REF!</v>
      </c>
    </row>
    <row r="53" spans="41:42">
      <c r="AO53" s="18" t="s">
        <v>17</v>
      </c>
      <c r="AP53" s="21" t="e">
        <f>#REF!</f>
        <v>#REF!</v>
      </c>
    </row>
    <row r="54" spans="41:42">
      <c r="AO54" s="18" t="s">
        <v>30</v>
      </c>
      <c r="AP54" s="21" t="e">
        <f>#REF!</f>
        <v>#REF!</v>
      </c>
    </row>
    <row r="55" spans="41:42">
      <c r="AO55" s="18" t="s">
        <v>31</v>
      </c>
      <c r="AP55" s="21" t="e">
        <f>#REF!</f>
        <v>#REF!</v>
      </c>
    </row>
    <row r="56" spans="41:42">
      <c r="AO56" s="18" t="s">
        <v>32</v>
      </c>
      <c r="AP56" s="21" t="e">
        <f>#REF!</f>
        <v>#REF!</v>
      </c>
    </row>
    <row r="57" spans="41:42">
      <c r="AO57" s="18" t="s">
        <v>33</v>
      </c>
      <c r="AP57" s="21" t="e">
        <f>#REF!</f>
        <v>#REF!</v>
      </c>
    </row>
    <row r="58" spans="41:42">
      <c r="AO58" s="18" t="s">
        <v>34</v>
      </c>
      <c r="AP58" s="21" t="e">
        <f>#REF!</f>
        <v>#REF!</v>
      </c>
    </row>
    <row r="59" spans="41:42">
      <c r="AO59" s="18" t="s">
        <v>35</v>
      </c>
      <c r="AP59" s="21" t="e">
        <f>#REF!</f>
        <v>#REF!</v>
      </c>
    </row>
    <row r="60" spans="41:42">
      <c r="AO60" s="18" t="s">
        <v>36</v>
      </c>
      <c r="AP60" s="21" t="e">
        <f>#REF!</f>
        <v>#REF!</v>
      </c>
    </row>
    <row r="61" spans="41:42">
      <c r="AO61" s="20">
        <v>42736</v>
      </c>
      <c r="AP61" s="25" t="e">
        <f>#REF!</f>
        <v>#REF!</v>
      </c>
    </row>
    <row r="62" spans="41:42">
      <c r="AO62" s="18" t="s">
        <v>27</v>
      </c>
      <c r="AP62" s="25" t="e">
        <f>#REF!</f>
        <v>#REF!</v>
      </c>
    </row>
    <row r="63" spans="41:42">
      <c r="AO63" s="18" t="s">
        <v>28</v>
      </c>
      <c r="AP63" s="25" t="e">
        <f>#REF!</f>
        <v>#REF!</v>
      </c>
    </row>
    <row r="64" spans="41:42">
      <c r="AO64" s="18" t="s">
        <v>29</v>
      </c>
      <c r="AP64" s="25" t="e">
        <f>#REF!</f>
        <v>#REF!</v>
      </c>
    </row>
    <row r="65" spans="41:42">
      <c r="AO65" s="18" t="s">
        <v>17</v>
      </c>
      <c r="AP65" s="25" t="e">
        <f>#REF!</f>
        <v>#REF!</v>
      </c>
    </row>
    <row r="66" spans="41:42">
      <c r="AO66" s="18" t="s">
        <v>30</v>
      </c>
      <c r="AP66" s="25" t="e">
        <f>#REF!</f>
        <v>#REF!</v>
      </c>
    </row>
    <row r="67" spans="41:42">
      <c r="AO67" s="18" t="s">
        <v>31</v>
      </c>
      <c r="AP67" s="25" t="e">
        <f>#REF!</f>
        <v>#REF!</v>
      </c>
    </row>
    <row r="68" spans="41:42">
      <c r="AO68" s="18" t="s">
        <v>32</v>
      </c>
      <c r="AP68" s="25" t="e">
        <f>#REF!</f>
        <v>#REF!</v>
      </c>
    </row>
    <row r="69" spans="41:42">
      <c r="AO69" s="18" t="s">
        <v>33</v>
      </c>
      <c r="AP69" s="25" t="e">
        <f>#REF!</f>
        <v>#REF!</v>
      </c>
    </row>
    <row r="70" spans="41:42">
      <c r="AO70" s="18" t="s">
        <v>34</v>
      </c>
      <c r="AP70" s="25" t="e">
        <f>#REF!</f>
        <v>#REF!</v>
      </c>
    </row>
    <row r="71" spans="41:42">
      <c r="AO71" s="18" t="s">
        <v>35</v>
      </c>
      <c r="AP71" s="25" t="e">
        <f>#REF!</f>
        <v>#REF!</v>
      </c>
    </row>
    <row r="72" spans="41:42">
      <c r="AO72" s="18" t="s">
        <v>36</v>
      </c>
      <c r="AP72" s="26" t="e">
        <f>#REF!</f>
        <v>#REF!</v>
      </c>
    </row>
    <row r="73" spans="41:42">
      <c r="AO73" s="20">
        <v>43101</v>
      </c>
      <c r="AP73" s="25" t="e">
        <f>#REF!</f>
        <v>#REF!</v>
      </c>
    </row>
    <row r="74" spans="41:42">
      <c r="AO74" s="18" t="s">
        <v>27</v>
      </c>
      <c r="AP74" s="25" t="e">
        <f>#REF!</f>
        <v>#REF!</v>
      </c>
    </row>
    <row r="75" spans="41:42">
      <c r="AO75" s="18" t="s">
        <v>28</v>
      </c>
      <c r="AP75" s="25" t="e">
        <f>#REF!</f>
        <v>#REF!</v>
      </c>
    </row>
    <row r="76" spans="41:42">
      <c r="AO76" s="18" t="s">
        <v>29</v>
      </c>
      <c r="AP76" s="25" t="e">
        <f>#REF!</f>
        <v>#REF!</v>
      </c>
    </row>
    <row r="77" spans="41:42">
      <c r="AO77" s="18" t="s">
        <v>17</v>
      </c>
      <c r="AP77" s="25" t="e">
        <f>#REF!</f>
        <v>#REF!</v>
      </c>
    </row>
    <row r="78" spans="41:42">
      <c r="AO78" s="18" t="s">
        <v>30</v>
      </c>
      <c r="AP78" s="25" t="e">
        <f>#REF!</f>
        <v>#REF!</v>
      </c>
    </row>
    <row r="79" spans="41:42">
      <c r="AO79" s="18" t="s">
        <v>31</v>
      </c>
      <c r="AP79" s="25" t="e">
        <f>#REF!</f>
        <v>#REF!</v>
      </c>
    </row>
    <row r="80" spans="41:42">
      <c r="AO80" s="18" t="s">
        <v>32</v>
      </c>
      <c r="AP80" s="25" t="e">
        <f>#REF!</f>
        <v>#REF!</v>
      </c>
    </row>
    <row r="81" spans="41:42">
      <c r="AO81" s="18" t="s">
        <v>33</v>
      </c>
      <c r="AP81" s="25" t="e">
        <f>#REF!</f>
        <v>#REF!</v>
      </c>
    </row>
    <row r="82" spans="41:42">
      <c r="AO82" s="18" t="s">
        <v>34</v>
      </c>
      <c r="AP82" s="25" t="e">
        <f>#REF!</f>
        <v>#REF!</v>
      </c>
    </row>
    <row r="83" spans="41:42">
      <c r="AO83" s="18" t="s">
        <v>35</v>
      </c>
      <c r="AP83" s="25" t="e">
        <f>#REF!</f>
        <v>#REF!</v>
      </c>
    </row>
    <row r="84" spans="41:42">
      <c r="AO84" s="18" t="s">
        <v>36</v>
      </c>
      <c r="AP84" s="25" t="e">
        <f>#REF!</f>
        <v>#REF!</v>
      </c>
    </row>
    <row r="85" spans="41:42">
      <c r="AO85" s="20">
        <v>43466</v>
      </c>
      <c r="AP85" s="25" t="e">
        <f>#REF!</f>
        <v>#REF!</v>
      </c>
    </row>
    <row r="86" spans="41:42">
      <c r="AO86" s="18" t="s">
        <v>27</v>
      </c>
      <c r="AP86" s="25" t="e">
        <f>#REF!</f>
        <v>#REF!</v>
      </c>
    </row>
    <row r="87" spans="41:42">
      <c r="AO87" s="18" t="s">
        <v>28</v>
      </c>
      <c r="AP87" s="25" t="e">
        <f>#REF!</f>
        <v>#REF!</v>
      </c>
    </row>
    <row r="88" spans="41:42">
      <c r="AO88" s="18" t="s">
        <v>29</v>
      </c>
      <c r="AP88" s="25" t="e">
        <f>#REF!</f>
        <v>#REF!</v>
      </c>
    </row>
    <row r="89" spans="41:42">
      <c r="AO89" s="18" t="s">
        <v>17</v>
      </c>
      <c r="AP89" s="25" t="e">
        <f>#REF!</f>
        <v>#REF!</v>
      </c>
    </row>
    <row r="90" spans="41:42">
      <c r="AO90" s="18" t="s">
        <v>30</v>
      </c>
      <c r="AP90" s="25" t="e">
        <f>#REF!</f>
        <v>#REF!</v>
      </c>
    </row>
    <row r="91" spans="41:42">
      <c r="AO91" s="18" t="s">
        <v>31</v>
      </c>
      <c r="AP91" s="25" t="e">
        <f>#REF!</f>
        <v>#REF!</v>
      </c>
    </row>
    <row r="92" spans="41:42">
      <c r="AO92" s="18" t="s">
        <v>32</v>
      </c>
      <c r="AP92" s="25" t="e">
        <f>#REF!</f>
        <v>#REF!</v>
      </c>
    </row>
    <row r="93" spans="41:42">
      <c r="AO93" s="18" t="s">
        <v>33</v>
      </c>
      <c r="AP93" s="25" t="e">
        <f>#REF!</f>
        <v>#REF!</v>
      </c>
    </row>
    <row r="94" spans="41:42">
      <c r="AO94" s="18" t="s">
        <v>34</v>
      </c>
      <c r="AP94" s="25" t="e">
        <f>#REF!</f>
        <v>#REF!</v>
      </c>
    </row>
    <row r="95" spans="41:42">
      <c r="AO95" s="18" t="s">
        <v>35</v>
      </c>
      <c r="AP95" s="25" t="e">
        <f>#REF!</f>
        <v>#REF!</v>
      </c>
    </row>
    <row r="96" spans="41:42">
      <c r="AO96" s="18" t="s">
        <v>36</v>
      </c>
      <c r="AP96" s="25" t="e">
        <f>#REF!</f>
        <v>#REF!</v>
      </c>
    </row>
    <row r="97" spans="41:42">
      <c r="AO97" s="20">
        <v>43831</v>
      </c>
      <c r="AP97" s="25" t="e">
        <f>#REF!</f>
        <v>#REF!</v>
      </c>
    </row>
    <row r="98" spans="41:42">
      <c r="AO98" s="18" t="s">
        <v>27</v>
      </c>
      <c r="AP98" s="25" t="e">
        <f>#REF!</f>
        <v>#REF!</v>
      </c>
    </row>
    <row r="99" spans="41:42">
      <c r="AO99" s="18" t="s">
        <v>28</v>
      </c>
      <c r="AP99" s="25" t="e">
        <f>#REF!</f>
        <v>#REF!</v>
      </c>
    </row>
    <row r="100" spans="41:42">
      <c r="AO100" s="18" t="s">
        <v>29</v>
      </c>
      <c r="AP100" s="25" t="e">
        <f>#REF!</f>
        <v>#REF!</v>
      </c>
    </row>
    <row r="101" spans="41:42">
      <c r="AO101" s="18" t="s">
        <v>17</v>
      </c>
      <c r="AP101" s="25" t="e">
        <f>#REF!</f>
        <v>#REF!</v>
      </c>
    </row>
    <row r="102" spans="41:42">
      <c r="AO102" s="18" t="s">
        <v>30</v>
      </c>
      <c r="AP102" s="25" t="e">
        <f>#REF!</f>
        <v>#REF!</v>
      </c>
    </row>
    <row r="103" spans="41:42">
      <c r="AO103" s="18" t="s">
        <v>31</v>
      </c>
      <c r="AP103" s="25" t="e">
        <f>#REF!</f>
        <v>#REF!</v>
      </c>
    </row>
    <row r="104" spans="41:42">
      <c r="AO104" s="18" t="s">
        <v>32</v>
      </c>
      <c r="AP104" s="25" t="e">
        <f>#REF!</f>
        <v>#REF!</v>
      </c>
    </row>
    <row r="105" spans="41:42">
      <c r="AO105" s="18" t="s">
        <v>33</v>
      </c>
      <c r="AP105" s="25" t="e">
        <f>#REF!</f>
        <v>#REF!</v>
      </c>
    </row>
    <row r="106" spans="41:42">
      <c r="AO106" s="18" t="s">
        <v>34</v>
      </c>
      <c r="AP106" s="25" t="e">
        <f>#REF!</f>
        <v>#REF!</v>
      </c>
    </row>
    <row r="107" spans="41:42">
      <c r="AO107" s="18" t="s">
        <v>35</v>
      </c>
      <c r="AP107" s="25" t="e">
        <f>#REF!</f>
        <v>#REF!</v>
      </c>
    </row>
    <row r="108" spans="41:42">
      <c r="AO108" s="18" t="s">
        <v>36</v>
      </c>
      <c r="AP108" s="25" t="e">
        <f>#REF!</f>
        <v>#REF!</v>
      </c>
    </row>
    <row r="109" spans="41:42">
      <c r="AO109" s="20">
        <v>44197</v>
      </c>
      <c r="AP109" s="27" t="e">
        <f>#REF!</f>
        <v>#REF!</v>
      </c>
    </row>
    <row r="110" spans="41:42">
      <c r="AO110" s="18" t="s">
        <v>27</v>
      </c>
      <c r="AP110" s="27" t="e">
        <f>#REF!</f>
        <v>#REF!</v>
      </c>
    </row>
    <row r="111" spans="41:42">
      <c r="AO111" s="18" t="s">
        <v>28</v>
      </c>
      <c r="AP111" s="27" t="e">
        <f>#REF!</f>
        <v>#REF!</v>
      </c>
    </row>
    <row r="112" spans="41:42">
      <c r="AO112" s="18" t="s">
        <v>29</v>
      </c>
      <c r="AP112" s="27" t="e">
        <f>#REF!</f>
        <v>#REF!</v>
      </c>
    </row>
    <row r="113" spans="41:42">
      <c r="AO113" s="18" t="s">
        <v>17</v>
      </c>
      <c r="AP113" s="27" t="e">
        <f>#REF!</f>
        <v>#REF!</v>
      </c>
    </row>
    <row r="114" spans="41:42">
      <c r="AO114" s="18" t="s">
        <v>30</v>
      </c>
      <c r="AP114" s="27" t="e">
        <f>#REF!</f>
        <v>#REF!</v>
      </c>
    </row>
    <row r="115" spans="41:42">
      <c r="AO115" s="18" t="s">
        <v>31</v>
      </c>
      <c r="AP115" s="27" t="e">
        <f>#REF!</f>
        <v>#REF!</v>
      </c>
    </row>
    <row r="116" spans="41:42">
      <c r="AO116" s="18" t="s">
        <v>32</v>
      </c>
      <c r="AP116" s="27" t="e">
        <f>#REF!</f>
        <v>#REF!</v>
      </c>
    </row>
    <row r="117" spans="41:42">
      <c r="AO117" s="18" t="s">
        <v>33</v>
      </c>
      <c r="AP117" s="27" t="e">
        <f>#REF!</f>
        <v>#REF!</v>
      </c>
    </row>
    <row r="118" spans="41:42">
      <c r="AO118" s="18" t="s">
        <v>34</v>
      </c>
      <c r="AP118" s="27" t="e">
        <f>#REF!</f>
        <v>#REF!</v>
      </c>
    </row>
    <row r="119" spans="41:42">
      <c r="AO119" s="18" t="s">
        <v>35</v>
      </c>
      <c r="AP119" s="27" t="e">
        <f>#REF!</f>
        <v>#REF!</v>
      </c>
    </row>
    <row r="120" spans="41:42">
      <c r="AO120" s="18" t="s">
        <v>36</v>
      </c>
      <c r="AP120" s="27" t="e">
        <f>#REF!</f>
        <v>#REF!</v>
      </c>
    </row>
    <row r="121" spans="41:42">
      <c r="AO121" s="20">
        <v>44562</v>
      </c>
      <c r="AP121" s="51" t="e">
        <f>#REF!</f>
        <v>#REF!</v>
      </c>
    </row>
    <row r="122" spans="41:42">
      <c r="AO122" s="18" t="s">
        <v>27</v>
      </c>
      <c r="AP122" s="51" t="e">
        <f>#REF!</f>
        <v>#REF!</v>
      </c>
    </row>
    <row r="123" spans="41:42">
      <c r="AO123" s="18" t="s">
        <v>28</v>
      </c>
      <c r="AP123" s="51" t="e">
        <f>#REF!</f>
        <v>#REF!</v>
      </c>
    </row>
    <row r="124" spans="41:42">
      <c r="AO124" s="18" t="s">
        <v>29</v>
      </c>
      <c r="AP124" s="51" t="e">
        <f>#REF!</f>
        <v>#REF!</v>
      </c>
    </row>
    <row r="125" spans="41:42">
      <c r="AO125" s="18" t="s">
        <v>17</v>
      </c>
      <c r="AP125" s="51" t="e">
        <f>#REF!</f>
        <v>#REF!</v>
      </c>
    </row>
    <row r="126" spans="41:42">
      <c r="AO126" s="18" t="s">
        <v>30</v>
      </c>
      <c r="AP126" s="51" t="e">
        <f>#REF!</f>
        <v>#REF!</v>
      </c>
    </row>
    <row r="127" spans="41:42">
      <c r="AO127" s="18" t="s">
        <v>31</v>
      </c>
      <c r="AP127" s="51" t="e">
        <f>#REF!</f>
        <v>#REF!</v>
      </c>
    </row>
    <row r="128" spans="41:42">
      <c r="AO128" s="18" t="s">
        <v>32</v>
      </c>
      <c r="AP128" s="51" t="e">
        <f>#REF!</f>
        <v>#REF!</v>
      </c>
    </row>
    <row r="129" spans="41:42">
      <c r="AO129" s="18" t="s">
        <v>33</v>
      </c>
      <c r="AP129" s="51" t="e">
        <f>#REF!</f>
        <v>#REF!</v>
      </c>
    </row>
    <row r="130" spans="41:42">
      <c r="AO130" s="18" t="s">
        <v>34</v>
      </c>
      <c r="AP130" s="51" t="e">
        <f>#REF!</f>
        <v>#REF!</v>
      </c>
    </row>
    <row r="131" spans="41:42">
      <c r="AO131" s="18" t="s">
        <v>35</v>
      </c>
      <c r="AP131" s="51" t="e">
        <f>#REF!</f>
        <v>#REF!</v>
      </c>
    </row>
    <row r="132" spans="41:42">
      <c r="AO132" s="18" t="s">
        <v>36</v>
      </c>
      <c r="AP132" s="51" t="e">
        <f>#REF!</f>
        <v>#REF!</v>
      </c>
    </row>
    <row r="133" spans="41:42">
      <c r="AO133" s="20">
        <v>44927</v>
      </c>
      <c r="AP133" s="51" t="e">
        <f>#REF!</f>
        <v>#REF!</v>
      </c>
    </row>
    <row r="134" spans="41:42">
      <c r="AO134" s="18" t="s">
        <v>27</v>
      </c>
      <c r="AP134" s="51" t="e">
        <f>#REF!</f>
        <v>#REF!</v>
      </c>
    </row>
    <row r="135" spans="41:42">
      <c r="AO135" s="18" t="s">
        <v>28</v>
      </c>
      <c r="AP135" s="51" t="e">
        <f>#REF!</f>
        <v>#REF!</v>
      </c>
    </row>
    <row r="136" spans="41:42">
      <c r="AO136" s="18" t="s">
        <v>29</v>
      </c>
      <c r="AP136" s="51" t="e">
        <f>#REF!</f>
        <v>#REF!</v>
      </c>
    </row>
    <row r="137" spans="41:42">
      <c r="AO137" s="18" t="s">
        <v>17</v>
      </c>
      <c r="AP137" s="51" t="e">
        <f>#REF!</f>
        <v>#REF!</v>
      </c>
    </row>
    <row r="138" spans="41:42">
      <c r="AO138" s="18" t="s">
        <v>30</v>
      </c>
      <c r="AP138" s="51" t="e">
        <f>#REF!</f>
        <v>#REF!</v>
      </c>
    </row>
    <row r="139" spans="41:42">
      <c r="AO139" s="18" t="s">
        <v>31</v>
      </c>
      <c r="AP139" s="51" t="e">
        <f>#REF!</f>
        <v>#REF!</v>
      </c>
    </row>
    <row r="140" spans="41:42">
      <c r="AO140" s="18" t="s">
        <v>32</v>
      </c>
      <c r="AP140" s="51" t="e">
        <f>#REF!</f>
        <v>#REF!</v>
      </c>
    </row>
    <row r="141" spans="41:42">
      <c r="AO141" s="18" t="s">
        <v>33</v>
      </c>
      <c r="AP141" s="51" t="e">
        <f>#REF!</f>
        <v>#REF!</v>
      </c>
    </row>
    <row r="142" spans="41:42">
      <c r="AO142" s="18" t="s">
        <v>34</v>
      </c>
      <c r="AP142" s="51" t="e">
        <f>#REF!</f>
        <v>#REF!</v>
      </c>
    </row>
    <row r="143" spans="41:42">
      <c r="AO143" s="18" t="s">
        <v>35</v>
      </c>
      <c r="AP143" s="51" t="e">
        <f>#REF!</f>
        <v>#REF!</v>
      </c>
    </row>
    <row r="144" spans="41:42">
      <c r="AO144" s="18" t="s">
        <v>36</v>
      </c>
      <c r="AP144" s="51" t="e">
        <f>#REF!</f>
        <v>#REF!</v>
      </c>
    </row>
    <row r="145" spans="41:42">
      <c r="AO145" s="20">
        <v>45292</v>
      </c>
      <c r="AP145" s="51">
        <f>G7</f>
        <v>7.9</v>
      </c>
    </row>
    <row r="146" spans="41:42">
      <c r="AO146" s="18" t="s">
        <v>27</v>
      </c>
      <c r="AP146" s="51">
        <f t="shared" ref="AP146:AP156" si="2">G7</f>
        <v>7.9</v>
      </c>
    </row>
    <row r="147" spans="41:42">
      <c r="AO147" s="18" t="s">
        <v>28</v>
      </c>
      <c r="AP147" s="51">
        <f t="shared" si="2"/>
        <v>7.8</v>
      </c>
    </row>
    <row r="148" spans="41:42">
      <c r="AO148" s="18" t="s">
        <v>29</v>
      </c>
      <c r="AP148" s="51">
        <f t="shared" si="2"/>
        <v>8.0474913417991303</v>
      </c>
    </row>
    <row r="149" spans="41:42">
      <c r="AO149" s="18" t="s">
        <v>17</v>
      </c>
      <c r="AP149" s="51">
        <f t="shared" si="2"/>
        <v>7.6</v>
      </c>
    </row>
    <row r="150" spans="41:42">
      <c r="AO150" s="18" t="s">
        <v>30</v>
      </c>
      <c r="AP150" s="51">
        <f t="shared" si="2"/>
        <v>7.3</v>
      </c>
    </row>
    <row r="151" spans="41:42">
      <c r="AO151" s="18" t="s">
        <v>31</v>
      </c>
      <c r="AP151" s="51">
        <f t="shared" si="2"/>
        <v>7.2</v>
      </c>
    </row>
    <row r="152" spans="41:42">
      <c r="AO152" s="18" t="s">
        <v>32</v>
      </c>
      <c r="AP152" s="51">
        <f t="shared" si="2"/>
        <v>7.7</v>
      </c>
    </row>
    <row r="153" spans="41:42">
      <c r="AO153" s="18" t="s">
        <v>33</v>
      </c>
      <c r="AP153" s="51">
        <f t="shared" si="2"/>
        <v>7.7</v>
      </c>
    </row>
    <row r="154" spans="41:42">
      <c r="AO154" s="18" t="s">
        <v>34</v>
      </c>
      <c r="AP154" s="51">
        <f t="shared" si="2"/>
        <v>6.893582887700533</v>
      </c>
    </row>
    <row r="155" spans="41:42">
      <c r="AO155" s="18" t="s">
        <v>35</v>
      </c>
      <c r="AP155" s="51">
        <f t="shared" si="2"/>
        <v>6.6521505376344088</v>
      </c>
    </row>
    <row r="156" spans="41:42">
      <c r="AO156" s="18" t="s">
        <v>36</v>
      </c>
      <c r="AP156" s="51">
        <f t="shared" si="2"/>
        <v>6.7238636363636397</v>
      </c>
    </row>
    <row r="157" spans="41:42">
      <c r="AO157" s="20">
        <v>45658</v>
      </c>
      <c r="AP157" s="16">
        <f>M7</f>
        <v>7</v>
      </c>
    </row>
    <row r="158" spans="41:42">
      <c r="AO158" s="18" t="s">
        <v>27</v>
      </c>
      <c r="AP158" s="16">
        <f t="shared" ref="AP158:AP168" si="3">M8</f>
        <v>6.6720238095238145</v>
      </c>
    </row>
    <row r="159" spans="41:42">
      <c r="AO159" s="18" t="s">
        <v>28</v>
      </c>
      <c r="AP159" s="16">
        <f t="shared" si="3"/>
        <v>6.855487804878047</v>
      </c>
    </row>
    <row r="160" spans="41:42">
      <c r="AO160" s="18" t="s">
        <v>29</v>
      </c>
      <c r="AP160" s="16">
        <f t="shared" si="3"/>
        <v>6.9279069767441879</v>
      </c>
    </row>
    <row r="161" spans="41:42">
      <c r="AO161" s="18" t="s">
        <v>17</v>
      </c>
      <c r="AP161" s="16">
        <f t="shared" si="3"/>
        <v>6.5655172413793119</v>
      </c>
    </row>
    <row r="162" spans="41:42">
      <c r="AO162" s="18" t="s">
        <v>30</v>
      </c>
      <c r="AP162" s="16">
        <f t="shared" si="3"/>
        <v>7.0281437125748498</v>
      </c>
    </row>
    <row r="163" spans="41:42">
      <c r="AO163" s="18" t="s">
        <v>31</v>
      </c>
      <c r="AP163" s="16">
        <f t="shared" si="3"/>
        <v>7.5</v>
      </c>
    </row>
    <row r="164" spans="41:42">
      <c r="AO164" s="18" t="s">
        <v>32</v>
      </c>
      <c r="AP164" s="16">
        <f t="shared" si="3"/>
        <v>7</v>
      </c>
    </row>
    <row r="165" spans="41:42">
      <c r="AO165" s="18" t="s">
        <v>33</v>
      </c>
      <c r="AP165" s="16">
        <f t="shared" si="3"/>
        <v>6.8761904761904793</v>
      </c>
    </row>
    <row r="166" spans="41:42">
      <c r="AO166" s="18" t="s">
        <v>34</v>
      </c>
      <c r="AP166" s="16">
        <f t="shared" si="3"/>
        <v>6.8817647058823574</v>
      </c>
    </row>
    <row r="167" spans="41:42">
      <c r="AO167" s="18" t="s">
        <v>35</v>
      </c>
      <c r="AP167" s="16">
        <f t="shared" si="3"/>
        <v>7.1</v>
      </c>
    </row>
    <row r="168" spans="41:42">
      <c r="AO168" s="18" t="s">
        <v>36</v>
      </c>
      <c r="AP168" s="16">
        <f t="shared" si="3"/>
        <v>7.2</v>
      </c>
    </row>
    <row r="169" spans="41:42">
      <c r="AP169" s="16"/>
    </row>
    <row r="170" spans="41:42">
      <c r="AP170" s="16"/>
    </row>
  </sheetData>
  <mergeCells count="6">
    <mergeCell ref="A2:M2"/>
    <mergeCell ref="A1:M1"/>
    <mergeCell ref="AK4:AP4"/>
    <mergeCell ref="A3:A5"/>
    <mergeCell ref="B3:G3"/>
    <mergeCell ref="H3:M3"/>
  </mergeCells>
  <pageMargins left="0.7" right="0.7" top="0.75" bottom="0.75" header="0.3" footer="0.3"/>
  <pageSetup paperSize="9" scale="57" orientation="landscape" horizontalDpi="4294967295" verticalDpi="4294967295" r:id="rId1"/>
  <rowBreaks count="1" manualBreakCount="1">
    <brk id="22" max="6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2026-06-11T08:51:01Z</cp:lastPrinted>
  <dcterms:created xsi:type="dcterms:W3CDTF">2019-02-27T06:18:18Z</dcterms:created>
  <dcterms:modified xsi:type="dcterms:W3CDTF">2026-06-11T08:51:30Z</dcterms:modified>
</cp:coreProperties>
</file>