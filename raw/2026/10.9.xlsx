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Tourism\"/>
    </mc:Choice>
  </mc:AlternateContent>
  <xr:revisionPtr revIDLastSave="0" documentId="13_ncr:1_{7B1DFD37-12CD-4329-8BCB-20AB2AD97ECE}" xr6:coauthVersionLast="47" xr6:coauthVersionMax="47" xr10:uidLastSave="{00000000-0000-0000-0000-000000000000}"/>
  <bookViews>
    <workbookView xWindow="-120" yWindow="-120" windowWidth="29040" windowHeight="15720" tabRatio="641" xr2:uid="{00000000-000D-0000-FFFF-FFFF00000000}"/>
  </bookViews>
  <sheets>
    <sheet name="10.9" sheetId="9" r:id="rId1"/>
  </sheets>
  <definedNames>
    <definedName name="_xlnm.Print_Area" localSheetId="0">'10.9'!$A$1:$U$41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9" i="9" l="1"/>
  <c r="O9" i="9"/>
  <c r="O8" i="9"/>
  <c r="Q9" i="9"/>
  <c r="T9" i="9"/>
  <c r="T17" i="9"/>
  <c r="T10" i="9"/>
  <c r="R11" i="9"/>
  <c r="R10" i="9"/>
  <c r="T20" i="9" l="1"/>
  <c r="T19" i="9"/>
  <c r="T18" i="9"/>
  <c r="T16" i="9"/>
  <c r="T15" i="9"/>
  <c r="T14" i="9"/>
  <c r="T13" i="9"/>
  <c r="T12" i="9"/>
  <c r="T11" i="9"/>
  <c r="R20" i="9"/>
  <c r="R19" i="9"/>
  <c r="R18" i="9"/>
  <c r="R17" i="9"/>
  <c r="R16" i="9"/>
  <c r="R15" i="9"/>
  <c r="R14" i="9"/>
  <c r="R13" i="9"/>
  <c r="R12" i="9"/>
  <c r="Q10" i="9"/>
  <c r="Q11" i="9"/>
  <c r="Q12" i="9"/>
  <c r="Q13" i="9"/>
  <c r="Q14" i="9"/>
  <c r="Q15" i="9"/>
  <c r="Q16" i="9"/>
  <c r="Q17" i="9"/>
  <c r="Q18" i="9"/>
  <c r="Q19" i="9"/>
  <c r="Q20" i="9"/>
  <c r="O10" i="9"/>
  <c r="O11" i="9"/>
  <c r="O12" i="9"/>
  <c r="O13" i="9"/>
  <c r="O14" i="9"/>
  <c r="O15" i="9"/>
  <c r="O16" i="9"/>
  <c r="O17" i="9"/>
  <c r="O18" i="9"/>
  <c r="O19" i="9"/>
  <c r="O20" i="9"/>
  <c r="N8" i="9"/>
  <c r="G8" i="9"/>
  <c r="F8" i="9" l="1"/>
  <c r="M8" i="9"/>
  <c r="Q8" i="9" l="1"/>
  <c r="L8" i="9" l="1"/>
  <c r="E8" i="9"/>
  <c r="K8" i="9" l="1"/>
  <c r="D8" i="9"/>
  <c r="J8" i="9" l="1"/>
  <c r="C8" i="9"/>
  <c r="I8" i="9" l="1"/>
  <c r="B8" i="9"/>
</calcChain>
</file>

<file path=xl/sharedStrings.xml><?xml version="1.0" encoding="utf-8"?>
<sst xmlns="http://schemas.openxmlformats.org/spreadsheetml/2006/main" count="68" uniqueCount="58">
  <si>
    <t>Total</t>
  </si>
  <si>
    <t>wlcmuj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</si>
  <si>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</si>
  <si>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</si>
  <si>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</si>
  <si>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</si>
  <si>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</si>
  <si>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</si>
  <si>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</si>
  <si>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</si>
  <si>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</si>
  <si>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</si>
  <si>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</si>
  <si>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</si>
  <si>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</si>
  <si>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</si>
  <si>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</si>
  <si>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</si>
  <si>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</si>
  <si>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</si>
  <si>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</si>
  <si>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</si>
  <si>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</si>
  <si>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</si>
  <si>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</si>
  <si>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</si>
  <si>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Tourist Bed-nights*</t>
  </si>
  <si>
    <t xml:space="preserve">Tourist Arrivals </t>
  </si>
  <si>
    <t xml:space="preserve">% change same month of previous year </t>
  </si>
  <si>
    <t>% change from previous month</t>
  </si>
  <si>
    <t>cswm</t>
  </si>
  <si>
    <t>ވޭތުވެދިޔަ އަހަރުގެ މިމަހާއި އަޅާބަލާއިރު އިތުރުވި މިންވަރު</t>
  </si>
  <si>
    <t>ވޭތުވެދިޔަ މަހާއި އަޅާބަލާއިރު އިތުރުވި މިންވަރު</t>
  </si>
  <si>
    <t xml:space="preserve">ފަތުރުވެރިން ހޭދަކުރި ރޭގެ އަދަދު </t>
  </si>
  <si>
    <t xml:space="preserve">ފަތުރުވެރިންގެ އަދަދު </t>
  </si>
  <si>
    <t>_</t>
  </si>
  <si>
    <t>Irwaunej</t>
  </si>
  <si>
    <t>Irwaurcbef</t>
  </si>
  <si>
    <t>cCWm</t>
  </si>
  <si>
    <t>clIrcpEa</t>
  </si>
  <si>
    <t>iaem</t>
  </si>
  <si>
    <t>cnUj</t>
  </si>
  <si>
    <t>iawluj</t>
  </si>
  <si>
    <t>cTcswgOa</t>
  </si>
  <si>
    <t>rwbcmeTcpes</t>
  </si>
  <si>
    <t>rwbOTckoa</t>
  </si>
  <si>
    <t>rwbcmevon</t>
  </si>
  <si>
    <t>rwbcmesiD</t>
  </si>
  <si>
    <t>ނޯޓް: ފަތުރުވެރިން ހޭދަކުރި ރޭގެ އަދަދުގެ ތެރޭގައި ރިސޯޓް، ހޮޓާ، ސަފާރީ އަދި ގެސްޓްހައުސްތައްވެސް ހިމެނެއެވެ.</t>
  </si>
  <si>
    <t>Note: * Tourist Bed night figures include resorts/hotels/safaris &amp; guesthouses</t>
  </si>
  <si>
    <t>Note: Maldives border was closed for international visitirs on 27th March 2020 due to global COVID-19 outbreak and was re-opened on 15th July 2020</t>
  </si>
  <si>
    <t>Due to COVIC-19 pandamic, some tourists were unable to travel back to their home country.</t>
  </si>
  <si>
    <t xml:space="preserve">(*) - Indicates if the percentage change is greater than 100. </t>
  </si>
  <si>
    <t>2024 - 2025</t>
  </si>
  <si>
    <t>Source: Ministry Tourism and Civil Aviation</t>
  </si>
  <si>
    <t>މަޢުލޫމާތު ދެއްވީ: މިނިސްޓްރީ އޮފް ޓޫރިޒަމް އެންޑް ސިވިލް އޭވިއޭޝަން</t>
  </si>
  <si>
    <t xml:space="preserve">Table 10.9: TOURIST ARRIVALS,AND TOURIST BED-NIGHTS BY MONTH,  2020 - 2025
</t>
  </si>
  <si>
    <t>2025 - 2020 , udwdwA egEr irukwdEh cnirevurutwf iaWrwviawa cnirevurutwf iawguhwmcswmikea : 10.9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</si>
</sst>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6" formatCode="#,##0.0"/>
    <numFmt numFmtId="169" formatCode="0.00_)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Helv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b/>
      <sz val="12"/>
      <color theme="1"/>
      <name val="A_Randhoo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_Utheem"/>
    </font>
    <font>
      <b/>
      <sz val="9.5"/>
      <color theme="1"/>
      <name val="Faruma"/>
    </font>
    <font>
      <sz val="9"/>
      <color theme="1"/>
      <name val="Faruma"/>
    </font>
    <font>
      <sz val="9"/>
      <name val="Faruma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b/>
      <sz val="10"/>
      <color theme="1"/>
      <name val="A_Faseyha"/>
    </font>
    <font>
      <sz val="9"/>
      <color theme="1"/>
      <name val="A_Faseyha"/>
    </font>
    <font>
      <b/>
      <sz val="9"/>
      <color theme="1"/>
      <name val="A_Faseyha"/>
    </font>
    <font>
      <sz val="10"/>
      <color theme="1"/>
      <name val="A_Faseyha"/>
    </font>
    <font>
      <i/>
      <sz val="10"/>
      <name val="Calibri Light"/>
      <family val="2"/>
      <scheme val="major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auto="1"/>
      </top>
      <bottom/>
      <diagonal/>
    </border>
    <border>
      <left/>
      <right style="hair">
        <color indexed="64"/>
      </right>
      <top style="hair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82">
    <xf numFmtId="0" fontId="0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17" fillId="0" borderId="0"/>
    <xf numFmtId="0" fontId="3" fillId="0" borderId="0"/>
    <xf numFmtId="43" fontId="3" fillId="0" borderId="0" applyFont="0" applyFill="0" applyBorder="0" applyAlignment="0" applyProtection="0"/>
    <xf numFmtId="169" fontId="18" fillId="0" borderId="0"/>
    <xf numFmtId="1" fontId="19" fillId="0" borderId="22" applyNumberFormat="0"/>
    <xf numFmtId="0" fontId="3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17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4" fillId="0" borderId="0"/>
    <xf numFmtId="40" fontId="4" fillId="0" borderId="0" applyFont="0" applyFill="0" applyBorder="0" applyAlignment="0" applyProtection="0"/>
    <xf numFmtId="0" fontId="4" fillId="0" borderId="0"/>
    <xf numFmtId="0" fontId="3" fillId="0" borderId="0"/>
    <xf numFmtId="0" fontId="3" fillId="0" borderId="0"/>
    <xf numFmtId="1" fontId="19" fillId="0" borderId="22" applyNumberFormat="0"/>
    <xf numFmtId="0" fontId="1" fillId="0" borderId="0"/>
    <xf numFmtId="0" fontId="4" fillId="0" borderId="0"/>
    <xf numFmtId="0" fontId="25" fillId="0" borderId="0" applyFill="0" applyProtection="0"/>
    <xf numFmtId="1" fontId="19" fillId="0" borderId="22" applyNumberFormat="0"/>
    <xf numFmtId="43" fontId="1" fillId="0" borderId="0" applyFont="0" applyFill="0" applyBorder="0" applyAlignment="0" applyProtection="0"/>
    <xf numFmtId="0" fontId="1" fillId="0" borderId="0"/>
    <xf numFmtId="0" fontId="26" fillId="0" borderId="0"/>
    <xf numFmtId="0" fontId="27" fillId="0" borderId="0"/>
    <xf numFmtId="0" fontId="26" fillId="0" borderId="0"/>
    <xf numFmtId="0" fontId="1" fillId="0" borderId="0"/>
    <xf numFmtId="0" fontId="4" fillId="0" borderId="0"/>
    <xf numFmtId="0" fontId="25" fillId="0" borderId="0" applyFill="0" applyProtection="0"/>
    <xf numFmtId="1" fontId="19" fillId="0" borderId="22" applyNumberFormat="0"/>
    <xf numFmtId="0" fontId="1" fillId="0" borderId="0"/>
    <xf numFmtId="0" fontId="3" fillId="0" borderId="0"/>
    <xf numFmtId="0" fontId="26" fillId="0" borderId="0"/>
    <xf numFmtId="0" fontId="27" fillId="0" borderId="0"/>
    <xf numFmtId="0" fontId="3" fillId="0" borderId="0"/>
    <xf numFmtId="0" fontId="26" fillId="0" borderId="0"/>
    <xf numFmtId="0" fontId="28" fillId="0" borderId="0"/>
    <xf numFmtId="0" fontId="26" fillId="0" borderId="0"/>
    <xf numFmtId="0" fontId="26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4" fillId="0" borderId="0" applyFont="0" applyFill="0" applyBorder="0" applyAlignment="0" applyProtection="0"/>
    <xf numFmtId="0" fontId="1" fillId="0" borderId="0"/>
    <xf numFmtId="0" fontId="28" fillId="0" borderId="0" applyBorder="0"/>
    <xf numFmtId="0" fontId="1" fillId="0" borderId="0"/>
    <xf numFmtId="40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8" fillId="0" borderId="0" applyBorder="0"/>
    <xf numFmtId="0" fontId="1" fillId="0" borderId="0"/>
    <xf numFmtId="0" fontId="1" fillId="0" borderId="0"/>
    <xf numFmtId="1" fontId="19" fillId="0" borderId="22" applyNumberFormat="0"/>
    <xf numFmtId="1" fontId="19" fillId="0" borderId="22" applyNumberFormat="0"/>
    <xf numFmtId="1" fontId="19" fillId="0" borderId="22" applyNumberFormat="0"/>
    <xf numFmtId="1" fontId="19" fillId="0" borderId="22" applyNumberFormat="0"/>
    <xf numFmtId="1" fontId="19" fillId="0" borderId="22" applyNumberFormat="0"/>
    <xf numFmtId="1" fontId="19" fillId="0" borderId="22" applyNumberFormat="0"/>
    <xf numFmtId="1" fontId="19" fillId="0" borderId="22" applyNumberFormat="0"/>
    <xf numFmtId="0" fontId="1" fillId="0" borderId="0"/>
    <xf numFmtId="0" fontId="1" fillId="0" borderId="0"/>
    <xf numFmtId="0" fontId="28" fillId="0" borderId="0" applyBorder="0"/>
    <xf numFmtId="0" fontId="28" fillId="0" borderId="0"/>
    <xf numFmtId="0" fontId="1" fillId="0" borderId="0"/>
    <xf numFmtId="0" fontId="4" fillId="0" borderId="0"/>
    <xf numFmtId="0" fontId="4" fillId="0" borderId="0"/>
    <xf numFmtId="1" fontId="19" fillId="0" borderId="22" applyNumberFormat="0"/>
    <xf numFmtId="0" fontId="28" fillId="0" borderId="0" applyBorder="0"/>
    <xf numFmtId="0" fontId="28" fillId="0" borderId="0" applyBorder="0"/>
    <xf numFmtId="0" fontId="4" fillId="0" borderId="0"/>
    <xf numFmtId="0" fontId="3" fillId="0" borderId="0"/>
    <xf numFmtId="0" fontId="3" fillId="0" borderId="0"/>
    <xf numFmtId="0" fontId="3" fillId="0" borderId="0"/>
  </cellStyleXfs>
  <cellXfs count="93">
    <xf numFmtId="0" fontId="0" fillId="0" borderId="0" xfId="0"/>
    <xf numFmtId="0" fontId="5" fillId="2" borderId="0" xfId="0" applyFont="1" applyFill="1" applyAlignment="1">
      <alignment horizontal="left" vertical="center"/>
    </xf>
    <xf numFmtId="3" fontId="7" fillId="2" borderId="0" xfId="0" applyNumberFormat="1" applyFont="1" applyFill="1" applyAlignment="1">
      <alignment horizontal="right" vertical="center"/>
    </xf>
    <xf numFmtId="3" fontId="8" fillId="2" borderId="0" xfId="0" applyNumberFormat="1" applyFont="1" applyFill="1" applyAlignment="1">
      <alignment horizontal="right" vertical="center"/>
    </xf>
    <xf numFmtId="3" fontId="8" fillId="2" borderId="6" xfId="0" applyNumberFormat="1" applyFont="1" applyFill="1" applyBorder="1" applyAlignment="1">
      <alignment horizontal="right" vertical="center"/>
    </xf>
    <xf numFmtId="0" fontId="11" fillId="2" borderId="0" xfId="0" applyFont="1" applyFill="1"/>
    <xf numFmtId="0" fontId="12" fillId="2" borderId="0" xfId="0" applyFont="1" applyFill="1"/>
    <xf numFmtId="0" fontId="11" fillId="2" borderId="0" xfId="0" applyFont="1" applyFill="1" applyAlignment="1">
      <alignment horizontal="left" vertical="center"/>
    </xf>
    <xf numFmtId="0" fontId="7" fillId="2" borderId="6" xfId="0" applyFont="1" applyFill="1" applyBorder="1" applyAlignment="1">
      <alignment horizontal="right" vertical="center" wrapText="1"/>
    </xf>
    <xf numFmtId="0" fontId="13" fillId="2" borderId="0" xfId="0" applyFont="1" applyFill="1" applyAlignment="1">
      <alignment vertical="center"/>
    </xf>
    <xf numFmtId="0" fontId="7" fillId="2" borderId="11" xfId="0" applyFont="1" applyFill="1" applyBorder="1" applyAlignment="1">
      <alignment horizontal="center" vertical="top" wrapText="1"/>
    </xf>
    <xf numFmtId="0" fontId="9" fillId="2" borderId="20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vertical="top" wrapText="1"/>
    </xf>
    <xf numFmtId="0" fontId="7" fillId="2" borderId="5" xfId="0" applyFont="1" applyFill="1" applyBorder="1" applyAlignment="1">
      <alignment horizontal="right" vertical="center" wrapText="1"/>
    </xf>
    <xf numFmtId="0" fontId="11" fillId="2" borderId="0" xfId="0" applyFont="1" applyFill="1" applyAlignment="1">
      <alignment horizontal="right" vertical="center"/>
    </xf>
    <xf numFmtId="0" fontId="7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 indent="1"/>
    </xf>
    <xf numFmtId="0" fontId="8" fillId="2" borderId="6" xfId="0" applyFont="1" applyFill="1" applyBorder="1" applyAlignment="1">
      <alignment horizontal="left" vertical="center" indent="1"/>
    </xf>
    <xf numFmtId="37" fontId="11" fillId="2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left" vertical="center" indent="1"/>
    </xf>
    <xf numFmtId="0" fontId="12" fillId="2" borderId="0" xfId="0" applyFont="1" applyFill="1" applyAlignment="1">
      <alignment horizontal="center"/>
    </xf>
    <xf numFmtId="0" fontId="22" fillId="2" borderId="0" xfId="0" applyFont="1" applyFill="1" applyAlignment="1">
      <alignment horizontal="right" vertical="center" indent="1"/>
    </xf>
    <xf numFmtId="0" fontId="21" fillId="2" borderId="0" xfId="0" applyFont="1" applyFill="1" applyAlignment="1">
      <alignment horizontal="right" vertical="center" indent="2"/>
    </xf>
    <xf numFmtId="0" fontId="21" fillId="2" borderId="6" xfId="0" applyFont="1" applyFill="1" applyBorder="1" applyAlignment="1">
      <alignment horizontal="right" vertical="center" indent="2"/>
    </xf>
    <xf numFmtId="0" fontId="21" fillId="2" borderId="0" xfId="0" applyFont="1" applyFill="1" applyAlignment="1">
      <alignment horizontal="right" vertical="center"/>
    </xf>
    <xf numFmtId="0" fontId="21" fillId="2" borderId="0" xfId="0" applyFont="1" applyFill="1"/>
    <xf numFmtId="0" fontId="23" fillId="2" borderId="0" xfId="0" applyFont="1" applyFill="1"/>
    <xf numFmtId="0" fontId="15" fillId="2" borderId="0" xfId="0" applyFont="1" applyFill="1" applyAlignment="1">
      <alignment vertical="center"/>
    </xf>
    <xf numFmtId="0" fontId="7" fillId="2" borderId="11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 indent="3"/>
    </xf>
    <xf numFmtId="3" fontId="7" fillId="2" borderId="0" xfId="0" applyNumberFormat="1" applyFont="1" applyFill="1" applyAlignment="1">
      <alignment horizontal="center" vertical="center"/>
    </xf>
    <xf numFmtId="3" fontId="8" fillId="2" borderId="7" xfId="0" applyNumberFormat="1" applyFont="1" applyFill="1" applyBorder="1" applyAlignment="1">
      <alignment horizontal="right" vertical="center"/>
    </xf>
    <xf numFmtId="0" fontId="24" fillId="2" borderId="0" xfId="21" applyFont="1" applyFill="1" applyAlignment="1">
      <alignment horizontal="left" vertical="center" indent="3"/>
    </xf>
    <xf numFmtId="0" fontId="7" fillId="2" borderId="1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right" vertical="center" wrapText="1"/>
    </xf>
    <xf numFmtId="166" fontId="8" fillId="2" borderId="0" xfId="0" applyNumberFormat="1" applyFont="1" applyFill="1" applyAlignment="1">
      <alignment horizontal="center" vertical="center"/>
    </xf>
    <xf numFmtId="166" fontId="8" fillId="2" borderId="7" xfId="0" applyNumberFormat="1" applyFont="1" applyFill="1" applyBorder="1" applyAlignment="1">
      <alignment horizontal="center" vertical="center"/>
    </xf>
    <xf numFmtId="166" fontId="8" fillId="2" borderId="6" xfId="0" applyNumberFormat="1" applyFont="1" applyFill="1" applyBorder="1" applyAlignment="1">
      <alignment horizontal="center" vertical="center"/>
    </xf>
    <xf numFmtId="166" fontId="8" fillId="2" borderId="3" xfId="0" applyNumberFormat="1" applyFont="1" applyFill="1" applyBorder="1" applyAlignment="1">
      <alignment horizontal="center" vertical="center"/>
    </xf>
    <xf numFmtId="166" fontId="8" fillId="2" borderId="8" xfId="0" applyNumberFormat="1" applyFont="1" applyFill="1" applyBorder="1" applyAlignment="1">
      <alignment horizontal="center" vertical="center"/>
    </xf>
    <xf numFmtId="166" fontId="8" fillId="2" borderId="9" xfId="0" applyNumberFormat="1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right" vertical="top" wrapText="1"/>
    </xf>
    <xf numFmtId="0" fontId="9" fillId="2" borderId="19" xfId="0" applyFont="1" applyFill="1" applyBorder="1" applyAlignment="1">
      <alignment horizontal="right" vertical="center" wrapText="1" indent="2"/>
    </xf>
    <xf numFmtId="166" fontId="7" fillId="2" borderId="2" xfId="0" applyNumberFormat="1" applyFont="1" applyFill="1" applyBorder="1" applyAlignment="1">
      <alignment horizontal="center" vertical="center"/>
    </xf>
    <xf numFmtId="166" fontId="7" fillId="2" borderId="13" xfId="0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horizontal="right" vertical="center"/>
    </xf>
    <xf numFmtId="166" fontId="7" fillId="2" borderId="25" xfId="0" applyNumberFormat="1" applyFont="1" applyFill="1" applyBorder="1" applyAlignment="1">
      <alignment horizontal="center" vertical="center"/>
    </xf>
    <xf numFmtId="3" fontId="7" fillId="2" borderId="25" xfId="0" applyNumberFormat="1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right" vertical="center" wrapText="1"/>
    </xf>
    <xf numFmtId="3" fontId="7" fillId="2" borderId="25" xfId="0" applyNumberFormat="1" applyFont="1" applyFill="1" applyBorder="1" applyAlignment="1">
      <alignment horizontal="right" vertical="center"/>
    </xf>
    <xf numFmtId="3" fontId="7" fillId="2" borderId="13" xfId="0" applyNumberFormat="1" applyFont="1" applyFill="1" applyBorder="1" applyAlignment="1">
      <alignment horizontal="right" vertical="center"/>
    </xf>
    <xf numFmtId="3" fontId="8" fillId="2" borderId="3" xfId="0" applyNumberFormat="1" applyFont="1" applyFill="1" applyBorder="1" applyAlignment="1">
      <alignment horizontal="right" vertical="center"/>
    </xf>
    <xf numFmtId="0" fontId="7" fillId="2" borderId="23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6" xfId="0" applyFont="1" applyFill="1" applyBorder="1" applyAlignment="1">
      <alignment horizontal="left" vertical="center"/>
    </xf>
    <xf numFmtId="0" fontId="20" fillId="2" borderId="1" xfId="0" applyFont="1" applyFill="1" applyBorder="1" applyAlignment="1">
      <alignment horizontal="right" vertical="center" indent="1"/>
    </xf>
    <xf numFmtId="0" fontId="20" fillId="2" borderId="0" xfId="0" applyFont="1" applyFill="1" applyAlignment="1">
      <alignment horizontal="right" vertical="center" indent="1"/>
    </xf>
    <xf numFmtId="0" fontId="20" fillId="2" borderId="6" xfId="0" applyFont="1" applyFill="1" applyBorder="1" applyAlignment="1">
      <alignment horizontal="right" vertical="center" indent="1"/>
    </xf>
    <xf numFmtId="0" fontId="9" fillId="2" borderId="25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top"/>
    </xf>
    <xf numFmtId="0" fontId="14" fillId="2" borderId="5" xfId="0" applyFont="1" applyFill="1" applyBorder="1" applyAlignment="1">
      <alignment horizontal="center" vertical="top"/>
    </xf>
    <xf numFmtId="0" fontId="14" fillId="2" borderId="16" xfId="0" applyFont="1" applyFill="1" applyBorder="1" applyAlignment="1">
      <alignment horizontal="center" vertical="top"/>
    </xf>
    <xf numFmtId="0" fontId="14" fillId="2" borderId="5" xfId="0" applyFont="1" applyFill="1" applyBorder="1" applyAlignment="1">
      <alignment horizontal="center" vertical="top" wrapText="1"/>
    </xf>
    <xf numFmtId="2" fontId="8" fillId="2" borderId="0" xfId="0" applyNumberFormat="1" applyFont="1" applyFill="1" applyAlignment="1">
      <alignment horizontal="right" vertical="center" indent="5"/>
    </xf>
    <xf numFmtId="2" fontId="8" fillId="2" borderId="9" xfId="0" applyNumberFormat="1" applyFont="1" applyFill="1" applyBorder="1" applyAlignment="1">
      <alignment horizontal="right" vertical="center" indent="5"/>
    </xf>
    <xf numFmtId="2" fontId="8" fillId="2" borderId="6" xfId="0" applyNumberFormat="1" applyFont="1" applyFill="1" applyBorder="1" applyAlignment="1">
      <alignment horizontal="right" vertical="center" indent="5"/>
    </xf>
  </cellXfs>
  <cellStyles count="82">
    <cellStyle name="1" xfId="5" xr:uid="{00000000-0005-0000-0000-000000000000}"/>
    <cellStyle name="Comma 2" xfId="19" xr:uid="{00000000-0005-0000-0000-000002000000}"/>
    <cellStyle name="Comma 2 2" xfId="47" xr:uid="{71832AE8-63E9-47AC-B43D-24C9B30FD491}"/>
    <cellStyle name="Comma 2 2 2 5" xfId="28" xr:uid="{923A80DF-8391-490C-A9FC-9B04BA3FF02C}"/>
    <cellStyle name="Comma 2 3" xfId="54" xr:uid="{18E20042-2979-46AD-9D37-4A459DA64BAE}"/>
    <cellStyle name="Comma 3" xfId="6" xr:uid="{00000000-0005-0000-0000-000003000000}"/>
    <cellStyle name="Comma 3 2" xfId="50" xr:uid="{C94EE668-205D-4DE2-A3E1-635995599CA4}"/>
    <cellStyle name="Normal" xfId="0" builtinId="0"/>
    <cellStyle name="Normal - Style1" xfId="7" xr:uid="{00000000-0005-0000-0000-000005000000}"/>
    <cellStyle name="Normal 10" xfId="13" xr:uid="{00000000-0005-0000-0000-000006000000}"/>
    <cellStyle name="Normal 10 2" xfId="81" xr:uid="{AF4FE69F-9401-42FA-B027-EEF0FEB874E3}"/>
    <cellStyle name="Normal 11" xfId="25" xr:uid="{95DB1E47-A717-4F50-B120-BDB4A6A98D35}"/>
    <cellStyle name="Normal 12" xfId="27" xr:uid="{5F37676F-9210-428B-A54A-88AF31197612}"/>
    <cellStyle name="Normal 13" xfId="36" xr:uid="{1E44DD08-E506-4B0E-A49D-239619E68ECB}"/>
    <cellStyle name="Normal 14" xfId="61" xr:uid="{CF47567C-18E3-48E3-B4B2-F9546E19550C}"/>
    <cellStyle name="Normal 15" xfId="62" xr:uid="{791BF7C1-0A53-4899-92D0-58D1295D1734}"/>
    <cellStyle name="Normal 16" xfId="63" xr:uid="{FB24067F-240D-455E-8348-EE3147456F5B}"/>
    <cellStyle name="Normal 17" xfId="64" xr:uid="{D4A5C67F-868D-43C6-89A5-249394EF5F61}"/>
    <cellStyle name="Normal 18" xfId="65" xr:uid="{C428DA61-20F8-4842-A18B-7FA043B482A4}"/>
    <cellStyle name="Normal 19" xfId="66" xr:uid="{EACCE844-16D2-420C-B840-ACEE6225450A}"/>
    <cellStyle name="Normal 2" xfId="1" xr:uid="{00000000-0005-0000-0000-000007000000}"/>
    <cellStyle name="Normal 2 2" xfId="8" xr:uid="{00000000-0005-0000-0000-000008000000}"/>
    <cellStyle name="Normal 2 2 2" xfId="20" xr:uid="{00000000-0005-0000-0000-000009000000}"/>
    <cellStyle name="Normal 2 2 2 2" xfId="45" xr:uid="{8F8F9C60-80DF-42BF-B765-6C68B3B83858}"/>
    <cellStyle name="Normal 2 2 3" xfId="22" xr:uid="{2E2FEFD2-ABBD-420D-8461-C8F503FDA24A}"/>
    <cellStyle name="Normal 2 2 3 2" xfId="43" xr:uid="{847F1A16-9FCA-412B-AE91-D29E3FC8B338}"/>
    <cellStyle name="Normal 2 2 4" xfId="39" xr:uid="{19B03459-4F46-4840-B83F-02097E770DD0}"/>
    <cellStyle name="Normal 2 3" xfId="24" xr:uid="{48422FEC-E0BC-428C-9750-2D76D2E13FBF}"/>
    <cellStyle name="Normal 2 3 2" xfId="35" xr:uid="{53720891-5BB7-4072-A4AA-9D579EA571CD}"/>
    <cellStyle name="Normal 2 3 3" xfId="38" xr:uid="{7DCAFB35-81DA-42EB-A924-F7ED0EEF7A1F}"/>
    <cellStyle name="Normal 2 4" xfId="26" xr:uid="{84E1C268-3A16-4FB7-A335-F22068D33369}"/>
    <cellStyle name="Normal 2 4 2" xfId="46" xr:uid="{57E5914E-388A-4C4B-895D-9DE84233932D}"/>
    <cellStyle name="Normal 2 5" xfId="30" xr:uid="{D29D2916-D641-4853-A275-3F08E70F8C7A}"/>
    <cellStyle name="Normal 2 5 2" xfId="68" xr:uid="{C22BCFAD-F32E-457E-938E-ABEE683A2342}"/>
    <cellStyle name="Normal 2 6" xfId="69" xr:uid="{FEC1E65A-B873-4B1D-8CA3-90C7267B1DBB}"/>
    <cellStyle name="Normal 2 7" xfId="72" xr:uid="{1F813466-FC69-4C83-8E34-944476152EEC}"/>
    <cellStyle name="Normal 20" xfId="67" xr:uid="{6BBCB359-6445-479F-B974-2714BC50CD98}"/>
    <cellStyle name="Normal 21" xfId="73" xr:uid="{ED747AB2-D527-4275-89BF-F4D42E0C64B3}"/>
    <cellStyle name="Normal 22" xfId="74" xr:uid="{8E332121-172D-4CE3-830C-64EBB89E6CB3}"/>
    <cellStyle name="Normal 23" xfId="75" xr:uid="{DB6A6BF5-DDB4-454B-9671-9B4525D9FEF0}"/>
    <cellStyle name="Normal 24" xfId="76" xr:uid="{DB5E392E-84E8-49A0-A5E9-BE8B736EFA85}"/>
    <cellStyle name="Normal 25" xfId="77" xr:uid="{6753E3D1-5C90-4E93-BA77-A2FB0D20D5D4}"/>
    <cellStyle name="Normal 3" xfId="9" xr:uid="{00000000-0005-0000-0000-00000A000000}"/>
    <cellStyle name="Normal 3 2" xfId="23" xr:uid="{44D070A0-948A-45DA-8AFF-8A98BB90EB1D}"/>
    <cellStyle name="Normal 3 2 2" xfId="32" xr:uid="{4957CE97-0C4F-446D-8F13-BA568858B15F}"/>
    <cellStyle name="Normal 3 2 2 2" xfId="57" xr:uid="{2E853BA5-A6AB-4EF9-973C-19000D44968E}"/>
    <cellStyle name="Normal 3 2 3" xfId="79" xr:uid="{2702B235-7DDF-4A16-AFF9-4947AD331AEF}"/>
    <cellStyle name="Normal 3 3" xfId="41" xr:uid="{1D4DED44-E767-4414-A710-53A5E77B0231}"/>
    <cellStyle name="Normal 3 3 2" xfId="60" xr:uid="{105881E3-0498-4F49-93D5-84249EBD8B7E}"/>
    <cellStyle name="Normal 3 4" xfId="51" xr:uid="{775CBDBA-2355-47F1-8EDC-996CD2E9D14C}"/>
    <cellStyle name="Normal 3 5" xfId="55" xr:uid="{B67EF198-0A73-4423-9F40-46956DF79B03}"/>
    <cellStyle name="Normal 3 6" xfId="70" xr:uid="{147BF9F4-9920-475F-AFAF-1D72BEB5A6F8}"/>
    <cellStyle name="Normal 3 7" xfId="71" xr:uid="{C369A487-A923-4CFF-B26E-A8A707B5AE2D}"/>
    <cellStyle name="Normal 4" xfId="14" xr:uid="{00000000-0005-0000-0000-00000B000000}"/>
    <cellStyle name="Normal 4 2" xfId="10" xr:uid="{00000000-0005-0000-0000-00000C000000}"/>
    <cellStyle name="Normal 4 2 2" xfId="15" xr:uid="{00000000-0005-0000-0000-00000D000000}"/>
    <cellStyle name="Normal 4 2 3" xfId="40" xr:uid="{3CC09F86-6AF3-42B7-B59F-47E11B119A56}"/>
    <cellStyle name="Normal 4 3" xfId="31" xr:uid="{6720CF7E-3D28-49D4-A4F3-23A341275CC3}"/>
    <cellStyle name="Normal 4 3 2" xfId="48" xr:uid="{FF8D28D6-8DB2-418B-A317-8CA9F33A63C6}"/>
    <cellStyle name="Normal 4 4" xfId="53" xr:uid="{506DB73D-6B6B-40EF-85B4-52381B4717DA}"/>
    <cellStyle name="Normal 4 5" xfId="78" xr:uid="{29A6969F-54E4-4383-BF5F-A7F4F715B13A}"/>
    <cellStyle name="Normal 5" xfId="11" xr:uid="{00000000-0005-0000-0000-00000E000000}"/>
    <cellStyle name="Normal 5 2" xfId="3" xr:uid="{00000000-0005-0000-0000-00000F000000}"/>
    <cellStyle name="Normal 5 2 2" xfId="56" xr:uid="{349C0B77-1FB1-4403-84A0-A4B2133A156A}"/>
    <cellStyle name="Normal 5 3" xfId="29" xr:uid="{F16A05F5-F806-4902-9DAF-1592A0EB3B8F}"/>
    <cellStyle name="Normal 5 4" xfId="42" xr:uid="{A6EA1B92-714A-484D-87C5-6D1A3BC3F4D7}"/>
    <cellStyle name="Normal 6" xfId="16" xr:uid="{00000000-0005-0000-0000-000010000000}"/>
    <cellStyle name="Normal 6 2" xfId="33" xr:uid="{28DCBC0B-46D7-4D92-ADC4-A6E5B7FB0383}"/>
    <cellStyle name="Normal 6 2 2" xfId="58" xr:uid="{35024BBE-69E3-4A93-86D9-3A08FFADFD0D}"/>
    <cellStyle name="Normal 6 3" xfId="44" xr:uid="{A1A5671A-5779-4172-B339-E25C279C443B}"/>
    <cellStyle name="Normal 7" xfId="17" xr:uid="{00000000-0005-0000-0000-000011000000}"/>
    <cellStyle name="Normal 7 2" xfId="34" xr:uid="{F94E59D5-A861-4070-A967-F13E24BDD6F0}"/>
    <cellStyle name="Normal 7 2 2" xfId="49" xr:uid="{3C7963B8-B6CF-4FCF-93B3-DD71D3A617EC}"/>
    <cellStyle name="Normal 7 3" xfId="59" xr:uid="{31B347B4-04A7-4773-99FE-B93DBCB9EF51}"/>
    <cellStyle name="Normal 7 4" xfId="37" xr:uid="{82FD4FAA-650B-46FE-85A5-0119781775C0}"/>
    <cellStyle name="Normal 8" xfId="18" xr:uid="{00000000-0005-0000-0000-000012000000}"/>
    <cellStyle name="Normal 8 2" xfId="52" xr:uid="{2C19882A-370B-4CF1-8D87-E650A5A0EE91}"/>
    <cellStyle name="Normal 9" xfId="4" xr:uid="{00000000-0005-0000-0000-000013000000}"/>
    <cellStyle name="Normal 9 2" xfId="80" xr:uid="{8B69E301-AFA8-488E-94F8-DE9EB7E34FB9}"/>
    <cellStyle name="Normal_Quick data" xfId="21" xr:uid="{00000000-0005-0000-0000-000015000000}"/>
    <cellStyle name="Percent 2" xfId="12" xr:uid="{00000000-0005-0000-0000-00001B000000}"/>
    <cellStyle name="Percent 2 2" xfId="2" xr:uid="{00000000-0005-0000-0000-00001C000000}"/>
  </cellStyles>
  <dxfs count="0"/>
  <tableStyles count="0" defaultTableStyle="TableStyleMedium2" defaultPivotStyle="PivotStyleLight16"/>
  <colors>
    <mruColors>
      <color rgb="FFF6FAF4"/>
      <color rgb="FFFCFDFE"/>
      <color rgb="FFF1F7ED"/>
      <color rgb="FF003300"/>
      <color rgb="FF336600"/>
      <color rgb="FF2F75B5"/>
      <color rgb="FFFF3399"/>
      <color rgb="FF003399"/>
      <color rgb="FF7E540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/>
              <a:t>Percentage change of tourist arrivals and bed-nights compared to same month of previous year, 2024-2025</a:t>
            </a:r>
          </a:p>
        </c:rich>
      </c:tx>
      <c:layout>
        <c:manualLayout>
          <c:xMode val="edge"/>
          <c:yMode val="edge"/>
          <c:x val="0.11194573145742112"/>
          <c:y val="3.7716023139183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1273101123789999E-2"/>
          <c:y val="0.13004934030374077"/>
          <c:w val="0.93653384236061399"/>
          <c:h val="0.78658340081509959"/>
        </c:manualLayout>
      </c:layout>
      <c:lineChart>
        <c:grouping val="standard"/>
        <c:varyColors val="0"/>
        <c:ser>
          <c:idx val="0"/>
          <c:order val="0"/>
          <c:tx>
            <c:strRef>
              <c:f>'10.9'!$R$5</c:f>
              <c:strCache>
                <c:ptCount val="1"/>
                <c:pt idx="0">
                  <c:v>Tourist Bed-nights*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'10.9'!$AM$50:$AM$61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'10.9'!$O$9:$O$20</c:f>
              <c:numCache>
                <c:formatCode>#,##0.0</c:formatCode>
                <c:ptCount val="12"/>
                <c:pt idx="0">
                  <c:v>3.2500704877739484</c:v>
                </c:pt>
                <c:pt idx="1">
                  <c:v>-6.5007486914409824</c:v>
                </c:pt>
                <c:pt idx="2">
                  <c:v>-5.4946233991274411</c:v>
                </c:pt>
                <c:pt idx="3">
                  <c:v>-3.8377577291217269</c:v>
                </c:pt>
                <c:pt idx="4">
                  <c:v>1.8621332990598205</c:v>
                </c:pt>
                <c:pt idx="5">
                  <c:v>4.005089417364216</c:v>
                </c:pt>
                <c:pt idx="6">
                  <c:v>9.2740242696870858</c:v>
                </c:pt>
                <c:pt idx="7">
                  <c:v>6.1713420275911757</c:v>
                </c:pt>
                <c:pt idx="8">
                  <c:v>11.605909838246742</c:v>
                </c:pt>
                <c:pt idx="9">
                  <c:v>4.8310560320831808</c:v>
                </c:pt>
                <c:pt idx="10">
                  <c:v>12.357846189572452</c:v>
                </c:pt>
                <c:pt idx="11">
                  <c:v>4.4320974201219832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DE-431C-B417-85C814120BDD}"/>
            </c:ext>
          </c:extLst>
        </c:ser>
        <c:ser>
          <c:idx val="2"/>
          <c:order val="1"/>
          <c:tx>
            <c:strRef>
              <c:f>'10.9'!$T$5</c:f>
              <c:strCache>
                <c:ptCount val="1"/>
                <c:pt idx="0">
                  <c:v>Tourist Arrivals </c:v>
                </c:pt>
              </c:strCache>
            </c:strRef>
          </c:tx>
          <c:spPr>
            <a:ln w="28575" cap="rnd">
              <a:solidFill>
                <a:srgbClr val="336600"/>
              </a:solidFill>
              <a:round/>
            </a:ln>
            <a:effectLst/>
          </c:spPr>
          <c:marker>
            <c:symbol val="none"/>
          </c:marker>
          <c:cat>
            <c:strRef>
              <c:f>'10.9'!$AM$50:$AM$61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'10.9'!$Q$9:$Q$20</c:f>
              <c:numCache>
                <c:formatCode>#,##0.0</c:formatCode>
                <c:ptCount val="12"/>
                <c:pt idx="0">
                  <c:v>11.683863087039015</c:v>
                </c:pt>
                <c:pt idx="1">
                  <c:v>-1.5184551409435532</c:v>
                </c:pt>
                <c:pt idx="2">
                  <c:v>4.7578349045189317</c:v>
                </c:pt>
                <c:pt idx="3">
                  <c:v>17.792190822375066</c:v>
                </c:pt>
                <c:pt idx="4">
                  <c:v>13.129509906152247</c:v>
                </c:pt>
                <c:pt idx="5">
                  <c:v>14.996268777781374</c:v>
                </c:pt>
                <c:pt idx="6">
                  <c:v>11.466739888257482</c:v>
                </c:pt>
                <c:pt idx="7">
                  <c:v>9.0154675748545401</c:v>
                </c:pt>
                <c:pt idx="8">
                  <c:v>12.626981437554118</c:v>
                </c:pt>
                <c:pt idx="9">
                  <c:v>10.325510801119208</c:v>
                </c:pt>
                <c:pt idx="10">
                  <c:v>12.798649609508228</c:v>
                </c:pt>
                <c:pt idx="11">
                  <c:v>7.4050148339553923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10-42B2-8870-4B5A4AB82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4921648"/>
        <c:axId val="404914984"/>
        <c:extLst/>
      </c:lineChart>
      <c:catAx>
        <c:axId val="404921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22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914984"/>
        <c:crosses val="autoZero"/>
        <c:auto val="1"/>
        <c:lblAlgn val="ctr"/>
        <c:lblOffset val="100"/>
        <c:noMultiLvlLbl val="0"/>
      </c:catAx>
      <c:valAx>
        <c:axId val="404914984"/>
        <c:scaling>
          <c:orientation val="minMax"/>
          <c:min val="-20"/>
        </c:scaling>
        <c:delete val="0"/>
        <c:axPos val="l"/>
        <c:majorGridlines>
          <c:spPr>
            <a:ln w="9525" cap="flat" cmpd="sng" algn="ctr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solidFill>
            <a:schemeClr val="accent6">
              <a:lumMod val="20000"/>
              <a:lumOff val="80000"/>
            </a:schemeClr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921648"/>
        <c:crosses val="autoZero"/>
        <c:crossBetween val="between"/>
        <c:majorUnit val="10"/>
      </c:valAx>
      <c:spPr>
        <a:solidFill>
          <a:srgbClr val="F6FAF4"/>
        </a:solidFill>
        <a:ln>
          <a:solidFill>
            <a:schemeClr val="accent6">
              <a:lumMod val="40000"/>
              <a:lumOff val="6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49336037343592182"/>
          <c:y val="0.71892695494602399"/>
          <c:w val="0.3659376575503055"/>
          <c:h val="9.02244807082798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29172</xdr:colOff>
      <xdr:row>24</xdr:row>
      <xdr:rowOff>73677</xdr:rowOff>
    </xdr:from>
    <xdr:to>
      <xdr:col>17</xdr:col>
      <xdr:colOff>664953</xdr:colOff>
      <xdr:row>39</xdr:row>
      <xdr:rowOff>149054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278561</xdr:colOff>
      <xdr:row>38</xdr:row>
      <xdr:rowOff>109258</xdr:rowOff>
    </xdr:from>
    <xdr:to>
      <xdr:col>10</xdr:col>
      <xdr:colOff>368420</xdr:colOff>
      <xdr:row>39</xdr:row>
      <xdr:rowOff>143775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 txBox="1"/>
      </xdr:nvSpPr>
      <xdr:spPr>
        <a:xfrm>
          <a:off x="4052618" y="8717701"/>
          <a:ext cx="2839528" cy="2322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Tourist Bed night  include resorts/hotels/safaris &amp; guesthouses</a:t>
          </a:r>
          <a:endParaRPr lang="en-US" sz="800">
            <a:effectLst/>
          </a:endParaRPr>
        </a:p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W61"/>
  <sheetViews>
    <sheetView tabSelected="1" zoomScaleNormal="100" zoomScaleSheetLayoutView="106" workbookViewId="0">
      <selection activeCell="V12" sqref="V12"/>
    </sheetView>
  </sheetViews>
  <sheetFormatPr defaultColWidth="9.140625" defaultRowHeight="15.75"/>
  <cols>
    <col min="1" max="1" width="16.42578125" style="6" customWidth="1"/>
    <col min="2" max="7" width="10.28515625" style="6" customWidth="1"/>
    <col min="8" max="8" width="0.85546875" style="6" customWidth="1"/>
    <col min="9" max="14" width="10" style="6" customWidth="1"/>
    <col min="15" max="15" width="17.28515625" style="6" customWidth="1"/>
    <col min="16" max="16" width="1.5703125" style="6" customWidth="1"/>
    <col min="17" max="17" width="13.140625" style="6" customWidth="1"/>
    <col min="18" max="18" width="17.140625" style="6" customWidth="1"/>
    <col min="19" max="19" width="2.42578125" style="6" customWidth="1"/>
    <col min="20" max="20" width="12.85546875" style="6" customWidth="1"/>
    <col min="21" max="21" width="12.7109375" style="27" customWidth="1"/>
    <col min="22" max="22" width="3.85546875" style="6" customWidth="1"/>
    <col min="23" max="23" width="11.7109375" style="6" customWidth="1"/>
    <col min="24" max="16384" width="9.140625" style="6"/>
  </cols>
  <sheetData>
    <row r="1" spans="1:22" ht="19.5">
      <c r="A1" s="63" t="s">
        <v>57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9"/>
    </row>
    <row r="2" spans="1:22" s="21" customFormat="1" ht="22.5" customHeight="1">
      <c r="A2" s="64" t="s">
        <v>56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</row>
    <row r="3" spans="1:22" s="5" customFormat="1" ht="12.75" customHeight="1">
      <c r="A3" s="66" t="s">
        <v>2</v>
      </c>
      <c r="B3" s="74" t="s">
        <v>26</v>
      </c>
      <c r="C3" s="74"/>
      <c r="D3" s="74"/>
      <c r="E3" s="74"/>
      <c r="F3" s="74"/>
      <c r="G3" s="74"/>
      <c r="H3" s="36"/>
      <c r="I3" s="75" t="s">
        <v>27</v>
      </c>
      <c r="J3" s="74"/>
      <c r="K3" s="74"/>
      <c r="L3" s="74"/>
      <c r="M3" s="74"/>
      <c r="N3" s="76"/>
      <c r="O3" s="83" t="s">
        <v>28</v>
      </c>
      <c r="P3" s="84"/>
      <c r="Q3" s="85"/>
      <c r="R3" s="84" t="s">
        <v>29</v>
      </c>
      <c r="S3" s="84"/>
      <c r="T3" s="84"/>
      <c r="U3" s="69" t="s">
        <v>30</v>
      </c>
    </row>
    <row r="4" spans="1:22" s="5" customFormat="1" ht="18.75" customHeight="1">
      <c r="A4" s="67"/>
      <c r="B4" s="62"/>
      <c r="C4" s="62"/>
      <c r="D4" s="62"/>
      <c r="E4" s="62"/>
      <c r="F4" s="62"/>
      <c r="G4" s="62"/>
      <c r="H4" s="37"/>
      <c r="I4" s="77"/>
      <c r="J4" s="62"/>
      <c r="K4" s="62"/>
      <c r="L4" s="62"/>
      <c r="M4" s="62"/>
      <c r="N4" s="78"/>
      <c r="O4" s="86" t="s">
        <v>31</v>
      </c>
      <c r="P4" s="87"/>
      <c r="Q4" s="88"/>
      <c r="R4" s="89" t="s">
        <v>32</v>
      </c>
      <c r="S4" s="89"/>
      <c r="T4" s="89"/>
      <c r="U4" s="70"/>
    </row>
    <row r="5" spans="1:22" s="5" customFormat="1" ht="18.75" customHeight="1">
      <c r="A5" s="67"/>
      <c r="B5" s="72" t="s">
        <v>33</v>
      </c>
      <c r="C5" s="72"/>
      <c r="D5" s="72"/>
      <c r="E5" s="72"/>
      <c r="F5" s="72"/>
      <c r="G5" s="72"/>
      <c r="H5" s="39"/>
      <c r="I5" s="79" t="s">
        <v>34</v>
      </c>
      <c r="J5" s="72"/>
      <c r="K5" s="72"/>
      <c r="L5" s="72"/>
      <c r="M5" s="72"/>
      <c r="N5" s="80"/>
      <c r="O5" s="47" t="s">
        <v>26</v>
      </c>
      <c r="P5" s="29"/>
      <c r="Q5" s="30" t="s">
        <v>27</v>
      </c>
      <c r="R5" s="10" t="s">
        <v>26</v>
      </c>
      <c r="S5" s="10"/>
      <c r="T5" s="10" t="s">
        <v>27</v>
      </c>
      <c r="U5" s="70"/>
    </row>
    <row r="6" spans="1:22" s="5" customFormat="1" ht="37.5">
      <c r="A6" s="67"/>
      <c r="B6" s="73"/>
      <c r="C6" s="73"/>
      <c r="D6" s="73"/>
      <c r="E6" s="73"/>
      <c r="F6" s="73"/>
      <c r="G6" s="73"/>
      <c r="H6" s="38"/>
      <c r="I6" s="81"/>
      <c r="J6" s="73"/>
      <c r="K6" s="73"/>
      <c r="L6" s="73"/>
      <c r="M6" s="73"/>
      <c r="N6" s="82"/>
      <c r="O6" s="49" t="s">
        <v>33</v>
      </c>
      <c r="P6" s="11"/>
      <c r="Q6" s="12" t="s">
        <v>34</v>
      </c>
      <c r="R6" s="48" t="s">
        <v>33</v>
      </c>
      <c r="S6" s="13"/>
      <c r="T6" s="13" t="s">
        <v>34</v>
      </c>
      <c r="U6" s="70"/>
    </row>
    <row r="7" spans="1:22" s="15" customFormat="1" ht="12.75">
      <c r="A7" s="68"/>
      <c r="B7" s="8">
        <v>2020</v>
      </c>
      <c r="C7" s="8">
        <v>2021</v>
      </c>
      <c r="D7" s="8">
        <v>2022</v>
      </c>
      <c r="E7" s="8">
        <v>2023</v>
      </c>
      <c r="F7" s="8">
        <v>2024</v>
      </c>
      <c r="G7" s="8">
        <v>2025</v>
      </c>
      <c r="H7" s="40"/>
      <c r="I7" s="14">
        <v>2020</v>
      </c>
      <c r="J7" s="14">
        <v>2021</v>
      </c>
      <c r="K7" s="14">
        <v>2022</v>
      </c>
      <c r="L7" s="14">
        <v>2023</v>
      </c>
      <c r="M7" s="14">
        <v>2024</v>
      </c>
      <c r="N7" s="55">
        <v>2025</v>
      </c>
      <c r="O7" s="59" t="s">
        <v>53</v>
      </c>
      <c r="P7" s="60"/>
      <c r="Q7" s="61"/>
      <c r="R7" s="62">
        <v>2025</v>
      </c>
      <c r="S7" s="62"/>
      <c r="T7" s="62"/>
      <c r="U7" s="71"/>
    </row>
    <row r="8" spans="1:22" s="5" customFormat="1" ht="19.5" customHeight="1">
      <c r="A8" s="16" t="s">
        <v>0</v>
      </c>
      <c r="B8" s="2">
        <f t="shared" ref="B8:G8" si="0">SUM(B9:B20)</f>
        <v>3984712.4466208597</v>
      </c>
      <c r="C8" s="2">
        <f t="shared" si="0"/>
        <v>10073404.431001486</v>
      </c>
      <c r="D8" s="2">
        <f t="shared" si="0"/>
        <v>12260108.330737725</v>
      </c>
      <c r="E8" s="2">
        <f t="shared" si="0"/>
        <v>12906378.346717887</v>
      </c>
      <c r="F8" s="2">
        <f t="shared" si="0"/>
        <v>13396034.456283361</v>
      </c>
      <c r="G8" s="2">
        <f t="shared" si="0"/>
        <v>13773172.43068756</v>
      </c>
      <c r="H8" s="57"/>
      <c r="I8" s="2">
        <f t="shared" ref="I8:N8" si="1">SUM(I9:I20)</f>
        <v>555494</v>
      </c>
      <c r="J8" s="2">
        <f t="shared" si="1"/>
        <v>1321937</v>
      </c>
      <c r="K8" s="2">
        <f t="shared" si="1"/>
        <v>1675303</v>
      </c>
      <c r="L8" s="56">
        <f t="shared" si="1"/>
        <v>1878543</v>
      </c>
      <c r="M8" s="56">
        <f t="shared" si="1"/>
        <v>2046615</v>
      </c>
      <c r="N8" s="57">
        <f t="shared" si="1"/>
        <v>2246516</v>
      </c>
      <c r="O8" s="50">
        <f>((G8/F8)-1)*100</f>
        <v>2.8152956431618081</v>
      </c>
      <c r="P8" s="53"/>
      <c r="Q8" s="51">
        <f>((N8/M8)-1)*100</f>
        <v>9.7673964082155109</v>
      </c>
      <c r="R8" s="33" t="s">
        <v>35</v>
      </c>
      <c r="S8" s="54"/>
      <c r="T8" s="54" t="s">
        <v>35</v>
      </c>
      <c r="U8" s="22" t="s">
        <v>1</v>
      </c>
    </row>
    <row r="9" spans="1:22" s="5" customFormat="1" ht="19.5" customHeight="1">
      <c r="A9" s="17" t="s">
        <v>3</v>
      </c>
      <c r="B9" s="3">
        <v>1142718.3892667082</v>
      </c>
      <c r="C9" s="3">
        <v>835150.4711577181</v>
      </c>
      <c r="D9" s="3">
        <v>1150713.3636085521</v>
      </c>
      <c r="E9" s="3">
        <v>1340468.7854954551</v>
      </c>
      <c r="F9" s="3">
        <v>1355654.80680841</v>
      </c>
      <c r="G9" s="3">
        <v>1399714.543600579</v>
      </c>
      <c r="H9" s="34"/>
      <c r="I9" s="3">
        <v>173347</v>
      </c>
      <c r="J9" s="3">
        <v>92103</v>
      </c>
      <c r="K9" s="3">
        <v>131765</v>
      </c>
      <c r="L9" s="3">
        <v>172499</v>
      </c>
      <c r="M9" s="3">
        <v>192385</v>
      </c>
      <c r="N9" s="34">
        <v>214863</v>
      </c>
      <c r="O9" s="45">
        <f>((G9/F9)-1)*100</f>
        <v>3.2500704877739484</v>
      </c>
      <c r="P9" s="41"/>
      <c r="Q9" s="42">
        <f t="shared" ref="Q9:Q20" si="2">((N9/M9)-1)*100</f>
        <v>11.683863087039015</v>
      </c>
      <c r="R9" s="90">
        <f>((G9/F20)-1)*100</f>
        <v>8.3906417199198557</v>
      </c>
      <c r="S9" s="90"/>
      <c r="T9" s="90">
        <f>((N9/M20)-1)*100</f>
        <v>2.8151019236290598</v>
      </c>
      <c r="U9" s="23" t="s">
        <v>36</v>
      </c>
    </row>
    <row r="10" spans="1:22" s="5" customFormat="1" ht="19.5" customHeight="1">
      <c r="A10" s="17" t="s">
        <v>4</v>
      </c>
      <c r="B10" s="3">
        <v>1020309.6683010989</v>
      </c>
      <c r="C10" s="3">
        <v>762505.95470010396</v>
      </c>
      <c r="D10" s="3">
        <v>1100758.9602994234</v>
      </c>
      <c r="E10" s="3">
        <v>1282815.6760906836</v>
      </c>
      <c r="F10" s="3">
        <v>1445336.547882424</v>
      </c>
      <c r="G10" s="3">
        <v>1351378.851159039</v>
      </c>
      <c r="H10" s="34"/>
      <c r="I10" s="3">
        <v>149785</v>
      </c>
      <c r="J10" s="3">
        <v>96882</v>
      </c>
      <c r="K10" s="3">
        <v>149011</v>
      </c>
      <c r="L10" s="3">
        <v>177915</v>
      </c>
      <c r="M10" s="3">
        <v>217392</v>
      </c>
      <c r="N10" s="34">
        <v>214091</v>
      </c>
      <c r="O10" s="45">
        <f>((G10/F10)-1)*100</f>
        <v>-6.5007486914409824</v>
      </c>
      <c r="P10" s="41"/>
      <c r="Q10" s="42">
        <f t="shared" si="2"/>
        <v>-1.5184551409435532</v>
      </c>
      <c r="R10" s="90">
        <f>((G10/G9)-1)*100</f>
        <v>-3.4532535696316313</v>
      </c>
      <c r="S10" s="90"/>
      <c r="T10" s="90">
        <f t="shared" ref="T10:T20" si="3">((N10/N9)-1)*100</f>
        <v>-0.35929871592595974</v>
      </c>
      <c r="U10" s="23" t="s">
        <v>37</v>
      </c>
    </row>
    <row r="11" spans="1:22" s="5" customFormat="1" ht="19.5" customHeight="1">
      <c r="A11" s="17" t="s">
        <v>5</v>
      </c>
      <c r="B11" s="3">
        <v>562302.20507965644</v>
      </c>
      <c r="C11" s="3">
        <v>870255.05357418919</v>
      </c>
      <c r="D11" s="3">
        <v>1137971.7070753367</v>
      </c>
      <c r="E11" s="3">
        <v>1244688.7864587356</v>
      </c>
      <c r="F11" s="3">
        <v>1351682.5927891524</v>
      </c>
      <c r="G11" s="3">
        <v>1277412.7247638272</v>
      </c>
      <c r="H11" s="34"/>
      <c r="I11" s="3">
        <v>59630</v>
      </c>
      <c r="J11" s="3">
        <v>109585</v>
      </c>
      <c r="K11" s="3">
        <v>150748</v>
      </c>
      <c r="L11" s="3">
        <v>173514</v>
      </c>
      <c r="M11" s="3">
        <v>194227</v>
      </c>
      <c r="N11" s="34">
        <v>203468</v>
      </c>
      <c r="O11" s="45">
        <f>((G11/F11)-1)*100</f>
        <v>-5.4946233991274411</v>
      </c>
      <c r="P11" s="41"/>
      <c r="Q11" s="42">
        <f t="shared" si="2"/>
        <v>4.7578349045189317</v>
      </c>
      <c r="R11" s="90">
        <f>((G11/G10)-1)*100</f>
        <v>-5.4733819707014959</v>
      </c>
      <c r="S11" s="90"/>
      <c r="T11" s="90">
        <f t="shared" si="3"/>
        <v>-4.9619087210578723</v>
      </c>
      <c r="U11" s="23" t="s">
        <v>38</v>
      </c>
    </row>
    <row r="12" spans="1:22" s="5" customFormat="1" ht="19.5" customHeight="1">
      <c r="A12" s="17" t="s">
        <v>6</v>
      </c>
      <c r="B12" s="3">
        <v>8844.0202622169236</v>
      </c>
      <c r="C12" s="3">
        <v>745954.3638272509</v>
      </c>
      <c r="D12" s="3">
        <v>1074531.6077666467</v>
      </c>
      <c r="E12" s="3">
        <v>1165424.0233137847</v>
      </c>
      <c r="F12" s="3">
        <v>1188309.5422471706</v>
      </c>
      <c r="G12" s="3">
        <v>1142705.1009436888</v>
      </c>
      <c r="H12" s="34"/>
      <c r="I12" s="3">
        <v>13</v>
      </c>
      <c r="J12" s="3">
        <v>91200</v>
      </c>
      <c r="K12" s="3">
        <v>145282</v>
      </c>
      <c r="L12" s="3">
        <v>164357</v>
      </c>
      <c r="M12" s="3">
        <v>168366</v>
      </c>
      <c r="N12" s="34">
        <v>198322</v>
      </c>
      <c r="O12" s="45">
        <f>((G12/F12)-1)*100</f>
        <v>-3.8377577291217269</v>
      </c>
      <c r="P12" s="41"/>
      <c r="Q12" s="42">
        <f t="shared" si="2"/>
        <v>17.792190822375066</v>
      </c>
      <c r="R12" s="90">
        <f>((G12/G11)-1)*100</f>
        <v>-10.545348516474473</v>
      </c>
      <c r="S12" s="90"/>
      <c r="T12" s="90">
        <f t="shared" si="3"/>
        <v>-2.5291446320797384</v>
      </c>
      <c r="U12" s="23" t="s">
        <v>39</v>
      </c>
    </row>
    <row r="13" spans="1:22" s="5" customFormat="1" ht="19.5" customHeight="1">
      <c r="A13" s="17" t="s">
        <v>7</v>
      </c>
      <c r="B13" s="3">
        <v>4776.6211552888226</v>
      </c>
      <c r="C13" s="3">
        <v>600186.25359946059</v>
      </c>
      <c r="D13" s="3">
        <v>860190.70555042452</v>
      </c>
      <c r="E13" s="3">
        <v>825161.40556539781</v>
      </c>
      <c r="F13" s="3">
        <v>844964.56969831802</v>
      </c>
      <c r="G13" s="3">
        <v>860698.93631592789</v>
      </c>
      <c r="H13" s="34"/>
      <c r="I13" s="3">
        <v>41</v>
      </c>
      <c r="J13" s="3">
        <v>64613</v>
      </c>
      <c r="K13" s="3">
        <v>125528</v>
      </c>
      <c r="L13" s="3">
        <v>120959</v>
      </c>
      <c r="M13" s="3">
        <v>119875</v>
      </c>
      <c r="N13" s="34">
        <v>135614</v>
      </c>
      <c r="O13" s="45">
        <f>((G13/F13)-1)*100</f>
        <v>1.8621332990598205</v>
      </c>
      <c r="P13" s="41"/>
      <c r="Q13" s="42">
        <f t="shared" si="2"/>
        <v>13.129509906152247</v>
      </c>
      <c r="R13" s="90">
        <f>((G13/G12)-1)*100</f>
        <v>-24.678822593411866</v>
      </c>
      <c r="S13" s="90"/>
      <c r="T13" s="90">
        <f t="shared" si="3"/>
        <v>-31.61928580792852</v>
      </c>
      <c r="U13" s="23" t="s">
        <v>40</v>
      </c>
    </row>
    <row r="14" spans="1:22" s="5" customFormat="1" ht="19.5" customHeight="1">
      <c r="A14" s="17" t="s">
        <v>8</v>
      </c>
      <c r="B14" s="3">
        <v>2325.8011569052783</v>
      </c>
      <c r="C14" s="3">
        <v>466724.87904852029</v>
      </c>
      <c r="D14" s="3">
        <v>780785.81253420108</v>
      </c>
      <c r="E14" s="3">
        <v>796244.65711217758</v>
      </c>
      <c r="F14" s="3">
        <v>729967.86967879685</v>
      </c>
      <c r="G14" s="3">
        <v>759203.73557746143</v>
      </c>
      <c r="H14" s="34"/>
      <c r="I14" s="3">
        <v>1</v>
      </c>
      <c r="J14" s="3">
        <v>56166</v>
      </c>
      <c r="K14" s="3">
        <v>110885</v>
      </c>
      <c r="L14" s="3">
        <v>120363</v>
      </c>
      <c r="M14" s="3">
        <v>123284</v>
      </c>
      <c r="N14" s="34">
        <v>141772</v>
      </c>
      <c r="O14" s="45">
        <f>((G14/F14)-1)*100</f>
        <v>4.005089417364216</v>
      </c>
      <c r="P14" s="41"/>
      <c r="Q14" s="42">
        <f t="shared" si="2"/>
        <v>14.996268777781374</v>
      </c>
      <c r="R14" s="90">
        <f>((G14/G13)-1)*100</f>
        <v>-11.792183823637448</v>
      </c>
      <c r="S14" s="90"/>
      <c r="T14" s="90">
        <f t="shared" si="3"/>
        <v>4.5408291179376725</v>
      </c>
      <c r="U14" s="23" t="s">
        <v>41</v>
      </c>
    </row>
    <row r="15" spans="1:22" s="5" customFormat="1" ht="19.5" customHeight="1">
      <c r="A15" s="17" t="s">
        <v>9</v>
      </c>
      <c r="B15" s="3">
        <v>24673.424657534248</v>
      </c>
      <c r="C15" s="3">
        <v>768789.25980959879</v>
      </c>
      <c r="D15" s="3">
        <v>993898.20842588414</v>
      </c>
      <c r="E15" s="3">
        <v>909846.38488471729</v>
      </c>
      <c r="F15" s="3">
        <v>1063956.5749842592</v>
      </c>
      <c r="G15" s="3">
        <v>1162628.1659672309</v>
      </c>
      <c r="H15" s="34"/>
      <c r="I15" s="3">
        <v>1752</v>
      </c>
      <c r="J15" s="3">
        <v>101818</v>
      </c>
      <c r="K15" s="3">
        <v>133561</v>
      </c>
      <c r="L15" s="3">
        <v>145620</v>
      </c>
      <c r="M15" s="3">
        <v>167528</v>
      </c>
      <c r="N15" s="34">
        <v>186738</v>
      </c>
      <c r="O15" s="45">
        <f>((G15/F15)-1)*100</f>
        <v>9.2740242696870858</v>
      </c>
      <c r="P15" s="41"/>
      <c r="Q15" s="42">
        <f t="shared" si="2"/>
        <v>11.466739888257482</v>
      </c>
      <c r="R15" s="90">
        <f>((G15/G14)-1)*100</f>
        <v>53.137835271966757</v>
      </c>
      <c r="S15" s="90"/>
      <c r="T15" s="90">
        <f t="shared" si="3"/>
        <v>31.71712326834637</v>
      </c>
      <c r="U15" s="23" t="s">
        <v>42</v>
      </c>
    </row>
    <row r="16" spans="1:22" s="5" customFormat="1" ht="19.5" customHeight="1">
      <c r="A16" s="17" t="s">
        <v>10</v>
      </c>
      <c r="B16" s="3">
        <v>71370.69478742512</v>
      </c>
      <c r="C16" s="3">
        <v>1013739.7157784224</v>
      </c>
      <c r="D16" s="3">
        <v>1061929.1703655317</v>
      </c>
      <c r="E16" s="3">
        <v>1108996.2484387148</v>
      </c>
      <c r="F16" s="3">
        <v>1168069.9354006492</v>
      </c>
      <c r="G16" s="3">
        <v>1240155.5262356866</v>
      </c>
      <c r="H16" s="34"/>
      <c r="I16" s="3">
        <v>7636</v>
      </c>
      <c r="J16" s="3">
        <v>143599</v>
      </c>
      <c r="K16" s="3">
        <v>131863</v>
      </c>
      <c r="L16" s="3">
        <v>154854</v>
      </c>
      <c r="M16" s="3">
        <v>176175</v>
      </c>
      <c r="N16" s="34">
        <v>192058</v>
      </c>
      <c r="O16" s="45">
        <f>((G16/F16)-1)*100</f>
        <v>6.1713420275911757</v>
      </c>
      <c r="P16" s="41"/>
      <c r="Q16" s="42">
        <f t="shared" si="2"/>
        <v>9.0154675748545401</v>
      </c>
      <c r="R16" s="90">
        <f>((G16/G15)-1)*100</f>
        <v>6.6682850577560071</v>
      </c>
      <c r="S16" s="90"/>
      <c r="T16" s="90">
        <f t="shared" si="3"/>
        <v>2.8489113088926654</v>
      </c>
      <c r="U16" s="23" t="s">
        <v>43</v>
      </c>
    </row>
    <row r="17" spans="1:21" s="5" customFormat="1" ht="19.5" customHeight="1">
      <c r="A17" s="17" t="s">
        <v>11</v>
      </c>
      <c r="B17" s="3">
        <v>75367.862102161744</v>
      </c>
      <c r="C17" s="3">
        <v>740309.24717153108</v>
      </c>
      <c r="D17" s="3">
        <v>807036.36245775828</v>
      </c>
      <c r="E17" s="3">
        <v>852131.42220048269</v>
      </c>
      <c r="F17" s="3">
        <v>824870.71590045677</v>
      </c>
      <c r="G17" s="3">
        <v>920604.46746996418</v>
      </c>
      <c r="H17" s="34"/>
      <c r="I17" s="3">
        <v>9605</v>
      </c>
      <c r="J17" s="3">
        <v>114896</v>
      </c>
      <c r="K17" s="3">
        <v>111986</v>
      </c>
      <c r="L17" s="3">
        <v>130967</v>
      </c>
      <c r="M17" s="3">
        <v>132795</v>
      </c>
      <c r="N17" s="34">
        <v>149563</v>
      </c>
      <c r="O17" s="45">
        <f>((G17/F17)-1)*100</f>
        <v>11.605909838246742</v>
      </c>
      <c r="P17" s="41"/>
      <c r="Q17" s="42">
        <f t="shared" si="2"/>
        <v>12.626981437554118</v>
      </c>
      <c r="R17" s="90">
        <f>((G17/G16)-1)*100</f>
        <v>-25.767014862698201</v>
      </c>
      <c r="S17" s="90"/>
      <c r="T17" s="90">
        <f t="shared" si="3"/>
        <v>-22.126128565329228</v>
      </c>
      <c r="U17" s="23" t="s">
        <v>44</v>
      </c>
    </row>
    <row r="18" spans="1:21" s="5" customFormat="1" ht="19.5" customHeight="1">
      <c r="A18" s="17" t="s">
        <v>12</v>
      </c>
      <c r="B18" s="3">
        <v>169709.08076305894</v>
      </c>
      <c r="C18" s="3">
        <v>1021099.3617678499</v>
      </c>
      <c r="D18" s="3">
        <v>1078513.3785202014</v>
      </c>
      <c r="E18" s="3">
        <v>1090723.7213819372</v>
      </c>
      <c r="F18" s="3">
        <v>1132452.3462620729</v>
      </c>
      <c r="G18" s="3">
        <v>1187161.7536466343</v>
      </c>
      <c r="H18" s="34"/>
      <c r="I18" s="3">
        <v>21515</v>
      </c>
      <c r="J18" s="3">
        <v>142066</v>
      </c>
      <c r="K18" s="3">
        <v>153737</v>
      </c>
      <c r="L18" s="3">
        <v>159141</v>
      </c>
      <c r="M18" s="3">
        <v>172621</v>
      </c>
      <c r="N18" s="34">
        <v>190445</v>
      </c>
      <c r="O18" s="45">
        <f>((G18/F18)-1)*100</f>
        <v>4.8310560320831808</v>
      </c>
      <c r="P18" s="41"/>
      <c r="Q18" s="42">
        <f t="shared" si="2"/>
        <v>10.325510801119208</v>
      </c>
      <c r="R18" s="90">
        <f>((G18/G17)-1)*100</f>
        <v>28.954594029858626</v>
      </c>
      <c r="S18" s="90"/>
      <c r="T18" s="90">
        <f t="shared" si="3"/>
        <v>27.334300595735584</v>
      </c>
      <c r="U18" s="23" t="s">
        <v>45</v>
      </c>
    </row>
    <row r="19" spans="1:21" s="5" customFormat="1" ht="19.5" customHeight="1">
      <c r="A19" s="17" t="s">
        <v>13</v>
      </c>
      <c r="B19" s="3">
        <v>279030.28204043105</v>
      </c>
      <c r="C19" s="3">
        <v>1076875.0927833859</v>
      </c>
      <c r="D19" s="3">
        <v>1063273.9032417238</v>
      </c>
      <c r="E19" s="3">
        <v>1149201.6374202347</v>
      </c>
      <c r="F19" s="3">
        <v>999407.89117616706</v>
      </c>
      <c r="G19" s="3">
        <v>1122913.1811741674</v>
      </c>
      <c r="H19" s="34"/>
      <c r="I19" s="3">
        <v>35757</v>
      </c>
      <c r="J19" s="3">
        <v>144725</v>
      </c>
      <c r="K19" s="3">
        <v>146886</v>
      </c>
      <c r="L19" s="3">
        <v>163658</v>
      </c>
      <c r="M19" s="3">
        <v>172987</v>
      </c>
      <c r="N19" s="34">
        <v>195127</v>
      </c>
      <c r="O19" s="45">
        <f>((G19/F19)-1)*100</f>
        <v>12.357846189572452</v>
      </c>
      <c r="P19" s="41"/>
      <c r="Q19" s="42">
        <f t="shared" si="2"/>
        <v>12.798649609508228</v>
      </c>
      <c r="R19" s="90">
        <f>((G19/G18)-1)*100</f>
        <v>-5.4119476368837631</v>
      </c>
      <c r="S19" s="90"/>
      <c r="T19" s="90">
        <f t="shared" si="3"/>
        <v>2.4584525716085937</v>
      </c>
      <c r="U19" s="23" t="s">
        <v>46</v>
      </c>
    </row>
    <row r="20" spans="1:21" s="5" customFormat="1" ht="19.5" customHeight="1">
      <c r="A20" s="18" t="s">
        <v>14</v>
      </c>
      <c r="B20" s="4">
        <v>623284.39704837371</v>
      </c>
      <c r="C20" s="4">
        <v>1171814.7777834546</v>
      </c>
      <c r="D20" s="4">
        <v>1150505.1508920391</v>
      </c>
      <c r="E20" s="4">
        <v>1140675.598355568</v>
      </c>
      <c r="F20" s="4">
        <v>1291361.0634554827</v>
      </c>
      <c r="G20" s="4">
        <v>1348595.443833353</v>
      </c>
      <c r="H20" s="58"/>
      <c r="I20" s="4">
        <v>96412</v>
      </c>
      <c r="J20" s="4">
        <v>164284</v>
      </c>
      <c r="K20" s="4">
        <v>184051</v>
      </c>
      <c r="L20" s="4">
        <v>194696</v>
      </c>
      <c r="M20" s="4">
        <v>208980</v>
      </c>
      <c r="N20" s="58">
        <v>224455</v>
      </c>
      <c r="O20" s="46">
        <f>((G20/F20)-1)*100</f>
        <v>4.4320974201219832</v>
      </c>
      <c r="P20" s="43"/>
      <c r="Q20" s="44">
        <f t="shared" si="2"/>
        <v>7.4050148339553923</v>
      </c>
      <c r="R20" s="91">
        <f>((G20/G19)-1)*100</f>
        <v>20.097926219300621</v>
      </c>
      <c r="S20" s="92"/>
      <c r="T20" s="92">
        <f t="shared" si="3"/>
        <v>15.030211093287971</v>
      </c>
      <c r="U20" s="24" t="s">
        <v>47</v>
      </c>
    </row>
    <row r="21" spans="1:21" s="5" customFormat="1" ht="17.25">
      <c r="A21" s="1" t="s">
        <v>49</v>
      </c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28" t="s">
        <v>48</v>
      </c>
    </row>
    <row r="22" spans="1:21" s="5" customFormat="1" ht="15.75" customHeight="1">
      <c r="A22" s="1" t="s">
        <v>54</v>
      </c>
      <c r="U22" s="52" t="s">
        <v>55</v>
      </c>
    </row>
    <row r="23" spans="1:21" s="5" customFormat="1" ht="15.75" customHeight="1">
      <c r="A23" s="31" t="s">
        <v>50</v>
      </c>
      <c r="U23" s="25"/>
    </row>
    <row r="24" spans="1:21" s="5" customFormat="1" ht="15.75" customHeight="1">
      <c r="A24" s="32" t="s">
        <v>51</v>
      </c>
      <c r="U24" s="25"/>
    </row>
    <row r="25" spans="1:21" s="5" customFormat="1" ht="15.75" customHeight="1">
      <c r="A25" s="35" t="s">
        <v>52</v>
      </c>
      <c r="U25" s="25"/>
    </row>
    <row r="26" spans="1:21" s="5" customFormat="1" ht="15.75" customHeight="1">
      <c r="A26" s="1"/>
      <c r="U26" s="25"/>
    </row>
    <row r="27" spans="1:21" s="5" customFormat="1" ht="14.25"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25"/>
    </row>
    <row r="28" spans="1:21" s="5" customFormat="1" ht="14.25">
      <c r="A28" s="1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26"/>
    </row>
    <row r="29" spans="1:21" s="5" customFormat="1" ht="14.25" customHeight="1">
      <c r="A29" s="20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25"/>
    </row>
    <row r="31" spans="1:21" ht="1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26"/>
    </row>
    <row r="46" spans="38:49"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</row>
    <row r="50" spans="39:39">
      <c r="AM50" s="7" t="s">
        <v>15</v>
      </c>
    </row>
    <row r="51" spans="39:39">
      <c r="AM51" s="7" t="s">
        <v>16</v>
      </c>
    </row>
    <row r="52" spans="39:39">
      <c r="AM52" s="7" t="s">
        <v>17</v>
      </c>
    </row>
    <row r="53" spans="39:39">
      <c r="AM53" s="7" t="s">
        <v>18</v>
      </c>
    </row>
    <row r="54" spans="39:39">
      <c r="AM54" s="7" t="s">
        <v>7</v>
      </c>
    </row>
    <row r="55" spans="39:39">
      <c r="AM55" s="7" t="s">
        <v>19</v>
      </c>
    </row>
    <row r="56" spans="39:39">
      <c r="AM56" s="7" t="s">
        <v>20</v>
      </c>
    </row>
    <row r="57" spans="39:39">
      <c r="AM57" s="7" t="s">
        <v>21</v>
      </c>
    </row>
    <row r="58" spans="39:39">
      <c r="AM58" s="7" t="s">
        <v>22</v>
      </c>
    </row>
    <row r="59" spans="39:39">
      <c r="AM59" s="7" t="s">
        <v>23</v>
      </c>
    </row>
    <row r="60" spans="39:39">
      <c r="AM60" s="7" t="s">
        <v>24</v>
      </c>
    </row>
    <row r="61" spans="39:39">
      <c r="AM61" s="7" t="s">
        <v>25</v>
      </c>
    </row>
  </sheetData>
  <mergeCells count="14">
    <mergeCell ref="I5:N6"/>
    <mergeCell ref="I3:N4"/>
    <mergeCell ref="O7:Q7"/>
    <mergeCell ref="R7:T7"/>
    <mergeCell ref="A1:U1"/>
    <mergeCell ref="A2:U2"/>
    <mergeCell ref="A3:A7"/>
    <mergeCell ref="U3:U7"/>
    <mergeCell ref="O3:Q3"/>
    <mergeCell ref="R3:T3"/>
    <mergeCell ref="O4:Q4"/>
    <mergeCell ref="R4:T4"/>
    <mergeCell ref="B3:G4"/>
    <mergeCell ref="B5:G6"/>
  </mergeCells>
  <pageMargins left="0.7" right="0.7" top="0.75" bottom="0.75" header="0.3" footer="0.3"/>
  <pageSetup paperSize="9" scale="51" orientation="landscape" horizontalDpi="4294967295" verticalDpi="4294967295" r:id="rId1"/>
  <rowBreaks count="1" manualBreakCount="1">
    <brk id="48" max="1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10.9</vt:lpstr>
      <vt:lpstr>'10.9'!Print_Area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2026-06-11T09:44:09Z</cp:lastPrinted>
  <dcterms:created xsi:type="dcterms:W3CDTF">2019-02-27T06:18:18Z</dcterms:created>
  <dcterms:modified xsi:type="dcterms:W3CDTF">2026-06-11T09:44:26Z</dcterms:modified>
</cp:coreProperties>
</file>