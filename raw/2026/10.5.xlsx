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E9994F2B-588B-42D7-B2B8-AD3CF466C0A1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5" sheetId="5" r:id="rId1"/>
  </sheets>
  <definedNames>
    <definedName name="_xlnm.Print_Area" localSheetId="0">'10.5'!$A$1:$L$37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5" l="1"/>
  <c r="I17" i="5"/>
  <c r="I16" i="5"/>
  <c r="I15" i="5"/>
  <c r="I14" i="5"/>
  <c r="I13" i="5"/>
  <c r="I12" i="5"/>
  <c r="I11" i="5"/>
  <c r="I10" i="5"/>
  <c r="I9" i="5"/>
  <c r="I8" i="5"/>
  <c r="I7" i="5"/>
  <c r="K6" i="5"/>
  <c r="J6" i="5"/>
  <c r="H6" i="5"/>
  <c r="G6" i="5"/>
  <c r="I6" i="5" l="1"/>
  <c r="C6" i="5" l="1"/>
  <c r="B6" i="5"/>
  <c r="D18" i="5" l="1"/>
  <c r="D17" i="5"/>
  <c r="D16" i="5"/>
  <c r="D15" i="5"/>
  <c r="D14" i="5"/>
  <c r="D13" i="5"/>
  <c r="D12" i="5"/>
  <c r="D11" i="5"/>
  <c r="D10" i="5"/>
  <c r="D9" i="5"/>
  <c r="D8" i="5"/>
  <c r="D7" i="5"/>
  <c r="F6" i="5"/>
  <c r="E6" i="5"/>
  <c r="D6" i="5" l="1"/>
</calcChain>
</file>

<file path=xl/sharedStrings.xml><?xml version="1.0" encoding="utf-8"?>
<sst xmlns="http://schemas.openxmlformats.org/spreadsheetml/2006/main" count="40" uniqueCount="30">
  <si>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</si>
  <si>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</si>
  <si>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</si>
  <si>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</si>
  <si>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</si>
  <si>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</si>
  <si>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 xml:space="preserve">% share of registered beds in operation 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</si>
  <si>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</si>
  <si>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</si>
  <si>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</si>
  <si>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</si>
  <si>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</si>
  <si>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</si>
  <si>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</si>
  <si>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</si>
  <si>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</si>
  <si>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</si>
  <si>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</si>
  <si>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</si>
  <si>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</si>
  <si>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</si>
  <si>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</si>
  <si>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</si>
  <si>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</si>
  <si>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Beds in operation</t>
  </si>
  <si>
    <t>Source: Ministry Tourism and Civil Aviation</t>
  </si>
  <si>
    <t>މަޢުލޫމާތު ދެއްވީ: މިނިސްޓްރީ އޮފް ޓޫރިޒަމް އެންޑް ސިވިލް އޭވިއޭޝަން</t>
  </si>
  <si>
    <t>Bed Capacity Utilization Rate %</t>
  </si>
  <si>
    <t>2025 - 2024  ,urwvcnim unuverukcnunEb wgWjegudnea iaWa wgWj egudnea egukwtWToh uhwmcswmikea : 10.5 ulwvWt</t>
  </si>
  <si>
    <t>Table  10.5: BED CAPACITY AND UTILIZATION OF HOTELS BY MONTH, 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</si>
</sst>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7" formatCode="#,##0.0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8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171" fontId="14" fillId="0" borderId="0"/>
    <xf numFmtId="1" fontId="15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3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5" fillId="0" borderId="12" applyNumberFormat="0"/>
    <xf numFmtId="0" fontId="1" fillId="0" borderId="0"/>
    <xf numFmtId="0" fontId="3" fillId="0" borderId="0"/>
    <xf numFmtId="0" fontId="17" fillId="0" borderId="0" applyFill="0" applyProtection="0"/>
    <xf numFmtId="1" fontId="15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3" fillId="0" borderId="0"/>
    <xf numFmtId="0" fontId="17" fillId="0" borderId="0" applyFill="0" applyProtection="0"/>
    <xf numFmtId="1" fontId="15" fillId="0" borderId="12" applyNumberFormat="0"/>
    <xf numFmtId="0" fontId="1" fillId="0" borderId="0"/>
    <xf numFmtId="0" fontId="2" fillId="0" borderId="0"/>
    <xf numFmtId="0" fontId="18" fillId="0" borderId="0"/>
    <xf numFmtId="0" fontId="19" fillId="0" borderId="0"/>
    <xf numFmtId="0" fontId="2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0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 applyBorder="0"/>
    <xf numFmtId="0" fontId="1" fillId="0" borderId="0"/>
    <xf numFmtId="0" fontId="1" fillId="0" borderId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0" fontId="1" fillId="0" borderId="0"/>
    <xf numFmtId="0" fontId="1" fillId="0" borderId="0"/>
    <xf numFmtId="0" fontId="20" fillId="0" borderId="0" applyBorder="0"/>
    <xf numFmtId="0" fontId="20" fillId="0" borderId="0"/>
    <xf numFmtId="0" fontId="1" fillId="0" borderId="0"/>
    <xf numFmtId="0" fontId="3" fillId="0" borderId="0"/>
    <xf numFmtId="0" fontId="3" fillId="0" borderId="0"/>
    <xf numFmtId="1" fontId="15" fillId="0" borderId="12" applyNumberFormat="0"/>
    <xf numFmtId="0" fontId="20" fillId="0" borderId="0" applyBorder="0"/>
    <xf numFmtId="0" fontId="20" fillId="0" borderId="0" applyBorder="0"/>
    <xf numFmtId="0" fontId="3" fillId="0" borderId="0"/>
    <xf numFmtId="0" fontId="2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right" vertical="center"/>
    </xf>
    <xf numFmtId="3" fontId="7" fillId="2" borderId="2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right" vertical="center" wrapText="1"/>
    </xf>
    <xf numFmtId="0" fontId="6" fillId="2" borderId="9" xfId="0" applyFont="1" applyFill="1" applyBorder="1" applyAlignment="1">
      <alignment horizontal="right" vertical="center" wrapText="1"/>
    </xf>
    <xf numFmtId="37" fontId="8" fillId="2" borderId="7" xfId="0" applyNumberFormat="1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3" fontId="6" fillId="2" borderId="1" xfId="0" applyNumberFormat="1" applyFont="1" applyFill="1" applyBorder="1" applyAlignment="1">
      <alignment horizontal="center"/>
    </xf>
    <xf numFmtId="0" fontId="21" fillId="2" borderId="0" xfId="0" applyFont="1" applyFill="1"/>
    <xf numFmtId="0" fontId="12" fillId="2" borderId="0" xfId="0" applyFont="1" applyFill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/>
    </xf>
    <xf numFmtId="37" fontId="8" fillId="2" borderId="15" xfId="0" applyNumberFormat="1" applyFont="1" applyFill="1" applyBorder="1" applyAlignment="1">
      <alignment horizontal="right" vertical="center" wrapText="1"/>
    </xf>
    <xf numFmtId="0" fontId="6" fillId="2" borderId="8" xfId="0" applyFont="1" applyFill="1" applyBorder="1" applyAlignment="1">
      <alignment horizontal="right" vertical="center" wrapText="1"/>
    </xf>
    <xf numFmtId="3" fontId="6" fillId="2" borderId="13" xfId="0" applyNumberFormat="1" applyFont="1" applyFill="1" applyBorder="1" applyAlignment="1">
      <alignment horizontal="center"/>
    </xf>
    <xf numFmtId="167" fontId="6" fillId="2" borderId="0" xfId="0" applyNumberFormat="1" applyFont="1" applyFill="1" applyBorder="1" applyAlignment="1">
      <alignment horizontal="center"/>
    </xf>
    <xf numFmtId="3" fontId="6" fillId="2" borderId="5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center"/>
    </xf>
    <xf numFmtId="3" fontId="7" fillId="2" borderId="5" xfId="0" applyNumberFormat="1" applyFont="1" applyFill="1" applyBorder="1" applyAlignment="1">
      <alignment horizontal="right" vertical="center"/>
    </xf>
    <xf numFmtId="3" fontId="7" fillId="2" borderId="8" xfId="0" applyNumberFormat="1" applyFont="1" applyFill="1" applyBorder="1" applyAlignment="1">
      <alignment horizontal="right" vertical="center"/>
    </xf>
  </cellXfs>
  <cellStyles count="81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0 2" xfId="80" xr:uid="{AF4FE69F-9401-42FA-B027-EEF0FEB874E3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24" xfId="75" xr:uid="{DB5E392E-84E8-49A0-A5E9-BE8B736EFA85}"/>
    <cellStyle name="Normal 25" xfId="76" xr:uid="{6753E3D1-5C90-4E93-BA77-A2FB0D20D5D4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2 3" xfId="78" xr:uid="{2702B235-7DDF-4A16-AFF9-4947AD331AEF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4 5" xfId="77" xr:uid="{29A6969F-54E4-4383-BF5F-A7F4F715B13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Normal 9 2" xfId="79" xr:uid="{8B69E301-AFA8-488E-94F8-DE9EB7E34FB9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10.9:  Bed capacity and beds in operation in hotels, 2025</a:t>
            </a:r>
          </a:p>
        </c:rich>
      </c:tx>
      <c:layout>
        <c:manualLayout>
          <c:xMode val="edge"/>
          <c:yMode val="edge"/>
          <c:x val="0.32353691879458962"/>
          <c:y val="4.0094547840034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52530151522470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'10.5'!$G$5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3300"/>
            </a:solidFill>
            <a:ln>
              <a:noFill/>
            </a:ln>
            <a:effectLst/>
          </c:spPr>
          <c:invertIfNegative val="0"/>
          <c:cat>
            <c:strRef>
              <c:f>'10.5'!$A$7:$A$18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'10.5'!$G$7:$G$18</c:f>
              <c:numCache>
                <c:formatCode>#,##0</c:formatCode>
                <c:ptCount val="12"/>
                <c:pt idx="0">
                  <c:v>2038</c:v>
                </c:pt>
                <c:pt idx="1">
                  <c:v>2038</c:v>
                </c:pt>
                <c:pt idx="2">
                  <c:v>2038</c:v>
                </c:pt>
                <c:pt idx="3">
                  <c:v>2310</c:v>
                </c:pt>
                <c:pt idx="4">
                  <c:v>2310</c:v>
                </c:pt>
                <c:pt idx="5">
                  <c:v>2310</c:v>
                </c:pt>
                <c:pt idx="6">
                  <c:v>2310</c:v>
                </c:pt>
                <c:pt idx="7">
                  <c:v>2484</c:v>
                </c:pt>
                <c:pt idx="8">
                  <c:v>2484</c:v>
                </c:pt>
                <c:pt idx="9">
                  <c:v>2484</c:v>
                </c:pt>
                <c:pt idx="10">
                  <c:v>2598</c:v>
                </c:pt>
                <c:pt idx="11">
                  <c:v>2598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C-44CF-B7BF-D4DBEC0B3BE6}"/>
            </c:ext>
          </c:extLst>
        </c:ser>
        <c:ser>
          <c:idx val="1"/>
          <c:order val="1"/>
          <c:tx>
            <c:strRef>
              <c:f>'10.5'!$H$5</c:f>
              <c:strCache>
                <c:ptCount val="1"/>
                <c:pt idx="0">
                  <c:v>Beds in operation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'10.5'!$A$7:$A$18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'10.5'!$H$7:$H$18</c:f>
              <c:numCache>
                <c:formatCode>#,##0</c:formatCode>
                <c:ptCount val="12"/>
                <c:pt idx="0">
                  <c:v>2038</c:v>
                </c:pt>
                <c:pt idx="1">
                  <c:v>2038</c:v>
                </c:pt>
                <c:pt idx="2">
                  <c:v>2038</c:v>
                </c:pt>
                <c:pt idx="3">
                  <c:v>2310</c:v>
                </c:pt>
                <c:pt idx="4">
                  <c:v>2310</c:v>
                </c:pt>
                <c:pt idx="5">
                  <c:v>2310</c:v>
                </c:pt>
                <c:pt idx="6">
                  <c:v>2310</c:v>
                </c:pt>
                <c:pt idx="7">
                  <c:v>2484</c:v>
                </c:pt>
                <c:pt idx="8">
                  <c:v>2484</c:v>
                </c:pt>
                <c:pt idx="9">
                  <c:v>2484</c:v>
                </c:pt>
                <c:pt idx="10">
                  <c:v>2598</c:v>
                </c:pt>
                <c:pt idx="11">
                  <c:v>2598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C-44CF-B7BF-D4DBEC0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3104"/>
        <c:axId val="404764672"/>
      </c:barChart>
      <c:catAx>
        <c:axId val="4047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4672"/>
        <c:crosses val="autoZero"/>
        <c:auto val="1"/>
        <c:lblAlgn val="ctr"/>
        <c:lblOffset val="100"/>
        <c:noMultiLvlLbl val="0"/>
      </c:catAx>
      <c:valAx>
        <c:axId val="404764672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31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83113411142788"/>
          <c:y val="0.17721205094761927"/>
          <c:w val="0.340367550064192"/>
          <c:h val="7.2624825405596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533396</xdr:colOff>
      <xdr:row>21</xdr:row>
      <xdr:rowOff>152400</xdr:rowOff>
    </xdr:from>
    <xdr:to>
      <xdr:col>11</xdr:col>
      <xdr:colOff>352424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tabSelected="1" zoomScaleNormal="100" zoomScaleSheetLayoutView="124" workbookViewId="0">
      <selection activeCell="Q12" sqref="Q12"/>
    </sheetView>
  </sheetViews>
  <sheetFormatPr defaultColWidth="9.140625" defaultRowHeight="12"/>
  <cols>
    <col min="1" max="1" width="13.7109375" style="6" customWidth="1"/>
    <col min="2" max="3" width="9.140625" style="6"/>
    <col min="4" max="4" width="13" style="6" customWidth="1"/>
    <col min="5" max="5" width="11.140625" style="6" customWidth="1"/>
    <col min="6" max="8" width="9.140625" style="6"/>
    <col min="9" max="9" width="11.85546875" style="6" customWidth="1"/>
    <col min="10" max="10" width="11.140625" style="6" customWidth="1"/>
    <col min="11" max="16384" width="9.140625" style="6"/>
  </cols>
  <sheetData>
    <row r="1" spans="1:11" ht="17.25" customHeight="1">
      <c r="A1" s="33" t="s">
        <v>28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4" customHeight="1">
      <c r="A2" s="32" t="s">
        <v>29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s="7" customFormat="1" ht="18.75" customHeight="1">
      <c r="A3" s="35" t="s">
        <v>1</v>
      </c>
      <c r="B3" s="31">
        <v>2024</v>
      </c>
      <c r="C3" s="31"/>
      <c r="D3" s="31"/>
      <c r="E3" s="31"/>
      <c r="F3" s="37"/>
      <c r="G3" s="30">
        <v>2025</v>
      </c>
      <c r="H3" s="31"/>
      <c r="I3" s="31"/>
      <c r="J3" s="31"/>
      <c r="K3" s="31"/>
    </row>
    <row r="4" spans="1:11" s="7" customFormat="1" ht="72" customHeight="1">
      <c r="A4" s="36"/>
      <c r="B4" s="9" t="s">
        <v>2</v>
      </c>
      <c r="C4" s="9" t="s">
        <v>3</v>
      </c>
      <c r="D4" s="9" t="s">
        <v>0</v>
      </c>
      <c r="E4" s="9" t="s">
        <v>4</v>
      </c>
      <c r="F4" s="38" t="s">
        <v>5</v>
      </c>
      <c r="G4" s="8" t="s">
        <v>2</v>
      </c>
      <c r="H4" s="9" t="s">
        <v>3</v>
      </c>
      <c r="I4" s="9" t="s">
        <v>0</v>
      </c>
      <c r="J4" s="9" t="s">
        <v>4</v>
      </c>
      <c r="K4" s="23" t="s">
        <v>5</v>
      </c>
    </row>
    <row r="5" spans="1:11" s="7" customFormat="1" ht="59.25" customHeight="1">
      <c r="A5" s="34"/>
      <c r="B5" s="21" t="s">
        <v>8</v>
      </c>
      <c r="C5" s="21" t="s">
        <v>24</v>
      </c>
      <c r="D5" s="24" t="s">
        <v>6</v>
      </c>
      <c r="E5" s="21" t="s">
        <v>27</v>
      </c>
      <c r="F5" s="39" t="s">
        <v>7</v>
      </c>
      <c r="G5" s="22" t="s">
        <v>8</v>
      </c>
      <c r="H5" s="21" t="s">
        <v>24</v>
      </c>
      <c r="I5" s="24" t="s">
        <v>6</v>
      </c>
      <c r="J5" s="21" t="s">
        <v>27</v>
      </c>
      <c r="K5" s="21" t="s">
        <v>7</v>
      </c>
    </row>
    <row r="6" spans="1:11" s="7" customFormat="1" ht="15.75" customHeight="1">
      <c r="A6" s="10" t="s">
        <v>9</v>
      </c>
      <c r="B6" s="40">
        <f>AVERAGE(B7:B18)</f>
        <v>1999</v>
      </c>
      <c r="C6" s="40">
        <f>AVERAGE(C7:C18)</f>
        <v>1999</v>
      </c>
      <c r="D6" s="41">
        <f>AVERAGE(D7:D18)</f>
        <v>100</v>
      </c>
      <c r="E6" s="41">
        <f>AVERAGE(E7:E18)</f>
        <v>28.37641510653803</v>
      </c>
      <c r="F6" s="42">
        <f>SUM(F7:F18)</f>
        <v>207686.79266109783</v>
      </c>
      <c r="G6" s="11">
        <f>AVERAGE(G7:G18)</f>
        <v>2333.5</v>
      </c>
      <c r="H6" s="27">
        <f>AVERAGE(H7:H18)</f>
        <v>2333.5</v>
      </c>
      <c r="I6" s="12">
        <f>AVERAGE(I7:I18)</f>
        <v>100</v>
      </c>
      <c r="J6" s="12">
        <f>AVERAGE(J7:J18)</f>
        <v>32.538273884202319</v>
      </c>
      <c r="K6" s="2">
        <f>SUM(K7:K18)</f>
        <v>272898.93668614223</v>
      </c>
    </row>
    <row r="7" spans="1:11" s="7" customFormat="1" ht="16.5" customHeight="1">
      <c r="A7" s="13" t="s">
        <v>10</v>
      </c>
      <c r="B7" s="43">
        <v>2016</v>
      </c>
      <c r="C7" s="43">
        <v>2016</v>
      </c>
      <c r="D7" s="44">
        <f>C7/B7*100</f>
        <v>100</v>
      </c>
      <c r="E7" s="44">
        <v>33.602150537634408</v>
      </c>
      <c r="F7" s="45">
        <v>21000</v>
      </c>
      <c r="G7" s="14">
        <v>2038</v>
      </c>
      <c r="H7" s="3">
        <v>2038</v>
      </c>
      <c r="I7" s="15">
        <f>H7/G7*100</f>
        <v>100</v>
      </c>
      <c r="J7" s="15">
        <v>40.977574344360228</v>
      </c>
      <c r="K7" s="4">
        <v>25888.811919279906</v>
      </c>
    </row>
    <row r="8" spans="1:11" s="7" customFormat="1" ht="16.5" customHeight="1">
      <c r="A8" s="13" t="s">
        <v>11</v>
      </c>
      <c r="B8" s="43">
        <v>2016</v>
      </c>
      <c r="C8" s="43">
        <v>2016</v>
      </c>
      <c r="D8" s="44">
        <f t="shared" ref="D8:D18" si="0">C8/B8*100</f>
        <v>100</v>
      </c>
      <c r="E8" s="44">
        <v>43.188970990695132</v>
      </c>
      <c r="F8" s="45">
        <v>25250</v>
      </c>
      <c r="G8" s="14">
        <v>2038</v>
      </c>
      <c r="H8" s="3">
        <v>2038</v>
      </c>
      <c r="I8" s="15">
        <f t="shared" ref="I8:I18" si="1">H8/G8*100</f>
        <v>100</v>
      </c>
      <c r="J8" s="15">
        <v>49.409407204163969</v>
      </c>
      <c r="K8" s="4">
        <v>28194.984126984127</v>
      </c>
    </row>
    <row r="9" spans="1:11" s="7" customFormat="1" ht="16.5" customHeight="1">
      <c r="A9" s="13" t="s">
        <v>12</v>
      </c>
      <c r="B9" s="43">
        <v>2016</v>
      </c>
      <c r="C9" s="43">
        <v>2016</v>
      </c>
      <c r="D9" s="44">
        <f t="shared" si="0"/>
        <v>100</v>
      </c>
      <c r="E9" s="44">
        <v>31.50441628264209</v>
      </c>
      <c r="F9" s="45">
        <v>19689</v>
      </c>
      <c r="G9" s="14">
        <v>2038</v>
      </c>
      <c r="H9" s="3">
        <v>2038</v>
      </c>
      <c r="I9" s="15">
        <f t="shared" si="1"/>
        <v>100</v>
      </c>
      <c r="J9" s="15">
        <v>41.508884652992215</v>
      </c>
      <c r="K9" s="4">
        <v>26224.483146067418</v>
      </c>
    </row>
    <row r="10" spans="1:11" s="7" customFormat="1" ht="16.5" customHeight="1">
      <c r="A10" s="13" t="s">
        <v>13</v>
      </c>
      <c r="B10" s="43">
        <v>2016</v>
      </c>
      <c r="C10" s="43">
        <v>2016</v>
      </c>
      <c r="D10" s="44">
        <f t="shared" si="0"/>
        <v>100</v>
      </c>
      <c r="E10" s="44">
        <v>26.742724867724871</v>
      </c>
      <c r="F10" s="45">
        <v>16174</v>
      </c>
      <c r="G10" s="14">
        <v>2310</v>
      </c>
      <c r="H10" s="3">
        <v>2310</v>
      </c>
      <c r="I10" s="15">
        <f t="shared" si="1"/>
        <v>100</v>
      </c>
      <c r="J10" s="15">
        <v>35.060168296123351</v>
      </c>
      <c r="K10" s="4">
        <v>24296.696629213482</v>
      </c>
    </row>
    <row r="11" spans="1:11" s="7" customFormat="1" ht="16.5" customHeight="1">
      <c r="A11" s="13" t="s">
        <v>14</v>
      </c>
      <c r="B11" s="43">
        <v>2016</v>
      </c>
      <c r="C11" s="43">
        <v>2016</v>
      </c>
      <c r="D11" s="44">
        <f t="shared" si="0"/>
        <v>100</v>
      </c>
      <c r="E11" s="44">
        <v>18.81400409626216</v>
      </c>
      <c r="F11" s="45">
        <v>11758</v>
      </c>
      <c r="G11" s="14">
        <v>2310</v>
      </c>
      <c r="H11" s="3">
        <v>2310</v>
      </c>
      <c r="I11" s="15">
        <f t="shared" si="1"/>
        <v>100</v>
      </c>
      <c r="J11" s="15">
        <v>20.403622257094099</v>
      </c>
      <c r="K11" s="4">
        <v>14611.033898305086</v>
      </c>
    </row>
    <row r="12" spans="1:11" s="7" customFormat="1" ht="16.5" customHeight="1">
      <c r="A12" s="13" t="s">
        <v>15</v>
      </c>
      <c r="B12" s="43">
        <v>1956</v>
      </c>
      <c r="C12" s="43">
        <v>1956</v>
      </c>
      <c r="D12" s="44">
        <f t="shared" si="0"/>
        <v>100</v>
      </c>
      <c r="E12" s="44">
        <v>17.91397214453864</v>
      </c>
      <c r="F12" s="45">
        <v>10511.918854415275</v>
      </c>
      <c r="G12" s="14">
        <v>2310</v>
      </c>
      <c r="H12" s="3">
        <v>2310</v>
      </c>
      <c r="I12" s="15">
        <f t="shared" si="1"/>
        <v>100</v>
      </c>
      <c r="J12" s="15">
        <v>21.057638990223257</v>
      </c>
      <c r="K12" s="4">
        <v>14592.943820224718</v>
      </c>
    </row>
    <row r="13" spans="1:11" s="7" customFormat="1" ht="16.5" customHeight="1">
      <c r="A13" s="13" t="s">
        <v>16</v>
      </c>
      <c r="B13" s="43">
        <v>1956</v>
      </c>
      <c r="C13" s="43">
        <v>1956</v>
      </c>
      <c r="D13" s="44">
        <f t="shared" si="0"/>
        <v>100</v>
      </c>
      <c r="E13" s="44">
        <v>23.828629730898616</v>
      </c>
      <c r="F13" s="45">
        <v>14448.727923627685</v>
      </c>
      <c r="G13" s="14">
        <v>2310</v>
      </c>
      <c r="H13" s="3">
        <v>2310</v>
      </c>
      <c r="I13" s="15">
        <f t="shared" si="1"/>
        <v>100</v>
      </c>
      <c r="J13" s="15">
        <v>31.44934562839601</v>
      </c>
      <c r="K13" s="4">
        <v>22520.876404494382</v>
      </c>
    </row>
    <row r="14" spans="1:11" s="7" customFormat="1" ht="16.5" customHeight="1">
      <c r="A14" s="13" t="s">
        <v>17</v>
      </c>
      <c r="B14" s="43">
        <v>1956</v>
      </c>
      <c r="C14" s="43">
        <v>1956</v>
      </c>
      <c r="D14" s="44">
        <f t="shared" si="0"/>
        <v>100</v>
      </c>
      <c r="E14" s="44">
        <v>29.739668031200221</v>
      </c>
      <c r="F14" s="45">
        <v>18032.945107398569</v>
      </c>
      <c r="G14" s="14">
        <v>2484</v>
      </c>
      <c r="H14" s="3">
        <v>2484</v>
      </c>
      <c r="I14" s="15">
        <f t="shared" si="1"/>
        <v>100</v>
      </c>
      <c r="J14" s="15">
        <v>34.87891187908523</v>
      </c>
      <c r="K14" s="4">
        <v>26858.157303370786</v>
      </c>
    </row>
    <row r="15" spans="1:11" s="7" customFormat="1" ht="16.5" customHeight="1">
      <c r="A15" s="13" t="s">
        <v>18</v>
      </c>
      <c r="B15" s="43">
        <v>1956</v>
      </c>
      <c r="C15" s="43">
        <v>1956</v>
      </c>
      <c r="D15" s="44">
        <f t="shared" si="0"/>
        <v>100</v>
      </c>
      <c r="E15" s="44">
        <v>22.55423615483355</v>
      </c>
      <c r="F15" s="45">
        <v>13234.825775656325</v>
      </c>
      <c r="G15" s="14">
        <v>2484</v>
      </c>
      <c r="H15" s="3">
        <v>2484</v>
      </c>
      <c r="I15" s="15">
        <f t="shared" si="1"/>
        <v>100</v>
      </c>
      <c r="J15" s="15">
        <v>27.696523669085138</v>
      </c>
      <c r="K15" s="4">
        <v>20639.449438202246</v>
      </c>
    </row>
    <row r="16" spans="1:11" s="7" customFormat="1" ht="16.5" customHeight="1">
      <c r="A16" s="13" t="s">
        <v>19</v>
      </c>
      <c r="B16" s="43">
        <v>2028</v>
      </c>
      <c r="C16" s="43">
        <v>2028</v>
      </c>
      <c r="D16" s="44">
        <f t="shared" si="0"/>
        <v>100</v>
      </c>
      <c r="E16" s="44">
        <v>34.502548991537829</v>
      </c>
      <c r="F16" s="45">
        <v>21691.0625</v>
      </c>
      <c r="G16" s="14">
        <v>2484</v>
      </c>
      <c r="H16" s="3">
        <v>2484</v>
      </c>
      <c r="I16" s="15">
        <f t="shared" si="1"/>
        <v>100</v>
      </c>
      <c r="J16" s="15">
        <v>23.54893719223108</v>
      </c>
      <c r="K16" s="4">
        <v>18133.623595505618</v>
      </c>
    </row>
    <row r="17" spans="1:11" s="7" customFormat="1" ht="16.5" customHeight="1">
      <c r="A17" s="13" t="s">
        <v>20</v>
      </c>
      <c r="B17" s="43">
        <v>2028</v>
      </c>
      <c r="C17" s="43">
        <v>2028</v>
      </c>
      <c r="D17" s="44">
        <f t="shared" si="0"/>
        <v>100</v>
      </c>
      <c r="E17" s="44">
        <v>31.86030982905983</v>
      </c>
      <c r="F17" s="45">
        <v>19383.8125</v>
      </c>
      <c r="G17" s="14">
        <v>2598</v>
      </c>
      <c r="H17" s="3">
        <v>2598</v>
      </c>
      <c r="I17" s="15">
        <f t="shared" si="1"/>
        <v>100</v>
      </c>
      <c r="J17" s="15">
        <v>37.859157000631427</v>
      </c>
      <c r="K17" s="4">
        <v>29507.426966292136</v>
      </c>
    </row>
    <row r="18" spans="1:11" s="7" customFormat="1" ht="16.5" customHeight="1">
      <c r="A18" s="16" t="s">
        <v>21</v>
      </c>
      <c r="B18" s="18">
        <v>2028</v>
      </c>
      <c r="C18" s="18">
        <v>2028</v>
      </c>
      <c r="D18" s="19">
        <f t="shared" si="0"/>
        <v>100</v>
      </c>
      <c r="E18" s="19">
        <v>26.265349621429024</v>
      </c>
      <c r="F18" s="46">
        <v>16512.5</v>
      </c>
      <c r="G18" s="17">
        <v>2598</v>
      </c>
      <c r="H18" s="18">
        <v>2598</v>
      </c>
      <c r="I18" s="19">
        <f t="shared" si="1"/>
        <v>100</v>
      </c>
      <c r="J18" s="19">
        <v>26.609115496041923</v>
      </c>
      <c r="K18" s="5">
        <v>21430.449438202246</v>
      </c>
    </row>
    <row r="19" spans="1:11" ht="19.5" customHeight="1">
      <c r="A19" s="1" t="s">
        <v>25</v>
      </c>
      <c r="K19" s="29" t="s">
        <v>26</v>
      </c>
    </row>
    <row r="20" spans="1:11" ht="12.75" customHeight="1">
      <c r="A20" s="25" t="s">
        <v>22</v>
      </c>
    </row>
    <row r="21" spans="1:11" ht="12.75" customHeight="1">
      <c r="A21" s="26" t="s">
        <v>23</v>
      </c>
    </row>
    <row r="22" spans="1:11" ht="18.75" customHeight="1">
      <c r="A22" s="20"/>
    </row>
    <row r="23" spans="1:11" ht="18.75" customHeight="1">
      <c r="A23" s="20"/>
    </row>
    <row r="24" spans="1:11" ht="18.75" customHeight="1">
      <c r="A24" s="20"/>
    </row>
    <row r="25" spans="1:11" ht="18.75" customHeight="1">
      <c r="A25" s="20"/>
    </row>
    <row r="26" spans="1:11" ht="18.75" customHeight="1">
      <c r="A26" s="20"/>
    </row>
    <row r="27" spans="1:11" ht="18.75" customHeight="1">
      <c r="A27" s="20"/>
    </row>
    <row r="28" spans="1:11" ht="18.75" customHeight="1">
      <c r="A28" s="20"/>
    </row>
    <row r="29" spans="1:11" ht="18.75" customHeight="1">
      <c r="A29" s="20"/>
    </row>
    <row r="30" spans="1:11" ht="18.75" customHeight="1">
      <c r="A30" s="20"/>
    </row>
    <row r="31" spans="1:11" ht="18.75" customHeight="1">
      <c r="A31" s="20"/>
    </row>
    <row r="32" spans="1:11" ht="9.75" customHeight="1">
      <c r="A32" s="20"/>
    </row>
    <row r="33" spans="1:16" ht="18.75" customHeight="1">
      <c r="A33" s="20"/>
    </row>
    <row r="34" spans="1:16" ht="18.75" customHeight="1">
      <c r="A34" s="20"/>
    </row>
    <row r="37" spans="1:16">
      <c r="P37" s="28"/>
    </row>
  </sheetData>
  <mergeCells count="5">
    <mergeCell ref="A1:K1"/>
    <mergeCell ref="G3:K3"/>
    <mergeCell ref="A3:A5"/>
    <mergeCell ref="B3:F3"/>
    <mergeCell ref="A2:K2"/>
  </mergeCells>
  <pageMargins left="0.7" right="0.7" top="0.75" bottom="0.75" header="0.3" footer="0.3"/>
  <pageSetup paperSize="9" scale="6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10.5</vt:lpstr>
      <vt:lpstr>'10.5'!Print_Area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2026-06-11T08:55:26Z</cp:lastPrinted>
  <dcterms:created xsi:type="dcterms:W3CDTF">2019-02-27T06:18:18Z</dcterms:created>
  <dcterms:modified xsi:type="dcterms:W3CDTF">2026-06-11T08:56:13Z</dcterms:modified>
</cp:coreProperties>
</file>