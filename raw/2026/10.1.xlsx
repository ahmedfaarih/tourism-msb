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7C845F41-2209-42A6-8F63-78E0954262B9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1" sheetId="1" r:id="rId1"/>
  </sheets>
  <definedNames>
    <definedName name="_xlnm._FilterDatabase" localSheetId="0" hidden="1">'10.1'!#REF!</definedName>
    <definedName name="_xlnm.Print_Area" localSheetId="0">'10.1'!$A$1:$Z$124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5" i="1" l="1"/>
  <c r="X66" i="1"/>
  <c r="X67" i="1"/>
  <c r="B8" i="1"/>
  <c r="B35" i="1"/>
  <c r="B50" i="1"/>
  <c r="B53" i="1"/>
  <c r="B58" i="1"/>
  <c r="B62" i="1"/>
  <c r="BU23" i="1"/>
  <c r="BU24" i="1"/>
  <c r="BU25" i="1"/>
  <c r="BU26" i="1"/>
  <c r="BU27" i="1"/>
  <c r="BU28" i="1"/>
  <c r="BU29" i="1"/>
  <c r="BU30" i="1"/>
  <c r="BU31" i="1"/>
  <c r="BU22" i="1"/>
  <c r="B7" i="1" l="1"/>
  <c r="D62" i="1" l="1"/>
  <c r="X9" i="1" l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6" i="1"/>
  <c r="X37" i="1"/>
  <c r="X38" i="1"/>
  <c r="X39" i="1"/>
  <c r="X40" i="1"/>
  <c r="X41" i="1"/>
  <c r="X42" i="1"/>
  <c r="X43" i="1"/>
  <c r="X44" i="1"/>
  <c r="X45" i="1"/>
  <c r="X46" i="1"/>
  <c r="X48" i="1"/>
  <c r="X49" i="1"/>
  <c r="X51" i="1"/>
  <c r="X52" i="1"/>
  <c r="X54" i="1"/>
  <c r="X55" i="1"/>
  <c r="X56" i="1"/>
  <c r="X57" i="1"/>
  <c r="X59" i="1"/>
  <c r="X60" i="1"/>
  <c r="X61" i="1"/>
  <c r="X63" i="1"/>
  <c r="X64" i="1"/>
  <c r="I8" i="1"/>
  <c r="I35" i="1"/>
  <c r="I50" i="1"/>
  <c r="I53" i="1"/>
  <c r="I58" i="1"/>
  <c r="I62" i="1"/>
  <c r="V59" i="1"/>
  <c r="W59" i="1"/>
  <c r="V60" i="1"/>
  <c r="W60" i="1"/>
  <c r="V45" i="1"/>
  <c r="W45" i="1"/>
  <c r="V46" i="1"/>
  <c r="W46" i="1"/>
  <c r="V48" i="1"/>
  <c r="W48" i="1"/>
  <c r="V49" i="1"/>
  <c r="W49" i="1"/>
  <c r="W40" i="1"/>
  <c r="V41" i="1"/>
  <c r="W41" i="1"/>
  <c r="V42" i="1"/>
  <c r="W42" i="1"/>
  <c r="V33" i="1"/>
  <c r="W33" i="1"/>
  <c r="V34" i="1"/>
  <c r="W34" i="1"/>
  <c r="V36" i="1"/>
  <c r="W36" i="1"/>
  <c r="W37" i="1"/>
  <c r="V38" i="1"/>
  <c r="W38" i="1"/>
  <c r="V39" i="1"/>
  <c r="W39" i="1"/>
  <c r="V20" i="1"/>
  <c r="W20" i="1"/>
  <c r="V21" i="1"/>
  <c r="W21" i="1"/>
  <c r="V22" i="1"/>
  <c r="W22" i="1"/>
  <c r="V18" i="1"/>
  <c r="W18" i="1"/>
  <c r="V12" i="1"/>
  <c r="W12" i="1"/>
  <c r="W9" i="1"/>
  <c r="W10" i="1"/>
  <c r="W11" i="1"/>
  <c r="W13" i="1"/>
  <c r="W14" i="1"/>
  <c r="W15" i="1"/>
  <c r="W16" i="1"/>
  <c r="W17" i="1"/>
  <c r="W19" i="1"/>
  <c r="W23" i="1"/>
  <c r="W24" i="1"/>
  <c r="W25" i="1"/>
  <c r="W26" i="1"/>
  <c r="W27" i="1"/>
  <c r="W28" i="1"/>
  <c r="W29" i="1"/>
  <c r="W30" i="1"/>
  <c r="W31" i="1"/>
  <c r="W32" i="1"/>
  <c r="W43" i="1"/>
  <c r="W44" i="1"/>
  <c r="W51" i="1"/>
  <c r="W52" i="1"/>
  <c r="W54" i="1"/>
  <c r="W55" i="1"/>
  <c r="W56" i="1"/>
  <c r="W57" i="1"/>
  <c r="W61" i="1"/>
  <c r="W63" i="1"/>
  <c r="W64" i="1"/>
  <c r="W65" i="1"/>
  <c r="W66" i="1"/>
  <c r="W67" i="1"/>
  <c r="W69" i="1"/>
  <c r="I7" i="1" l="1"/>
  <c r="Q8" i="1" s="1"/>
  <c r="Q7" i="1" l="1"/>
  <c r="Q20" i="1"/>
  <c r="Q32" i="1"/>
  <c r="Q44" i="1"/>
  <c r="Q57" i="1"/>
  <c r="Q69" i="1"/>
  <c r="Q23" i="1"/>
  <c r="Q40" i="1"/>
  <c r="Q31" i="1"/>
  <c r="Q9" i="1"/>
  <c r="Q21" i="1"/>
  <c r="Q33" i="1"/>
  <c r="Q45" i="1"/>
  <c r="Q35" i="1"/>
  <c r="Q60" i="1"/>
  <c r="Q53" i="1"/>
  <c r="Q55" i="1"/>
  <c r="Q43" i="1"/>
  <c r="Q10" i="1"/>
  <c r="Q22" i="1"/>
  <c r="Q34" i="1"/>
  <c r="Q46" i="1"/>
  <c r="Q59" i="1"/>
  <c r="Q48" i="1"/>
  <c r="Q28" i="1"/>
  <c r="Q19" i="1"/>
  <c r="Q11" i="1"/>
  <c r="Q12" i="1"/>
  <c r="Q24" i="1"/>
  <c r="Q36" i="1"/>
  <c r="Q49" i="1"/>
  <c r="Q61" i="1"/>
  <c r="Q13" i="1"/>
  <c r="Q25" i="1"/>
  <c r="Q37" i="1"/>
  <c r="Q50" i="1"/>
  <c r="Q62" i="1"/>
  <c r="Q68" i="1"/>
  <c r="Q14" i="1"/>
  <c r="Q26" i="1"/>
  <c r="Q38" i="1"/>
  <c r="Q51" i="1"/>
  <c r="Q63" i="1"/>
  <c r="Q27" i="1"/>
  <c r="Q39" i="1"/>
  <c r="Q52" i="1"/>
  <c r="Q64" i="1"/>
  <c r="Q65" i="1"/>
  <c r="Q67" i="1"/>
  <c r="Q56" i="1"/>
  <c r="Q15" i="1"/>
  <c r="Q16" i="1"/>
  <c r="Q17" i="1"/>
  <c r="Q29" i="1"/>
  <c r="Q41" i="1"/>
  <c r="Q54" i="1"/>
  <c r="Q66" i="1"/>
  <c r="Q18" i="1"/>
  <c r="Q30" i="1"/>
  <c r="Q42" i="1"/>
  <c r="Q58" i="1"/>
  <c r="V9" i="1" l="1"/>
  <c r="H62" i="1"/>
  <c r="X62" i="1" s="1"/>
  <c r="H58" i="1"/>
  <c r="X58" i="1" s="1"/>
  <c r="H35" i="1"/>
  <c r="X35" i="1" s="1"/>
  <c r="H53" i="1"/>
  <c r="X53" i="1" s="1"/>
  <c r="H50" i="1"/>
  <c r="X50" i="1" s="1"/>
  <c r="H8" i="1" l="1"/>
  <c r="X8" i="1" s="1"/>
  <c r="H7" i="1" l="1"/>
  <c r="X7" i="1" s="1"/>
  <c r="P8" i="1" l="1"/>
  <c r="P7" i="1"/>
  <c r="P19" i="1"/>
  <c r="P31" i="1"/>
  <c r="P43" i="1"/>
  <c r="P56" i="1"/>
  <c r="P68" i="1"/>
  <c r="P69" i="1"/>
  <c r="P45" i="1"/>
  <c r="P59" i="1"/>
  <c r="P23" i="1"/>
  <c r="P9" i="1"/>
  <c r="P10" i="1"/>
  <c r="P11" i="1"/>
  <c r="P12" i="1"/>
  <c r="P24" i="1"/>
  <c r="P36" i="1"/>
  <c r="P49" i="1"/>
  <c r="P61" i="1"/>
  <c r="P25" i="1"/>
  <c r="P37" i="1"/>
  <c r="P13" i="1"/>
  <c r="P14" i="1"/>
  <c r="P26" i="1"/>
  <c r="P38" i="1"/>
  <c r="P51" i="1"/>
  <c r="P63" i="1"/>
  <c r="P27" i="1"/>
  <c r="P39" i="1"/>
  <c r="P52" i="1"/>
  <c r="P64" i="1"/>
  <c r="P30" i="1"/>
  <c r="P55" i="1"/>
  <c r="P20" i="1"/>
  <c r="P57" i="1"/>
  <c r="P33" i="1"/>
  <c r="P22" i="1"/>
  <c r="P34" i="1"/>
  <c r="P60" i="1"/>
  <c r="P15" i="1"/>
  <c r="P16" i="1"/>
  <c r="P28" i="1"/>
  <c r="P40" i="1"/>
  <c r="P65" i="1"/>
  <c r="P29" i="1"/>
  <c r="P41" i="1"/>
  <c r="P54" i="1"/>
  <c r="P66" i="1"/>
  <c r="P42" i="1"/>
  <c r="P67" i="1"/>
  <c r="P32" i="1"/>
  <c r="P21" i="1"/>
  <c r="P46" i="1"/>
  <c r="P48" i="1"/>
  <c r="P17" i="1"/>
  <c r="P18" i="1"/>
  <c r="P44" i="1"/>
  <c r="P50" i="1"/>
  <c r="P35" i="1"/>
  <c r="P53" i="1"/>
  <c r="P62" i="1"/>
  <c r="P58" i="1"/>
  <c r="V69" i="1"/>
  <c r="V68" i="1"/>
  <c r="V67" i="1"/>
  <c r="V66" i="1"/>
  <c r="V65" i="1"/>
  <c r="V64" i="1"/>
  <c r="V63" i="1"/>
  <c r="V57" i="1"/>
  <c r="V56" i="1"/>
  <c r="V55" i="1"/>
  <c r="V54" i="1"/>
  <c r="V52" i="1"/>
  <c r="V51" i="1"/>
  <c r="V44" i="1"/>
  <c r="V43" i="1"/>
  <c r="V32" i="1"/>
  <c r="V31" i="1"/>
  <c r="V30" i="1"/>
  <c r="V29" i="1"/>
  <c r="V28" i="1"/>
  <c r="V27" i="1"/>
  <c r="V26" i="1"/>
  <c r="V25" i="1"/>
  <c r="V24" i="1"/>
  <c r="V23" i="1"/>
  <c r="V19" i="1"/>
  <c r="V17" i="1"/>
  <c r="V16" i="1"/>
  <c r="V15" i="1"/>
  <c r="V14" i="1"/>
  <c r="V13" i="1"/>
  <c r="V11" i="1"/>
  <c r="V10" i="1"/>
  <c r="G62" i="1"/>
  <c r="W62" i="1" s="1"/>
  <c r="G58" i="1"/>
  <c r="G53" i="1"/>
  <c r="W53" i="1" s="1"/>
  <c r="G50" i="1"/>
  <c r="G35" i="1"/>
  <c r="G8" i="1"/>
  <c r="W8" i="1" s="1"/>
  <c r="W50" i="1" l="1"/>
  <c r="W35" i="1"/>
  <c r="W58" i="1"/>
  <c r="G7" i="1"/>
  <c r="W7" i="1" s="1"/>
  <c r="O9" i="1" l="1"/>
  <c r="O69" i="1"/>
  <c r="O65" i="1"/>
  <c r="O41" i="1"/>
  <c r="O29" i="1"/>
  <c r="O17" i="1"/>
  <c r="O63" i="1"/>
  <c r="O51" i="1"/>
  <c r="O39" i="1"/>
  <c r="O27" i="1"/>
  <c r="O15" i="1"/>
  <c r="O50" i="1"/>
  <c r="O38" i="1"/>
  <c r="O26" i="1"/>
  <c r="O14" i="1"/>
  <c r="O61" i="1"/>
  <c r="O49" i="1"/>
  <c r="O37" i="1"/>
  <c r="O25" i="1"/>
  <c r="O13" i="1"/>
  <c r="O60" i="1"/>
  <c r="O48" i="1"/>
  <c r="O36" i="1"/>
  <c r="O24" i="1"/>
  <c r="O12" i="1"/>
  <c r="O59" i="1"/>
  <c r="O35" i="1"/>
  <c r="O23" i="1"/>
  <c r="O11" i="1"/>
  <c r="O52" i="1"/>
  <c r="O28" i="1"/>
  <c r="O46" i="1"/>
  <c r="O34" i="1"/>
  <c r="O22" i="1"/>
  <c r="O10" i="1"/>
  <c r="O57" i="1"/>
  <c r="O45" i="1"/>
  <c r="O33" i="1"/>
  <c r="O21" i="1"/>
  <c r="O68" i="1"/>
  <c r="O56" i="1"/>
  <c r="O44" i="1"/>
  <c r="O32" i="1"/>
  <c r="O20" i="1"/>
  <c r="O67" i="1"/>
  <c r="O55" i="1"/>
  <c r="O43" i="1"/>
  <c r="O31" i="1"/>
  <c r="O19" i="1"/>
  <c r="O7" i="1"/>
  <c r="O66" i="1"/>
  <c r="O54" i="1"/>
  <c r="O42" i="1"/>
  <c r="O30" i="1"/>
  <c r="O18" i="1"/>
  <c r="O64" i="1"/>
  <c r="O40" i="1"/>
  <c r="O16" i="1"/>
  <c r="O53" i="1"/>
  <c r="O8" i="1"/>
  <c r="O62" i="1"/>
  <c r="O58" i="1"/>
  <c r="F62" i="1" l="1"/>
  <c r="V62" i="1" s="1"/>
  <c r="U16" i="1" l="1"/>
  <c r="U17" i="1"/>
  <c r="U19" i="1"/>
  <c r="U23" i="1"/>
  <c r="U24" i="1"/>
  <c r="U25" i="1"/>
  <c r="U26" i="1"/>
  <c r="U27" i="1"/>
  <c r="U28" i="1"/>
  <c r="U29" i="1"/>
  <c r="U30" i="1"/>
  <c r="U31" i="1"/>
  <c r="U32" i="1"/>
  <c r="U34" i="1"/>
  <c r="U38" i="1"/>
  <c r="U43" i="1"/>
  <c r="U44" i="1"/>
  <c r="U51" i="1"/>
  <c r="U52" i="1"/>
  <c r="U54" i="1"/>
  <c r="U55" i="1"/>
  <c r="U56" i="1"/>
  <c r="U57" i="1"/>
  <c r="U61" i="1"/>
  <c r="U63" i="1"/>
  <c r="U64" i="1"/>
  <c r="U65" i="1"/>
  <c r="U66" i="1"/>
  <c r="U67" i="1"/>
  <c r="U68" i="1"/>
  <c r="U69" i="1"/>
  <c r="U9" i="1"/>
  <c r="U10" i="1"/>
  <c r="U11" i="1"/>
  <c r="U13" i="1"/>
  <c r="U14" i="1"/>
  <c r="U15" i="1"/>
  <c r="F58" i="1"/>
  <c r="V58" i="1" s="1"/>
  <c r="F53" i="1"/>
  <c r="V53" i="1" s="1"/>
  <c r="F50" i="1"/>
  <c r="V50" i="1" s="1"/>
  <c r="F35" i="1"/>
  <c r="V35" i="1" s="1"/>
  <c r="F8" i="1"/>
  <c r="V8" i="1" s="1"/>
  <c r="F7" i="1" l="1"/>
  <c r="T12" i="1"/>
  <c r="T18" i="1"/>
  <c r="T20" i="1"/>
  <c r="V7" i="1" l="1"/>
  <c r="N68" i="1"/>
  <c r="N7" i="1"/>
  <c r="N69" i="1"/>
  <c r="N61" i="1"/>
  <c r="N45" i="1"/>
  <c r="N37" i="1"/>
  <c r="N29" i="1"/>
  <c r="N21" i="1"/>
  <c r="N13" i="1"/>
  <c r="N32" i="1"/>
  <c r="N16" i="1"/>
  <c r="N60" i="1"/>
  <c r="N52" i="1"/>
  <c r="N44" i="1"/>
  <c r="N36" i="1"/>
  <c r="N28" i="1"/>
  <c r="N20" i="1"/>
  <c r="N12" i="1"/>
  <c r="N40" i="1"/>
  <c r="N24" i="1"/>
  <c r="N8" i="1"/>
  <c r="N67" i="1"/>
  <c r="N59" i="1"/>
  <c r="N51" i="1"/>
  <c r="N43" i="1"/>
  <c r="N27" i="1"/>
  <c r="N19" i="1"/>
  <c r="N11" i="1"/>
  <c r="N48" i="1"/>
  <c r="N66" i="1"/>
  <c r="N42" i="1"/>
  <c r="N34" i="1"/>
  <c r="N26" i="1"/>
  <c r="N18" i="1"/>
  <c r="N10" i="1"/>
  <c r="N56" i="1"/>
  <c r="N65" i="1"/>
  <c r="N57" i="1"/>
  <c r="N49" i="1"/>
  <c r="N41" i="1"/>
  <c r="N33" i="1"/>
  <c r="N25" i="1"/>
  <c r="N17" i="1"/>
  <c r="N9" i="1"/>
  <c r="N64" i="1"/>
  <c r="N63" i="1"/>
  <c r="N55" i="1"/>
  <c r="N47" i="1"/>
  <c r="N39" i="1"/>
  <c r="N31" i="1"/>
  <c r="N23" i="1"/>
  <c r="N15" i="1"/>
  <c r="N54" i="1"/>
  <c r="N46" i="1"/>
  <c r="N38" i="1"/>
  <c r="N30" i="1"/>
  <c r="N22" i="1"/>
  <c r="N14" i="1"/>
  <c r="N35" i="1"/>
  <c r="N62" i="1"/>
  <c r="N58" i="1"/>
  <c r="N53" i="1"/>
  <c r="N50" i="1"/>
  <c r="T66" i="1" l="1"/>
  <c r="T63" i="1"/>
  <c r="T60" i="1"/>
  <c r="T59" i="1"/>
  <c r="T57" i="1"/>
  <c r="T55" i="1"/>
  <c r="T49" i="1"/>
  <c r="T48" i="1"/>
  <c r="T46" i="1"/>
  <c r="T45" i="1"/>
  <c r="T42" i="1"/>
  <c r="T41" i="1"/>
  <c r="T40" i="1"/>
  <c r="T39" i="1"/>
  <c r="T37" i="1"/>
  <c r="T33" i="1"/>
  <c r="T30" i="1"/>
  <c r="T29" i="1"/>
  <c r="T27" i="1"/>
  <c r="T26" i="1"/>
  <c r="T22" i="1"/>
  <c r="T21" i="1"/>
  <c r="T14" i="1"/>
  <c r="T13" i="1"/>
  <c r="T10" i="1"/>
  <c r="E62" i="1"/>
  <c r="U62" i="1" s="1"/>
  <c r="E58" i="1"/>
  <c r="E53" i="1"/>
  <c r="U53" i="1" s="1"/>
  <c r="E50" i="1"/>
  <c r="U50" i="1" s="1"/>
  <c r="E35" i="1"/>
  <c r="U35" i="1" s="1"/>
  <c r="E8" i="1"/>
  <c r="U8" i="1" s="1"/>
  <c r="E7" i="1" l="1"/>
  <c r="U7" i="1" s="1"/>
  <c r="M64" i="1" l="1"/>
  <c r="M52" i="1"/>
  <c r="M40" i="1"/>
  <c r="M28" i="1"/>
  <c r="M16" i="1"/>
  <c r="M63" i="1"/>
  <c r="M51" i="1"/>
  <c r="M39" i="1"/>
  <c r="M27" i="1"/>
  <c r="M15" i="1"/>
  <c r="M17" i="1"/>
  <c r="M38" i="1"/>
  <c r="M26" i="1"/>
  <c r="M14" i="1"/>
  <c r="M29" i="1"/>
  <c r="M61" i="1"/>
  <c r="M49" i="1"/>
  <c r="M37" i="1"/>
  <c r="M25" i="1"/>
  <c r="M13" i="1"/>
  <c r="M66" i="1"/>
  <c r="M60" i="1"/>
  <c r="M48" i="1"/>
  <c r="M36" i="1"/>
  <c r="M24" i="1"/>
  <c r="M12" i="1"/>
  <c r="M34" i="1"/>
  <c r="M65" i="1"/>
  <c r="M59" i="1"/>
  <c r="M47" i="1"/>
  <c r="M23" i="1"/>
  <c r="M11" i="1"/>
  <c r="M46" i="1"/>
  <c r="M10" i="1"/>
  <c r="M30" i="1"/>
  <c r="M41" i="1"/>
  <c r="M22" i="1"/>
  <c r="M54" i="1"/>
  <c r="M69" i="1"/>
  <c r="M57" i="1"/>
  <c r="M45" i="1"/>
  <c r="M33" i="1"/>
  <c r="M21" i="1"/>
  <c r="M9" i="1"/>
  <c r="M68" i="1"/>
  <c r="M56" i="1"/>
  <c r="M44" i="1"/>
  <c r="M32" i="1"/>
  <c r="M20" i="1"/>
  <c r="M42" i="1"/>
  <c r="M53" i="1"/>
  <c r="M67" i="1"/>
  <c r="M55" i="1"/>
  <c r="M43" i="1"/>
  <c r="M31" i="1"/>
  <c r="M19" i="1"/>
  <c r="M7" i="1"/>
  <c r="M18" i="1"/>
  <c r="M50" i="1"/>
  <c r="M8" i="1"/>
  <c r="M62" i="1"/>
  <c r="M35" i="1"/>
  <c r="M58" i="1"/>
  <c r="S9" i="1" l="1"/>
  <c r="S67" i="1"/>
  <c r="S66" i="1"/>
  <c r="S65" i="1"/>
  <c r="S64" i="1"/>
  <c r="S63" i="1"/>
  <c r="S61" i="1"/>
  <c r="S60" i="1"/>
  <c r="S59" i="1"/>
  <c r="S57" i="1"/>
  <c r="S56" i="1"/>
  <c r="S55" i="1"/>
  <c r="S54" i="1"/>
  <c r="S52" i="1"/>
  <c r="S51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D58" i="1"/>
  <c r="T58" i="1" s="1"/>
  <c r="D53" i="1"/>
  <c r="D50" i="1"/>
  <c r="D35" i="1"/>
  <c r="D8" i="1"/>
  <c r="D7" i="1" l="1"/>
  <c r="L7" i="1" l="1"/>
  <c r="L53" i="1"/>
  <c r="L37" i="1"/>
  <c r="L27" i="1"/>
  <c r="L50" i="1"/>
  <c r="L67" i="1"/>
  <c r="L59" i="1"/>
  <c r="L51" i="1"/>
  <c r="L43" i="1"/>
  <c r="L19" i="1"/>
  <c r="L42" i="1"/>
  <c r="L18" i="1"/>
  <c r="L65" i="1"/>
  <c r="L57" i="1"/>
  <c r="L49" i="1"/>
  <c r="L41" i="1"/>
  <c r="L33" i="1"/>
  <c r="L25" i="1"/>
  <c r="L17" i="1"/>
  <c r="L9" i="1"/>
  <c r="L63" i="1"/>
  <c r="L47" i="1"/>
  <c r="L31" i="1"/>
  <c r="L23" i="1"/>
  <c r="L21" i="1"/>
  <c r="L68" i="1"/>
  <c r="L52" i="1"/>
  <c r="L36" i="1"/>
  <c r="L20" i="1"/>
  <c r="L66" i="1"/>
  <c r="L26" i="1"/>
  <c r="L64" i="1"/>
  <c r="L56" i="1"/>
  <c r="L48" i="1"/>
  <c r="L40" i="1"/>
  <c r="L32" i="1"/>
  <c r="L24" i="1"/>
  <c r="L16" i="1"/>
  <c r="L8" i="1"/>
  <c r="L55" i="1"/>
  <c r="L39" i="1"/>
  <c r="L15" i="1"/>
  <c r="L13" i="1"/>
  <c r="L60" i="1"/>
  <c r="L44" i="1"/>
  <c r="L28" i="1"/>
  <c r="L12" i="1"/>
  <c r="L35" i="1"/>
  <c r="L58" i="1"/>
  <c r="L10" i="1"/>
  <c r="L62" i="1"/>
  <c r="L54" i="1"/>
  <c r="L46" i="1"/>
  <c r="L38" i="1"/>
  <c r="L30" i="1"/>
  <c r="L22" i="1"/>
  <c r="L14" i="1"/>
  <c r="L69" i="1"/>
  <c r="L61" i="1"/>
  <c r="L45" i="1"/>
  <c r="L29" i="1"/>
  <c r="L11" i="1"/>
  <c r="L34" i="1"/>
  <c r="R67" i="1" l="1"/>
  <c r="R66" i="1"/>
  <c r="R65" i="1"/>
  <c r="R64" i="1"/>
  <c r="R63" i="1"/>
  <c r="R61" i="1"/>
  <c r="R60" i="1"/>
  <c r="R59" i="1"/>
  <c r="R57" i="1"/>
  <c r="R56" i="1"/>
  <c r="R55" i="1"/>
  <c r="R54" i="1"/>
  <c r="R52" i="1"/>
  <c r="R51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C62" i="1"/>
  <c r="S62" i="1" s="1"/>
  <c r="C58" i="1"/>
  <c r="S58" i="1" s="1"/>
  <c r="C53" i="1"/>
  <c r="S53" i="1" s="1"/>
  <c r="C50" i="1"/>
  <c r="S50" i="1" s="1"/>
  <c r="C35" i="1"/>
  <c r="S35" i="1" s="1"/>
  <c r="C8" i="1"/>
  <c r="S8" i="1" s="1"/>
  <c r="C7" i="1" l="1"/>
  <c r="S7" i="1" s="1"/>
  <c r="K63" i="1" l="1"/>
  <c r="K7" i="1"/>
  <c r="K9" i="1"/>
  <c r="K47" i="1"/>
  <c r="K29" i="1"/>
  <c r="K22" i="1"/>
  <c r="K25" i="1"/>
  <c r="K52" i="1"/>
  <c r="K19" i="1"/>
  <c r="K14" i="1"/>
  <c r="K13" i="1"/>
  <c r="K11" i="1"/>
  <c r="K16" i="1"/>
  <c r="K32" i="1"/>
  <c r="K50" i="1"/>
  <c r="K15" i="1"/>
  <c r="K54" i="1"/>
  <c r="K36" i="1"/>
  <c r="K61" i="1"/>
  <c r="K58" i="1"/>
  <c r="K51" i="1"/>
  <c r="K17" i="1"/>
  <c r="K24" i="1"/>
  <c r="K57" i="1"/>
  <c r="K48" i="1"/>
  <c r="K18" i="1"/>
  <c r="K49" i="1"/>
  <c r="K21" i="1"/>
  <c r="K67" i="1"/>
  <c r="K46" i="1"/>
  <c r="K12" i="1"/>
  <c r="K53" i="1"/>
  <c r="K34" i="1"/>
  <c r="K43" i="1"/>
  <c r="K40" i="1"/>
  <c r="K39" i="1"/>
  <c r="K56" i="1"/>
  <c r="K28" i="1"/>
  <c r="K38" i="1"/>
  <c r="K66" i="1"/>
  <c r="K45" i="1"/>
  <c r="K33" i="1"/>
  <c r="K35" i="1"/>
  <c r="K8" i="1"/>
  <c r="K55" i="1"/>
  <c r="K26" i="1"/>
  <c r="K30" i="1"/>
  <c r="K42" i="1"/>
  <c r="K37" i="1"/>
  <c r="K68" i="1"/>
  <c r="K27" i="1"/>
  <c r="K65" i="1"/>
  <c r="K31" i="1"/>
  <c r="K44" i="1"/>
  <c r="K41" i="1"/>
  <c r="K23" i="1"/>
  <c r="K62" i="1"/>
  <c r="K60" i="1"/>
  <c r="K69" i="1"/>
  <c r="K20" i="1"/>
  <c r="K59" i="1"/>
  <c r="K10" i="1"/>
  <c r="K64" i="1"/>
  <c r="R62" i="1" l="1"/>
  <c r="R50" i="1"/>
  <c r="R35" i="1"/>
  <c r="R8" i="1"/>
  <c r="R58" i="1"/>
  <c r="R53" i="1" l="1"/>
  <c r="R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Sharu</author>
    <author>Aishath Maazza</author>
  </authors>
  <commentList>
    <comment ref="G37" authorId="0" shapeId="0" xr:uid="{D51D5B6D-8586-4921-B244-D98535DE4759}">
      <text>
        <r>
          <rPr>
            <sz val="9"/>
            <color indexed="81"/>
            <rFont val="Tahoma"/>
            <family val="2"/>
          </rPr>
          <t xml:space="preserve">
Taiwan figures incorporated with Chinese figures under the Government's "</t>
        </r>
        <r>
          <rPr>
            <b/>
            <sz val="9"/>
            <color indexed="81"/>
            <rFont val="Tahoma"/>
            <family val="2"/>
          </rPr>
          <t>One China" policy</t>
        </r>
      </text>
    </comment>
    <comment ref="H37" authorId="1" shapeId="0" xr:uid="{C731AD81-6040-462F-81BA-E4D6A7A67D6E}">
      <text>
        <r>
          <rPr>
            <sz val="9"/>
            <color indexed="81"/>
            <rFont val="Tahoma"/>
            <family val="2"/>
          </rPr>
          <t xml:space="preserve">
Taiwan figures incorporated with Chinese figures under the Government's "One China" policy
</t>
        </r>
      </text>
    </comment>
    <comment ref="G47" authorId="0" shapeId="0" xr:uid="{C202CF55-5392-4FFA-9006-81F48EBC71B8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  <comment ref="H47" authorId="0" shapeId="0" xr:uid="{8FD9DA6E-2400-4422-9895-9763776DE575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  <comment ref="V47" authorId="0" shapeId="0" xr:uid="{8583165A-8284-492C-8587-8AE32ABEA5AC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  <comment ref="W47" authorId="0" shapeId="0" xr:uid="{6B8BB528-0428-4DAB-8300-A6B49E99EBE4}">
      <text>
        <r>
          <rPr>
            <b/>
            <sz val="9"/>
            <color indexed="81"/>
            <rFont val="Tahoma"/>
            <family val="2"/>
          </rPr>
          <t>Sharu:</t>
        </r>
        <r>
          <rPr>
            <sz val="9"/>
            <color indexed="81"/>
            <rFont val="Tahoma"/>
            <family val="2"/>
          </rPr>
          <t xml:space="preserve">
refer China arrivals!</t>
        </r>
      </text>
    </comment>
  </commentList>
</comments>
</file>

<file path=xl/sharedStrings.xml><?xml version="1.0" encoding="utf-8"?>
<sst xmlns="http://schemas.openxmlformats.org/spreadsheetml/2006/main" count="236" uniqueCount="149">
  <si>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</si>
  <si>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</si>
  <si>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</si>
  <si>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</si>
  <si>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</si>
  <si>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</si>
  <si>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</si>
  <si>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</si>
  <si>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</si>
  <si>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</si>
  <si>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</si>
  <si>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</si>
  <si>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</si>
  <si>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</si>
  <si>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</si>
  <si>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</si>
  <si>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</si>
  <si>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</si>
  <si>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</si>
  <si>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</si>
  <si>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</si>
  <si>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</si>
  <si>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</si>
  <si>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</si>
  <si>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</si>
  <si>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</si>
  <si>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</si>
  <si>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</si>
  <si>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</si>
  <si>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</si>
  <si>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</si>
  <si>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</si>
  <si>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</si>
  <si>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</si>
  <si>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</si>
  <si>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</si>
  <si>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</si>
  <si>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</si>
  <si>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</si>
  <si>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</si>
  <si>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</si>
  <si>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</si>
  <si>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</si>
  <si>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</si>
  <si>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</si>
  <si>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</si>
  <si>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</si>
  <si>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</si>
  <si>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</si>
  <si>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</si>
  <si>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</si>
  <si>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</si>
  <si>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</si>
  <si>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</si>
  <si>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</si>
  <si>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</si>
  <si>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</si>
  <si>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</si>
  <si>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</si>
  <si>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</si>
  <si>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</si>
  <si>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</si>
  <si>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</si>
  <si>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</si>
  <si>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</si>
  <si>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</si>
  <si>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</si>
  <si>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</si>
  <si>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</si>
  <si>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</si>
  <si>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</si>
  <si>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</si>
  <si>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</si>
  <si>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</si>
  <si>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</si>
  <si>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</si>
  <si>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</si>
  <si>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</si>
  <si>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</si>
  <si>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</si>
  <si>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</si>
  <si>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</si>
  <si>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</si>
  <si>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</si>
  <si>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</si>
  <si>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</si>
  <si>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</si>
  <si>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</si>
  <si>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</si>
  <si>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</si>
  <si>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</si>
  <si>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</si>
  <si>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</si>
  <si>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</si>
  <si>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</si>
  <si>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</si>
  <si>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</si>
  <si>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</si>
  <si>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</si>
  <si>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</si>
  <si>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</si>
  <si>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</si>
  <si>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</si>
  <si>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</si>
  <si>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</si>
  <si>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</si>
  <si>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</si>
  <si>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</si>
  <si>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</si>
  <si>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</si>
  <si>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</si>
  <si>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</si>
  <si>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</si>
  <si>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</si>
  <si>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</si>
  <si>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</si>
  <si>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</si>
  <si>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</si>
  <si>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</si>
  <si>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</si>
  <si>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</si>
  <si>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</si>
  <si>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</si>
  <si>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</si>
  <si>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</si>
  <si>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</si>
  <si>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</si>
  <si>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</si>
  <si>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ޔޫ.އެން ޕާސްޕޯޓް ހޯލްޑަރ</t>
  </si>
  <si>
    <t>Not Stated</t>
  </si>
  <si>
    <t>ބަޔާންނުކުރާ</t>
  </si>
  <si>
    <t>na</t>
  </si>
  <si>
    <t>2019</t>
  </si>
  <si>
    <t>2020</t>
  </si>
  <si>
    <t>Due to COVIC-19 pandamic, some tourists were unable to travel back to their home country.</t>
  </si>
  <si>
    <t>Note: Maldives border was closed for international visitors on 27th March 2020 due to global COVID-19 outbreak and was re-opened on 15th July 2020</t>
  </si>
  <si>
    <t>(*)</t>
  </si>
  <si>
    <t xml:space="preserve">(*) - Indicates if the percentage change is greater than 100. </t>
  </si>
  <si>
    <t>2021</t>
  </si>
  <si>
    <t>2022</t>
  </si>
  <si>
    <t>2023</t>
  </si>
  <si>
    <t>NA</t>
  </si>
  <si>
    <t>2024</t>
  </si>
  <si>
    <t>2025</t>
  </si>
  <si>
    <t>Table 10.1 :   FLOW OF TOURISTS BY NATIONALITY, 2019 -  2025</t>
  </si>
  <si>
    <t>2025 - 2019 ,udwdwA egcnirevurutwf iawaejcaWr cnutogegukwtumuawq : 10.1 ulwvWt</t>
  </si>
  <si>
    <t>Source: Ministry Tourism and Civil Aviation</t>
  </si>
  <si>
    <t>މަޢުލޫމާތު ދެއްވީ: މިނިސްޓްރީ އޮފް ޓޫރިޒަމް އެންޑް ސިވިލް އޭވިއޭޝަން</t>
  </si>
  <si>
    <t>na - Not applicable /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</si>
</sst>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b/>
      <sz val="9"/>
      <name val="A_Haleem Rasmee"/>
      <family val="2"/>
      <charset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</borders>
  <cellStyleXfs count="84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43" fontId="6" fillId="0" borderId="0" applyFont="0" applyFill="0" applyBorder="0" applyAlignment="0" applyProtection="0"/>
    <xf numFmtId="171" fontId="24" fillId="0" borderId="0"/>
    <xf numFmtId="1" fontId="25" fillId="0" borderId="18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3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1" fontId="25" fillId="0" borderId="18" applyNumberFormat="0"/>
    <xf numFmtId="0" fontId="1" fillId="0" borderId="0"/>
    <xf numFmtId="0" fontId="15" fillId="0" borderId="0"/>
    <xf numFmtId="0" fontId="29" fillId="0" borderId="0" applyFill="0" applyProtection="0"/>
    <xf numFmtId="1" fontId="25" fillId="0" borderId="18" applyNumberFormat="0"/>
    <xf numFmtId="43" fontId="1" fillId="0" borderId="0" applyFont="0" applyFill="0" applyBorder="0" applyAlignment="0" applyProtection="0"/>
    <xf numFmtId="0" fontId="1" fillId="0" borderId="0"/>
    <xf numFmtId="0" fontId="30" fillId="0" borderId="0"/>
    <xf numFmtId="0" fontId="31" fillId="0" borderId="0"/>
    <xf numFmtId="0" fontId="30" fillId="0" borderId="0"/>
    <xf numFmtId="0" fontId="1" fillId="0" borderId="0"/>
    <xf numFmtId="0" fontId="15" fillId="0" borderId="0"/>
    <xf numFmtId="0" fontId="29" fillId="0" borderId="0" applyFill="0" applyProtection="0"/>
    <xf numFmtId="1" fontId="25" fillId="0" borderId="18" applyNumberFormat="0"/>
    <xf numFmtId="0" fontId="1" fillId="0" borderId="0"/>
    <xf numFmtId="0" fontId="6" fillId="0" borderId="0"/>
    <xf numFmtId="0" fontId="30" fillId="0" borderId="0"/>
    <xf numFmtId="0" fontId="31" fillId="0" borderId="0"/>
    <xf numFmtId="0" fontId="6" fillId="0" borderId="0"/>
    <xf numFmtId="0" fontId="30" fillId="0" borderId="0"/>
    <xf numFmtId="0" fontId="32" fillId="0" borderId="0"/>
    <xf numFmtId="0" fontId="30" fillId="0" borderId="0"/>
    <xf numFmtId="0" fontId="3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32" fillId="0" borderId="0" applyBorder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2" fillId="0" borderId="0" applyBorder="0"/>
    <xf numFmtId="0" fontId="1" fillId="0" borderId="0"/>
    <xf numFmtId="0" fontId="1" fillId="0" borderId="0"/>
    <xf numFmtId="1" fontId="25" fillId="0" borderId="18" applyNumberFormat="0"/>
    <xf numFmtId="1" fontId="25" fillId="0" borderId="18" applyNumberFormat="0"/>
    <xf numFmtId="1" fontId="25" fillId="0" borderId="18" applyNumberFormat="0"/>
    <xf numFmtId="1" fontId="25" fillId="0" borderId="18" applyNumberFormat="0"/>
    <xf numFmtId="1" fontId="25" fillId="0" borderId="18" applyNumberFormat="0"/>
    <xf numFmtId="1" fontId="25" fillId="0" borderId="18" applyNumberFormat="0"/>
    <xf numFmtId="1" fontId="25" fillId="0" borderId="18" applyNumberFormat="0"/>
    <xf numFmtId="0" fontId="1" fillId="0" borderId="0"/>
    <xf numFmtId="0" fontId="1" fillId="0" borderId="0"/>
    <xf numFmtId="0" fontId="32" fillId="0" borderId="0" applyBorder="0"/>
    <xf numFmtId="0" fontId="32" fillId="0" borderId="0"/>
    <xf numFmtId="0" fontId="1" fillId="0" borderId="0"/>
    <xf numFmtId="0" fontId="15" fillId="0" borderId="0"/>
    <xf numFmtId="0" fontId="15" fillId="0" borderId="0"/>
    <xf numFmtId="1" fontId="25" fillId="0" borderId="18" applyNumberFormat="0"/>
    <xf numFmtId="0" fontId="32" fillId="0" borderId="0" applyBorder="0"/>
    <xf numFmtId="0" fontId="32" fillId="0" borderId="0" applyBorder="0"/>
    <xf numFmtId="0" fontId="15" fillId="0" borderId="0"/>
    <xf numFmtId="0" fontId="6" fillId="0" borderId="0"/>
    <xf numFmtId="0" fontId="6" fillId="0" borderId="0"/>
    <xf numFmtId="0" fontId="6" fillId="0" borderId="0"/>
  </cellStyleXfs>
  <cellXfs count="89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9" fillId="2" borderId="5" xfId="0" applyFont="1" applyFill="1" applyBorder="1" applyAlignment="1">
      <alignment vertical="center"/>
    </xf>
    <xf numFmtId="49" fontId="9" fillId="2" borderId="10" xfId="0" applyNumberFormat="1" applyFont="1" applyFill="1" applyBorder="1" applyAlignment="1">
      <alignment horizontal="right" vertical="center"/>
    </xf>
    <xf numFmtId="49" fontId="9" fillId="2" borderId="11" xfId="0" applyNumberFormat="1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3" fontId="10" fillId="2" borderId="0" xfId="0" applyNumberFormat="1" applyFont="1" applyFill="1" applyAlignment="1">
      <alignment vertical="center"/>
    </xf>
    <xf numFmtId="3" fontId="10" fillId="2" borderId="12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0" fontId="11" fillId="2" borderId="0" xfId="0" applyFont="1" applyFill="1" applyAlignment="1">
      <alignment horizontal="right" vertical="center"/>
    </xf>
    <xf numFmtId="166" fontId="12" fillId="2" borderId="13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2" xfId="1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6" fontId="10" fillId="2" borderId="14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2" xfId="1" applyNumberFormat="1" applyFont="1" applyFill="1" applyBorder="1" applyAlignment="1" applyProtection="1">
      <alignment horizontal="right" vertical="center"/>
    </xf>
    <xf numFmtId="166" fontId="12" fillId="2" borderId="15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166" fontId="10" fillId="2" borderId="9" xfId="1" applyNumberFormat="1" applyFont="1" applyFill="1" applyBorder="1" applyAlignment="1" applyProtection="1">
      <alignment horizontal="left" vertical="center"/>
    </xf>
    <xf numFmtId="165" fontId="12" fillId="2" borderId="9" xfId="1" applyNumberFormat="1" applyFont="1" applyFill="1" applyBorder="1" applyAlignment="1">
      <alignment vertical="center"/>
    </xf>
    <xf numFmtId="165" fontId="12" fillId="2" borderId="6" xfId="1" applyNumberFormat="1" applyFont="1" applyFill="1" applyBorder="1" applyAlignment="1">
      <alignment vertical="center"/>
    </xf>
    <xf numFmtId="164" fontId="12" fillId="2" borderId="9" xfId="0" applyNumberFormat="1" applyFont="1" applyFill="1" applyBorder="1" applyAlignment="1">
      <alignment vertical="center"/>
    </xf>
    <xf numFmtId="0" fontId="16" fillId="2" borderId="0" xfId="0" applyFont="1" applyFill="1" applyAlignment="1">
      <alignment horizontal="left" vertical="center"/>
    </xf>
    <xf numFmtId="37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right" vertical="center"/>
    </xf>
    <xf numFmtId="165" fontId="14" fillId="2" borderId="0" xfId="1" applyNumberFormat="1" applyFont="1" applyFill="1" applyBorder="1" applyAlignment="1">
      <alignment vertical="center"/>
    </xf>
    <xf numFmtId="0" fontId="27" fillId="2" borderId="3" xfId="0" applyFont="1" applyFill="1" applyBorder="1"/>
    <xf numFmtId="0" fontId="13" fillId="2" borderId="0" xfId="0" applyFont="1" applyFill="1" applyAlignment="1">
      <alignment horizontal="right" vertical="center" indent="2"/>
    </xf>
    <xf numFmtId="0" fontId="13" fillId="2" borderId="0" xfId="2" applyFont="1" applyFill="1" applyAlignment="1">
      <alignment horizontal="right" vertical="center" indent="2"/>
    </xf>
    <xf numFmtId="0" fontId="11" fillId="2" borderId="9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indent="3"/>
    </xf>
    <xf numFmtId="0" fontId="28" fillId="2" borderId="0" xfId="23" applyFont="1" applyFill="1" applyAlignment="1">
      <alignment horizontal="left" vertical="center" indent="3"/>
    </xf>
    <xf numFmtId="164" fontId="12" fillId="2" borderId="9" xfId="0" applyNumberFormat="1" applyFont="1" applyFill="1" applyBorder="1" applyAlignment="1">
      <alignment horizontal="right" vertical="center"/>
    </xf>
    <xf numFmtId="0" fontId="33" fillId="2" borderId="1" xfId="0" applyFont="1" applyFill="1" applyBorder="1" applyAlignment="1">
      <alignment horizontal="right" vertical="top" wrapText="1"/>
    </xf>
    <xf numFmtId="0" fontId="33" fillId="2" borderId="0" xfId="0" applyFont="1" applyFill="1" applyAlignment="1">
      <alignment horizontal="right" vertical="center"/>
    </xf>
    <xf numFmtId="0" fontId="33" fillId="2" borderId="9" xfId="0" applyFont="1" applyFill="1" applyBorder="1" applyAlignment="1">
      <alignment vertical="center" wrapText="1"/>
    </xf>
    <xf numFmtId="165" fontId="12" fillId="2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0" fillId="2" borderId="0" xfId="1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Border="1" applyAlignment="1" applyProtection="1">
      <alignment horizontal="left" vertic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left" vertical="center"/>
    </xf>
    <xf numFmtId="0" fontId="9" fillId="2" borderId="11" xfId="0" applyFont="1" applyFill="1" applyBorder="1" applyAlignment="1">
      <alignment horizontal="right" vertical="center"/>
    </xf>
    <xf numFmtId="164" fontId="10" fillId="2" borderId="12" xfId="0" applyNumberFormat="1" applyFont="1" applyFill="1" applyBorder="1" applyAlignment="1">
      <alignment vertical="center"/>
    </xf>
    <xf numFmtId="0" fontId="30" fillId="2" borderId="0" xfId="0" applyFont="1" applyFill="1" applyAlignment="1" applyProtection="1">
      <alignment vertical="center"/>
      <protection hidden="1"/>
    </xf>
    <xf numFmtId="164" fontId="12" fillId="2" borderId="12" xfId="0" applyNumberFormat="1" applyFont="1" applyFill="1" applyBorder="1" applyAlignment="1">
      <alignment vertical="center"/>
    </xf>
    <xf numFmtId="164" fontId="12" fillId="2" borderId="12" xfId="0" applyNumberFormat="1" applyFont="1" applyFill="1" applyBorder="1" applyAlignment="1">
      <alignment horizontal="right" vertical="center"/>
    </xf>
    <xf numFmtId="164" fontId="12" fillId="2" borderId="6" xfId="0" applyNumberFormat="1" applyFont="1" applyFill="1" applyBorder="1" applyAlignment="1">
      <alignment vertical="center"/>
    </xf>
    <xf numFmtId="0" fontId="22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vertical="center"/>
    </xf>
    <xf numFmtId="0" fontId="9" fillId="2" borderId="19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</cellXfs>
  <cellStyles count="84">
    <cellStyle name="1" xfId="7" xr:uid="{00000000-0005-0000-0000-000000000000}"/>
    <cellStyle name="Comma" xfId="1" builtinId="3"/>
    <cellStyle name="Comma 2" xfId="21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8" xr:uid="{00000000-0005-0000-0000-000003000000}"/>
    <cellStyle name="Comma 3 2" xfId="52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0 2" xfId="83" xr:uid="{AF4FE69F-9401-42FA-B027-EEF0FEB874E3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18" xfId="67" xr:uid="{C428DA61-20F8-4842-A18B-7FA043B482A4}"/>
    <cellStyle name="Normal 19" xfId="68" xr:uid="{EACCE844-16D2-420C-B840-ACEE6225450A}"/>
    <cellStyle name="Normal 2" xfId="3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2 5 2" xfId="70" xr:uid="{C22BCFAD-F32E-457E-938E-ABEE683A2342}"/>
    <cellStyle name="Normal 2 6" xfId="71" xr:uid="{FEC1E65A-B873-4B1D-8CA3-90C7267B1DBB}"/>
    <cellStyle name="Normal 2 7" xfId="74" xr:uid="{1F813466-FC69-4C83-8E34-944476152EEC}"/>
    <cellStyle name="Normal 20" xfId="69" xr:uid="{6BBCB359-6445-479F-B974-2714BC50CD98}"/>
    <cellStyle name="Normal 21" xfId="75" xr:uid="{ED747AB2-D527-4275-89BF-F4D42E0C64B3}"/>
    <cellStyle name="Normal 22" xfId="76" xr:uid="{8E332121-172D-4CE3-830C-64EBB89E6CB3}"/>
    <cellStyle name="Normal 23" xfId="77" xr:uid="{DB6A6BF5-DDB4-454B-9671-9B4525D9FEF0}"/>
    <cellStyle name="Normal 24" xfId="78" xr:uid="{DB5E392E-84E8-49A0-A5E9-BE8B736EFA85}"/>
    <cellStyle name="Normal 25" xfId="79" xr:uid="{6753E3D1-5C90-4E93-BA77-A2FB0D20D5D4}"/>
    <cellStyle name="Normal 3" xfId="11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2 3" xfId="81" xr:uid="{2702B235-7DDF-4A16-AFF9-4947AD331AEF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3 6" xfId="72" xr:uid="{147BF9F4-9920-475F-AFAF-1D72BEB5A6F8}"/>
    <cellStyle name="Normal 3 7" xfId="73" xr:uid="{C369A487-A923-4CFF-B26E-A8A707B5AE2D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4 5" xfId="80" xr:uid="{29A6969F-54E4-4383-BF5F-A7F4F715B13A}"/>
    <cellStyle name="Normal 5" xfId="13" xr:uid="{00000000-0005-0000-0000-00000E000000}"/>
    <cellStyle name="Normal 5 2" xfId="5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8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9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20" xr:uid="{00000000-0005-0000-0000-000012000000}"/>
    <cellStyle name="Normal 8 2" xfId="54" xr:uid="{2C19882A-370B-4CF1-8D87-E650A5A0EE91}"/>
    <cellStyle name="Normal 9" xfId="6" xr:uid="{00000000-0005-0000-0000-000013000000}"/>
    <cellStyle name="Normal 9 2" xfId="82" xr:uid="{8B69E301-AFA8-488E-94F8-DE9EB7E34FB9}"/>
    <cellStyle name="Normal_Quick data" xfId="23" xr:uid="{00000000-0005-0000-0000-000015000000}"/>
    <cellStyle name="Normal_TABLE456" xfId="2" xr:uid="{00000000-0005-0000-0000-000017000000}"/>
    <cellStyle name="Percent 2" xfId="14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4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400" baseline="0">
                <a:latin typeface="Consolas" panose="020B0609020204030204" pitchFamily="49" charset="0"/>
                <a:cs typeface="Calibri" panose="020F0502020204030204" pitchFamily="34" charset="0"/>
              </a:rPr>
              <a:t> 2025</a:t>
            </a:r>
            <a:endParaRPr lang="en-US" sz="14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7307907532177953"/>
          <c:h val="0.689494164983718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00"/>
            </a:solidFill>
          </c:spPr>
          <c:invertIfNegative val="0"/>
          <c:cat>
            <c:strRef>
              <c:f>'10.1'!$BM$22:$BM$31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'10.1'!$BT$22:$BT$31</c:f>
              <c:numCache>
                <c:formatCode>#,##0;[Red]#,##0</c:formatCode>
                <c:ptCount val="10"/>
                <c:pt idx="0">
                  <c:v>329110</c:v>
                </c:pt>
                <c:pt idx="1">
                  <c:v>278761</c:v>
                </c:pt>
                <c:pt idx="2" formatCode="General">
                  <c:v>202172</c:v>
                </c:pt>
                <c:pt idx="3" formatCode="General">
                  <c:v>167822</c:v>
                </c:pt>
                <c:pt idx="4" formatCode="General">
                  <c:v>153414</c:v>
                </c:pt>
                <c:pt idx="5" formatCode="General">
                  <c:v>131625</c:v>
                </c:pt>
                <c:pt idx="6" formatCode="General">
                  <c:v>66443</c:v>
                </c:pt>
                <c:pt idx="7" formatCode="General">
                  <c:v>58078</c:v>
                </c:pt>
                <c:pt idx="8" formatCode="General">
                  <c:v>55489</c:v>
                </c:pt>
                <c:pt idx="9" formatCode="General">
                  <c:v>43029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1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  <c:max val="3500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FCFDFE"/>
        </a:solidFill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10.2: Top tourist arrival market, 2023 - 2025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33402423089489769"/>
          <c:y val="3.0603104954181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'10.1'!$BR$21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strRef>
              <c:f>'10.1'!$BM$22:$BM$31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'10.1'!$BR$22:$BR$31</c:f>
              <c:numCache>
                <c:formatCode>General</c:formatCode>
                <c:ptCount val="10"/>
                <c:pt idx="0">
                  <c:v>187125</c:v>
                </c:pt>
                <c:pt idx="1">
                  <c:v>209146</c:v>
                </c:pt>
                <c:pt idx="2">
                  <c:v>155994</c:v>
                </c:pt>
                <c:pt idx="3">
                  <c:v>135091</c:v>
                </c:pt>
                <c:pt idx="4">
                  <c:v>118525</c:v>
                </c:pt>
                <c:pt idx="5">
                  <c:v>209193</c:v>
                </c:pt>
                <c:pt idx="6">
                  <c:v>74838</c:v>
                </c:pt>
                <c:pt idx="7">
                  <c:v>49201</c:v>
                </c:pt>
                <c:pt idx="8">
                  <c:v>40461</c:v>
                </c:pt>
                <c:pt idx="9">
                  <c:v>37258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C43-47F8-8B5E-FBAEA9601FA6}"/>
            </c:ext>
          </c:extLst>
        </c:ser>
        <c:ser>
          <c:idx val="1"/>
          <c:order val="1"/>
          <c:tx>
            <c:strRef>
              <c:f>'10.1'!$BS$21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'10.1'!$BM$22:$BM$31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'10.1'!$BS$22:$BS$31</c:f>
              <c:numCache>
                <c:formatCode>General</c:formatCode>
                <c:ptCount val="10"/>
                <c:pt idx="0">
                  <c:v>263340</c:v>
                </c:pt>
                <c:pt idx="1">
                  <c:v>225204</c:v>
                </c:pt>
                <c:pt idx="2">
                  <c:v>181644</c:v>
                </c:pt>
                <c:pt idx="3">
                  <c:v>157246</c:v>
                </c:pt>
                <c:pt idx="4">
                  <c:v>145672</c:v>
                </c:pt>
                <c:pt idx="5">
                  <c:v>130805</c:v>
                </c:pt>
                <c:pt idx="6">
                  <c:v>69620</c:v>
                </c:pt>
                <c:pt idx="7">
                  <c:v>54637</c:v>
                </c:pt>
                <c:pt idx="8">
                  <c:v>47835</c:v>
                </c:pt>
                <c:pt idx="9">
                  <c:v>41062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C43-47F8-8B5E-FBAEA9601FA6}"/>
            </c:ext>
          </c:extLst>
        </c:ser>
        <c:ser>
          <c:idx val="2"/>
          <c:order val="2"/>
          <c:tx>
            <c:strRef>
              <c:f>'10.1'!$BT$21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'10.1'!$BM$22:$BM$31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'10.1'!$BT$22:$BT$31</c:f>
              <c:numCache>
                <c:formatCode>#,##0;[Red]#,##0</c:formatCode>
                <c:ptCount val="10"/>
                <c:pt idx="0">
                  <c:v>329110</c:v>
                </c:pt>
                <c:pt idx="1">
                  <c:v>278761</c:v>
                </c:pt>
                <c:pt idx="2" formatCode="General">
                  <c:v>202172</c:v>
                </c:pt>
                <c:pt idx="3" formatCode="General">
                  <c:v>167822</c:v>
                </c:pt>
                <c:pt idx="4" formatCode="General">
                  <c:v>153414</c:v>
                </c:pt>
                <c:pt idx="5" formatCode="General">
                  <c:v>131625</c:v>
                </c:pt>
                <c:pt idx="6" formatCode="General">
                  <c:v>66443</c:v>
                </c:pt>
                <c:pt idx="7" formatCode="General">
                  <c:v>58078</c:v>
                </c:pt>
                <c:pt idx="8" formatCode="General">
                  <c:v>55489</c:v>
                </c:pt>
                <c:pt idx="9" formatCode="General">
                  <c:v>43029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C43-47F8-8B5E-FBAEA9601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  <c:extLst/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FCFDFE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789694587763657"/>
          <c:y val="0.12304962485536691"/>
          <c:w val="0.15748448763148007"/>
          <c:h val="5.5004897515501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306696</xdr:colOff>
      <xdr:row>75</xdr:row>
      <xdr:rowOff>184215</xdr:rowOff>
    </xdr:from>
    <xdr:to>
      <xdr:col>24</xdr:col>
      <xdr:colOff>664535</xdr:colOff>
      <xdr:row>94</xdr:row>
      <xdr:rowOff>99681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298923</xdr:colOff>
      <xdr:row>95</xdr:row>
      <xdr:rowOff>141360</xdr:rowOff>
    </xdr:from>
    <xdr:to>
      <xdr:col>24</xdr:col>
      <xdr:colOff>719912</xdr:colOff>
      <xdr:row>120</xdr:row>
      <xdr:rowOff>10473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4"/>
  <sheetViews>
    <sheetView tabSelected="1" zoomScaleNormal="100" zoomScaleSheetLayoutView="93" workbookViewId="0">
      <selection activeCell="AL10" sqref="AH1:AL1048576"/>
    </sheetView>
  </sheetViews>
  <sheetFormatPr defaultColWidth="9.140625" defaultRowHeight="15"/>
  <cols>
    <col min="1" max="1" width="21" style="2" customWidth="1"/>
    <col min="2" max="2" width="9.42578125" style="2" hidden="1" customWidth="1"/>
    <col min="3" max="9" width="9.42578125" style="2" customWidth="1"/>
    <col min="10" max="10" width="1.28515625" style="2" customWidth="1"/>
    <col min="11" max="13" width="7.140625" style="5" customWidth="1"/>
    <col min="14" max="15" width="8.140625" style="5" customWidth="1"/>
    <col min="16" max="17" width="9.28515625" style="5" customWidth="1"/>
    <col min="18" max="24" width="8.85546875" style="5" customWidth="1"/>
    <col min="25" max="25" width="22.42578125" style="2" customWidth="1"/>
    <col min="26" max="26" width="1.42578125" style="2" customWidth="1"/>
    <col min="27" max="27" width="9.140625" style="2"/>
    <col min="28" max="28" width="5.28515625" style="2" customWidth="1"/>
    <col min="29" max="29" width="6.28515625" style="2" customWidth="1"/>
    <col min="30" max="31" width="9.140625" style="2"/>
    <col min="32" max="60" width="8.140625" style="2" customWidth="1"/>
    <col min="61" max="61" width="15.5703125" style="2" customWidth="1"/>
    <col min="62" max="64" width="8.140625" style="2" customWidth="1"/>
    <col min="65" max="65" width="18.140625" style="2" customWidth="1"/>
    <col min="66" max="70" width="8.5703125" style="2" customWidth="1"/>
    <col min="71" max="72" width="8.5703125" style="54" customWidth="1"/>
    <col min="73" max="73" width="12.140625" style="2" customWidth="1"/>
    <col min="74" max="16384" width="9.140625" style="2"/>
  </cols>
  <sheetData>
    <row r="1" spans="1:77" s="1" customFormat="1" ht="15.75" customHeight="1">
      <c r="A1" s="71" t="s">
        <v>145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BS1" s="53"/>
      <c r="BT1" s="53"/>
    </row>
    <row r="2" spans="1:77" ht="15.75" customHeight="1">
      <c r="A2" s="72" t="s">
        <v>144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77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"/>
    </row>
    <row r="4" spans="1:77" ht="25.5" customHeight="1">
      <c r="A4" s="73" t="s">
        <v>0</v>
      </c>
      <c r="B4" s="85"/>
      <c r="C4" s="76" t="s">
        <v>1</v>
      </c>
      <c r="D4" s="76"/>
      <c r="E4" s="76"/>
      <c r="F4" s="76"/>
      <c r="G4" s="76"/>
      <c r="H4" s="76"/>
      <c r="I4" s="76"/>
      <c r="J4" s="36"/>
      <c r="K4" s="79" t="s">
        <v>2</v>
      </c>
      <c r="L4" s="80"/>
      <c r="M4" s="80"/>
      <c r="N4" s="80"/>
      <c r="O4" s="80"/>
      <c r="P4" s="80"/>
      <c r="Q4" s="81"/>
      <c r="R4" s="83" t="s">
        <v>3</v>
      </c>
      <c r="S4" s="84"/>
      <c r="T4" s="84"/>
      <c r="U4" s="84"/>
      <c r="V4" s="84"/>
      <c r="W4" s="84"/>
      <c r="X4" s="84"/>
      <c r="Y4" s="44" t="s">
        <v>4</v>
      </c>
    </row>
    <row r="5" spans="1:77" ht="13.5" customHeight="1">
      <c r="A5" s="74"/>
      <c r="B5" s="6"/>
      <c r="C5" s="77" t="s">
        <v>5</v>
      </c>
      <c r="D5" s="77"/>
      <c r="E5" s="77"/>
      <c r="F5" s="77"/>
      <c r="G5" s="77"/>
      <c r="H5" s="77"/>
      <c r="I5" s="77"/>
      <c r="J5" s="86"/>
      <c r="K5" s="82" t="s">
        <v>6</v>
      </c>
      <c r="L5" s="77"/>
      <c r="M5" s="77"/>
      <c r="N5" s="77"/>
      <c r="O5" s="77"/>
      <c r="P5" s="77"/>
      <c r="Q5" s="78"/>
      <c r="R5" s="87" t="s">
        <v>7</v>
      </c>
      <c r="S5" s="88"/>
      <c r="T5" s="88"/>
      <c r="U5" s="88"/>
      <c r="V5" s="88"/>
      <c r="W5" s="88"/>
      <c r="X5" s="88"/>
      <c r="Y5" s="45" t="s">
        <v>8</v>
      </c>
    </row>
    <row r="6" spans="1:77" s="10" customFormat="1" ht="15" customHeight="1">
      <c r="A6" s="75"/>
      <c r="B6" s="7" t="s">
        <v>9</v>
      </c>
      <c r="C6" s="7" t="s">
        <v>132</v>
      </c>
      <c r="D6" s="7" t="s">
        <v>133</v>
      </c>
      <c r="E6" s="7" t="s">
        <v>138</v>
      </c>
      <c r="F6" s="7" t="s">
        <v>139</v>
      </c>
      <c r="G6" s="7" t="s">
        <v>140</v>
      </c>
      <c r="H6" s="7" t="s">
        <v>142</v>
      </c>
      <c r="I6" s="7" t="s">
        <v>143</v>
      </c>
      <c r="J6" s="8"/>
      <c r="K6" s="9">
        <v>2019</v>
      </c>
      <c r="L6" s="9">
        <v>2020</v>
      </c>
      <c r="M6" s="9">
        <v>2021</v>
      </c>
      <c r="N6" s="9">
        <v>2022</v>
      </c>
      <c r="O6" s="9">
        <v>2023</v>
      </c>
      <c r="P6" s="9">
        <v>2024</v>
      </c>
      <c r="Q6" s="64">
        <v>2025</v>
      </c>
      <c r="R6" s="9">
        <v>2019</v>
      </c>
      <c r="S6" s="9">
        <v>2020</v>
      </c>
      <c r="T6" s="9">
        <v>2021</v>
      </c>
      <c r="U6" s="9">
        <v>2022</v>
      </c>
      <c r="V6" s="9">
        <v>2023</v>
      </c>
      <c r="W6" s="9">
        <v>2024</v>
      </c>
      <c r="X6" s="9">
        <v>2025</v>
      </c>
      <c r="Y6" s="46"/>
      <c r="BG6" s="2"/>
      <c r="BS6" s="55"/>
      <c r="BT6" s="55"/>
    </row>
    <row r="7" spans="1:77" s="10" customFormat="1" ht="18" customHeight="1">
      <c r="A7" s="11" t="s">
        <v>10</v>
      </c>
      <c r="B7" s="12">
        <f t="shared" ref="B7:D7" si="0">B8+B35+B50+B53+B58+B62+B68+B69</f>
        <v>1484274</v>
      </c>
      <c r="C7" s="12">
        <f t="shared" si="0"/>
        <v>1702887</v>
      </c>
      <c r="D7" s="12">
        <f t="shared" si="0"/>
        <v>555494</v>
      </c>
      <c r="E7" s="12">
        <f>E8+E35+E50+E53+E58+E62+E68+E69</f>
        <v>1321937</v>
      </c>
      <c r="F7" s="12">
        <f>F8+F35+F50+F53+F58+F62+F68+F69</f>
        <v>1675303</v>
      </c>
      <c r="G7" s="12">
        <f>G8+G35+G50+G53+G58+G62+G68+G69</f>
        <v>1878543</v>
      </c>
      <c r="H7" s="12">
        <f>H8+H35+H50+H53+H58+H62+H68+H69</f>
        <v>2046615</v>
      </c>
      <c r="I7" s="12">
        <f>I8+I35+I50+I53+I58+I62+I68+I69</f>
        <v>2246516</v>
      </c>
      <c r="J7" s="13"/>
      <c r="K7" s="12">
        <f>C7/C$7*100</f>
        <v>100</v>
      </c>
      <c r="L7" s="12">
        <f>D7/D$7*100</f>
        <v>100</v>
      </c>
      <c r="M7" s="12">
        <f>E7/E$7*100</f>
        <v>100</v>
      </c>
      <c r="N7" s="12">
        <f>F7/F$7*100</f>
        <v>100</v>
      </c>
      <c r="O7" s="12">
        <f>G7/G$7*100</f>
        <v>100</v>
      </c>
      <c r="P7" s="12">
        <f>H7/H$7*100</f>
        <v>100</v>
      </c>
      <c r="Q7" s="13">
        <f>I7/I$7*100</f>
        <v>100</v>
      </c>
      <c r="R7" s="14">
        <f>(C7-B7)/B7*100</f>
        <v>14.728614797537382</v>
      </c>
      <c r="S7" s="14">
        <f>(D7-C7)/C7*100</f>
        <v>-67.379280010946118</v>
      </c>
      <c r="T7" s="49" t="s">
        <v>136</v>
      </c>
      <c r="U7" s="50">
        <f>(F7-E7)/E7*100</f>
        <v>26.73092590645394</v>
      </c>
      <c r="V7" s="50">
        <f>(G7-F7)/F7*100</f>
        <v>12.131536802596306</v>
      </c>
      <c r="W7" s="50">
        <f>(H7-G7)/G7*100</f>
        <v>8.9469338737521582</v>
      </c>
      <c r="X7" s="50">
        <f>(I7-H7)/H7*100</f>
        <v>9.767396408215518</v>
      </c>
      <c r="Y7" s="15" t="s">
        <v>11</v>
      </c>
      <c r="Z7" s="16"/>
      <c r="AC7" s="11"/>
      <c r="BG7" s="2"/>
      <c r="BS7" s="55"/>
      <c r="BT7" s="55"/>
    </row>
    <row r="8" spans="1:77" s="10" customFormat="1" ht="18" customHeight="1">
      <c r="A8" s="11" t="s">
        <v>12</v>
      </c>
      <c r="B8" s="12">
        <f t="shared" ref="B8:D8" si="1">SUM(B9:B34)</f>
        <v>726420</v>
      </c>
      <c r="C8" s="12">
        <f t="shared" si="1"/>
        <v>833939</v>
      </c>
      <c r="D8" s="12">
        <f t="shared" si="1"/>
        <v>348349</v>
      </c>
      <c r="E8" s="12">
        <f>SUM(E9:E34)</f>
        <v>772460</v>
      </c>
      <c r="F8" s="12">
        <f>SUM(F9:F34)</f>
        <v>1022725</v>
      </c>
      <c r="G8" s="12">
        <f>SUM(G9:G34)</f>
        <v>1054709</v>
      </c>
      <c r="H8" s="12">
        <f>SUM(H9:H34)</f>
        <v>1205962</v>
      </c>
      <c r="I8" s="12">
        <f>SUM(I9:I34)</f>
        <v>1331470</v>
      </c>
      <c r="J8" s="13"/>
      <c r="K8" s="14">
        <f>C8/C$7*100</f>
        <v>48.972069197780002</v>
      </c>
      <c r="L8" s="14">
        <f>D8/D$7*100</f>
        <v>62.709768242321253</v>
      </c>
      <c r="M8" s="14">
        <f>E8/E$7*100</f>
        <v>58.433949575509267</v>
      </c>
      <c r="N8" s="14">
        <f>F8/F$7*100</f>
        <v>61.04716579627685</v>
      </c>
      <c r="O8" s="14">
        <f>G8/G$7*100</f>
        <v>56.145054970793851</v>
      </c>
      <c r="P8" s="14">
        <f>H8/H$7*100</f>
        <v>58.924712268795055</v>
      </c>
      <c r="Q8" s="65">
        <f>I8/I$7*100</f>
        <v>59.268217987319026</v>
      </c>
      <c r="R8" s="14">
        <f>(C8-B8)/B8*100</f>
        <v>14.801216926846728</v>
      </c>
      <c r="S8" s="14">
        <f>(D8-C8)/C8*100</f>
        <v>-58.228479541069554</v>
      </c>
      <c r="T8" s="49" t="s">
        <v>136</v>
      </c>
      <c r="U8" s="50">
        <f>(F8-E8)/E8*100</f>
        <v>32.398441343241075</v>
      </c>
      <c r="V8" s="50">
        <f>(G8-F8)/F8*100</f>
        <v>3.1273313940697647</v>
      </c>
      <c r="W8" s="50">
        <f>(H8-G8)/G8*100</f>
        <v>14.340732846690415</v>
      </c>
      <c r="X8" s="50">
        <f>(I8-H8)/H8*100</f>
        <v>10.407293098787523</v>
      </c>
      <c r="Y8" s="17" t="s">
        <v>13</v>
      </c>
      <c r="AC8" s="66"/>
      <c r="BG8" s="2"/>
    </row>
    <row r="9" spans="1:77" ht="17.25" customHeight="1">
      <c r="A9" s="18" t="s">
        <v>14</v>
      </c>
      <c r="B9" s="19">
        <v>20391</v>
      </c>
      <c r="C9" s="19">
        <v>21839</v>
      </c>
      <c r="D9" s="19">
        <v>8103</v>
      </c>
      <c r="E9" s="19">
        <v>17128</v>
      </c>
      <c r="F9" s="19">
        <v>25056</v>
      </c>
      <c r="G9" s="19">
        <v>24930</v>
      </c>
      <c r="H9" s="19">
        <v>29425</v>
      </c>
      <c r="I9" s="19">
        <v>33238</v>
      </c>
      <c r="J9" s="20"/>
      <c r="K9" s="21">
        <f>C9/C$7*100</f>
        <v>1.2824691244926998</v>
      </c>
      <c r="L9" s="21">
        <f>D9/D$7*100</f>
        <v>1.4587016241399549</v>
      </c>
      <c r="M9" s="21">
        <f>E9/E$7*100</f>
        <v>1.2956744534724423</v>
      </c>
      <c r="N9" s="21">
        <f>F9/F$7*100</f>
        <v>1.49561004785403</v>
      </c>
      <c r="O9" s="21">
        <f>G9/G$7*100</f>
        <v>1.3270923263401477</v>
      </c>
      <c r="P9" s="21">
        <f>H9/H$7*100</f>
        <v>1.437739877798218</v>
      </c>
      <c r="Q9" s="67">
        <f>I9/I$7*100</f>
        <v>1.4795354228503157</v>
      </c>
      <c r="R9" s="21">
        <f>(C9-B9)/B9*100</f>
        <v>7.1011720857240945</v>
      </c>
      <c r="S9" s="21">
        <f>(D9-C9)/C9*100</f>
        <v>-62.896652777141817</v>
      </c>
      <c r="T9" s="51" t="s">
        <v>136</v>
      </c>
      <c r="U9" s="52">
        <f>(F9-E9)/E9*100</f>
        <v>46.286781877627277</v>
      </c>
      <c r="V9" s="52">
        <f>(G9-F9)/F9*100</f>
        <v>-0.50287356321839083</v>
      </c>
      <c r="W9" s="52">
        <f>(H9-G9)/G9*100</f>
        <v>18.030485359005212</v>
      </c>
      <c r="X9" s="52">
        <f>(I9-H9)/H9*100</f>
        <v>12.958368734069669</v>
      </c>
      <c r="Y9" s="37" t="s">
        <v>15</v>
      </c>
      <c r="AC9" s="66"/>
      <c r="BL9" s="10"/>
      <c r="BM9" s="10"/>
      <c r="BN9" s="10"/>
      <c r="BO9" s="10"/>
      <c r="BP9" s="10"/>
      <c r="BQ9" s="10"/>
      <c r="BR9" s="10"/>
      <c r="BS9" s="55"/>
      <c r="BT9" s="55"/>
      <c r="BY9" s="56"/>
    </row>
    <row r="10" spans="1:77" ht="17.25" customHeight="1">
      <c r="A10" s="18" t="s">
        <v>16</v>
      </c>
      <c r="B10" s="19">
        <v>6492</v>
      </c>
      <c r="C10" s="19">
        <v>7305</v>
      </c>
      <c r="D10" s="19">
        <v>2921</v>
      </c>
      <c r="E10" s="19">
        <v>4844</v>
      </c>
      <c r="F10" s="19">
        <v>6745</v>
      </c>
      <c r="G10" s="19">
        <v>6881</v>
      </c>
      <c r="H10" s="19">
        <v>7994</v>
      </c>
      <c r="I10" s="19">
        <v>8655</v>
      </c>
      <c r="J10" s="20"/>
      <c r="K10" s="21">
        <f>C10/C$7*100</f>
        <v>0.42897737782953305</v>
      </c>
      <c r="L10" s="21">
        <f>D10/D$7*100</f>
        <v>0.52583826287952706</v>
      </c>
      <c r="M10" s="21">
        <f>E10/E$7*100</f>
        <v>0.36643198579054831</v>
      </c>
      <c r="N10" s="21">
        <f>F10/F$7*100</f>
        <v>0.40261373614205903</v>
      </c>
      <c r="O10" s="21">
        <f>G10/G$7*100</f>
        <v>0.36629451654819717</v>
      </c>
      <c r="P10" s="21">
        <f>H10/H$7*100</f>
        <v>0.39059617954524911</v>
      </c>
      <c r="Q10" s="67">
        <f>I10/I$7*100</f>
        <v>0.38526322536763591</v>
      </c>
      <c r="R10" s="21">
        <f>(C10-B10)/B10*100</f>
        <v>12.523105360443623</v>
      </c>
      <c r="S10" s="21">
        <f>(D10-C10)/C10*100</f>
        <v>-60.013689253935667</v>
      </c>
      <c r="T10" s="52">
        <f>(E10-D10)/D10*100</f>
        <v>65.83361862375898</v>
      </c>
      <c r="U10" s="52">
        <f>(F10-E10)/E10*100</f>
        <v>39.244426094137076</v>
      </c>
      <c r="V10" s="52">
        <f>(G10-F10)/F10*100</f>
        <v>2.0163083765752408</v>
      </c>
      <c r="W10" s="52">
        <f>(H10-G10)/G10*100</f>
        <v>16.17497456765005</v>
      </c>
      <c r="X10" s="52">
        <f>(I10-H10)/H10*100</f>
        <v>8.2687015261446088</v>
      </c>
      <c r="Y10" s="37" t="s">
        <v>17</v>
      </c>
      <c r="AA10" s="10"/>
      <c r="AC10" s="66"/>
      <c r="BL10" s="10"/>
      <c r="BM10" s="10"/>
      <c r="BN10" s="10"/>
      <c r="BO10" s="10"/>
      <c r="BP10" s="10"/>
      <c r="BQ10" s="10"/>
      <c r="BR10" s="10"/>
      <c r="BS10" s="10"/>
      <c r="BT10" s="10"/>
      <c r="BY10" s="26"/>
    </row>
    <row r="11" spans="1:77" ht="17.25" customHeight="1">
      <c r="A11" s="18" t="s">
        <v>18</v>
      </c>
      <c r="B11" s="19">
        <v>13229</v>
      </c>
      <c r="C11" s="19">
        <v>13423</v>
      </c>
      <c r="D11" s="19">
        <v>7282</v>
      </c>
      <c r="E11" s="19">
        <v>18692</v>
      </c>
      <c r="F11" s="19">
        <v>17308</v>
      </c>
      <c r="G11" s="19">
        <v>21729</v>
      </c>
      <c r="H11" s="19">
        <v>23720</v>
      </c>
      <c r="I11" s="19">
        <v>28145</v>
      </c>
      <c r="J11" s="20"/>
      <c r="K11" s="21">
        <f>C11/C$7*100</f>
        <v>0.78824960199942795</v>
      </c>
      <c r="L11" s="21">
        <f>D11/D$7*100</f>
        <v>1.3109052483015118</v>
      </c>
      <c r="M11" s="21">
        <f>E11/E$7*100</f>
        <v>1.4139856891818596</v>
      </c>
      <c r="N11" s="21">
        <f>F11/F$7*100</f>
        <v>1.0331265448697937</v>
      </c>
      <c r="O11" s="21">
        <f>G11/G$7*100</f>
        <v>1.1566943104310095</v>
      </c>
      <c r="P11" s="21">
        <f>H11/H$7*100</f>
        <v>1.1589869125360657</v>
      </c>
      <c r="Q11" s="67">
        <f>I11/I$7*100</f>
        <v>1.2528288247223702</v>
      </c>
      <c r="R11" s="21">
        <f>(C11-B11)/B11*100</f>
        <v>1.4664751681910952</v>
      </c>
      <c r="S11" s="21">
        <f>(D11-C11)/C11*100</f>
        <v>-45.749832377262905</v>
      </c>
      <c r="T11" s="51" t="s">
        <v>136</v>
      </c>
      <c r="U11" s="52">
        <f>(F11-E11)/E11*100</f>
        <v>-7.4042371067836505</v>
      </c>
      <c r="V11" s="52">
        <f>(G11-F11)/F11*100</f>
        <v>25.543101455974117</v>
      </c>
      <c r="W11" s="52">
        <f>(H11-G11)/G11*100</f>
        <v>9.1628698973721754</v>
      </c>
      <c r="X11" s="52">
        <f>(I11-H11)/H11*100</f>
        <v>18.655143338954471</v>
      </c>
      <c r="Y11" s="37" t="s">
        <v>19</v>
      </c>
      <c r="AC11" s="66"/>
      <c r="BL11" s="10"/>
      <c r="BM11" s="10"/>
      <c r="BN11" s="10"/>
      <c r="BO11" s="10"/>
      <c r="BP11" s="10"/>
      <c r="BQ11" s="10"/>
      <c r="BR11" s="10"/>
      <c r="BS11" s="55"/>
      <c r="BT11" s="55"/>
      <c r="BY11" s="26"/>
    </row>
    <row r="12" spans="1:77" ht="17.25" customHeight="1">
      <c r="A12" s="18" t="s">
        <v>20</v>
      </c>
      <c r="B12" s="19">
        <v>11133</v>
      </c>
      <c r="C12" s="19">
        <v>10621</v>
      </c>
      <c r="D12" s="19">
        <v>3938</v>
      </c>
      <c r="E12" s="19">
        <v>6106</v>
      </c>
      <c r="F12" s="19">
        <v>13344</v>
      </c>
      <c r="G12" s="19">
        <v>10010</v>
      </c>
      <c r="H12" s="19">
        <v>11290</v>
      </c>
      <c r="I12" s="19">
        <v>12346</v>
      </c>
      <c r="J12" s="20"/>
      <c r="K12" s="21">
        <f>C12/C$7*100</f>
        <v>0.62370550717692952</v>
      </c>
      <c r="L12" s="21">
        <f>D12/D$7*100</f>
        <v>0.70891854817513777</v>
      </c>
      <c r="M12" s="21">
        <f>E12/E$7*100</f>
        <v>0.4618979573156663</v>
      </c>
      <c r="N12" s="21">
        <f>F12/F$7*100</f>
        <v>0.79651263084946422</v>
      </c>
      <c r="O12" s="21">
        <f>G12/G$7*100</f>
        <v>0.53285977483613634</v>
      </c>
      <c r="P12" s="21">
        <f>H12/H$7*100</f>
        <v>0.55164259032597729</v>
      </c>
      <c r="Q12" s="67">
        <f>I12/I$7*100</f>
        <v>0.5495620774568265</v>
      </c>
      <c r="R12" s="21">
        <f>(C12-B12)/B12*100</f>
        <v>-4.5989400880265876</v>
      </c>
      <c r="S12" s="21">
        <f>(D12-C12)/C12*100</f>
        <v>-62.922512004519348</v>
      </c>
      <c r="T12" s="52">
        <f>(E12-D12)/D12*100</f>
        <v>55.053326561706449</v>
      </c>
      <c r="U12" s="51" t="s">
        <v>136</v>
      </c>
      <c r="V12" s="52">
        <f>(G12-F12)/F12*100</f>
        <v>-24.985011990407674</v>
      </c>
      <c r="W12" s="52">
        <f>(H12-G12)/G12*100</f>
        <v>12.787212787212788</v>
      </c>
      <c r="X12" s="52">
        <f>(I12-H12)/H12*100</f>
        <v>9.3534100974313557</v>
      </c>
      <c r="Y12" s="37" t="s">
        <v>21</v>
      </c>
      <c r="AC12" s="66"/>
      <c r="AE12" s="5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H12" s="57"/>
      <c r="BI12" s="58"/>
      <c r="BK12" s="5"/>
      <c r="BL12" s="10"/>
      <c r="BM12" s="10"/>
      <c r="BN12" s="10"/>
      <c r="BO12" s="10"/>
      <c r="BP12" s="10"/>
      <c r="BQ12" s="10"/>
      <c r="BR12" s="10"/>
      <c r="BS12" s="10"/>
      <c r="BT12" s="10"/>
      <c r="BY12" s="26"/>
    </row>
    <row r="13" spans="1:77" ht="17.25" customHeight="1">
      <c r="A13" s="18" t="s">
        <v>22</v>
      </c>
      <c r="B13" s="19">
        <v>5682</v>
      </c>
      <c r="C13" s="19">
        <v>5315</v>
      </c>
      <c r="D13" s="19">
        <v>2128</v>
      </c>
      <c r="E13" s="19">
        <v>1724</v>
      </c>
      <c r="F13" s="19">
        <v>3126</v>
      </c>
      <c r="G13" s="19">
        <v>3632</v>
      </c>
      <c r="H13" s="19">
        <v>3543</v>
      </c>
      <c r="I13" s="19">
        <v>3585</v>
      </c>
      <c r="J13" s="20"/>
      <c r="K13" s="21">
        <f>C13/C$7*100</f>
        <v>0.31211701070006403</v>
      </c>
      <c r="L13" s="21">
        <f>D13/D$7*100</f>
        <v>0.38308244553496523</v>
      </c>
      <c r="M13" s="21">
        <f>E13/E$7*100</f>
        <v>0.13041468693288713</v>
      </c>
      <c r="N13" s="21">
        <f>F13/F$7*100</f>
        <v>0.18659311181320634</v>
      </c>
      <c r="O13" s="21">
        <f>G13/G$7*100</f>
        <v>0.19334132889159311</v>
      </c>
      <c r="P13" s="21">
        <f>H13/H$7*100</f>
        <v>0.17311511935561891</v>
      </c>
      <c r="Q13" s="67">
        <f>I13/I$7*100</f>
        <v>0.15958043477099651</v>
      </c>
      <c r="R13" s="21">
        <f>(C13-B13)/B13*100</f>
        <v>-6.4589933122140089</v>
      </c>
      <c r="S13" s="21">
        <f>(D13-C13)/C13*100</f>
        <v>-59.962370649106298</v>
      </c>
      <c r="T13" s="52">
        <f>(E13-D13)/D13*100</f>
        <v>-18.984962406015036</v>
      </c>
      <c r="U13" s="52">
        <f>(F13-E13)/E13*100</f>
        <v>81.322505800464043</v>
      </c>
      <c r="V13" s="52">
        <f>(G13-F13)/F13*100</f>
        <v>16.186820217530389</v>
      </c>
      <c r="W13" s="52">
        <f>(H13-G13)/G13*100</f>
        <v>-2.4504405286343611</v>
      </c>
      <c r="X13" s="52">
        <f>(I13-H13)/H13*100</f>
        <v>1.1854360711261642</v>
      </c>
      <c r="Y13" s="37" t="s">
        <v>23</v>
      </c>
      <c r="AC13" s="66"/>
      <c r="BL13" s="10"/>
      <c r="BM13" s="10"/>
      <c r="BN13" s="10"/>
      <c r="BO13" s="10"/>
      <c r="BP13" s="10"/>
      <c r="BQ13" s="10"/>
      <c r="BR13" s="10"/>
      <c r="BS13" s="55"/>
      <c r="BT13" s="55"/>
      <c r="BY13" s="26"/>
    </row>
    <row r="14" spans="1:77" ht="18" customHeight="1">
      <c r="A14" s="18" t="s">
        <v>24</v>
      </c>
      <c r="B14" s="19">
        <v>50476</v>
      </c>
      <c r="C14" s="19">
        <v>59738</v>
      </c>
      <c r="D14" s="19">
        <v>28031</v>
      </c>
      <c r="E14" s="19">
        <v>30068</v>
      </c>
      <c r="F14" s="19">
        <v>48341</v>
      </c>
      <c r="G14" s="19">
        <v>49201</v>
      </c>
      <c r="H14" s="19">
        <v>54637</v>
      </c>
      <c r="I14" s="19">
        <v>58078</v>
      </c>
      <c r="J14" s="20"/>
      <c r="K14" s="21">
        <f>C14/C$7*100</f>
        <v>3.5080425183820179</v>
      </c>
      <c r="L14" s="21">
        <f>D14/D$7*100</f>
        <v>5.0461391122136332</v>
      </c>
      <c r="M14" s="21">
        <f>E14/E$7*100</f>
        <v>2.2745410711705625</v>
      </c>
      <c r="N14" s="21">
        <f>F14/F$7*100</f>
        <v>2.8855078752918129</v>
      </c>
      <c r="O14" s="21">
        <f>G14/G$7*100</f>
        <v>2.6191042738973769</v>
      </c>
      <c r="P14" s="21">
        <f>H14/H$7*100</f>
        <v>2.6696276534668222</v>
      </c>
      <c r="Q14" s="67">
        <f>I14/I$7*100</f>
        <v>2.58524755666107</v>
      </c>
      <c r="R14" s="21">
        <f>(C14-B14)/B14*100</f>
        <v>18.34931452571519</v>
      </c>
      <c r="S14" s="21">
        <f>(D14-C14)/C14*100</f>
        <v>-53.076768556027986</v>
      </c>
      <c r="T14" s="52">
        <f>(E14-D14)/D14*100</f>
        <v>7.2669544432949236</v>
      </c>
      <c r="U14" s="52">
        <f>(F14-E14)/E14*100</f>
        <v>60.772249567646661</v>
      </c>
      <c r="V14" s="52">
        <f>(G14-F14)/F14*100</f>
        <v>1.7790281541548583</v>
      </c>
      <c r="W14" s="52">
        <f>(H14-G14)/G14*100</f>
        <v>11.048555923660089</v>
      </c>
      <c r="X14" s="52">
        <f>(I14-H14)/H14*100</f>
        <v>6.2979299741933126</v>
      </c>
      <c r="Y14" s="37" t="s">
        <v>25</v>
      </c>
      <c r="AD14" s="48"/>
      <c r="AE14" s="48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H14" s="59"/>
      <c r="BI14" s="59"/>
      <c r="BK14" s="48"/>
      <c r="BL14" s="10"/>
      <c r="BM14" s="10"/>
      <c r="BN14" s="10"/>
      <c r="BO14" s="10"/>
      <c r="BP14" s="10"/>
      <c r="BQ14" s="10"/>
      <c r="BR14" s="10"/>
      <c r="BS14" s="10"/>
      <c r="BT14" s="10"/>
      <c r="BY14" s="26"/>
    </row>
    <row r="15" spans="1:77" ht="18" customHeight="1">
      <c r="A15" s="18" t="s">
        <v>26</v>
      </c>
      <c r="B15" s="19">
        <v>117532</v>
      </c>
      <c r="C15" s="19">
        <v>131561</v>
      </c>
      <c r="D15" s="19">
        <v>36435</v>
      </c>
      <c r="E15" s="19">
        <v>95358</v>
      </c>
      <c r="F15" s="19">
        <v>133432</v>
      </c>
      <c r="G15" s="19">
        <v>135091</v>
      </c>
      <c r="H15" s="19">
        <v>157246</v>
      </c>
      <c r="I15" s="19">
        <v>167822</v>
      </c>
      <c r="J15" s="20"/>
      <c r="K15" s="21">
        <f>C15/C$7*100</f>
        <v>7.7257621909146064</v>
      </c>
      <c r="L15" s="21">
        <f>D15/D$7*100</f>
        <v>6.5590267401628104</v>
      </c>
      <c r="M15" s="21">
        <f>E15/E$7*100</f>
        <v>7.2135056360477083</v>
      </c>
      <c r="N15" s="21">
        <f>F15/F$7*100</f>
        <v>7.9646487829365782</v>
      </c>
      <c r="O15" s="21">
        <f>G15/G$7*100</f>
        <v>7.1912647195193298</v>
      </c>
      <c r="P15" s="21">
        <f>H15/H$7*100</f>
        <v>7.6832232735516941</v>
      </c>
      <c r="Q15" s="67">
        <f>I15/I$7*100</f>
        <v>7.470322935603396</v>
      </c>
      <c r="R15" s="21">
        <f>(C15-B15)/B15*100</f>
        <v>11.936323724602662</v>
      </c>
      <c r="S15" s="21">
        <f>(D15-C15)/C15*100</f>
        <v>-72.305622486907211</v>
      </c>
      <c r="T15" s="51" t="s">
        <v>136</v>
      </c>
      <c r="U15" s="52">
        <f>(F15-E15)/E15*100</f>
        <v>39.927431363912838</v>
      </c>
      <c r="V15" s="52">
        <f>(G15-F15)/F15*100</f>
        <v>1.243329935847473</v>
      </c>
      <c r="W15" s="52">
        <f>(H15-G15)/G15*100</f>
        <v>16.400056258373986</v>
      </c>
      <c r="X15" s="52">
        <f>(I15-H15)/H15*100</f>
        <v>6.7257672691197232</v>
      </c>
      <c r="Y15" s="37" t="s">
        <v>27</v>
      </c>
      <c r="BL15" s="10"/>
      <c r="BM15" s="10"/>
      <c r="BN15" s="10"/>
      <c r="BO15" s="10"/>
      <c r="BP15" s="10"/>
      <c r="BQ15" s="10"/>
      <c r="BR15" s="10"/>
      <c r="BS15" s="55"/>
      <c r="BT15" s="55"/>
      <c r="BY15" s="26"/>
    </row>
    <row r="16" spans="1:77" ht="18" customHeight="1">
      <c r="A16" s="18" t="s">
        <v>28</v>
      </c>
      <c r="B16" s="19">
        <v>2398</v>
      </c>
      <c r="C16" s="19">
        <v>2805</v>
      </c>
      <c r="D16" s="19">
        <v>871</v>
      </c>
      <c r="E16" s="19">
        <v>2454</v>
      </c>
      <c r="F16" s="19">
        <v>3406</v>
      </c>
      <c r="G16" s="19">
        <v>3936</v>
      </c>
      <c r="H16" s="19">
        <v>4356</v>
      </c>
      <c r="I16" s="19">
        <v>4446</v>
      </c>
      <c r="J16" s="20"/>
      <c r="K16" s="21">
        <f>C16/C$7*100</f>
        <v>0.16472026623023137</v>
      </c>
      <c r="L16" s="21">
        <f>D16/D$7*100</f>
        <v>0.1567973731489449</v>
      </c>
      <c r="M16" s="21">
        <f>E16/E$7*100</f>
        <v>0.18563668313996809</v>
      </c>
      <c r="N16" s="21">
        <f>F16/F$7*100</f>
        <v>0.2033065063454193</v>
      </c>
      <c r="O16" s="21">
        <f>G16/G$7*100</f>
        <v>0.20952408329221106</v>
      </c>
      <c r="P16" s="21">
        <f>H16/H$7*100</f>
        <v>0.21283924919928759</v>
      </c>
      <c r="Q16" s="67">
        <f>I16/I$7*100</f>
        <v>0.19790644713859151</v>
      </c>
      <c r="R16" s="21">
        <f>(C16-B16)/B16*100</f>
        <v>16.972477064220186</v>
      </c>
      <c r="S16" s="21">
        <f>(D16-C16)/C16*100</f>
        <v>-68.948306595365409</v>
      </c>
      <c r="T16" s="51" t="s">
        <v>136</v>
      </c>
      <c r="U16" s="52">
        <f>(F16-E16)/E16*100</f>
        <v>38.793806030969847</v>
      </c>
      <c r="V16" s="52">
        <f>(G16-F16)/F16*100</f>
        <v>15.560775102759836</v>
      </c>
      <c r="W16" s="52">
        <f>(H16-G16)/G16*100</f>
        <v>10.670731707317072</v>
      </c>
      <c r="X16" s="52">
        <f>(I16-H16)/H16*100</f>
        <v>2.0661157024793391</v>
      </c>
      <c r="Y16" s="37" t="s">
        <v>29</v>
      </c>
      <c r="BL16" s="10"/>
      <c r="BM16" s="10"/>
      <c r="BN16" s="10"/>
      <c r="BO16" s="10"/>
      <c r="BP16" s="10"/>
      <c r="BQ16" s="10"/>
      <c r="BR16" s="10"/>
      <c r="BS16" s="10"/>
      <c r="BT16" s="10"/>
      <c r="BY16" s="26"/>
    </row>
    <row r="17" spans="1:77" ht="18" customHeight="1">
      <c r="A17" s="18" t="s">
        <v>30</v>
      </c>
      <c r="B17" s="19">
        <v>7782</v>
      </c>
      <c r="C17" s="19">
        <v>10025</v>
      </c>
      <c r="D17" s="19">
        <v>5813</v>
      </c>
      <c r="E17" s="19">
        <v>12582</v>
      </c>
      <c r="F17" s="19">
        <v>15224</v>
      </c>
      <c r="G17" s="19">
        <v>15575</v>
      </c>
      <c r="H17" s="19">
        <v>18231</v>
      </c>
      <c r="I17" s="19">
        <v>17969</v>
      </c>
      <c r="J17" s="20"/>
      <c r="K17" s="21">
        <f>C17/C$7*100</f>
        <v>0.58870612084066654</v>
      </c>
      <c r="L17" s="21">
        <f>D17/D$7*100</f>
        <v>1.046455947318963</v>
      </c>
      <c r="M17" s="21">
        <f>E17/E$7*100</f>
        <v>0.95178514558560656</v>
      </c>
      <c r="N17" s="21">
        <f>F17/F$7*100</f>
        <v>0.90873113699432273</v>
      </c>
      <c r="O17" s="21">
        <f>G17/G$7*100</f>
        <v>0.8290999993079744</v>
      </c>
      <c r="P17" s="21">
        <f>H17/H$7*100</f>
        <v>0.89078795963090274</v>
      </c>
      <c r="Q17" s="67">
        <f>I17/I$7*100</f>
        <v>0.79986076217574231</v>
      </c>
      <c r="R17" s="21">
        <f>(C17-B17)/B17*100</f>
        <v>28.822924698021072</v>
      </c>
      <c r="S17" s="21">
        <f>(D17-C17)/C17*100</f>
        <v>-42.014962593516209</v>
      </c>
      <c r="T17" s="51" t="s">
        <v>136</v>
      </c>
      <c r="U17" s="52">
        <f>(F17-E17)/E17*100</f>
        <v>20.998251470354475</v>
      </c>
      <c r="V17" s="52">
        <f>(G17-F17)/F17*100</f>
        <v>2.3055701523909615</v>
      </c>
      <c r="W17" s="52">
        <f>(H17-G17)/G17*100</f>
        <v>17.052969502407706</v>
      </c>
      <c r="X17" s="52">
        <f>(I17-H17)/H17*100</f>
        <v>-1.437112610388898</v>
      </c>
      <c r="Y17" s="37" t="s">
        <v>31</v>
      </c>
      <c r="BL17" s="10"/>
      <c r="BM17" s="10"/>
      <c r="BN17" s="10"/>
      <c r="BO17" s="10"/>
      <c r="BP17" s="10"/>
      <c r="BQ17" s="10"/>
      <c r="BR17" s="10"/>
      <c r="BS17" s="55"/>
      <c r="BT17" s="55"/>
      <c r="BY17" s="26"/>
    </row>
    <row r="18" spans="1:77" ht="18" customHeight="1">
      <c r="A18" s="18" t="s">
        <v>32</v>
      </c>
      <c r="B18" s="19">
        <v>4236</v>
      </c>
      <c r="C18" s="19">
        <v>4287</v>
      </c>
      <c r="D18" s="19">
        <v>1688</v>
      </c>
      <c r="E18" s="19">
        <v>2931</v>
      </c>
      <c r="F18" s="19">
        <v>6691</v>
      </c>
      <c r="G18" s="19">
        <v>5743</v>
      </c>
      <c r="H18" s="19">
        <v>6520</v>
      </c>
      <c r="I18" s="19">
        <v>7114</v>
      </c>
      <c r="J18" s="20"/>
      <c r="K18" s="21">
        <f>C18/C$7*100</f>
        <v>0.25174894165026801</v>
      </c>
      <c r="L18" s="21">
        <f>D18/D$7*100</f>
        <v>0.30387366920254766</v>
      </c>
      <c r="M18" s="21">
        <f>E18/E$7*100</f>
        <v>0.22172009709993745</v>
      </c>
      <c r="N18" s="21">
        <f>F18/F$7*100</f>
        <v>0.39939043862513229</v>
      </c>
      <c r="O18" s="21">
        <f>G18/G$7*100</f>
        <v>0.30571565303535769</v>
      </c>
      <c r="P18" s="21">
        <f>H18/H$7*100</f>
        <v>0.31857481744245991</v>
      </c>
      <c r="Q18" s="67">
        <f>I18/I$7*100</f>
        <v>0.31666812077011691</v>
      </c>
      <c r="R18" s="21">
        <f>(C18-B18)/B18*100</f>
        <v>1.2039660056657222</v>
      </c>
      <c r="S18" s="21">
        <f>(D18-C18)/C18*100</f>
        <v>-60.625145789596459</v>
      </c>
      <c r="T18" s="52">
        <f>(E18-D18)/D18*100</f>
        <v>73.637440758293835</v>
      </c>
      <c r="U18" s="51" t="s">
        <v>136</v>
      </c>
      <c r="V18" s="52">
        <f>(G18-F18)/F18*100</f>
        <v>-14.168285756986998</v>
      </c>
      <c r="W18" s="52">
        <f>(H18-G18)/G18*100</f>
        <v>13.529514191189273</v>
      </c>
      <c r="X18" s="52">
        <f>(I18-H18)/H18*100</f>
        <v>9.110429447852761</v>
      </c>
      <c r="Y18" s="37" t="s">
        <v>33</v>
      </c>
      <c r="BL18" s="10"/>
      <c r="BM18" s="10"/>
      <c r="BN18" s="10"/>
      <c r="BO18" s="10"/>
      <c r="BP18" s="10"/>
      <c r="BQ18" s="10"/>
      <c r="BR18" s="10"/>
      <c r="BS18" s="10"/>
      <c r="BT18" s="10"/>
      <c r="BY18" s="26"/>
    </row>
    <row r="19" spans="1:77" ht="18" customHeight="1">
      <c r="A19" s="18" t="s">
        <v>34</v>
      </c>
      <c r="B19" s="19">
        <v>7748</v>
      </c>
      <c r="C19" s="19">
        <v>10424</v>
      </c>
      <c r="D19" s="19">
        <v>1782</v>
      </c>
      <c r="E19" s="19">
        <v>12175</v>
      </c>
      <c r="F19" s="19">
        <v>15748</v>
      </c>
      <c r="G19" s="19">
        <v>10966</v>
      </c>
      <c r="H19" s="19">
        <v>1435</v>
      </c>
      <c r="I19" s="19">
        <v>360</v>
      </c>
      <c r="J19" s="20"/>
      <c r="K19" s="21">
        <f>C19/C$7*100</f>
        <v>0.61213691806913795</v>
      </c>
      <c r="L19" s="21">
        <f>D19/D$7*100</f>
        <v>0.32079554414629141</v>
      </c>
      <c r="M19" s="21">
        <f>E19/E$7*100</f>
        <v>0.92099699153590531</v>
      </c>
      <c r="N19" s="21">
        <f>F19/F$7*100</f>
        <v>0.94000906104746429</v>
      </c>
      <c r="O19" s="21">
        <f>G19/G$7*100</f>
        <v>0.58375027880650066</v>
      </c>
      <c r="P19" s="21">
        <f>H19/H$7*100</f>
        <v>7.0115776538332814E-2</v>
      </c>
      <c r="Q19" s="67">
        <f>I19/I$7*100</f>
        <v>1.6024813533489189E-2</v>
      </c>
      <c r="R19" s="21">
        <f>(C19-B19)/B19*100</f>
        <v>34.537945276200311</v>
      </c>
      <c r="S19" s="21">
        <f>(D19-C19)/C19*100</f>
        <v>-82.904834996162705</v>
      </c>
      <c r="T19" s="51" t="s">
        <v>136</v>
      </c>
      <c r="U19" s="52">
        <f>(F19-E19)/E19*100</f>
        <v>29.347022587268995</v>
      </c>
      <c r="V19" s="52">
        <f>(G19-F19)/F19*100</f>
        <v>-30.365760731521462</v>
      </c>
      <c r="W19" s="52">
        <f>(H19-G19)/G19*100</f>
        <v>-86.914098121466353</v>
      </c>
      <c r="X19" s="52">
        <f>(I19-H19)/H19*100</f>
        <v>-74.912891986062718</v>
      </c>
      <c r="Y19" s="37" t="s">
        <v>35</v>
      </c>
      <c r="BL19" s="10"/>
      <c r="BM19" s="10"/>
      <c r="BN19" s="10"/>
      <c r="BO19" s="10"/>
      <c r="BP19" s="10"/>
      <c r="BQ19" s="10"/>
      <c r="BR19" s="10"/>
      <c r="BS19" s="55"/>
      <c r="BT19" s="55"/>
      <c r="BY19" s="26"/>
    </row>
    <row r="20" spans="1:77" ht="18" customHeight="1">
      <c r="A20" s="18" t="s">
        <v>36</v>
      </c>
      <c r="B20" s="19">
        <v>105297</v>
      </c>
      <c r="C20" s="19">
        <v>136343</v>
      </c>
      <c r="D20" s="19">
        <v>46690</v>
      </c>
      <c r="E20" s="19">
        <v>27309</v>
      </c>
      <c r="F20" s="19">
        <v>97627</v>
      </c>
      <c r="G20" s="19">
        <v>118525</v>
      </c>
      <c r="H20" s="19">
        <v>145672</v>
      </c>
      <c r="I20" s="19">
        <v>153414</v>
      </c>
      <c r="J20" s="20"/>
      <c r="K20" s="21">
        <f>C20/C$7*100</f>
        <v>8.0065794148407967</v>
      </c>
      <c r="L20" s="21">
        <f>D20/D$7*100</f>
        <v>8.4051312885467713</v>
      </c>
      <c r="M20" s="21">
        <f>E20/E$7*100</f>
        <v>2.0658321841358553</v>
      </c>
      <c r="N20" s="21">
        <f>F20/F$7*100</f>
        <v>5.8274234571298447</v>
      </c>
      <c r="O20" s="21">
        <f>G20/G$7*100</f>
        <v>6.3094110701751305</v>
      </c>
      <c r="P20" s="21">
        <f>H20/H$7*100</f>
        <v>7.1177041114230084</v>
      </c>
      <c r="Q20" s="67">
        <f>I20/I$7*100</f>
        <v>6.8289742872964183</v>
      </c>
      <c r="R20" s="21">
        <f>(C20-B20)/B20*100</f>
        <v>29.484220823005401</v>
      </c>
      <c r="S20" s="21">
        <f>(D20-C20)/C20*100</f>
        <v>-65.755484329961931</v>
      </c>
      <c r="T20" s="52">
        <f>(E20-D20)/D20*100</f>
        <v>-41.509959306061255</v>
      </c>
      <c r="U20" s="51" t="s">
        <v>136</v>
      </c>
      <c r="V20" s="52">
        <f>(G20-F20)/F20*100</f>
        <v>21.405963514191768</v>
      </c>
      <c r="W20" s="52">
        <f>(H20-G20)/G20*100</f>
        <v>22.904028685931237</v>
      </c>
      <c r="X20" s="52">
        <f>(I20-H20)/H20*100</f>
        <v>5.3146795540666698</v>
      </c>
      <c r="Y20" s="37" t="s">
        <v>37</v>
      </c>
      <c r="BS20" s="2"/>
      <c r="BT20" s="2"/>
      <c r="BY20" s="26"/>
    </row>
    <row r="21" spans="1:77" ht="18" customHeight="1">
      <c r="A21" s="18" t="s">
        <v>38</v>
      </c>
      <c r="B21" s="19">
        <v>13845</v>
      </c>
      <c r="C21" s="19">
        <v>12261</v>
      </c>
      <c r="D21" s="19">
        <v>3258</v>
      </c>
      <c r="E21" s="19">
        <v>5100</v>
      </c>
      <c r="F21" s="19">
        <v>10452</v>
      </c>
      <c r="G21" s="19">
        <v>12977</v>
      </c>
      <c r="H21" s="19">
        <v>15801</v>
      </c>
      <c r="I21" s="19">
        <v>17506</v>
      </c>
      <c r="J21" s="20"/>
      <c r="K21" s="21">
        <f>C21/C$7*100</f>
        <v>0.7200125434042306</v>
      </c>
      <c r="L21" s="21">
        <f>D21/D$7*100</f>
        <v>0.5865049847523105</v>
      </c>
      <c r="M21" s="21">
        <f>E21/E$7*100</f>
        <v>0.38579750774809995</v>
      </c>
      <c r="N21" s="21">
        <f>F21/F$7*100</f>
        <v>0.62388714160960734</v>
      </c>
      <c r="O21" s="21">
        <f>G21/G$7*100</f>
        <v>0.69080132847637765</v>
      </c>
      <c r="P21" s="21">
        <f>H21/H$7*100</f>
        <v>0.77205532061477122</v>
      </c>
      <c r="Q21" s="67">
        <f>I21/I$7*100</f>
        <v>0.77925107143683825</v>
      </c>
      <c r="R21" s="21">
        <f>(C21-B21)/B21*100</f>
        <v>-11.440953412784399</v>
      </c>
      <c r="S21" s="21">
        <f>(D21-C21)/C21*100</f>
        <v>-73.427942255933445</v>
      </c>
      <c r="T21" s="52">
        <f>(E21-D21)/D21*100</f>
        <v>56.537753222836095</v>
      </c>
      <c r="U21" s="51" t="s">
        <v>136</v>
      </c>
      <c r="V21" s="52">
        <f>(G21-F21)/F21*100</f>
        <v>24.158055874473785</v>
      </c>
      <c r="W21" s="52">
        <f>(H21-G21)/G21*100</f>
        <v>21.761578176774293</v>
      </c>
      <c r="X21" s="52">
        <f>(I21-H21)/H21*100</f>
        <v>10.790456300234162</v>
      </c>
      <c r="Y21" s="37" t="s">
        <v>39</v>
      </c>
      <c r="AC21" s="56"/>
      <c r="BN21" s="60" t="s">
        <v>132</v>
      </c>
      <c r="BO21" s="60" t="s">
        <v>133</v>
      </c>
      <c r="BP21" s="60" t="s">
        <v>138</v>
      </c>
      <c r="BQ21" s="60" t="s">
        <v>139</v>
      </c>
      <c r="BR21" s="60" t="s">
        <v>140</v>
      </c>
      <c r="BS21" s="60" t="s">
        <v>142</v>
      </c>
      <c r="BT21" s="60" t="s">
        <v>143</v>
      </c>
      <c r="BU21" s="2" t="s">
        <v>7</v>
      </c>
      <c r="BY21" s="26"/>
    </row>
    <row r="22" spans="1:77" ht="18" customHeight="1">
      <c r="A22" s="18" t="s">
        <v>40</v>
      </c>
      <c r="B22" s="19">
        <v>5585</v>
      </c>
      <c r="C22" s="19">
        <v>5641</v>
      </c>
      <c r="D22" s="19">
        <v>1624</v>
      </c>
      <c r="E22" s="19">
        <v>1549</v>
      </c>
      <c r="F22" s="19">
        <v>5336</v>
      </c>
      <c r="G22" s="19">
        <v>4330</v>
      </c>
      <c r="H22" s="19">
        <v>4746</v>
      </c>
      <c r="I22" s="19">
        <v>5249</v>
      </c>
      <c r="J22" s="20"/>
      <c r="K22" s="21">
        <f>C22/C$7*100</f>
        <v>0.331260970340369</v>
      </c>
      <c r="L22" s="21">
        <f>D22/D$7*100</f>
        <v>0.2923523926451051</v>
      </c>
      <c r="M22" s="21">
        <f>E22/E$7*100</f>
        <v>0.11717653715721701</v>
      </c>
      <c r="N22" s="21">
        <f>F22/F$7*100</f>
        <v>0.31850954722817304</v>
      </c>
      <c r="O22" s="21">
        <f>G22/G$7*100</f>
        <v>0.23049778471932769</v>
      </c>
      <c r="P22" s="21">
        <f>H22/H$7*100</f>
        <v>0.23189510484385192</v>
      </c>
      <c r="Q22" s="67">
        <f>I22/I$7*100</f>
        <v>0.23365068399245764</v>
      </c>
      <c r="R22" s="21">
        <f>(C22-B22)/B22*100</f>
        <v>1.0026857654431514</v>
      </c>
      <c r="S22" s="21">
        <f>(D22-C22)/C22*100</f>
        <v>-71.210778230810149</v>
      </c>
      <c r="T22" s="52">
        <f>(E22-D22)/D22*100</f>
        <v>-4.6182266009852215</v>
      </c>
      <c r="U22" s="51" t="s">
        <v>136</v>
      </c>
      <c r="V22" s="52">
        <f>(G22-F22)/F22*100</f>
        <v>-18.853073463268366</v>
      </c>
      <c r="W22" s="52">
        <f>(H22-G22)/G22*100</f>
        <v>9.6073903002309482</v>
      </c>
      <c r="X22" s="52">
        <f>(I22-H22)/H22*100</f>
        <v>10.598398651495996</v>
      </c>
      <c r="Y22" s="37" t="s">
        <v>41</v>
      </c>
      <c r="AB22" s="10"/>
      <c r="BL22" s="2">
        <v>1</v>
      </c>
      <c r="BM22" s="26" t="s">
        <v>70</v>
      </c>
      <c r="BN22" s="2">
        <v>284029</v>
      </c>
      <c r="BO22" s="2">
        <v>34245</v>
      </c>
      <c r="BP22" s="2">
        <v>2238</v>
      </c>
      <c r="BQ22" s="2">
        <v>12764</v>
      </c>
      <c r="BR22" s="2">
        <v>187125</v>
      </c>
      <c r="BS22" s="54">
        <v>263340</v>
      </c>
      <c r="BT22" s="63">
        <v>329110</v>
      </c>
      <c r="BU22" s="50">
        <f>(BT22-BS22)/BS22*100</f>
        <v>24.97531708058024</v>
      </c>
      <c r="BY22" s="26"/>
    </row>
    <row r="23" spans="1:77" ht="18" customHeight="1">
      <c r="A23" s="18" t="s">
        <v>42</v>
      </c>
      <c r="B23" s="19">
        <v>12025</v>
      </c>
      <c r="C23" s="19">
        <v>20961</v>
      </c>
      <c r="D23" s="19">
        <v>7108</v>
      </c>
      <c r="E23" s="19">
        <v>23596</v>
      </c>
      <c r="F23" s="19">
        <v>23590</v>
      </c>
      <c r="G23" s="19">
        <v>28394</v>
      </c>
      <c r="H23" s="19">
        <v>33148</v>
      </c>
      <c r="I23" s="19">
        <v>34296</v>
      </c>
      <c r="J23" s="20"/>
      <c r="K23" s="21">
        <f>C23/C$7*100</f>
        <v>1.2309096258295471</v>
      </c>
      <c r="L23" s="21">
        <f>D23/D$7*100</f>
        <v>1.2795817776609648</v>
      </c>
      <c r="M23" s="21">
        <f>E23/E$7*100</f>
        <v>1.7849564691812092</v>
      </c>
      <c r="N23" s="21">
        <f>F23/F$7*100</f>
        <v>1.4081034893389435</v>
      </c>
      <c r="O23" s="21">
        <f>G23/G$7*100</f>
        <v>1.5114905541156098</v>
      </c>
      <c r="P23" s="21">
        <f>H23/H$7*100</f>
        <v>1.619650007451328</v>
      </c>
      <c r="Q23" s="67">
        <f>I23/I$7*100</f>
        <v>1.5266305692904036</v>
      </c>
      <c r="R23" s="21">
        <f>(C23-B23)/B23*100</f>
        <v>74.311850311850307</v>
      </c>
      <c r="S23" s="21">
        <f>(D23-C23)/C23*100</f>
        <v>-66.089404131482283</v>
      </c>
      <c r="T23" s="51" t="s">
        <v>136</v>
      </c>
      <c r="U23" s="52">
        <f>(F23-E23)/E23*100</f>
        <v>-2.5428038650618746E-2</v>
      </c>
      <c r="V23" s="52">
        <f>(G23-F23)/F23*100</f>
        <v>20.364561254768969</v>
      </c>
      <c r="W23" s="52">
        <f>(H23-G23)/G23*100</f>
        <v>16.742973867718533</v>
      </c>
      <c r="X23" s="52">
        <f>(I23-H23)/H23*100</f>
        <v>3.4632557017014598</v>
      </c>
      <c r="Y23" s="37" t="s">
        <v>43</v>
      </c>
      <c r="AC23" s="56"/>
      <c r="BL23" s="2">
        <v>2</v>
      </c>
      <c r="BM23" s="26" t="s">
        <v>46</v>
      </c>
      <c r="BN23" s="2">
        <v>83369</v>
      </c>
      <c r="BO23" s="2">
        <v>61387</v>
      </c>
      <c r="BP23" s="2">
        <v>222422</v>
      </c>
      <c r="BQ23" s="2">
        <v>201954</v>
      </c>
      <c r="BR23" s="2">
        <v>209146</v>
      </c>
      <c r="BS23" s="54">
        <v>225204</v>
      </c>
      <c r="BT23" s="63">
        <v>278761</v>
      </c>
      <c r="BU23" s="50">
        <f t="shared" ref="BU23:BU31" si="2">(BT23-BS23)/BS23*100</f>
        <v>23.781549173194083</v>
      </c>
      <c r="BY23" s="26"/>
    </row>
    <row r="24" spans="1:77" ht="18" customHeight="1">
      <c r="A24" s="18" t="s">
        <v>44</v>
      </c>
      <c r="B24" s="19">
        <v>8342</v>
      </c>
      <c r="C24" s="19">
        <v>11428</v>
      </c>
      <c r="D24" s="19">
        <v>3206</v>
      </c>
      <c r="E24" s="19">
        <v>15743</v>
      </c>
      <c r="F24" s="19">
        <v>13377</v>
      </c>
      <c r="G24" s="19">
        <v>11950</v>
      </c>
      <c r="H24" s="19">
        <v>14507</v>
      </c>
      <c r="I24" s="19">
        <v>16557</v>
      </c>
      <c r="J24" s="20"/>
      <c r="K24" s="21">
        <f>C24/C$7*100</f>
        <v>0.67109561585707089</v>
      </c>
      <c r="L24" s="21">
        <f>D24/D$7*100</f>
        <v>0.57714394754938847</v>
      </c>
      <c r="M24" s="21">
        <f>E24/E$7*100</f>
        <v>1.1909039538192818</v>
      </c>
      <c r="N24" s="21">
        <f>F24/F$7*100</f>
        <v>0.79848242377647505</v>
      </c>
      <c r="O24" s="21">
        <f>G24/G$7*100</f>
        <v>0.63613129962955328</v>
      </c>
      <c r="P24" s="21">
        <f>H24/H$7*100</f>
        <v>0.70882896880947321</v>
      </c>
      <c r="Q24" s="67">
        <f>I24/I$7*100</f>
        <v>0.73700788242772364</v>
      </c>
      <c r="R24" s="21">
        <f>(C24-B24)/B24*100</f>
        <v>36.993526732198511</v>
      </c>
      <c r="S24" s="21">
        <f>(D24-C24)/C24*100</f>
        <v>-71.946097304865248</v>
      </c>
      <c r="T24" s="51" t="s">
        <v>136</v>
      </c>
      <c r="U24" s="52">
        <f>(F24-E24)/E24*100</f>
        <v>-15.028901734104046</v>
      </c>
      <c r="V24" s="52">
        <f>(G24-F24)/F24*100</f>
        <v>-10.667563728788219</v>
      </c>
      <c r="W24" s="52">
        <f>(H24-G24)/G24*100</f>
        <v>21.397489539748953</v>
      </c>
      <c r="X24" s="52">
        <f>(I24-H24)/H24*100</f>
        <v>14.131109119735299</v>
      </c>
      <c r="Y24" s="37" t="s">
        <v>45</v>
      </c>
      <c r="AB24" s="10"/>
      <c r="BL24" s="2">
        <v>3</v>
      </c>
      <c r="BM24" s="26" t="s">
        <v>62</v>
      </c>
      <c r="BN24" s="2">
        <v>126199</v>
      </c>
      <c r="BO24" s="2">
        <v>52720</v>
      </c>
      <c r="BP24" s="2">
        <v>62777</v>
      </c>
      <c r="BQ24" s="2">
        <v>179309</v>
      </c>
      <c r="BR24" s="2">
        <v>155994</v>
      </c>
      <c r="BS24" s="54">
        <v>181644</v>
      </c>
      <c r="BT24" s="54">
        <v>202172</v>
      </c>
      <c r="BU24" s="50">
        <f t="shared" si="2"/>
        <v>11.301226575058907</v>
      </c>
      <c r="BY24" s="26"/>
    </row>
    <row r="25" spans="1:77" ht="18" customHeight="1">
      <c r="A25" s="18" t="s">
        <v>46</v>
      </c>
      <c r="B25" s="19">
        <v>70935</v>
      </c>
      <c r="C25" s="19">
        <v>83369</v>
      </c>
      <c r="D25" s="19">
        <v>61387</v>
      </c>
      <c r="E25" s="19">
        <v>222422</v>
      </c>
      <c r="F25" s="19">
        <v>201954</v>
      </c>
      <c r="G25" s="19">
        <v>209146</v>
      </c>
      <c r="H25" s="19">
        <v>225204</v>
      </c>
      <c r="I25" s="19">
        <v>278761</v>
      </c>
      <c r="J25" s="20"/>
      <c r="K25" s="21">
        <f>C25/C$7*100</f>
        <v>4.8957446970938179</v>
      </c>
      <c r="L25" s="21">
        <f>D25/D$7*100</f>
        <v>11.05088443799573</v>
      </c>
      <c r="M25" s="21">
        <f>E25/E$7*100</f>
        <v>16.825461425166253</v>
      </c>
      <c r="N25" s="21">
        <f>F25/F$7*100</f>
        <v>12.054774569137642</v>
      </c>
      <c r="O25" s="21">
        <f>G25/G$7*100</f>
        <v>11.1334156311567</v>
      </c>
      <c r="P25" s="21">
        <f>H25/H$7*100</f>
        <v>11.003730550201187</v>
      </c>
      <c r="Q25" s="67">
        <f>I25/I$7*100</f>
        <v>12.408591792802721</v>
      </c>
      <c r="R25" s="21">
        <f>(C25-B25)/B25*100</f>
        <v>17.52872347924156</v>
      </c>
      <c r="S25" s="21">
        <f>(D25-C25)/C25*100</f>
        <v>-26.367114874833568</v>
      </c>
      <c r="T25" s="51" t="s">
        <v>136</v>
      </c>
      <c r="U25" s="52">
        <f>(F25-E25)/E25*100</f>
        <v>-9.2023271079299711</v>
      </c>
      <c r="V25" s="52">
        <f>(G25-F25)/F25*100</f>
        <v>3.5612070075363698</v>
      </c>
      <c r="W25" s="52">
        <f>(H25-G25)/G25*100</f>
        <v>7.6778900863511623</v>
      </c>
      <c r="X25" s="52">
        <f>(I25-H25)/H25*100</f>
        <v>23.781549173194083</v>
      </c>
      <c r="Y25" s="37" t="s">
        <v>47</v>
      </c>
      <c r="AB25" s="10"/>
      <c r="BL25" s="2">
        <v>4</v>
      </c>
      <c r="BM25" s="26" t="s">
        <v>26</v>
      </c>
      <c r="BN25" s="26">
        <v>131561</v>
      </c>
      <c r="BO25" s="2">
        <v>36435</v>
      </c>
      <c r="BP25" s="2">
        <v>95358</v>
      </c>
      <c r="BQ25" s="2">
        <v>133432</v>
      </c>
      <c r="BR25" s="2">
        <v>135091</v>
      </c>
      <c r="BS25" s="54">
        <v>157246</v>
      </c>
      <c r="BT25" s="54">
        <v>167822</v>
      </c>
      <c r="BU25" s="50">
        <f t="shared" si="2"/>
        <v>6.7257672691197232</v>
      </c>
      <c r="BY25" s="26"/>
    </row>
    <row r="26" spans="1:77" ht="18" customHeight="1">
      <c r="A26" s="18" t="s">
        <v>48</v>
      </c>
      <c r="B26" s="19">
        <v>6584</v>
      </c>
      <c r="C26" s="19">
        <v>6910</v>
      </c>
      <c r="D26" s="19">
        <v>4498</v>
      </c>
      <c r="E26" s="19">
        <v>7637</v>
      </c>
      <c r="F26" s="19">
        <v>9170</v>
      </c>
      <c r="G26" s="19">
        <v>10651</v>
      </c>
      <c r="H26" s="19">
        <v>14272</v>
      </c>
      <c r="I26" s="19">
        <v>15194</v>
      </c>
      <c r="J26" s="20"/>
      <c r="K26" s="21">
        <f>C26/C$7*100</f>
        <v>0.40578147581137208</v>
      </c>
      <c r="L26" s="21">
        <f>D26/D$7*100</f>
        <v>0.80972971805276028</v>
      </c>
      <c r="M26" s="21">
        <f>E26/E$7*100</f>
        <v>0.57771285621024304</v>
      </c>
      <c r="N26" s="21">
        <f>F26/F$7*100</f>
        <v>0.54736367092997507</v>
      </c>
      <c r="O26" s="21">
        <f>G26/G$7*100</f>
        <v>0.56698196421375502</v>
      </c>
      <c r="P26" s="21">
        <f>H26/H$7*100</f>
        <v>0.69734659425441525</v>
      </c>
      <c r="Q26" s="67">
        <f>I26/I$7*100</f>
        <v>0.67633615785509649</v>
      </c>
      <c r="R26" s="21">
        <f>(C26-B26)/B26*100</f>
        <v>4.9513973268529767</v>
      </c>
      <c r="S26" s="21">
        <f>(D26-C26)/C26*100</f>
        <v>-34.905933429811867</v>
      </c>
      <c r="T26" s="52">
        <f>(E26-D26)/D26*100</f>
        <v>69.7865718096932</v>
      </c>
      <c r="U26" s="52">
        <f>(F26-E26)/E26*100</f>
        <v>20.073327222731439</v>
      </c>
      <c r="V26" s="52">
        <f>(G26-F26)/F26*100</f>
        <v>16.150490730643401</v>
      </c>
      <c r="W26" s="52">
        <f>(H26-G26)/G26*100</f>
        <v>33.996807811473104</v>
      </c>
      <c r="X26" s="52">
        <f>(I26-H26)/H26*100</f>
        <v>6.4602017937219731</v>
      </c>
      <c r="Y26" s="37" t="s">
        <v>49</v>
      </c>
      <c r="AB26" s="10"/>
      <c r="AC26" s="26"/>
      <c r="BL26" s="2">
        <v>5</v>
      </c>
      <c r="BM26" s="26" t="s">
        <v>36</v>
      </c>
      <c r="BN26" s="26">
        <v>136343</v>
      </c>
      <c r="BO26" s="2">
        <v>46690</v>
      </c>
      <c r="BP26" s="2">
        <v>27309</v>
      </c>
      <c r="BQ26" s="2">
        <v>97627</v>
      </c>
      <c r="BR26" s="2">
        <v>118525</v>
      </c>
      <c r="BS26" s="54">
        <v>145672</v>
      </c>
      <c r="BT26" s="54">
        <v>153414</v>
      </c>
      <c r="BU26" s="50">
        <f t="shared" si="2"/>
        <v>5.3146795540666698</v>
      </c>
      <c r="BY26" s="26"/>
    </row>
    <row r="27" spans="1:77" ht="18" customHeight="1">
      <c r="A27" s="18" t="s">
        <v>50</v>
      </c>
      <c r="B27" s="19">
        <v>3167</v>
      </c>
      <c r="C27" s="19">
        <v>3693</v>
      </c>
      <c r="D27" s="19">
        <v>1561</v>
      </c>
      <c r="E27" s="19">
        <v>2922</v>
      </c>
      <c r="F27" s="19">
        <v>4373</v>
      </c>
      <c r="G27" s="19">
        <v>5822</v>
      </c>
      <c r="H27" s="19">
        <v>6576</v>
      </c>
      <c r="I27" s="19">
        <v>7108</v>
      </c>
      <c r="J27" s="20"/>
      <c r="K27" s="21">
        <f>C27/C$7*100</f>
        <v>0.21686700291916025</v>
      </c>
      <c r="L27" s="21">
        <f>D27/D$7*100</f>
        <v>0.28101113603387257</v>
      </c>
      <c r="M27" s="21">
        <f>E27/E$7*100</f>
        <v>0.22103927796861728</v>
      </c>
      <c r="N27" s="21">
        <f>F27/F$7*100</f>
        <v>0.26102740817631198</v>
      </c>
      <c r="O27" s="21">
        <f>G27/G$7*100</f>
        <v>0.3099210398697288</v>
      </c>
      <c r="P27" s="21">
        <f>H27/H$7*100</f>
        <v>0.321311042868346</v>
      </c>
      <c r="Q27" s="67">
        <f>I27/I$7*100</f>
        <v>0.31640104054455875</v>
      </c>
      <c r="R27" s="21">
        <f>(C27-B27)/B27*100</f>
        <v>16.608778023365961</v>
      </c>
      <c r="S27" s="21">
        <f>(D27-C27)/C27*100</f>
        <v>-57.730842133766579</v>
      </c>
      <c r="T27" s="52">
        <f>(E27-D27)/D27*100</f>
        <v>87.187700192184494</v>
      </c>
      <c r="U27" s="52">
        <f>(F27-E27)/E27*100</f>
        <v>49.657768651608485</v>
      </c>
      <c r="V27" s="52">
        <f>(G27-F27)/F27*100</f>
        <v>33.135147495998169</v>
      </c>
      <c r="W27" s="52">
        <f>(H27-G27)/G27*100</f>
        <v>12.950875987633115</v>
      </c>
      <c r="X27" s="52">
        <f>(I27-H27)/H27*100</f>
        <v>8.0900243309002438</v>
      </c>
      <c r="Y27" s="37" t="s">
        <v>51</v>
      </c>
      <c r="AC27" s="10"/>
      <c r="BL27" s="2">
        <v>6</v>
      </c>
      <c r="BM27" s="26" t="s">
        <v>72</v>
      </c>
      <c r="BN27" s="26">
        <v>166030</v>
      </c>
      <c r="BO27" s="2">
        <v>62960</v>
      </c>
      <c r="BP27" s="2">
        <v>291787</v>
      </c>
      <c r="BQ27" s="2">
        <v>241382</v>
      </c>
      <c r="BR27" s="2">
        <v>209193</v>
      </c>
      <c r="BS27" s="54">
        <v>130805</v>
      </c>
      <c r="BT27" s="54">
        <v>131625</v>
      </c>
      <c r="BU27" s="50">
        <f t="shared" si="2"/>
        <v>0.62688735140094032</v>
      </c>
      <c r="BY27" s="26"/>
    </row>
    <row r="28" spans="1:77" ht="18" customHeight="1">
      <c r="A28" s="18" t="s">
        <v>52</v>
      </c>
      <c r="B28" s="19">
        <v>31780</v>
      </c>
      <c r="C28" s="19">
        <v>36064</v>
      </c>
      <c r="D28" s="19">
        <v>6778</v>
      </c>
      <c r="E28" s="19">
        <v>37354</v>
      </c>
      <c r="F28" s="19">
        <v>42123</v>
      </c>
      <c r="G28" s="19">
        <v>40461</v>
      </c>
      <c r="H28" s="19">
        <v>47835</v>
      </c>
      <c r="I28" s="19">
        <v>55489</v>
      </c>
      <c r="J28" s="20"/>
      <c r="K28" s="21">
        <f>C28/C$7*100</f>
        <v>2.1178152161593808</v>
      </c>
      <c r="L28" s="21">
        <f>D28/D$7*100</f>
        <v>1.2201751954116518</v>
      </c>
      <c r="M28" s="21">
        <f>E28/E$7*100</f>
        <v>2.8257019812593187</v>
      </c>
      <c r="N28" s="21">
        <f>F28/F$7*100</f>
        <v>2.514351135287169</v>
      </c>
      <c r="O28" s="21">
        <f>G28/G$7*100</f>
        <v>2.1538500848796116</v>
      </c>
      <c r="P28" s="21">
        <f>H28/H$7*100</f>
        <v>2.3372739865582925</v>
      </c>
      <c r="Q28" s="67">
        <f>I28/I$7*100</f>
        <v>2.4700024393327267</v>
      </c>
      <c r="R28" s="21">
        <f>(C28-B28)/B28*100</f>
        <v>13.480176211453745</v>
      </c>
      <c r="S28" s="21">
        <f>(D28-C28)/C28*100</f>
        <v>-81.205634427684117</v>
      </c>
      <c r="T28" s="51" t="s">
        <v>136</v>
      </c>
      <c r="U28" s="52">
        <f>(F28-E28)/E28*100</f>
        <v>12.767039674465922</v>
      </c>
      <c r="V28" s="52">
        <f>(G28-F28)/F28*100</f>
        <v>-3.9455879210882414</v>
      </c>
      <c r="W28" s="52">
        <f>(H28-G28)/G28*100</f>
        <v>18.224957366352783</v>
      </c>
      <c r="X28" s="52">
        <f>(I28-H28)/H28*100</f>
        <v>16.00083620779764</v>
      </c>
      <c r="Y28" s="37" t="s">
        <v>53</v>
      </c>
      <c r="AB28" s="10"/>
      <c r="AC28" s="26"/>
      <c r="BL28" s="2">
        <v>7</v>
      </c>
      <c r="BM28" s="26" t="s">
        <v>106</v>
      </c>
      <c r="BN28" s="26">
        <v>54474</v>
      </c>
      <c r="BO28" s="2">
        <v>19759</v>
      </c>
      <c r="BP28" s="2">
        <v>55760</v>
      </c>
      <c r="BQ28" s="2">
        <v>80697</v>
      </c>
      <c r="BR28" s="2">
        <v>74838</v>
      </c>
      <c r="BS28" s="54">
        <v>69620</v>
      </c>
      <c r="BT28" s="54">
        <v>66443</v>
      </c>
      <c r="BU28" s="50">
        <f t="shared" si="2"/>
        <v>-4.5633438667049697</v>
      </c>
      <c r="BY28" s="26"/>
    </row>
    <row r="29" spans="1:77" ht="18" customHeight="1">
      <c r="A29" s="18" t="s">
        <v>54</v>
      </c>
      <c r="B29" s="19">
        <v>14988</v>
      </c>
      <c r="C29" s="19">
        <v>13245</v>
      </c>
      <c r="D29" s="19">
        <v>5613</v>
      </c>
      <c r="E29" s="19">
        <v>7746</v>
      </c>
      <c r="F29" s="19">
        <v>12141</v>
      </c>
      <c r="G29" s="19">
        <v>11194</v>
      </c>
      <c r="H29" s="19">
        <v>11396</v>
      </c>
      <c r="I29" s="19">
        <v>12841</v>
      </c>
      <c r="J29" s="20"/>
      <c r="K29" s="21">
        <f>C29/C$7*100</f>
        <v>0.77779676514061125</v>
      </c>
      <c r="L29" s="21">
        <f>D29/D$7*100</f>
        <v>1.0104519580769549</v>
      </c>
      <c r="M29" s="21">
        <f>E29/E$7*100</f>
        <v>0.58595833235623185</v>
      </c>
      <c r="N29" s="21">
        <f>F29/F$7*100</f>
        <v>0.72470472505570638</v>
      </c>
      <c r="O29" s="21">
        <f>G29/G$7*100</f>
        <v>0.59588734460696402</v>
      </c>
      <c r="P29" s="21">
        <f>H29/H$7*100</f>
        <v>0.55682187416783324</v>
      </c>
      <c r="Q29" s="67">
        <f>I29/I$7*100</f>
        <v>0.57159619606537404</v>
      </c>
      <c r="R29" s="21">
        <f>(C29-B29)/B29*100</f>
        <v>-11.629303442754203</v>
      </c>
      <c r="S29" s="21">
        <f>(D29-C29)/C29*100</f>
        <v>-57.621744054360136</v>
      </c>
      <c r="T29" s="52">
        <f>(E29-D29)/D29*100</f>
        <v>38.00106894708712</v>
      </c>
      <c r="U29" s="52">
        <f>(F29-E29)/E29*100</f>
        <v>56.73896204492641</v>
      </c>
      <c r="V29" s="52">
        <f>(G29-F29)/F29*100</f>
        <v>-7.800016473107652</v>
      </c>
      <c r="W29" s="52">
        <f>(H29-G29)/G29*100</f>
        <v>1.8045381454350546</v>
      </c>
      <c r="X29" s="52">
        <f>(I29-H29)/H29*100</f>
        <v>12.679887679887681</v>
      </c>
      <c r="Y29" s="37" t="s">
        <v>55</v>
      </c>
      <c r="AC29" s="26"/>
      <c r="BL29" s="2">
        <v>8</v>
      </c>
      <c r="BM29" s="26" t="s">
        <v>24</v>
      </c>
      <c r="BN29" s="26">
        <v>59738</v>
      </c>
      <c r="BO29" s="2">
        <v>28031</v>
      </c>
      <c r="BP29" s="2">
        <v>30068</v>
      </c>
      <c r="BQ29" s="2">
        <v>48341</v>
      </c>
      <c r="BR29" s="2">
        <v>49201</v>
      </c>
      <c r="BS29" s="54">
        <v>54637</v>
      </c>
      <c r="BT29" s="54">
        <v>58078</v>
      </c>
      <c r="BU29" s="50">
        <f t="shared" si="2"/>
        <v>6.2979299741933126</v>
      </c>
      <c r="BY29" s="26"/>
    </row>
    <row r="30" spans="1:77" ht="18" customHeight="1">
      <c r="A30" s="18" t="s">
        <v>56</v>
      </c>
      <c r="B30" s="19">
        <v>32984</v>
      </c>
      <c r="C30" s="19">
        <v>33829</v>
      </c>
      <c r="D30" s="19">
        <v>12517</v>
      </c>
      <c r="E30" s="19">
        <v>24951</v>
      </c>
      <c r="F30" s="19">
        <v>34614</v>
      </c>
      <c r="G30" s="19">
        <v>37258</v>
      </c>
      <c r="H30" s="19">
        <v>41062</v>
      </c>
      <c r="I30" s="19">
        <v>43029</v>
      </c>
      <c r="J30" s="20"/>
      <c r="K30" s="21">
        <f>C30/C$7*100</f>
        <v>1.9865675173983945</v>
      </c>
      <c r="L30" s="21">
        <f>D30/D$7*100</f>
        <v>2.2533096667110715</v>
      </c>
      <c r="M30" s="21">
        <f>E30/E$7*100</f>
        <v>1.8874575717299689</v>
      </c>
      <c r="N30" s="21">
        <f>F30/F$7*100</f>
        <v>2.0661337083500717</v>
      </c>
      <c r="O30" s="21">
        <f>G30/G$7*100</f>
        <v>1.9833456034809955</v>
      </c>
      <c r="P30" s="21">
        <f>H30/H$7*100</f>
        <v>2.0063372935310255</v>
      </c>
      <c r="Q30" s="67">
        <f>I30/I$7*100</f>
        <v>1.9153658375902956</v>
      </c>
      <c r="R30" s="21">
        <f>(C30-B30)/B30*100</f>
        <v>2.5618481688091199</v>
      </c>
      <c r="S30" s="21">
        <f>(D30-C30)/C30*100</f>
        <v>-62.999201868219579</v>
      </c>
      <c r="T30" s="52">
        <f>(E30-D30)/D30*100</f>
        <v>99.336901813533601</v>
      </c>
      <c r="U30" s="52">
        <f>(F30-E30)/E30*100</f>
        <v>38.727906697126372</v>
      </c>
      <c r="V30" s="52">
        <f>(G30-F30)/F30*100</f>
        <v>7.638527763332756</v>
      </c>
      <c r="W30" s="52">
        <f>(H30-G30)/G30*100</f>
        <v>10.20988780932954</v>
      </c>
      <c r="X30" s="52">
        <f>(I30-H30)/H30*100</f>
        <v>4.7903170814865321</v>
      </c>
      <c r="Y30" s="37" t="s">
        <v>57</v>
      </c>
      <c r="AB30" s="10"/>
      <c r="AC30" s="26"/>
      <c r="BL30" s="2">
        <v>9</v>
      </c>
      <c r="BM30" s="26" t="s">
        <v>52</v>
      </c>
      <c r="BN30" s="26">
        <v>36064</v>
      </c>
      <c r="BO30" s="2">
        <v>6778</v>
      </c>
      <c r="BP30" s="2">
        <v>37354</v>
      </c>
      <c r="BQ30" s="2">
        <v>42123</v>
      </c>
      <c r="BR30" s="2">
        <v>40461</v>
      </c>
      <c r="BS30" s="54">
        <v>47835</v>
      </c>
      <c r="BT30" s="54">
        <v>55489</v>
      </c>
      <c r="BU30" s="50">
        <f t="shared" si="2"/>
        <v>16.00083620779764</v>
      </c>
      <c r="BY30" s="26"/>
    </row>
    <row r="31" spans="1:77" ht="18" customHeight="1">
      <c r="A31" s="18" t="s">
        <v>58</v>
      </c>
      <c r="B31" s="19">
        <v>10129</v>
      </c>
      <c r="C31" s="19">
        <v>9976</v>
      </c>
      <c r="D31" s="19">
        <v>3164</v>
      </c>
      <c r="E31" s="19">
        <v>10529</v>
      </c>
      <c r="F31" s="19">
        <v>10502</v>
      </c>
      <c r="G31" s="19">
        <v>14016</v>
      </c>
      <c r="H31" s="19">
        <v>18064</v>
      </c>
      <c r="I31" s="19">
        <v>20570</v>
      </c>
      <c r="J31" s="20"/>
      <c r="K31" s="21">
        <f>C31/C$7*100</f>
        <v>0.58582865451436295</v>
      </c>
      <c r="L31" s="21">
        <f>D31/D$7*100</f>
        <v>0.56958310980856686</v>
      </c>
      <c r="M31" s="21">
        <f>E31/E$7*100</f>
        <v>0.79648273707445971</v>
      </c>
      <c r="N31" s="21">
        <f>F31/F$7*100</f>
        <v>0.62687167634750252</v>
      </c>
      <c r="O31" s="21">
        <f>G31/G$7*100</f>
        <v>0.74611015026006855</v>
      </c>
      <c r="P31" s="21">
        <f>H31/H$7*100</f>
        <v>0.88262814452156368</v>
      </c>
      <c r="Q31" s="67">
        <f>I31/I$7*100</f>
        <v>0.91564003995520171</v>
      </c>
      <c r="R31" s="21">
        <f>(C31-B31)/B31*100</f>
        <v>-1.5105143646954291</v>
      </c>
      <c r="S31" s="21">
        <f>(D31-C31)/C31*100</f>
        <v>-68.283881315156378</v>
      </c>
      <c r="T31" s="51" t="s">
        <v>136</v>
      </c>
      <c r="U31" s="52">
        <f>(F31-E31)/E31*100</f>
        <v>-0.25643460917466043</v>
      </c>
      <c r="V31" s="52">
        <f>(G31-F31)/F31*100</f>
        <v>33.46029327747096</v>
      </c>
      <c r="W31" s="52">
        <f>(H31-G31)/G31*100</f>
        <v>28.881278538812786</v>
      </c>
      <c r="X31" s="52">
        <f>(I31-H31)/H31*100</f>
        <v>13.872896368467671</v>
      </c>
      <c r="Y31" s="37" t="s">
        <v>59</v>
      </c>
      <c r="AC31" s="26"/>
      <c r="BL31" s="2">
        <v>10</v>
      </c>
      <c r="BM31" s="26" t="s">
        <v>56</v>
      </c>
      <c r="BN31" s="26">
        <v>33829</v>
      </c>
      <c r="BO31" s="2">
        <v>12517</v>
      </c>
      <c r="BP31" s="2">
        <v>24951</v>
      </c>
      <c r="BQ31" s="2">
        <v>34614</v>
      </c>
      <c r="BR31" s="2">
        <v>37258</v>
      </c>
      <c r="BS31" s="54">
        <v>41062</v>
      </c>
      <c r="BT31" s="54">
        <v>43029</v>
      </c>
      <c r="BU31" s="50">
        <f t="shared" si="2"/>
        <v>4.7903170814865321</v>
      </c>
      <c r="BY31" s="26"/>
    </row>
    <row r="32" spans="1:77" ht="18" customHeight="1">
      <c r="A32" s="18" t="s">
        <v>60</v>
      </c>
      <c r="B32" s="19">
        <v>11430</v>
      </c>
      <c r="C32" s="19">
        <v>13253</v>
      </c>
      <c r="D32" s="19">
        <v>10343</v>
      </c>
      <c r="E32" s="19">
        <v>35073</v>
      </c>
      <c r="F32" s="19">
        <v>12947</v>
      </c>
      <c r="G32" s="19">
        <v>12051</v>
      </c>
      <c r="H32" s="19">
        <v>14087</v>
      </c>
      <c r="I32" s="19">
        <v>17668</v>
      </c>
      <c r="J32" s="20"/>
      <c r="K32" s="21">
        <f>C32/C$7*100</f>
        <v>0.77826655556123225</v>
      </c>
      <c r="L32" s="21">
        <f>D32/D$7*100</f>
        <v>1.8619463036504444</v>
      </c>
      <c r="M32" s="21">
        <f>E32/E$7*100</f>
        <v>2.6531521547547272</v>
      </c>
      <c r="N32" s="21">
        <f>F32/F$7*100</f>
        <v>0.77281542503057654</v>
      </c>
      <c r="O32" s="21">
        <f>G32/G$7*100</f>
        <v>0.64150780684817965</v>
      </c>
      <c r="P32" s="21">
        <f>H32/H$7*100</f>
        <v>0.68830727811532699</v>
      </c>
      <c r="Q32" s="67">
        <f>I32/I$7*100</f>
        <v>0.78646223752690836</v>
      </c>
      <c r="R32" s="21">
        <f>(C32-B32)/B32*100</f>
        <v>15.949256342957129</v>
      </c>
      <c r="S32" s="21">
        <f>(D32-C32)/C32*100</f>
        <v>-21.9572926884479</v>
      </c>
      <c r="T32" s="51" t="s">
        <v>136</v>
      </c>
      <c r="U32" s="52">
        <f>(F32-E32)/E32*100</f>
        <v>-63.085564394263393</v>
      </c>
      <c r="V32" s="52">
        <f>(G32-F32)/F32*100</f>
        <v>-6.9205221286784582</v>
      </c>
      <c r="W32" s="52">
        <f>(H32-G32)/G32*100</f>
        <v>16.894863496805243</v>
      </c>
      <c r="X32" s="52">
        <f>(I32-H32)/H32*100</f>
        <v>25.420600553701995</v>
      </c>
      <c r="Y32" s="37" t="s">
        <v>61</v>
      </c>
      <c r="AB32" s="10"/>
      <c r="AC32" s="26"/>
      <c r="BS32" s="2"/>
      <c r="BT32" s="2"/>
      <c r="BY32" s="26"/>
    </row>
    <row r="33" spans="1:79" ht="18" customHeight="1">
      <c r="A33" s="18" t="s">
        <v>62</v>
      </c>
      <c r="B33" s="19">
        <v>114602</v>
      </c>
      <c r="C33" s="19">
        <v>126199</v>
      </c>
      <c r="D33" s="19">
        <v>52720</v>
      </c>
      <c r="E33" s="19">
        <v>62777</v>
      </c>
      <c r="F33" s="19">
        <v>179309</v>
      </c>
      <c r="G33" s="19">
        <v>155994</v>
      </c>
      <c r="H33" s="19">
        <v>181644</v>
      </c>
      <c r="I33" s="19">
        <v>202172</v>
      </c>
      <c r="J33" s="20"/>
      <c r="K33" s="21">
        <f>C33/C$7*100</f>
        <v>7.4108851614933924</v>
      </c>
      <c r="L33" s="21">
        <f>D33/D$7*100</f>
        <v>9.4906515641933122</v>
      </c>
      <c r="M33" s="21">
        <f>E33/E$7*100</f>
        <v>4.7488647340985235</v>
      </c>
      <c r="N33" s="21">
        <f>F33/F$7*100</f>
        <v>10.703078786344918</v>
      </c>
      <c r="O33" s="21">
        <f>G33/G$7*100</f>
        <v>8.3039887827960293</v>
      </c>
      <c r="P33" s="21">
        <f>H33/H$7*100</f>
        <v>8.8753380582083103</v>
      </c>
      <c r="Q33" s="67">
        <f>I33/I$7*100</f>
        <v>8.9993572269238236</v>
      </c>
      <c r="R33" s="21">
        <f>(C33-B33)/B33*100</f>
        <v>10.119369644508822</v>
      </c>
      <c r="S33" s="21">
        <f>(D33-C33)/C33*100</f>
        <v>-58.224708595155271</v>
      </c>
      <c r="T33" s="52">
        <f>(E33-D33)/D33*100</f>
        <v>19.076251896813353</v>
      </c>
      <c r="U33" s="51" t="s">
        <v>136</v>
      </c>
      <c r="V33" s="52">
        <f t="shared" ref="V33:V39" si="3">(G33-F33)/F33*100</f>
        <v>-13.002693674048709</v>
      </c>
      <c r="W33" s="52">
        <f t="shared" ref="W33:X39" si="4">(H33-G33)/G33*100</f>
        <v>16.442940113081271</v>
      </c>
      <c r="X33" s="52">
        <f t="shared" si="4"/>
        <v>11.301226575058907</v>
      </c>
      <c r="Y33" s="37" t="s">
        <v>63</v>
      </c>
      <c r="AC33" s="26"/>
      <c r="BN33" s="26"/>
      <c r="BY33" s="26"/>
    </row>
    <row r="34" spans="1:79" ht="18" customHeight="1">
      <c r="A34" s="18" t="s">
        <v>64</v>
      </c>
      <c r="B34" s="19">
        <v>37628</v>
      </c>
      <c r="C34" s="19">
        <v>43424</v>
      </c>
      <c r="D34" s="19">
        <v>28890</v>
      </c>
      <c r="E34" s="19">
        <v>83690</v>
      </c>
      <c r="F34" s="19">
        <v>76789</v>
      </c>
      <c r="G34" s="19">
        <v>94246</v>
      </c>
      <c r="H34" s="19">
        <v>113551</v>
      </c>
      <c r="I34" s="19">
        <v>109858</v>
      </c>
      <c r="J34" s="20"/>
      <c r="K34" s="21">
        <f>C34/C$7*100</f>
        <v>2.5500224031306833</v>
      </c>
      <c r="L34" s="21">
        <f>D34/D$7*100</f>
        <v>5.2007762460080578</v>
      </c>
      <c r="M34" s="21">
        <f>E34/E$7*100</f>
        <v>6.3308614555761737</v>
      </c>
      <c r="N34" s="21">
        <f>F34/F$7*100</f>
        <v>4.5835887597646519</v>
      </c>
      <c r="O34" s="21">
        <f>G34/G$7*100</f>
        <v>5.0169732606599906</v>
      </c>
      <c r="P34" s="21">
        <f>H34/H$7*100</f>
        <v>5.5482345238357</v>
      </c>
      <c r="Q34" s="67">
        <f>I34/I$7*100</f>
        <v>4.8901499032279316</v>
      </c>
      <c r="R34" s="21">
        <f>(C34-B34)/B34*100</f>
        <v>15.403422982885084</v>
      </c>
      <c r="S34" s="21">
        <f>(D34-C34)/C34*100</f>
        <v>-33.469970523212972</v>
      </c>
      <c r="T34" s="51" t="s">
        <v>136</v>
      </c>
      <c r="U34" s="52">
        <f>(F34-E34)/E34*100</f>
        <v>-8.2459075158322381</v>
      </c>
      <c r="V34" s="52">
        <f t="shared" si="3"/>
        <v>22.733724882470145</v>
      </c>
      <c r="W34" s="52">
        <f t="shared" si="4"/>
        <v>20.483627952379944</v>
      </c>
      <c r="X34" s="52">
        <f t="shared" si="4"/>
        <v>-3.252283115076045</v>
      </c>
      <c r="Y34" s="37" t="s">
        <v>65</v>
      </c>
      <c r="AB34" s="10"/>
      <c r="BN34" s="26"/>
      <c r="BY34" s="26"/>
    </row>
    <row r="35" spans="1:79" s="10" customFormat="1" ht="18" customHeight="1">
      <c r="A35" s="22" t="s">
        <v>66</v>
      </c>
      <c r="B35" s="23">
        <f t="shared" ref="B35:D35" si="5">SUM(B36:B49)</f>
        <v>580928</v>
      </c>
      <c r="C35" s="23">
        <f t="shared" si="5"/>
        <v>661000</v>
      </c>
      <c r="D35" s="23">
        <f t="shared" si="5"/>
        <v>134279</v>
      </c>
      <c r="E35" s="23">
        <f>SUM(E36:E49)</f>
        <v>336546</v>
      </c>
      <c r="F35" s="23">
        <f>SUM(F36:F49)</f>
        <v>396261</v>
      </c>
      <c r="G35" s="23">
        <f>SUM(G36:G49)</f>
        <v>570376</v>
      </c>
      <c r="H35" s="23">
        <f>SUM(H36:H49)</f>
        <v>590682</v>
      </c>
      <c r="I35" s="23">
        <f>SUM(I36:I49)</f>
        <v>660296</v>
      </c>
      <c r="J35" s="24"/>
      <c r="K35" s="14">
        <f>C35/C$7*100</f>
        <v>38.816433503808533</v>
      </c>
      <c r="L35" s="14">
        <f>D35/D$7*100</f>
        <v>24.172898357137971</v>
      </c>
      <c r="M35" s="14">
        <f>E35/E$7*100</f>
        <v>25.458550596586676</v>
      </c>
      <c r="N35" s="14">
        <f>F35/F$7*100</f>
        <v>23.653094395461597</v>
      </c>
      <c r="O35" s="14">
        <f>G35/G$7*100</f>
        <v>30.362680013180427</v>
      </c>
      <c r="P35" s="14">
        <f>H35/H$7*100</f>
        <v>28.861412625237282</v>
      </c>
      <c r="Q35" s="65">
        <f>I35/I$7*100</f>
        <v>29.39200076919105</v>
      </c>
      <c r="R35" s="14">
        <f>(C35-B35)/B35*100</f>
        <v>13.783463699460174</v>
      </c>
      <c r="S35" s="14">
        <f>(D35-C35)/C35*100</f>
        <v>-79.685476550680789</v>
      </c>
      <c r="T35" s="49" t="s">
        <v>136</v>
      </c>
      <c r="U35" s="50">
        <f>(F35-E35)/E35*100</f>
        <v>17.743488260148688</v>
      </c>
      <c r="V35" s="50">
        <f t="shared" si="3"/>
        <v>43.939474235415545</v>
      </c>
      <c r="W35" s="50">
        <f t="shared" si="4"/>
        <v>3.5601077184173247</v>
      </c>
      <c r="X35" s="50">
        <f t="shared" si="4"/>
        <v>11.785359973725287</v>
      </c>
      <c r="Y35" s="17" t="s">
        <v>67</v>
      </c>
      <c r="AA35" s="2"/>
      <c r="BS35" s="55"/>
      <c r="BT35" s="55"/>
      <c r="BX35" s="2"/>
      <c r="BY35" s="26"/>
      <c r="BZ35" s="2"/>
      <c r="CA35" s="2"/>
    </row>
    <row r="36" spans="1:79" ht="18" customHeight="1">
      <c r="A36" s="18" t="s">
        <v>68</v>
      </c>
      <c r="B36" s="19">
        <v>3644</v>
      </c>
      <c r="C36" s="19">
        <v>3918</v>
      </c>
      <c r="D36" s="19">
        <v>1108</v>
      </c>
      <c r="E36" s="19">
        <v>3923</v>
      </c>
      <c r="F36" s="19">
        <v>16807</v>
      </c>
      <c r="G36" s="19">
        <v>28336</v>
      </c>
      <c r="H36" s="19">
        <v>33295</v>
      </c>
      <c r="I36" s="19">
        <v>33016</v>
      </c>
      <c r="J36" s="20"/>
      <c r="K36" s="21">
        <f>C36/C$7*100</f>
        <v>0.23007985849912532</v>
      </c>
      <c r="L36" s="21">
        <f>D36/D$7*100</f>
        <v>0.1994621004007244</v>
      </c>
      <c r="M36" s="21">
        <f>E36/E$7*100</f>
        <v>0.29676149468545021</v>
      </c>
      <c r="N36" s="21">
        <f>F36/F$7*100</f>
        <v>1.0032215067960841</v>
      </c>
      <c r="O36" s="21">
        <f>G36/G$7*100</f>
        <v>1.508403054920755</v>
      </c>
      <c r="P36" s="21">
        <f>H36/H$7*100</f>
        <v>1.6268325991942791</v>
      </c>
      <c r="Q36" s="67">
        <f>I36/I$7*100</f>
        <v>1.469653454504664</v>
      </c>
      <c r="R36" s="21">
        <f>(C36-B36)/B36*100</f>
        <v>7.5192096597146003</v>
      </c>
      <c r="S36" s="21">
        <f>(D36-C36)/C36*100</f>
        <v>-71.720265441551817</v>
      </c>
      <c r="T36" s="51" t="s">
        <v>136</v>
      </c>
      <c r="U36" s="51" t="s">
        <v>136</v>
      </c>
      <c r="V36" s="52">
        <f t="shared" si="3"/>
        <v>68.596418159100367</v>
      </c>
      <c r="W36" s="52">
        <f t="shared" si="4"/>
        <v>17.500705815923208</v>
      </c>
      <c r="X36" s="52">
        <f t="shared" si="4"/>
        <v>-0.83796365820693797</v>
      </c>
      <c r="Y36" s="37" t="s">
        <v>69</v>
      </c>
      <c r="BY36" s="26"/>
    </row>
    <row r="37" spans="1:79" ht="18" customHeight="1">
      <c r="A37" s="18" t="s">
        <v>70</v>
      </c>
      <c r="B37" s="19">
        <v>283116</v>
      </c>
      <c r="C37" s="19">
        <v>284029</v>
      </c>
      <c r="D37" s="19">
        <v>34245</v>
      </c>
      <c r="E37" s="19">
        <v>2238</v>
      </c>
      <c r="F37" s="19">
        <v>12764</v>
      </c>
      <c r="G37" s="19">
        <v>187125</v>
      </c>
      <c r="H37" s="19">
        <v>263340</v>
      </c>
      <c r="I37" s="19">
        <v>329110</v>
      </c>
      <c r="J37" s="20"/>
      <c r="K37" s="21">
        <f>C37/C$7*100</f>
        <v>16.679262922319566</v>
      </c>
      <c r="L37" s="21">
        <f>D37/D$7*100</f>
        <v>6.164783057962822</v>
      </c>
      <c r="M37" s="21">
        <f>E37/E$7*100</f>
        <v>0.16929702398828386</v>
      </c>
      <c r="N37" s="21">
        <f>F37/F$7*100</f>
        <v>0.7618920278898802</v>
      </c>
      <c r="O37" s="21">
        <f>G37/G$7*100</f>
        <v>9.9611773592619386</v>
      </c>
      <c r="P37" s="21">
        <f>H37/H$7*100</f>
        <v>12.867100065229659</v>
      </c>
      <c r="Q37" s="67">
        <f>I37/I$7*100</f>
        <v>14.649795505573964</v>
      </c>
      <c r="R37" s="21">
        <f>(C37-B37)/B37*100</f>
        <v>0.32248265728535297</v>
      </c>
      <c r="S37" s="21">
        <f>(D37-C37)/C37*100</f>
        <v>-87.943132567449098</v>
      </c>
      <c r="T37" s="52">
        <f>(E37-D37)/D37*100</f>
        <v>-93.464739378011387</v>
      </c>
      <c r="U37" s="51" t="s">
        <v>136</v>
      </c>
      <c r="V37" s="51" t="s">
        <v>136</v>
      </c>
      <c r="W37" s="52">
        <f t="shared" si="4"/>
        <v>40.729458917835672</v>
      </c>
      <c r="X37" s="52">
        <f t="shared" si="4"/>
        <v>24.97531708058024</v>
      </c>
      <c r="Y37" s="37" t="s">
        <v>71</v>
      </c>
      <c r="BY37" s="26"/>
    </row>
    <row r="38" spans="1:79" ht="18" customHeight="1">
      <c r="A38" s="18" t="s">
        <v>72</v>
      </c>
      <c r="B38" s="19">
        <v>90474</v>
      </c>
      <c r="C38" s="19">
        <v>166030</v>
      </c>
      <c r="D38" s="19">
        <v>62960</v>
      </c>
      <c r="E38" s="19">
        <v>291787</v>
      </c>
      <c r="F38" s="19">
        <v>241382</v>
      </c>
      <c r="G38" s="19">
        <v>209193</v>
      </c>
      <c r="H38" s="19">
        <v>130805</v>
      </c>
      <c r="I38" s="19">
        <v>131625</v>
      </c>
      <c r="J38" s="20"/>
      <c r="K38" s="21">
        <f>C38/C$7*100</f>
        <v>9.7499129419626787</v>
      </c>
      <c r="L38" s="21">
        <f>D38/D$7*100</f>
        <v>11.334055813384122</v>
      </c>
      <c r="M38" s="21">
        <f>E38/E$7*100</f>
        <v>22.072685763391146</v>
      </c>
      <c r="N38" s="21">
        <f>F38/F$7*100</f>
        <v>14.40825928205226</v>
      </c>
      <c r="O38" s="21">
        <f>G38/G$7*100</f>
        <v>11.135917570159428</v>
      </c>
      <c r="P38" s="21">
        <f>H38/H$7*100</f>
        <v>6.3912851220185534</v>
      </c>
      <c r="Q38" s="67">
        <f>I38/I$7*100</f>
        <v>5.8590724481819851</v>
      </c>
      <c r="R38" s="21">
        <f>(C38-B38)/B38*100</f>
        <v>83.511285010058131</v>
      </c>
      <c r="S38" s="21">
        <f>(D38-C38)/C38*100</f>
        <v>-62.079142323676436</v>
      </c>
      <c r="T38" s="51" t="s">
        <v>136</v>
      </c>
      <c r="U38" s="52">
        <f>(F38-E38)/E38*100</f>
        <v>-17.274587284560315</v>
      </c>
      <c r="V38" s="52">
        <f t="shared" si="3"/>
        <v>-13.335294263863917</v>
      </c>
      <c r="W38" s="52">
        <f t="shared" si="4"/>
        <v>-37.471617119119664</v>
      </c>
      <c r="X38" s="52">
        <f t="shared" si="4"/>
        <v>0.62688735140094032</v>
      </c>
      <c r="Y38" s="37" t="s">
        <v>73</v>
      </c>
      <c r="AA38" s="10"/>
      <c r="BY38" s="26"/>
    </row>
    <row r="39" spans="1:79" ht="18" customHeight="1">
      <c r="A39" s="18" t="s">
        <v>74</v>
      </c>
      <c r="B39" s="19">
        <v>5885</v>
      </c>
      <c r="C39" s="19">
        <v>4646</v>
      </c>
      <c r="D39" s="19">
        <v>857</v>
      </c>
      <c r="E39" s="19">
        <v>953</v>
      </c>
      <c r="F39" s="19">
        <v>1958</v>
      </c>
      <c r="G39" s="19">
        <v>2783</v>
      </c>
      <c r="H39" s="19">
        <v>3901</v>
      </c>
      <c r="I39" s="19">
        <v>4342</v>
      </c>
      <c r="J39" s="20"/>
      <c r="K39" s="21">
        <f t="shared" ref="K39:K67" si="6">C39/C$7*100</f>
        <v>0.27283078677563455</v>
      </c>
      <c r="L39" s="21">
        <f t="shared" ref="L39:L67" si="7">D39/D$7*100</f>
        <v>0.15427709390200436</v>
      </c>
      <c r="M39" s="21">
        <f t="shared" ref="M39:M67" si="8">E39/E$7*100</f>
        <v>7.2091181349792019E-2</v>
      </c>
      <c r="N39" s="21">
        <f t="shared" ref="N39:N68" si="9">F39/F$7*100</f>
        <v>0.11687438033597505</v>
      </c>
      <c r="O39" s="21">
        <f>G39/G$7*100</f>
        <v>0.14814672860828842</v>
      </c>
      <c r="P39" s="21">
        <f>H39/H$7*100</f>
        <v>0.19060741761396258</v>
      </c>
      <c r="Q39" s="67">
        <f>I39/I$7*100</f>
        <v>0.19327705656225017</v>
      </c>
      <c r="R39" s="21">
        <f>(C39-B39)/B39*100</f>
        <v>-21.053525913338998</v>
      </c>
      <c r="S39" s="21">
        <f t="shared" ref="S39:S67" si="10">(D39-C39)/C39*100</f>
        <v>-81.55402496771417</v>
      </c>
      <c r="T39" s="52">
        <f>(E39-D39)/D39*100</f>
        <v>11.201866977829638</v>
      </c>
      <c r="U39" s="51" t="s">
        <v>136</v>
      </c>
      <c r="V39" s="52">
        <f t="shared" si="3"/>
        <v>42.134831460674157</v>
      </c>
      <c r="W39" s="52">
        <f t="shared" si="4"/>
        <v>40.172475745598277</v>
      </c>
      <c r="X39" s="52">
        <f t="shared" si="4"/>
        <v>11.30479364265573</v>
      </c>
      <c r="Y39" s="37" t="s">
        <v>75</v>
      </c>
      <c r="BY39" s="26"/>
    </row>
    <row r="40" spans="1:79" ht="18" customHeight="1">
      <c r="A40" s="18" t="s">
        <v>76</v>
      </c>
      <c r="B40" s="19">
        <v>42304</v>
      </c>
      <c r="C40" s="19">
        <v>44251</v>
      </c>
      <c r="D40" s="19">
        <v>8479</v>
      </c>
      <c r="E40" s="19">
        <v>937</v>
      </c>
      <c r="F40" s="19">
        <v>8543</v>
      </c>
      <c r="G40" s="19">
        <v>23041</v>
      </c>
      <c r="H40" s="19">
        <v>31074</v>
      </c>
      <c r="I40" s="19">
        <v>34352</v>
      </c>
      <c r="J40" s="20"/>
      <c r="K40" s="21">
        <f t="shared" si="6"/>
        <v>2.5985869878623773</v>
      </c>
      <c r="L40" s="21">
        <f t="shared" si="7"/>
        <v>1.5263891239149296</v>
      </c>
      <c r="M40" s="21">
        <f t="shared" si="8"/>
        <v>7.0880836227445024E-2</v>
      </c>
      <c r="N40" s="21">
        <f t="shared" si="9"/>
        <v>0.50993760531676957</v>
      </c>
      <c r="O40" s="21">
        <f t="shared" ref="O40:Q67" si="11">G40/G$7*100</f>
        <v>1.2265356715284133</v>
      </c>
      <c r="P40" s="21">
        <f t="shared" si="11"/>
        <v>1.5183119443569015</v>
      </c>
      <c r="Q40" s="67">
        <f t="shared" si="11"/>
        <v>1.5291233180622796</v>
      </c>
      <c r="R40" s="21">
        <f>(C40-B40)/B40*100</f>
        <v>4.6024016641452343</v>
      </c>
      <c r="S40" s="21">
        <f t="shared" si="10"/>
        <v>-80.838851099410178</v>
      </c>
      <c r="T40" s="52">
        <f>(E40-D40)/D40*100</f>
        <v>-88.949168534025233</v>
      </c>
      <c r="U40" s="51" t="s">
        <v>136</v>
      </c>
      <c r="V40" s="51" t="s">
        <v>136</v>
      </c>
      <c r="W40" s="52">
        <f t="shared" ref="W40:X42" si="12">(H40-G40)/G40*100</f>
        <v>34.863938197126856</v>
      </c>
      <c r="X40" s="52">
        <f t="shared" si="12"/>
        <v>10.549012035785545</v>
      </c>
      <c r="Y40" s="37" t="s">
        <v>77</v>
      </c>
      <c r="BY40" s="26"/>
    </row>
    <row r="41" spans="1:79" ht="18" customHeight="1">
      <c r="A41" s="18" t="s">
        <v>78</v>
      </c>
      <c r="B41" s="19">
        <v>34400</v>
      </c>
      <c r="C41" s="19">
        <v>37073</v>
      </c>
      <c r="D41" s="19">
        <v>5895</v>
      </c>
      <c r="E41" s="19">
        <v>6849</v>
      </c>
      <c r="F41" s="19">
        <v>35948</v>
      </c>
      <c r="G41" s="19">
        <v>36324</v>
      </c>
      <c r="H41" s="19">
        <v>36395</v>
      </c>
      <c r="I41" s="19">
        <v>34612</v>
      </c>
      <c r="J41" s="20"/>
      <c r="K41" s="21">
        <f t="shared" si="6"/>
        <v>2.1770675329602023</v>
      </c>
      <c r="L41" s="21">
        <f t="shared" si="7"/>
        <v>1.0612175829081862</v>
      </c>
      <c r="M41" s="21">
        <f t="shared" si="8"/>
        <v>0.5181033589346542</v>
      </c>
      <c r="N41" s="21">
        <f t="shared" si="9"/>
        <v>2.1457610951571149</v>
      </c>
      <c r="O41" s="21">
        <f t="shared" si="11"/>
        <v>1.9336262198948868</v>
      </c>
      <c r="P41" s="21">
        <f t="shared" si="11"/>
        <v>1.7783022209844062</v>
      </c>
      <c r="Q41" s="67">
        <f t="shared" si="11"/>
        <v>1.5406967945031329</v>
      </c>
      <c r="R41" s="21">
        <f>(C41-B41)/B41*100</f>
        <v>7.7703488372093021</v>
      </c>
      <c r="S41" s="21">
        <f t="shared" si="10"/>
        <v>-84.098939929328623</v>
      </c>
      <c r="T41" s="52">
        <f>(E41-D41)/D41*100</f>
        <v>16.18320610687023</v>
      </c>
      <c r="U41" s="51" t="s">
        <v>136</v>
      </c>
      <c r="V41" s="52">
        <f>(G41-F41)/F41*100</f>
        <v>1.0459552687214866</v>
      </c>
      <c r="W41" s="52">
        <f t="shared" si="12"/>
        <v>0.19546305472965533</v>
      </c>
      <c r="X41" s="52">
        <f t="shared" si="12"/>
        <v>-4.8990245912900123</v>
      </c>
      <c r="Y41" s="37" t="s">
        <v>79</v>
      </c>
      <c r="AC41" s="26"/>
      <c r="BY41" s="26"/>
    </row>
    <row r="42" spans="1:79" ht="18" customHeight="1">
      <c r="A42" s="18" t="s">
        <v>80</v>
      </c>
      <c r="B42" s="19">
        <v>22202</v>
      </c>
      <c r="C42" s="19">
        <v>21605</v>
      </c>
      <c r="D42" s="19">
        <v>2946</v>
      </c>
      <c r="E42" s="19">
        <v>703</v>
      </c>
      <c r="F42" s="19">
        <v>8479</v>
      </c>
      <c r="G42" s="19">
        <v>13551</v>
      </c>
      <c r="H42" s="19">
        <v>19846</v>
      </c>
      <c r="I42" s="19">
        <v>24847</v>
      </c>
      <c r="J42" s="20"/>
      <c r="K42" s="21">
        <f t="shared" si="6"/>
        <v>1.2687277546895361</v>
      </c>
      <c r="L42" s="21">
        <f t="shared" si="7"/>
        <v>0.53033876153477799</v>
      </c>
      <c r="M42" s="21">
        <f t="shared" si="8"/>
        <v>5.3179538813120444E-2</v>
      </c>
      <c r="N42" s="21">
        <f t="shared" si="9"/>
        <v>0.50611740085226375</v>
      </c>
      <c r="O42" s="21">
        <f t="shared" si="11"/>
        <v>0.72135692395649176</v>
      </c>
      <c r="P42" s="21">
        <f t="shared" si="11"/>
        <v>0.96969874646672671</v>
      </c>
      <c r="Q42" s="67">
        <f t="shared" si="11"/>
        <v>1.1060237274072384</v>
      </c>
      <c r="R42" s="21">
        <f>(C42-B42)/B42*100</f>
        <v>-2.6889469417169622</v>
      </c>
      <c r="S42" s="21">
        <f t="shared" si="10"/>
        <v>-86.364267530664193</v>
      </c>
      <c r="T42" s="52">
        <f>(E42-D42)/D42*100</f>
        <v>-76.137135098438563</v>
      </c>
      <c r="U42" s="51" t="s">
        <v>136</v>
      </c>
      <c r="V42" s="52">
        <f>(G42-F42)/F42*100</f>
        <v>59.818374808350036</v>
      </c>
      <c r="W42" s="52">
        <f t="shared" si="12"/>
        <v>46.454136226108773</v>
      </c>
      <c r="X42" s="52">
        <f t="shared" si="12"/>
        <v>25.199032550639927</v>
      </c>
      <c r="Y42" s="37" t="s">
        <v>81</v>
      </c>
      <c r="AA42" s="10"/>
      <c r="AB42" s="10"/>
      <c r="AC42" s="56"/>
      <c r="BY42" s="26"/>
    </row>
    <row r="43" spans="1:79" ht="18" customHeight="1">
      <c r="A43" s="18" t="s">
        <v>82</v>
      </c>
      <c r="B43" s="19">
        <v>5340</v>
      </c>
      <c r="C43" s="19">
        <v>6095</v>
      </c>
      <c r="D43" s="19">
        <v>2882</v>
      </c>
      <c r="E43" s="19">
        <v>13764</v>
      </c>
      <c r="F43" s="19">
        <v>9736</v>
      </c>
      <c r="G43" s="19">
        <v>7248</v>
      </c>
      <c r="H43" s="19">
        <v>7772</v>
      </c>
      <c r="I43" s="19">
        <v>8140</v>
      </c>
      <c r="J43" s="20"/>
      <c r="K43" s="21">
        <f t="shared" si="6"/>
        <v>0.35792157671060965</v>
      </c>
      <c r="L43" s="21">
        <f t="shared" si="7"/>
        <v>0.51881748497733549</v>
      </c>
      <c r="M43" s="21">
        <f t="shared" si="8"/>
        <v>1.0411993914989899</v>
      </c>
      <c r="N43" s="21">
        <f t="shared" si="9"/>
        <v>0.58114860416294845</v>
      </c>
      <c r="O43" s="21">
        <f t="shared" si="11"/>
        <v>0.38583093386736422</v>
      </c>
      <c r="P43" s="21">
        <f t="shared" si="11"/>
        <v>0.37974900017834323</v>
      </c>
      <c r="Q43" s="67">
        <f t="shared" si="11"/>
        <v>0.3623388393405611</v>
      </c>
      <c r="R43" s="21">
        <f>(C43-B43)/B43*100</f>
        <v>14.138576779026218</v>
      </c>
      <c r="S43" s="21">
        <f t="shared" si="10"/>
        <v>-52.715340442986061</v>
      </c>
      <c r="T43" s="51" t="s">
        <v>136</v>
      </c>
      <c r="U43" s="52">
        <f t="shared" ref="U43:X44" si="13">(F43-E43)/E43*100</f>
        <v>-29.264748619587326</v>
      </c>
      <c r="V43" s="52">
        <f t="shared" si="13"/>
        <v>-25.554642563681185</v>
      </c>
      <c r="W43" s="52">
        <f t="shared" si="13"/>
        <v>7.2295805739514343</v>
      </c>
      <c r="X43" s="52">
        <f t="shared" si="13"/>
        <v>4.7349459598558932</v>
      </c>
      <c r="Y43" s="37" t="s">
        <v>83</v>
      </c>
      <c r="AC43" s="26"/>
      <c r="BY43" s="26"/>
    </row>
    <row r="44" spans="1:79" ht="18" customHeight="1">
      <c r="A44" s="18" t="s">
        <v>84</v>
      </c>
      <c r="B44" s="19">
        <v>11035</v>
      </c>
      <c r="C44" s="19">
        <v>8461</v>
      </c>
      <c r="D44" s="19">
        <v>1756</v>
      </c>
      <c r="E44" s="19">
        <v>5474</v>
      </c>
      <c r="F44" s="19">
        <v>5699</v>
      </c>
      <c r="G44" s="19">
        <v>7664</v>
      </c>
      <c r="H44" s="19">
        <v>8227</v>
      </c>
      <c r="I44" s="19">
        <v>7753</v>
      </c>
      <c r="J44" s="20"/>
      <c r="K44" s="21">
        <f t="shared" si="6"/>
        <v>0.4968620936092647</v>
      </c>
      <c r="L44" s="21">
        <f t="shared" si="7"/>
        <v>0.3161150255448304</v>
      </c>
      <c r="M44" s="21">
        <f t="shared" si="8"/>
        <v>0.41408932498296064</v>
      </c>
      <c r="N44" s="21">
        <f t="shared" si="9"/>
        <v>0.34017726942529203</v>
      </c>
      <c r="O44" s="21">
        <f t="shared" si="11"/>
        <v>0.40797575567873606</v>
      </c>
      <c r="P44" s="21">
        <f t="shared" si="11"/>
        <v>0.40198083176366833</v>
      </c>
      <c r="Q44" s="67">
        <f t="shared" si="11"/>
        <v>0.34511216479206025</v>
      </c>
      <c r="R44" s="21">
        <f>(C44-B44)/B44*100</f>
        <v>-23.325781603987313</v>
      </c>
      <c r="S44" s="21">
        <f t="shared" si="10"/>
        <v>-79.245952015128239</v>
      </c>
      <c r="T44" s="51" t="s">
        <v>136</v>
      </c>
      <c r="U44" s="52">
        <f t="shared" si="13"/>
        <v>4.1103397880891483</v>
      </c>
      <c r="V44" s="52">
        <f t="shared" si="13"/>
        <v>34.479733286541496</v>
      </c>
      <c r="W44" s="52">
        <f t="shared" si="13"/>
        <v>7.346033402922755</v>
      </c>
      <c r="X44" s="52">
        <f t="shared" si="13"/>
        <v>-5.7615169563631943</v>
      </c>
      <c r="Y44" s="37" t="s">
        <v>85</v>
      </c>
      <c r="AB44" s="10"/>
      <c r="AC44" s="26"/>
      <c r="BY44" s="26"/>
    </row>
    <row r="45" spans="1:79" ht="18" customHeight="1">
      <c r="A45" s="18" t="s">
        <v>86</v>
      </c>
      <c r="B45" s="19">
        <v>13877</v>
      </c>
      <c r="C45" s="19">
        <v>14990</v>
      </c>
      <c r="D45" s="19">
        <v>2117</v>
      </c>
      <c r="E45" s="19">
        <v>1117</v>
      </c>
      <c r="F45" s="19">
        <v>15939</v>
      </c>
      <c r="G45" s="19">
        <v>11776</v>
      </c>
      <c r="H45" s="19">
        <v>12957</v>
      </c>
      <c r="I45" s="19">
        <v>13499</v>
      </c>
      <c r="J45" s="20"/>
      <c r="K45" s="21">
        <f t="shared" si="6"/>
        <v>0.88026980063856253</v>
      </c>
      <c r="L45" s="21">
        <f t="shared" si="7"/>
        <v>0.38110222612665484</v>
      </c>
      <c r="M45" s="21">
        <f t="shared" si="8"/>
        <v>8.449721885384856E-2</v>
      </c>
      <c r="N45" s="21">
        <f t="shared" si="9"/>
        <v>0.95140998374622388</v>
      </c>
      <c r="O45" s="21">
        <f t="shared" si="11"/>
        <v>0.62686880204498918</v>
      </c>
      <c r="P45" s="21">
        <f t="shared" si="11"/>
        <v>0.63309415791440982</v>
      </c>
      <c r="Q45" s="67">
        <f t="shared" si="11"/>
        <v>0.60088599413491828</v>
      </c>
      <c r="R45" s="21">
        <f>(C45-B45)/B45*100</f>
        <v>8.0204655184838227</v>
      </c>
      <c r="S45" s="21">
        <f t="shared" si="10"/>
        <v>-85.877251501000657</v>
      </c>
      <c r="T45" s="52">
        <f>(E45-D45)/D45*100</f>
        <v>-47.236655644780349</v>
      </c>
      <c r="U45" s="51" t="s">
        <v>136</v>
      </c>
      <c r="V45" s="52">
        <f t="shared" ref="V45:V50" si="14">(G45-F45)/F45*100</f>
        <v>-26.118326118326117</v>
      </c>
      <c r="W45" s="52">
        <f t="shared" ref="W45:X50" si="15">(H45-G45)/G45*100</f>
        <v>10.028872282608695</v>
      </c>
      <c r="X45" s="52">
        <f t="shared" si="15"/>
        <v>4.1830670679941351</v>
      </c>
      <c r="Y45" s="37" t="s">
        <v>87</v>
      </c>
      <c r="AA45" s="10"/>
      <c r="AC45" s="26"/>
      <c r="BY45" s="26"/>
    </row>
    <row r="46" spans="1:79" ht="18" customHeight="1">
      <c r="A46" s="18" t="s">
        <v>88</v>
      </c>
      <c r="B46" s="19">
        <v>12792</v>
      </c>
      <c r="C46" s="19">
        <v>13623</v>
      </c>
      <c r="D46" s="19">
        <v>2271</v>
      </c>
      <c r="E46" s="19">
        <v>2448</v>
      </c>
      <c r="F46" s="19">
        <v>9831</v>
      </c>
      <c r="G46" s="19">
        <v>12921</v>
      </c>
      <c r="H46" s="19">
        <v>13380</v>
      </c>
      <c r="I46" s="19">
        <v>12072</v>
      </c>
      <c r="J46" s="20"/>
      <c r="K46" s="21">
        <f t="shared" si="6"/>
        <v>0.79999436251495248</v>
      </c>
      <c r="L46" s="21">
        <f t="shared" si="7"/>
        <v>0.40882529784300103</v>
      </c>
      <c r="M46" s="21">
        <f t="shared" si="8"/>
        <v>0.18518280371908796</v>
      </c>
      <c r="N46" s="21">
        <f t="shared" si="9"/>
        <v>0.58681922016494925</v>
      </c>
      <c r="O46" s="21">
        <f t="shared" si="11"/>
        <v>0.68782029477100071</v>
      </c>
      <c r="P46" s="21">
        <f t="shared" si="11"/>
        <v>0.65376243211351426</v>
      </c>
      <c r="Q46" s="67">
        <f t="shared" si="11"/>
        <v>0.53736541382300418</v>
      </c>
      <c r="R46" s="21">
        <f>(C46-B46)/B46*100</f>
        <v>6.4962476547842405</v>
      </c>
      <c r="S46" s="21">
        <f t="shared" si="10"/>
        <v>-83.329663069808419</v>
      </c>
      <c r="T46" s="52">
        <f>(E46-D46)/D46*100</f>
        <v>7.7939233817701457</v>
      </c>
      <c r="U46" s="51" t="s">
        <v>136</v>
      </c>
      <c r="V46" s="52">
        <f t="shared" si="14"/>
        <v>31.43118706133659</v>
      </c>
      <c r="W46" s="52">
        <f t="shared" si="15"/>
        <v>3.552356628743905</v>
      </c>
      <c r="X46" s="52">
        <f t="shared" si="15"/>
        <v>-9.7757847533632294</v>
      </c>
      <c r="Y46" s="37" t="s">
        <v>89</v>
      </c>
      <c r="AB46" s="10"/>
      <c r="AC46" s="26"/>
      <c r="BY46" s="26"/>
    </row>
    <row r="47" spans="1:79" ht="18" customHeight="1">
      <c r="A47" s="18" t="s">
        <v>90</v>
      </c>
      <c r="B47" s="19">
        <v>12439</v>
      </c>
      <c r="C47" s="19">
        <v>14972</v>
      </c>
      <c r="D47" s="19">
        <v>2628</v>
      </c>
      <c r="E47" s="19">
        <v>186</v>
      </c>
      <c r="F47" s="19">
        <v>2259</v>
      </c>
      <c r="G47" s="47" t="s">
        <v>141</v>
      </c>
      <c r="H47" s="47" t="s">
        <v>141</v>
      </c>
      <c r="I47" s="47" t="s">
        <v>141</v>
      </c>
      <c r="J47" s="20"/>
      <c r="K47" s="21">
        <f t="shared" si="6"/>
        <v>0.87921277219216543</v>
      </c>
      <c r="L47" s="21">
        <f t="shared" si="7"/>
        <v>0.4730924186399853</v>
      </c>
      <c r="M47" s="21">
        <f t="shared" si="8"/>
        <v>1.4070262047283646E-2</v>
      </c>
      <c r="N47" s="21">
        <f t="shared" si="9"/>
        <v>0.13484127945810401</v>
      </c>
      <c r="O47" s="52" t="s">
        <v>141</v>
      </c>
      <c r="P47" s="52" t="s">
        <v>141</v>
      </c>
      <c r="Q47" s="68" t="s">
        <v>141</v>
      </c>
      <c r="R47" s="21">
        <f>(C47-B47)/B47*100</f>
        <v>20.363373261516198</v>
      </c>
      <c r="S47" s="21">
        <f t="shared" si="10"/>
        <v>-82.447234838364949</v>
      </c>
      <c r="T47" s="52" t="s">
        <v>141</v>
      </c>
      <c r="U47" s="51" t="s">
        <v>136</v>
      </c>
      <c r="V47" s="47" t="s">
        <v>141</v>
      </c>
      <c r="W47" s="47" t="s">
        <v>141</v>
      </c>
      <c r="X47" s="47" t="s">
        <v>141</v>
      </c>
      <c r="Y47" s="37" t="s">
        <v>91</v>
      </c>
      <c r="AC47" s="26"/>
      <c r="BY47" s="26"/>
    </row>
    <row r="48" spans="1:79" ht="18" customHeight="1">
      <c r="A48" s="18" t="s">
        <v>92</v>
      </c>
      <c r="B48" s="19">
        <v>32436</v>
      </c>
      <c r="C48" s="19">
        <v>29211</v>
      </c>
      <c r="D48" s="19">
        <v>3468</v>
      </c>
      <c r="E48" s="19">
        <v>839</v>
      </c>
      <c r="F48" s="19">
        <v>15988</v>
      </c>
      <c r="G48" s="19">
        <v>17998</v>
      </c>
      <c r="H48" s="19">
        <v>18410</v>
      </c>
      <c r="I48" s="19">
        <v>16780</v>
      </c>
      <c r="J48" s="20"/>
      <c r="K48" s="21">
        <f t="shared" si="6"/>
        <v>1.7153809970949334</v>
      </c>
      <c r="L48" s="21">
        <f t="shared" si="7"/>
        <v>0.62430917345641901</v>
      </c>
      <c r="M48" s="21">
        <f t="shared" si="8"/>
        <v>6.3467472353069765E-2</v>
      </c>
      <c r="N48" s="21">
        <f t="shared" si="9"/>
        <v>0.95433482778936107</v>
      </c>
      <c r="O48" s="21">
        <f t="shared" si="11"/>
        <v>0.95808293981026782</v>
      </c>
      <c r="P48" s="21">
        <f t="shared" si="11"/>
        <v>0.89953410876007445</v>
      </c>
      <c r="Q48" s="67">
        <f t="shared" si="11"/>
        <v>0.7469343641443017</v>
      </c>
      <c r="R48" s="21">
        <f>(C48-B48)/B48*100</f>
        <v>-9.942656307806141</v>
      </c>
      <c r="S48" s="21">
        <f t="shared" si="10"/>
        <v>-88.12776009037691</v>
      </c>
      <c r="T48" s="52">
        <f>(E48-D48)/D48*100</f>
        <v>-75.807381776239907</v>
      </c>
      <c r="U48" s="51" t="s">
        <v>136</v>
      </c>
      <c r="V48" s="52">
        <f t="shared" si="14"/>
        <v>12.571928946710031</v>
      </c>
      <c r="W48" s="52">
        <f t="shared" si="15"/>
        <v>2.2891432381375707</v>
      </c>
      <c r="X48" s="52">
        <f t="shared" si="15"/>
        <v>-8.8538837588267256</v>
      </c>
      <c r="Y48" s="37" t="s">
        <v>93</v>
      </c>
      <c r="AC48" s="26"/>
      <c r="BY48" s="26"/>
    </row>
    <row r="49" spans="1:79" ht="18" customHeight="1">
      <c r="A49" s="18" t="s">
        <v>94</v>
      </c>
      <c r="B49" s="19">
        <v>10984</v>
      </c>
      <c r="C49" s="19">
        <v>12096</v>
      </c>
      <c r="D49" s="19">
        <v>2667</v>
      </c>
      <c r="E49" s="19">
        <v>5328</v>
      </c>
      <c r="F49" s="19">
        <v>10928</v>
      </c>
      <c r="G49" s="19">
        <v>12416</v>
      </c>
      <c r="H49" s="19">
        <v>11280</v>
      </c>
      <c r="I49" s="19">
        <v>10148</v>
      </c>
      <c r="J49" s="20"/>
      <c r="K49" s="21">
        <f t="shared" si="6"/>
        <v>0.71032311597892284</v>
      </c>
      <c r="L49" s="21">
        <f t="shared" si="7"/>
        <v>0.48011319654217688</v>
      </c>
      <c r="M49" s="21">
        <f t="shared" si="8"/>
        <v>0.40304492574154444</v>
      </c>
      <c r="N49" s="21">
        <f t="shared" si="9"/>
        <v>0.65229991231436935</v>
      </c>
      <c r="O49" s="21">
        <f t="shared" si="11"/>
        <v>0.66093775867786897</v>
      </c>
      <c r="P49" s="21">
        <f t="shared" si="11"/>
        <v>0.55115397864278337</v>
      </c>
      <c r="Q49" s="67">
        <f t="shared" si="11"/>
        <v>0.45172168816068969</v>
      </c>
      <c r="R49" s="21">
        <f>(C49-B49)/B49*100</f>
        <v>10.1238164603059</v>
      </c>
      <c r="S49" s="21">
        <f t="shared" si="10"/>
        <v>-77.951388888888886</v>
      </c>
      <c r="T49" s="52">
        <f>(E49-D49)/D49*100</f>
        <v>99.775028121484809</v>
      </c>
      <c r="U49" s="51" t="s">
        <v>136</v>
      </c>
      <c r="V49" s="52">
        <f t="shared" si="14"/>
        <v>13.616398243045388</v>
      </c>
      <c r="W49" s="52">
        <f t="shared" si="15"/>
        <v>-9.1494845360824737</v>
      </c>
      <c r="X49" s="52">
        <f t="shared" si="15"/>
        <v>-10.035460992907803</v>
      </c>
      <c r="Y49" s="37" t="s">
        <v>65</v>
      </c>
      <c r="AB49" s="10"/>
      <c r="BY49" s="26"/>
    </row>
    <row r="50" spans="1:79" s="10" customFormat="1" ht="18" customHeight="1">
      <c r="A50" s="22" t="s">
        <v>95</v>
      </c>
      <c r="B50" s="23">
        <f t="shared" ref="B50:D50" si="16">SUM(B51:B52)</f>
        <v>15354</v>
      </c>
      <c r="C50" s="23">
        <f t="shared" si="16"/>
        <v>18695</v>
      </c>
      <c r="D50" s="23">
        <f t="shared" si="16"/>
        <v>6458</v>
      </c>
      <c r="E50" s="23">
        <f>SUM(E51:E52)</f>
        <v>27442</v>
      </c>
      <c r="F50" s="23">
        <f>SUM(F51:F52)</f>
        <v>27951</v>
      </c>
      <c r="G50" s="23">
        <f>SUM(G51:G52)</f>
        <v>24222</v>
      </c>
      <c r="H50" s="23">
        <f>SUM(H51:H52)</f>
        <v>23287</v>
      </c>
      <c r="I50" s="23">
        <f>SUM(I51:I52)</f>
        <v>21830</v>
      </c>
      <c r="J50" s="24"/>
      <c r="K50" s="14">
        <f t="shared" si="6"/>
        <v>1.0978414891886543</v>
      </c>
      <c r="L50" s="14">
        <f t="shared" si="7"/>
        <v>1.1625688126244389</v>
      </c>
      <c r="M50" s="14">
        <f t="shared" si="8"/>
        <v>2.0758931779653644</v>
      </c>
      <c r="N50" s="14">
        <f t="shared" si="9"/>
        <v>1.6684146091781606</v>
      </c>
      <c r="O50" s="14">
        <f t="shared" si="11"/>
        <v>1.2894035430650244</v>
      </c>
      <c r="P50" s="14">
        <f t="shared" si="11"/>
        <v>1.1378300266537673</v>
      </c>
      <c r="Q50" s="65">
        <f t="shared" si="11"/>
        <v>0.97172688732241386</v>
      </c>
      <c r="R50" s="14">
        <f>(C50-B50)/B50*100</f>
        <v>21.759802005991922</v>
      </c>
      <c r="S50" s="14">
        <f t="shared" si="10"/>
        <v>-65.456004279219044</v>
      </c>
      <c r="T50" s="49" t="s">
        <v>136</v>
      </c>
      <c r="U50" s="50">
        <f t="shared" ref="U50:X57" si="17">(F50-E50)/E50*100</f>
        <v>1.8548210771809637</v>
      </c>
      <c r="V50" s="50">
        <f t="shared" si="14"/>
        <v>-13.34120425029516</v>
      </c>
      <c r="W50" s="50">
        <f t="shared" si="15"/>
        <v>-3.8601271571298819</v>
      </c>
      <c r="X50" s="50">
        <f t="shared" si="15"/>
        <v>-6.2567097522222701</v>
      </c>
      <c r="Y50" s="17" t="s">
        <v>96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S50" s="55"/>
      <c r="BT50" s="55"/>
      <c r="BX50" s="2"/>
      <c r="BY50" s="26"/>
      <c r="BZ50" s="2"/>
      <c r="CA50" s="2"/>
    </row>
    <row r="51" spans="1:79" ht="18" customHeight="1">
      <c r="A51" s="18" t="s">
        <v>97</v>
      </c>
      <c r="B51" s="19">
        <v>7751</v>
      </c>
      <c r="C51" s="19">
        <v>9545</v>
      </c>
      <c r="D51" s="19">
        <v>2685</v>
      </c>
      <c r="E51" s="19">
        <v>16347</v>
      </c>
      <c r="F51" s="19">
        <v>14840</v>
      </c>
      <c r="G51" s="19">
        <v>10078</v>
      </c>
      <c r="H51" s="19">
        <v>9213</v>
      </c>
      <c r="I51" s="19">
        <v>9359</v>
      </c>
      <c r="J51" s="20"/>
      <c r="K51" s="21">
        <f t="shared" si="6"/>
        <v>0.56051869560340761</v>
      </c>
      <c r="L51" s="21">
        <f t="shared" si="7"/>
        <v>0.48335355557395759</v>
      </c>
      <c r="M51" s="21">
        <f t="shared" si="8"/>
        <v>1.2365944821878803</v>
      </c>
      <c r="N51" s="21">
        <f t="shared" si="9"/>
        <v>0.88580991020728794</v>
      </c>
      <c r="O51" s="21">
        <f t="shared" si="11"/>
        <v>0.53647960147837981</v>
      </c>
      <c r="P51" s="21">
        <f t="shared" si="11"/>
        <v>0.45015794372659246</v>
      </c>
      <c r="Q51" s="67">
        <f t="shared" si="11"/>
        <v>0.41660063849979256</v>
      </c>
      <c r="R51" s="21">
        <f>(C51-B51)/B51*100</f>
        <v>23.145400593471809</v>
      </c>
      <c r="S51" s="21">
        <f t="shared" si="10"/>
        <v>-71.870089051859608</v>
      </c>
      <c r="T51" s="51" t="s">
        <v>136</v>
      </c>
      <c r="U51" s="52">
        <f t="shared" si="17"/>
        <v>-9.2188169083012159</v>
      </c>
      <c r="V51" s="52">
        <f t="shared" si="17"/>
        <v>-32.088948787061994</v>
      </c>
      <c r="W51" s="52">
        <f t="shared" si="17"/>
        <v>-8.5830521928954155</v>
      </c>
      <c r="X51" s="52">
        <f t="shared" si="17"/>
        <v>1.5847172473678499</v>
      </c>
      <c r="Y51" s="37" t="s">
        <v>98</v>
      </c>
      <c r="AA51" s="10"/>
      <c r="AB51" s="10"/>
      <c r="AC51" s="10"/>
      <c r="BY51" s="26"/>
    </row>
    <row r="52" spans="1:79" ht="18" customHeight="1">
      <c r="A52" s="18" t="s">
        <v>99</v>
      </c>
      <c r="B52" s="19">
        <v>7603</v>
      </c>
      <c r="C52" s="19">
        <v>9150</v>
      </c>
      <c r="D52" s="19">
        <v>3773</v>
      </c>
      <c r="E52" s="19">
        <v>11095</v>
      </c>
      <c r="F52" s="19">
        <v>13111</v>
      </c>
      <c r="G52" s="19">
        <v>14144</v>
      </c>
      <c r="H52" s="19">
        <v>14074</v>
      </c>
      <c r="I52" s="19">
        <v>12471</v>
      </c>
      <c r="J52" s="20"/>
      <c r="K52" s="21">
        <f t="shared" si="6"/>
        <v>0.53732279358524671</v>
      </c>
      <c r="L52" s="21">
        <f t="shared" si="7"/>
        <v>0.67921525705048114</v>
      </c>
      <c r="M52" s="21">
        <f t="shared" si="8"/>
        <v>0.83929869577748406</v>
      </c>
      <c r="N52" s="21">
        <f t="shared" si="9"/>
        <v>0.78260469897087281</v>
      </c>
      <c r="O52" s="21">
        <f t="shared" si="11"/>
        <v>0.75292394158664455</v>
      </c>
      <c r="P52" s="21">
        <f t="shared" si="11"/>
        <v>0.68767208292717485</v>
      </c>
      <c r="Q52" s="67">
        <f t="shared" si="11"/>
        <v>0.55512624882262129</v>
      </c>
      <c r="R52" s="21">
        <f>(C52-B52)/B52*100</f>
        <v>20.347231356043665</v>
      </c>
      <c r="S52" s="21">
        <f t="shared" si="10"/>
        <v>-58.765027322404372</v>
      </c>
      <c r="T52" s="51" t="s">
        <v>136</v>
      </c>
      <c r="U52" s="52">
        <f t="shared" si="17"/>
        <v>18.170347003154575</v>
      </c>
      <c r="V52" s="52">
        <f t="shared" si="17"/>
        <v>7.8788803294943168</v>
      </c>
      <c r="W52" s="52">
        <f t="shared" si="17"/>
        <v>-0.4949095022624434</v>
      </c>
      <c r="X52" s="52">
        <f t="shared" si="17"/>
        <v>-11.38979678840415</v>
      </c>
      <c r="Y52" s="37" t="s">
        <v>65</v>
      </c>
      <c r="BY52" s="26"/>
    </row>
    <row r="53" spans="1:79" s="10" customFormat="1" ht="18" customHeight="1">
      <c r="A53" s="22" t="s">
        <v>100</v>
      </c>
      <c r="B53" s="23">
        <f t="shared" ref="B53" si="18">SUM(B54:B57)</f>
        <v>68764</v>
      </c>
      <c r="C53" s="23">
        <f t="shared" ref="C53:H53" si="19">SUM(C54:C57)</f>
        <v>84794</v>
      </c>
      <c r="D53" s="23">
        <f t="shared" si="19"/>
        <v>32060</v>
      </c>
      <c r="E53" s="23">
        <f t="shared" si="19"/>
        <v>88879</v>
      </c>
      <c r="F53" s="23">
        <f t="shared" si="19"/>
        <v>121140</v>
      </c>
      <c r="G53" s="23">
        <f t="shared" si="19"/>
        <v>111483</v>
      </c>
      <c r="H53" s="23">
        <f t="shared" si="19"/>
        <v>107552</v>
      </c>
      <c r="I53" s="23">
        <f>SUM(I54:I57)</f>
        <v>104623</v>
      </c>
      <c r="J53" s="24"/>
      <c r="K53" s="14">
        <f t="shared" si="6"/>
        <v>4.9794261157669304</v>
      </c>
      <c r="L53" s="14">
        <f t="shared" si="7"/>
        <v>5.7714394754938851</v>
      </c>
      <c r="M53" s="14">
        <f t="shared" si="8"/>
        <v>6.7233915080673281</v>
      </c>
      <c r="N53" s="14">
        <f t="shared" si="9"/>
        <v>7.2309307629724291</v>
      </c>
      <c r="O53" s="14">
        <f t="shared" si="11"/>
        <v>5.9345460817239744</v>
      </c>
      <c r="P53" s="14">
        <f t="shared" si="11"/>
        <v>5.2551163750876446</v>
      </c>
      <c r="Q53" s="65">
        <f t="shared" si="11"/>
        <v>4.6571224064284422</v>
      </c>
      <c r="R53" s="14">
        <f>(C53-B53)/B53*100</f>
        <v>23.311616543540225</v>
      </c>
      <c r="S53" s="14">
        <f t="shared" si="10"/>
        <v>-62.190721041583132</v>
      </c>
      <c r="T53" s="49" t="s">
        <v>136</v>
      </c>
      <c r="U53" s="50">
        <f t="shared" si="17"/>
        <v>36.297663115021543</v>
      </c>
      <c r="V53" s="50">
        <f t="shared" si="17"/>
        <v>-7.971768202080237</v>
      </c>
      <c r="W53" s="50">
        <f t="shared" si="17"/>
        <v>-3.5260981494936452</v>
      </c>
      <c r="X53" s="50">
        <f t="shared" si="17"/>
        <v>-2.7233338292174949</v>
      </c>
      <c r="Y53" s="17" t="s">
        <v>101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S53" s="55"/>
      <c r="BT53" s="55"/>
      <c r="BX53" s="2"/>
      <c r="BY53" s="26"/>
      <c r="BZ53" s="2"/>
      <c r="CA53" s="2"/>
    </row>
    <row r="54" spans="1:79" ht="18" customHeight="1">
      <c r="A54" s="18" t="s">
        <v>102</v>
      </c>
      <c r="B54" s="19">
        <v>7702</v>
      </c>
      <c r="C54" s="19">
        <v>9868</v>
      </c>
      <c r="D54" s="19">
        <v>5497</v>
      </c>
      <c r="E54" s="19">
        <v>20512</v>
      </c>
      <c r="F54" s="19">
        <v>18637</v>
      </c>
      <c r="G54" s="19">
        <v>13709</v>
      </c>
      <c r="H54" s="19">
        <v>13898</v>
      </c>
      <c r="I54" s="19">
        <v>11711</v>
      </c>
      <c r="J54" s="20"/>
      <c r="K54" s="21">
        <f t="shared" si="6"/>
        <v>0.57948648383597978</v>
      </c>
      <c r="L54" s="21">
        <f t="shared" si="7"/>
        <v>0.98956964431659022</v>
      </c>
      <c r="M54" s="21">
        <f t="shared" si="8"/>
        <v>1.5516624468488287</v>
      </c>
      <c r="N54" s="21">
        <f t="shared" si="9"/>
        <v>1.1124554782030476</v>
      </c>
      <c r="O54" s="21">
        <f t="shared" si="11"/>
        <v>0.72976769762523408</v>
      </c>
      <c r="P54" s="21">
        <f t="shared" si="11"/>
        <v>0.67907251730296125</v>
      </c>
      <c r="Q54" s="67">
        <f t="shared" si="11"/>
        <v>0.52129608691858864</v>
      </c>
      <c r="R54" s="21">
        <f>(C54-B54)/B54*100</f>
        <v>28.122565567385095</v>
      </c>
      <c r="S54" s="21">
        <f t="shared" si="10"/>
        <v>-44.294689906769356</v>
      </c>
      <c r="T54" s="51" t="s">
        <v>136</v>
      </c>
      <c r="U54" s="52">
        <f t="shared" si="17"/>
        <v>-9.1409906396255849</v>
      </c>
      <c r="V54" s="52">
        <f t="shared" si="17"/>
        <v>-26.442023930890162</v>
      </c>
      <c r="W54" s="52">
        <f t="shared" si="17"/>
        <v>1.3786563571376469</v>
      </c>
      <c r="X54" s="52">
        <f t="shared" si="17"/>
        <v>-15.736077133400489</v>
      </c>
      <c r="Y54" s="37" t="s">
        <v>103</v>
      </c>
      <c r="AB54" s="10"/>
      <c r="AC54" s="26"/>
      <c r="BY54" s="26"/>
    </row>
    <row r="55" spans="1:79" ht="18" customHeight="1">
      <c r="A55" s="18" t="s">
        <v>104</v>
      </c>
      <c r="B55" s="19">
        <v>9540</v>
      </c>
      <c r="C55" s="19">
        <v>11473</v>
      </c>
      <c r="D55" s="19">
        <v>3872</v>
      </c>
      <c r="E55" s="19">
        <v>6943</v>
      </c>
      <c r="F55" s="19">
        <v>11397</v>
      </c>
      <c r="G55" s="19">
        <v>12729</v>
      </c>
      <c r="H55" s="19">
        <v>13188</v>
      </c>
      <c r="I55" s="19">
        <v>13572</v>
      </c>
      <c r="J55" s="20"/>
      <c r="K55" s="21">
        <f t="shared" si="6"/>
        <v>0.67373818697306398</v>
      </c>
      <c r="L55" s="21">
        <f t="shared" si="7"/>
        <v>0.69703723172527521</v>
      </c>
      <c r="M55" s="21">
        <f t="shared" si="8"/>
        <v>0.52521413652844273</v>
      </c>
      <c r="N55" s="21">
        <f t="shared" si="9"/>
        <v>0.68029484815582619</v>
      </c>
      <c r="O55" s="21">
        <f t="shared" si="11"/>
        <v>0.67759960778113681</v>
      </c>
      <c r="P55" s="21">
        <f t="shared" si="11"/>
        <v>0.6443810877961903</v>
      </c>
      <c r="Q55" s="67">
        <f t="shared" si="11"/>
        <v>0.60413547021254244</v>
      </c>
      <c r="R55" s="21">
        <f>(C55-B55)/B55*100</f>
        <v>20.262054507337528</v>
      </c>
      <c r="S55" s="21">
        <f t="shared" si="10"/>
        <v>-66.251198465963569</v>
      </c>
      <c r="T55" s="52">
        <f>(E55-D55)/D55*100</f>
        <v>79.313016528925615</v>
      </c>
      <c r="U55" s="52">
        <f t="shared" si="17"/>
        <v>64.15094339622641</v>
      </c>
      <c r="V55" s="52">
        <f t="shared" si="17"/>
        <v>11.687286127928402</v>
      </c>
      <c r="W55" s="52">
        <f t="shared" si="17"/>
        <v>3.6059391939665328</v>
      </c>
      <c r="X55" s="52">
        <f t="shared" si="17"/>
        <v>2.9117379435850776</v>
      </c>
      <c r="Y55" s="37" t="s">
        <v>105</v>
      </c>
      <c r="AC55" s="26"/>
      <c r="BY55" s="26"/>
    </row>
    <row r="56" spans="1:79" ht="18" customHeight="1">
      <c r="A56" s="18" t="s">
        <v>106</v>
      </c>
      <c r="B56" s="19">
        <v>42901</v>
      </c>
      <c r="C56" s="19">
        <v>54474</v>
      </c>
      <c r="D56" s="19">
        <v>19759</v>
      </c>
      <c r="E56" s="19">
        <v>55760</v>
      </c>
      <c r="F56" s="19">
        <v>80697</v>
      </c>
      <c r="G56" s="19">
        <v>74838</v>
      </c>
      <c r="H56" s="19">
        <v>69620</v>
      </c>
      <c r="I56" s="19">
        <v>66443</v>
      </c>
      <c r="J56" s="20"/>
      <c r="K56" s="21">
        <f t="shared" si="6"/>
        <v>3.1989204216134133</v>
      </c>
      <c r="L56" s="21">
        <f t="shared" si="7"/>
        <v>3.557014117164182</v>
      </c>
      <c r="M56" s="21">
        <f t="shared" si="8"/>
        <v>4.2180527513792265</v>
      </c>
      <c r="N56" s="21">
        <f t="shared" si="9"/>
        <v>4.8168599948785387</v>
      </c>
      <c r="O56" s="21">
        <f t="shared" si="11"/>
        <v>3.9838321507679089</v>
      </c>
      <c r="P56" s="21">
        <f t="shared" si="11"/>
        <v>3.4017145383963276</v>
      </c>
      <c r="Q56" s="67">
        <f t="shared" si="11"/>
        <v>2.9576019044600619</v>
      </c>
      <c r="R56" s="21">
        <f>(C56-B56)/B56*100</f>
        <v>26.976061164075432</v>
      </c>
      <c r="S56" s="21">
        <f t="shared" si="10"/>
        <v>-63.727649888019975</v>
      </c>
      <c r="T56" s="51" t="s">
        <v>136</v>
      </c>
      <c r="U56" s="52">
        <f t="shared" si="17"/>
        <v>44.72202295552367</v>
      </c>
      <c r="V56" s="52">
        <f t="shared" si="17"/>
        <v>-7.2604929551284432</v>
      </c>
      <c r="W56" s="52">
        <f t="shared" si="17"/>
        <v>-6.9723937037333972</v>
      </c>
      <c r="X56" s="52">
        <f t="shared" si="17"/>
        <v>-4.5633438667049697</v>
      </c>
      <c r="Y56" s="37" t="s">
        <v>107</v>
      </c>
      <c r="AC56" s="26"/>
      <c r="BY56" s="26"/>
    </row>
    <row r="57" spans="1:79" ht="18" customHeight="1">
      <c r="A57" s="18" t="s">
        <v>108</v>
      </c>
      <c r="B57" s="19">
        <v>8621</v>
      </c>
      <c r="C57" s="19">
        <v>8979</v>
      </c>
      <c r="D57" s="19">
        <v>2932</v>
      </c>
      <c r="E57" s="19">
        <v>5664</v>
      </c>
      <c r="F57" s="19">
        <v>10409</v>
      </c>
      <c r="G57" s="19">
        <v>10207</v>
      </c>
      <c r="H57" s="19">
        <v>10846</v>
      </c>
      <c r="I57" s="19">
        <v>12897</v>
      </c>
      <c r="J57" s="20"/>
      <c r="K57" s="21">
        <f t="shared" si="6"/>
        <v>0.52728102334447324</v>
      </c>
      <c r="L57" s="21">
        <f t="shared" si="7"/>
        <v>0.52781848228783745</v>
      </c>
      <c r="M57" s="21">
        <f t="shared" si="8"/>
        <v>0.42846217331083097</v>
      </c>
      <c r="N57" s="21">
        <f t="shared" si="9"/>
        <v>0.62132044173501755</v>
      </c>
      <c r="O57" s="21">
        <f t="shared" si="11"/>
        <v>0.5433466255496946</v>
      </c>
      <c r="P57" s="21">
        <f t="shared" si="11"/>
        <v>0.52994823159216564</v>
      </c>
      <c r="Q57" s="67">
        <f t="shared" si="11"/>
        <v>0.57408894483725026</v>
      </c>
      <c r="R57" s="21">
        <f>(C57-B57)/B57*100</f>
        <v>4.1526505045818345</v>
      </c>
      <c r="S57" s="21">
        <f t="shared" si="10"/>
        <v>-67.346029624679801</v>
      </c>
      <c r="T57" s="52">
        <f>(E57-D57)/D57*100</f>
        <v>93.178717598908605</v>
      </c>
      <c r="U57" s="52">
        <f t="shared" si="17"/>
        <v>83.774717514124291</v>
      </c>
      <c r="V57" s="52">
        <f t="shared" si="17"/>
        <v>-1.940628302430589</v>
      </c>
      <c r="W57" s="52">
        <f t="shared" si="17"/>
        <v>6.2604095228764578</v>
      </c>
      <c r="X57" s="52">
        <f t="shared" si="17"/>
        <v>18.91019730776323</v>
      </c>
      <c r="Y57" s="37" t="s">
        <v>65</v>
      </c>
      <c r="BY57" s="26"/>
    </row>
    <row r="58" spans="1:79" s="10" customFormat="1" ht="18" customHeight="1">
      <c r="A58" s="22" t="s">
        <v>109</v>
      </c>
      <c r="B58" s="23">
        <f t="shared" ref="B58" si="20">SUM(B59:B61)</f>
        <v>40510</v>
      </c>
      <c r="C58" s="23">
        <f t="shared" ref="C58:H58" si="21">SUM(C59:C61)</f>
        <v>44140</v>
      </c>
      <c r="D58" s="23">
        <f t="shared" si="21"/>
        <v>7964</v>
      </c>
      <c r="E58" s="23">
        <f t="shared" si="21"/>
        <v>4880</v>
      </c>
      <c r="F58" s="23">
        <f t="shared" si="21"/>
        <v>27094</v>
      </c>
      <c r="G58" s="23">
        <f t="shared" si="21"/>
        <v>36966</v>
      </c>
      <c r="H58" s="23">
        <f t="shared" si="21"/>
        <v>39201</v>
      </c>
      <c r="I58" s="23">
        <f>SUM(I59:I61)</f>
        <v>45739</v>
      </c>
      <c r="J58" s="24"/>
      <c r="K58" s="14">
        <f t="shared" si="6"/>
        <v>2.5920686457762612</v>
      </c>
      <c r="L58" s="14">
        <f t="shared" si="7"/>
        <v>1.4336788516167591</v>
      </c>
      <c r="M58" s="14">
        <f t="shared" si="8"/>
        <v>0.36915526231582896</v>
      </c>
      <c r="N58" s="14">
        <f t="shared" si="9"/>
        <v>1.6172596837706374</v>
      </c>
      <c r="O58" s="14">
        <f t="shared" si="11"/>
        <v>1.9678016420172442</v>
      </c>
      <c r="P58" s="14">
        <f t="shared" si="11"/>
        <v>1.9154066592886303</v>
      </c>
      <c r="Q58" s="65">
        <f t="shared" si="11"/>
        <v>2.0359970728007277</v>
      </c>
      <c r="R58" s="14">
        <f>(C58-B58)/B58*100</f>
        <v>8.9607504319921016</v>
      </c>
      <c r="S58" s="14">
        <f t="shared" si="10"/>
        <v>-81.957408246488455</v>
      </c>
      <c r="T58" s="50">
        <f>(E58-D58)/D58*100</f>
        <v>-38.724259166248117</v>
      </c>
      <c r="U58" s="49" t="s">
        <v>136</v>
      </c>
      <c r="V58" s="50">
        <f>(G58-F58)/F58*100</f>
        <v>36.436111316158559</v>
      </c>
      <c r="W58" s="50">
        <f t="shared" ref="W58:X60" si="22">(H58-G58)/G58*100</f>
        <v>6.0460964129199803</v>
      </c>
      <c r="X58" s="50">
        <f t="shared" si="22"/>
        <v>16.67814596566414</v>
      </c>
      <c r="Y58" s="17" t="s">
        <v>110</v>
      </c>
      <c r="AB58" s="2"/>
      <c r="AC58" s="2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S58" s="55"/>
      <c r="BT58" s="55"/>
      <c r="BX58" s="2"/>
      <c r="BY58" s="26"/>
      <c r="BZ58" s="2"/>
      <c r="CA58" s="2"/>
    </row>
    <row r="59" spans="1:79" ht="18" customHeight="1">
      <c r="A59" s="18" t="s">
        <v>111</v>
      </c>
      <c r="B59" s="19">
        <v>37254</v>
      </c>
      <c r="C59" s="19">
        <v>39928</v>
      </c>
      <c r="D59" s="19">
        <v>7220</v>
      </c>
      <c r="E59" s="19">
        <v>4077</v>
      </c>
      <c r="F59" s="19">
        <v>25049</v>
      </c>
      <c r="G59" s="19">
        <v>33684</v>
      </c>
      <c r="H59" s="19">
        <v>35818</v>
      </c>
      <c r="I59" s="19">
        <v>42073</v>
      </c>
      <c r="J59" s="20"/>
      <c r="K59" s="21">
        <f t="shared" si="6"/>
        <v>2.344723989319315</v>
      </c>
      <c r="L59" s="21">
        <f t="shared" si="7"/>
        <v>1.2997440116364893</v>
      </c>
      <c r="M59" s="21">
        <f t="shared" si="8"/>
        <v>0.3084110664880399</v>
      </c>
      <c r="N59" s="21">
        <f t="shared" si="9"/>
        <v>1.4951922129907247</v>
      </c>
      <c r="O59" s="21">
        <f t="shared" si="11"/>
        <v>1.7930917737842573</v>
      </c>
      <c r="P59" s="21">
        <f t="shared" si="11"/>
        <v>1.7501093268641146</v>
      </c>
      <c r="Q59" s="67">
        <f t="shared" si="11"/>
        <v>1.8728110549846961</v>
      </c>
      <c r="R59" s="21">
        <f>(C59-B59)/B59*100</f>
        <v>7.177752724539646</v>
      </c>
      <c r="S59" s="21">
        <f t="shared" si="10"/>
        <v>-81.917451412542576</v>
      </c>
      <c r="T59" s="52">
        <f>(E59-D59)/D59*100</f>
        <v>-43.531855955678672</v>
      </c>
      <c r="U59" s="51" t="s">
        <v>136</v>
      </c>
      <c r="V59" s="52">
        <f>(G59-F59)/F59*100</f>
        <v>34.472434029302569</v>
      </c>
      <c r="W59" s="52">
        <f t="shared" si="22"/>
        <v>6.3353520959505998</v>
      </c>
      <c r="X59" s="52">
        <f t="shared" si="22"/>
        <v>17.4632866156681</v>
      </c>
      <c r="Y59" s="37" t="s">
        <v>112</v>
      </c>
      <c r="BY59" s="26"/>
    </row>
    <row r="60" spans="1:79" ht="18" customHeight="1">
      <c r="A60" s="18" t="s">
        <v>113</v>
      </c>
      <c r="B60" s="19">
        <v>3200</v>
      </c>
      <c r="C60" s="19">
        <v>4082</v>
      </c>
      <c r="D60" s="19">
        <v>719</v>
      </c>
      <c r="E60" s="19">
        <v>685</v>
      </c>
      <c r="F60" s="19">
        <v>1888</v>
      </c>
      <c r="G60" s="19">
        <v>2912</v>
      </c>
      <c r="H60" s="19">
        <v>3226</v>
      </c>
      <c r="I60" s="19">
        <v>3487</v>
      </c>
      <c r="J60" s="20"/>
      <c r="K60" s="21">
        <f t="shared" si="6"/>
        <v>0.2397105621218554</v>
      </c>
      <c r="L60" s="21">
        <f t="shared" si="7"/>
        <v>0.1294343413250188</v>
      </c>
      <c r="M60" s="21">
        <f t="shared" si="8"/>
        <v>5.1817900550480092E-2</v>
      </c>
      <c r="N60" s="21">
        <f t="shared" si="9"/>
        <v>0.11269603170292179</v>
      </c>
      <c r="O60" s="21">
        <f t="shared" si="11"/>
        <v>0.15501375267960329</v>
      </c>
      <c r="P60" s="21">
        <f t="shared" si="11"/>
        <v>0.15762612899837047</v>
      </c>
      <c r="Q60" s="67">
        <f t="shared" si="11"/>
        <v>0.15521812442021335</v>
      </c>
      <c r="R60" s="21">
        <f>(C60-B60)/B60*100</f>
        <v>27.5625</v>
      </c>
      <c r="S60" s="21">
        <f t="shared" si="10"/>
        <v>-82.386085252327291</v>
      </c>
      <c r="T60" s="52">
        <f>(E60-D60)/D60*100</f>
        <v>-4.7287899860917939</v>
      </c>
      <c r="U60" s="51" t="s">
        <v>136</v>
      </c>
      <c r="V60" s="52">
        <f>(G60-F60)/F60*100</f>
        <v>54.237288135593218</v>
      </c>
      <c r="W60" s="52">
        <f t="shared" si="22"/>
        <v>10.782967032967033</v>
      </c>
      <c r="X60" s="52">
        <f t="shared" si="22"/>
        <v>8.0905145691258529</v>
      </c>
      <c r="Y60" s="37" t="s">
        <v>114</v>
      </c>
      <c r="AB60" s="10"/>
      <c r="AC60" s="26"/>
      <c r="BY60" s="26"/>
    </row>
    <row r="61" spans="1:79" ht="18" customHeight="1">
      <c r="A61" s="18" t="s">
        <v>115</v>
      </c>
      <c r="B61" s="19">
        <v>56</v>
      </c>
      <c r="C61" s="19">
        <v>130</v>
      </c>
      <c r="D61" s="19">
        <v>25</v>
      </c>
      <c r="E61" s="19">
        <v>118</v>
      </c>
      <c r="F61" s="19">
        <v>157</v>
      </c>
      <c r="G61" s="19">
        <v>370</v>
      </c>
      <c r="H61" s="19">
        <v>157</v>
      </c>
      <c r="I61" s="19">
        <v>179</v>
      </c>
      <c r="J61" s="20"/>
      <c r="K61" s="21">
        <f t="shared" si="6"/>
        <v>7.6340943350909369E-3</v>
      </c>
      <c r="L61" s="21">
        <f t="shared" si="7"/>
        <v>4.5004986552510022E-3</v>
      </c>
      <c r="M61" s="21">
        <f t="shared" si="8"/>
        <v>8.9262952773089786E-3</v>
      </c>
      <c r="N61" s="21">
        <f t="shared" si="9"/>
        <v>9.3714390769908482E-3</v>
      </c>
      <c r="O61" s="21">
        <f t="shared" si="11"/>
        <v>1.9696115553383658E-2</v>
      </c>
      <c r="P61" s="21">
        <f t="shared" si="11"/>
        <v>7.6712034261451224E-3</v>
      </c>
      <c r="Q61" s="67">
        <f t="shared" si="11"/>
        <v>7.967893395818236E-3</v>
      </c>
      <c r="R61" s="21">
        <f>(C61-B61)/B61*100</f>
        <v>132.14285714285714</v>
      </c>
      <c r="S61" s="21">
        <f t="shared" si="10"/>
        <v>-80.769230769230774</v>
      </c>
      <c r="T61" s="51" t="s">
        <v>136</v>
      </c>
      <c r="U61" s="52">
        <f t="shared" ref="U61:U69" si="23">(F61-E61)/E61*100</f>
        <v>33.050847457627121</v>
      </c>
      <c r="V61" s="51" t="s">
        <v>136</v>
      </c>
      <c r="W61" s="52">
        <f t="shared" ref="V61:X69" si="24">(H61-G61)/G61*100</f>
        <v>-57.567567567567565</v>
      </c>
      <c r="X61" s="52">
        <f t="shared" si="24"/>
        <v>14.012738853503185</v>
      </c>
      <c r="Y61" s="37" t="s">
        <v>65</v>
      </c>
      <c r="AB61" s="10"/>
      <c r="BY61" s="26"/>
    </row>
    <row r="62" spans="1:79" s="10" customFormat="1" ht="18" customHeight="1">
      <c r="A62" s="22" t="s">
        <v>116</v>
      </c>
      <c r="B62" s="23">
        <f t="shared" ref="B62:H62" si="25">SUM(B63:B67)</f>
        <v>52114</v>
      </c>
      <c r="C62" s="23">
        <f t="shared" si="25"/>
        <v>60003</v>
      </c>
      <c r="D62" s="23">
        <f>SUM(D63:D67)</f>
        <v>26288</v>
      </c>
      <c r="E62" s="23">
        <f t="shared" si="25"/>
        <v>91413</v>
      </c>
      <c r="F62" s="23">
        <f t="shared" si="25"/>
        <v>79963</v>
      </c>
      <c r="G62" s="23">
        <f t="shared" si="25"/>
        <v>80671</v>
      </c>
      <c r="H62" s="23">
        <f t="shared" si="25"/>
        <v>79705</v>
      </c>
      <c r="I62" s="23">
        <f>SUM(I63:I67)</f>
        <v>82558</v>
      </c>
      <c r="J62" s="24"/>
      <c r="K62" s="14">
        <f t="shared" si="6"/>
        <v>3.5236043260650884</v>
      </c>
      <c r="L62" s="14">
        <f t="shared" si="7"/>
        <v>4.7323643459695335</v>
      </c>
      <c r="M62" s="14">
        <f t="shared" si="8"/>
        <v>6.9150799168190309</v>
      </c>
      <c r="N62" s="14">
        <f t="shared" si="9"/>
        <v>4.7730470249262371</v>
      </c>
      <c r="O62" s="14">
        <f t="shared" si="11"/>
        <v>4.2943387508297652</v>
      </c>
      <c r="P62" s="14">
        <f t="shared" si="11"/>
        <v>3.8944794208974329</v>
      </c>
      <c r="Q62" s="65">
        <f t="shared" si="11"/>
        <v>3.6749348769383348</v>
      </c>
      <c r="R62" s="14">
        <f>(C62-B62)/B62*100</f>
        <v>15.13796676516867</v>
      </c>
      <c r="S62" s="14">
        <f t="shared" si="10"/>
        <v>-56.188857223805478</v>
      </c>
      <c r="T62" s="49" t="s">
        <v>136</v>
      </c>
      <c r="U62" s="50">
        <f t="shared" si="23"/>
        <v>-12.525570761270281</v>
      </c>
      <c r="V62" s="50">
        <f t="shared" si="24"/>
        <v>0.88540950189462619</v>
      </c>
      <c r="W62" s="50">
        <f t="shared" si="24"/>
        <v>-1.1974563349902692</v>
      </c>
      <c r="X62" s="50">
        <f t="shared" si="24"/>
        <v>3.5794492189950442</v>
      </c>
      <c r="Y62" s="17" t="s">
        <v>117</v>
      </c>
      <c r="AA62" s="2"/>
      <c r="BS62" s="55"/>
      <c r="BT62" s="55"/>
      <c r="BX62" s="2"/>
      <c r="BY62" s="26"/>
      <c r="BZ62" s="2"/>
      <c r="CA62" s="2"/>
    </row>
    <row r="63" spans="1:79" ht="18" customHeight="1">
      <c r="A63" s="18" t="s">
        <v>118</v>
      </c>
      <c r="B63" s="19">
        <v>4559</v>
      </c>
      <c r="C63" s="19">
        <v>5420</v>
      </c>
      <c r="D63" s="19">
        <v>2816</v>
      </c>
      <c r="E63" s="19">
        <v>4731</v>
      </c>
      <c r="F63" s="19">
        <v>7934</v>
      </c>
      <c r="G63" s="19">
        <v>8647</v>
      </c>
      <c r="H63" s="19">
        <v>7772</v>
      </c>
      <c r="I63" s="19">
        <v>7438</v>
      </c>
      <c r="J63" s="20"/>
      <c r="K63" s="21">
        <f t="shared" si="6"/>
        <v>0.3182830099707144</v>
      </c>
      <c r="L63" s="21">
        <f t="shared" si="7"/>
        <v>0.50693616852747281</v>
      </c>
      <c r="M63" s="21">
        <f t="shared" si="8"/>
        <v>0.35788392336397273</v>
      </c>
      <c r="N63" s="21">
        <f t="shared" si="9"/>
        <v>0.47358597220920634</v>
      </c>
      <c r="O63" s="21">
        <f t="shared" si="11"/>
        <v>0.46030354375705002</v>
      </c>
      <c r="P63" s="21">
        <f t="shared" si="11"/>
        <v>0.37974900017834323</v>
      </c>
      <c r="Q63" s="67">
        <f t="shared" si="11"/>
        <v>0.33109045295025719</v>
      </c>
      <c r="R63" s="21">
        <f>(C63-B63)/B63*100</f>
        <v>18.885720552752797</v>
      </c>
      <c r="S63" s="21">
        <f t="shared" si="10"/>
        <v>-48.044280442804428</v>
      </c>
      <c r="T63" s="52">
        <f>(E63-D63)/D63*100</f>
        <v>68.00426136363636</v>
      </c>
      <c r="U63" s="52">
        <f t="shared" si="23"/>
        <v>67.702388501373918</v>
      </c>
      <c r="V63" s="52">
        <f t="shared" si="24"/>
        <v>8.9866397781699003</v>
      </c>
      <c r="W63" s="52">
        <f t="shared" si="24"/>
        <v>-10.119116456574535</v>
      </c>
      <c r="X63" s="52">
        <f t="shared" si="24"/>
        <v>-4.2974781266083371</v>
      </c>
      <c r="Y63" s="37" t="s">
        <v>119</v>
      </c>
      <c r="AB63" s="10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Y63" s="26"/>
    </row>
    <row r="64" spans="1:79" ht="18" customHeight="1">
      <c r="A64" s="18" t="s">
        <v>120</v>
      </c>
      <c r="B64" s="19">
        <v>1898</v>
      </c>
      <c r="C64" s="19">
        <v>1940</v>
      </c>
      <c r="D64" s="19">
        <v>1049</v>
      </c>
      <c r="E64" s="19">
        <v>3632</v>
      </c>
      <c r="F64" s="19">
        <v>2701</v>
      </c>
      <c r="G64" s="19">
        <v>2998</v>
      </c>
      <c r="H64" s="19">
        <v>3185</v>
      </c>
      <c r="I64" s="19">
        <v>2972</v>
      </c>
      <c r="J64" s="20"/>
      <c r="K64" s="21">
        <f t="shared" si="6"/>
        <v>0.11392417700058784</v>
      </c>
      <c r="L64" s="21">
        <f t="shared" si="7"/>
        <v>0.18884092357433205</v>
      </c>
      <c r="M64" s="21">
        <f t="shared" si="8"/>
        <v>0.2747483427727645</v>
      </c>
      <c r="N64" s="21">
        <f t="shared" si="9"/>
        <v>0.16122456654109735</v>
      </c>
      <c r="O64" s="21">
        <f t="shared" si="11"/>
        <v>0.1595917687271465</v>
      </c>
      <c r="P64" s="21">
        <f t="shared" si="11"/>
        <v>0.15562282109727524</v>
      </c>
      <c r="Q64" s="67">
        <f t="shared" si="11"/>
        <v>0.13229373839313854</v>
      </c>
      <c r="R64" s="21">
        <f>(C64-B64)/B64*100</f>
        <v>2.2128556375131718</v>
      </c>
      <c r="S64" s="21">
        <f t="shared" si="10"/>
        <v>-45.927835051546388</v>
      </c>
      <c r="T64" s="51" t="s">
        <v>136</v>
      </c>
      <c r="U64" s="52">
        <f t="shared" si="23"/>
        <v>-25.633259911894275</v>
      </c>
      <c r="V64" s="52">
        <f t="shared" si="24"/>
        <v>10.995927434283599</v>
      </c>
      <c r="W64" s="52">
        <f t="shared" si="24"/>
        <v>6.2374916611074047</v>
      </c>
      <c r="X64" s="52">
        <f t="shared" si="24"/>
        <v>-6.6875981161695446</v>
      </c>
      <c r="Y64" s="37" t="s">
        <v>121</v>
      </c>
      <c r="AB64" s="10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</row>
    <row r="65" spans="1:77" ht="18" customHeight="1">
      <c r="A65" s="18" t="s">
        <v>122</v>
      </c>
      <c r="B65" s="19">
        <v>23540</v>
      </c>
      <c r="C65" s="19">
        <v>25865</v>
      </c>
      <c r="D65" s="19">
        <v>7578</v>
      </c>
      <c r="E65" s="19">
        <v>40014</v>
      </c>
      <c r="F65" s="19">
        <v>32384</v>
      </c>
      <c r="G65" s="19">
        <v>29963</v>
      </c>
      <c r="H65" s="19">
        <v>29735</v>
      </c>
      <c r="I65" s="19">
        <v>29112</v>
      </c>
      <c r="J65" s="20"/>
      <c r="K65" s="21">
        <f t="shared" si="6"/>
        <v>1.5188911536702083</v>
      </c>
      <c r="L65" s="21">
        <f t="shared" si="7"/>
        <v>1.3641911523796837</v>
      </c>
      <c r="M65" s="21">
        <f t="shared" si="8"/>
        <v>3.0269218578495041</v>
      </c>
      <c r="N65" s="21">
        <f t="shared" si="9"/>
        <v>1.9330234590399467</v>
      </c>
      <c r="O65" s="21">
        <f t="shared" si="11"/>
        <v>1.5950127306109043</v>
      </c>
      <c r="P65" s="21">
        <f t="shared" si="11"/>
        <v>1.4528868399772308</v>
      </c>
      <c r="Q65" s="67">
        <f t="shared" si="11"/>
        <v>1.295873254408159</v>
      </c>
      <c r="R65" s="21">
        <f>(C65-B65)/B65*100</f>
        <v>9.8768054375531023</v>
      </c>
      <c r="S65" s="21">
        <f t="shared" si="10"/>
        <v>-70.701720471679877</v>
      </c>
      <c r="T65" s="51" t="s">
        <v>136</v>
      </c>
      <c r="U65" s="52">
        <f t="shared" si="23"/>
        <v>-19.068326085869948</v>
      </c>
      <c r="V65" s="52">
        <f t="shared" si="24"/>
        <v>-7.4759140316205537</v>
      </c>
      <c r="W65" s="52">
        <f t="shared" si="24"/>
        <v>-0.76093849080532661</v>
      </c>
      <c r="X65" s="52">
        <f t="shared" si="24"/>
        <v>-2.0951740373297461</v>
      </c>
      <c r="Y65" s="37" t="s">
        <v>123</v>
      </c>
      <c r="AB65" s="10"/>
      <c r="AC65" s="26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62"/>
      <c r="BP65" s="62"/>
    </row>
    <row r="66" spans="1:77" ht="18" customHeight="1">
      <c r="A66" s="25" t="s">
        <v>124</v>
      </c>
      <c r="B66" s="19">
        <v>9018</v>
      </c>
      <c r="C66" s="19">
        <v>10493</v>
      </c>
      <c r="D66" s="19">
        <v>7368</v>
      </c>
      <c r="E66" s="19">
        <v>14095</v>
      </c>
      <c r="F66" s="19">
        <v>11456</v>
      </c>
      <c r="G66" s="19">
        <v>14043</v>
      </c>
      <c r="H66" s="19">
        <v>15269</v>
      </c>
      <c r="I66" s="19">
        <v>18360</v>
      </c>
      <c r="J66" s="20"/>
      <c r="K66" s="21">
        <f t="shared" si="6"/>
        <v>0.61618886044699384</v>
      </c>
      <c r="L66" s="21">
        <f t="shared" si="7"/>
        <v>1.3263869636755754</v>
      </c>
      <c r="M66" s="21">
        <f t="shared" si="8"/>
        <v>1.066238406217543</v>
      </c>
      <c r="N66" s="21">
        <f t="shared" si="9"/>
        <v>0.68381659914654247</v>
      </c>
      <c r="O66" s="21">
        <f t="shared" si="11"/>
        <v>0.74754743436801818</v>
      </c>
      <c r="P66" s="21">
        <f t="shared" si="11"/>
        <v>0.74606117906885272</v>
      </c>
      <c r="Q66" s="67">
        <f t="shared" si="11"/>
        <v>0.8172654902079487</v>
      </c>
      <c r="R66" s="21">
        <f>(C66-B66)/B66*100</f>
        <v>16.356176535817255</v>
      </c>
      <c r="S66" s="21">
        <f t="shared" si="10"/>
        <v>-29.781759268083484</v>
      </c>
      <c r="T66" s="52">
        <f>(E66-D66)/D66*100</f>
        <v>91.300217155266012</v>
      </c>
      <c r="U66" s="52">
        <f t="shared" si="23"/>
        <v>-18.7229514012061</v>
      </c>
      <c r="V66" s="52">
        <f t="shared" si="24"/>
        <v>22.582053072625698</v>
      </c>
      <c r="W66" s="52">
        <f t="shared" si="24"/>
        <v>8.7303282774335962</v>
      </c>
      <c r="X66" s="52">
        <f t="shared" si="24"/>
        <v>20.243630886109109</v>
      </c>
      <c r="Y66" s="37" t="s">
        <v>125</v>
      </c>
      <c r="AB66" s="10"/>
      <c r="AC66" s="26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77" ht="18" customHeight="1">
      <c r="A67" s="26" t="s">
        <v>126</v>
      </c>
      <c r="B67" s="19">
        <v>13099</v>
      </c>
      <c r="C67" s="19">
        <v>16285</v>
      </c>
      <c r="D67" s="19">
        <v>7477</v>
      </c>
      <c r="E67" s="19">
        <v>28941</v>
      </c>
      <c r="F67" s="19">
        <v>25488</v>
      </c>
      <c r="G67" s="19">
        <v>25020</v>
      </c>
      <c r="H67" s="19">
        <v>23744</v>
      </c>
      <c r="I67" s="19">
        <v>24676</v>
      </c>
      <c r="J67" s="20"/>
      <c r="K67" s="21">
        <f t="shared" si="6"/>
        <v>0.95631712497658383</v>
      </c>
      <c r="L67" s="21">
        <f t="shared" si="7"/>
        <v>1.3460091378124697</v>
      </c>
      <c r="M67" s="21">
        <f t="shared" si="8"/>
        <v>2.1892873866152471</v>
      </c>
      <c r="N67" s="21">
        <f t="shared" si="9"/>
        <v>1.5213964279894443</v>
      </c>
      <c r="O67" s="21">
        <f t="shared" si="11"/>
        <v>1.3318832733666464</v>
      </c>
      <c r="P67" s="21">
        <f t="shared" si="11"/>
        <v>1.160159580575731</v>
      </c>
      <c r="Q67" s="67">
        <f t="shared" si="11"/>
        <v>1.0984119409788311</v>
      </c>
      <c r="R67" s="21">
        <f>(C67-B67)/B67*100</f>
        <v>24.322467363920911</v>
      </c>
      <c r="S67" s="21">
        <f t="shared" si="10"/>
        <v>-54.086582744857225</v>
      </c>
      <c r="T67" s="51" t="s">
        <v>136</v>
      </c>
      <c r="U67" s="52">
        <f t="shared" si="23"/>
        <v>-11.931170312014098</v>
      </c>
      <c r="V67" s="52">
        <f t="shared" si="24"/>
        <v>-1.8361581920903955</v>
      </c>
      <c r="W67" s="52">
        <f t="shared" si="24"/>
        <v>-5.0999200639488409</v>
      </c>
      <c r="X67" s="52">
        <f t="shared" si="24"/>
        <v>3.9252021563342314</v>
      </c>
      <c r="Y67" s="38" t="s">
        <v>65</v>
      </c>
      <c r="AB67" s="10"/>
      <c r="AC67" s="26"/>
      <c r="BJ67" s="10"/>
      <c r="BK67" s="10"/>
      <c r="BL67" s="10"/>
      <c r="BM67" s="10"/>
    </row>
    <row r="68" spans="1:77" ht="18" customHeight="1">
      <c r="A68" s="22" t="s">
        <v>127</v>
      </c>
      <c r="B68" s="19">
        <v>63</v>
      </c>
      <c r="C68" s="19">
        <v>138</v>
      </c>
      <c r="D68" s="19">
        <v>33</v>
      </c>
      <c r="E68" s="19">
        <v>27</v>
      </c>
      <c r="F68" s="19">
        <v>27</v>
      </c>
      <c r="G68" s="19">
        <v>23</v>
      </c>
      <c r="H68" s="19">
        <v>86</v>
      </c>
      <c r="I68" s="19">
        <v>0</v>
      </c>
      <c r="J68" s="20"/>
      <c r="K68" s="21">
        <f t="shared" ref="K68:N69" si="26">C68/C$7*100</f>
        <v>8.1038847557119188E-3</v>
      </c>
      <c r="L68" s="21">
        <f t="shared" si="26"/>
        <v>5.9406582249313224E-3</v>
      </c>
      <c r="M68" s="21">
        <f t="shared" si="26"/>
        <v>2.0424573939605288E-3</v>
      </c>
      <c r="N68" s="21">
        <f t="shared" si="9"/>
        <v>1.6116487584633943E-3</v>
      </c>
      <c r="O68" s="21">
        <f t="shared" ref="O68:Q69" si="27">G68/G$7*100</f>
        <v>1.2243531289941195E-3</v>
      </c>
      <c r="P68" s="21">
        <f t="shared" si="27"/>
        <v>4.2020604754680283E-3</v>
      </c>
      <c r="Q68" s="67">
        <f t="shared" si="27"/>
        <v>0</v>
      </c>
      <c r="R68" s="21">
        <v>0</v>
      </c>
      <c r="S68" s="21">
        <v>0</v>
      </c>
      <c r="T68" s="52">
        <v>0</v>
      </c>
      <c r="U68" s="52">
        <f t="shared" si="23"/>
        <v>0</v>
      </c>
      <c r="V68" s="52">
        <f t="shared" si="24"/>
        <v>-14.814814814814813</v>
      </c>
      <c r="W68" s="51" t="s">
        <v>136</v>
      </c>
      <c r="X68" s="52" t="s">
        <v>131</v>
      </c>
      <c r="Y68" s="17" t="s">
        <v>128</v>
      </c>
      <c r="BJ68" s="10"/>
      <c r="BK68" s="10"/>
      <c r="BL68" s="10"/>
      <c r="BM68" s="10"/>
      <c r="BU68" s="54"/>
      <c r="BY68" s="56"/>
    </row>
    <row r="69" spans="1:77" ht="18" customHeight="1">
      <c r="A69" s="27" t="s">
        <v>129</v>
      </c>
      <c r="B69" s="28">
        <v>121</v>
      </c>
      <c r="C69" s="28">
        <v>178</v>
      </c>
      <c r="D69" s="28">
        <v>63</v>
      </c>
      <c r="E69" s="28">
        <v>290</v>
      </c>
      <c r="F69" s="28">
        <v>142</v>
      </c>
      <c r="G69" s="28">
        <v>93</v>
      </c>
      <c r="H69" s="28">
        <v>140</v>
      </c>
      <c r="I69" s="28">
        <v>0</v>
      </c>
      <c r="J69" s="29"/>
      <c r="K69" s="30">
        <f t="shared" si="26"/>
        <v>1.045283685881682E-2</v>
      </c>
      <c r="L69" s="30">
        <f t="shared" si="26"/>
        <v>1.1341256611232526E-2</v>
      </c>
      <c r="M69" s="30">
        <f t="shared" si="26"/>
        <v>2.1937505342539017E-2</v>
      </c>
      <c r="N69" s="30">
        <f t="shared" si="26"/>
        <v>8.4760786556222975E-3</v>
      </c>
      <c r="O69" s="30">
        <f t="shared" si="27"/>
        <v>4.9506452607153521E-3</v>
      </c>
      <c r="P69" s="30">
        <f t="shared" si="27"/>
        <v>6.8405635647153969E-3</v>
      </c>
      <c r="Q69" s="69">
        <f t="shared" si="27"/>
        <v>0</v>
      </c>
      <c r="R69" s="30">
        <v>0</v>
      </c>
      <c r="S69" s="30">
        <v>0</v>
      </c>
      <c r="T69" s="43">
        <v>0</v>
      </c>
      <c r="U69" s="43">
        <f t="shared" si="23"/>
        <v>-51.03448275862069</v>
      </c>
      <c r="V69" s="43">
        <f t="shared" si="24"/>
        <v>-34.507042253521128</v>
      </c>
      <c r="W69" s="43">
        <f t="shared" si="24"/>
        <v>50.537634408602152</v>
      </c>
      <c r="X69" s="43" t="s">
        <v>131</v>
      </c>
      <c r="Y69" s="39" t="s">
        <v>130</v>
      </c>
      <c r="BJ69" s="10"/>
      <c r="BK69" s="10"/>
      <c r="BL69" s="10"/>
      <c r="BM69" s="10"/>
      <c r="BY69" s="56"/>
    </row>
    <row r="70" spans="1:77" ht="12" customHeight="1">
      <c r="A70" s="31" t="s">
        <v>146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3"/>
      <c r="S70" s="33"/>
      <c r="T70" s="33"/>
      <c r="U70" s="33"/>
      <c r="V70" s="33"/>
      <c r="W70" s="33"/>
      <c r="X70" s="33"/>
      <c r="Y70" s="70" t="s">
        <v>147</v>
      </c>
    </row>
    <row r="71" spans="1:77">
      <c r="A71" s="40" t="s">
        <v>135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3"/>
      <c r="S71" s="33"/>
      <c r="T71" s="33"/>
      <c r="U71" s="33"/>
      <c r="V71" s="33"/>
      <c r="W71" s="33"/>
      <c r="X71" s="33"/>
      <c r="Y71" s="34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35"/>
    </row>
    <row r="72" spans="1:77">
      <c r="A72" s="41" t="s">
        <v>134</v>
      </c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35"/>
    </row>
    <row r="73" spans="1:77">
      <c r="A73" s="42" t="s">
        <v>137</v>
      </c>
      <c r="AC73" s="26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35"/>
    </row>
    <row r="74" spans="1:77">
      <c r="A74" s="42" t="s">
        <v>148</v>
      </c>
      <c r="AC74" s="26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35"/>
    </row>
    <row r="75" spans="1:77">
      <c r="A75" s="42"/>
      <c r="AC75" s="26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35"/>
    </row>
    <row r="76" spans="1:77">
      <c r="AC76" s="26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35"/>
    </row>
    <row r="77" spans="1:77">
      <c r="AC77" s="26"/>
    </row>
    <row r="78" spans="1:77">
      <c r="AC78" s="26"/>
    </row>
    <row r="79" spans="1:77">
      <c r="AC79" s="26"/>
    </row>
    <row r="80" spans="1:77">
      <c r="AC80" s="26"/>
    </row>
    <row r="81" spans="29:59">
      <c r="AC81" s="26"/>
    </row>
    <row r="82" spans="29:59">
      <c r="AC82" s="26"/>
    </row>
    <row r="83" spans="29:59">
      <c r="AC83" s="26"/>
    </row>
    <row r="84" spans="29:59">
      <c r="AC84" s="26"/>
    </row>
    <row r="85" spans="29:59">
      <c r="AC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9"/>
    </row>
    <row r="86" spans="29:59">
      <c r="AC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9"/>
    </row>
    <row r="87" spans="29:59">
      <c r="AC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9"/>
    </row>
    <row r="88" spans="29:59"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9"/>
    </row>
    <row r="89" spans="29:59"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9"/>
    </row>
    <row r="90" spans="29:59"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9"/>
    </row>
    <row r="91" spans="29:59"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9"/>
    </row>
    <row r="92" spans="29:59"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9"/>
    </row>
    <row r="93" spans="29:59"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9"/>
    </row>
    <row r="94" spans="29:59"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9"/>
    </row>
  </sheetData>
  <mergeCells count="9">
    <mergeCell ref="A1:Y1"/>
    <mergeCell ref="A2:Y2"/>
    <mergeCell ref="A4:A6"/>
    <mergeCell ref="C4:I4"/>
    <mergeCell ref="C5:I5"/>
    <mergeCell ref="K4:Q4"/>
    <mergeCell ref="R4:X4"/>
    <mergeCell ref="K5:Q5"/>
    <mergeCell ref="R5:X5"/>
  </mergeCells>
  <phoneticPr fontId="34" type="noConversion"/>
  <pageMargins left="0.7" right="0.7" top="0.75" bottom="0.75" header="0.3" footer="0.3"/>
  <pageSetup paperSize="9" scale="35" orientation="portrait" horizontalDpi="4294967295" verticalDpi="4294967295" r:id="rId1"/>
  <rowBreaks count="1" manualBreakCount="1">
    <brk id="75" max="41" man="1"/>
  </rowBreaks>
  <ignoredErrors>
    <ignoredError sqref="B6:E6" numberStoredAsText="1"/>
    <ignoredError sqref="B62:C62 E62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2026-06-11T08:45:00Z</cp:lastPrinted>
  <dcterms:created xsi:type="dcterms:W3CDTF">2019-02-27T06:18:18Z</dcterms:created>
  <dcterms:modified xsi:type="dcterms:W3CDTF">2026-06-11T08:45:46Z</dcterms:modified>
</cp:coreProperties>
</file>