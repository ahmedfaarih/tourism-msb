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ml.chartshap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\\fileserver\ST4\Dissemination\Publications\Statistical Year Book\YEARBOOK 2026\Final\Tourism\"/>
    </mc:Choice>
  </mc:AlternateContent>
  <xr:revisionPtr revIDLastSave="0" documentId="13_ncr:1_{4C8A2F91-3C9B-48B4-8C95-53554F56B50A}" xr6:coauthVersionLast="47" xr6:coauthVersionMax="47" xr10:uidLastSave="{00000000-0000-0000-0000-000000000000}"/>
  <bookViews>
    <workbookView xWindow="-120" yWindow="-120" windowWidth="29040" windowHeight="15720" tabRatio="641" xr2:uid="{00000000-000D-0000-FFFF-FFFF00000000}"/>
  </bookViews>
  <sheets>
    <sheet name="10.13" sheetId="13" r:id="rId1"/>
  </sheets>
  <definedNames>
    <definedName name="_xlnm.Print_Area" localSheetId="0">'10.13'!$A$1:$O$126</definedName>
    <definedName name="_xlnm.Print_Titles" localSheetId="0">'10.13'!$4:$4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H35" i="13" l="1"/>
  <c r="BH34" i="13"/>
  <c r="BH25" i="13"/>
  <c r="BH32" i="13"/>
  <c r="N56" i="13"/>
  <c r="M56" i="13" l="1"/>
  <c r="L56" i="13" s="1"/>
  <c r="K56" i="13" s="1"/>
  <c r="J56" i="13" s="1"/>
  <c r="I56" i="13" s="1"/>
  <c r="H56" i="13" s="1"/>
  <c r="G56" i="13" s="1"/>
  <c r="F56" i="13" l="1"/>
  <c r="E56" i="13" s="1"/>
  <c r="D56" i="13" s="1"/>
  <c r="C56" i="13" s="1"/>
  <c r="B19" i="13" l="1"/>
  <c r="B8" i="13" l="1"/>
  <c r="K22" i="13" l="1"/>
  <c r="I74" i="13"/>
  <c r="BO32" i="13" s="1"/>
  <c r="E58" i="13"/>
  <c r="D22" i="13" l="1"/>
  <c r="C58" i="13" l="1"/>
  <c r="D58" i="13"/>
  <c r="F58" i="13"/>
  <c r="G58" i="13"/>
  <c r="H58" i="13"/>
  <c r="I58" i="13"/>
  <c r="J58" i="13"/>
  <c r="K58" i="13"/>
  <c r="L58" i="13"/>
  <c r="M58" i="13"/>
  <c r="N58" i="13"/>
  <c r="H30" i="13" l="1"/>
  <c r="C30" i="13" l="1"/>
  <c r="D30" i="13"/>
  <c r="E30" i="13"/>
  <c r="F30" i="13"/>
  <c r="G30" i="13"/>
  <c r="I30" i="13"/>
  <c r="J30" i="13"/>
  <c r="K30" i="13"/>
  <c r="L30" i="13"/>
  <c r="M30" i="13"/>
  <c r="N30" i="13"/>
  <c r="E67" i="13" l="1"/>
  <c r="F67" i="13"/>
  <c r="G67" i="13"/>
  <c r="H67" i="13"/>
  <c r="I67" i="13"/>
  <c r="J67" i="13"/>
  <c r="K67" i="13"/>
  <c r="L67" i="13"/>
  <c r="M67" i="13"/>
  <c r="N67" i="13"/>
  <c r="F52" i="13"/>
  <c r="G52" i="13"/>
  <c r="H52" i="13"/>
  <c r="I52" i="13"/>
  <c r="J52" i="13"/>
  <c r="K52" i="13"/>
  <c r="L52" i="13"/>
  <c r="M52" i="13"/>
  <c r="N52" i="13"/>
  <c r="E47" i="13"/>
  <c r="F47" i="13"/>
  <c r="G47" i="13"/>
  <c r="H47" i="13"/>
  <c r="I47" i="13"/>
  <c r="J47" i="13"/>
  <c r="K47" i="13"/>
  <c r="L47" i="13"/>
  <c r="M47" i="13"/>
  <c r="N47" i="13"/>
  <c r="E39" i="13"/>
  <c r="F39" i="13"/>
  <c r="G39" i="13"/>
  <c r="H39" i="13"/>
  <c r="I39" i="13"/>
  <c r="J39" i="13"/>
  <c r="K39" i="13"/>
  <c r="L39" i="13"/>
  <c r="M39" i="13"/>
  <c r="N39" i="13"/>
  <c r="E22" i="13"/>
  <c r="F22" i="13"/>
  <c r="G22" i="13"/>
  <c r="H22" i="13"/>
  <c r="I22" i="13"/>
  <c r="J22" i="13"/>
  <c r="L22" i="13"/>
  <c r="M22" i="13"/>
  <c r="N22" i="13"/>
  <c r="E7" i="13"/>
  <c r="F7" i="13"/>
  <c r="G7" i="13"/>
  <c r="H7" i="13"/>
  <c r="I7" i="13"/>
  <c r="J7" i="13"/>
  <c r="K7" i="13"/>
  <c r="L7" i="13"/>
  <c r="M7" i="13"/>
  <c r="N7" i="13"/>
  <c r="D7" i="13"/>
  <c r="C7" i="13"/>
  <c r="BM23" i="13" l="1"/>
  <c r="BN23" i="13"/>
  <c r="BO23" i="13"/>
  <c r="BL23" i="13"/>
  <c r="BK23" i="13"/>
  <c r="BP23" i="13"/>
  <c r="BQ23" i="13"/>
  <c r="BR23" i="13"/>
  <c r="BS23" i="13"/>
  <c r="BT23" i="13"/>
  <c r="K51" i="13"/>
  <c r="BQ24" i="13" s="1"/>
  <c r="H51" i="13"/>
  <c r="BN24" i="13" s="1"/>
  <c r="G51" i="13"/>
  <c r="BM24" i="13" s="1"/>
  <c r="I51" i="13"/>
  <c r="BO24" i="13" s="1"/>
  <c r="M51" i="13"/>
  <c r="BS24" i="13" s="1"/>
  <c r="E6" i="13"/>
  <c r="M6" i="13"/>
  <c r="G6" i="13"/>
  <c r="H6" i="13"/>
  <c r="I6" i="13"/>
  <c r="J51" i="13"/>
  <c r="BP24" i="13" s="1"/>
  <c r="N51" i="13"/>
  <c r="BT24" i="13" s="1"/>
  <c r="J6" i="13"/>
  <c r="L51" i="13"/>
  <c r="BR24" i="13" s="1"/>
  <c r="F51" i="13"/>
  <c r="BL24" i="13" s="1"/>
  <c r="N6" i="13"/>
  <c r="F6" i="13"/>
  <c r="L6" i="13"/>
  <c r="K6" i="13"/>
  <c r="M74" i="13" l="1"/>
  <c r="BS32" i="13" s="1"/>
  <c r="B102" i="13" l="1"/>
  <c r="B101" i="13"/>
  <c r="B100" i="13"/>
  <c r="B99" i="13"/>
  <c r="B98" i="13"/>
  <c r="B97" i="13"/>
  <c r="B96" i="13"/>
  <c r="B95" i="13"/>
  <c r="B94" i="13"/>
  <c r="B93" i="13"/>
  <c r="B92" i="13"/>
  <c r="B91" i="13"/>
  <c r="N90" i="13"/>
  <c r="BT35" i="13" s="1"/>
  <c r="M90" i="13"/>
  <c r="BS35" i="13" s="1"/>
  <c r="L90" i="13"/>
  <c r="BR35" i="13" s="1"/>
  <c r="K90" i="13"/>
  <c r="BQ35" i="13" s="1"/>
  <c r="J90" i="13"/>
  <c r="BP35" i="13" s="1"/>
  <c r="I90" i="13"/>
  <c r="BO35" i="13" s="1"/>
  <c r="H90" i="13"/>
  <c r="BN35" i="13" s="1"/>
  <c r="G90" i="13"/>
  <c r="BM35" i="13" s="1"/>
  <c r="F90" i="13"/>
  <c r="BL35" i="13" s="1"/>
  <c r="E90" i="13"/>
  <c r="BK35" i="13" s="1"/>
  <c r="D90" i="13"/>
  <c r="BJ35" i="13" s="1"/>
  <c r="C90" i="13"/>
  <c r="BI35" i="13" s="1"/>
  <c r="B89" i="13"/>
  <c r="B88" i="13"/>
  <c r="B87" i="13"/>
  <c r="N86" i="13"/>
  <c r="BT34" i="13" s="1"/>
  <c r="M86" i="13"/>
  <c r="BS34" i="13" s="1"/>
  <c r="L86" i="13"/>
  <c r="BR34" i="13" s="1"/>
  <c r="K86" i="13"/>
  <c r="BQ34" i="13" s="1"/>
  <c r="J86" i="13"/>
  <c r="BP34" i="13" s="1"/>
  <c r="I86" i="13"/>
  <c r="BO34" i="13" s="1"/>
  <c r="H86" i="13"/>
  <c r="BN34" i="13" s="1"/>
  <c r="G86" i="13"/>
  <c r="BM34" i="13" s="1"/>
  <c r="F86" i="13"/>
  <c r="BL34" i="13" s="1"/>
  <c r="E86" i="13"/>
  <c r="BK34" i="13" s="1"/>
  <c r="D86" i="13"/>
  <c r="BJ34" i="13" s="1"/>
  <c r="C86" i="13"/>
  <c r="BI34" i="13" s="1"/>
  <c r="B85" i="13"/>
  <c r="B84" i="13"/>
  <c r="B83" i="13"/>
  <c r="B82" i="13"/>
  <c r="B81" i="13"/>
  <c r="B80" i="13"/>
  <c r="N79" i="13"/>
  <c r="BT25" i="13" s="1"/>
  <c r="M79" i="13"/>
  <c r="BS25" i="13" s="1"/>
  <c r="L79" i="13"/>
  <c r="BR25" i="13" s="1"/>
  <c r="K79" i="13"/>
  <c r="BQ25" i="13" s="1"/>
  <c r="J79" i="13"/>
  <c r="BP25" i="13" s="1"/>
  <c r="I79" i="13"/>
  <c r="BO25" i="13" s="1"/>
  <c r="H79" i="13"/>
  <c r="BN25" i="13" s="1"/>
  <c r="G79" i="13"/>
  <c r="BM25" i="13" s="1"/>
  <c r="F79" i="13"/>
  <c r="BL25" i="13" s="1"/>
  <c r="E79" i="13"/>
  <c r="BK25" i="13" s="1"/>
  <c r="D79" i="13"/>
  <c r="BJ25" i="13" s="1"/>
  <c r="C79" i="13"/>
  <c r="BI25" i="13" s="1"/>
  <c r="B78" i="13"/>
  <c r="B77" i="13"/>
  <c r="B76" i="13"/>
  <c r="B75" i="13"/>
  <c r="N74" i="13"/>
  <c r="BT32" i="13" s="1"/>
  <c r="L74" i="13"/>
  <c r="BR32" i="13" s="1"/>
  <c r="K74" i="13"/>
  <c r="BQ32" i="13" s="1"/>
  <c r="J74" i="13"/>
  <c r="BP32" i="13" s="1"/>
  <c r="H74" i="13"/>
  <c r="BN32" i="13" s="1"/>
  <c r="G74" i="13"/>
  <c r="BM32" i="13" s="1"/>
  <c r="F74" i="13"/>
  <c r="BL32" i="13" s="1"/>
  <c r="E74" i="13"/>
  <c r="BK32" i="13" s="1"/>
  <c r="D74" i="13"/>
  <c r="BJ32" i="13" s="1"/>
  <c r="C74" i="13"/>
  <c r="BI32" i="13" s="1"/>
  <c r="B73" i="13"/>
  <c r="B72" i="13"/>
  <c r="B71" i="13"/>
  <c r="B70" i="13"/>
  <c r="B69" i="13"/>
  <c r="B68" i="13"/>
  <c r="D67" i="13"/>
  <c r="C67" i="13"/>
  <c r="B66" i="13"/>
  <c r="B65" i="13"/>
  <c r="B64" i="13"/>
  <c r="B63" i="13"/>
  <c r="B62" i="13"/>
  <c r="B61" i="13"/>
  <c r="B60" i="13"/>
  <c r="B59" i="13"/>
  <c r="B57" i="13"/>
  <c r="B56" i="13"/>
  <c r="B55" i="13"/>
  <c r="B54" i="13"/>
  <c r="B53" i="13"/>
  <c r="E52" i="13"/>
  <c r="D52" i="13"/>
  <c r="C52" i="13"/>
  <c r="B50" i="13"/>
  <c r="B49" i="13"/>
  <c r="B48" i="13"/>
  <c r="D47" i="13"/>
  <c r="C47" i="13"/>
  <c r="B46" i="13"/>
  <c r="B45" i="13"/>
  <c r="B44" i="13"/>
  <c r="B43" i="13"/>
  <c r="B42" i="13"/>
  <c r="B41" i="13"/>
  <c r="B40" i="13"/>
  <c r="D39" i="13"/>
  <c r="C39" i="13"/>
  <c r="B38" i="13"/>
  <c r="B37" i="13"/>
  <c r="B36" i="13"/>
  <c r="B35" i="13"/>
  <c r="B34" i="13"/>
  <c r="B33" i="13"/>
  <c r="B32" i="13"/>
  <c r="B31" i="13"/>
  <c r="B29" i="13"/>
  <c r="B28" i="13"/>
  <c r="B27" i="13"/>
  <c r="B26" i="13"/>
  <c r="B25" i="13"/>
  <c r="B24" i="13"/>
  <c r="B23" i="13"/>
  <c r="C22" i="13"/>
  <c r="B21" i="13"/>
  <c r="B20" i="13"/>
  <c r="B18" i="13"/>
  <c r="B17" i="13"/>
  <c r="B16" i="13"/>
  <c r="B15" i="13"/>
  <c r="B14" i="13"/>
  <c r="B13" i="13"/>
  <c r="B12" i="13"/>
  <c r="B11" i="13"/>
  <c r="B10" i="13"/>
  <c r="B9" i="13"/>
  <c r="BO26" i="13" l="1"/>
  <c r="BR26" i="13"/>
  <c r="BQ26" i="13"/>
  <c r="BP26" i="13"/>
  <c r="BN26" i="13"/>
  <c r="BM26" i="13"/>
  <c r="BL26" i="13"/>
  <c r="BK26" i="13"/>
  <c r="BJ26" i="13"/>
  <c r="BI26" i="13"/>
  <c r="BS26" i="13"/>
  <c r="BT26" i="13"/>
  <c r="BJ23" i="13"/>
  <c r="BI23" i="13"/>
  <c r="D6" i="13"/>
  <c r="L5" i="13"/>
  <c r="N5" i="13"/>
  <c r="J5" i="13"/>
  <c r="M5" i="13"/>
  <c r="K5" i="13"/>
  <c r="H5" i="13"/>
  <c r="BN22" i="13" s="1"/>
  <c r="F5" i="13"/>
  <c r="G5" i="13"/>
  <c r="BM22" i="13" s="1"/>
  <c r="E51" i="13"/>
  <c r="I5" i="13"/>
  <c r="D51" i="13"/>
  <c r="BJ24" i="13" s="1"/>
  <c r="C51" i="13"/>
  <c r="BI24" i="13" s="1"/>
  <c r="B47" i="13"/>
  <c r="B67" i="13"/>
  <c r="B22" i="13"/>
  <c r="B74" i="13"/>
  <c r="B79" i="13"/>
  <c r="B52" i="13"/>
  <c r="B90" i="13"/>
  <c r="B58" i="13"/>
  <c r="B86" i="13"/>
  <c r="B30" i="13"/>
  <c r="B39" i="13"/>
  <c r="B7" i="13"/>
  <c r="C6" i="13"/>
  <c r="E5" i="13" l="1"/>
  <c r="BK24" i="13"/>
  <c r="D5" i="13"/>
  <c r="C5" i="13"/>
  <c r="BI22" i="13" s="1"/>
  <c r="BQ22" i="13"/>
  <c r="BP22" i="13"/>
  <c r="BR22" i="13"/>
  <c r="BO22" i="13"/>
  <c r="BT22" i="13"/>
  <c r="BL22" i="13"/>
  <c r="BS22" i="13"/>
  <c r="B51" i="13"/>
  <c r="BU23" i="13"/>
  <c r="B6" i="13"/>
  <c r="BU24" i="13" l="1"/>
  <c r="BK22" i="13"/>
  <c r="B5" i="13"/>
  <c r="BJ22" i="13"/>
  <c r="BU22" i="13" l="1"/>
</calcChain>
</file>

<file path=xl/sharedStrings.xml><?xml version="1.0" encoding="utf-8"?>
<sst xmlns="http://schemas.openxmlformats.org/spreadsheetml/2006/main" count="235" uniqueCount="197">
  <si>
    <t>Total</t>
  </si>
  <si>
    <t>ޖުމްލަ</t>
  </si>
  <si>
    <t>Europe</t>
  </si>
  <si>
    <t>ޔޫރަޕް</t>
  </si>
  <si>
    <t>އޮސްޓްރިއާ</t>
  </si>
  <si>
    <t>ބެލްޖިއަމް</t>
  </si>
  <si>
    <t>ފިންލޭންޑް</t>
  </si>
  <si>
    <t>ފްރާންސް</t>
  </si>
  <si>
    <t>ގްރީސް</t>
  </si>
  <si>
    <t>އިޓަލީ</t>
  </si>
  <si>
    <t>ޕޯޗުގަލް</t>
  </si>
  <si>
    <t>ރަޝިއާ</t>
  </si>
  <si>
    <t>ސްލޮވޭކިއާ</t>
  </si>
  <si>
    <t>ސްޕެއިން</t>
  </si>
  <si>
    <t>ޔުނައިޓެޑް ކިންގްޑަމް</t>
  </si>
  <si>
    <t>އެހެނިހެން</t>
  </si>
  <si>
    <t>Asia</t>
  </si>
  <si>
    <t>އޭޝިއާ</t>
  </si>
  <si>
    <t>ޗައިނާ</t>
  </si>
  <si>
    <t>އިންޑިއާ</t>
  </si>
  <si>
    <t>އިންޑޮނޭޝިއާ</t>
  </si>
  <si>
    <t>ޖަޕާން</t>
  </si>
  <si>
    <t>ކޮރެއާ</t>
  </si>
  <si>
    <t>މެލޭޝިއާ</t>
  </si>
  <si>
    <t>ޕާކިސްތާން</t>
  </si>
  <si>
    <t>ޓައިވާން</t>
  </si>
  <si>
    <t>Africa</t>
  </si>
  <si>
    <t>އެފްރިކާ</t>
  </si>
  <si>
    <t>ކެނެޑާ</t>
  </si>
  <si>
    <t>Oceania</t>
  </si>
  <si>
    <t>އޮސްޓްރޭލިއާ</t>
  </si>
  <si>
    <t>Middle East</t>
  </si>
  <si>
    <t>ކުވެއިތު</t>
  </si>
  <si>
    <t>May</t>
  </si>
  <si>
    <t>Jan</t>
  </si>
  <si>
    <t>Feb</t>
  </si>
  <si>
    <t>Mar</t>
  </si>
  <si>
    <t>Apr</t>
  </si>
  <si>
    <t>Jun</t>
  </si>
  <si>
    <t>Jul</t>
  </si>
  <si>
    <t>Aug</t>
  </si>
  <si>
    <t>Sep</t>
  </si>
  <si>
    <t>Oct</t>
  </si>
  <si>
    <t>Nov</t>
  </si>
  <si>
    <t>Dec</t>
  </si>
  <si>
    <t>Country of Nationality</t>
  </si>
  <si>
    <t>Central/Eastern Europe</t>
  </si>
  <si>
    <t>Northern Europe</t>
  </si>
  <si>
    <t>Southern Europe</t>
  </si>
  <si>
    <t>Western Europe</t>
  </si>
  <si>
    <t>East/Mediterranean Europe</t>
  </si>
  <si>
    <t>North East Asia</t>
  </si>
  <si>
    <t>South East Asia</t>
  </si>
  <si>
    <t>South Asia</t>
  </si>
  <si>
    <t>އެމެރިކާ</t>
  </si>
  <si>
    <t>America</t>
  </si>
  <si>
    <t xml:space="preserve">   Total</t>
  </si>
  <si>
    <t>ވަޒަންވެރިވެފައިވާ ޤައުމު</t>
  </si>
  <si>
    <t>މެދު އިރުމަތީ ޔޫރަޕް</t>
  </si>
  <si>
    <t>Belarus</t>
  </si>
  <si>
    <t>ބެލަރުސް</t>
  </si>
  <si>
    <t>Bulgaria</t>
  </si>
  <si>
    <t>ބަލްގޭރިއާ</t>
  </si>
  <si>
    <t>Czech Republic</t>
  </si>
  <si>
    <t>ޗެކް ރިޕަބްލިކް</t>
  </si>
  <si>
    <t>Hungary</t>
  </si>
  <si>
    <t>ހަންގޭރީ</t>
  </si>
  <si>
    <t>Kazakhstan</t>
  </si>
  <si>
    <t>ކަޒަކިސްތާން</t>
  </si>
  <si>
    <t>Latvia</t>
  </si>
  <si>
    <t>ލެޓްވިއާ</t>
  </si>
  <si>
    <t>Lithuania</t>
  </si>
  <si>
    <t>ލިތުއާނާ</t>
  </si>
  <si>
    <t>Poland</t>
  </si>
  <si>
    <t>ޕޮލަންޑް</t>
  </si>
  <si>
    <t>Romania</t>
  </si>
  <si>
    <t>ރޮމޭނިއާ</t>
  </si>
  <si>
    <t>Russia</t>
  </si>
  <si>
    <t>Slovakia</t>
  </si>
  <si>
    <t>Ukraine</t>
  </si>
  <si>
    <t>ޔޫކްރެއިން</t>
  </si>
  <si>
    <t>Others</t>
  </si>
  <si>
    <t>އުތުރު ޔޫރަޕް</t>
  </si>
  <si>
    <t>Denmark</t>
  </si>
  <si>
    <t>ޑެންމާކް</t>
  </si>
  <si>
    <t>Finland</t>
  </si>
  <si>
    <t>Ireland</t>
  </si>
  <si>
    <t>އަޔަލެންޑް</t>
  </si>
  <si>
    <t>Other continents</t>
  </si>
  <si>
    <t>Norway</t>
  </si>
  <si>
    <t>ނޯވޭ</t>
  </si>
  <si>
    <t>Sweden</t>
  </si>
  <si>
    <t>ސްވިޑެން</t>
  </si>
  <si>
    <t>United Kingdom</t>
  </si>
  <si>
    <t>ދެކުނު ޔޫރަޕް</t>
  </si>
  <si>
    <t>Croatia</t>
  </si>
  <si>
    <t>ކްރޮއޭޝިއާ</t>
  </si>
  <si>
    <t>Greece</t>
  </si>
  <si>
    <t>Italy</t>
  </si>
  <si>
    <t>Portugal</t>
  </si>
  <si>
    <t>Serbia</t>
  </si>
  <si>
    <t>ސަރބިއާ</t>
  </si>
  <si>
    <t>Slovenia</t>
  </si>
  <si>
    <t>ސްލޮވޭނިއާ</t>
  </si>
  <si>
    <t>Spain</t>
  </si>
  <si>
    <t>ހުޅަނގު ޔޫރަޕް</t>
  </si>
  <si>
    <t>Austria</t>
  </si>
  <si>
    <t>Belgium</t>
  </si>
  <si>
    <t>France</t>
  </si>
  <si>
    <t>Germany</t>
  </si>
  <si>
    <t>ޖަރުމަނީ</t>
  </si>
  <si>
    <t xml:space="preserve">Netherlands </t>
  </si>
  <si>
    <t>ނެދަލެންޑްސް</t>
  </si>
  <si>
    <t>Switzerland</t>
  </si>
  <si>
    <t>ސްވިޓްޒަލެންޑް</t>
  </si>
  <si>
    <t>..</t>
  </si>
  <si>
    <t>އިރުމަތީ ޔޫރަޕް</t>
  </si>
  <si>
    <t>Israel</t>
  </si>
  <si>
    <t>އިސްރާއީލް</t>
  </si>
  <si>
    <t>Turkey</t>
  </si>
  <si>
    <t>ތުރުކީ</t>
  </si>
  <si>
    <t>އިރު އުތުރު އޭޝިއާ</t>
  </si>
  <si>
    <t>China</t>
  </si>
  <si>
    <t>Japan</t>
  </si>
  <si>
    <t>Korea</t>
  </si>
  <si>
    <t>Taiwan</t>
  </si>
  <si>
    <t>އިރު ދެކުނު އޭޝިއާ</t>
  </si>
  <si>
    <t>Indonesia</t>
  </si>
  <si>
    <t>Malaysia</t>
  </si>
  <si>
    <t>Myanmar</t>
  </si>
  <si>
    <t>މިޔަންމާ</t>
  </si>
  <si>
    <t>Philippines</t>
  </si>
  <si>
    <t>ފިލިޕިންސް</t>
  </si>
  <si>
    <t>Singapore</t>
  </si>
  <si>
    <t>ސިންގަޕޯ</t>
  </si>
  <si>
    <t>Thailand</t>
  </si>
  <si>
    <t>ތައިލެންޑް</t>
  </si>
  <si>
    <t>Vietnam</t>
  </si>
  <si>
    <t>ވިއެޓްނާމް</t>
  </si>
  <si>
    <t>ދެކުނު އޭޝިއާ</t>
  </si>
  <si>
    <t>Bangladesh</t>
  </si>
  <si>
    <t>ބަންގްލަދެޝް</t>
  </si>
  <si>
    <t>India</t>
  </si>
  <si>
    <t>Iran</t>
  </si>
  <si>
    <t>އިރާން</t>
  </si>
  <si>
    <t>Pakistan</t>
  </si>
  <si>
    <t>Sri Lanka</t>
  </si>
  <si>
    <t>ސްރީ ލަންކާ</t>
  </si>
  <si>
    <t>Algeria</t>
  </si>
  <si>
    <t>އަލްޖީރިއާ</t>
  </si>
  <si>
    <t>Morocco</t>
  </si>
  <si>
    <t>މޮރޮކޯ</t>
  </si>
  <si>
    <t>South Africa</t>
  </si>
  <si>
    <t>ދެކުނު އެފްރިކާ</t>
  </si>
  <si>
    <t>Argentina</t>
  </si>
  <si>
    <t>އަރޖެންޓީނާ</t>
  </si>
  <si>
    <t>Brazil</t>
  </si>
  <si>
    <t>ބްރެޒިލް</t>
  </si>
  <si>
    <t>Canada</t>
  </si>
  <si>
    <t>Mexico</t>
  </si>
  <si>
    <t>މެކްސިކޯ</t>
  </si>
  <si>
    <t>United States</t>
  </si>
  <si>
    <t>ޔުނައިޓެޑް ސްޓޭޓްސް</t>
  </si>
  <si>
    <t>އޯޝިއާނާ</t>
  </si>
  <si>
    <t>Australia</t>
  </si>
  <si>
    <t>New Zealand</t>
  </si>
  <si>
    <t>ނިއުޒިލެންޑް</t>
  </si>
  <si>
    <t>މެދު އިރުމަތީ</t>
  </si>
  <si>
    <t>Egypt</t>
  </si>
  <si>
    <t>އިޖިޕްޓް</t>
  </si>
  <si>
    <t>Jordan</t>
  </si>
  <si>
    <t>ޖޯޑްން</t>
  </si>
  <si>
    <t>Kuwait</t>
  </si>
  <si>
    <t>Lebanon</t>
  </si>
  <si>
    <t>ލެބަނާން</t>
  </si>
  <si>
    <t>Oman</t>
  </si>
  <si>
    <t>އޮމާން</t>
  </si>
  <si>
    <t>Qatar</t>
  </si>
  <si>
    <t>ޤަތަރު</t>
  </si>
  <si>
    <t>Saudi Arabia</t>
  </si>
  <si>
    <t>ސައުދީ އަރަބިއްޔާ</t>
  </si>
  <si>
    <t>Syrian Arab Republic</t>
  </si>
  <si>
    <t>ސީރިއަން އަރަބް ރިޕަބްލިކް</t>
  </si>
  <si>
    <t>United Arab Emirates</t>
  </si>
  <si>
    <t>ޔުނައިޓެޑް އަރަބް އެމަރެޓްސް</t>
  </si>
  <si>
    <t>UN Passpoert holders</t>
  </si>
  <si>
    <t xml:space="preserve">ޔޫ އެން ޕާސްޕޯޓު ހޯލްޑަރސް </t>
  </si>
  <si>
    <t xml:space="preserve">Others Not Stated </t>
  </si>
  <si>
    <t>Maldives Immigration</t>
  </si>
  <si>
    <t>މޯލްޑިވްސް އިމިގްރޭޝަން</t>
  </si>
  <si>
    <t>Note: Maldives border was closed for international visitirs on 27th March 2020 due to global COVID-19 outbreak and was re-opened on 15th July 2020</t>
  </si>
  <si>
    <t>Due to COVIC-19 pandamic, some tourists were unable to travel back to their home country.</t>
  </si>
  <si>
    <t xml:space="preserve">Uzbekistan </t>
  </si>
  <si>
    <t>Table 10.13 :   MONTHLY DISTRIBUTION OF TOURIST ARRIVALS BY NATIONALITY, 2025</t>
  </si>
  <si>
    <t>ތާވަލު 10.13: ޤައުމުތަކުގެ ގޮތުން ރާއްޖެއައި ފަތުރުވެރިންގެ ޢަދަދު، މަސްމަހުގެ ގޮތުން، 2025</t>
  </si>
  <si>
    <t>Source: Ministry Tourism and Civil Aviation</t>
  </si>
  <si>
    <t>މަޢުލޫމާތު ދެއްވީ: މިނިސްޓްރީ އޮފް ޓޫރިޒަމް އެންޑް ސިވިލް އޭވިއޭޝަން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</si>
</sst>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5" formatCode="_(* #,##0_);_(* \(#,##0\);_(* &quot;-&quot;??_);_(@_)"/>
    <numFmt numFmtId="169" formatCode="0.00_)"/>
  </numFmts>
  <fonts count="22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10"/>
      <name val="Arial"/>
      <family val="2"/>
    </font>
    <font>
      <b/>
      <sz val="10"/>
      <name val="Faruma"/>
    </font>
    <font>
      <b/>
      <sz val="10"/>
      <name val="Calibri"/>
      <family val="2"/>
      <scheme val="minor"/>
    </font>
    <font>
      <sz val="9"/>
      <name val="Calibri"/>
      <family val="2"/>
      <scheme val="minor"/>
    </font>
    <font>
      <sz val="10"/>
      <name val="Helv"/>
    </font>
    <font>
      <i/>
      <sz val="9"/>
      <color theme="1"/>
      <name val="Calibri"/>
      <family val="2"/>
      <scheme val="minor"/>
    </font>
    <font>
      <i/>
      <sz val="9"/>
      <name val="Calibri"/>
      <family val="2"/>
      <scheme val="minor"/>
    </font>
    <font>
      <sz val="10"/>
      <name val="Calibri"/>
      <family val="2"/>
      <scheme val="minor"/>
    </font>
    <font>
      <b/>
      <sz val="9"/>
      <name val="Faruma"/>
    </font>
    <font>
      <sz val="9"/>
      <color theme="1"/>
      <name val="Faruma"/>
    </font>
    <font>
      <sz val="9"/>
      <name val="Faruma"/>
    </font>
    <font>
      <b/>
      <sz val="11"/>
      <name val="Faruma"/>
    </font>
    <font>
      <sz val="10"/>
      <name val="Arial"/>
      <family val="2"/>
    </font>
    <font>
      <b/>
      <i/>
      <sz val="16"/>
      <name val="Helv"/>
    </font>
    <font>
      <b/>
      <sz val="10"/>
      <name val="TimesNewRomanPS"/>
    </font>
    <font>
      <sz val="11"/>
      <color indexed="8"/>
      <name val="Calibri"/>
      <family val="2"/>
    </font>
    <font>
      <sz val="10"/>
      <color rgb="FF000000"/>
      <name val="Arial"/>
      <family val="2"/>
    </font>
    <font>
      <b/>
      <sz val="10"/>
      <color rgb="FF000000"/>
      <name val="Times"/>
      <family val="1"/>
    </font>
    <font>
      <sz val="11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5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</borders>
  <cellStyleXfs count="82">
    <xf numFmtId="0" fontId="0" fillId="0" borderId="0"/>
    <xf numFmtId="43" fontId="1" fillId="0" borderId="0" applyFont="0" applyFill="0" applyBorder="0" applyAlignment="0" applyProtection="0"/>
    <xf numFmtId="0" fontId="3" fillId="0" borderId="0"/>
    <xf numFmtId="9" fontId="3" fillId="0" borderId="0" applyFont="0" applyFill="0" applyBorder="0" applyAlignment="0" applyProtection="0"/>
    <xf numFmtId="0" fontId="3" fillId="0" borderId="0"/>
    <xf numFmtId="0" fontId="15" fillId="0" borderId="0"/>
    <xf numFmtId="0" fontId="3" fillId="0" borderId="0"/>
    <xf numFmtId="43" fontId="3" fillId="0" borderId="0" applyFont="0" applyFill="0" applyBorder="0" applyAlignment="0" applyProtection="0"/>
    <xf numFmtId="169" fontId="16" fillId="0" borderId="0"/>
    <xf numFmtId="1" fontId="17" fillId="0" borderId="4" applyNumberFormat="0"/>
    <xf numFmtId="0" fontId="3" fillId="0" borderId="0"/>
    <xf numFmtId="0" fontId="1" fillId="0" borderId="0"/>
    <xf numFmtId="0" fontId="3" fillId="0" borderId="0"/>
    <xf numFmtId="9" fontId="3" fillId="0" borderId="0" applyFont="0" applyFill="0" applyBorder="0" applyAlignment="0" applyProtection="0"/>
    <xf numFmtId="0" fontId="15" fillId="0" borderId="0"/>
    <xf numFmtId="0" fontId="3" fillId="0" borderId="0"/>
    <xf numFmtId="0" fontId="1" fillId="0" borderId="0"/>
    <xf numFmtId="0" fontId="3" fillId="0" borderId="0"/>
    <xf numFmtId="0" fontId="3" fillId="0" borderId="0"/>
    <xf numFmtId="0" fontId="7" fillId="0" borderId="0"/>
    <xf numFmtId="40" fontId="7" fillId="0" borderId="0" applyFont="0" applyFill="0" applyBorder="0" applyAlignment="0" applyProtection="0"/>
    <xf numFmtId="0" fontId="7" fillId="0" borderId="0"/>
    <xf numFmtId="0" fontId="3" fillId="0" borderId="0"/>
    <xf numFmtId="1" fontId="17" fillId="0" borderId="4" applyNumberFormat="0"/>
    <xf numFmtId="0" fontId="1" fillId="0" borderId="0"/>
    <xf numFmtId="0" fontId="7" fillId="0" borderId="0"/>
    <xf numFmtId="0" fontId="18" fillId="0" borderId="0" applyFill="0" applyProtection="0"/>
    <xf numFmtId="1" fontId="17" fillId="0" borderId="4" applyNumberFormat="0"/>
    <xf numFmtId="43" fontId="1" fillId="0" borderId="0" applyFont="0" applyFill="0" applyBorder="0" applyAlignment="0" applyProtection="0"/>
    <xf numFmtId="0" fontId="1" fillId="0" borderId="0"/>
    <xf numFmtId="0" fontId="19" fillId="0" borderId="0"/>
    <xf numFmtId="0" fontId="20" fillId="0" borderId="0"/>
    <xf numFmtId="0" fontId="19" fillId="0" borderId="0"/>
    <xf numFmtId="0" fontId="1" fillId="0" borderId="0"/>
    <xf numFmtId="0" fontId="7" fillId="0" borderId="0"/>
    <xf numFmtId="0" fontId="18" fillId="0" borderId="0" applyFill="0" applyProtection="0"/>
    <xf numFmtId="1" fontId="17" fillId="0" borderId="4" applyNumberFormat="0"/>
    <xf numFmtId="0" fontId="1" fillId="0" borderId="0"/>
    <xf numFmtId="0" fontId="3" fillId="0" borderId="0"/>
    <xf numFmtId="0" fontId="19" fillId="0" borderId="0"/>
    <xf numFmtId="0" fontId="20" fillId="0" borderId="0"/>
    <xf numFmtId="0" fontId="3" fillId="0" borderId="0"/>
    <xf numFmtId="0" fontId="19" fillId="0" borderId="0"/>
    <xf numFmtId="0" fontId="21" fillId="0" borderId="0"/>
    <xf numFmtId="0" fontId="19" fillId="0" borderId="0"/>
    <xf numFmtId="0" fontId="19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0" fontId="7" fillId="0" borderId="0" applyFont="0" applyFill="0" applyBorder="0" applyAlignment="0" applyProtection="0"/>
    <xf numFmtId="0" fontId="1" fillId="0" borderId="0"/>
    <xf numFmtId="0" fontId="21" fillId="0" borderId="0" applyBorder="0"/>
    <xf numFmtId="0" fontId="1" fillId="0" borderId="0"/>
    <xf numFmtId="40" fontId="7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21" fillId="0" borderId="0" applyBorder="0"/>
    <xf numFmtId="0" fontId="1" fillId="0" borderId="0"/>
    <xf numFmtId="0" fontId="1" fillId="0" borderId="0"/>
    <xf numFmtId="1" fontId="17" fillId="0" borderId="4" applyNumberFormat="0"/>
    <xf numFmtId="1" fontId="17" fillId="0" borderId="4" applyNumberFormat="0"/>
    <xf numFmtId="1" fontId="17" fillId="0" borderId="4" applyNumberFormat="0"/>
    <xf numFmtId="1" fontId="17" fillId="0" borderId="4" applyNumberFormat="0"/>
    <xf numFmtId="1" fontId="17" fillId="0" borderId="4" applyNumberFormat="0"/>
    <xf numFmtId="1" fontId="17" fillId="0" borderId="4" applyNumberFormat="0"/>
    <xf numFmtId="1" fontId="17" fillId="0" borderId="4" applyNumberFormat="0"/>
    <xf numFmtId="0" fontId="1" fillId="0" borderId="0"/>
    <xf numFmtId="0" fontId="1" fillId="0" borderId="0"/>
    <xf numFmtId="0" fontId="21" fillId="0" borderId="0" applyBorder="0"/>
    <xf numFmtId="0" fontId="21" fillId="0" borderId="0"/>
    <xf numFmtId="0" fontId="1" fillId="0" borderId="0"/>
    <xf numFmtId="0" fontId="7" fillId="0" borderId="0"/>
    <xf numFmtId="0" fontId="7" fillId="0" borderId="0"/>
    <xf numFmtId="1" fontId="17" fillId="0" borderId="4" applyNumberFormat="0"/>
    <xf numFmtId="0" fontId="21" fillId="0" borderId="0" applyBorder="0"/>
    <xf numFmtId="0" fontId="21" fillId="0" borderId="0" applyBorder="0"/>
    <xf numFmtId="0" fontId="7" fillId="0" borderId="0"/>
    <xf numFmtId="0" fontId="3" fillId="0" borderId="0"/>
    <xf numFmtId="0" fontId="3" fillId="0" borderId="0"/>
    <xf numFmtId="0" fontId="3" fillId="0" borderId="0"/>
  </cellStyleXfs>
  <cellXfs count="54">
    <xf numFmtId="0" fontId="0" fillId="0" borderId="0" xfId="0"/>
    <xf numFmtId="0" fontId="8" fillId="2" borderId="0" xfId="0" applyFont="1" applyFill="1" applyAlignment="1">
      <alignment horizontal="left" vertical="center"/>
    </xf>
    <xf numFmtId="0" fontId="12" fillId="2" borderId="0" xfId="0" applyFont="1" applyFill="1" applyAlignment="1">
      <alignment horizontal="right" vertical="center"/>
    </xf>
    <xf numFmtId="0" fontId="5" fillId="2" borderId="0" xfId="2" applyFont="1" applyFill="1" applyAlignment="1">
      <alignment vertical="center"/>
    </xf>
    <xf numFmtId="165" fontId="5" fillId="2" borderId="0" xfId="1" applyNumberFormat="1" applyFont="1" applyFill="1" applyBorder="1" applyAlignment="1" applyProtection="1">
      <alignment horizontal="right" vertical="center"/>
    </xf>
    <xf numFmtId="165" fontId="10" fillId="2" borderId="0" xfId="1" applyNumberFormat="1" applyFont="1" applyFill="1" applyBorder="1" applyAlignment="1" applyProtection="1">
      <alignment horizontal="right" vertical="center"/>
    </xf>
    <xf numFmtId="165" fontId="5" fillId="2" borderId="2" xfId="1" applyNumberFormat="1" applyFont="1" applyFill="1" applyBorder="1" applyAlignment="1" applyProtection="1">
      <alignment horizontal="right" vertical="center"/>
    </xf>
    <xf numFmtId="0" fontId="10" fillId="2" borderId="0" xfId="2" applyFont="1" applyFill="1" applyAlignment="1">
      <alignment vertical="center"/>
    </xf>
    <xf numFmtId="0" fontId="10" fillId="2" borderId="0" xfId="2" applyFont="1" applyFill="1"/>
    <xf numFmtId="0" fontId="5" fillId="2" borderId="2" xfId="2" applyFont="1" applyFill="1" applyBorder="1" applyAlignment="1">
      <alignment horizontal="center" vertical="center"/>
    </xf>
    <xf numFmtId="165" fontId="5" fillId="2" borderId="2" xfId="2" applyNumberFormat="1" applyFont="1" applyFill="1" applyBorder="1" applyAlignment="1">
      <alignment horizontal="center" vertical="center"/>
    </xf>
    <xf numFmtId="0" fontId="5" fillId="2" borderId="2" xfId="2" applyFont="1" applyFill="1" applyBorder="1" applyAlignment="1">
      <alignment horizontal="left" vertical="center"/>
    </xf>
    <xf numFmtId="0" fontId="5" fillId="2" borderId="2" xfId="2" applyFont="1" applyFill="1" applyBorder="1" applyAlignment="1">
      <alignment horizontal="right" vertical="center"/>
    </xf>
    <xf numFmtId="0" fontId="5" fillId="2" borderId="3" xfId="2" applyFont="1" applyFill="1" applyBorder="1" applyAlignment="1">
      <alignment horizontal="right" vertical="center"/>
    </xf>
    <xf numFmtId="0" fontId="11" fillId="2" borderId="3" xfId="2" applyFont="1" applyFill="1" applyBorder="1" applyAlignment="1">
      <alignment vertical="center"/>
    </xf>
    <xf numFmtId="0" fontId="6" fillId="2" borderId="0" xfId="2" applyFont="1" applyFill="1" applyAlignment="1">
      <alignment vertical="center"/>
    </xf>
    <xf numFmtId="0" fontId="5" fillId="2" borderId="1" xfId="2" applyFont="1" applyFill="1" applyBorder="1" applyAlignment="1">
      <alignment horizontal="left" vertical="center"/>
    </xf>
    <xf numFmtId="165" fontId="5" fillId="2" borderId="1" xfId="1" applyNumberFormat="1" applyFont="1" applyFill="1" applyBorder="1" applyAlignment="1" applyProtection="1">
      <alignment horizontal="right" vertical="center"/>
    </xf>
    <xf numFmtId="0" fontId="11" fillId="2" borderId="1" xfId="2" applyFont="1" applyFill="1" applyBorder="1"/>
    <xf numFmtId="0" fontId="6" fillId="2" borderId="0" xfId="2" applyFont="1" applyFill="1"/>
    <xf numFmtId="165" fontId="6" fillId="2" borderId="0" xfId="2" applyNumberFormat="1" applyFont="1" applyFill="1"/>
    <xf numFmtId="0" fontId="5" fillId="2" borderId="0" xfId="2" applyFont="1" applyFill="1" applyAlignment="1">
      <alignment horizontal="left" vertical="center"/>
    </xf>
    <xf numFmtId="0" fontId="11" fillId="2" borderId="0" xfId="2" applyFont="1" applyFill="1"/>
    <xf numFmtId="165" fontId="6" fillId="2" borderId="0" xfId="2" applyNumberFormat="1" applyFont="1" applyFill="1" applyAlignment="1">
      <alignment vertical="center"/>
    </xf>
    <xf numFmtId="17" fontId="5" fillId="2" borderId="0" xfId="4" applyNumberFormat="1" applyFont="1" applyFill="1" applyAlignment="1">
      <alignment horizontal="left" vertical="center" indent="1"/>
    </xf>
    <xf numFmtId="0" fontId="4" fillId="2" borderId="0" xfId="2" applyFont="1" applyFill="1" applyAlignment="1">
      <alignment horizontal="right" vertical="center" indent="1"/>
    </xf>
    <xf numFmtId="0" fontId="10" fillId="2" borderId="0" xfId="4" applyFont="1" applyFill="1" applyAlignment="1">
      <alignment horizontal="left" vertical="center" indent="2"/>
    </xf>
    <xf numFmtId="165" fontId="5" fillId="2" borderId="0" xfId="1" applyNumberFormat="1" applyFont="1" applyFill="1" applyBorder="1" applyAlignment="1">
      <alignment vertical="center"/>
    </xf>
    <xf numFmtId="165" fontId="10" fillId="2" borderId="0" xfId="1" applyNumberFormat="1" applyFont="1" applyFill="1" applyBorder="1" applyAlignment="1">
      <alignment vertical="center"/>
    </xf>
    <xf numFmtId="0" fontId="13" fillId="2" borderId="0" xfId="2" applyFont="1" applyFill="1" applyAlignment="1">
      <alignment horizontal="right" indent="2"/>
    </xf>
    <xf numFmtId="0" fontId="10" fillId="2" borderId="0" xfId="4" quotePrefix="1" applyFont="1" applyFill="1" applyAlignment="1">
      <alignment horizontal="left" vertical="center" indent="2"/>
    </xf>
    <xf numFmtId="165" fontId="5" fillId="2" borderId="0" xfId="1" applyNumberFormat="1" applyFont="1" applyFill="1" applyBorder="1" applyAlignment="1">
      <alignment horizontal="right" vertical="center"/>
    </xf>
    <xf numFmtId="0" fontId="11" fillId="2" borderId="0" xfId="2" applyFont="1" applyFill="1" applyAlignment="1">
      <alignment horizontal="right" indent="1"/>
    </xf>
    <xf numFmtId="17" fontId="5" fillId="2" borderId="0" xfId="4" applyNumberFormat="1" applyFont="1" applyFill="1" applyAlignment="1">
      <alignment horizontal="left" vertical="center" wrapText="1" indent="1"/>
    </xf>
    <xf numFmtId="0" fontId="10" fillId="2" borderId="2" xfId="4" applyFont="1" applyFill="1" applyBorder="1" applyAlignment="1">
      <alignment horizontal="left" vertical="center" indent="2"/>
    </xf>
    <xf numFmtId="165" fontId="5" fillId="2" borderId="2" xfId="1" applyNumberFormat="1" applyFont="1" applyFill="1" applyBorder="1" applyAlignment="1">
      <alignment vertical="center"/>
    </xf>
    <xf numFmtId="165" fontId="10" fillId="2" borderId="2" xfId="1" applyNumberFormat="1" applyFont="1" applyFill="1" applyBorder="1" applyAlignment="1">
      <alignment vertical="center"/>
    </xf>
    <xf numFmtId="0" fontId="13" fillId="2" borderId="2" xfId="2" applyFont="1" applyFill="1" applyBorder="1" applyAlignment="1">
      <alignment horizontal="right" indent="2"/>
    </xf>
    <xf numFmtId="0" fontId="11" fillId="2" borderId="0" xfId="2" applyFont="1" applyFill="1" applyAlignment="1">
      <alignment horizontal="right" indent="1" readingOrder="1"/>
    </xf>
    <xf numFmtId="0" fontId="10" fillId="2" borderId="0" xfId="4" applyFont="1" applyFill="1" applyAlignment="1">
      <alignment horizontal="left" vertical="center" indent="1"/>
    </xf>
    <xf numFmtId="0" fontId="13" fillId="2" borderId="0" xfId="2" applyFont="1" applyFill="1" applyAlignment="1">
      <alignment horizontal="right" indent="1"/>
    </xf>
    <xf numFmtId="0" fontId="10" fillId="2" borderId="2" xfId="4" applyFont="1" applyFill="1" applyBorder="1" applyAlignment="1">
      <alignment horizontal="left" vertical="center" indent="1"/>
    </xf>
    <xf numFmtId="0" fontId="13" fillId="2" borderId="2" xfId="2" applyFont="1" applyFill="1" applyBorder="1" applyAlignment="1">
      <alignment horizontal="right" indent="1"/>
    </xf>
    <xf numFmtId="165" fontId="10" fillId="2" borderId="0" xfId="1" applyNumberFormat="1" applyFont="1" applyFill="1" applyBorder="1" applyAlignment="1">
      <alignment horizontal="right" vertical="center"/>
    </xf>
    <xf numFmtId="165" fontId="10" fillId="2" borderId="2" xfId="1" applyNumberFormat="1" applyFont="1" applyFill="1" applyBorder="1" applyAlignment="1">
      <alignment horizontal="right" vertical="center"/>
    </xf>
    <xf numFmtId="0" fontId="9" fillId="2" borderId="0" xfId="2" applyFont="1" applyFill="1" applyAlignment="1">
      <alignment horizontal="left" vertical="center"/>
    </xf>
    <xf numFmtId="0" fontId="9" fillId="2" borderId="1" xfId="2" applyFont="1" applyFill="1" applyBorder="1" applyAlignment="1">
      <alignment horizontal="left" vertical="center"/>
    </xf>
    <xf numFmtId="0" fontId="8" fillId="2" borderId="0" xfId="0" applyFont="1" applyFill="1" applyAlignment="1">
      <alignment horizontal="left" vertical="center" indent="3"/>
    </xf>
    <xf numFmtId="3" fontId="10" fillId="2" borderId="0" xfId="2" applyNumberFormat="1" applyFont="1" applyFill="1"/>
    <xf numFmtId="0" fontId="9" fillId="2" borderId="0" xfId="0" applyFont="1" applyFill="1" applyAlignment="1">
      <alignment horizontal="left" vertical="center"/>
    </xf>
    <xf numFmtId="0" fontId="9" fillId="2" borderId="0" xfId="0" applyFont="1" applyFill="1" applyAlignment="1">
      <alignment horizontal="left" vertical="center" indent="3"/>
    </xf>
    <xf numFmtId="0" fontId="13" fillId="2" borderId="0" xfId="0" applyFont="1" applyFill="1" applyAlignment="1">
      <alignment horizontal="right" vertical="center"/>
    </xf>
    <xf numFmtId="0" fontId="14" fillId="2" borderId="0" xfId="2" applyFont="1" applyFill="1" applyAlignment="1">
      <alignment horizontal="center" vertical="center"/>
    </xf>
    <xf numFmtId="0" fontId="2" fillId="2" borderId="0" xfId="2" applyFont="1" applyFill="1" applyAlignment="1">
      <alignment horizontal="center" vertical="center"/>
    </xf>
  </cellXfs>
  <cellStyles count="82">
    <cellStyle name="1" xfId="6" xr:uid="{00000000-0005-0000-0000-000000000000}"/>
    <cellStyle name="Comma" xfId="1" builtinId="3"/>
    <cellStyle name="Comma 2" xfId="20" xr:uid="{00000000-0005-0000-0000-000002000000}"/>
    <cellStyle name="Comma 2 2" xfId="47" xr:uid="{71832AE8-63E9-47AC-B43D-24C9B30FD491}"/>
    <cellStyle name="Comma 2 2 2 5" xfId="28" xr:uid="{923A80DF-8391-490C-A9FC-9B04BA3FF02C}"/>
    <cellStyle name="Comma 2 3" xfId="54" xr:uid="{18E20042-2979-46AD-9D37-4A459DA64BAE}"/>
    <cellStyle name="Comma 3" xfId="7" xr:uid="{00000000-0005-0000-0000-000003000000}"/>
    <cellStyle name="Comma 3 2" xfId="50" xr:uid="{C94EE668-205D-4DE2-A3E1-635995599CA4}"/>
    <cellStyle name="Normal" xfId="0" builtinId="0"/>
    <cellStyle name="Normal - Style1" xfId="8" xr:uid="{00000000-0005-0000-0000-000005000000}"/>
    <cellStyle name="Normal 10" xfId="14" xr:uid="{00000000-0005-0000-0000-000006000000}"/>
    <cellStyle name="Normal 10 2" xfId="81" xr:uid="{AF4FE69F-9401-42FA-B027-EEF0FEB874E3}"/>
    <cellStyle name="Normal 11" xfId="25" xr:uid="{95DB1E47-A717-4F50-B120-BDB4A6A98D35}"/>
    <cellStyle name="Normal 12" xfId="27" xr:uid="{5F37676F-9210-428B-A54A-88AF31197612}"/>
    <cellStyle name="Normal 13" xfId="36" xr:uid="{1E44DD08-E506-4B0E-A49D-239619E68ECB}"/>
    <cellStyle name="Normal 14" xfId="61" xr:uid="{CF47567C-18E3-48E3-B4B2-F9546E19550C}"/>
    <cellStyle name="Normal 15" xfId="62" xr:uid="{791BF7C1-0A53-4899-92D0-58D1295D1734}"/>
    <cellStyle name="Normal 16" xfId="63" xr:uid="{FB24067F-240D-455E-8348-EE3147456F5B}"/>
    <cellStyle name="Normal 17" xfId="64" xr:uid="{D4A5C67F-868D-43C6-89A5-249394EF5F61}"/>
    <cellStyle name="Normal 18" xfId="65" xr:uid="{C428DA61-20F8-4842-A18B-7FA043B482A4}"/>
    <cellStyle name="Normal 19" xfId="66" xr:uid="{EACCE844-16D2-420C-B840-ACEE6225450A}"/>
    <cellStyle name="Normal 2" xfId="2" xr:uid="{00000000-0005-0000-0000-000007000000}"/>
    <cellStyle name="Normal 2 2" xfId="9" xr:uid="{00000000-0005-0000-0000-000008000000}"/>
    <cellStyle name="Normal 2 2 2" xfId="21" xr:uid="{00000000-0005-0000-0000-000009000000}"/>
    <cellStyle name="Normal 2 2 2 2" xfId="45" xr:uid="{8F8F9C60-80DF-42BF-B765-6C68B3B83858}"/>
    <cellStyle name="Normal 2 2 3" xfId="22" xr:uid="{2E2FEFD2-ABBD-420D-8461-C8F503FDA24A}"/>
    <cellStyle name="Normal 2 2 3 2" xfId="43" xr:uid="{847F1A16-9FCA-412B-AE91-D29E3FC8B338}"/>
    <cellStyle name="Normal 2 2 4" xfId="39" xr:uid="{19B03459-4F46-4840-B83F-02097E770DD0}"/>
    <cellStyle name="Normal 2 3" xfId="24" xr:uid="{48422FEC-E0BC-428C-9750-2D76D2E13FBF}"/>
    <cellStyle name="Normal 2 3 2" xfId="35" xr:uid="{53720891-5BB7-4072-A4AA-9D579EA571CD}"/>
    <cellStyle name="Normal 2 3 3" xfId="38" xr:uid="{7DCAFB35-81DA-42EB-A924-F7ED0EEF7A1F}"/>
    <cellStyle name="Normal 2 4" xfId="26" xr:uid="{84E1C268-3A16-4FB7-A335-F22068D33369}"/>
    <cellStyle name="Normal 2 4 2" xfId="46" xr:uid="{57E5914E-388A-4C4B-895D-9DE84233932D}"/>
    <cellStyle name="Normal 2 5" xfId="30" xr:uid="{D29D2916-D641-4853-A275-3F08E70F8C7A}"/>
    <cellStyle name="Normal 2 5 2" xfId="68" xr:uid="{C22BCFAD-F32E-457E-938E-ABEE683A2342}"/>
    <cellStyle name="Normal 2 6" xfId="69" xr:uid="{FEC1E65A-B873-4B1D-8CA3-90C7267B1DBB}"/>
    <cellStyle name="Normal 2 7" xfId="72" xr:uid="{1F813466-FC69-4C83-8E34-944476152EEC}"/>
    <cellStyle name="Normal 20" xfId="67" xr:uid="{6BBCB359-6445-479F-B974-2714BC50CD98}"/>
    <cellStyle name="Normal 21" xfId="73" xr:uid="{ED747AB2-D527-4275-89BF-F4D42E0C64B3}"/>
    <cellStyle name="Normal 22" xfId="74" xr:uid="{8E332121-172D-4CE3-830C-64EBB89E6CB3}"/>
    <cellStyle name="Normal 23" xfId="75" xr:uid="{DB6A6BF5-DDB4-454B-9671-9B4525D9FEF0}"/>
    <cellStyle name="Normal 24" xfId="76" xr:uid="{DB5E392E-84E8-49A0-A5E9-BE8B736EFA85}"/>
    <cellStyle name="Normal 25" xfId="77" xr:uid="{6753E3D1-5C90-4E93-BA77-A2FB0D20D5D4}"/>
    <cellStyle name="Normal 3" xfId="10" xr:uid="{00000000-0005-0000-0000-00000A000000}"/>
    <cellStyle name="Normal 3 2" xfId="23" xr:uid="{44D070A0-948A-45DA-8AFF-8A98BB90EB1D}"/>
    <cellStyle name="Normal 3 2 2" xfId="32" xr:uid="{4957CE97-0C4F-446D-8F13-BA568858B15F}"/>
    <cellStyle name="Normal 3 2 2 2" xfId="57" xr:uid="{2E853BA5-A6AB-4EF9-973C-19000D44968E}"/>
    <cellStyle name="Normal 3 2 3" xfId="79" xr:uid="{2702B235-7DDF-4A16-AFF9-4947AD331AEF}"/>
    <cellStyle name="Normal 3 3" xfId="41" xr:uid="{1D4DED44-E767-4414-A710-53A5E77B0231}"/>
    <cellStyle name="Normal 3 3 2" xfId="60" xr:uid="{105881E3-0498-4F49-93D5-84249EBD8B7E}"/>
    <cellStyle name="Normal 3 4" xfId="51" xr:uid="{775CBDBA-2355-47F1-8EDC-996CD2E9D14C}"/>
    <cellStyle name="Normal 3 5" xfId="55" xr:uid="{B67EF198-0A73-4423-9F40-46956DF79B03}"/>
    <cellStyle name="Normal 3 6" xfId="70" xr:uid="{147BF9F4-9920-475F-AFAF-1D72BEB5A6F8}"/>
    <cellStyle name="Normal 3 7" xfId="71" xr:uid="{C369A487-A923-4CFF-B26E-A8A707B5AE2D}"/>
    <cellStyle name="Normal 4" xfId="15" xr:uid="{00000000-0005-0000-0000-00000B000000}"/>
    <cellStyle name="Normal 4 2" xfId="11" xr:uid="{00000000-0005-0000-0000-00000C000000}"/>
    <cellStyle name="Normal 4 2 2" xfId="16" xr:uid="{00000000-0005-0000-0000-00000D000000}"/>
    <cellStyle name="Normal 4 2 3" xfId="40" xr:uid="{3CC09F86-6AF3-42B7-B59F-47E11B119A56}"/>
    <cellStyle name="Normal 4 3" xfId="31" xr:uid="{6720CF7E-3D28-49D4-A4F3-23A341275CC3}"/>
    <cellStyle name="Normal 4 3 2" xfId="48" xr:uid="{FF8D28D6-8DB2-418B-A317-8CA9F33A63C6}"/>
    <cellStyle name="Normal 4 4" xfId="53" xr:uid="{506DB73D-6B6B-40EF-85B4-52381B4717DA}"/>
    <cellStyle name="Normal 4 5" xfId="78" xr:uid="{29A6969F-54E4-4383-BF5F-A7F4F715B13A}"/>
    <cellStyle name="Normal 5" xfId="12" xr:uid="{00000000-0005-0000-0000-00000E000000}"/>
    <cellStyle name="Normal 5 2" xfId="4" xr:uid="{00000000-0005-0000-0000-00000F000000}"/>
    <cellStyle name="Normal 5 2 2" xfId="56" xr:uid="{349C0B77-1FB1-4403-84A0-A4B2133A156A}"/>
    <cellStyle name="Normal 5 3" xfId="29" xr:uid="{F16A05F5-F806-4902-9DAF-1592A0EB3B8F}"/>
    <cellStyle name="Normal 5 4" xfId="42" xr:uid="{A6EA1B92-714A-484D-87C5-6D1A3BC3F4D7}"/>
    <cellStyle name="Normal 6" xfId="17" xr:uid="{00000000-0005-0000-0000-000010000000}"/>
    <cellStyle name="Normal 6 2" xfId="33" xr:uid="{28DCBC0B-46D7-4D92-ADC4-A6E5B7FB0383}"/>
    <cellStyle name="Normal 6 2 2" xfId="58" xr:uid="{35024BBE-69E3-4A93-86D9-3A08FFADFD0D}"/>
    <cellStyle name="Normal 6 3" xfId="44" xr:uid="{A1A5671A-5779-4172-B339-E25C279C443B}"/>
    <cellStyle name="Normal 7" xfId="18" xr:uid="{00000000-0005-0000-0000-000011000000}"/>
    <cellStyle name="Normal 7 2" xfId="34" xr:uid="{F94E59D5-A861-4070-A967-F13E24BDD6F0}"/>
    <cellStyle name="Normal 7 2 2" xfId="49" xr:uid="{3C7963B8-B6CF-4FCF-93B3-DD71D3A617EC}"/>
    <cellStyle name="Normal 7 3" xfId="59" xr:uid="{31B347B4-04A7-4773-99FE-B93DBCB9EF51}"/>
    <cellStyle name="Normal 7 4" xfId="37" xr:uid="{82FD4FAA-650B-46FE-85A5-0119781775C0}"/>
    <cellStyle name="Normal 8" xfId="19" xr:uid="{00000000-0005-0000-0000-000012000000}"/>
    <cellStyle name="Normal 8 2" xfId="52" xr:uid="{2C19882A-370B-4CF1-8D87-E650A5A0EE91}"/>
    <cellStyle name="Normal 9" xfId="5" xr:uid="{00000000-0005-0000-0000-000013000000}"/>
    <cellStyle name="Normal 9 2" xfId="80" xr:uid="{8B69E301-AFA8-488E-94F8-DE9EB7E34FB9}"/>
    <cellStyle name="Percent 2" xfId="13" xr:uid="{00000000-0005-0000-0000-00001B000000}"/>
    <cellStyle name="Percent 2 2" xfId="3" xr:uid="{00000000-0005-0000-0000-00001C000000}"/>
  </cellStyles>
  <dxfs count="0"/>
  <tableStyles count="0" defaultTableStyle="TableStyleMedium2" defaultPivotStyle="PivotStyleLight16"/>
  <colors>
    <mruColors>
      <color rgb="FFF6FAF4"/>
      <color rgb="FFFCFDFE"/>
      <color rgb="FFF1F7ED"/>
      <color rgb="FF003300"/>
      <color rgb="FF336600"/>
      <color rgb="FF2F75B5"/>
      <color rgb="FFFF3399"/>
      <color rgb="FF003399"/>
      <color rgb="FF7E5400"/>
      <color rgb="FF33CC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4"/>
    </mc:Choice>
    <mc:Fallback>
      <c:style val="4"/>
    </mc:Fallback>
  </mc:AlternateContent>
  <c:chart>
    <c:title>
      <c:tx>
        <c:rich>
          <a:bodyPr/>
          <a:lstStyle/>
          <a:p>
            <a:pPr>
              <a:defRPr sz="1050"/>
            </a:pPr>
            <a:r>
              <a:rPr lang="en-US" sz="1100">
                <a:latin typeface="Candara" pitchFamily="34" charset="0"/>
              </a:rPr>
              <a:t>Figure 10.21: Monthly tourist arrivals by continent, 2025</a:t>
            </a:r>
          </a:p>
        </c:rich>
      </c:tx>
      <c:layout>
        <c:manualLayout>
          <c:xMode val="edge"/>
          <c:yMode val="edge"/>
          <c:x val="0.30845712656267216"/>
          <c:y val="3.7036951950616522E-2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9.1370996945819224E-2"/>
          <c:y val="0.14862277631962667"/>
          <c:w val="0.89444701570498131"/>
          <c:h val="0.71963692038495153"/>
        </c:manualLayout>
      </c:layout>
      <c:lineChart>
        <c:grouping val="standard"/>
        <c:varyColors val="0"/>
        <c:ser>
          <c:idx val="0"/>
          <c:order val="0"/>
          <c:tx>
            <c:strRef>
              <c:f>'10.13'!$BH$23</c:f>
              <c:strCache>
                <c:ptCount val="1"/>
                <c:pt idx="0">
                  <c:v>Europe</c:v>
                </c:pt>
              </c:strCache>
            </c:strRef>
          </c:tx>
          <c:spPr>
            <a:ln>
              <a:solidFill>
                <a:schemeClr val="accent6">
                  <a:lumMod val="75000"/>
                </a:schemeClr>
              </a:solidFill>
            </a:ln>
          </c:spPr>
          <c:marker>
            <c:symbol val="none"/>
          </c:marker>
          <c:cat>
            <c:strRef>
              <c:f>'10.13'!$BI$21:$BT$21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'10.13'!$BI$23:$BT$23</c:f>
              <c:numCache>
                <c:formatCode>_(* #,##0_);_(* \(#,##0\);_(* "-"??_);_(@_)</c:formatCode>
                <c:ptCount val="12"/>
                <c:pt idx="0">
                  <c:v>132840</c:v>
                </c:pt>
                <c:pt idx="1">
                  <c:v>145423</c:v>
                </c:pt>
                <c:pt idx="2">
                  <c:v>138522</c:v>
                </c:pt>
                <c:pt idx="3">
                  <c:v>126287</c:v>
                </c:pt>
                <c:pt idx="4">
                  <c:v>66440</c:v>
                </c:pt>
                <c:pt idx="5">
                  <c:v>66783</c:v>
                </c:pt>
                <c:pt idx="6">
                  <c:v>91865</c:v>
                </c:pt>
                <c:pt idx="7">
                  <c:v>99502</c:v>
                </c:pt>
                <c:pt idx="8">
                  <c:v>77089</c:v>
                </c:pt>
                <c:pt idx="9">
                  <c:v>115194</c:v>
                </c:pt>
                <c:pt idx="10">
                  <c:v>126451</c:v>
                </c:pt>
                <c:pt idx="11">
                  <c:v>145074</c:v>
                </c:pt>
              </c:numCache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0-026B-41EC-A07D-C41172FBA7F0}"/>
            </c:ext>
          </c:extLst>
        </c:ser>
        <c:ser>
          <c:idx val="1"/>
          <c:order val="1"/>
          <c:tx>
            <c:strRef>
              <c:f>'10.13'!$BH$24</c:f>
              <c:strCache>
                <c:ptCount val="1"/>
                <c:pt idx="0">
                  <c:v>Asia</c:v>
                </c:pt>
              </c:strCache>
            </c:strRef>
          </c:tx>
          <c:spPr>
            <a:ln>
              <a:solidFill>
                <a:srgbClr val="003300"/>
              </a:solidFill>
            </a:ln>
          </c:spPr>
          <c:marker>
            <c:symbol val="none"/>
          </c:marker>
          <c:cat>
            <c:strRef>
              <c:f>'10.13'!$BI$21:$BT$21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'10.13'!$BI$24:$BT$24</c:f>
              <c:numCache>
                <c:formatCode>_(* #,##0_);_(* \(#,##0\);_(* "-"??_);_(@_)</c:formatCode>
                <c:ptCount val="12"/>
                <c:pt idx="0">
                  <c:v>61657</c:v>
                </c:pt>
                <c:pt idx="1">
                  <c:v>48591</c:v>
                </c:pt>
                <c:pt idx="2">
                  <c:v>43763</c:v>
                </c:pt>
                <c:pt idx="3">
                  <c:v>47168</c:v>
                </c:pt>
                <c:pt idx="4">
                  <c:v>51203</c:v>
                </c:pt>
                <c:pt idx="5">
                  <c:v>52228</c:v>
                </c:pt>
                <c:pt idx="6">
                  <c:v>71270</c:v>
                </c:pt>
                <c:pt idx="7">
                  <c:v>72104</c:v>
                </c:pt>
                <c:pt idx="8">
                  <c:v>54832</c:v>
                </c:pt>
                <c:pt idx="9">
                  <c:v>56520</c:v>
                </c:pt>
                <c:pt idx="10">
                  <c:v>46789</c:v>
                </c:pt>
                <c:pt idx="11">
                  <c:v>54171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26B-41EC-A07D-C41172FBA7F0}"/>
            </c:ext>
          </c:extLst>
        </c:ser>
        <c:ser>
          <c:idx val="2"/>
          <c:order val="2"/>
          <c:tx>
            <c:strRef>
              <c:f>'10.13'!$BH$25</c:f>
              <c:strCache>
                <c:ptCount val="1"/>
                <c:pt idx="0">
                  <c:v>America</c:v>
                </c:pt>
              </c:strCache>
            </c:strRef>
          </c:tx>
          <c:spPr>
            <a:ln>
              <a:solidFill>
                <a:srgbClr val="92D050"/>
              </a:solidFill>
            </a:ln>
          </c:spPr>
          <c:marker>
            <c:symbol val="none"/>
          </c:marker>
          <c:cat>
            <c:strRef>
              <c:f>'10.13'!$BI$21:$BT$21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'10.13'!$BI$25:$BT$25</c:f>
              <c:numCache>
                <c:formatCode>_(* #,##0_);_(* \(#,##0\);_(* "-"??_);_(@_)</c:formatCode>
                <c:ptCount val="12"/>
                <c:pt idx="0">
                  <c:v>10658</c:v>
                </c:pt>
                <c:pt idx="1">
                  <c:v>10048</c:v>
                </c:pt>
                <c:pt idx="2">
                  <c:v>12107</c:v>
                </c:pt>
                <c:pt idx="3">
                  <c:v>9408</c:v>
                </c:pt>
                <c:pt idx="4">
                  <c:v>6745</c:v>
                </c:pt>
                <c:pt idx="5">
                  <c:v>6456</c:v>
                </c:pt>
                <c:pt idx="6">
                  <c:v>7300</c:v>
                </c:pt>
                <c:pt idx="7">
                  <c:v>5912</c:v>
                </c:pt>
                <c:pt idx="8">
                  <c:v>6188</c:v>
                </c:pt>
                <c:pt idx="9">
                  <c:v>7824</c:v>
                </c:pt>
                <c:pt idx="10">
                  <c:v>10268</c:v>
                </c:pt>
                <c:pt idx="11">
                  <c:v>11709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026B-41EC-A07D-C41172FBA7F0}"/>
            </c:ext>
          </c:extLst>
        </c:ser>
        <c:ser>
          <c:idx val="3"/>
          <c:order val="3"/>
          <c:tx>
            <c:strRef>
              <c:f>'10.13'!$BH$26</c:f>
              <c:strCache>
                <c:ptCount val="1"/>
                <c:pt idx="0">
                  <c:v>Other continents</c:v>
                </c:pt>
              </c:strCache>
            </c:strRef>
          </c:tx>
          <c:spPr>
            <a:ln>
              <a:solidFill>
                <a:srgbClr val="00B050"/>
              </a:solidFill>
            </a:ln>
          </c:spPr>
          <c:marker>
            <c:symbol val="none"/>
          </c:marker>
          <c:cat>
            <c:strRef>
              <c:f>'10.13'!$BI$21:$BT$21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'10.13'!$BI$26:$BT$26</c:f>
              <c:numCache>
                <c:formatCode>_(* #,##0_);_(* \(#,##0\);_(* "-"??_);_(@_)</c:formatCode>
                <c:ptCount val="12"/>
                <c:pt idx="0">
                  <c:v>9708</c:v>
                </c:pt>
                <c:pt idx="1">
                  <c:v>10029</c:v>
                </c:pt>
                <c:pt idx="2">
                  <c:v>9076</c:v>
                </c:pt>
                <c:pt idx="3">
                  <c:v>15459</c:v>
                </c:pt>
                <c:pt idx="4">
                  <c:v>11226</c:v>
                </c:pt>
                <c:pt idx="5">
                  <c:v>16305</c:v>
                </c:pt>
                <c:pt idx="6">
                  <c:v>16303</c:v>
                </c:pt>
                <c:pt idx="7">
                  <c:v>14540</c:v>
                </c:pt>
                <c:pt idx="8">
                  <c:v>11454</c:v>
                </c:pt>
                <c:pt idx="9">
                  <c:v>10907</c:v>
                </c:pt>
                <c:pt idx="10">
                  <c:v>11619</c:v>
                </c:pt>
                <c:pt idx="11">
                  <c:v>13501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026B-41EC-A07D-C41172FBA7F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58431880"/>
        <c:axId val="158430312"/>
        <c:extLst/>
      </c:lineChart>
      <c:catAx>
        <c:axId val="15843188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crossAx val="158430312"/>
        <c:crosses val="autoZero"/>
        <c:auto val="1"/>
        <c:lblAlgn val="ctr"/>
        <c:lblOffset val="100"/>
        <c:noMultiLvlLbl val="0"/>
      </c:catAx>
      <c:valAx>
        <c:axId val="158430312"/>
        <c:scaling>
          <c:orientation val="minMax"/>
          <c:min val="0"/>
        </c:scaling>
        <c:delete val="0"/>
        <c:axPos val="l"/>
        <c:majorGridlines>
          <c:spPr>
            <a:ln>
              <a:noFill/>
            </a:ln>
          </c:spPr>
        </c:majorGridlines>
        <c:numFmt formatCode="#,##0" sourceLinked="0"/>
        <c:majorTickMark val="none"/>
        <c:minorTickMark val="none"/>
        <c:tickLblPos val="nextTo"/>
        <c:spPr>
          <a:ln>
            <a:solidFill>
              <a:schemeClr val="bg1">
                <a:lumMod val="65000"/>
              </a:schemeClr>
            </a:solidFill>
          </a:ln>
        </c:spPr>
        <c:crossAx val="158431880"/>
        <c:crosses val="autoZero"/>
        <c:crossBetween val="between"/>
      </c:valAx>
      <c:spPr>
        <a:solidFill>
          <a:srgbClr val="F6FAF4"/>
        </a:solidFill>
        <a:ln cap="rnd">
          <a:solidFill>
            <a:schemeClr val="bg1">
              <a:lumMod val="65000"/>
            </a:schemeClr>
          </a:solidFill>
          <a:bevel/>
        </a:ln>
      </c:spPr>
    </c:plotArea>
    <c:legend>
      <c:legendPos val="r"/>
      <c:layout>
        <c:manualLayout>
          <c:xMode val="edge"/>
          <c:yMode val="edge"/>
          <c:x val="0.33903887541885747"/>
          <c:y val="0.19905870461844444"/>
          <c:w val="0.42852798841364653"/>
          <c:h val="6.8380313034618681E-2"/>
        </c:manualLayout>
      </c:layout>
      <c:overlay val="0"/>
      <c:txPr>
        <a:bodyPr/>
        <a:lstStyle/>
        <a:p>
          <a:pPr>
            <a:defRPr sz="1050" b="0"/>
          </a:pPr>
          <a:endParaRPr lang="en-US"/>
        </a:p>
      </c:txPr>
    </c:legend>
    <c:plotVisOnly val="1"/>
    <c:dispBlanksAs val="zero"/>
    <c:showDLblsOverMax val="0"/>
  </c:chart>
  <c:spPr>
    <a:solidFill>
      <a:schemeClr val="accent6">
        <a:lumMod val="20000"/>
        <a:lumOff val="80000"/>
      </a:schemeClr>
    </a:solidFill>
  </c:spPr>
  <c:printSettings>
    <c:headerFooter/>
    <c:pageMargins b="0.75000000000000122" l="0.70000000000000062" r="0.70000000000000062" t="0.75000000000000122" header="0.30000000000000032" footer="0.30000000000000032"/>
    <c:pageSetup orientation="portrait"/>
  </c:printSettings>
  <c:userShapes r:id="rId1"/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474244</xdr:colOff>
      <xdr:row>106</xdr:row>
      <xdr:rowOff>26570</xdr:rowOff>
    </xdr:from>
    <xdr:to>
      <xdr:col>14</xdr:col>
      <xdr:colOff>38099</xdr:colOff>
      <xdr:row>125</xdr:row>
      <xdr:rowOff>3022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0B00-000004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c:userShapes xmlns:c="http://schemas.openxmlformats.org/drawingml/2006/chart">
  <cdr:relSizeAnchor xmlns:cdr="http://schemas.openxmlformats.org/drawingml/2006/chartDrawing">
    <cdr:from>
      <cdr:x>0.0069</cdr:x>
      <cdr:y>0.04514</cdr:y>
    </cdr:from>
    <cdr:to>
      <cdr:x>0.12114</cdr:x>
      <cdr:y>0.09028</cdr:y>
    </cdr:to>
    <cdr:sp macro="" textlink="">
      <cdr:nvSpPr>
        <cdr:cNvPr id="2" name="TextBox 1"/>
        <cdr:cNvSpPr txBox="1"/>
      </cdr:nvSpPr>
      <cdr:spPr>
        <a:xfrm xmlns:a="http://schemas.openxmlformats.org/drawingml/2006/main">
          <a:off x="39099" y="111357"/>
          <a:ext cx="647446" cy="111356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square" rtlCol="0"/>
        <a:lstStyle xmlns:a="http://schemas.openxmlformats.org/drawingml/2006/main"/>
        <a:p xmlns:a="http://schemas.openxmlformats.org/drawingml/2006/main">
          <a:r>
            <a:rPr lang="en-US" sz="1000">
              <a:latin typeface="+mn-lt"/>
            </a:rPr>
            <a:t>Number</a:t>
          </a:r>
          <a:endParaRPr lang="en-US" sz="1100">
            <a:latin typeface="+mn-lt"/>
          </a:endParaRPr>
        </a:p>
      </cdr:txBody>
    </cdr:sp>
  </cdr:relSizeAnchor>
</c:userShape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BU107"/>
  <sheetViews>
    <sheetView tabSelected="1" zoomScaleNormal="100" zoomScaleSheetLayoutView="112" workbookViewId="0">
      <selection activeCell="T23" sqref="T23"/>
    </sheetView>
  </sheetViews>
  <sheetFormatPr defaultColWidth="9.140625" defaultRowHeight="12.75"/>
  <cols>
    <col min="1" max="1" width="21" style="8" customWidth="1"/>
    <col min="2" max="2" width="11.5703125" style="8" bestFit="1" customWidth="1"/>
    <col min="3" max="9" width="10.28515625" style="8" customWidth="1"/>
    <col min="10" max="10" width="10.28515625" style="8" bestFit="1" customWidth="1"/>
    <col min="11" max="11" width="9.85546875" style="8" bestFit="1" customWidth="1"/>
    <col min="12" max="14" width="10.28515625" style="8" bestFit="1" customWidth="1"/>
    <col min="15" max="15" width="18.28515625" style="8" customWidth="1"/>
    <col min="16" max="72" width="9.140625" style="8"/>
    <col min="73" max="73" width="11.140625" style="8" customWidth="1"/>
    <col min="74" max="16384" width="9.140625" style="8"/>
  </cols>
  <sheetData>
    <row r="1" spans="1:73" s="7" customFormat="1" ht="18.75" customHeight="1">
      <c r="A1" s="52" t="s">
        <v>194</v>
      </c>
      <c r="B1" s="52"/>
      <c r="C1" s="52"/>
      <c r="D1" s="52"/>
      <c r="E1" s="52"/>
      <c r="F1" s="52"/>
      <c r="G1" s="52"/>
      <c r="H1" s="52"/>
      <c r="I1" s="52"/>
      <c r="J1" s="52"/>
      <c r="K1" s="52"/>
      <c r="L1" s="52"/>
      <c r="M1" s="52"/>
      <c r="N1" s="52"/>
      <c r="O1" s="52"/>
    </row>
    <row r="2" spans="1:73" ht="17.25" customHeight="1">
      <c r="A2" s="53" t="s">
        <v>193</v>
      </c>
      <c r="B2" s="53"/>
      <c r="C2" s="53"/>
      <c r="D2" s="53"/>
      <c r="E2" s="53"/>
      <c r="F2" s="53"/>
      <c r="G2" s="53"/>
      <c r="H2" s="53"/>
      <c r="I2" s="53"/>
      <c r="J2" s="53"/>
      <c r="K2" s="53"/>
      <c r="L2" s="53"/>
      <c r="M2" s="53"/>
      <c r="N2" s="53"/>
      <c r="O2" s="53"/>
    </row>
    <row r="3" spans="1:73" ht="12.75" customHeight="1">
      <c r="A3" s="9"/>
      <c r="B3" s="10"/>
      <c r="C3" s="10"/>
      <c r="D3" s="10"/>
      <c r="E3" s="10"/>
      <c r="F3" s="10"/>
      <c r="G3" s="10"/>
      <c r="H3" s="10"/>
      <c r="I3" s="10"/>
      <c r="J3" s="10"/>
      <c r="K3" s="10"/>
      <c r="L3" s="10"/>
      <c r="M3" s="10"/>
      <c r="N3" s="10"/>
    </row>
    <row r="4" spans="1:73" s="15" customFormat="1" ht="18.75" customHeight="1">
      <c r="A4" s="11" t="s">
        <v>45</v>
      </c>
      <c r="B4" s="12" t="s">
        <v>56</v>
      </c>
      <c r="C4" s="12" t="s">
        <v>34</v>
      </c>
      <c r="D4" s="12" t="s">
        <v>35</v>
      </c>
      <c r="E4" s="12" t="s">
        <v>36</v>
      </c>
      <c r="F4" s="12" t="s">
        <v>37</v>
      </c>
      <c r="G4" s="12" t="s">
        <v>33</v>
      </c>
      <c r="H4" s="12" t="s">
        <v>38</v>
      </c>
      <c r="I4" s="12" t="s">
        <v>39</v>
      </c>
      <c r="J4" s="12" t="s">
        <v>40</v>
      </c>
      <c r="K4" s="12" t="s">
        <v>41</v>
      </c>
      <c r="L4" s="12" t="s">
        <v>42</v>
      </c>
      <c r="M4" s="12" t="s">
        <v>43</v>
      </c>
      <c r="N4" s="13" t="s">
        <v>44</v>
      </c>
      <c r="O4" s="14" t="s">
        <v>57</v>
      </c>
    </row>
    <row r="5" spans="1:73" s="19" customFormat="1" ht="18" customHeight="1">
      <c r="A5" s="16" t="s">
        <v>0</v>
      </c>
      <c r="B5" s="17">
        <f>SUM(C5:N5)</f>
        <v>2246516</v>
      </c>
      <c r="C5" s="17">
        <f>C6+C51+C74+C79+C86+C90+C101+C102</f>
        <v>214863</v>
      </c>
      <c r="D5" s="17">
        <f>D6+D51+D74+D79+D86+D90+D101+D102</f>
        <v>214091</v>
      </c>
      <c r="E5" s="17">
        <f t="shared" ref="E5:N5" si="0">E6+E51+E74+E79+E86+E90+E101+E102</f>
        <v>203468</v>
      </c>
      <c r="F5" s="17">
        <f t="shared" si="0"/>
        <v>198322</v>
      </c>
      <c r="G5" s="17">
        <f t="shared" si="0"/>
        <v>135614</v>
      </c>
      <c r="H5" s="17">
        <f t="shared" si="0"/>
        <v>141772</v>
      </c>
      <c r="I5" s="17">
        <f t="shared" si="0"/>
        <v>186738</v>
      </c>
      <c r="J5" s="17">
        <f t="shared" si="0"/>
        <v>192058</v>
      </c>
      <c r="K5" s="17">
        <f t="shared" si="0"/>
        <v>149563</v>
      </c>
      <c r="L5" s="17">
        <f t="shared" si="0"/>
        <v>190445</v>
      </c>
      <c r="M5" s="17">
        <f t="shared" si="0"/>
        <v>195127</v>
      </c>
      <c r="N5" s="17">
        <f t="shared" si="0"/>
        <v>224455</v>
      </c>
      <c r="O5" s="18" t="s">
        <v>1</v>
      </c>
      <c r="BD5" s="20"/>
      <c r="BE5" s="20"/>
      <c r="BF5" s="20"/>
      <c r="BG5" s="20"/>
      <c r="BH5" s="20"/>
      <c r="BI5" s="20"/>
      <c r="BJ5" s="20"/>
      <c r="BK5" s="20"/>
      <c r="BL5" s="20"/>
      <c r="BM5" s="20"/>
      <c r="BN5" s="20"/>
      <c r="BO5" s="20"/>
      <c r="BP5" s="20"/>
      <c r="BQ5" s="20"/>
    </row>
    <row r="6" spans="1:73" s="19" customFormat="1" ht="18" customHeight="1">
      <c r="A6" s="21" t="s">
        <v>2</v>
      </c>
      <c r="B6" s="4">
        <f>SUM(C6:N6)</f>
        <v>1331470</v>
      </c>
      <c r="C6" s="4">
        <f>C7+C22+C30+C39+C47</f>
        <v>132840</v>
      </c>
      <c r="D6" s="4">
        <f>D7+D22+D30+D39+D47</f>
        <v>145423</v>
      </c>
      <c r="E6" s="4">
        <f t="shared" ref="E6:N6" si="1">E7+E22+E30+E39+E47</f>
        <v>138522</v>
      </c>
      <c r="F6" s="4">
        <f t="shared" si="1"/>
        <v>126287</v>
      </c>
      <c r="G6" s="4">
        <f t="shared" si="1"/>
        <v>66440</v>
      </c>
      <c r="H6" s="4">
        <f t="shared" si="1"/>
        <v>66783</v>
      </c>
      <c r="I6" s="4">
        <f t="shared" si="1"/>
        <v>91865</v>
      </c>
      <c r="J6" s="4">
        <f t="shared" si="1"/>
        <v>99502</v>
      </c>
      <c r="K6" s="4">
        <f t="shared" si="1"/>
        <v>77089</v>
      </c>
      <c r="L6" s="4">
        <f t="shared" si="1"/>
        <v>115194</v>
      </c>
      <c r="M6" s="4">
        <f t="shared" si="1"/>
        <v>126451</v>
      </c>
      <c r="N6" s="4">
        <f t="shared" si="1"/>
        <v>145074</v>
      </c>
      <c r="O6" s="22" t="s">
        <v>3</v>
      </c>
      <c r="P6" s="23"/>
      <c r="Q6" s="23"/>
      <c r="R6" s="23"/>
      <c r="S6" s="23"/>
      <c r="T6" s="23"/>
      <c r="U6" s="23"/>
      <c r="V6" s="23"/>
      <c r="W6" s="23"/>
      <c r="X6" s="23"/>
      <c r="Y6" s="23"/>
      <c r="Z6" s="23"/>
      <c r="AA6" s="23"/>
      <c r="AB6" s="23"/>
      <c r="AC6" s="23"/>
      <c r="AD6" s="23"/>
      <c r="AE6" s="23"/>
      <c r="AF6" s="23"/>
      <c r="AG6" s="23"/>
      <c r="AH6" s="23"/>
      <c r="AI6" s="23"/>
      <c r="AJ6" s="23"/>
      <c r="AK6" s="23"/>
      <c r="AL6" s="23"/>
      <c r="AM6" s="23"/>
      <c r="AN6" s="23"/>
      <c r="AO6" s="23"/>
      <c r="AP6" s="23"/>
      <c r="AQ6" s="23"/>
      <c r="AR6" s="23"/>
      <c r="AS6" s="23"/>
      <c r="AT6" s="23"/>
      <c r="AU6" s="23"/>
      <c r="AV6" s="23"/>
      <c r="AW6" s="23"/>
      <c r="AX6" s="23"/>
      <c r="AY6" s="23"/>
      <c r="AZ6" s="23"/>
      <c r="BA6" s="23"/>
      <c r="BB6" s="23"/>
      <c r="BC6" s="23"/>
      <c r="BD6" s="23"/>
      <c r="BE6" s="23"/>
      <c r="BF6" s="23"/>
      <c r="BG6" s="23"/>
      <c r="BH6" s="23"/>
      <c r="BI6" s="23"/>
      <c r="BJ6" s="23"/>
      <c r="BK6" s="23"/>
      <c r="BL6" s="23"/>
      <c r="BM6" s="23"/>
      <c r="BN6" s="23"/>
    </row>
    <row r="7" spans="1:73" s="19" customFormat="1" ht="18" customHeight="1">
      <c r="A7" s="24" t="s">
        <v>46</v>
      </c>
      <c r="B7" s="4">
        <f>SUM(C7:N7)</f>
        <v>479600</v>
      </c>
      <c r="C7" s="4">
        <f>SUM(C8:C21)</f>
        <v>49494</v>
      </c>
      <c r="D7" s="4">
        <f>SUM(D8:D21)</f>
        <v>49639</v>
      </c>
      <c r="E7" s="4">
        <f t="shared" ref="E7:N7" si="2">SUM(E8:E21)</f>
        <v>47162</v>
      </c>
      <c r="F7" s="4">
        <f t="shared" si="2"/>
        <v>32747</v>
      </c>
      <c r="G7" s="4">
        <f t="shared" si="2"/>
        <v>25597</v>
      </c>
      <c r="H7" s="4">
        <f t="shared" si="2"/>
        <v>30118</v>
      </c>
      <c r="I7" s="4">
        <f t="shared" si="2"/>
        <v>38760</v>
      </c>
      <c r="J7" s="4">
        <f t="shared" si="2"/>
        <v>36110</v>
      </c>
      <c r="K7" s="4">
        <f t="shared" si="2"/>
        <v>29223</v>
      </c>
      <c r="L7" s="4">
        <f t="shared" si="2"/>
        <v>42133</v>
      </c>
      <c r="M7" s="4">
        <f t="shared" si="2"/>
        <v>46805</v>
      </c>
      <c r="N7" s="4">
        <f t="shared" si="2"/>
        <v>51812</v>
      </c>
      <c r="O7" s="25" t="s">
        <v>58</v>
      </c>
    </row>
    <row r="8" spans="1:73" s="19" customFormat="1" ht="18" customHeight="1">
      <c r="A8" s="26" t="s">
        <v>59</v>
      </c>
      <c r="B8" s="27">
        <f>SUM(C8:N8)</f>
        <v>7442</v>
      </c>
      <c r="C8" s="28">
        <v>639</v>
      </c>
      <c r="D8" s="28">
        <v>572</v>
      </c>
      <c r="E8" s="28">
        <v>805</v>
      </c>
      <c r="F8" s="28">
        <v>515</v>
      </c>
      <c r="G8" s="28">
        <v>562</v>
      </c>
      <c r="H8" s="28">
        <v>442</v>
      </c>
      <c r="I8" s="28">
        <v>628</v>
      </c>
      <c r="J8" s="28">
        <v>506</v>
      </c>
      <c r="K8" s="28">
        <v>605</v>
      </c>
      <c r="L8" s="28">
        <v>683</v>
      </c>
      <c r="M8" s="28">
        <v>790</v>
      </c>
      <c r="N8" s="28">
        <v>695</v>
      </c>
      <c r="O8" s="29" t="s">
        <v>60</v>
      </c>
      <c r="P8" s="15"/>
      <c r="Q8" s="15"/>
      <c r="R8" s="15"/>
      <c r="S8" s="15"/>
      <c r="T8" s="15"/>
      <c r="U8" s="15"/>
      <c r="V8" s="15"/>
      <c r="W8" s="15"/>
      <c r="X8" s="15"/>
      <c r="Y8" s="15"/>
      <c r="Z8" s="15"/>
      <c r="AA8" s="15"/>
      <c r="AB8" s="15"/>
      <c r="AC8" s="15"/>
      <c r="AD8" s="15"/>
      <c r="AE8" s="15"/>
      <c r="AF8" s="15"/>
      <c r="AG8" s="15"/>
      <c r="AH8" s="15"/>
      <c r="AI8" s="15"/>
      <c r="AJ8" s="15"/>
      <c r="AK8" s="15"/>
      <c r="AL8" s="15"/>
      <c r="AM8" s="15"/>
      <c r="AN8" s="15"/>
      <c r="AO8" s="15"/>
      <c r="AP8" s="15"/>
      <c r="AQ8" s="15"/>
      <c r="AR8" s="15"/>
      <c r="AS8" s="15"/>
      <c r="AT8" s="15"/>
      <c r="AU8" s="15"/>
      <c r="AV8" s="15"/>
      <c r="AW8" s="15"/>
      <c r="AX8" s="15"/>
      <c r="AY8" s="15"/>
      <c r="AZ8" s="15"/>
      <c r="BA8" s="15"/>
      <c r="BB8" s="15"/>
      <c r="BC8" s="15"/>
    </row>
    <row r="9" spans="1:73" s="19" customFormat="1" ht="18" customHeight="1">
      <c r="A9" s="26" t="s">
        <v>61</v>
      </c>
      <c r="B9" s="27">
        <f>SUM(C9:N9)</f>
        <v>11174</v>
      </c>
      <c r="C9" s="28">
        <v>2018</v>
      </c>
      <c r="D9" s="28">
        <v>2377</v>
      </c>
      <c r="E9" s="28">
        <v>2012</v>
      </c>
      <c r="F9" s="28">
        <v>631</v>
      </c>
      <c r="G9" s="28">
        <v>218</v>
      </c>
      <c r="H9" s="28">
        <v>132</v>
      </c>
      <c r="I9" s="28">
        <v>165</v>
      </c>
      <c r="J9" s="28">
        <v>245</v>
      </c>
      <c r="K9" s="28">
        <v>235</v>
      </c>
      <c r="L9" s="28">
        <v>469</v>
      </c>
      <c r="M9" s="28">
        <v>888</v>
      </c>
      <c r="N9" s="28">
        <v>1784</v>
      </c>
      <c r="O9" s="29" t="s">
        <v>62</v>
      </c>
    </row>
    <row r="10" spans="1:73" s="19" customFormat="1" ht="18" customHeight="1">
      <c r="A10" s="26" t="s">
        <v>63</v>
      </c>
      <c r="B10" s="27">
        <f t="shared" ref="B10:B85" si="3">SUM(C10:N10)</f>
        <v>28145</v>
      </c>
      <c r="C10" s="28">
        <v>2598</v>
      </c>
      <c r="D10" s="28">
        <v>4221</v>
      </c>
      <c r="E10" s="28">
        <v>2954</v>
      </c>
      <c r="F10" s="28">
        <v>2141</v>
      </c>
      <c r="G10" s="28">
        <v>1090</v>
      </c>
      <c r="H10" s="28">
        <v>912</v>
      </c>
      <c r="I10" s="28">
        <v>1604</v>
      </c>
      <c r="J10" s="28">
        <v>1231</v>
      </c>
      <c r="K10" s="28">
        <v>1028</v>
      </c>
      <c r="L10" s="28">
        <v>2305</v>
      </c>
      <c r="M10" s="28">
        <v>4200</v>
      </c>
      <c r="N10" s="28">
        <v>3861</v>
      </c>
      <c r="O10" s="29" t="s">
        <v>64</v>
      </c>
      <c r="P10" s="15"/>
      <c r="Q10" s="15"/>
      <c r="R10" s="15"/>
      <c r="S10" s="15"/>
      <c r="T10" s="15"/>
      <c r="U10" s="15"/>
      <c r="V10" s="15"/>
      <c r="W10" s="15"/>
      <c r="X10" s="15"/>
      <c r="Y10" s="15"/>
      <c r="Z10" s="15"/>
      <c r="AA10" s="15"/>
      <c r="AB10" s="15"/>
      <c r="AC10" s="15"/>
      <c r="AD10" s="15"/>
      <c r="AE10" s="15"/>
      <c r="AF10" s="15"/>
      <c r="AG10" s="15"/>
      <c r="AH10" s="15"/>
      <c r="AI10" s="15"/>
      <c r="AJ10" s="15"/>
      <c r="AK10" s="15"/>
      <c r="AL10" s="15"/>
      <c r="AM10" s="15"/>
      <c r="AN10" s="15"/>
      <c r="AO10" s="15"/>
      <c r="AP10" s="15"/>
      <c r="AQ10" s="15"/>
      <c r="AR10" s="15"/>
      <c r="AS10" s="15"/>
      <c r="AT10" s="15"/>
      <c r="AU10" s="15"/>
      <c r="AV10" s="15"/>
      <c r="AW10" s="15"/>
      <c r="AX10" s="15"/>
      <c r="AY10" s="15"/>
      <c r="AZ10" s="15"/>
      <c r="BA10" s="15"/>
      <c r="BB10" s="15"/>
      <c r="BC10" s="15"/>
    </row>
    <row r="11" spans="1:73" s="19" customFormat="1" ht="18" customHeight="1">
      <c r="A11" s="30" t="s">
        <v>65</v>
      </c>
      <c r="B11" s="27">
        <f t="shared" si="3"/>
        <v>17969</v>
      </c>
      <c r="C11" s="28">
        <v>3532</v>
      </c>
      <c r="D11" s="28">
        <v>2886</v>
      </c>
      <c r="E11" s="28">
        <v>1837</v>
      </c>
      <c r="F11" s="28">
        <v>1630</v>
      </c>
      <c r="G11" s="28">
        <v>593</v>
      </c>
      <c r="H11" s="28">
        <v>463</v>
      </c>
      <c r="I11" s="28">
        <v>1060</v>
      </c>
      <c r="J11" s="28">
        <v>752</v>
      </c>
      <c r="K11" s="28">
        <v>483</v>
      </c>
      <c r="L11" s="28">
        <v>1664</v>
      </c>
      <c r="M11" s="28">
        <v>947</v>
      </c>
      <c r="N11" s="28">
        <v>2122</v>
      </c>
      <c r="O11" s="29" t="s">
        <v>66</v>
      </c>
      <c r="BH11" s="20"/>
      <c r="BI11" s="20"/>
      <c r="BJ11" s="20"/>
      <c r="BK11" s="20"/>
      <c r="BL11" s="20"/>
      <c r="BM11" s="20"/>
      <c r="BN11" s="20"/>
      <c r="BO11" s="20"/>
      <c r="BP11" s="20"/>
      <c r="BQ11" s="20"/>
      <c r="BR11" s="20"/>
      <c r="BS11" s="20"/>
      <c r="BT11" s="20"/>
      <c r="BU11" s="20"/>
    </row>
    <row r="12" spans="1:73" s="19" customFormat="1" ht="18" customHeight="1">
      <c r="A12" s="26" t="s">
        <v>67</v>
      </c>
      <c r="B12" s="27">
        <f t="shared" si="3"/>
        <v>25180</v>
      </c>
      <c r="C12" s="28">
        <v>3384</v>
      </c>
      <c r="D12" s="28">
        <v>2385</v>
      </c>
      <c r="E12" s="28">
        <v>2967</v>
      </c>
      <c r="F12" s="28">
        <v>470</v>
      </c>
      <c r="G12" s="28">
        <v>528</v>
      </c>
      <c r="H12" s="28">
        <v>2629</v>
      </c>
      <c r="I12" s="28">
        <v>2952</v>
      </c>
      <c r="J12" s="28">
        <v>2364</v>
      </c>
      <c r="K12" s="28">
        <v>791</v>
      </c>
      <c r="L12" s="28">
        <v>878</v>
      </c>
      <c r="M12" s="28">
        <v>1973</v>
      </c>
      <c r="N12" s="28">
        <v>3859</v>
      </c>
      <c r="O12" s="29" t="s">
        <v>68</v>
      </c>
      <c r="P12" s="15"/>
      <c r="Q12" s="15"/>
      <c r="R12" s="15"/>
      <c r="S12" s="15"/>
      <c r="T12" s="15"/>
      <c r="U12" s="15"/>
      <c r="V12" s="15"/>
      <c r="W12" s="15"/>
      <c r="X12" s="15"/>
      <c r="Y12" s="15"/>
      <c r="Z12" s="15"/>
      <c r="AA12" s="15"/>
      <c r="AB12" s="15"/>
      <c r="AC12" s="15"/>
      <c r="AD12" s="15"/>
      <c r="AE12" s="15"/>
      <c r="AF12" s="15"/>
      <c r="AG12" s="15"/>
      <c r="AH12" s="15"/>
      <c r="AI12" s="15"/>
      <c r="AJ12" s="15"/>
      <c r="AK12" s="15"/>
      <c r="AL12" s="15"/>
      <c r="AM12" s="15"/>
      <c r="AN12" s="15"/>
      <c r="AO12" s="15"/>
      <c r="AP12" s="15"/>
      <c r="AQ12" s="15"/>
      <c r="AR12" s="15"/>
      <c r="AS12" s="15"/>
      <c r="AT12" s="15"/>
      <c r="AU12" s="15"/>
      <c r="AV12" s="15"/>
      <c r="AW12" s="15"/>
      <c r="AX12" s="15"/>
      <c r="AY12" s="15"/>
      <c r="AZ12" s="15"/>
      <c r="BA12" s="15"/>
      <c r="BB12" s="15"/>
      <c r="BC12" s="15"/>
      <c r="BH12" s="23"/>
      <c r="BI12" s="20"/>
      <c r="BJ12" s="20"/>
      <c r="BK12" s="20"/>
      <c r="BL12" s="20"/>
      <c r="BM12" s="20"/>
      <c r="BN12" s="20"/>
      <c r="BO12" s="20"/>
      <c r="BP12" s="20"/>
      <c r="BQ12" s="20"/>
      <c r="BR12" s="20"/>
      <c r="BS12" s="20"/>
      <c r="BT12" s="20"/>
      <c r="BU12" s="20"/>
    </row>
    <row r="13" spans="1:73" s="19" customFormat="1" ht="18" customHeight="1">
      <c r="A13" s="26" t="s">
        <v>69</v>
      </c>
      <c r="B13" s="27">
        <f t="shared" si="3"/>
        <v>2239</v>
      </c>
      <c r="C13" s="28">
        <v>245</v>
      </c>
      <c r="D13" s="28">
        <v>307</v>
      </c>
      <c r="E13" s="28">
        <v>299</v>
      </c>
      <c r="F13" s="28">
        <v>218</v>
      </c>
      <c r="G13" s="28">
        <v>57</v>
      </c>
      <c r="H13" s="28">
        <v>54</v>
      </c>
      <c r="I13" s="28">
        <v>47</v>
      </c>
      <c r="J13" s="28">
        <v>30</v>
      </c>
      <c r="K13" s="28">
        <v>72</v>
      </c>
      <c r="L13" s="28">
        <v>199</v>
      </c>
      <c r="M13" s="28">
        <v>320</v>
      </c>
      <c r="N13" s="28">
        <v>391</v>
      </c>
      <c r="O13" s="29" t="s">
        <v>70</v>
      </c>
      <c r="P13" s="15"/>
      <c r="Q13" s="15"/>
      <c r="R13" s="15"/>
      <c r="S13" s="15"/>
      <c r="T13" s="15"/>
      <c r="U13" s="15"/>
      <c r="V13" s="15"/>
      <c r="W13" s="15"/>
      <c r="X13" s="15"/>
      <c r="Y13" s="15"/>
      <c r="Z13" s="15"/>
      <c r="AA13" s="15"/>
      <c r="AB13" s="15"/>
      <c r="AC13" s="15"/>
      <c r="AD13" s="15"/>
      <c r="AE13" s="15"/>
      <c r="AF13" s="15"/>
      <c r="AG13" s="15"/>
      <c r="AH13" s="15"/>
      <c r="AI13" s="15"/>
      <c r="AJ13" s="15"/>
      <c r="AK13" s="15"/>
      <c r="AL13" s="15"/>
      <c r="AM13" s="15"/>
      <c r="AN13" s="15"/>
      <c r="AO13" s="15"/>
      <c r="AP13" s="15"/>
      <c r="AQ13" s="15"/>
      <c r="AR13" s="15"/>
      <c r="AS13" s="15"/>
      <c r="AT13" s="15"/>
      <c r="AU13" s="15"/>
      <c r="AV13" s="15"/>
      <c r="AW13" s="15"/>
      <c r="AX13" s="15"/>
      <c r="AY13" s="15"/>
      <c r="AZ13" s="15"/>
      <c r="BA13" s="15"/>
      <c r="BB13" s="15"/>
      <c r="BC13" s="15"/>
      <c r="BH13" s="23"/>
      <c r="BI13" s="20"/>
      <c r="BJ13" s="20"/>
      <c r="BK13" s="20"/>
      <c r="BL13" s="20"/>
      <c r="BM13" s="20"/>
      <c r="BN13" s="20"/>
      <c r="BO13" s="20"/>
      <c r="BP13" s="20"/>
      <c r="BQ13" s="20"/>
      <c r="BR13" s="20"/>
      <c r="BS13" s="20"/>
      <c r="BT13" s="20"/>
      <c r="BU13" s="20"/>
    </row>
    <row r="14" spans="1:73" s="19" customFormat="1" ht="18" customHeight="1">
      <c r="A14" s="26" t="s">
        <v>71</v>
      </c>
      <c r="B14" s="27">
        <f t="shared" si="3"/>
        <v>2870</v>
      </c>
      <c r="C14" s="28">
        <v>358</v>
      </c>
      <c r="D14" s="28">
        <v>439</v>
      </c>
      <c r="E14" s="28">
        <v>338</v>
      </c>
      <c r="F14" s="28">
        <v>288</v>
      </c>
      <c r="G14" s="28">
        <v>125</v>
      </c>
      <c r="H14" s="28">
        <v>81</v>
      </c>
      <c r="I14" s="28">
        <v>106</v>
      </c>
      <c r="J14" s="28">
        <v>94</v>
      </c>
      <c r="K14" s="28">
        <v>93</v>
      </c>
      <c r="L14" s="28">
        <v>282</v>
      </c>
      <c r="M14" s="28">
        <v>319</v>
      </c>
      <c r="N14" s="28">
        <v>347</v>
      </c>
      <c r="O14" s="29" t="s">
        <v>72</v>
      </c>
      <c r="P14" s="15"/>
      <c r="Q14" s="15"/>
      <c r="R14" s="15"/>
      <c r="S14" s="15"/>
      <c r="T14" s="15"/>
      <c r="U14" s="15"/>
      <c r="V14" s="15"/>
      <c r="W14" s="15"/>
      <c r="X14" s="15"/>
      <c r="Y14" s="15"/>
      <c r="Z14" s="15"/>
      <c r="AA14" s="15"/>
      <c r="AB14" s="15"/>
      <c r="AC14" s="15"/>
      <c r="AD14" s="15"/>
      <c r="AE14" s="15"/>
      <c r="AF14" s="15"/>
      <c r="AG14" s="15"/>
      <c r="AH14" s="15"/>
      <c r="AI14" s="15"/>
      <c r="AJ14" s="15"/>
      <c r="AK14" s="15"/>
      <c r="AL14" s="15"/>
      <c r="AM14" s="15"/>
      <c r="AN14" s="15"/>
      <c r="AO14" s="15"/>
      <c r="AP14" s="15"/>
      <c r="AQ14" s="15"/>
      <c r="AR14" s="15"/>
      <c r="AS14" s="15"/>
      <c r="AT14" s="15"/>
      <c r="AU14" s="15"/>
      <c r="AV14" s="15"/>
      <c r="AW14" s="15"/>
      <c r="AX14" s="15"/>
      <c r="AY14" s="15"/>
      <c r="AZ14" s="15"/>
      <c r="BA14" s="15"/>
      <c r="BB14" s="15"/>
      <c r="BC14" s="15"/>
      <c r="BH14" s="23"/>
      <c r="BI14" s="20"/>
      <c r="BJ14" s="20"/>
      <c r="BK14" s="20"/>
      <c r="BL14" s="20"/>
      <c r="BM14" s="20"/>
      <c r="BN14" s="20"/>
      <c r="BO14" s="20"/>
      <c r="BP14" s="20"/>
      <c r="BQ14" s="20"/>
      <c r="BR14" s="20"/>
      <c r="BS14" s="20"/>
      <c r="BT14" s="20"/>
      <c r="BU14" s="20"/>
    </row>
    <row r="15" spans="1:73" s="19" customFormat="1" ht="18" customHeight="1">
      <c r="A15" s="26" t="s">
        <v>73</v>
      </c>
      <c r="B15" s="27">
        <f t="shared" si="3"/>
        <v>34296</v>
      </c>
      <c r="C15" s="28">
        <v>4592</v>
      </c>
      <c r="D15" s="28">
        <v>5354</v>
      </c>
      <c r="E15" s="28">
        <v>3294</v>
      </c>
      <c r="F15" s="28">
        <v>1985</v>
      </c>
      <c r="G15" s="28">
        <v>1067</v>
      </c>
      <c r="H15" s="28">
        <v>1213</v>
      </c>
      <c r="I15" s="28">
        <v>1866</v>
      </c>
      <c r="J15" s="28">
        <v>1838</v>
      </c>
      <c r="K15" s="28">
        <v>1880</v>
      </c>
      <c r="L15" s="28">
        <v>2015</v>
      </c>
      <c r="M15" s="28">
        <v>4757</v>
      </c>
      <c r="N15" s="28">
        <v>4435</v>
      </c>
      <c r="O15" s="29" t="s">
        <v>74</v>
      </c>
      <c r="BI15" s="20"/>
      <c r="BJ15" s="20"/>
      <c r="BK15" s="20"/>
      <c r="BL15" s="20"/>
      <c r="BM15" s="20"/>
      <c r="BN15" s="20"/>
      <c r="BO15" s="20"/>
      <c r="BP15" s="20"/>
      <c r="BQ15" s="20"/>
      <c r="BR15" s="20"/>
      <c r="BS15" s="20"/>
      <c r="BT15" s="20"/>
      <c r="BU15" s="20"/>
    </row>
    <row r="16" spans="1:73" s="19" customFormat="1" ht="18" customHeight="1">
      <c r="A16" s="26" t="s">
        <v>75</v>
      </c>
      <c r="B16" s="27">
        <f t="shared" si="3"/>
        <v>19093</v>
      </c>
      <c r="C16" s="28">
        <v>3291</v>
      </c>
      <c r="D16" s="28">
        <v>3857</v>
      </c>
      <c r="E16" s="28">
        <v>2147</v>
      </c>
      <c r="F16" s="28">
        <v>1613</v>
      </c>
      <c r="G16" s="28">
        <v>679</v>
      </c>
      <c r="H16" s="28">
        <v>458</v>
      </c>
      <c r="I16" s="28">
        <v>523</v>
      </c>
      <c r="J16" s="28">
        <v>637</v>
      </c>
      <c r="K16" s="28">
        <v>619</v>
      </c>
      <c r="L16" s="28">
        <v>1210</v>
      </c>
      <c r="M16" s="28">
        <v>1490</v>
      </c>
      <c r="N16" s="28">
        <v>2569</v>
      </c>
      <c r="O16" s="29" t="s">
        <v>76</v>
      </c>
      <c r="P16" s="15"/>
      <c r="Q16" s="15"/>
      <c r="R16" s="15"/>
      <c r="S16" s="15"/>
      <c r="T16" s="15"/>
      <c r="U16" s="15"/>
      <c r="V16" s="15"/>
      <c r="W16" s="15"/>
      <c r="X16" s="15"/>
      <c r="Y16" s="15"/>
      <c r="Z16" s="15"/>
      <c r="AA16" s="15"/>
      <c r="AB16" s="15"/>
      <c r="AC16" s="15"/>
      <c r="AD16" s="15"/>
      <c r="AE16" s="15"/>
      <c r="AF16" s="15"/>
      <c r="AG16" s="15"/>
      <c r="AH16" s="15"/>
      <c r="AI16" s="15"/>
      <c r="AJ16" s="15"/>
      <c r="AK16" s="15"/>
      <c r="AL16" s="15"/>
      <c r="AM16" s="15"/>
      <c r="AN16" s="15"/>
      <c r="AO16" s="15"/>
      <c r="AP16" s="15"/>
      <c r="AQ16" s="15"/>
      <c r="AR16" s="15"/>
      <c r="AS16" s="15"/>
      <c r="AT16" s="15"/>
      <c r="AU16" s="15"/>
      <c r="AV16" s="15"/>
      <c r="AW16" s="15"/>
      <c r="AX16" s="15"/>
      <c r="AY16" s="15"/>
      <c r="AZ16" s="15"/>
      <c r="BA16" s="15"/>
      <c r="BB16" s="15"/>
      <c r="BC16" s="15"/>
      <c r="BI16" s="20"/>
      <c r="BJ16" s="20"/>
      <c r="BK16" s="20"/>
      <c r="BL16" s="20"/>
      <c r="BM16" s="20"/>
      <c r="BN16" s="20"/>
      <c r="BO16" s="20"/>
      <c r="BP16" s="20"/>
      <c r="BQ16" s="20"/>
      <c r="BR16" s="20"/>
      <c r="BS16" s="20"/>
      <c r="BT16" s="20"/>
      <c r="BU16" s="20"/>
    </row>
    <row r="17" spans="1:73" s="19" customFormat="1" ht="18" customHeight="1">
      <c r="A17" s="26" t="s">
        <v>77</v>
      </c>
      <c r="B17" s="27">
        <f t="shared" si="3"/>
        <v>278761</v>
      </c>
      <c r="C17" s="28">
        <v>21835</v>
      </c>
      <c r="D17" s="28">
        <v>20649</v>
      </c>
      <c r="E17" s="28">
        <v>24449</v>
      </c>
      <c r="F17" s="28">
        <v>19723</v>
      </c>
      <c r="G17" s="28">
        <v>18403</v>
      </c>
      <c r="H17" s="28">
        <v>21721</v>
      </c>
      <c r="I17" s="28">
        <v>26554</v>
      </c>
      <c r="J17" s="28">
        <v>25196</v>
      </c>
      <c r="K17" s="28">
        <v>21036</v>
      </c>
      <c r="L17" s="28">
        <v>28726</v>
      </c>
      <c r="M17" s="28">
        <v>25543</v>
      </c>
      <c r="N17" s="28">
        <v>24926</v>
      </c>
      <c r="O17" s="29" t="s">
        <v>11</v>
      </c>
      <c r="BI17" s="20"/>
      <c r="BJ17" s="20"/>
      <c r="BK17" s="20"/>
      <c r="BL17" s="20"/>
      <c r="BM17" s="20"/>
      <c r="BN17" s="20"/>
      <c r="BO17" s="20"/>
      <c r="BP17" s="20"/>
      <c r="BQ17" s="20"/>
      <c r="BR17" s="20"/>
      <c r="BS17" s="20"/>
      <c r="BT17" s="20"/>
      <c r="BU17" s="20"/>
    </row>
    <row r="18" spans="1:73" s="19" customFormat="1" ht="18" customHeight="1">
      <c r="A18" s="26" t="s">
        <v>78</v>
      </c>
      <c r="B18" s="27">
        <f t="shared" si="3"/>
        <v>15194</v>
      </c>
      <c r="C18" s="28">
        <v>2046</v>
      </c>
      <c r="D18" s="28">
        <v>3034</v>
      </c>
      <c r="E18" s="28">
        <v>2029</v>
      </c>
      <c r="F18" s="28">
        <v>1261</v>
      </c>
      <c r="G18" s="28">
        <v>618</v>
      </c>
      <c r="H18" s="28">
        <v>421</v>
      </c>
      <c r="I18" s="28">
        <v>613</v>
      </c>
      <c r="J18" s="28">
        <v>468</v>
      </c>
      <c r="K18" s="28">
        <v>409</v>
      </c>
      <c r="L18" s="28">
        <v>1002</v>
      </c>
      <c r="M18" s="28">
        <v>1588</v>
      </c>
      <c r="N18" s="28">
        <v>1705</v>
      </c>
      <c r="O18" s="29" t="s">
        <v>12</v>
      </c>
      <c r="P18" s="15"/>
      <c r="Q18" s="15"/>
      <c r="R18" s="15"/>
      <c r="S18" s="15"/>
      <c r="T18" s="15"/>
      <c r="U18" s="15"/>
      <c r="V18" s="15"/>
      <c r="W18" s="15"/>
      <c r="X18" s="15"/>
      <c r="Y18" s="15"/>
      <c r="Z18" s="15"/>
      <c r="AA18" s="15"/>
      <c r="AB18" s="15"/>
      <c r="AC18" s="15"/>
      <c r="AD18" s="15"/>
      <c r="AE18" s="15"/>
      <c r="AF18" s="15"/>
      <c r="AG18" s="15"/>
      <c r="AH18" s="15"/>
      <c r="AI18" s="15"/>
      <c r="AJ18" s="15"/>
      <c r="AK18" s="15"/>
      <c r="AL18" s="15"/>
      <c r="AM18" s="15"/>
      <c r="AN18" s="15"/>
      <c r="AO18" s="15"/>
      <c r="AP18" s="15"/>
      <c r="AQ18" s="15"/>
      <c r="AR18" s="15"/>
      <c r="AS18" s="15"/>
      <c r="AT18" s="15"/>
      <c r="AU18" s="15"/>
      <c r="AV18" s="15"/>
      <c r="AW18" s="15"/>
      <c r="AX18" s="15"/>
      <c r="AY18" s="15"/>
      <c r="AZ18" s="15"/>
      <c r="BA18" s="15"/>
      <c r="BB18" s="15"/>
      <c r="BC18" s="15"/>
      <c r="BI18" s="20"/>
      <c r="BJ18" s="20"/>
      <c r="BK18" s="20"/>
      <c r="BL18" s="20"/>
      <c r="BM18" s="20"/>
      <c r="BN18" s="20"/>
      <c r="BO18" s="20"/>
      <c r="BP18" s="20"/>
      <c r="BQ18" s="20"/>
      <c r="BR18" s="20"/>
      <c r="BS18" s="20"/>
      <c r="BT18" s="20"/>
      <c r="BU18" s="20"/>
    </row>
    <row r="19" spans="1:73" s="19" customFormat="1" ht="18" customHeight="1">
      <c r="A19" s="26" t="s">
        <v>79</v>
      </c>
      <c r="B19" s="27">
        <f>SUM(C19:N19)</f>
        <v>17668</v>
      </c>
      <c r="C19" s="28">
        <v>1940</v>
      </c>
      <c r="D19" s="28">
        <v>1783</v>
      </c>
      <c r="E19" s="28">
        <v>1865</v>
      </c>
      <c r="F19" s="28">
        <v>1381</v>
      </c>
      <c r="G19" s="28">
        <v>1029</v>
      </c>
      <c r="H19" s="28">
        <v>911</v>
      </c>
      <c r="I19" s="28">
        <v>1084</v>
      </c>
      <c r="J19" s="28">
        <v>1141</v>
      </c>
      <c r="K19" s="28">
        <v>1088</v>
      </c>
      <c r="L19" s="28">
        <v>1529</v>
      </c>
      <c r="M19" s="28">
        <v>1597</v>
      </c>
      <c r="N19" s="28">
        <v>2320</v>
      </c>
      <c r="O19" s="29"/>
      <c r="P19" s="15"/>
      <c r="Q19" s="15"/>
      <c r="R19" s="15"/>
      <c r="S19" s="15"/>
      <c r="T19" s="15"/>
      <c r="U19" s="15"/>
      <c r="V19" s="15"/>
      <c r="W19" s="15"/>
      <c r="X19" s="15"/>
      <c r="Y19" s="15"/>
      <c r="Z19" s="15"/>
      <c r="AA19" s="15"/>
      <c r="AB19" s="15"/>
      <c r="AC19" s="15"/>
      <c r="AD19" s="15"/>
      <c r="AE19" s="15"/>
      <c r="AF19" s="15"/>
      <c r="AG19" s="15"/>
      <c r="AH19" s="15"/>
      <c r="AI19" s="15"/>
      <c r="AJ19" s="15"/>
      <c r="AK19" s="15"/>
      <c r="AL19" s="15"/>
      <c r="AM19" s="15"/>
      <c r="AN19" s="15"/>
      <c r="AO19" s="15"/>
      <c r="AP19" s="15"/>
      <c r="AQ19" s="15"/>
      <c r="AR19" s="15"/>
      <c r="AS19" s="15"/>
      <c r="AT19" s="15"/>
      <c r="AU19" s="15"/>
      <c r="AV19" s="15"/>
      <c r="AW19" s="15"/>
      <c r="AX19" s="15"/>
      <c r="AY19" s="15"/>
      <c r="AZ19" s="15"/>
      <c r="BA19" s="15"/>
      <c r="BB19" s="15"/>
      <c r="BC19" s="15"/>
      <c r="BI19" s="20"/>
      <c r="BJ19" s="20"/>
      <c r="BK19" s="20"/>
      <c r="BL19" s="20"/>
      <c r="BM19" s="20"/>
      <c r="BN19" s="20"/>
      <c r="BO19" s="20"/>
      <c r="BP19" s="20"/>
      <c r="BQ19" s="20"/>
      <c r="BR19" s="20"/>
      <c r="BS19" s="20"/>
      <c r="BT19" s="20"/>
      <c r="BU19" s="20"/>
    </row>
    <row r="20" spans="1:73" s="19" customFormat="1" ht="18" customHeight="1">
      <c r="A20" s="26" t="s">
        <v>192</v>
      </c>
      <c r="B20" s="27">
        <f t="shared" si="3"/>
        <v>5961</v>
      </c>
      <c r="C20" s="28">
        <v>1326</v>
      </c>
      <c r="D20" s="28">
        <v>261</v>
      </c>
      <c r="E20" s="28">
        <v>163</v>
      </c>
      <c r="F20" s="28">
        <v>159</v>
      </c>
      <c r="G20" s="28">
        <v>151</v>
      </c>
      <c r="H20" s="28">
        <v>137</v>
      </c>
      <c r="I20" s="28">
        <v>754</v>
      </c>
      <c r="J20" s="28">
        <v>825</v>
      </c>
      <c r="K20" s="28">
        <v>187</v>
      </c>
      <c r="L20" s="28">
        <v>176</v>
      </c>
      <c r="M20" s="28">
        <v>777</v>
      </c>
      <c r="N20" s="28">
        <v>1045</v>
      </c>
      <c r="O20" s="29" t="s">
        <v>80</v>
      </c>
    </row>
    <row r="21" spans="1:73" s="19" customFormat="1" ht="18" customHeight="1">
      <c r="A21" s="26" t="s">
        <v>81</v>
      </c>
      <c r="B21" s="27">
        <f t="shared" si="3"/>
        <v>13608</v>
      </c>
      <c r="C21" s="28">
        <v>1690</v>
      </c>
      <c r="D21" s="28">
        <v>1514</v>
      </c>
      <c r="E21" s="28">
        <v>2003</v>
      </c>
      <c r="F21" s="28">
        <v>732</v>
      </c>
      <c r="G21" s="28">
        <v>477</v>
      </c>
      <c r="H21" s="28">
        <v>544</v>
      </c>
      <c r="I21" s="28">
        <v>804</v>
      </c>
      <c r="J21" s="28">
        <v>783</v>
      </c>
      <c r="K21" s="28">
        <v>697</v>
      </c>
      <c r="L21" s="28">
        <v>995</v>
      </c>
      <c r="M21" s="28">
        <v>1616</v>
      </c>
      <c r="N21" s="28">
        <v>1753</v>
      </c>
      <c r="O21" s="29" t="s">
        <v>15</v>
      </c>
      <c r="P21" s="15"/>
      <c r="Q21" s="15"/>
      <c r="R21" s="15"/>
      <c r="S21" s="15"/>
      <c r="T21" s="15"/>
      <c r="U21" s="15"/>
      <c r="V21" s="15"/>
      <c r="W21" s="15"/>
      <c r="X21" s="15"/>
      <c r="Y21" s="15"/>
      <c r="Z21" s="15"/>
      <c r="AA21" s="15"/>
      <c r="AB21" s="15"/>
      <c r="AC21" s="15"/>
      <c r="AD21" s="15"/>
      <c r="AE21" s="15"/>
      <c r="AF21" s="15"/>
      <c r="AG21" s="15"/>
      <c r="AH21" s="15"/>
      <c r="AI21" s="15"/>
      <c r="AJ21" s="15"/>
      <c r="AK21" s="15"/>
      <c r="AL21" s="15"/>
      <c r="AM21" s="15"/>
      <c r="AN21" s="15"/>
      <c r="AO21" s="15"/>
      <c r="AP21" s="15"/>
      <c r="AQ21" s="15"/>
      <c r="AR21" s="15"/>
      <c r="AS21" s="15"/>
      <c r="AT21" s="15"/>
      <c r="AU21" s="15"/>
      <c r="AV21" s="15"/>
      <c r="AW21" s="15"/>
      <c r="AX21" s="15"/>
      <c r="AY21" s="15"/>
      <c r="AZ21" s="15"/>
      <c r="BA21" s="15"/>
      <c r="BB21" s="15"/>
      <c r="BC21" s="15"/>
      <c r="BI21" s="19" t="s">
        <v>34</v>
      </c>
      <c r="BJ21" s="19" t="s">
        <v>35</v>
      </c>
      <c r="BK21" s="19" t="s">
        <v>36</v>
      </c>
      <c r="BL21" s="19" t="s">
        <v>37</v>
      </c>
      <c r="BM21" s="19" t="s">
        <v>33</v>
      </c>
      <c r="BN21" s="19" t="s">
        <v>38</v>
      </c>
      <c r="BO21" s="19" t="s">
        <v>39</v>
      </c>
      <c r="BP21" s="19" t="s">
        <v>40</v>
      </c>
      <c r="BQ21" s="19" t="s">
        <v>41</v>
      </c>
      <c r="BR21" s="19" t="s">
        <v>42</v>
      </c>
      <c r="BS21" s="19" t="s">
        <v>43</v>
      </c>
      <c r="BT21" s="19" t="s">
        <v>44</v>
      </c>
    </row>
    <row r="22" spans="1:73" s="19" customFormat="1" ht="18" customHeight="1">
      <c r="A22" s="24" t="s">
        <v>47</v>
      </c>
      <c r="B22" s="27">
        <f t="shared" si="3"/>
        <v>243512</v>
      </c>
      <c r="C22" s="31">
        <f>SUM(C23:C29)</f>
        <v>24054</v>
      </c>
      <c r="D22" s="31">
        <f t="shared" ref="D22:N22" si="4">SUM(D23:D29)</f>
        <v>29616</v>
      </c>
      <c r="E22" s="31">
        <f t="shared" si="4"/>
        <v>26762</v>
      </c>
      <c r="F22" s="31">
        <f t="shared" si="4"/>
        <v>25180</v>
      </c>
      <c r="G22" s="31">
        <f t="shared" si="4"/>
        <v>12656</v>
      </c>
      <c r="H22" s="31">
        <f t="shared" si="4"/>
        <v>11219</v>
      </c>
      <c r="I22" s="31">
        <f t="shared" si="4"/>
        <v>16662</v>
      </c>
      <c r="J22" s="31">
        <f t="shared" si="4"/>
        <v>14485</v>
      </c>
      <c r="K22" s="31">
        <f t="shared" si="4"/>
        <v>12072</v>
      </c>
      <c r="L22" s="31">
        <f t="shared" si="4"/>
        <v>21218</v>
      </c>
      <c r="M22" s="31">
        <f t="shared" si="4"/>
        <v>23097</v>
      </c>
      <c r="N22" s="31">
        <f t="shared" si="4"/>
        <v>26491</v>
      </c>
      <c r="O22" s="32" t="s">
        <v>82</v>
      </c>
      <c r="BH22" s="19" t="s">
        <v>0</v>
      </c>
      <c r="BI22" s="20">
        <f>C5</f>
        <v>214863</v>
      </c>
      <c r="BJ22" s="20">
        <f>D5</f>
        <v>214091</v>
      </c>
      <c r="BK22" s="20">
        <f>E5</f>
        <v>203468</v>
      </c>
      <c r="BL22" s="20">
        <f>F5</f>
        <v>198322</v>
      </c>
      <c r="BM22" s="20">
        <f>G5</f>
        <v>135614</v>
      </c>
      <c r="BN22" s="20">
        <f>H5</f>
        <v>141772</v>
      </c>
      <c r="BO22" s="20">
        <f>I5</f>
        <v>186738</v>
      </c>
      <c r="BP22" s="20">
        <f>J5</f>
        <v>192058</v>
      </c>
      <c r="BQ22" s="20">
        <f>K5</f>
        <v>149563</v>
      </c>
      <c r="BR22" s="20">
        <f>L5</f>
        <v>190445</v>
      </c>
      <c r="BS22" s="20">
        <f>M5</f>
        <v>195127</v>
      </c>
      <c r="BT22" s="20">
        <f>N5</f>
        <v>224455</v>
      </c>
      <c r="BU22" s="20">
        <f>SUM(BI22:BT22)</f>
        <v>2246516</v>
      </c>
    </row>
    <row r="23" spans="1:73" s="19" customFormat="1" ht="18" customHeight="1">
      <c r="A23" s="26" t="s">
        <v>83</v>
      </c>
      <c r="B23" s="27">
        <f t="shared" si="3"/>
        <v>12346</v>
      </c>
      <c r="C23" s="28">
        <v>1581</v>
      </c>
      <c r="D23" s="28">
        <v>2141</v>
      </c>
      <c r="E23" s="28">
        <v>1027</v>
      </c>
      <c r="F23" s="28">
        <v>999</v>
      </c>
      <c r="G23" s="28">
        <v>309</v>
      </c>
      <c r="H23" s="28">
        <v>328</v>
      </c>
      <c r="I23" s="28">
        <v>1777</v>
      </c>
      <c r="J23" s="28">
        <v>395</v>
      </c>
      <c r="K23" s="28">
        <v>477</v>
      </c>
      <c r="L23" s="28">
        <v>1304</v>
      </c>
      <c r="M23" s="28">
        <v>1037</v>
      </c>
      <c r="N23" s="28">
        <v>971</v>
      </c>
      <c r="O23" s="29" t="s">
        <v>84</v>
      </c>
      <c r="P23" s="15"/>
      <c r="Q23" s="15"/>
      <c r="R23" s="15"/>
      <c r="S23" s="15"/>
      <c r="T23" s="15"/>
      <c r="U23" s="15"/>
      <c r="V23" s="15"/>
      <c r="W23" s="15"/>
      <c r="X23" s="15"/>
      <c r="Y23" s="15"/>
      <c r="Z23" s="15"/>
      <c r="AA23" s="15"/>
      <c r="AB23" s="15"/>
      <c r="AC23" s="15"/>
      <c r="AD23" s="15"/>
      <c r="AE23" s="15"/>
      <c r="AF23" s="15"/>
      <c r="AG23" s="15"/>
      <c r="AH23" s="15"/>
      <c r="AI23" s="15"/>
      <c r="AJ23" s="15"/>
      <c r="AK23" s="15"/>
      <c r="AL23" s="15"/>
      <c r="AM23" s="15"/>
      <c r="AN23" s="15"/>
      <c r="AO23" s="15"/>
      <c r="AP23" s="15"/>
      <c r="AQ23" s="15"/>
      <c r="AR23" s="15"/>
      <c r="AS23" s="15"/>
      <c r="AT23" s="15"/>
      <c r="AU23" s="15"/>
      <c r="AV23" s="15"/>
      <c r="AW23" s="15"/>
      <c r="AX23" s="15"/>
      <c r="AY23" s="15"/>
      <c r="AZ23" s="15"/>
      <c r="BA23" s="15"/>
      <c r="BB23" s="15"/>
      <c r="BC23" s="15"/>
      <c r="BH23" s="19" t="s">
        <v>2</v>
      </c>
      <c r="BI23" s="20">
        <f>C7+C22+C30+C39+C47</f>
        <v>132840</v>
      </c>
      <c r="BJ23" s="20">
        <f>D7+D22+D30+D39+D47</f>
        <v>145423</v>
      </c>
      <c r="BK23" s="20">
        <f>E7+E22+E30+E39+E47</f>
        <v>138522</v>
      </c>
      <c r="BL23" s="20">
        <f>F7+F22+F30+F39+F47</f>
        <v>126287</v>
      </c>
      <c r="BM23" s="20">
        <f>G7+G22+G30+G39+G47</f>
        <v>66440</v>
      </c>
      <c r="BN23" s="20">
        <f>H7+H22+H30+H39+H47</f>
        <v>66783</v>
      </c>
      <c r="BO23" s="20">
        <f>I7+I22+I30+I39+I47</f>
        <v>91865</v>
      </c>
      <c r="BP23" s="20">
        <f>J7+J22+J30+J39+J47</f>
        <v>99502</v>
      </c>
      <c r="BQ23" s="20">
        <f>K7+K22+K30+K39+K47</f>
        <v>77089</v>
      </c>
      <c r="BR23" s="20">
        <f>L7+L22+L30+L39+L47</f>
        <v>115194</v>
      </c>
      <c r="BS23" s="20">
        <f>M7+M22+M30+M39+M47</f>
        <v>126451</v>
      </c>
      <c r="BT23" s="20">
        <f>N7+N22+N30+N39+N47</f>
        <v>145074</v>
      </c>
      <c r="BU23" s="20">
        <f>SUM(BI23:BT23)</f>
        <v>1331470</v>
      </c>
    </row>
    <row r="24" spans="1:73" s="19" customFormat="1" ht="18" customHeight="1">
      <c r="A24" s="26" t="s">
        <v>85</v>
      </c>
      <c r="B24" s="27">
        <f t="shared" si="3"/>
        <v>3585</v>
      </c>
      <c r="C24" s="28">
        <v>512</v>
      </c>
      <c r="D24" s="28">
        <v>543</v>
      </c>
      <c r="E24" s="28">
        <v>341</v>
      </c>
      <c r="F24" s="28">
        <v>284</v>
      </c>
      <c r="G24" s="28">
        <v>120</v>
      </c>
      <c r="H24" s="28">
        <v>112</v>
      </c>
      <c r="I24" s="28">
        <v>120</v>
      </c>
      <c r="J24" s="28">
        <v>79</v>
      </c>
      <c r="K24" s="28">
        <v>179</v>
      </c>
      <c r="L24" s="28">
        <v>340</v>
      </c>
      <c r="M24" s="28">
        <v>359</v>
      </c>
      <c r="N24" s="28">
        <v>596</v>
      </c>
      <c r="O24" s="29" t="s">
        <v>6</v>
      </c>
      <c r="BH24" s="19" t="s">
        <v>16</v>
      </c>
      <c r="BI24" s="20">
        <f>C51</f>
        <v>61657</v>
      </c>
      <c r="BJ24" s="20">
        <f>D51</f>
        <v>48591</v>
      </c>
      <c r="BK24" s="20">
        <f>E51</f>
        <v>43763</v>
      </c>
      <c r="BL24" s="20">
        <f>F51</f>
        <v>47168</v>
      </c>
      <c r="BM24" s="20">
        <f>G51</f>
        <v>51203</v>
      </c>
      <c r="BN24" s="20">
        <f>H51</f>
        <v>52228</v>
      </c>
      <c r="BO24" s="20">
        <f>I51</f>
        <v>71270</v>
      </c>
      <c r="BP24" s="20">
        <f>J51</f>
        <v>72104</v>
      </c>
      <c r="BQ24" s="20">
        <f>K51</f>
        <v>54832</v>
      </c>
      <c r="BR24" s="20">
        <f>L51</f>
        <v>56520</v>
      </c>
      <c r="BS24" s="20">
        <f>M51</f>
        <v>46789</v>
      </c>
      <c r="BT24" s="20">
        <f>N51</f>
        <v>54171</v>
      </c>
      <c r="BU24" s="20">
        <f>SUM(BI24:BT24)</f>
        <v>660296</v>
      </c>
    </row>
    <row r="25" spans="1:73" s="19" customFormat="1" ht="18" customHeight="1">
      <c r="A25" s="26" t="s">
        <v>86</v>
      </c>
      <c r="B25" s="27">
        <f t="shared" si="3"/>
        <v>7114</v>
      </c>
      <c r="C25" s="28">
        <v>679</v>
      </c>
      <c r="D25" s="28">
        <v>777</v>
      </c>
      <c r="E25" s="28">
        <v>719</v>
      </c>
      <c r="F25" s="28">
        <v>709</v>
      </c>
      <c r="G25" s="28">
        <v>386</v>
      </c>
      <c r="H25" s="28">
        <v>445</v>
      </c>
      <c r="I25" s="28">
        <v>489</v>
      </c>
      <c r="J25" s="28">
        <v>391</v>
      </c>
      <c r="K25" s="28">
        <v>388</v>
      </c>
      <c r="L25" s="28">
        <v>734</v>
      </c>
      <c r="M25" s="28">
        <v>627</v>
      </c>
      <c r="N25" s="28">
        <v>770</v>
      </c>
      <c r="O25" s="29" t="s">
        <v>87</v>
      </c>
      <c r="P25" s="15"/>
      <c r="Q25" s="15"/>
      <c r="R25" s="15"/>
      <c r="S25" s="15"/>
      <c r="T25" s="15"/>
      <c r="U25" s="15"/>
      <c r="V25" s="15"/>
      <c r="W25" s="15"/>
      <c r="X25" s="15"/>
      <c r="Y25" s="15"/>
      <c r="Z25" s="15"/>
      <c r="AA25" s="15"/>
      <c r="AB25" s="15"/>
      <c r="AC25" s="15"/>
      <c r="AD25" s="15"/>
      <c r="AE25" s="15"/>
      <c r="AF25" s="15"/>
      <c r="AG25" s="15"/>
      <c r="AH25" s="15"/>
      <c r="AI25" s="15"/>
      <c r="AJ25" s="15"/>
      <c r="AK25" s="15"/>
      <c r="AL25" s="15"/>
      <c r="AM25" s="15"/>
      <c r="AN25" s="15"/>
      <c r="AO25" s="15"/>
      <c r="AP25" s="15"/>
      <c r="AQ25" s="15"/>
      <c r="AR25" s="15"/>
      <c r="AS25" s="15"/>
      <c r="AT25" s="15"/>
      <c r="AU25" s="15"/>
      <c r="AV25" s="15"/>
      <c r="AW25" s="15"/>
      <c r="AX25" s="15"/>
      <c r="AY25" s="15"/>
      <c r="AZ25" s="15"/>
      <c r="BA25" s="15"/>
      <c r="BB25" s="15"/>
      <c r="BC25" s="15"/>
      <c r="BH25" s="3" t="str">
        <f>A79</f>
        <v>America</v>
      </c>
      <c r="BI25" s="4">
        <f>C79</f>
        <v>10658</v>
      </c>
      <c r="BJ25" s="4">
        <f>D79</f>
        <v>10048</v>
      </c>
      <c r="BK25" s="4">
        <f>E79</f>
        <v>12107</v>
      </c>
      <c r="BL25" s="4">
        <f>F79</f>
        <v>9408</v>
      </c>
      <c r="BM25" s="4">
        <f>G79</f>
        <v>6745</v>
      </c>
      <c r="BN25" s="4">
        <f>H79</f>
        <v>6456</v>
      </c>
      <c r="BO25" s="4">
        <f>I79</f>
        <v>7300</v>
      </c>
      <c r="BP25" s="4">
        <f>J79</f>
        <v>5912</v>
      </c>
      <c r="BQ25" s="4">
        <f>K79</f>
        <v>6188</v>
      </c>
      <c r="BR25" s="4">
        <f>L79</f>
        <v>7824</v>
      </c>
      <c r="BS25" s="4">
        <f>M79</f>
        <v>10268</v>
      </c>
      <c r="BT25" s="4">
        <f>N79</f>
        <v>11709</v>
      </c>
    </row>
    <row r="26" spans="1:73" s="19" customFormat="1" ht="18" customHeight="1">
      <c r="A26" s="26" t="s">
        <v>89</v>
      </c>
      <c r="B26" s="27">
        <f t="shared" si="3"/>
        <v>5249</v>
      </c>
      <c r="C26" s="28">
        <v>497</v>
      </c>
      <c r="D26" s="28">
        <v>782</v>
      </c>
      <c r="E26" s="28">
        <v>356</v>
      </c>
      <c r="F26" s="28">
        <v>439</v>
      </c>
      <c r="G26" s="28">
        <v>135</v>
      </c>
      <c r="H26" s="28">
        <v>320</v>
      </c>
      <c r="I26" s="28">
        <v>736</v>
      </c>
      <c r="J26" s="28">
        <v>157</v>
      </c>
      <c r="K26" s="28">
        <v>269</v>
      </c>
      <c r="L26" s="28">
        <v>340</v>
      </c>
      <c r="M26" s="28">
        <v>446</v>
      </c>
      <c r="N26" s="28">
        <v>772</v>
      </c>
      <c r="O26" s="29" t="s">
        <v>90</v>
      </c>
      <c r="BH26" s="19" t="s">
        <v>88</v>
      </c>
      <c r="BI26" s="20">
        <f>SUM(BI32:BI35)</f>
        <v>9708</v>
      </c>
      <c r="BJ26" s="20">
        <f t="shared" ref="BJ26:BT26" si="5">SUM(BJ32:BJ35)</f>
        <v>10029</v>
      </c>
      <c r="BK26" s="20">
        <f t="shared" si="5"/>
        <v>9076</v>
      </c>
      <c r="BL26" s="20">
        <f t="shared" si="5"/>
        <v>15459</v>
      </c>
      <c r="BM26" s="20">
        <f t="shared" si="5"/>
        <v>11226</v>
      </c>
      <c r="BN26" s="20">
        <f t="shared" si="5"/>
        <v>16305</v>
      </c>
      <c r="BO26" s="20">
        <f t="shared" si="5"/>
        <v>16303</v>
      </c>
      <c r="BP26" s="20">
        <f t="shared" si="5"/>
        <v>14540</v>
      </c>
      <c r="BQ26" s="20">
        <f t="shared" si="5"/>
        <v>11454</v>
      </c>
      <c r="BR26" s="20">
        <f t="shared" si="5"/>
        <v>10907</v>
      </c>
      <c r="BS26" s="20">
        <f t="shared" si="5"/>
        <v>11619</v>
      </c>
      <c r="BT26" s="20">
        <f t="shared" si="5"/>
        <v>13501</v>
      </c>
    </row>
    <row r="27" spans="1:73" s="19" customFormat="1" ht="18" customHeight="1">
      <c r="A27" s="26" t="s">
        <v>91</v>
      </c>
      <c r="B27" s="27">
        <f t="shared" si="3"/>
        <v>12841</v>
      </c>
      <c r="C27" s="28">
        <v>1749</v>
      </c>
      <c r="D27" s="28">
        <v>2133</v>
      </c>
      <c r="E27" s="28">
        <v>1121</v>
      </c>
      <c r="F27" s="28">
        <v>803</v>
      </c>
      <c r="G27" s="28">
        <v>313</v>
      </c>
      <c r="H27" s="28">
        <v>321</v>
      </c>
      <c r="I27" s="28">
        <v>625</v>
      </c>
      <c r="J27" s="28">
        <v>277</v>
      </c>
      <c r="K27" s="28">
        <v>250</v>
      </c>
      <c r="L27" s="28">
        <v>1717</v>
      </c>
      <c r="M27" s="28">
        <v>1043</v>
      </c>
      <c r="N27" s="28">
        <v>2489</v>
      </c>
      <c r="O27" s="29" t="s">
        <v>92</v>
      </c>
      <c r="P27" s="15"/>
      <c r="Q27" s="15"/>
      <c r="R27" s="15"/>
      <c r="S27" s="15"/>
      <c r="T27" s="15"/>
      <c r="U27" s="15"/>
      <c r="V27" s="15"/>
      <c r="W27" s="15"/>
      <c r="X27" s="15"/>
      <c r="Y27" s="15"/>
      <c r="Z27" s="15"/>
      <c r="AA27" s="15"/>
      <c r="AB27" s="15"/>
      <c r="AC27" s="15"/>
      <c r="AD27" s="15"/>
      <c r="AE27" s="15"/>
      <c r="AF27" s="15"/>
      <c r="AG27" s="15"/>
      <c r="AH27" s="15"/>
      <c r="AI27" s="15"/>
      <c r="AJ27" s="15"/>
      <c r="AK27" s="15"/>
      <c r="AL27" s="15"/>
      <c r="AM27" s="15"/>
      <c r="AN27" s="15"/>
      <c r="AO27" s="15"/>
      <c r="AP27" s="15"/>
      <c r="AQ27" s="15"/>
      <c r="AR27" s="15"/>
      <c r="AS27" s="15"/>
      <c r="AT27" s="15"/>
      <c r="AU27" s="15"/>
      <c r="AV27" s="15"/>
      <c r="AW27" s="15"/>
      <c r="AX27" s="15"/>
      <c r="AY27" s="15"/>
      <c r="AZ27" s="15"/>
      <c r="BA27" s="15"/>
      <c r="BB27" s="15"/>
      <c r="BC27" s="15"/>
    </row>
    <row r="28" spans="1:73" s="19" customFormat="1" ht="18" customHeight="1">
      <c r="A28" s="26" t="s">
        <v>93</v>
      </c>
      <c r="B28" s="27">
        <f t="shared" si="3"/>
        <v>202172</v>
      </c>
      <c r="C28" s="28">
        <v>19011</v>
      </c>
      <c r="D28" s="28">
        <v>23210</v>
      </c>
      <c r="E28" s="28">
        <v>23183</v>
      </c>
      <c r="F28" s="28">
        <v>21909</v>
      </c>
      <c r="G28" s="28">
        <v>11382</v>
      </c>
      <c r="H28" s="28">
        <v>9676</v>
      </c>
      <c r="I28" s="28">
        <v>12914</v>
      </c>
      <c r="J28" s="28">
        <v>13177</v>
      </c>
      <c r="K28" s="28">
        <v>10503</v>
      </c>
      <c r="L28" s="28">
        <v>16774</v>
      </c>
      <c r="M28" s="28">
        <v>19562</v>
      </c>
      <c r="N28" s="28">
        <v>20871</v>
      </c>
      <c r="O28" s="29" t="s">
        <v>14</v>
      </c>
    </row>
    <row r="29" spans="1:73" s="19" customFormat="1" ht="18" customHeight="1">
      <c r="A29" s="26" t="s">
        <v>81</v>
      </c>
      <c r="B29" s="27">
        <f t="shared" si="3"/>
        <v>205</v>
      </c>
      <c r="C29" s="28">
        <v>25</v>
      </c>
      <c r="D29" s="28">
        <v>30</v>
      </c>
      <c r="E29" s="28">
        <v>15</v>
      </c>
      <c r="F29" s="28">
        <v>37</v>
      </c>
      <c r="G29" s="28">
        <v>11</v>
      </c>
      <c r="H29" s="28">
        <v>17</v>
      </c>
      <c r="I29" s="28">
        <v>1</v>
      </c>
      <c r="J29" s="28">
        <v>9</v>
      </c>
      <c r="K29" s="28">
        <v>6</v>
      </c>
      <c r="L29" s="28">
        <v>9</v>
      </c>
      <c r="M29" s="28">
        <v>23</v>
      </c>
      <c r="N29" s="28">
        <v>22</v>
      </c>
      <c r="O29" s="29" t="s">
        <v>15</v>
      </c>
      <c r="P29" s="15"/>
      <c r="Q29" s="15"/>
      <c r="R29" s="15"/>
      <c r="S29" s="15"/>
      <c r="T29" s="15"/>
      <c r="U29" s="15"/>
      <c r="V29" s="15"/>
      <c r="W29" s="15"/>
      <c r="X29" s="15"/>
      <c r="Y29" s="15"/>
      <c r="Z29" s="15"/>
      <c r="AA29" s="15"/>
      <c r="AB29" s="15"/>
      <c r="AC29" s="15"/>
      <c r="AD29" s="15"/>
      <c r="AE29" s="15"/>
      <c r="AF29" s="15"/>
      <c r="AG29" s="15"/>
      <c r="AH29" s="15"/>
      <c r="AI29" s="15"/>
      <c r="AJ29" s="15"/>
      <c r="AK29" s="15"/>
      <c r="AL29" s="15"/>
      <c r="AM29" s="15"/>
      <c r="AN29" s="15"/>
      <c r="AO29" s="15"/>
      <c r="AP29" s="15"/>
      <c r="AQ29" s="15"/>
      <c r="AR29" s="15"/>
      <c r="AS29" s="15"/>
      <c r="AT29" s="15"/>
      <c r="AU29" s="15"/>
      <c r="AV29" s="15"/>
      <c r="AW29" s="15"/>
      <c r="AX29" s="15"/>
      <c r="AY29" s="15"/>
      <c r="AZ29" s="15"/>
      <c r="BA29" s="15"/>
      <c r="BB29" s="15"/>
      <c r="BC29" s="15"/>
      <c r="BH29" s="23"/>
      <c r="BI29" s="4"/>
      <c r="BJ29" s="20"/>
      <c r="BK29" s="20"/>
      <c r="BL29" s="20"/>
      <c r="BM29" s="20"/>
      <c r="BN29" s="20"/>
      <c r="BO29" s="20"/>
      <c r="BP29" s="20"/>
      <c r="BQ29" s="20"/>
      <c r="BR29" s="20"/>
      <c r="BS29" s="20"/>
      <c r="BT29" s="20"/>
    </row>
    <row r="30" spans="1:73" s="19" customFormat="1" ht="18" customHeight="1">
      <c r="A30" s="24" t="s">
        <v>48</v>
      </c>
      <c r="B30" s="27">
        <f>SUM(C30:N30)</f>
        <v>256123</v>
      </c>
      <c r="C30" s="31">
        <f>SUM(C31:C38)</f>
        <v>27232</v>
      </c>
      <c r="D30" s="31">
        <f t="shared" ref="D30:N30" si="6">SUM(D31:D38)</f>
        <v>27378</v>
      </c>
      <c r="E30" s="31">
        <f t="shared" si="6"/>
        <v>26982</v>
      </c>
      <c r="F30" s="31">
        <f t="shared" si="6"/>
        <v>28269</v>
      </c>
      <c r="G30" s="31">
        <f t="shared" si="6"/>
        <v>10017</v>
      </c>
      <c r="H30" s="31">
        <f t="shared" si="6"/>
        <v>11007</v>
      </c>
      <c r="I30" s="31">
        <f t="shared" si="6"/>
        <v>15145</v>
      </c>
      <c r="J30" s="31">
        <f t="shared" si="6"/>
        <v>25609</v>
      </c>
      <c r="K30" s="31">
        <f t="shared" si="6"/>
        <v>14393</v>
      </c>
      <c r="L30" s="31">
        <f t="shared" si="6"/>
        <v>16415</v>
      </c>
      <c r="M30" s="31">
        <f t="shared" si="6"/>
        <v>21424</v>
      </c>
      <c r="N30" s="31">
        <f t="shared" si="6"/>
        <v>32252</v>
      </c>
      <c r="O30" s="32" t="s">
        <v>94</v>
      </c>
      <c r="BI30" s="20"/>
      <c r="BU30" s="20"/>
    </row>
    <row r="31" spans="1:73" s="19" customFormat="1" ht="18" customHeight="1">
      <c r="A31" s="26" t="s">
        <v>95</v>
      </c>
      <c r="B31" s="27">
        <f t="shared" si="3"/>
        <v>4332</v>
      </c>
      <c r="C31" s="31">
        <v>524</v>
      </c>
      <c r="D31" s="31">
        <v>868</v>
      </c>
      <c r="E31" s="31">
        <v>428</v>
      </c>
      <c r="F31" s="28">
        <v>309</v>
      </c>
      <c r="G31" s="28">
        <v>133</v>
      </c>
      <c r="H31" s="28">
        <v>131</v>
      </c>
      <c r="I31" s="31">
        <v>224</v>
      </c>
      <c r="J31" s="31">
        <v>261</v>
      </c>
      <c r="K31" s="31">
        <v>145</v>
      </c>
      <c r="L31" s="31">
        <v>286</v>
      </c>
      <c r="M31" s="31">
        <v>446</v>
      </c>
      <c r="N31" s="31">
        <v>577</v>
      </c>
      <c r="O31" s="40" t="s">
        <v>96</v>
      </c>
      <c r="BI31" s="4"/>
      <c r="BJ31" s="20"/>
      <c r="BK31" s="20"/>
      <c r="BL31" s="20"/>
      <c r="BM31" s="20"/>
      <c r="BN31" s="20"/>
      <c r="BO31" s="20"/>
      <c r="BP31" s="20"/>
      <c r="BQ31" s="20"/>
      <c r="BR31" s="20"/>
      <c r="BS31" s="20"/>
      <c r="BT31" s="20"/>
    </row>
    <row r="32" spans="1:73" s="19" customFormat="1" ht="18" customHeight="1">
      <c r="A32" s="26" t="s">
        <v>97</v>
      </c>
      <c r="B32" s="27">
        <f t="shared" si="3"/>
        <v>4446</v>
      </c>
      <c r="C32" s="28">
        <v>390</v>
      </c>
      <c r="D32" s="28">
        <v>451</v>
      </c>
      <c r="E32" s="28">
        <v>405</v>
      </c>
      <c r="F32" s="28">
        <v>427</v>
      </c>
      <c r="G32" s="28">
        <v>96</v>
      </c>
      <c r="H32" s="28">
        <v>89</v>
      </c>
      <c r="I32" s="28">
        <v>175</v>
      </c>
      <c r="J32" s="28">
        <v>490</v>
      </c>
      <c r="K32" s="28">
        <v>195</v>
      </c>
      <c r="L32" s="28">
        <v>317</v>
      </c>
      <c r="M32" s="28">
        <v>427</v>
      </c>
      <c r="N32" s="28">
        <v>984</v>
      </c>
      <c r="O32" s="29" t="s">
        <v>8</v>
      </c>
      <c r="P32" s="15"/>
      <c r="Q32" s="15"/>
      <c r="R32" s="15"/>
      <c r="S32" s="15"/>
      <c r="T32" s="15"/>
      <c r="U32" s="15"/>
      <c r="V32" s="15"/>
      <c r="W32" s="15"/>
      <c r="X32" s="15"/>
      <c r="Y32" s="15"/>
      <c r="Z32" s="15"/>
      <c r="AA32" s="15"/>
      <c r="AB32" s="15"/>
      <c r="AC32" s="15"/>
      <c r="AD32" s="15"/>
      <c r="AE32" s="15"/>
      <c r="AF32" s="15"/>
      <c r="AG32" s="15"/>
      <c r="AH32" s="15"/>
      <c r="AI32" s="15"/>
      <c r="AJ32" s="15"/>
      <c r="AK32" s="15"/>
      <c r="AL32" s="15"/>
      <c r="AM32" s="15"/>
      <c r="AN32" s="15"/>
      <c r="AO32" s="15"/>
      <c r="AP32" s="15"/>
      <c r="AQ32" s="15"/>
      <c r="AR32" s="15"/>
      <c r="AS32" s="15"/>
      <c r="AT32" s="15"/>
      <c r="AU32" s="15"/>
      <c r="AV32" s="15"/>
      <c r="AW32" s="15"/>
      <c r="AX32" s="15"/>
      <c r="AY32" s="15"/>
      <c r="AZ32" s="15"/>
      <c r="BA32" s="15"/>
      <c r="BB32" s="15"/>
      <c r="BC32" s="15"/>
      <c r="BH32" s="19" t="str">
        <f>A74</f>
        <v>Africa</v>
      </c>
      <c r="BI32" s="20">
        <f>C74</f>
        <v>1489</v>
      </c>
      <c r="BJ32" s="20">
        <f>D74</f>
        <v>1323</v>
      </c>
      <c r="BK32" s="20">
        <f>E74</f>
        <v>1334</v>
      </c>
      <c r="BL32" s="20">
        <f>F74</f>
        <v>2217</v>
      </c>
      <c r="BM32" s="20">
        <f>G74</f>
        <v>1417</v>
      </c>
      <c r="BN32" s="20">
        <f>H74</f>
        <v>1602</v>
      </c>
      <c r="BO32" s="20">
        <f>I74</f>
        <v>2122</v>
      </c>
      <c r="BP32" s="20">
        <f>J74</f>
        <v>1938</v>
      </c>
      <c r="BQ32" s="20">
        <f>K74</f>
        <v>1943</v>
      </c>
      <c r="BR32" s="20">
        <f>L74</f>
        <v>1789</v>
      </c>
      <c r="BS32" s="20">
        <f>M74</f>
        <v>1578</v>
      </c>
      <c r="BT32" s="20">
        <f>N74</f>
        <v>3078</v>
      </c>
    </row>
    <row r="33" spans="1:72" s="19" customFormat="1" ht="18" customHeight="1">
      <c r="A33" s="26" t="s">
        <v>98</v>
      </c>
      <c r="B33" s="27">
        <f t="shared" si="3"/>
        <v>153414</v>
      </c>
      <c r="C33" s="28">
        <v>19780</v>
      </c>
      <c r="D33" s="28">
        <v>19135</v>
      </c>
      <c r="E33" s="28">
        <v>19105</v>
      </c>
      <c r="F33" s="28">
        <v>18627</v>
      </c>
      <c r="G33" s="28">
        <v>4980</v>
      </c>
      <c r="H33" s="28">
        <v>5353</v>
      </c>
      <c r="I33" s="28">
        <v>6295</v>
      </c>
      <c r="J33" s="28">
        <v>13211</v>
      </c>
      <c r="K33" s="28">
        <v>6162</v>
      </c>
      <c r="L33" s="28">
        <v>7595</v>
      </c>
      <c r="M33" s="28">
        <v>11883</v>
      </c>
      <c r="N33" s="28">
        <v>21288</v>
      </c>
      <c r="O33" s="29" t="s">
        <v>9</v>
      </c>
    </row>
    <row r="34" spans="1:72" s="19" customFormat="1" ht="18" customHeight="1">
      <c r="A34" s="26" t="s">
        <v>99</v>
      </c>
      <c r="B34" s="27">
        <f t="shared" si="3"/>
        <v>16557</v>
      </c>
      <c r="C34" s="28">
        <v>1040</v>
      </c>
      <c r="D34" s="28">
        <v>841</v>
      </c>
      <c r="E34" s="28">
        <v>1475</v>
      </c>
      <c r="F34" s="28">
        <v>2116</v>
      </c>
      <c r="G34" s="28">
        <v>1211</v>
      </c>
      <c r="H34" s="28">
        <v>1293</v>
      </c>
      <c r="I34" s="28">
        <v>1451</v>
      </c>
      <c r="J34" s="28">
        <v>1708</v>
      </c>
      <c r="K34" s="28">
        <v>1439</v>
      </c>
      <c r="L34" s="28">
        <v>1292</v>
      </c>
      <c r="M34" s="28">
        <v>1166</v>
      </c>
      <c r="N34" s="28">
        <v>1525</v>
      </c>
      <c r="O34" s="29" t="s">
        <v>10</v>
      </c>
      <c r="P34" s="15"/>
      <c r="Q34" s="15"/>
      <c r="R34" s="15"/>
      <c r="S34" s="15"/>
      <c r="T34" s="15"/>
      <c r="U34" s="15"/>
      <c r="V34" s="15"/>
      <c r="W34" s="15"/>
      <c r="X34" s="15"/>
      <c r="Y34" s="15"/>
      <c r="Z34" s="15"/>
      <c r="AA34" s="15"/>
      <c r="AB34" s="15"/>
      <c r="AC34" s="15"/>
      <c r="AD34" s="15"/>
      <c r="AE34" s="15"/>
      <c r="AF34" s="15"/>
      <c r="AG34" s="15"/>
      <c r="AH34" s="15"/>
      <c r="AI34" s="15"/>
      <c r="AJ34" s="15"/>
      <c r="AK34" s="15"/>
      <c r="AL34" s="15"/>
      <c r="AM34" s="15"/>
      <c r="AN34" s="15"/>
      <c r="AO34" s="15"/>
      <c r="AP34" s="15"/>
      <c r="AQ34" s="15"/>
      <c r="AR34" s="15"/>
      <c r="AS34" s="15"/>
      <c r="AT34" s="15"/>
      <c r="AU34" s="15"/>
      <c r="AV34" s="15"/>
      <c r="AW34" s="15"/>
      <c r="AX34" s="15"/>
      <c r="AY34" s="15"/>
      <c r="AZ34" s="15"/>
      <c r="BA34" s="15"/>
      <c r="BB34" s="15"/>
      <c r="BC34" s="15"/>
      <c r="BH34" s="3" t="str">
        <f>A86</f>
        <v>Oceania</v>
      </c>
      <c r="BI34" s="4">
        <f>C86</f>
        <v>3405</v>
      </c>
      <c r="BJ34" s="4">
        <f>D86</f>
        <v>2675</v>
      </c>
      <c r="BK34" s="4">
        <f>E86</f>
        <v>3892</v>
      </c>
      <c r="BL34" s="4">
        <f>F86</f>
        <v>5409</v>
      </c>
      <c r="BM34" s="4">
        <f>G86</f>
        <v>3697</v>
      </c>
      <c r="BN34" s="4">
        <f>H86</f>
        <v>3445</v>
      </c>
      <c r="BO34" s="4">
        <f>I86</f>
        <v>4186</v>
      </c>
      <c r="BP34" s="4">
        <f>J86</f>
        <v>2931</v>
      </c>
      <c r="BQ34" s="4">
        <f>K86</f>
        <v>4082</v>
      </c>
      <c r="BR34" s="4">
        <f>L86</f>
        <v>4306</v>
      </c>
      <c r="BS34" s="4">
        <f>M86</f>
        <v>3776</v>
      </c>
      <c r="BT34" s="4">
        <f>N86</f>
        <v>3935</v>
      </c>
    </row>
    <row r="35" spans="1:72" s="19" customFormat="1" ht="18" customHeight="1">
      <c r="A35" s="26" t="s">
        <v>100</v>
      </c>
      <c r="B35" s="27">
        <f t="shared" si="3"/>
        <v>7038</v>
      </c>
      <c r="C35" s="28">
        <v>1110</v>
      </c>
      <c r="D35" s="28">
        <v>904</v>
      </c>
      <c r="E35" s="28">
        <v>705</v>
      </c>
      <c r="F35" s="28">
        <v>565</v>
      </c>
      <c r="G35" s="28">
        <v>264</v>
      </c>
      <c r="H35" s="28">
        <v>386</v>
      </c>
      <c r="I35" s="28">
        <v>541</v>
      </c>
      <c r="J35" s="28">
        <v>590</v>
      </c>
      <c r="K35" s="28">
        <v>439</v>
      </c>
      <c r="L35" s="28">
        <v>444</v>
      </c>
      <c r="M35" s="28">
        <v>542</v>
      </c>
      <c r="N35" s="28">
        <v>548</v>
      </c>
      <c r="O35" s="29" t="s">
        <v>101</v>
      </c>
      <c r="P35" s="15"/>
      <c r="Q35" s="15"/>
      <c r="R35" s="15"/>
      <c r="S35" s="15"/>
      <c r="T35" s="15"/>
      <c r="U35" s="15"/>
      <c r="V35" s="15"/>
      <c r="W35" s="15"/>
      <c r="X35" s="15"/>
      <c r="Y35" s="15"/>
      <c r="Z35" s="15"/>
      <c r="AA35" s="15"/>
      <c r="AB35" s="15"/>
      <c r="AC35" s="15"/>
      <c r="AD35" s="15"/>
      <c r="AE35" s="15"/>
      <c r="AF35" s="15"/>
      <c r="AG35" s="15"/>
      <c r="AH35" s="15"/>
      <c r="AI35" s="15"/>
      <c r="AJ35" s="15"/>
      <c r="AK35" s="15"/>
      <c r="AL35" s="15"/>
      <c r="AM35" s="15"/>
      <c r="AN35" s="15"/>
      <c r="AO35" s="15"/>
      <c r="AP35" s="15"/>
      <c r="AQ35" s="15"/>
      <c r="AR35" s="15"/>
      <c r="AS35" s="15"/>
      <c r="AT35" s="15"/>
      <c r="AU35" s="15"/>
      <c r="AV35" s="15"/>
      <c r="AW35" s="15"/>
      <c r="AX35" s="15"/>
      <c r="AY35" s="15"/>
      <c r="AZ35" s="15"/>
      <c r="BA35" s="15"/>
      <c r="BB35" s="15"/>
      <c r="BC35" s="15"/>
      <c r="BH35" s="19" t="str">
        <f>A90</f>
        <v>Middle East</v>
      </c>
      <c r="BI35" s="20">
        <f>C90</f>
        <v>4814</v>
      </c>
      <c r="BJ35" s="20">
        <f>D90</f>
        <v>6031</v>
      </c>
      <c r="BK35" s="20">
        <f>E90</f>
        <v>3850</v>
      </c>
      <c r="BL35" s="20">
        <f>F90</f>
        <v>7833</v>
      </c>
      <c r="BM35" s="20">
        <f>G90</f>
        <v>6112</v>
      </c>
      <c r="BN35" s="20">
        <f>H90</f>
        <v>11258</v>
      </c>
      <c r="BO35" s="20">
        <f>I90</f>
        <v>9995</v>
      </c>
      <c r="BP35" s="20">
        <f>J90</f>
        <v>9671</v>
      </c>
      <c r="BQ35" s="20">
        <f>K90</f>
        <v>5429</v>
      </c>
      <c r="BR35" s="20">
        <f>L90</f>
        <v>4812</v>
      </c>
      <c r="BS35" s="20">
        <f>M90</f>
        <v>6265</v>
      </c>
      <c r="BT35" s="20">
        <f>N90</f>
        <v>6488</v>
      </c>
    </row>
    <row r="36" spans="1:72" s="19" customFormat="1" ht="18" customHeight="1">
      <c r="A36" s="26" t="s">
        <v>102</v>
      </c>
      <c r="B36" s="27">
        <f t="shared" si="3"/>
        <v>7108</v>
      </c>
      <c r="C36" s="28">
        <v>655</v>
      </c>
      <c r="D36" s="28">
        <v>1567</v>
      </c>
      <c r="E36" s="28">
        <v>524</v>
      </c>
      <c r="F36" s="28">
        <v>650</v>
      </c>
      <c r="G36" s="28">
        <v>182</v>
      </c>
      <c r="H36" s="28">
        <v>182</v>
      </c>
      <c r="I36" s="28">
        <v>517</v>
      </c>
      <c r="J36" s="28">
        <v>231</v>
      </c>
      <c r="K36" s="28">
        <v>222</v>
      </c>
      <c r="L36" s="28">
        <v>932</v>
      </c>
      <c r="M36" s="28">
        <v>511</v>
      </c>
      <c r="N36" s="28">
        <v>935</v>
      </c>
      <c r="O36" s="29" t="s">
        <v>103</v>
      </c>
      <c r="BH36" s="20"/>
      <c r="BI36" s="4"/>
    </row>
    <row r="37" spans="1:72" s="19" customFormat="1" ht="18" customHeight="1">
      <c r="A37" s="26" t="s">
        <v>104</v>
      </c>
      <c r="B37" s="27">
        <f t="shared" si="3"/>
        <v>55489</v>
      </c>
      <c r="C37" s="28">
        <v>2885</v>
      </c>
      <c r="D37" s="28">
        <v>2861</v>
      </c>
      <c r="E37" s="28">
        <v>3706</v>
      </c>
      <c r="F37" s="28">
        <v>4767</v>
      </c>
      <c r="G37" s="28">
        <v>2757</v>
      </c>
      <c r="H37" s="28">
        <v>3215</v>
      </c>
      <c r="I37" s="28">
        <v>5487</v>
      </c>
      <c r="J37" s="28">
        <v>8577</v>
      </c>
      <c r="K37" s="28">
        <v>5166</v>
      </c>
      <c r="L37" s="28">
        <v>4932</v>
      </c>
      <c r="M37" s="28">
        <v>5707</v>
      </c>
      <c r="N37" s="28">
        <v>5429</v>
      </c>
      <c r="O37" s="29" t="s">
        <v>13</v>
      </c>
      <c r="P37" s="15"/>
      <c r="Q37" s="15"/>
      <c r="R37" s="15"/>
      <c r="S37" s="15"/>
      <c r="T37" s="15"/>
      <c r="U37" s="15"/>
      <c r="V37" s="15"/>
      <c r="W37" s="15"/>
      <c r="X37" s="15"/>
      <c r="Y37" s="15"/>
      <c r="Z37" s="15"/>
      <c r="AA37" s="15"/>
      <c r="AB37" s="15"/>
      <c r="AC37" s="15"/>
      <c r="AD37" s="15"/>
      <c r="AE37" s="15"/>
      <c r="AF37" s="15"/>
      <c r="AG37" s="15"/>
      <c r="AH37" s="15"/>
      <c r="AI37" s="15"/>
      <c r="AJ37" s="15"/>
      <c r="AK37" s="15"/>
      <c r="AL37" s="15"/>
      <c r="AM37" s="15"/>
      <c r="AN37" s="15"/>
      <c r="AO37" s="15"/>
      <c r="AP37" s="15"/>
      <c r="AQ37" s="15"/>
      <c r="AR37" s="15"/>
      <c r="AS37" s="15"/>
      <c r="AT37" s="15"/>
      <c r="AU37" s="15"/>
      <c r="AV37" s="15"/>
      <c r="AW37" s="15"/>
      <c r="AX37" s="15"/>
      <c r="AY37" s="15"/>
      <c r="AZ37" s="15"/>
      <c r="BA37" s="15"/>
      <c r="BB37" s="15"/>
      <c r="BC37" s="15"/>
      <c r="BH37" s="23"/>
      <c r="BI37" s="4"/>
    </row>
    <row r="38" spans="1:72" s="19" customFormat="1" ht="18" customHeight="1">
      <c r="A38" s="26" t="s">
        <v>81</v>
      </c>
      <c r="B38" s="27">
        <f t="shared" si="3"/>
        <v>7739</v>
      </c>
      <c r="C38" s="28">
        <v>848</v>
      </c>
      <c r="D38" s="28">
        <v>751</v>
      </c>
      <c r="E38" s="28">
        <v>634</v>
      </c>
      <c r="F38" s="28">
        <v>808</v>
      </c>
      <c r="G38" s="28">
        <v>394</v>
      </c>
      <c r="H38" s="28">
        <v>358</v>
      </c>
      <c r="I38" s="28">
        <v>455</v>
      </c>
      <c r="J38" s="28">
        <v>541</v>
      </c>
      <c r="K38" s="28">
        <v>625</v>
      </c>
      <c r="L38" s="28">
        <v>617</v>
      </c>
      <c r="M38" s="28">
        <v>742</v>
      </c>
      <c r="N38" s="28">
        <v>966</v>
      </c>
      <c r="O38" s="29" t="s">
        <v>15</v>
      </c>
      <c r="BI38" s="4"/>
    </row>
    <row r="39" spans="1:72" s="19" customFormat="1" ht="18" customHeight="1">
      <c r="A39" s="24" t="s">
        <v>49</v>
      </c>
      <c r="B39" s="27">
        <f t="shared" si="3"/>
        <v>329856</v>
      </c>
      <c r="C39" s="31">
        <f>SUM(C40:C46)</f>
        <v>29357</v>
      </c>
      <c r="D39" s="31">
        <f t="shared" ref="D39:N39" si="7">SUM(D40:D46)</f>
        <v>37472</v>
      </c>
      <c r="E39" s="31">
        <f t="shared" si="7"/>
        <v>35896</v>
      </c>
      <c r="F39" s="31">
        <f t="shared" si="7"/>
        <v>38560</v>
      </c>
      <c r="G39" s="31">
        <f t="shared" si="7"/>
        <v>16641</v>
      </c>
      <c r="H39" s="31">
        <f t="shared" si="7"/>
        <v>12405</v>
      </c>
      <c r="I39" s="31">
        <f t="shared" si="7"/>
        <v>19180</v>
      </c>
      <c r="J39" s="31">
        <f t="shared" si="7"/>
        <v>21252</v>
      </c>
      <c r="K39" s="31">
        <f t="shared" si="7"/>
        <v>19066</v>
      </c>
      <c r="L39" s="31">
        <f t="shared" si="7"/>
        <v>33860</v>
      </c>
      <c r="M39" s="31">
        <f t="shared" si="7"/>
        <v>33472</v>
      </c>
      <c r="N39" s="31">
        <f t="shared" si="7"/>
        <v>32695</v>
      </c>
      <c r="O39" s="32" t="s">
        <v>105</v>
      </c>
      <c r="P39" s="15"/>
      <c r="Q39" s="15"/>
      <c r="R39" s="15"/>
      <c r="S39" s="15"/>
      <c r="T39" s="15"/>
      <c r="U39" s="15"/>
      <c r="V39" s="15"/>
      <c r="W39" s="15"/>
      <c r="X39" s="15"/>
      <c r="Y39" s="15"/>
      <c r="Z39" s="15"/>
      <c r="AA39" s="15"/>
      <c r="AB39" s="15"/>
      <c r="AC39" s="15"/>
      <c r="AD39" s="15"/>
      <c r="AE39" s="15"/>
      <c r="AF39" s="15"/>
      <c r="AG39" s="15"/>
      <c r="AH39" s="15"/>
      <c r="AI39" s="15"/>
      <c r="AJ39" s="15"/>
      <c r="AK39" s="15"/>
      <c r="AL39" s="15"/>
      <c r="AM39" s="15"/>
      <c r="AN39" s="15"/>
      <c r="AO39" s="15"/>
      <c r="AP39" s="15"/>
      <c r="AQ39" s="15"/>
      <c r="AR39" s="15"/>
      <c r="AS39" s="15"/>
      <c r="AT39" s="15"/>
      <c r="AU39" s="15"/>
      <c r="AV39" s="15"/>
      <c r="AW39" s="15"/>
      <c r="AX39" s="15"/>
      <c r="AY39" s="15"/>
      <c r="AZ39" s="15"/>
      <c r="BA39" s="15"/>
      <c r="BB39" s="15"/>
      <c r="BC39" s="15"/>
      <c r="BI39" s="4"/>
    </row>
    <row r="40" spans="1:72" s="19" customFormat="1" ht="18" customHeight="1">
      <c r="A40" s="26" t="s">
        <v>106</v>
      </c>
      <c r="B40" s="27">
        <f t="shared" si="3"/>
        <v>33238</v>
      </c>
      <c r="C40" s="28">
        <v>3588</v>
      </c>
      <c r="D40" s="28">
        <v>4402</v>
      </c>
      <c r="E40" s="28">
        <v>3500</v>
      </c>
      <c r="F40" s="28">
        <v>3231</v>
      </c>
      <c r="G40" s="28">
        <v>1372</v>
      </c>
      <c r="H40" s="28">
        <v>826</v>
      </c>
      <c r="I40" s="28">
        <v>2523</v>
      </c>
      <c r="J40" s="28">
        <v>1903</v>
      </c>
      <c r="K40" s="28">
        <v>1149</v>
      </c>
      <c r="L40" s="28">
        <v>3162</v>
      </c>
      <c r="M40" s="28">
        <v>3639</v>
      </c>
      <c r="N40" s="28">
        <v>3943</v>
      </c>
      <c r="O40" s="29" t="s">
        <v>4</v>
      </c>
    </row>
    <row r="41" spans="1:72" s="19" customFormat="1" ht="18" customHeight="1">
      <c r="A41" s="26" t="s">
        <v>107</v>
      </c>
      <c r="B41" s="27">
        <f t="shared" si="3"/>
        <v>8655</v>
      </c>
      <c r="C41" s="28">
        <v>915</v>
      </c>
      <c r="D41" s="28">
        <v>1046</v>
      </c>
      <c r="E41" s="28">
        <v>1028</v>
      </c>
      <c r="F41" s="28">
        <v>961</v>
      </c>
      <c r="G41" s="28">
        <v>376</v>
      </c>
      <c r="H41" s="28">
        <v>277</v>
      </c>
      <c r="I41" s="28">
        <v>625</v>
      </c>
      <c r="J41" s="28">
        <v>479</v>
      </c>
      <c r="K41" s="28">
        <v>522</v>
      </c>
      <c r="L41" s="28">
        <v>744</v>
      </c>
      <c r="M41" s="28">
        <v>729</v>
      </c>
      <c r="N41" s="28">
        <v>953</v>
      </c>
      <c r="O41" s="29" t="s">
        <v>5</v>
      </c>
      <c r="P41" s="15"/>
      <c r="Q41" s="15"/>
      <c r="R41" s="15"/>
      <c r="S41" s="15"/>
      <c r="T41" s="15"/>
      <c r="U41" s="15"/>
      <c r="V41" s="15"/>
      <c r="W41" s="15"/>
      <c r="X41" s="15"/>
      <c r="Y41" s="15"/>
      <c r="Z41" s="15"/>
      <c r="AA41" s="15"/>
      <c r="AB41" s="15"/>
      <c r="AC41" s="15"/>
      <c r="AD41" s="15"/>
      <c r="AE41" s="15"/>
      <c r="AF41" s="15"/>
      <c r="AG41" s="15"/>
      <c r="AH41" s="15"/>
      <c r="AI41" s="15"/>
      <c r="AJ41" s="15"/>
      <c r="AK41" s="15"/>
      <c r="AL41" s="15"/>
      <c r="AM41" s="15"/>
      <c r="AN41" s="15"/>
      <c r="AO41" s="15"/>
      <c r="AP41" s="15"/>
      <c r="AQ41" s="15"/>
      <c r="AR41" s="15"/>
      <c r="AS41" s="15"/>
      <c r="AT41" s="15"/>
      <c r="AU41" s="15"/>
      <c r="AV41" s="15"/>
      <c r="AW41" s="15"/>
      <c r="AX41" s="15"/>
      <c r="AY41" s="15"/>
      <c r="AZ41" s="15"/>
      <c r="BA41" s="15"/>
      <c r="BB41" s="15"/>
      <c r="BC41" s="15"/>
    </row>
    <row r="42" spans="1:72" s="19" customFormat="1" ht="18" customHeight="1">
      <c r="A42" s="26" t="s">
        <v>108</v>
      </c>
      <c r="B42" s="27">
        <f t="shared" si="3"/>
        <v>58078</v>
      </c>
      <c r="C42" s="28">
        <v>7324</v>
      </c>
      <c r="D42" s="28">
        <v>10590</v>
      </c>
      <c r="E42" s="28">
        <v>7604</v>
      </c>
      <c r="F42" s="28">
        <v>6127</v>
      </c>
      <c r="G42" s="28">
        <v>2510</v>
      </c>
      <c r="H42" s="28">
        <v>1356</v>
      </c>
      <c r="I42" s="28">
        <v>2068</v>
      </c>
      <c r="J42" s="28">
        <v>3483</v>
      </c>
      <c r="K42" s="28">
        <v>2089</v>
      </c>
      <c r="L42" s="28">
        <v>3858</v>
      </c>
      <c r="M42" s="28">
        <v>4522</v>
      </c>
      <c r="N42" s="28">
        <v>6547</v>
      </c>
      <c r="O42" s="29" t="s">
        <v>7</v>
      </c>
    </row>
    <row r="43" spans="1:72" s="19" customFormat="1" ht="18" customHeight="1">
      <c r="A43" s="26" t="s">
        <v>109</v>
      </c>
      <c r="B43" s="27">
        <f t="shared" si="3"/>
        <v>167822</v>
      </c>
      <c r="C43" s="28">
        <v>12527</v>
      </c>
      <c r="D43" s="28">
        <v>14119</v>
      </c>
      <c r="E43" s="28">
        <v>17620</v>
      </c>
      <c r="F43" s="28">
        <v>19667</v>
      </c>
      <c r="G43" s="28">
        <v>9839</v>
      </c>
      <c r="H43" s="28">
        <v>8416</v>
      </c>
      <c r="I43" s="28">
        <v>9489</v>
      </c>
      <c r="J43" s="28">
        <v>11132</v>
      </c>
      <c r="K43" s="28">
        <v>11805</v>
      </c>
      <c r="L43" s="28">
        <v>19849</v>
      </c>
      <c r="M43" s="28">
        <v>18276</v>
      </c>
      <c r="N43" s="28">
        <v>15083</v>
      </c>
      <c r="O43" s="29" t="s">
        <v>110</v>
      </c>
      <c r="P43" s="15"/>
      <c r="Q43" s="15"/>
      <c r="R43" s="15"/>
      <c r="S43" s="15"/>
      <c r="T43" s="15"/>
      <c r="U43" s="15"/>
      <c r="V43" s="15"/>
      <c r="W43" s="15"/>
      <c r="X43" s="15"/>
      <c r="Y43" s="15"/>
      <c r="Z43" s="15"/>
      <c r="AA43" s="15"/>
      <c r="AB43" s="15"/>
      <c r="AC43" s="15"/>
      <c r="AD43" s="15"/>
      <c r="AE43" s="15"/>
      <c r="AF43" s="15"/>
      <c r="AG43" s="15"/>
      <c r="AH43" s="15"/>
      <c r="AI43" s="15"/>
      <c r="AJ43" s="15"/>
      <c r="AK43" s="15"/>
      <c r="AL43" s="15"/>
      <c r="AM43" s="15"/>
      <c r="AN43" s="15"/>
      <c r="AO43" s="15"/>
      <c r="AP43" s="15"/>
      <c r="AQ43" s="15"/>
      <c r="AR43" s="15"/>
      <c r="AS43" s="15"/>
      <c r="AT43" s="15"/>
      <c r="AU43" s="15"/>
      <c r="AV43" s="15"/>
      <c r="AW43" s="15"/>
      <c r="AX43" s="15"/>
      <c r="AY43" s="15"/>
      <c r="AZ43" s="15"/>
      <c r="BA43" s="15"/>
      <c r="BB43" s="15"/>
      <c r="BC43" s="15"/>
    </row>
    <row r="44" spans="1:72" s="19" customFormat="1" ht="18" customHeight="1">
      <c r="A44" s="30" t="s">
        <v>111</v>
      </c>
      <c r="B44" s="27">
        <f t="shared" si="3"/>
        <v>17506</v>
      </c>
      <c r="C44" s="28">
        <v>1388</v>
      </c>
      <c r="D44" s="28">
        <v>1730</v>
      </c>
      <c r="E44" s="28">
        <v>1473</v>
      </c>
      <c r="F44" s="28">
        <v>1484</v>
      </c>
      <c r="G44" s="28">
        <v>854</v>
      </c>
      <c r="H44" s="28">
        <v>546</v>
      </c>
      <c r="I44" s="28">
        <v>1835</v>
      </c>
      <c r="J44" s="28">
        <v>2948</v>
      </c>
      <c r="K44" s="28">
        <v>1055</v>
      </c>
      <c r="L44" s="28">
        <v>1333</v>
      </c>
      <c r="M44" s="28">
        <v>1302</v>
      </c>
      <c r="N44" s="28">
        <v>1558</v>
      </c>
      <c r="O44" s="29" t="s">
        <v>112</v>
      </c>
    </row>
    <row r="45" spans="1:72" s="19" customFormat="1" ht="18" customHeight="1">
      <c r="A45" s="26" t="s">
        <v>113</v>
      </c>
      <c r="B45" s="27">
        <f t="shared" si="3"/>
        <v>43029</v>
      </c>
      <c r="C45" s="28">
        <v>3548</v>
      </c>
      <c r="D45" s="28">
        <v>5399</v>
      </c>
      <c r="E45" s="28">
        <v>4550</v>
      </c>
      <c r="F45" s="28">
        <v>6824</v>
      </c>
      <c r="G45" s="28">
        <v>1655</v>
      </c>
      <c r="H45" s="28">
        <v>953</v>
      </c>
      <c r="I45" s="28">
        <v>2537</v>
      </c>
      <c r="J45" s="28">
        <v>1161</v>
      </c>
      <c r="K45" s="28">
        <v>2360</v>
      </c>
      <c r="L45" s="28">
        <v>4797</v>
      </c>
      <c r="M45" s="28">
        <v>4820</v>
      </c>
      <c r="N45" s="28">
        <v>4425</v>
      </c>
      <c r="O45" s="29" t="s">
        <v>114</v>
      </c>
      <c r="P45" s="15"/>
      <c r="Q45" s="15"/>
      <c r="R45" s="15"/>
      <c r="S45" s="15"/>
      <c r="T45" s="15"/>
      <c r="U45" s="15"/>
      <c r="V45" s="15"/>
      <c r="W45" s="15"/>
      <c r="X45" s="15"/>
      <c r="Y45" s="15"/>
      <c r="Z45" s="15"/>
      <c r="AA45" s="15"/>
      <c r="AB45" s="15"/>
      <c r="AC45" s="15"/>
      <c r="AD45" s="15"/>
      <c r="AE45" s="15"/>
      <c r="AF45" s="15"/>
      <c r="AG45" s="15"/>
      <c r="AH45" s="15"/>
      <c r="AI45" s="15"/>
      <c r="AJ45" s="15"/>
      <c r="AK45" s="15"/>
      <c r="AL45" s="15"/>
      <c r="AM45" s="15"/>
      <c r="AN45" s="15"/>
      <c r="AO45" s="15"/>
      <c r="AP45" s="15"/>
      <c r="AQ45" s="15"/>
      <c r="AR45" s="15"/>
      <c r="AS45" s="15"/>
      <c r="AT45" s="15"/>
      <c r="AU45" s="15"/>
      <c r="AV45" s="15"/>
      <c r="AW45" s="15"/>
      <c r="AX45" s="15"/>
      <c r="AY45" s="15"/>
      <c r="AZ45" s="15"/>
      <c r="BA45" s="15"/>
      <c r="BB45" s="15"/>
      <c r="BC45" s="15"/>
      <c r="BF45" s="19" t="s">
        <v>115</v>
      </c>
    </row>
    <row r="46" spans="1:72" s="19" customFormat="1" ht="18" customHeight="1">
      <c r="A46" s="26" t="s">
        <v>81</v>
      </c>
      <c r="B46" s="27">
        <f t="shared" si="3"/>
        <v>1528</v>
      </c>
      <c r="C46" s="28">
        <v>67</v>
      </c>
      <c r="D46" s="28">
        <v>186</v>
      </c>
      <c r="E46" s="28">
        <v>121</v>
      </c>
      <c r="F46" s="28">
        <v>266</v>
      </c>
      <c r="G46" s="28">
        <v>35</v>
      </c>
      <c r="H46" s="28">
        <v>31</v>
      </c>
      <c r="I46" s="28">
        <v>103</v>
      </c>
      <c r="J46" s="28">
        <v>146</v>
      </c>
      <c r="K46" s="28">
        <v>86</v>
      </c>
      <c r="L46" s="28">
        <v>117</v>
      </c>
      <c r="M46" s="28">
        <v>184</v>
      </c>
      <c r="N46" s="28">
        <v>186</v>
      </c>
      <c r="O46" s="29" t="s">
        <v>15</v>
      </c>
    </row>
    <row r="47" spans="1:72" s="19" customFormat="1" ht="23.25" customHeight="1">
      <c r="A47" s="33" t="s">
        <v>50</v>
      </c>
      <c r="B47" s="27">
        <f t="shared" si="3"/>
        <v>22379</v>
      </c>
      <c r="C47" s="31">
        <f>SUM(C48:C50)</f>
        <v>2703</v>
      </c>
      <c r="D47" s="31">
        <f t="shared" ref="D47:N47" si="8">SUM(D48:D50)</f>
        <v>1318</v>
      </c>
      <c r="E47" s="31">
        <f t="shared" si="8"/>
        <v>1720</v>
      </c>
      <c r="F47" s="31">
        <f t="shared" si="8"/>
        <v>1531</v>
      </c>
      <c r="G47" s="31">
        <f t="shared" si="8"/>
        <v>1529</v>
      </c>
      <c r="H47" s="31">
        <f t="shared" si="8"/>
        <v>2034</v>
      </c>
      <c r="I47" s="31">
        <f t="shared" si="8"/>
        <v>2118</v>
      </c>
      <c r="J47" s="31">
        <f t="shared" si="8"/>
        <v>2046</v>
      </c>
      <c r="K47" s="31">
        <f t="shared" si="8"/>
        <v>2335</v>
      </c>
      <c r="L47" s="31">
        <f t="shared" si="8"/>
        <v>1568</v>
      </c>
      <c r="M47" s="31">
        <f t="shared" si="8"/>
        <v>1653</v>
      </c>
      <c r="N47" s="31">
        <f t="shared" si="8"/>
        <v>1824</v>
      </c>
      <c r="O47" s="32" t="s">
        <v>116</v>
      </c>
      <c r="P47" s="15"/>
      <c r="Q47" s="15"/>
      <c r="R47" s="15"/>
      <c r="S47" s="15"/>
      <c r="T47" s="15"/>
      <c r="U47" s="15"/>
      <c r="V47" s="15"/>
      <c r="W47" s="15"/>
      <c r="X47" s="15"/>
      <c r="Y47" s="15"/>
      <c r="Z47" s="15"/>
      <c r="AA47" s="15"/>
      <c r="AB47" s="15"/>
      <c r="AC47" s="15"/>
      <c r="AD47" s="15"/>
      <c r="AE47" s="15"/>
      <c r="AF47" s="15"/>
      <c r="AG47" s="15"/>
      <c r="AH47" s="15"/>
      <c r="AI47" s="15"/>
      <c r="AJ47" s="15"/>
      <c r="AK47" s="15"/>
      <c r="AL47" s="15"/>
      <c r="AM47" s="15"/>
      <c r="AN47" s="15"/>
      <c r="AO47" s="15"/>
      <c r="AP47" s="15"/>
      <c r="AQ47" s="15"/>
      <c r="AR47" s="15"/>
      <c r="AS47" s="15"/>
      <c r="AT47" s="15"/>
      <c r="AU47" s="15"/>
      <c r="AV47" s="15"/>
      <c r="AW47" s="15"/>
      <c r="AX47" s="15"/>
      <c r="AY47" s="15"/>
      <c r="AZ47" s="15"/>
      <c r="BA47" s="15"/>
      <c r="BB47" s="15"/>
      <c r="BC47" s="15"/>
    </row>
    <row r="48" spans="1:72" s="19" customFormat="1" ht="18" customHeight="1">
      <c r="A48" s="30" t="s">
        <v>117</v>
      </c>
      <c r="B48" s="27">
        <f t="shared" si="3"/>
        <v>360</v>
      </c>
      <c r="C48" s="28">
        <v>97</v>
      </c>
      <c r="D48" s="28">
        <v>59</v>
      </c>
      <c r="E48" s="28">
        <v>80</v>
      </c>
      <c r="F48" s="28">
        <v>124</v>
      </c>
      <c r="G48" s="28">
        <v>0</v>
      </c>
      <c r="H48" s="28">
        <v>0</v>
      </c>
      <c r="I48" s="28">
        <v>0</v>
      </c>
      <c r="J48" s="28">
        <v>0</v>
      </c>
      <c r="K48" s="28">
        <v>0</v>
      </c>
      <c r="L48" s="28">
        <v>0</v>
      </c>
      <c r="M48" s="28">
        <v>0</v>
      </c>
      <c r="N48" s="28">
        <v>0</v>
      </c>
      <c r="O48" s="29" t="s">
        <v>118</v>
      </c>
    </row>
    <row r="49" spans="1:55" s="19" customFormat="1" ht="18" customHeight="1">
      <c r="A49" s="26" t="s">
        <v>119</v>
      </c>
      <c r="B49" s="27">
        <f t="shared" si="3"/>
        <v>20570</v>
      </c>
      <c r="C49" s="28">
        <v>2516</v>
      </c>
      <c r="D49" s="28">
        <v>1096</v>
      </c>
      <c r="E49" s="28">
        <v>1505</v>
      </c>
      <c r="F49" s="28">
        <v>1193</v>
      </c>
      <c r="G49" s="28">
        <v>1505</v>
      </c>
      <c r="H49" s="28">
        <v>1982</v>
      </c>
      <c r="I49" s="28">
        <v>2068</v>
      </c>
      <c r="J49" s="28">
        <v>1864</v>
      </c>
      <c r="K49" s="28">
        <v>2297</v>
      </c>
      <c r="L49" s="28">
        <v>1432</v>
      </c>
      <c r="M49" s="28">
        <v>1545</v>
      </c>
      <c r="N49" s="28">
        <v>1567</v>
      </c>
      <c r="O49" s="29" t="s">
        <v>120</v>
      </c>
      <c r="P49" s="15"/>
      <c r="Q49" s="15"/>
      <c r="R49" s="15"/>
      <c r="S49" s="15"/>
      <c r="T49" s="15"/>
      <c r="U49" s="15"/>
      <c r="V49" s="15"/>
      <c r="W49" s="15"/>
      <c r="X49" s="15"/>
      <c r="Y49" s="15"/>
      <c r="Z49" s="15"/>
      <c r="AA49" s="15"/>
      <c r="AB49" s="15"/>
      <c r="AC49" s="15"/>
      <c r="AD49" s="15"/>
      <c r="AE49" s="15"/>
      <c r="AF49" s="15"/>
      <c r="AG49" s="15"/>
      <c r="AH49" s="15"/>
      <c r="AI49" s="15"/>
      <c r="AJ49" s="15"/>
      <c r="AK49" s="15"/>
      <c r="AL49" s="15"/>
      <c r="AM49" s="15"/>
      <c r="AN49" s="15"/>
      <c r="AO49" s="15"/>
      <c r="AP49" s="15"/>
      <c r="AQ49" s="15"/>
      <c r="AR49" s="15"/>
      <c r="AS49" s="15"/>
      <c r="AT49" s="15"/>
      <c r="AU49" s="15"/>
      <c r="AV49" s="15"/>
      <c r="AW49" s="15"/>
      <c r="AX49" s="15"/>
      <c r="AY49" s="15"/>
      <c r="AZ49" s="15"/>
      <c r="BA49" s="15"/>
      <c r="BB49" s="15"/>
      <c r="BC49" s="15"/>
    </row>
    <row r="50" spans="1:55" s="19" customFormat="1" ht="18" customHeight="1">
      <c r="A50" s="34" t="s">
        <v>81</v>
      </c>
      <c r="B50" s="35">
        <f t="shared" si="3"/>
        <v>1449</v>
      </c>
      <c r="C50" s="36">
        <v>90</v>
      </c>
      <c r="D50" s="36">
        <v>163</v>
      </c>
      <c r="E50" s="36">
        <v>135</v>
      </c>
      <c r="F50" s="36">
        <v>214</v>
      </c>
      <c r="G50" s="36">
        <v>24</v>
      </c>
      <c r="H50" s="36">
        <v>52</v>
      </c>
      <c r="I50" s="36">
        <v>50</v>
      </c>
      <c r="J50" s="36">
        <v>182</v>
      </c>
      <c r="K50" s="36">
        <v>38</v>
      </c>
      <c r="L50" s="36">
        <v>136</v>
      </c>
      <c r="M50" s="36">
        <v>108</v>
      </c>
      <c r="N50" s="36">
        <v>257</v>
      </c>
      <c r="O50" s="37" t="s">
        <v>15</v>
      </c>
    </row>
    <row r="51" spans="1:55" s="19" customFormat="1" ht="23.25" customHeight="1">
      <c r="A51" s="21" t="s">
        <v>16</v>
      </c>
      <c r="B51" s="4">
        <f t="shared" si="3"/>
        <v>660296</v>
      </c>
      <c r="C51" s="4">
        <f>C52+C58+C67</f>
        <v>61657</v>
      </c>
      <c r="D51" s="4">
        <f t="shared" ref="D51:N51" si="9">D52+D58+D67</f>
        <v>48591</v>
      </c>
      <c r="E51" s="4">
        <f t="shared" si="9"/>
        <v>43763</v>
      </c>
      <c r="F51" s="4">
        <f t="shared" si="9"/>
        <v>47168</v>
      </c>
      <c r="G51" s="4">
        <f t="shared" si="9"/>
        <v>51203</v>
      </c>
      <c r="H51" s="4">
        <f t="shared" si="9"/>
        <v>52228</v>
      </c>
      <c r="I51" s="4">
        <f t="shared" si="9"/>
        <v>71270</v>
      </c>
      <c r="J51" s="4">
        <f t="shared" si="9"/>
        <v>72104</v>
      </c>
      <c r="K51" s="4">
        <f t="shared" si="9"/>
        <v>54832</v>
      </c>
      <c r="L51" s="4">
        <f t="shared" si="9"/>
        <v>56520</v>
      </c>
      <c r="M51" s="4">
        <f t="shared" si="9"/>
        <v>46789</v>
      </c>
      <c r="N51" s="4">
        <f t="shared" si="9"/>
        <v>54171</v>
      </c>
      <c r="O51" s="22" t="s">
        <v>17</v>
      </c>
      <c r="P51" s="15"/>
      <c r="Q51" s="15"/>
      <c r="R51" s="15"/>
      <c r="S51" s="15"/>
      <c r="T51" s="15"/>
      <c r="U51" s="15"/>
      <c r="V51" s="15"/>
      <c r="W51" s="15"/>
      <c r="X51" s="15"/>
      <c r="Y51" s="15"/>
      <c r="Z51" s="15"/>
      <c r="AA51" s="15"/>
      <c r="AB51" s="15"/>
      <c r="AC51" s="15"/>
      <c r="AD51" s="15"/>
      <c r="AE51" s="15"/>
      <c r="AF51" s="15"/>
      <c r="AG51" s="15"/>
      <c r="AH51" s="15"/>
      <c r="AI51" s="15"/>
      <c r="AJ51" s="15"/>
      <c r="AK51" s="15"/>
      <c r="AL51" s="15"/>
      <c r="AM51" s="15"/>
      <c r="AN51" s="15"/>
      <c r="AO51" s="15"/>
      <c r="AP51" s="15"/>
      <c r="AQ51" s="15"/>
      <c r="AR51" s="15"/>
      <c r="AS51" s="15"/>
      <c r="AT51" s="15"/>
      <c r="AU51" s="15"/>
      <c r="AV51" s="15"/>
      <c r="AW51" s="15"/>
      <c r="AX51" s="15"/>
      <c r="AY51" s="15"/>
      <c r="AZ51" s="15"/>
      <c r="BA51" s="15"/>
      <c r="BB51" s="15"/>
      <c r="BC51" s="15"/>
    </row>
    <row r="52" spans="1:55" s="19" customFormat="1" ht="18" customHeight="1">
      <c r="A52" s="24" t="s">
        <v>51</v>
      </c>
      <c r="B52" s="27">
        <f t="shared" si="3"/>
        <v>398239</v>
      </c>
      <c r="C52" s="31">
        <f>SUM(C53:C57)</f>
        <v>42277</v>
      </c>
      <c r="D52" s="31">
        <f>SUM(D53:D57)</f>
        <v>28867</v>
      </c>
      <c r="E52" s="31">
        <f>SUM(E53:E57)</f>
        <v>22749</v>
      </c>
      <c r="F52" s="31">
        <f t="shared" ref="F52:N52" si="10">SUM(F53:F57)</f>
        <v>23587</v>
      </c>
      <c r="G52" s="31">
        <f t="shared" si="10"/>
        <v>27930</v>
      </c>
      <c r="H52" s="31">
        <f>SUM(H53:H57)</f>
        <v>29086</v>
      </c>
      <c r="I52" s="31">
        <f>SUM(I53:I57)</f>
        <v>52940</v>
      </c>
      <c r="J52" s="31">
        <f t="shared" si="10"/>
        <v>52548</v>
      </c>
      <c r="K52" s="31">
        <f t="shared" si="10"/>
        <v>33636</v>
      </c>
      <c r="L52" s="31">
        <f t="shared" si="10"/>
        <v>34855</v>
      </c>
      <c r="M52" s="31">
        <f t="shared" si="10"/>
        <v>25163</v>
      </c>
      <c r="N52" s="31">
        <f t="shared" si="10"/>
        <v>24601</v>
      </c>
      <c r="O52" s="38" t="s">
        <v>121</v>
      </c>
    </row>
    <row r="53" spans="1:55" s="19" customFormat="1" ht="18" customHeight="1">
      <c r="A53" s="26" t="s">
        <v>122</v>
      </c>
      <c r="B53" s="27">
        <f t="shared" si="3"/>
        <v>329110</v>
      </c>
      <c r="C53" s="28">
        <v>35948</v>
      </c>
      <c r="D53" s="28">
        <v>21928</v>
      </c>
      <c r="E53" s="28">
        <v>15803</v>
      </c>
      <c r="F53" s="28">
        <v>18019</v>
      </c>
      <c r="G53" s="28">
        <v>23786</v>
      </c>
      <c r="H53" s="28">
        <v>25360</v>
      </c>
      <c r="I53" s="28">
        <v>49105</v>
      </c>
      <c r="J53" s="28">
        <v>46928</v>
      </c>
      <c r="K53" s="28">
        <v>28354</v>
      </c>
      <c r="L53" s="28">
        <v>28122</v>
      </c>
      <c r="M53" s="28">
        <v>18807</v>
      </c>
      <c r="N53" s="28">
        <v>16950</v>
      </c>
      <c r="O53" s="29" t="s">
        <v>18</v>
      </c>
      <c r="P53" s="15"/>
      <c r="Q53" s="15"/>
      <c r="R53" s="15"/>
      <c r="S53" s="15"/>
      <c r="T53" s="15"/>
      <c r="U53" s="15"/>
      <c r="V53" s="15"/>
      <c r="W53" s="15"/>
      <c r="X53" s="15"/>
      <c r="Y53" s="15"/>
      <c r="Z53" s="15"/>
      <c r="AA53" s="15"/>
      <c r="AB53" s="15"/>
      <c r="AC53" s="15"/>
      <c r="AD53" s="15"/>
      <c r="AE53" s="15"/>
      <c r="AF53" s="15"/>
      <c r="AG53" s="15"/>
      <c r="AH53" s="15"/>
      <c r="AI53" s="15"/>
      <c r="AJ53" s="15"/>
      <c r="AK53" s="15"/>
      <c r="AL53" s="15"/>
      <c r="AM53" s="15"/>
      <c r="AN53" s="15"/>
      <c r="AO53" s="15"/>
      <c r="AP53" s="15"/>
      <c r="AQ53" s="15"/>
      <c r="AR53" s="15"/>
      <c r="AS53" s="15"/>
      <c r="AT53" s="15"/>
      <c r="AU53" s="15"/>
      <c r="AV53" s="15"/>
      <c r="AW53" s="15"/>
      <c r="AX53" s="15"/>
      <c r="AY53" s="15"/>
      <c r="AZ53" s="15"/>
      <c r="BA53" s="15"/>
      <c r="BB53" s="15"/>
      <c r="BC53" s="15"/>
    </row>
    <row r="54" spans="1:55" s="19" customFormat="1" ht="18" customHeight="1">
      <c r="A54" s="26" t="s">
        <v>123</v>
      </c>
      <c r="B54" s="27">
        <f t="shared" si="3"/>
        <v>34352</v>
      </c>
      <c r="C54" s="28">
        <v>2680</v>
      </c>
      <c r="D54" s="28">
        <v>3774</v>
      </c>
      <c r="E54" s="28">
        <v>4026</v>
      </c>
      <c r="F54" s="28">
        <v>2652</v>
      </c>
      <c r="G54" s="28">
        <v>1722</v>
      </c>
      <c r="H54" s="28">
        <v>1577</v>
      </c>
      <c r="I54" s="28">
        <v>1979</v>
      </c>
      <c r="J54" s="28">
        <v>3989</v>
      </c>
      <c r="K54" s="28">
        <v>2778</v>
      </c>
      <c r="L54" s="28">
        <v>2550</v>
      </c>
      <c r="M54" s="28">
        <v>2645</v>
      </c>
      <c r="N54" s="28">
        <v>3980</v>
      </c>
      <c r="O54" s="29" t="s">
        <v>21</v>
      </c>
    </row>
    <row r="55" spans="1:55" s="19" customFormat="1" ht="18" customHeight="1">
      <c r="A55" s="26" t="s">
        <v>124</v>
      </c>
      <c r="B55" s="27">
        <f t="shared" si="3"/>
        <v>34612</v>
      </c>
      <c r="C55" s="28">
        <v>3622</v>
      </c>
      <c r="D55" s="28">
        <v>3141</v>
      </c>
      <c r="E55" s="28">
        <v>2910</v>
      </c>
      <c r="F55" s="28">
        <v>2896</v>
      </c>
      <c r="G55" s="28">
        <v>2414</v>
      </c>
      <c r="H55" s="28">
        <v>2136</v>
      </c>
      <c r="I55" s="28">
        <v>1851</v>
      </c>
      <c r="J55" s="28">
        <v>1616</v>
      </c>
      <c r="K55" s="28">
        <v>2504</v>
      </c>
      <c r="L55" s="28">
        <v>4179</v>
      </c>
      <c r="M55" s="28">
        <v>3702</v>
      </c>
      <c r="N55" s="28">
        <v>3641</v>
      </c>
      <c r="O55" s="29" t="s">
        <v>22</v>
      </c>
      <c r="P55" s="15"/>
      <c r="Q55" s="15"/>
      <c r="R55" s="15"/>
      <c r="S55" s="15"/>
      <c r="T55" s="15"/>
      <c r="U55" s="15"/>
      <c r="V55" s="15"/>
      <c r="W55" s="15"/>
      <c r="X55" s="15"/>
      <c r="Y55" s="15"/>
      <c r="Z55" s="15"/>
      <c r="AA55" s="15"/>
      <c r="AB55" s="15"/>
      <c r="AC55" s="15"/>
      <c r="AD55" s="15"/>
      <c r="AE55" s="15"/>
      <c r="AF55" s="15"/>
      <c r="AG55" s="15"/>
      <c r="AH55" s="15"/>
      <c r="AI55" s="15"/>
      <c r="AJ55" s="15"/>
      <c r="AK55" s="15"/>
      <c r="AL55" s="15"/>
      <c r="AM55" s="15"/>
      <c r="AN55" s="15"/>
      <c r="AO55" s="15"/>
      <c r="AP55" s="15"/>
      <c r="AQ55" s="15"/>
      <c r="AR55" s="15"/>
      <c r="AS55" s="15"/>
      <c r="AT55" s="15"/>
      <c r="AU55" s="15"/>
      <c r="AV55" s="15"/>
      <c r="AW55" s="15"/>
      <c r="AX55" s="15"/>
      <c r="AY55" s="15"/>
      <c r="AZ55" s="15"/>
      <c r="BA55" s="15"/>
      <c r="BB55" s="15"/>
      <c r="BC55" s="15"/>
    </row>
    <row r="56" spans="1:55" s="19" customFormat="1" ht="18" hidden="1" customHeight="1">
      <c r="A56" s="26" t="s">
        <v>125</v>
      </c>
      <c r="B56" s="27">
        <f t="shared" si="3"/>
        <v>0</v>
      </c>
      <c r="C56" s="27">
        <f t="shared" ref="C56" si="11">SUM(D56:O56)</f>
        <v>0</v>
      </c>
      <c r="D56" s="27">
        <f t="shared" ref="D56" si="12">SUM(E56:P56)</f>
        <v>0</v>
      </c>
      <c r="E56" s="27">
        <f t="shared" ref="E56" si="13">SUM(F56:BD56)</f>
        <v>0</v>
      </c>
      <c r="F56" s="27">
        <f t="shared" ref="F56" si="14">SUM(G56:BE56)</f>
        <v>0</v>
      </c>
      <c r="G56" s="27">
        <f t="shared" ref="G56" si="15">SUM(H56:BF56)</f>
        <v>0</v>
      </c>
      <c r="H56" s="27">
        <f t="shared" ref="H56" si="16">SUM(I56:BG56)</f>
        <v>0</v>
      </c>
      <c r="I56" s="27">
        <f t="shared" ref="I56" si="17">SUM(J56:BH56)</f>
        <v>0</v>
      </c>
      <c r="J56" s="27">
        <f t="shared" ref="J56" si="18">SUM(K56:BI56)</f>
        <v>0</v>
      </c>
      <c r="K56" s="27">
        <f t="shared" ref="K56" si="19">SUM(L56:BJ56)</f>
        <v>0</v>
      </c>
      <c r="L56" s="27">
        <f t="shared" ref="L56" si="20">SUM(M56:BK56)</f>
        <v>0</v>
      </c>
      <c r="M56" s="27">
        <f t="shared" ref="M56" si="21">SUM(N56:BL56)</f>
        <v>0</v>
      </c>
      <c r="N56" s="27">
        <f t="shared" ref="N56" si="22">SUM(O56:BM56)</f>
        <v>0</v>
      </c>
      <c r="O56" s="29" t="s">
        <v>25</v>
      </c>
    </row>
    <row r="57" spans="1:55" s="19" customFormat="1" ht="18" customHeight="1">
      <c r="A57" s="26" t="s">
        <v>81</v>
      </c>
      <c r="B57" s="27">
        <f t="shared" si="3"/>
        <v>165</v>
      </c>
      <c r="C57" s="28">
        <v>27</v>
      </c>
      <c r="D57" s="28">
        <v>24</v>
      </c>
      <c r="E57" s="28">
        <v>10</v>
      </c>
      <c r="F57" s="28">
        <v>20</v>
      </c>
      <c r="G57" s="28">
        <v>8</v>
      </c>
      <c r="H57" s="28">
        <v>13</v>
      </c>
      <c r="I57" s="28">
        <v>5</v>
      </c>
      <c r="J57" s="28">
        <v>15</v>
      </c>
      <c r="K57" s="28">
        <v>0</v>
      </c>
      <c r="L57" s="28">
        <v>4</v>
      </c>
      <c r="M57" s="28">
        <v>9</v>
      </c>
      <c r="N57" s="28">
        <v>30</v>
      </c>
      <c r="O57" s="29" t="s">
        <v>15</v>
      </c>
      <c r="P57" s="15"/>
      <c r="Q57" s="15"/>
      <c r="R57" s="15"/>
      <c r="S57" s="15"/>
      <c r="T57" s="15"/>
      <c r="U57" s="15"/>
      <c r="V57" s="15"/>
      <c r="W57" s="15"/>
      <c r="X57" s="15"/>
      <c r="Y57" s="15"/>
      <c r="Z57" s="15"/>
      <c r="AA57" s="15"/>
      <c r="AB57" s="15"/>
      <c r="AC57" s="15"/>
      <c r="AD57" s="15"/>
      <c r="AE57" s="15"/>
      <c r="AF57" s="15"/>
      <c r="AG57" s="15"/>
      <c r="AH57" s="15"/>
      <c r="AI57" s="15"/>
      <c r="AJ57" s="15"/>
      <c r="AK57" s="15"/>
      <c r="AL57" s="15"/>
      <c r="AM57" s="15"/>
      <c r="AN57" s="15"/>
      <c r="AO57" s="15"/>
      <c r="AP57" s="15"/>
      <c r="AQ57" s="15"/>
      <c r="AR57" s="15"/>
      <c r="AS57" s="15"/>
      <c r="AT57" s="15"/>
      <c r="AU57" s="15"/>
      <c r="AV57" s="15"/>
      <c r="AW57" s="15"/>
      <c r="AX57" s="15"/>
      <c r="AY57" s="15"/>
      <c r="AZ57" s="15"/>
      <c r="BA57" s="15"/>
      <c r="BB57" s="15"/>
      <c r="BC57" s="15"/>
    </row>
    <row r="58" spans="1:55" s="19" customFormat="1" ht="18" customHeight="1">
      <c r="A58" s="24" t="s">
        <v>52</v>
      </c>
      <c r="B58" s="27">
        <f t="shared" si="3"/>
        <v>72128</v>
      </c>
      <c r="C58" s="31">
        <f>SUM(C59:C66)</f>
        <v>4223</v>
      </c>
      <c r="D58" s="31">
        <f t="shared" ref="D58:N58" si="23">SUM(D59:D66)</f>
        <v>5310</v>
      </c>
      <c r="E58" s="31">
        <f>SUM(E59:E66)</f>
        <v>5633</v>
      </c>
      <c r="F58" s="31">
        <f t="shared" si="23"/>
        <v>7092</v>
      </c>
      <c r="G58" s="31">
        <f t="shared" si="23"/>
        <v>6557</v>
      </c>
      <c r="H58" s="31">
        <f t="shared" si="23"/>
        <v>6383</v>
      </c>
      <c r="I58" s="31">
        <f t="shared" si="23"/>
        <v>4863</v>
      </c>
      <c r="J58" s="31">
        <f t="shared" si="23"/>
        <v>4942</v>
      </c>
      <c r="K58" s="31">
        <f t="shared" si="23"/>
        <v>6360</v>
      </c>
      <c r="L58" s="31">
        <f t="shared" si="23"/>
        <v>5919</v>
      </c>
      <c r="M58" s="31">
        <f t="shared" si="23"/>
        <v>5737</v>
      </c>
      <c r="N58" s="31">
        <f t="shared" si="23"/>
        <v>9109</v>
      </c>
      <c r="O58" s="38" t="s">
        <v>126</v>
      </c>
    </row>
    <row r="59" spans="1:55" s="19" customFormat="1" ht="18" customHeight="1">
      <c r="A59" s="26" t="s">
        <v>127</v>
      </c>
      <c r="B59" s="27">
        <f t="shared" si="3"/>
        <v>4342</v>
      </c>
      <c r="C59" s="28">
        <v>339</v>
      </c>
      <c r="D59" s="28">
        <v>432</v>
      </c>
      <c r="E59" s="28">
        <v>281</v>
      </c>
      <c r="F59" s="28">
        <v>470</v>
      </c>
      <c r="G59" s="28">
        <v>390</v>
      </c>
      <c r="H59" s="28">
        <v>444</v>
      </c>
      <c r="I59" s="28">
        <v>350</v>
      </c>
      <c r="J59" s="28">
        <v>326</v>
      </c>
      <c r="K59" s="28">
        <v>340</v>
      </c>
      <c r="L59" s="28">
        <v>271</v>
      </c>
      <c r="M59" s="28">
        <v>320</v>
      </c>
      <c r="N59" s="28">
        <v>379</v>
      </c>
      <c r="O59" s="29" t="s">
        <v>20</v>
      </c>
      <c r="P59" s="15"/>
      <c r="Q59" s="15"/>
      <c r="R59" s="15"/>
      <c r="S59" s="15"/>
      <c r="T59" s="15"/>
      <c r="U59" s="15"/>
      <c r="V59" s="15"/>
      <c r="W59" s="15"/>
      <c r="X59" s="15"/>
      <c r="Y59" s="15"/>
      <c r="Z59" s="15"/>
      <c r="AA59" s="15"/>
      <c r="AB59" s="15"/>
      <c r="AC59" s="15"/>
      <c r="AD59" s="15"/>
      <c r="AE59" s="15"/>
      <c r="AF59" s="15"/>
      <c r="AG59" s="15"/>
      <c r="AH59" s="15"/>
      <c r="AI59" s="15"/>
      <c r="AJ59" s="15"/>
      <c r="AK59" s="15"/>
      <c r="AL59" s="15"/>
      <c r="AM59" s="15"/>
      <c r="AN59" s="15"/>
      <c r="AO59" s="15"/>
      <c r="AP59" s="15"/>
      <c r="AQ59" s="15"/>
      <c r="AR59" s="15"/>
      <c r="AS59" s="15"/>
      <c r="AT59" s="15"/>
      <c r="AU59" s="15"/>
      <c r="AV59" s="15"/>
      <c r="AW59" s="15"/>
      <c r="AX59" s="15"/>
      <c r="AY59" s="15"/>
      <c r="AZ59" s="15"/>
      <c r="BA59" s="15"/>
      <c r="BB59" s="15"/>
      <c r="BC59" s="15"/>
    </row>
    <row r="60" spans="1:55" s="19" customFormat="1" ht="18" customHeight="1">
      <c r="A60" s="26" t="s">
        <v>128</v>
      </c>
      <c r="B60" s="27">
        <f t="shared" si="3"/>
        <v>24847</v>
      </c>
      <c r="C60" s="28">
        <v>1712</v>
      </c>
      <c r="D60" s="28">
        <v>2158</v>
      </c>
      <c r="E60" s="28">
        <v>1571</v>
      </c>
      <c r="F60" s="28">
        <v>1502</v>
      </c>
      <c r="G60" s="28">
        <v>2273</v>
      </c>
      <c r="H60" s="28">
        <v>2053</v>
      </c>
      <c r="I60" s="28">
        <v>1618</v>
      </c>
      <c r="J60" s="28">
        <v>1826</v>
      </c>
      <c r="K60" s="28">
        <v>2716</v>
      </c>
      <c r="L60" s="28">
        <v>1656</v>
      </c>
      <c r="M60" s="28">
        <v>2220</v>
      </c>
      <c r="N60" s="28">
        <v>3542</v>
      </c>
      <c r="O60" s="29" t="s">
        <v>23</v>
      </c>
    </row>
    <row r="61" spans="1:55" s="19" customFormat="1" ht="18" customHeight="1">
      <c r="A61" s="26" t="s">
        <v>129</v>
      </c>
      <c r="B61" s="27">
        <f t="shared" si="3"/>
        <v>1379</v>
      </c>
      <c r="C61" s="28">
        <v>57</v>
      </c>
      <c r="D61" s="28">
        <v>51</v>
      </c>
      <c r="E61" s="28">
        <v>82</v>
      </c>
      <c r="F61" s="28">
        <v>172</v>
      </c>
      <c r="G61" s="28">
        <v>73</v>
      </c>
      <c r="H61" s="28">
        <v>77</v>
      </c>
      <c r="I61" s="28">
        <v>92</v>
      </c>
      <c r="J61" s="28">
        <v>73</v>
      </c>
      <c r="K61" s="28">
        <v>207</v>
      </c>
      <c r="L61" s="28">
        <v>192</v>
      </c>
      <c r="M61" s="28">
        <v>91</v>
      </c>
      <c r="N61" s="28">
        <v>212</v>
      </c>
      <c r="O61" s="29" t="s">
        <v>130</v>
      </c>
    </row>
    <row r="62" spans="1:55" s="19" customFormat="1" ht="18" customHeight="1">
      <c r="A62" s="26" t="s">
        <v>131</v>
      </c>
      <c r="B62" s="27">
        <f t="shared" si="3"/>
        <v>7753</v>
      </c>
      <c r="C62" s="28">
        <v>399</v>
      </c>
      <c r="D62" s="28">
        <v>535</v>
      </c>
      <c r="E62" s="28">
        <v>885</v>
      </c>
      <c r="F62" s="28">
        <v>911</v>
      </c>
      <c r="G62" s="28">
        <v>682</v>
      </c>
      <c r="H62" s="28">
        <v>892</v>
      </c>
      <c r="I62" s="28">
        <v>647</v>
      </c>
      <c r="J62" s="28">
        <v>527</v>
      </c>
      <c r="K62" s="28">
        <v>397</v>
      </c>
      <c r="L62" s="28">
        <v>568</v>
      </c>
      <c r="M62" s="28">
        <v>610</v>
      </c>
      <c r="N62" s="28">
        <v>700</v>
      </c>
      <c r="O62" s="29" t="s">
        <v>132</v>
      </c>
      <c r="P62" s="15"/>
      <c r="Q62" s="15"/>
      <c r="R62" s="15"/>
      <c r="S62" s="15"/>
      <c r="T62" s="15"/>
      <c r="U62" s="15"/>
      <c r="V62" s="15"/>
      <c r="W62" s="15"/>
      <c r="X62" s="15"/>
      <c r="Y62" s="15"/>
      <c r="Z62" s="15"/>
      <c r="AA62" s="15"/>
      <c r="AB62" s="15"/>
      <c r="AC62" s="15"/>
      <c r="AD62" s="15"/>
      <c r="AE62" s="15"/>
      <c r="AF62" s="15"/>
      <c r="AG62" s="15"/>
      <c r="AH62" s="15"/>
      <c r="AI62" s="15"/>
      <c r="AJ62" s="15"/>
      <c r="AK62" s="15"/>
      <c r="AL62" s="15"/>
      <c r="AM62" s="15"/>
      <c r="AN62" s="15"/>
      <c r="AO62" s="15"/>
      <c r="AP62" s="15"/>
      <c r="AQ62" s="15"/>
      <c r="AR62" s="15"/>
      <c r="AS62" s="15"/>
      <c r="AT62" s="15"/>
      <c r="AU62" s="15"/>
      <c r="AV62" s="15"/>
      <c r="AW62" s="15"/>
      <c r="AX62" s="15"/>
      <c r="AY62" s="15"/>
      <c r="AZ62" s="15"/>
      <c r="BA62" s="15"/>
      <c r="BB62" s="15"/>
      <c r="BC62" s="15"/>
    </row>
    <row r="63" spans="1:55" s="19" customFormat="1" ht="18" customHeight="1">
      <c r="A63" s="26" t="s">
        <v>133</v>
      </c>
      <c r="B63" s="27">
        <f t="shared" si="3"/>
        <v>13499</v>
      </c>
      <c r="C63" s="28">
        <v>669</v>
      </c>
      <c r="D63" s="28">
        <v>712</v>
      </c>
      <c r="E63" s="28">
        <v>1233</v>
      </c>
      <c r="F63" s="28">
        <v>931</v>
      </c>
      <c r="G63" s="28">
        <v>977</v>
      </c>
      <c r="H63" s="28">
        <v>1585</v>
      </c>
      <c r="I63" s="28">
        <v>626</v>
      </c>
      <c r="J63" s="28">
        <v>799</v>
      </c>
      <c r="K63" s="28">
        <v>1308</v>
      </c>
      <c r="L63" s="28">
        <v>946</v>
      </c>
      <c r="M63" s="28">
        <v>1313</v>
      </c>
      <c r="N63" s="28">
        <v>2400</v>
      </c>
      <c r="O63" s="29" t="s">
        <v>134</v>
      </c>
    </row>
    <row r="64" spans="1:55" s="19" customFormat="1" ht="18" customHeight="1">
      <c r="A64" s="26" t="s">
        <v>135</v>
      </c>
      <c r="B64" s="27">
        <f t="shared" si="3"/>
        <v>16780</v>
      </c>
      <c r="C64" s="28">
        <v>753</v>
      </c>
      <c r="D64" s="28">
        <v>1144</v>
      </c>
      <c r="E64" s="28">
        <v>1387</v>
      </c>
      <c r="F64" s="28">
        <v>2695</v>
      </c>
      <c r="G64" s="28">
        <v>1952</v>
      </c>
      <c r="H64" s="28">
        <v>1033</v>
      </c>
      <c r="I64" s="28">
        <v>1201</v>
      </c>
      <c r="J64" s="28">
        <v>935</v>
      </c>
      <c r="K64" s="28">
        <v>1228</v>
      </c>
      <c r="L64" s="28">
        <v>2092</v>
      </c>
      <c r="M64" s="28">
        <v>863</v>
      </c>
      <c r="N64" s="28">
        <v>1497</v>
      </c>
      <c r="O64" s="29" t="s">
        <v>136</v>
      </c>
      <c r="P64" s="15"/>
      <c r="Q64" s="15"/>
      <c r="R64" s="15"/>
      <c r="S64" s="15"/>
      <c r="T64" s="15"/>
      <c r="U64" s="15"/>
      <c r="V64" s="15"/>
      <c r="W64" s="15"/>
      <c r="X64" s="15"/>
      <c r="Y64" s="15"/>
      <c r="Z64" s="15"/>
      <c r="AA64" s="15"/>
      <c r="AB64" s="15"/>
      <c r="AC64" s="15"/>
      <c r="AD64" s="15"/>
      <c r="AE64" s="15"/>
      <c r="AF64" s="15"/>
      <c r="AG64" s="15"/>
      <c r="AH64" s="15"/>
      <c r="AI64" s="15"/>
      <c r="AJ64" s="15"/>
      <c r="AK64" s="15"/>
      <c r="AL64" s="15"/>
      <c r="AM64" s="15"/>
      <c r="AN64" s="15"/>
      <c r="AO64" s="15"/>
      <c r="AP64" s="15"/>
      <c r="AQ64" s="15"/>
      <c r="AR64" s="15"/>
      <c r="AS64" s="15"/>
      <c r="AT64" s="15"/>
      <c r="AU64" s="15"/>
      <c r="AV64" s="15"/>
      <c r="AW64" s="15"/>
      <c r="AX64" s="15"/>
      <c r="AY64" s="15"/>
      <c r="AZ64" s="15"/>
      <c r="BA64" s="15"/>
      <c r="BB64" s="15"/>
      <c r="BC64" s="15"/>
    </row>
    <row r="65" spans="1:55" s="19" customFormat="1" ht="18" customHeight="1">
      <c r="A65" s="26" t="s">
        <v>137</v>
      </c>
      <c r="B65" s="27">
        <f t="shared" si="3"/>
        <v>2813</v>
      </c>
      <c r="C65" s="28">
        <v>265</v>
      </c>
      <c r="D65" s="28">
        <v>231</v>
      </c>
      <c r="E65" s="28">
        <v>179</v>
      </c>
      <c r="F65" s="28">
        <v>337</v>
      </c>
      <c r="G65" s="28">
        <v>138</v>
      </c>
      <c r="H65" s="28">
        <v>255</v>
      </c>
      <c r="I65" s="28">
        <v>246</v>
      </c>
      <c r="J65" s="28">
        <v>397</v>
      </c>
      <c r="K65" s="28">
        <v>108</v>
      </c>
      <c r="L65" s="28">
        <v>164</v>
      </c>
      <c r="M65" s="28">
        <v>195</v>
      </c>
      <c r="N65" s="28">
        <v>298</v>
      </c>
      <c r="O65" s="29" t="s">
        <v>138</v>
      </c>
      <c r="P65" s="15"/>
      <c r="Q65" s="15"/>
      <c r="R65" s="15"/>
      <c r="S65" s="15"/>
      <c r="T65" s="15"/>
      <c r="U65" s="15"/>
      <c r="V65" s="15"/>
      <c r="W65" s="15"/>
      <c r="X65" s="15"/>
      <c r="Y65" s="15"/>
      <c r="Z65" s="15"/>
      <c r="AA65" s="15"/>
      <c r="AB65" s="15"/>
      <c r="AC65" s="15"/>
      <c r="AD65" s="15"/>
      <c r="AE65" s="15"/>
      <c r="AF65" s="15"/>
      <c r="AG65" s="15"/>
      <c r="AH65" s="15"/>
      <c r="AI65" s="15"/>
      <c r="AJ65" s="15"/>
      <c r="AK65" s="15"/>
      <c r="AL65" s="15"/>
      <c r="AM65" s="15"/>
      <c r="AN65" s="15"/>
      <c r="AO65" s="15"/>
      <c r="AP65" s="15"/>
      <c r="AQ65" s="15"/>
      <c r="AR65" s="15"/>
      <c r="AS65" s="15"/>
      <c r="AT65" s="15"/>
      <c r="AU65" s="15"/>
      <c r="AV65" s="15"/>
      <c r="AW65" s="15"/>
      <c r="AX65" s="15"/>
      <c r="AY65" s="15"/>
      <c r="AZ65" s="15"/>
      <c r="BA65" s="15"/>
      <c r="BB65" s="15"/>
      <c r="BC65" s="15"/>
    </row>
    <row r="66" spans="1:55" s="19" customFormat="1" ht="18" customHeight="1">
      <c r="A66" s="26" t="s">
        <v>81</v>
      </c>
      <c r="B66" s="27">
        <f t="shared" si="3"/>
        <v>715</v>
      </c>
      <c r="C66" s="28">
        <v>29</v>
      </c>
      <c r="D66" s="28">
        <v>47</v>
      </c>
      <c r="E66" s="28">
        <v>15</v>
      </c>
      <c r="F66" s="28">
        <v>74</v>
      </c>
      <c r="G66" s="28">
        <v>72</v>
      </c>
      <c r="H66" s="28">
        <v>44</v>
      </c>
      <c r="I66" s="28">
        <v>83</v>
      </c>
      <c r="J66" s="28">
        <v>59</v>
      </c>
      <c r="K66" s="28">
        <v>56</v>
      </c>
      <c r="L66" s="28">
        <v>30</v>
      </c>
      <c r="M66" s="28">
        <v>125</v>
      </c>
      <c r="N66" s="28">
        <v>81</v>
      </c>
      <c r="O66" s="29" t="s">
        <v>15</v>
      </c>
    </row>
    <row r="67" spans="1:55" s="19" customFormat="1" ht="18" customHeight="1">
      <c r="A67" s="24" t="s">
        <v>53</v>
      </c>
      <c r="B67" s="27">
        <f t="shared" si="3"/>
        <v>189929</v>
      </c>
      <c r="C67" s="31">
        <f t="shared" ref="C67:N67" si="24">SUM(C68:C73)</f>
        <v>15157</v>
      </c>
      <c r="D67" s="31">
        <f t="shared" si="24"/>
        <v>14414</v>
      </c>
      <c r="E67" s="31">
        <f t="shared" si="24"/>
        <v>15381</v>
      </c>
      <c r="F67" s="31">
        <f t="shared" si="24"/>
        <v>16489</v>
      </c>
      <c r="G67" s="31">
        <f t="shared" si="24"/>
        <v>16716</v>
      </c>
      <c r="H67" s="31">
        <f t="shared" si="24"/>
        <v>16759</v>
      </c>
      <c r="I67" s="31">
        <f t="shared" si="24"/>
        <v>13467</v>
      </c>
      <c r="J67" s="31">
        <f t="shared" si="24"/>
        <v>14614</v>
      </c>
      <c r="K67" s="31">
        <f t="shared" si="24"/>
        <v>14836</v>
      </c>
      <c r="L67" s="31">
        <f t="shared" si="24"/>
        <v>15746</v>
      </c>
      <c r="M67" s="31">
        <f t="shared" si="24"/>
        <v>15889</v>
      </c>
      <c r="N67" s="31">
        <f t="shared" si="24"/>
        <v>20461</v>
      </c>
      <c r="O67" s="38" t="s">
        <v>139</v>
      </c>
      <c r="P67" s="15"/>
      <c r="Q67" s="15"/>
      <c r="R67" s="15"/>
      <c r="S67" s="15"/>
      <c r="T67" s="15"/>
      <c r="U67" s="15"/>
      <c r="V67" s="15"/>
      <c r="W67" s="15"/>
      <c r="X67" s="15"/>
      <c r="Y67" s="15"/>
      <c r="Z67" s="15"/>
      <c r="AA67" s="15"/>
      <c r="AB67" s="15"/>
      <c r="AC67" s="15"/>
      <c r="AD67" s="15"/>
      <c r="AE67" s="15"/>
      <c r="AF67" s="15"/>
      <c r="AG67" s="15"/>
      <c r="AH67" s="15"/>
      <c r="AI67" s="15"/>
      <c r="AJ67" s="15"/>
      <c r="AK67" s="15"/>
      <c r="AL67" s="15"/>
      <c r="AM67" s="15"/>
      <c r="AN67" s="15"/>
      <c r="AO67" s="15"/>
      <c r="AP67" s="15"/>
      <c r="AQ67" s="15"/>
      <c r="AR67" s="15"/>
      <c r="AS67" s="15"/>
      <c r="AT67" s="15"/>
      <c r="AU67" s="15"/>
      <c r="AV67" s="15"/>
      <c r="AW67" s="15"/>
      <c r="AX67" s="15"/>
      <c r="AY67" s="15"/>
      <c r="AZ67" s="15"/>
      <c r="BA67" s="15"/>
      <c r="BB67" s="15"/>
      <c r="BC67" s="15"/>
    </row>
    <row r="68" spans="1:55" s="19" customFormat="1" ht="18" customHeight="1">
      <c r="A68" s="26" t="s">
        <v>140</v>
      </c>
      <c r="B68" s="27">
        <f t="shared" si="3"/>
        <v>33016</v>
      </c>
      <c r="C68" s="28">
        <v>2981</v>
      </c>
      <c r="D68" s="28">
        <v>2490</v>
      </c>
      <c r="E68" s="28">
        <v>2038</v>
      </c>
      <c r="F68" s="28">
        <v>3838</v>
      </c>
      <c r="G68" s="28">
        <v>1954</v>
      </c>
      <c r="H68" s="28">
        <v>3500</v>
      </c>
      <c r="I68" s="28">
        <v>1975</v>
      </c>
      <c r="J68" s="28">
        <v>2438</v>
      </c>
      <c r="K68" s="28">
        <v>3160</v>
      </c>
      <c r="L68" s="28">
        <v>2778</v>
      </c>
      <c r="M68" s="28">
        <v>2487</v>
      </c>
      <c r="N68" s="28">
        <v>3377</v>
      </c>
      <c r="O68" s="29" t="s">
        <v>141</v>
      </c>
    </row>
    <row r="69" spans="1:55" s="19" customFormat="1" ht="18" customHeight="1">
      <c r="A69" s="26" t="s">
        <v>142</v>
      </c>
      <c r="B69" s="27">
        <f t="shared" si="3"/>
        <v>131625</v>
      </c>
      <c r="C69" s="28">
        <v>10170</v>
      </c>
      <c r="D69" s="28">
        <v>10253</v>
      </c>
      <c r="E69" s="28">
        <v>11667</v>
      </c>
      <c r="F69" s="28">
        <v>10388</v>
      </c>
      <c r="G69" s="28">
        <v>12953</v>
      </c>
      <c r="H69" s="28">
        <v>11070</v>
      </c>
      <c r="I69" s="28">
        <v>9136</v>
      </c>
      <c r="J69" s="28">
        <v>9669</v>
      </c>
      <c r="K69" s="28">
        <v>9508</v>
      </c>
      <c r="L69" s="28">
        <v>11018</v>
      </c>
      <c r="M69" s="28">
        <v>11345</v>
      </c>
      <c r="N69" s="28">
        <v>14448</v>
      </c>
      <c r="O69" s="29" t="s">
        <v>19</v>
      </c>
      <c r="P69" s="15"/>
      <c r="Q69" s="15"/>
      <c r="R69" s="15"/>
      <c r="S69" s="15"/>
      <c r="T69" s="15"/>
      <c r="U69" s="15"/>
      <c r="V69" s="15"/>
      <c r="W69" s="15"/>
      <c r="X69" s="15"/>
      <c r="Y69" s="15"/>
      <c r="Z69" s="15"/>
      <c r="AA69" s="15"/>
      <c r="AB69" s="15"/>
      <c r="AC69" s="15"/>
      <c r="AD69" s="15"/>
      <c r="AE69" s="15"/>
      <c r="AF69" s="15"/>
      <c r="AG69" s="15"/>
      <c r="AH69" s="15"/>
      <c r="AI69" s="15"/>
      <c r="AJ69" s="15"/>
      <c r="AK69" s="15"/>
      <c r="AL69" s="15"/>
      <c r="AM69" s="15"/>
      <c r="AN69" s="15"/>
      <c r="AO69" s="15"/>
      <c r="AP69" s="15"/>
      <c r="AQ69" s="15"/>
      <c r="AR69" s="15"/>
      <c r="AS69" s="15"/>
      <c r="AT69" s="15"/>
      <c r="AU69" s="15"/>
      <c r="AV69" s="15"/>
      <c r="AW69" s="15"/>
      <c r="AX69" s="15"/>
      <c r="AY69" s="15"/>
      <c r="AZ69" s="15"/>
      <c r="BA69" s="15"/>
      <c r="BB69" s="15"/>
      <c r="BC69" s="15"/>
    </row>
    <row r="70" spans="1:55" s="19" customFormat="1" ht="18" customHeight="1">
      <c r="A70" s="26" t="s">
        <v>143</v>
      </c>
      <c r="B70" s="27">
        <f t="shared" si="3"/>
        <v>2870</v>
      </c>
      <c r="C70" s="28">
        <v>198</v>
      </c>
      <c r="D70" s="28">
        <v>142</v>
      </c>
      <c r="E70" s="28">
        <v>701</v>
      </c>
      <c r="F70" s="28">
        <v>173</v>
      </c>
      <c r="G70" s="28">
        <v>174</v>
      </c>
      <c r="H70" s="28">
        <v>153</v>
      </c>
      <c r="I70" s="28">
        <v>117</v>
      </c>
      <c r="J70" s="28">
        <v>287</v>
      </c>
      <c r="K70" s="28">
        <v>279</v>
      </c>
      <c r="L70" s="28">
        <v>169</v>
      </c>
      <c r="M70" s="28">
        <v>253</v>
      </c>
      <c r="N70" s="28">
        <v>224</v>
      </c>
      <c r="O70" s="29" t="s">
        <v>144</v>
      </c>
      <c r="P70" s="15"/>
      <c r="Q70" s="15"/>
      <c r="R70" s="15"/>
      <c r="S70" s="15"/>
      <c r="T70" s="15"/>
      <c r="U70" s="15"/>
      <c r="V70" s="15"/>
      <c r="W70" s="15"/>
      <c r="X70" s="15"/>
      <c r="Y70" s="15"/>
      <c r="Z70" s="15"/>
      <c r="AA70" s="15"/>
      <c r="AB70" s="15"/>
      <c r="AC70" s="15"/>
      <c r="AD70" s="15"/>
      <c r="AE70" s="15"/>
      <c r="AF70" s="15"/>
      <c r="AG70" s="15"/>
      <c r="AH70" s="15"/>
      <c r="AI70" s="15"/>
      <c r="AJ70" s="15"/>
      <c r="AK70" s="15"/>
      <c r="AL70" s="15"/>
      <c r="AM70" s="15"/>
      <c r="AN70" s="15"/>
      <c r="AO70" s="15"/>
      <c r="AP70" s="15"/>
      <c r="AQ70" s="15"/>
      <c r="AR70" s="15"/>
      <c r="AS70" s="15"/>
      <c r="AT70" s="15"/>
      <c r="AU70" s="15"/>
      <c r="AV70" s="15"/>
      <c r="AW70" s="15"/>
      <c r="AX70" s="15"/>
      <c r="AY70" s="15"/>
      <c r="AZ70" s="15"/>
      <c r="BA70" s="15"/>
      <c r="BB70" s="15"/>
      <c r="BC70" s="15"/>
    </row>
    <row r="71" spans="1:55" s="19" customFormat="1" ht="18" customHeight="1">
      <c r="A71" s="26" t="s">
        <v>145</v>
      </c>
      <c r="B71" s="27">
        <f t="shared" si="3"/>
        <v>8140</v>
      </c>
      <c r="C71" s="28">
        <v>775</v>
      </c>
      <c r="D71" s="28">
        <v>627</v>
      </c>
      <c r="E71" s="28">
        <v>245</v>
      </c>
      <c r="F71" s="28">
        <v>698</v>
      </c>
      <c r="G71" s="28">
        <v>512</v>
      </c>
      <c r="H71" s="28">
        <v>890</v>
      </c>
      <c r="I71" s="28">
        <v>986</v>
      </c>
      <c r="J71" s="28">
        <v>559</v>
      </c>
      <c r="K71" s="28">
        <v>682</v>
      </c>
      <c r="L71" s="28">
        <v>618</v>
      </c>
      <c r="M71" s="28">
        <v>738</v>
      </c>
      <c r="N71" s="28">
        <v>810</v>
      </c>
      <c r="O71" s="29" t="s">
        <v>24</v>
      </c>
    </row>
    <row r="72" spans="1:55" s="19" customFormat="1" ht="18" customHeight="1">
      <c r="A72" s="26" t="s">
        <v>146</v>
      </c>
      <c r="B72" s="27">
        <f t="shared" si="3"/>
        <v>12072</v>
      </c>
      <c r="C72" s="28">
        <v>845</v>
      </c>
      <c r="D72" s="28">
        <v>714</v>
      </c>
      <c r="E72" s="28">
        <v>540</v>
      </c>
      <c r="F72" s="28">
        <v>1180</v>
      </c>
      <c r="G72" s="28">
        <v>868</v>
      </c>
      <c r="H72" s="28">
        <v>1027</v>
      </c>
      <c r="I72" s="28">
        <v>1074</v>
      </c>
      <c r="J72" s="28">
        <v>1537</v>
      </c>
      <c r="K72" s="28">
        <v>1016</v>
      </c>
      <c r="L72" s="28">
        <v>969</v>
      </c>
      <c r="M72" s="28">
        <v>954</v>
      </c>
      <c r="N72" s="28">
        <v>1348</v>
      </c>
      <c r="O72" s="29" t="s">
        <v>147</v>
      </c>
      <c r="P72" s="15"/>
      <c r="Q72" s="15"/>
      <c r="R72" s="15"/>
      <c r="S72" s="15"/>
      <c r="T72" s="15"/>
      <c r="U72" s="15"/>
      <c r="V72" s="15"/>
      <c r="W72" s="15"/>
      <c r="X72" s="15"/>
      <c r="Y72" s="15"/>
      <c r="Z72" s="15"/>
      <c r="AA72" s="15"/>
      <c r="AB72" s="15"/>
      <c r="AC72" s="15"/>
      <c r="AD72" s="15"/>
      <c r="AE72" s="15"/>
      <c r="AF72" s="15"/>
      <c r="AG72" s="15"/>
      <c r="AH72" s="15"/>
      <c r="AI72" s="15"/>
      <c r="AJ72" s="15"/>
      <c r="AK72" s="15"/>
      <c r="AL72" s="15"/>
      <c r="AM72" s="15"/>
      <c r="AN72" s="15"/>
      <c r="AO72" s="15"/>
      <c r="AP72" s="15"/>
      <c r="AQ72" s="15"/>
      <c r="AR72" s="15"/>
      <c r="AS72" s="15"/>
      <c r="AT72" s="15"/>
      <c r="AU72" s="15"/>
      <c r="AV72" s="15"/>
      <c r="AW72" s="15"/>
      <c r="AX72" s="15"/>
      <c r="AY72" s="15"/>
      <c r="AZ72" s="15"/>
      <c r="BA72" s="15"/>
      <c r="BB72" s="15"/>
      <c r="BC72" s="15"/>
    </row>
    <row r="73" spans="1:55" s="19" customFormat="1" ht="18" customHeight="1">
      <c r="A73" s="34" t="s">
        <v>81</v>
      </c>
      <c r="B73" s="35">
        <f t="shared" si="3"/>
        <v>2206</v>
      </c>
      <c r="C73" s="36">
        <v>188</v>
      </c>
      <c r="D73" s="36">
        <v>188</v>
      </c>
      <c r="E73" s="36">
        <v>190</v>
      </c>
      <c r="F73" s="36">
        <v>212</v>
      </c>
      <c r="G73" s="36">
        <v>255</v>
      </c>
      <c r="H73" s="36">
        <v>119</v>
      </c>
      <c r="I73" s="36">
        <v>179</v>
      </c>
      <c r="J73" s="36">
        <v>124</v>
      </c>
      <c r="K73" s="36">
        <v>191</v>
      </c>
      <c r="L73" s="36">
        <v>194</v>
      </c>
      <c r="M73" s="36">
        <v>112</v>
      </c>
      <c r="N73" s="36">
        <v>254</v>
      </c>
      <c r="O73" s="37" t="s">
        <v>15</v>
      </c>
    </row>
    <row r="74" spans="1:55" s="19" customFormat="1" ht="20.25" customHeight="1">
      <c r="A74" s="21" t="s">
        <v>26</v>
      </c>
      <c r="B74" s="4">
        <f t="shared" si="3"/>
        <v>21830</v>
      </c>
      <c r="C74" s="4">
        <f>SUM(C75:C78)</f>
        <v>1489</v>
      </c>
      <c r="D74" s="4">
        <f t="shared" ref="D74:N74" si="25">SUM(D75:D78)</f>
        <v>1323</v>
      </c>
      <c r="E74" s="4">
        <f t="shared" si="25"/>
        <v>1334</v>
      </c>
      <c r="F74" s="4">
        <f t="shared" si="25"/>
        <v>2217</v>
      </c>
      <c r="G74" s="4">
        <f t="shared" si="25"/>
        <v>1417</v>
      </c>
      <c r="H74" s="4">
        <f t="shared" si="25"/>
        <v>1602</v>
      </c>
      <c r="I74" s="4">
        <f t="shared" si="25"/>
        <v>2122</v>
      </c>
      <c r="J74" s="4">
        <f t="shared" si="25"/>
        <v>1938</v>
      </c>
      <c r="K74" s="4">
        <f t="shared" si="25"/>
        <v>1943</v>
      </c>
      <c r="L74" s="4">
        <f t="shared" si="25"/>
        <v>1789</v>
      </c>
      <c r="M74" s="4">
        <f t="shared" si="25"/>
        <v>1578</v>
      </c>
      <c r="N74" s="4">
        <f t="shared" si="25"/>
        <v>3078</v>
      </c>
      <c r="O74" s="22" t="s">
        <v>27</v>
      </c>
      <c r="P74" s="15"/>
      <c r="Q74" s="15"/>
      <c r="R74" s="15"/>
      <c r="S74" s="15"/>
      <c r="T74" s="15"/>
      <c r="U74" s="15"/>
      <c r="V74" s="15"/>
      <c r="W74" s="15"/>
      <c r="X74" s="15"/>
      <c r="Y74" s="15"/>
      <c r="Z74" s="15"/>
      <c r="AA74" s="15"/>
      <c r="AB74" s="15"/>
      <c r="AC74" s="15"/>
      <c r="AD74" s="15"/>
      <c r="AE74" s="15"/>
      <c r="AF74" s="15"/>
      <c r="AG74" s="15"/>
      <c r="AH74" s="15"/>
      <c r="AI74" s="15"/>
      <c r="AJ74" s="15"/>
      <c r="AK74" s="15"/>
      <c r="AL74" s="15"/>
      <c r="AM74" s="15"/>
      <c r="AN74" s="15"/>
      <c r="AO74" s="15"/>
      <c r="AP74" s="15"/>
      <c r="AQ74" s="15"/>
      <c r="AR74" s="15"/>
      <c r="AS74" s="15"/>
      <c r="AT74" s="15"/>
      <c r="AU74" s="15"/>
      <c r="AV74" s="15"/>
      <c r="AW74" s="15"/>
      <c r="AX74" s="15"/>
      <c r="AY74" s="15"/>
      <c r="AZ74" s="15"/>
      <c r="BA74" s="15"/>
      <c r="BB74" s="15"/>
      <c r="BC74" s="15"/>
    </row>
    <row r="75" spans="1:55" s="19" customFormat="1" ht="20.25" customHeight="1">
      <c r="A75" s="39" t="s">
        <v>148</v>
      </c>
      <c r="B75" s="4">
        <f>SUM(C75:N75)</f>
        <v>1943</v>
      </c>
      <c r="C75" s="5">
        <v>155</v>
      </c>
      <c r="D75" s="5">
        <v>123</v>
      </c>
      <c r="E75" s="5">
        <v>42</v>
      </c>
      <c r="F75" s="28">
        <v>154</v>
      </c>
      <c r="G75" s="28">
        <v>125</v>
      </c>
      <c r="H75" s="28">
        <v>181</v>
      </c>
      <c r="I75" s="5">
        <v>181</v>
      </c>
      <c r="J75" s="5">
        <v>268</v>
      </c>
      <c r="K75" s="5">
        <v>191</v>
      </c>
      <c r="L75" s="5">
        <v>142</v>
      </c>
      <c r="M75" s="5">
        <v>174</v>
      </c>
      <c r="N75" s="5">
        <v>207</v>
      </c>
      <c r="O75" s="40" t="s">
        <v>149</v>
      </c>
      <c r="P75" s="15"/>
      <c r="Q75" s="15"/>
      <c r="R75" s="15"/>
      <c r="S75" s="15"/>
      <c r="T75" s="15"/>
      <c r="U75" s="15"/>
      <c r="V75" s="15"/>
      <c r="W75" s="15"/>
      <c r="X75" s="15"/>
      <c r="Y75" s="15"/>
      <c r="Z75" s="15"/>
      <c r="AA75" s="15"/>
      <c r="AB75" s="15"/>
      <c r="AC75" s="15"/>
      <c r="AD75" s="15"/>
      <c r="AE75" s="15"/>
      <c r="AF75" s="15"/>
      <c r="AG75" s="15"/>
      <c r="AH75" s="15"/>
      <c r="AI75" s="15"/>
      <c r="AJ75" s="15"/>
      <c r="AK75" s="15"/>
      <c r="AL75" s="15"/>
      <c r="AM75" s="15"/>
      <c r="AN75" s="15"/>
      <c r="AO75" s="15"/>
      <c r="AP75" s="15"/>
      <c r="AQ75" s="15"/>
      <c r="AR75" s="15"/>
      <c r="AS75" s="15"/>
      <c r="AT75" s="15"/>
      <c r="AU75" s="15"/>
      <c r="AV75" s="15"/>
      <c r="AW75" s="15"/>
      <c r="AX75" s="15"/>
      <c r="AY75" s="15"/>
      <c r="AZ75" s="15"/>
      <c r="BA75" s="15"/>
      <c r="BB75" s="15"/>
      <c r="BC75" s="15"/>
    </row>
    <row r="76" spans="1:55" s="19" customFormat="1" ht="20.25" customHeight="1">
      <c r="A76" s="39" t="s">
        <v>150</v>
      </c>
      <c r="B76" s="4">
        <f t="shared" si="3"/>
        <v>2636</v>
      </c>
      <c r="C76" s="5">
        <v>231</v>
      </c>
      <c r="D76" s="5">
        <v>236</v>
      </c>
      <c r="E76" s="5">
        <v>108</v>
      </c>
      <c r="F76" s="28">
        <v>260</v>
      </c>
      <c r="G76" s="28">
        <v>189</v>
      </c>
      <c r="H76" s="28">
        <v>185</v>
      </c>
      <c r="I76" s="5">
        <v>219</v>
      </c>
      <c r="J76" s="5">
        <v>355</v>
      </c>
      <c r="K76" s="5">
        <v>198</v>
      </c>
      <c r="L76" s="5">
        <v>185</v>
      </c>
      <c r="M76" s="5">
        <v>193</v>
      </c>
      <c r="N76" s="5">
        <v>277</v>
      </c>
      <c r="O76" s="40" t="s">
        <v>151</v>
      </c>
      <c r="P76" s="15"/>
      <c r="Q76" s="15"/>
      <c r="R76" s="15"/>
      <c r="S76" s="15"/>
      <c r="T76" s="15"/>
      <c r="U76" s="15"/>
      <c r="V76" s="15"/>
      <c r="W76" s="15"/>
      <c r="X76" s="15"/>
      <c r="Y76" s="15"/>
      <c r="Z76" s="15"/>
      <c r="AA76" s="15"/>
      <c r="AB76" s="15"/>
      <c r="AC76" s="15"/>
      <c r="AD76" s="15"/>
      <c r="AE76" s="15"/>
      <c r="AF76" s="15"/>
      <c r="AG76" s="15"/>
      <c r="AH76" s="15"/>
      <c r="AI76" s="15"/>
      <c r="AJ76" s="15"/>
      <c r="AK76" s="15"/>
      <c r="AL76" s="15"/>
      <c r="AM76" s="15"/>
      <c r="AN76" s="15"/>
      <c r="AO76" s="15"/>
      <c r="AP76" s="15"/>
      <c r="AQ76" s="15"/>
      <c r="AR76" s="15"/>
      <c r="AS76" s="15"/>
      <c r="AT76" s="15"/>
      <c r="AU76" s="15"/>
      <c r="AV76" s="15"/>
      <c r="AW76" s="15"/>
      <c r="AX76" s="15"/>
      <c r="AY76" s="15"/>
      <c r="AZ76" s="15"/>
      <c r="BA76" s="15"/>
      <c r="BB76" s="15"/>
      <c r="BC76" s="15"/>
    </row>
    <row r="77" spans="1:55" s="19" customFormat="1" ht="18" customHeight="1">
      <c r="A77" s="39" t="s">
        <v>152</v>
      </c>
      <c r="B77" s="27">
        <f t="shared" si="3"/>
        <v>9359</v>
      </c>
      <c r="C77" s="28">
        <v>564</v>
      </c>
      <c r="D77" s="28">
        <v>371</v>
      </c>
      <c r="E77" s="28">
        <v>701</v>
      </c>
      <c r="F77" s="28">
        <v>1088</v>
      </c>
      <c r="G77" s="28">
        <v>588</v>
      </c>
      <c r="H77" s="28">
        <v>655</v>
      </c>
      <c r="I77" s="28">
        <v>921</v>
      </c>
      <c r="J77" s="28">
        <v>560</v>
      </c>
      <c r="K77" s="28">
        <v>898</v>
      </c>
      <c r="L77" s="28">
        <v>869</v>
      </c>
      <c r="M77" s="28">
        <v>584</v>
      </c>
      <c r="N77" s="28">
        <v>1560</v>
      </c>
      <c r="O77" s="40" t="s">
        <v>153</v>
      </c>
    </row>
    <row r="78" spans="1:55" s="19" customFormat="1" ht="18" customHeight="1">
      <c r="A78" s="41" t="s">
        <v>81</v>
      </c>
      <c r="B78" s="35">
        <f t="shared" si="3"/>
        <v>7892</v>
      </c>
      <c r="C78" s="36">
        <v>539</v>
      </c>
      <c r="D78" s="36">
        <v>593</v>
      </c>
      <c r="E78" s="36">
        <v>483</v>
      </c>
      <c r="F78" s="36">
        <v>715</v>
      </c>
      <c r="G78" s="36">
        <v>515</v>
      </c>
      <c r="H78" s="36">
        <v>581</v>
      </c>
      <c r="I78" s="36">
        <v>801</v>
      </c>
      <c r="J78" s="36">
        <v>755</v>
      </c>
      <c r="K78" s="36">
        <v>656</v>
      </c>
      <c r="L78" s="36">
        <v>593</v>
      </c>
      <c r="M78" s="36">
        <v>627</v>
      </c>
      <c r="N78" s="36">
        <v>1034</v>
      </c>
      <c r="O78" s="42" t="s">
        <v>15</v>
      </c>
      <c r="P78" s="15"/>
      <c r="Q78" s="15"/>
      <c r="R78" s="15"/>
      <c r="S78" s="15"/>
      <c r="T78" s="15"/>
      <c r="U78" s="15"/>
      <c r="V78" s="15"/>
      <c r="W78" s="15"/>
      <c r="X78" s="15"/>
      <c r="Y78" s="15"/>
      <c r="Z78" s="15"/>
      <c r="AA78" s="15"/>
      <c r="AB78" s="15"/>
      <c r="AC78" s="15"/>
      <c r="AD78" s="15"/>
      <c r="AE78" s="15"/>
      <c r="AF78" s="15"/>
      <c r="AG78" s="15"/>
      <c r="AH78" s="15"/>
      <c r="AI78" s="15"/>
      <c r="AJ78" s="15"/>
      <c r="AK78" s="15"/>
      <c r="AL78" s="15"/>
      <c r="AM78" s="15"/>
      <c r="AN78" s="15"/>
      <c r="AO78" s="15"/>
      <c r="AP78" s="15"/>
      <c r="AQ78" s="15"/>
      <c r="AR78" s="15"/>
      <c r="AS78" s="15"/>
      <c r="AT78" s="15"/>
      <c r="AU78" s="15"/>
      <c r="AV78" s="15"/>
      <c r="AW78" s="15"/>
      <c r="AX78" s="15"/>
      <c r="AY78" s="15"/>
      <c r="AZ78" s="15"/>
      <c r="BA78" s="15"/>
      <c r="BB78" s="15"/>
      <c r="BC78" s="15"/>
    </row>
    <row r="79" spans="1:55" s="19" customFormat="1" ht="24.75" customHeight="1">
      <c r="A79" s="21" t="s">
        <v>55</v>
      </c>
      <c r="B79" s="4">
        <f t="shared" si="3"/>
        <v>104623</v>
      </c>
      <c r="C79" s="4">
        <f>SUM(C80:C85)</f>
        <v>10658</v>
      </c>
      <c r="D79" s="4">
        <f t="shared" ref="D79:N79" si="26">SUM(D80:D85)</f>
        <v>10048</v>
      </c>
      <c r="E79" s="4">
        <f t="shared" si="26"/>
        <v>12107</v>
      </c>
      <c r="F79" s="4">
        <f t="shared" si="26"/>
        <v>9408</v>
      </c>
      <c r="G79" s="4">
        <f t="shared" si="26"/>
        <v>6745</v>
      </c>
      <c r="H79" s="4">
        <f t="shared" si="26"/>
        <v>6456</v>
      </c>
      <c r="I79" s="4">
        <f t="shared" si="26"/>
        <v>7300</v>
      </c>
      <c r="J79" s="4">
        <f t="shared" si="26"/>
        <v>5912</v>
      </c>
      <c r="K79" s="4">
        <f t="shared" si="26"/>
        <v>6188</v>
      </c>
      <c r="L79" s="4">
        <f t="shared" si="26"/>
        <v>7824</v>
      </c>
      <c r="M79" s="4">
        <f t="shared" si="26"/>
        <v>10268</v>
      </c>
      <c r="N79" s="4">
        <f t="shared" si="26"/>
        <v>11709</v>
      </c>
      <c r="O79" s="22" t="s">
        <v>54</v>
      </c>
    </row>
    <row r="80" spans="1:55" s="19" customFormat="1" ht="24.75" customHeight="1">
      <c r="A80" s="39" t="s">
        <v>154</v>
      </c>
      <c r="B80" s="27">
        <f t="shared" si="3"/>
        <v>4459</v>
      </c>
      <c r="C80" s="5">
        <v>750</v>
      </c>
      <c r="D80" s="5">
        <v>537</v>
      </c>
      <c r="E80" s="5">
        <v>626</v>
      </c>
      <c r="F80" s="28">
        <v>384</v>
      </c>
      <c r="G80" s="28">
        <v>300</v>
      </c>
      <c r="H80" s="28">
        <v>142</v>
      </c>
      <c r="I80" s="28">
        <v>164</v>
      </c>
      <c r="J80" s="5">
        <v>135</v>
      </c>
      <c r="K80" s="5">
        <v>190</v>
      </c>
      <c r="L80" s="5">
        <v>375</v>
      </c>
      <c r="M80" s="5">
        <v>515</v>
      </c>
      <c r="N80" s="5">
        <v>341</v>
      </c>
      <c r="O80" s="40" t="s">
        <v>155</v>
      </c>
    </row>
    <row r="81" spans="1:55" s="19" customFormat="1" ht="18" customHeight="1">
      <c r="A81" s="39" t="s">
        <v>156</v>
      </c>
      <c r="B81" s="27">
        <f t="shared" si="3"/>
        <v>11711</v>
      </c>
      <c r="C81" s="28">
        <v>1382</v>
      </c>
      <c r="D81" s="28">
        <v>864</v>
      </c>
      <c r="E81" s="28">
        <v>1410</v>
      </c>
      <c r="F81" s="28">
        <v>1087</v>
      </c>
      <c r="G81" s="28">
        <v>993</v>
      </c>
      <c r="H81" s="28">
        <v>682</v>
      </c>
      <c r="I81" s="28">
        <v>765</v>
      </c>
      <c r="J81" s="28">
        <v>526</v>
      </c>
      <c r="K81" s="28">
        <v>793</v>
      </c>
      <c r="L81" s="28">
        <v>969</v>
      </c>
      <c r="M81" s="28">
        <v>1138</v>
      </c>
      <c r="N81" s="28">
        <v>1102</v>
      </c>
      <c r="O81" s="40" t="s">
        <v>157</v>
      </c>
      <c r="P81" s="15"/>
      <c r="Q81" s="15"/>
      <c r="R81" s="15"/>
      <c r="S81" s="15"/>
      <c r="T81" s="15"/>
      <c r="U81" s="15"/>
      <c r="V81" s="15"/>
      <c r="W81" s="15"/>
      <c r="X81" s="15"/>
      <c r="Y81" s="15"/>
      <c r="Z81" s="15"/>
      <c r="AA81" s="15"/>
      <c r="AB81" s="15"/>
      <c r="AC81" s="15"/>
      <c r="AD81" s="15"/>
      <c r="AE81" s="15"/>
      <c r="AF81" s="15"/>
      <c r="AG81" s="15"/>
      <c r="AH81" s="15"/>
      <c r="AI81" s="15"/>
      <c r="AJ81" s="15"/>
      <c r="AK81" s="15"/>
      <c r="AL81" s="15"/>
      <c r="AM81" s="15"/>
      <c r="AN81" s="15"/>
      <c r="AO81" s="15"/>
      <c r="AP81" s="15"/>
      <c r="AQ81" s="15"/>
      <c r="AR81" s="15"/>
      <c r="AS81" s="15"/>
      <c r="AT81" s="15"/>
      <c r="AU81" s="15"/>
      <c r="AV81" s="15"/>
      <c r="AW81" s="15"/>
      <c r="AX81" s="15"/>
      <c r="AY81" s="15"/>
      <c r="AZ81" s="15"/>
      <c r="BA81" s="15"/>
      <c r="BB81" s="15"/>
      <c r="BC81" s="15"/>
    </row>
    <row r="82" spans="1:55" s="19" customFormat="1" ht="18" customHeight="1">
      <c r="A82" s="39" t="s">
        <v>158</v>
      </c>
      <c r="B82" s="27">
        <f t="shared" si="3"/>
        <v>13572</v>
      </c>
      <c r="C82" s="28">
        <v>1292</v>
      </c>
      <c r="D82" s="28">
        <v>1516</v>
      </c>
      <c r="E82" s="28">
        <v>1650</v>
      </c>
      <c r="F82" s="28">
        <v>1048</v>
      </c>
      <c r="G82" s="28">
        <v>777</v>
      </c>
      <c r="H82" s="28">
        <v>761</v>
      </c>
      <c r="I82" s="28">
        <v>863</v>
      </c>
      <c r="J82" s="28">
        <v>756</v>
      </c>
      <c r="K82" s="28">
        <v>656</v>
      </c>
      <c r="L82" s="28">
        <v>974</v>
      </c>
      <c r="M82" s="28">
        <v>1498</v>
      </c>
      <c r="N82" s="28">
        <v>1781</v>
      </c>
      <c r="O82" s="40" t="s">
        <v>28</v>
      </c>
    </row>
    <row r="83" spans="1:55" s="19" customFormat="1" ht="18" customHeight="1">
      <c r="A83" s="39" t="s">
        <v>159</v>
      </c>
      <c r="B83" s="27">
        <f t="shared" si="3"/>
        <v>2358</v>
      </c>
      <c r="C83" s="28">
        <v>183</v>
      </c>
      <c r="D83" s="28">
        <v>196</v>
      </c>
      <c r="E83" s="28">
        <v>289</v>
      </c>
      <c r="F83" s="28">
        <v>287</v>
      </c>
      <c r="G83" s="28">
        <v>192</v>
      </c>
      <c r="H83" s="28">
        <v>135</v>
      </c>
      <c r="I83" s="28">
        <v>161</v>
      </c>
      <c r="J83" s="28">
        <v>97</v>
      </c>
      <c r="K83" s="28">
        <v>180</v>
      </c>
      <c r="L83" s="28">
        <v>186</v>
      </c>
      <c r="M83" s="28">
        <v>250</v>
      </c>
      <c r="N83" s="28">
        <v>202</v>
      </c>
      <c r="O83" s="40" t="s">
        <v>160</v>
      </c>
    </row>
    <row r="84" spans="1:55" s="19" customFormat="1" ht="18" customHeight="1">
      <c r="A84" s="39" t="s">
        <v>161</v>
      </c>
      <c r="B84" s="27">
        <f t="shared" si="3"/>
        <v>66443</v>
      </c>
      <c r="C84" s="28">
        <v>6563</v>
      </c>
      <c r="D84" s="28">
        <v>6448</v>
      </c>
      <c r="E84" s="28">
        <v>7486</v>
      </c>
      <c r="F84" s="28">
        <v>5934</v>
      </c>
      <c r="G84" s="28">
        <v>3983</v>
      </c>
      <c r="H84" s="28">
        <v>4386</v>
      </c>
      <c r="I84" s="28">
        <v>4907</v>
      </c>
      <c r="J84" s="28">
        <v>4014</v>
      </c>
      <c r="K84" s="28">
        <v>3916</v>
      </c>
      <c r="L84" s="28">
        <v>4743</v>
      </c>
      <c r="M84" s="28">
        <v>6315</v>
      </c>
      <c r="N84" s="28">
        <v>7748</v>
      </c>
      <c r="O84" s="40" t="s">
        <v>162</v>
      </c>
      <c r="P84" s="15"/>
      <c r="Q84" s="15"/>
      <c r="R84" s="15"/>
      <c r="S84" s="15"/>
      <c r="T84" s="15"/>
      <c r="U84" s="15"/>
      <c r="V84" s="15"/>
      <c r="W84" s="15"/>
      <c r="X84" s="15"/>
      <c r="Y84" s="15"/>
      <c r="Z84" s="15"/>
      <c r="AA84" s="15"/>
      <c r="AB84" s="15"/>
      <c r="AC84" s="15"/>
      <c r="AD84" s="15"/>
      <c r="AE84" s="15"/>
      <c r="AF84" s="15"/>
      <c r="AG84" s="15"/>
      <c r="AH84" s="15"/>
      <c r="AI84" s="15"/>
      <c r="AJ84" s="15"/>
      <c r="AK84" s="15"/>
      <c r="AL84" s="15"/>
      <c r="AM84" s="15"/>
      <c r="AN84" s="15"/>
      <c r="AO84" s="15"/>
      <c r="AP84" s="15"/>
      <c r="AQ84" s="15"/>
      <c r="AR84" s="15"/>
      <c r="AS84" s="15"/>
      <c r="AT84" s="15"/>
      <c r="AU84" s="15"/>
      <c r="AV84" s="15"/>
      <c r="AW84" s="15"/>
      <c r="AX84" s="15"/>
      <c r="AY84" s="15"/>
      <c r="AZ84" s="15"/>
      <c r="BA84" s="15"/>
      <c r="BB84" s="15"/>
      <c r="BC84" s="15"/>
    </row>
    <row r="85" spans="1:55" s="19" customFormat="1" ht="18" customHeight="1">
      <c r="A85" s="41" t="s">
        <v>81</v>
      </c>
      <c r="B85" s="35">
        <f t="shared" si="3"/>
        <v>6080</v>
      </c>
      <c r="C85" s="36">
        <v>488</v>
      </c>
      <c r="D85" s="36">
        <v>487</v>
      </c>
      <c r="E85" s="36">
        <v>646</v>
      </c>
      <c r="F85" s="36">
        <v>668</v>
      </c>
      <c r="G85" s="36">
        <v>500</v>
      </c>
      <c r="H85" s="36">
        <v>350</v>
      </c>
      <c r="I85" s="36">
        <v>440</v>
      </c>
      <c r="J85" s="36">
        <v>384</v>
      </c>
      <c r="K85" s="36">
        <v>453</v>
      </c>
      <c r="L85" s="36">
        <v>577</v>
      </c>
      <c r="M85" s="36">
        <v>552</v>
      </c>
      <c r="N85" s="36">
        <v>535</v>
      </c>
      <c r="O85" s="42" t="s">
        <v>15</v>
      </c>
    </row>
    <row r="86" spans="1:55" s="19" customFormat="1" ht="22.5" customHeight="1">
      <c r="A86" s="21" t="s">
        <v>29</v>
      </c>
      <c r="B86" s="4">
        <f t="shared" ref="B86:B99" si="27">SUM(C86:N86)</f>
        <v>45739</v>
      </c>
      <c r="C86" s="4">
        <f>SUM(C87:C89)</f>
        <v>3405</v>
      </c>
      <c r="D86" s="4">
        <f t="shared" ref="D86:N86" si="28">SUM(D87:D89)</f>
        <v>2675</v>
      </c>
      <c r="E86" s="4">
        <f t="shared" si="28"/>
        <v>3892</v>
      </c>
      <c r="F86" s="4">
        <f t="shared" si="28"/>
        <v>5409</v>
      </c>
      <c r="G86" s="4">
        <f t="shared" si="28"/>
        <v>3697</v>
      </c>
      <c r="H86" s="4">
        <f t="shared" si="28"/>
        <v>3445</v>
      </c>
      <c r="I86" s="4">
        <f t="shared" si="28"/>
        <v>4186</v>
      </c>
      <c r="J86" s="4">
        <f t="shared" si="28"/>
        <v>2931</v>
      </c>
      <c r="K86" s="4">
        <f t="shared" si="28"/>
        <v>4082</v>
      </c>
      <c r="L86" s="4">
        <f t="shared" si="28"/>
        <v>4306</v>
      </c>
      <c r="M86" s="4">
        <f t="shared" si="28"/>
        <v>3776</v>
      </c>
      <c r="N86" s="4">
        <f t="shared" si="28"/>
        <v>3935</v>
      </c>
      <c r="O86" s="22" t="s">
        <v>163</v>
      </c>
      <c r="P86" s="15"/>
      <c r="Q86" s="15"/>
      <c r="R86" s="15"/>
      <c r="S86" s="15"/>
      <c r="T86" s="15"/>
      <c r="U86" s="15"/>
      <c r="V86" s="15"/>
      <c r="W86" s="15"/>
      <c r="X86" s="15"/>
      <c r="Y86" s="15"/>
      <c r="Z86" s="15"/>
      <c r="AA86" s="15"/>
      <c r="AB86" s="15"/>
      <c r="AC86" s="15"/>
      <c r="AD86" s="15"/>
      <c r="AE86" s="15"/>
      <c r="AF86" s="15"/>
      <c r="AG86" s="15"/>
      <c r="AH86" s="15"/>
      <c r="AI86" s="15"/>
      <c r="AJ86" s="15"/>
      <c r="AK86" s="15"/>
      <c r="AL86" s="15"/>
      <c r="AM86" s="15"/>
      <c r="AN86" s="15"/>
      <c r="AO86" s="15"/>
      <c r="AP86" s="15"/>
      <c r="AQ86" s="15"/>
      <c r="AR86" s="15"/>
      <c r="AS86" s="15"/>
      <c r="AT86" s="15"/>
      <c r="AU86" s="15"/>
      <c r="AV86" s="15"/>
      <c r="AW86" s="15"/>
      <c r="AX86" s="15"/>
      <c r="AY86" s="15"/>
      <c r="AZ86" s="15"/>
      <c r="BA86" s="15"/>
      <c r="BB86" s="15"/>
      <c r="BC86" s="15"/>
    </row>
    <row r="87" spans="1:55" s="19" customFormat="1" ht="18" customHeight="1">
      <c r="A87" s="39" t="s">
        <v>164</v>
      </c>
      <c r="B87" s="4">
        <f t="shared" si="27"/>
        <v>42073</v>
      </c>
      <c r="C87" s="28">
        <v>3141</v>
      </c>
      <c r="D87" s="28">
        <v>2455</v>
      </c>
      <c r="E87" s="28">
        <v>3622</v>
      </c>
      <c r="F87" s="28">
        <v>5012</v>
      </c>
      <c r="G87" s="28">
        <v>3409</v>
      </c>
      <c r="H87" s="28">
        <v>3149</v>
      </c>
      <c r="I87" s="28">
        <v>3848</v>
      </c>
      <c r="J87" s="28">
        <v>2614</v>
      </c>
      <c r="K87" s="28">
        <v>3751</v>
      </c>
      <c r="L87" s="28">
        <v>3932</v>
      </c>
      <c r="M87" s="28">
        <v>3484</v>
      </c>
      <c r="N87" s="28">
        <v>3656</v>
      </c>
      <c r="O87" s="40" t="s">
        <v>30</v>
      </c>
    </row>
    <row r="88" spans="1:55" s="19" customFormat="1" ht="18" customHeight="1">
      <c r="A88" s="39" t="s">
        <v>165</v>
      </c>
      <c r="B88" s="4">
        <f t="shared" si="27"/>
        <v>3487</v>
      </c>
      <c r="C88" s="28">
        <v>247</v>
      </c>
      <c r="D88" s="28">
        <v>205</v>
      </c>
      <c r="E88" s="28">
        <v>249</v>
      </c>
      <c r="F88" s="28">
        <v>385</v>
      </c>
      <c r="G88" s="28">
        <v>268</v>
      </c>
      <c r="H88" s="28">
        <v>291</v>
      </c>
      <c r="I88" s="28">
        <v>315</v>
      </c>
      <c r="J88" s="28">
        <v>300</v>
      </c>
      <c r="K88" s="28">
        <v>325</v>
      </c>
      <c r="L88" s="28">
        <v>365</v>
      </c>
      <c r="M88" s="28">
        <v>275</v>
      </c>
      <c r="N88" s="28">
        <v>262</v>
      </c>
      <c r="O88" s="40" t="s">
        <v>166</v>
      </c>
      <c r="P88" s="15"/>
      <c r="Q88" s="15"/>
      <c r="R88" s="15"/>
      <c r="S88" s="15"/>
      <c r="T88" s="15"/>
      <c r="U88" s="15"/>
      <c r="V88" s="15"/>
      <c r="W88" s="15"/>
      <c r="X88" s="15"/>
      <c r="Y88" s="15"/>
      <c r="Z88" s="15"/>
      <c r="AA88" s="15"/>
      <c r="AB88" s="15"/>
      <c r="AC88" s="15"/>
      <c r="AD88" s="15"/>
      <c r="AE88" s="15"/>
      <c r="AF88" s="15"/>
      <c r="AG88" s="15"/>
      <c r="AH88" s="15"/>
      <c r="AI88" s="15"/>
      <c r="AJ88" s="15"/>
      <c r="AK88" s="15"/>
      <c r="AL88" s="15"/>
      <c r="AM88" s="15"/>
      <c r="AN88" s="15"/>
      <c r="AO88" s="15"/>
      <c r="AP88" s="15"/>
      <c r="AQ88" s="15"/>
      <c r="AR88" s="15"/>
      <c r="AS88" s="15"/>
      <c r="AT88" s="15"/>
      <c r="AU88" s="15"/>
      <c r="AV88" s="15"/>
      <c r="AW88" s="15"/>
      <c r="AX88" s="15"/>
      <c r="AY88" s="15"/>
      <c r="AZ88" s="15"/>
      <c r="BA88" s="15"/>
      <c r="BB88" s="15"/>
      <c r="BC88" s="15"/>
    </row>
    <row r="89" spans="1:55" s="19" customFormat="1" ht="18" customHeight="1">
      <c r="A89" s="41" t="s">
        <v>81</v>
      </c>
      <c r="B89" s="6">
        <f t="shared" si="27"/>
        <v>179</v>
      </c>
      <c r="C89" s="36">
        <v>17</v>
      </c>
      <c r="D89" s="36">
        <v>15</v>
      </c>
      <c r="E89" s="36">
        <v>21</v>
      </c>
      <c r="F89" s="36">
        <v>12</v>
      </c>
      <c r="G89" s="36">
        <v>20</v>
      </c>
      <c r="H89" s="36">
        <v>5</v>
      </c>
      <c r="I89" s="36">
        <v>23</v>
      </c>
      <c r="J89" s="36">
        <v>17</v>
      </c>
      <c r="K89" s="36">
        <v>6</v>
      </c>
      <c r="L89" s="36">
        <v>9</v>
      </c>
      <c r="M89" s="36">
        <v>17</v>
      </c>
      <c r="N89" s="36">
        <v>17</v>
      </c>
      <c r="O89" s="42" t="s">
        <v>15</v>
      </c>
    </row>
    <row r="90" spans="1:55" s="19" customFormat="1" ht="18.75" customHeight="1">
      <c r="A90" s="21" t="s">
        <v>31</v>
      </c>
      <c r="B90" s="4">
        <f t="shared" si="27"/>
        <v>82558</v>
      </c>
      <c r="C90" s="4">
        <f>SUM(C91:C100)</f>
        <v>4814</v>
      </c>
      <c r="D90" s="4">
        <f t="shared" ref="D90:N90" si="29">SUM(D91:D100)</f>
        <v>6031</v>
      </c>
      <c r="E90" s="4">
        <f t="shared" si="29"/>
        <v>3850</v>
      </c>
      <c r="F90" s="4">
        <f t="shared" si="29"/>
        <v>7833</v>
      </c>
      <c r="G90" s="4">
        <f t="shared" si="29"/>
        <v>6112</v>
      </c>
      <c r="H90" s="4">
        <f t="shared" si="29"/>
        <v>11258</v>
      </c>
      <c r="I90" s="4">
        <f t="shared" si="29"/>
        <v>9995</v>
      </c>
      <c r="J90" s="4">
        <f t="shared" si="29"/>
        <v>9671</v>
      </c>
      <c r="K90" s="4">
        <f t="shared" si="29"/>
        <v>5429</v>
      </c>
      <c r="L90" s="4">
        <f t="shared" si="29"/>
        <v>4812</v>
      </c>
      <c r="M90" s="4">
        <f t="shared" si="29"/>
        <v>6265</v>
      </c>
      <c r="N90" s="4">
        <f t="shared" si="29"/>
        <v>6488</v>
      </c>
      <c r="O90" s="22" t="s">
        <v>167</v>
      </c>
      <c r="P90" s="15"/>
      <c r="Q90" s="15"/>
      <c r="R90" s="15"/>
      <c r="S90" s="15"/>
      <c r="T90" s="15"/>
      <c r="U90" s="15"/>
      <c r="V90" s="15"/>
      <c r="W90" s="15"/>
      <c r="X90" s="15"/>
      <c r="Y90" s="15"/>
      <c r="Z90" s="15"/>
      <c r="AA90" s="15"/>
      <c r="AB90" s="15"/>
      <c r="AC90" s="15"/>
      <c r="AD90" s="15"/>
      <c r="AE90" s="15"/>
      <c r="AF90" s="15"/>
      <c r="AG90" s="15"/>
      <c r="AH90" s="15"/>
      <c r="AI90" s="15"/>
      <c r="AJ90" s="15"/>
      <c r="AK90" s="15"/>
      <c r="AL90" s="15"/>
      <c r="AM90" s="15"/>
      <c r="AN90" s="15"/>
      <c r="AO90" s="15"/>
      <c r="AP90" s="15"/>
      <c r="AQ90" s="15"/>
      <c r="AR90" s="15"/>
      <c r="AS90" s="15"/>
      <c r="AT90" s="15"/>
      <c r="AU90" s="15"/>
      <c r="AV90" s="15"/>
      <c r="AW90" s="15"/>
      <c r="AX90" s="15"/>
      <c r="AY90" s="15"/>
      <c r="AZ90" s="15"/>
      <c r="BA90" s="15"/>
      <c r="BB90" s="15"/>
      <c r="BC90" s="15"/>
    </row>
    <row r="91" spans="1:55" s="19" customFormat="1" ht="18.75" customHeight="1">
      <c r="A91" s="39" t="s">
        <v>168</v>
      </c>
      <c r="B91" s="27">
        <f t="shared" si="27"/>
        <v>7381</v>
      </c>
      <c r="C91" s="5">
        <v>446</v>
      </c>
      <c r="D91" s="5">
        <v>536</v>
      </c>
      <c r="E91" s="5">
        <v>316</v>
      </c>
      <c r="F91" s="5">
        <v>604</v>
      </c>
      <c r="G91" s="28">
        <v>515</v>
      </c>
      <c r="H91" s="28">
        <v>745</v>
      </c>
      <c r="I91" s="5">
        <v>839</v>
      </c>
      <c r="J91" s="5">
        <v>613</v>
      </c>
      <c r="K91" s="5">
        <v>609</v>
      </c>
      <c r="L91" s="5">
        <v>644</v>
      </c>
      <c r="M91" s="5">
        <v>698</v>
      </c>
      <c r="N91" s="5">
        <v>816</v>
      </c>
      <c r="O91" s="40" t="s">
        <v>169</v>
      </c>
      <c r="P91" s="15"/>
      <c r="Q91" s="15"/>
      <c r="R91" s="15"/>
      <c r="S91" s="15"/>
      <c r="T91" s="15"/>
      <c r="U91" s="15"/>
      <c r="V91" s="15"/>
      <c r="W91" s="15"/>
      <c r="X91" s="15"/>
      <c r="Y91" s="15"/>
      <c r="Z91" s="15"/>
      <c r="AA91" s="15"/>
      <c r="AB91" s="15"/>
      <c r="AC91" s="15"/>
      <c r="AD91" s="15"/>
      <c r="AE91" s="15"/>
      <c r="AF91" s="15"/>
      <c r="AG91" s="15"/>
      <c r="AH91" s="15"/>
      <c r="AI91" s="15"/>
      <c r="AJ91" s="15"/>
      <c r="AK91" s="15"/>
      <c r="AL91" s="15"/>
      <c r="AM91" s="15"/>
      <c r="AN91" s="15"/>
      <c r="AO91" s="15"/>
      <c r="AP91" s="15"/>
      <c r="AQ91" s="15"/>
      <c r="AR91" s="15"/>
      <c r="AS91" s="15"/>
      <c r="AT91" s="15"/>
      <c r="AU91" s="15"/>
      <c r="AV91" s="15"/>
      <c r="AW91" s="15"/>
      <c r="AX91" s="15"/>
      <c r="AY91" s="15"/>
      <c r="AZ91" s="15"/>
      <c r="BA91" s="15"/>
      <c r="BB91" s="15"/>
      <c r="BC91" s="15"/>
    </row>
    <row r="92" spans="1:55" s="19" customFormat="1" ht="18.75" customHeight="1">
      <c r="A92" s="39" t="s">
        <v>170</v>
      </c>
      <c r="B92" s="27">
        <f t="shared" si="27"/>
        <v>2905</v>
      </c>
      <c r="C92" s="5">
        <v>165</v>
      </c>
      <c r="D92" s="5">
        <v>217</v>
      </c>
      <c r="E92" s="5">
        <v>235</v>
      </c>
      <c r="F92" s="28">
        <v>266</v>
      </c>
      <c r="G92" s="28">
        <v>135</v>
      </c>
      <c r="H92" s="28">
        <v>282</v>
      </c>
      <c r="I92" s="5">
        <v>275</v>
      </c>
      <c r="J92" s="5">
        <v>263</v>
      </c>
      <c r="K92" s="5">
        <v>172</v>
      </c>
      <c r="L92" s="5">
        <v>200</v>
      </c>
      <c r="M92" s="5">
        <v>247</v>
      </c>
      <c r="N92" s="5">
        <v>448</v>
      </c>
      <c r="O92" s="40" t="s">
        <v>171</v>
      </c>
      <c r="P92" s="15"/>
      <c r="Q92" s="15"/>
      <c r="R92" s="15"/>
      <c r="S92" s="15"/>
      <c r="T92" s="15"/>
      <c r="U92" s="15"/>
      <c r="V92" s="15"/>
      <c r="W92" s="15"/>
      <c r="X92" s="15"/>
      <c r="Y92" s="15"/>
      <c r="Z92" s="15"/>
      <c r="AA92" s="15"/>
      <c r="AB92" s="15"/>
      <c r="AC92" s="15"/>
      <c r="AD92" s="15"/>
      <c r="AE92" s="15"/>
      <c r="AF92" s="15"/>
      <c r="AG92" s="15"/>
      <c r="AH92" s="15"/>
      <c r="AI92" s="15"/>
      <c r="AJ92" s="15"/>
      <c r="AK92" s="15"/>
      <c r="AL92" s="15"/>
      <c r="AM92" s="15"/>
      <c r="AN92" s="15"/>
      <c r="AO92" s="15"/>
      <c r="AP92" s="15"/>
      <c r="AQ92" s="15"/>
      <c r="AR92" s="15"/>
      <c r="AS92" s="15"/>
      <c r="AT92" s="15"/>
      <c r="AU92" s="15"/>
      <c r="AV92" s="15"/>
      <c r="AW92" s="15"/>
      <c r="AX92" s="15"/>
      <c r="AY92" s="15"/>
      <c r="AZ92" s="15"/>
      <c r="BA92" s="15"/>
      <c r="BB92" s="15"/>
      <c r="BC92" s="15"/>
    </row>
    <row r="93" spans="1:55" s="19" customFormat="1" ht="19.5" customHeight="1">
      <c r="A93" s="39" t="s">
        <v>172</v>
      </c>
      <c r="B93" s="27">
        <f t="shared" si="27"/>
        <v>7438</v>
      </c>
      <c r="C93" s="28">
        <v>677</v>
      </c>
      <c r="D93" s="28">
        <v>1055</v>
      </c>
      <c r="E93" s="28">
        <v>458</v>
      </c>
      <c r="F93" s="28">
        <v>696</v>
      </c>
      <c r="G93" s="28">
        <v>388</v>
      </c>
      <c r="H93" s="28">
        <v>749</v>
      </c>
      <c r="I93" s="28">
        <v>713</v>
      </c>
      <c r="J93" s="28">
        <v>895</v>
      </c>
      <c r="K93" s="28">
        <v>431</v>
      </c>
      <c r="L93" s="28">
        <v>298</v>
      </c>
      <c r="M93" s="28">
        <v>357</v>
      </c>
      <c r="N93" s="28">
        <v>721</v>
      </c>
      <c r="O93" s="40" t="s">
        <v>32</v>
      </c>
    </row>
    <row r="94" spans="1:55" s="19" customFormat="1" ht="18" customHeight="1">
      <c r="A94" s="39" t="s">
        <v>173</v>
      </c>
      <c r="B94" s="27">
        <f t="shared" si="27"/>
        <v>2972</v>
      </c>
      <c r="C94" s="28">
        <v>168</v>
      </c>
      <c r="D94" s="28">
        <v>247</v>
      </c>
      <c r="E94" s="28">
        <v>447</v>
      </c>
      <c r="F94" s="28">
        <v>364</v>
      </c>
      <c r="G94" s="28">
        <v>136</v>
      </c>
      <c r="H94" s="28">
        <v>241</v>
      </c>
      <c r="I94" s="28">
        <v>193</v>
      </c>
      <c r="J94" s="28">
        <v>191</v>
      </c>
      <c r="K94" s="28">
        <v>193</v>
      </c>
      <c r="L94" s="28">
        <v>148</v>
      </c>
      <c r="M94" s="28">
        <v>244</v>
      </c>
      <c r="N94" s="28">
        <v>400</v>
      </c>
      <c r="O94" s="40" t="s">
        <v>174</v>
      </c>
      <c r="P94" s="15"/>
      <c r="Q94" s="15"/>
      <c r="R94" s="15"/>
      <c r="S94" s="15"/>
      <c r="T94" s="15"/>
      <c r="U94" s="15"/>
      <c r="V94" s="15"/>
      <c r="W94" s="15"/>
      <c r="X94" s="15"/>
      <c r="Y94" s="15"/>
      <c r="Z94" s="15"/>
      <c r="AA94" s="15"/>
      <c r="AB94" s="15"/>
      <c r="AC94" s="15"/>
      <c r="AD94" s="15"/>
      <c r="AE94" s="15"/>
      <c r="AF94" s="15"/>
      <c r="AG94" s="15"/>
      <c r="AH94" s="15"/>
      <c r="AI94" s="15"/>
      <c r="AJ94" s="15"/>
      <c r="AK94" s="15"/>
      <c r="AL94" s="15"/>
      <c r="AM94" s="15"/>
      <c r="AN94" s="15"/>
      <c r="AO94" s="15"/>
      <c r="AP94" s="15"/>
      <c r="AQ94" s="15"/>
      <c r="AR94" s="15"/>
      <c r="AS94" s="15"/>
      <c r="AT94" s="15"/>
      <c r="AU94" s="15"/>
      <c r="AV94" s="15"/>
      <c r="AW94" s="15"/>
      <c r="AX94" s="15"/>
      <c r="AY94" s="15"/>
      <c r="AZ94" s="15"/>
      <c r="BA94" s="15"/>
      <c r="BB94" s="15"/>
      <c r="BC94" s="15"/>
    </row>
    <row r="95" spans="1:55" s="19" customFormat="1" ht="18" customHeight="1">
      <c r="A95" s="39" t="s">
        <v>175</v>
      </c>
      <c r="B95" s="27">
        <f t="shared" si="27"/>
        <v>1318</v>
      </c>
      <c r="C95" s="28">
        <v>243</v>
      </c>
      <c r="D95" s="28">
        <v>242</v>
      </c>
      <c r="E95" s="28">
        <v>40</v>
      </c>
      <c r="F95" s="28">
        <v>98</v>
      </c>
      <c r="G95" s="28">
        <v>56</v>
      </c>
      <c r="H95" s="28">
        <v>143</v>
      </c>
      <c r="I95" s="28">
        <v>97</v>
      </c>
      <c r="J95" s="28">
        <v>103</v>
      </c>
      <c r="K95" s="28">
        <v>48</v>
      </c>
      <c r="L95" s="28">
        <v>45</v>
      </c>
      <c r="M95" s="28">
        <v>114</v>
      </c>
      <c r="N95" s="28">
        <v>89</v>
      </c>
      <c r="O95" s="40" t="s">
        <v>176</v>
      </c>
      <c r="P95" s="15"/>
      <c r="Q95" s="15"/>
      <c r="R95" s="15"/>
      <c r="S95" s="15"/>
      <c r="T95" s="15"/>
      <c r="U95" s="15"/>
      <c r="V95" s="15"/>
      <c r="W95" s="15"/>
      <c r="X95" s="15"/>
      <c r="Y95" s="15"/>
      <c r="Z95" s="15"/>
      <c r="AA95" s="15"/>
      <c r="AB95" s="15"/>
      <c r="AC95" s="15"/>
      <c r="AD95" s="15"/>
      <c r="AE95" s="15"/>
      <c r="AF95" s="15"/>
      <c r="AG95" s="15"/>
      <c r="AH95" s="15"/>
      <c r="AI95" s="15"/>
      <c r="AJ95" s="15"/>
      <c r="AK95" s="15"/>
      <c r="AL95" s="15"/>
      <c r="AM95" s="15"/>
      <c r="AN95" s="15"/>
      <c r="AO95" s="15"/>
      <c r="AP95" s="15"/>
      <c r="AQ95" s="15"/>
      <c r="AR95" s="15"/>
      <c r="AS95" s="15"/>
      <c r="AT95" s="15"/>
      <c r="AU95" s="15"/>
      <c r="AV95" s="15"/>
      <c r="AW95" s="15"/>
      <c r="AX95" s="15"/>
      <c r="AY95" s="15"/>
      <c r="AZ95" s="15"/>
      <c r="BA95" s="15"/>
      <c r="BB95" s="15"/>
      <c r="BC95" s="15"/>
    </row>
    <row r="96" spans="1:55" s="19" customFormat="1" ht="18" customHeight="1">
      <c r="A96" s="39" t="s">
        <v>177</v>
      </c>
      <c r="B96" s="27">
        <f t="shared" si="27"/>
        <v>6347</v>
      </c>
      <c r="C96" s="28">
        <v>154</v>
      </c>
      <c r="D96" s="28">
        <v>268</v>
      </c>
      <c r="E96" s="28">
        <v>286</v>
      </c>
      <c r="F96" s="28">
        <v>904</v>
      </c>
      <c r="G96" s="28">
        <v>340</v>
      </c>
      <c r="H96" s="28">
        <v>1133</v>
      </c>
      <c r="I96" s="28">
        <v>1001</v>
      </c>
      <c r="J96" s="28">
        <v>1205</v>
      </c>
      <c r="K96" s="28">
        <v>238</v>
      </c>
      <c r="L96" s="28">
        <v>319</v>
      </c>
      <c r="M96" s="28">
        <v>131</v>
      </c>
      <c r="N96" s="28">
        <v>368</v>
      </c>
      <c r="O96" s="40" t="s">
        <v>178</v>
      </c>
      <c r="P96" s="15"/>
      <c r="Q96" s="15"/>
      <c r="R96" s="15"/>
      <c r="S96" s="15"/>
      <c r="T96" s="15"/>
      <c r="U96" s="15"/>
      <c r="V96" s="15"/>
      <c r="W96" s="15"/>
      <c r="X96" s="15"/>
      <c r="Y96" s="15"/>
      <c r="Z96" s="15"/>
      <c r="AA96" s="15"/>
      <c r="AB96" s="15"/>
      <c r="AC96" s="15"/>
      <c r="AD96" s="15"/>
      <c r="AE96" s="15"/>
      <c r="AF96" s="15"/>
      <c r="AG96" s="15"/>
      <c r="AH96" s="15"/>
      <c r="AI96" s="15"/>
      <c r="AJ96" s="15"/>
      <c r="AK96" s="15"/>
      <c r="AL96" s="15"/>
      <c r="AM96" s="15"/>
      <c r="AN96" s="15"/>
      <c r="AO96" s="15"/>
      <c r="AP96" s="15"/>
      <c r="AQ96" s="15"/>
      <c r="AR96" s="15"/>
      <c r="AS96" s="15"/>
      <c r="AT96" s="15"/>
      <c r="AU96" s="15"/>
      <c r="AV96" s="15"/>
      <c r="AW96" s="15"/>
      <c r="AX96" s="15"/>
      <c r="AY96" s="15"/>
      <c r="AZ96" s="15"/>
      <c r="BA96" s="15"/>
      <c r="BB96" s="15"/>
      <c r="BC96" s="15"/>
    </row>
    <row r="97" spans="1:55" s="19" customFormat="1" ht="18" customHeight="1">
      <c r="A97" s="39" t="s">
        <v>179</v>
      </c>
      <c r="B97" s="27">
        <f t="shared" si="27"/>
        <v>29112</v>
      </c>
      <c r="C97" s="28">
        <v>2006</v>
      </c>
      <c r="D97" s="28">
        <v>2284</v>
      </c>
      <c r="E97" s="28">
        <v>1083</v>
      </c>
      <c r="F97" s="28">
        <v>2550</v>
      </c>
      <c r="G97" s="28">
        <v>2058</v>
      </c>
      <c r="H97" s="28">
        <v>3893</v>
      </c>
      <c r="I97" s="28">
        <v>3578</v>
      </c>
      <c r="J97" s="28">
        <v>3578</v>
      </c>
      <c r="K97" s="28">
        <v>2039</v>
      </c>
      <c r="L97" s="28">
        <v>1453</v>
      </c>
      <c r="M97" s="28">
        <v>2861</v>
      </c>
      <c r="N97" s="28">
        <v>1729</v>
      </c>
      <c r="O97" s="40" t="s">
        <v>180</v>
      </c>
    </row>
    <row r="98" spans="1:55" s="19" customFormat="1" ht="18" customHeight="1">
      <c r="A98" s="39" t="s">
        <v>181</v>
      </c>
      <c r="B98" s="27">
        <f t="shared" si="27"/>
        <v>1977</v>
      </c>
      <c r="C98" s="28">
        <v>113</v>
      </c>
      <c r="D98" s="28">
        <v>134</v>
      </c>
      <c r="E98" s="28">
        <v>122</v>
      </c>
      <c r="F98" s="28">
        <v>188</v>
      </c>
      <c r="G98" s="28">
        <v>118</v>
      </c>
      <c r="H98" s="28">
        <v>239</v>
      </c>
      <c r="I98" s="28">
        <v>176</v>
      </c>
      <c r="J98" s="28">
        <v>182</v>
      </c>
      <c r="K98" s="28">
        <v>139</v>
      </c>
      <c r="L98" s="28">
        <v>156</v>
      </c>
      <c r="M98" s="28">
        <v>191</v>
      </c>
      <c r="N98" s="28">
        <v>219</v>
      </c>
      <c r="O98" s="40" t="s">
        <v>182</v>
      </c>
    </row>
    <row r="99" spans="1:55" s="19" customFormat="1" ht="18" customHeight="1">
      <c r="A99" s="39" t="s">
        <v>183</v>
      </c>
      <c r="B99" s="27">
        <f t="shared" si="27"/>
        <v>18360</v>
      </c>
      <c r="C99" s="28">
        <v>515</v>
      </c>
      <c r="D99" s="28">
        <v>747</v>
      </c>
      <c r="E99" s="28">
        <v>651</v>
      </c>
      <c r="F99" s="28">
        <v>1730</v>
      </c>
      <c r="G99" s="28">
        <v>2034</v>
      </c>
      <c r="H99" s="28">
        <v>3275</v>
      </c>
      <c r="I99" s="28">
        <v>2653</v>
      </c>
      <c r="J99" s="28">
        <v>2132</v>
      </c>
      <c r="K99" s="28">
        <v>1160</v>
      </c>
      <c r="L99" s="28">
        <v>1206</v>
      </c>
      <c r="M99" s="28">
        <v>1055</v>
      </c>
      <c r="N99" s="28">
        <v>1202</v>
      </c>
      <c r="O99" s="40" t="s">
        <v>184</v>
      </c>
      <c r="P99" s="15"/>
      <c r="Q99" s="15"/>
      <c r="R99" s="15"/>
      <c r="S99" s="15"/>
      <c r="T99" s="15"/>
      <c r="U99" s="15"/>
      <c r="V99" s="15"/>
      <c r="W99" s="15"/>
      <c r="X99" s="15"/>
      <c r="Y99" s="15"/>
      <c r="Z99" s="15"/>
      <c r="AA99" s="15"/>
      <c r="AB99" s="15"/>
      <c r="AC99" s="15"/>
      <c r="AD99" s="15"/>
      <c r="AE99" s="15"/>
      <c r="AF99" s="15"/>
      <c r="AG99" s="15"/>
      <c r="AH99" s="15"/>
      <c r="AI99" s="15"/>
      <c r="AJ99" s="15"/>
      <c r="AK99" s="15"/>
      <c r="AL99" s="15"/>
      <c r="AM99" s="15"/>
      <c r="AN99" s="15"/>
      <c r="AO99" s="15"/>
      <c r="AP99" s="15"/>
      <c r="AQ99" s="15"/>
      <c r="AR99" s="15"/>
      <c r="AS99" s="15"/>
      <c r="AT99" s="15"/>
      <c r="AU99" s="15"/>
      <c r="AV99" s="15"/>
      <c r="AW99" s="15"/>
      <c r="AX99" s="15"/>
      <c r="AY99" s="15"/>
      <c r="AZ99" s="15"/>
      <c r="BA99" s="15"/>
      <c r="BB99" s="15"/>
      <c r="BC99" s="15"/>
    </row>
    <row r="100" spans="1:55" s="19" customFormat="1" ht="18" customHeight="1">
      <c r="A100" s="41" t="s">
        <v>81</v>
      </c>
      <c r="B100" s="35">
        <f>SUM(C100:N100)</f>
        <v>4748</v>
      </c>
      <c r="C100" s="36">
        <v>327</v>
      </c>
      <c r="D100" s="36">
        <v>301</v>
      </c>
      <c r="E100" s="36">
        <v>212</v>
      </c>
      <c r="F100" s="36">
        <v>433</v>
      </c>
      <c r="G100" s="36">
        <v>332</v>
      </c>
      <c r="H100" s="36">
        <v>558</v>
      </c>
      <c r="I100" s="36">
        <v>470</v>
      </c>
      <c r="J100" s="36">
        <v>509</v>
      </c>
      <c r="K100" s="36">
        <v>400</v>
      </c>
      <c r="L100" s="36">
        <v>343</v>
      </c>
      <c r="M100" s="36">
        <v>367</v>
      </c>
      <c r="N100" s="36">
        <v>496</v>
      </c>
      <c r="O100" s="42" t="s">
        <v>15</v>
      </c>
    </row>
    <row r="101" spans="1:55" s="19" customFormat="1" ht="18" hidden="1" customHeight="1">
      <c r="A101" s="21" t="s">
        <v>185</v>
      </c>
      <c r="B101" s="4">
        <f>SUM(C101:N101)</f>
        <v>0</v>
      </c>
      <c r="C101" s="43">
        <v>0</v>
      </c>
      <c r="D101" s="43">
        <v>0</v>
      </c>
      <c r="E101" s="43">
        <v>0</v>
      </c>
      <c r="F101" s="43">
        <v>0</v>
      </c>
      <c r="G101" s="43">
        <v>0</v>
      </c>
      <c r="H101" s="43">
        <v>0</v>
      </c>
      <c r="I101" s="43">
        <v>0</v>
      </c>
      <c r="J101" s="43">
        <v>0</v>
      </c>
      <c r="K101" s="28">
        <v>0</v>
      </c>
      <c r="L101" s="28">
        <v>0</v>
      </c>
      <c r="M101" s="28">
        <v>0</v>
      </c>
      <c r="N101" s="28">
        <v>0</v>
      </c>
      <c r="O101" s="18" t="s">
        <v>186</v>
      </c>
    </row>
    <row r="102" spans="1:55" s="19" customFormat="1" ht="18" hidden="1" customHeight="1">
      <c r="A102" s="11" t="s">
        <v>187</v>
      </c>
      <c r="B102" s="6">
        <f>SUM(C102:N102)</f>
        <v>0</v>
      </c>
      <c r="C102" s="44">
        <v>0</v>
      </c>
      <c r="D102" s="44">
        <v>0</v>
      </c>
      <c r="E102" s="44">
        <v>0</v>
      </c>
      <c r="F102" s="44">
        <v>0</v>
      </c>
      <c r="G102" s="44">
        <v>0</v>
      </c>
      <c r="H102" s="44">
        <v>0</v>
      </c>
      <c r="I102" s="44">
        <v>0</v>
      </c>
      <c r="J102" s="44">
        <v>0</v>
      </c>
      <c r="K102" s="36">
        <v>0</v>
      </c>
      <c r="L102" s="36">
        <v>0</v>
      </c>
      <c r="M102" s="36">
        <v>0</v>
      </c>
      <c r="N102" s="36">
        <v>0</v>
      </c>
      <c r="O102" s="42" t="s">
        <v>15</v>
      </c>
    </row>
    <row r="103" spans="1:55" s="19" customFormat="1" ht="17.25" customHeight="1">
      <c r="A103" s="1" t="s">
        <v>195</v>
      </c>
      <c r="B103" s="45"/>
      <c r="C103" s="45"/>
      <c r="D103" s="45"/>
      <c r="E103" s="45"/>
      <c r="F103" s="45"/>
      <c r="G103" s="45"/>
      <c r="H103" s="45"/>
      <c r="I103" s="45"/>
      <c r="J103" s="45"/>
      <c r="K103" s="45"/>
      <c r="L103" s="45"/>
      <c r="M103" s="46"/>
      <c r="N103" s="46"/>
      <c r="O103" s="51" t="s">
        <v>196</v>
      </c>
      <c r="P103" s="15"/>
      <c r="Q103" s="15"/>
      <c r="R103" s="15"/>
      <c r="S103" s="15"/>
      <c r="T103" s="15"/>
      <c r="U103" s="15"/>
      <c r="V103" s="15"/>
      <c r="W103" s="15"/>
      <c r="X103" s="15"/>
      <c r="Y103" s="15"/>
      <c r="Z103" s="15"/>
      <c r="AA103" s="15"/>
      <c r="AB103" s="15"/>
      <c r="AC103" s="15"/>
      <c r="AD103" s="15"/>
      <c r="AE103" s="15"/>
      <c r="AF103" s="15"/>
      <c r="AG103" s="15"/>
      <c r="AH103" s="15"/>
      <c r="AI103" s="15"/>
      <c r="AJ103" s="15"/>
      <c r="AK103" s="15"/>
      <c r="AL103" s="15"/>
      <c r="AM103" s="15"/>
      <c r="AN103" s="15"/>
      <c r="AO103" s="15"/>
      <c r="AP103" s="15"/>
      <c r="AQ103" s="15"/>
      <c r="AR103" s="15"/>
      <c r="AS103" s="15"/>
      <c r="AT103" s="15"/>
      <c r="AU103" s="15"/>
      <c r="AV103" s="15"/>
      <c r="AW103" s="15"/>
      <c r="AX103" s="15"/>
      <c r="AY103" s="15"/>
      <c r="AZ103" s="15"/>
      <c r="BA103" s="15"/>
      <c r="BB103" s="15"/>
      <c r="BC103" s="15"/>
    </row>
    <row r="104" spans="1:55" s="19" customFormat="1" ht="17.25" customHeight="1">
      <c r="A104" s="47" t="s">
        <v>188</v>
      </c>
      <c r="B104" s="45"/>
      <c r="C104" s="45"/>
      <c r="D104" s="45"/>
      <c r="E104" s="45"/>
      <c r="F104" s="45"/>
      <c r="G104" s="45"/>
      <c r="H104" s="45"/>
      <c r="I104" s="45"/>
      <c r="J104" s="45"/>
      <c r="K104" s="45"/>
      <c r="L104" s="45"/>
      <c r="M104" s="45"/>
      <c r="O104" s="2" t="s">
        <v>189</v>
      </c>
    </row>
    <row r="105" spans="1:55" ht="12.75" customHeight="1">
      <c r="A105" s="49" t="s">
        <v>190</v>
      </c>
      <c r="C105" s="48"/>
      <c r="D105" s="48"/>
      <c r="E105" s="48"/>
      <c r="F105" s="48"/>
      <c r="G105" s="48"/>
      <c r="H105" s="48"/>
      <c r="I105" s="48"/>
      <c r="J105" s="48"/>
      <c r="K105" s="48"/>
      <c r="L105" s="48"/>
      <c r="M105" s="48"/>
      <c r="N105" s="48"/>
    </row>
    <row r="106" spans="1:55" ht="12.75" customHeight="1">
      <c r="A106" s="50" t="s">
        <v>191</v>
      </c>
      <c r="C106" s="48"/>
      <c r="D106" s="48"/>
      <c r="E106" s="48"/>
      <c r="F106" s="48"/>
      <c r="G106" s="48"/>
      <c r="H106" s="48"/>
      <c r="I106" s="48"/>
      <c r="J106" s="48"/>
      <c r="K106" s="48"/>
      <c r="L106" s="48"/>
      <c r="M106" s="48"/>
      <c r="N106" s="48"/>
    </row>
    <row r="107" spans="1:55">
      <c r="C107" s="48"/>
      <c r="D107" s="48"/>
      <c r="E107" s="48"/>
      <c r="F107" s="48"/>
      <c r="G107" s="48"/>
      <c r="H107" s="48"/>
      <c r="I107" s="48"/>
      <c r="J107" s="48"/>
      <c r="K107" s="48"/>
      <c r="L107" s="48"/>
      <c r="M107" s="48"/>
      <c r="N107" s="48"/>
    </row>
  </sheetData>
  <mergeCells count="2">
    <mergeCell ref="A1:O1"/>
    <mergeCell ref="A2:O2"/>
  </mergeCells>
  <pageMargins left="0.7" right="0.7" top="0.75" bottom="0.75" header="0.3" footer="0.3"/>
  <pageSetup paperSize="9" scale="50" orientation="portrait" horizontalDpi="4294967295" verticalDpi="4294967295" r:id="rId1"/>
  <rowBreaks count="1" manualBreakCount="1">
    <brk id="78" max="14" man="1"/>
  </row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10.13</vt:lpstr>
      <vt:lpstr>'10.13'!Print_Area</vt:lpstr>
      <vt:lpstr>'10.13'!Print_Titles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Fathimath Shifaza</dc:creator>
  <cp:lastModifiedBy>Fathimath Shifaza</cp:lastModifiedBy>
  <cp:lastPrinted>2026-06-11T09:49:23Z</cp:lastPrinted>
  <dcterms:created xsi:type="dcterms:W3CDTF">2019-02-27T06:18:18Z</dcterms:created>
  <dcterms:modified xsi:type="dcterms:W3CDTF">2026-06-11T09:49:46Z</dcterms:modified>
</cp:coreProperties>
</file>