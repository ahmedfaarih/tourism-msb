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Tourism\"/>
    </mc:Choice>
  </mc:AlternateContent>
  <xr:revisionPtr revIDLastSave="0" documentId="13_ncr:1_{A35F2AF5-B231-41C4-841B-7BCCCE43DFF7}" xr6:coauthVersionLast="47" xr6:coauthVersionMax="47" xr10:uidLastSave="{00000000-0000-0000-0000-000000000000}"/>
  <bookViews>
    <workbookView xWindow="-120" yWindow="-120" windowWidth="29040" windowHeight="15720" tabRatio="860" xr2:uid="{00000000-000D-0000-FFFF-FFFF00000000}"/>
  </bookViews>
  <sheets>
    <sheet name="10.11" sheetId="11" r:id="rId1"/>
  </sheets>
  <definedNames>
    <definedName name="_xlnm.Print_Area" localSheetId="0">'10.11'!$A$1:$O$44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15" i="11" l="1"/>
  <c r="AX14" i="11"/>
  <c r="AX12" i="11"/>
  <c r="AX11" i="11"/>
  <c r="AY29" i="11"/>
  <c r="AZ29" i="11"/>
  <c r="BA29" i="11"/>
  <c r="BB29" i="11"/>
  <c r="BC29" i="11"/>
  <c r="BD29" i="11"/>
  <c r="BE29" i="11"/>
  <c r="BF29" i="11"/>
  <c r="BG29" i="11"/>
  <c r="BH29" i="11"/>
  <c r="BI29" i="11"/>
  <c r="AY30" i="11"/>
  <c r="AZ30" i="11"/>
  <c r="BA30" i="11"/>
  <c r="BB30" i="11"/>
  <c r="BC30" i="11"/>
  <c r="BD30" i="11"/>
  <c r="BE30" i="11"/>
  <c r="BF30" i="11"/>
  <c r="BG30" i="11"/>
  <c r="BH30" i="11"/>
  <c r="BI30" i="11"/>
  <c r="AY31" i="11"/>
  <c r="AZ31" i="11"/>
  <c r="BA31" i="11"/>
  <c r="BB31" i="11"/>
  <c r="BC31" i="11"/>
  <c r="BD31" i="11"/>
  <c r="BE31" i="11"/>
  <c r="BF31" i="11"/>
  <c r="BG31" i="11"/>
  <c r="BH31" i="11"/>
  <c r="BI31" i="11"/>
  <c r="AX30" i="11"/>
  <c r="AX31" i="11"/>
  <c r="AX29" i="11"/>
  <c r="C11" i="11" l="1"/>
  <c r="AY11" i="11" l="1"/>
  <c r="AZ11" i="11"/>
  <c r="BA11" i="11"/>
  <c r="BB11" i="11"/>
  <c r="BC11" i="11"/>
  <c r="BD11" i="11"/>
  <c r="BE11" i="11"/>
  <c r="BF11" i="11"/>
  <c r="BG11" i="11"/>
  <c r="BH11" i="11"/>
  <c r="BI11" i="11"/>
  <c r="AY12" i="11"/>
  <c r="AZ12" i="11"/>
  <c r="BA12" i="11"/>
  <c r="BB12" i="11"/>
  <c r="BC12" i="11"/>
  <c r="BD12" i="11"/>
  <c r="BE12" i="11"/>
  <c r="BF12" i="11"/>
  <c r="BG12" i="11"/>
  <c r="BH12" i="11"/>
  <c r="BI12" i="11"/>
  <c r="AY13" i="11"/>
  <c r="AZ13" i="11"/>
  <c r="BA13" i="11"/>
  <c r="BB13" i="11"/>
  <c r="BC13" i="11"/>
  <c r="BD13" i="11"/>
  <c r="BE13" i="11"/>
  <c r="BF13" i="11"/>
  <c r="BG13" i="11"/>
  <c r="BH13" i="11"/>
  <c r="BI13" i="11"/>
  <c r="AY14" i="11"/>
  <c r="AZ14" i="11"/>
  <c r="BA14" i="11"/>
  <c r="BB14" i="11"/>
  <c r="BC14" i="11"/>
  <c r="BD14" i="11"/>
  <c r="BE14" i="11"/>
  <c r="BF14" i="11"/>
  <c r="BG14" i="11"/>
  <c r="BH14" i="11"/>
  <c r="BI14" i="11"/>
  <c r="AY15" i="11"/>
  <c r="AZ15" i="11"/>
  <c r="BA15" i="11"/>
  <c r="BB15" i="11"/>
  <c r="BC15" i="11"/>
  <c r="BD15" i="11"/>
  <c r="BE15" i="11"/>
  <c r="BF15" i="11"/>
  <c r="BG15" i="11"/>
  <c r="BH15" i="11"/>
  <c r="BI15" i="11"/>
  <c r="AX13" i="11"/>
  <c r="B20" i="11" l="1"/>
  <c r="B19" i="11"/>
  <c r="B18" i="11" l="1"/>
  <c r="B17" i="11"/>
  <c r="B16" i="11"/>
  <c r="B15" i="11"/>
  <c r="B14" i="11"/>
  <c r="B13" i="11"/>
  <c r="B12" i="11"/>
  <c r="N11" i="11"/>
  <c r="M11" i="11"/>
  <c r="L11" i="11"/>
  <c r="K11" i="11"/>
  <c r="J11" i="11"/>
  <c r="I11" i="11"/>
  <c r="H11" i="11"/>
  <c r="G11" i="11"/>
  <c r="F11" i="11"/>
  <c r="E11" i="11"/>
  <c r="D11" i="11"/>
  <c r="B10" i="11"/>
  <c r="B9" i="11"/>
  <c r="B8" i="11"/>
  <c r="B7" i="11"/>
  <c r="B6" i="11"/>
  <c r="N5" i="11"/>
  <c r="M5" i="11"/>
  <c r="L5" i="11"/>
  <c r="K5" i="11"/>
  <c r="J5" i="11"/>
  <c r="I5" i="11"/>
  <c r="H5" i="11"/>
  <c r="G5" i="11"/>
  <c r="F5" i="11"/>
  <c r="E5" i="11"/>
  <c r="D5" i="11"/>
  <c r="C5" i="11"/>
  <c r="C4" i="11" s="1"/>
  <c r="E4" i="11" l="1"/>
  <c r="M4" i="11"/>
  <c r="I4" i="11"/>
  <c r="F4" i="11"/>
  <c r="N4" i="11"/>
  <c r="G4" i="11"/>
  <c r="H4" i="11"/>
  <c r="K4" i="11"/>
  <c r="J4" i="11"/>
  <c r="B11" i="11"/>
  <c r="L4" i="11"/>
  <c r="D4" i="11"/>
  <c r="B5" i="11"/>
  <c r="B4" i="11" l="1"/>
</calcChain>
</file>

<file path=xl/sharedStrings.xml><?xml version="1.0" encoding="utf-8"?>
<sst xmlns="http://schemas.openxmlformats.org/spreadsheetml/2006/main" count="90" uniqueCount="70">
  <si>
    <t>Total</t>
  </si>
  <si>
    <t>ޖުމްލަ</t>
  </si>
  <si>
    <t>Europe</t>
  </si>
  <si>
    <t>ޔޫރަޕް</t>
  </si>
  <si>
    <t>Asia</t>
  </si>
  <si>
    <t>އޭޝިއާ</t>
  </si>
  <si>
    <t>Africa</t>
  </si>
  <si>
    <t>އެފްރިކާ</t>
  </si>
  <si>
    <t>Oceania</t>
  </si>
  <si>
    <t>Middle East</t>
  </si>
  <si>
    <t>ޔޫ.އެން ޕާސްޕޯޓް ހޯލްޑަރ</t>
  </si>
  <si>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</si>
  <si>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</si>
  <si>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</si>
  <si>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</si>
  <si>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</si>
  <si>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</si>
  <si>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</si>
  <si>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</si>
  <si>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</si>
  <si>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</si>
  <si>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</si>
  <si>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</si>
  <si>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</si>
  <si>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</si>
  <si>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</si>
  <si>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</si>
  <si>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</si>
  <si>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</si>
  <si>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</si>
  <si>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</si>
  <si>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</si>
  <si>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</si>
  <si>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</si>
  <si>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</si>
  <si>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</si>
  <si>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Country of Nationality</t>
  </si>
  <si>
    <t>ޤައުމިއްޔަތު/ 
މަސް</t>
  </si>
  <si>
    <t>Central/Eastern Europe</t>
  </si>
  <si>
    <t xml:space="preserve">   މެދު/އިރުމަތި ޔޫރަޕް</t>
  </si>
  <si>
    <t>Northern Europe</t>
  </si>
  <si>
    <t xml:space="preserve">   އުތުރު ޔޫރަޕް</t>
  </si>
  <si>
    <t>Southern Europe</t>
  </si>
  <si>
    <t xml:space="preserve">   ދެކުނު ޔޫރަޕް</t>
  </si>
  <si>
    <t>Western Europe</t>
  </si>
  <si>
    <t xml:space="preserve">   ހުޅަނގު ޔޫރަޕް</t>
  </si>
  <si>
    <t>East/Mediterranean Europe</t>
  </si>
  <si>
    <t xml:space="preserve">   އިރުމަތި/މެޑިޓަރޭނިއަން ޔޫރަޕް</t>
  </si>
  <si>
    <t>North East Asia</t>
  </si>
  <si>
    <t xml:space="preserve">   ހުޅަނގު އުތުރު އޭޝިއާ</t>
  </si>
  <si>
    <t>South East Asia</t>
  </si>
  <si>
    <t xml:space="preserve">   ހުޅަނގު ދެކުނު އޭޝިއާ</t>
  </si>
  <si>
    <t>South Asia</t>
  </si>
  <si>
    <t xml:space="preserve">   ދެކުނު އޭޝިއާ</t>
  </si>
  <si>
    <t>އެމެރިކާ</t>
  </si>
  <si>
    <t>America</t>
  </si>
  <si>
    <t>އޯޝަނިޔާ</t>
  </si>
  <si>
    <t>މެދު އިރުމަތި</t>
  </si>
  <si>
    <t xml:space="preserve">UN Passport Holders </t>
  </si>
  <si>
    <t>Others/Not Stated</t>
  </si>
  <si>
    <t>ބަޔާން ނުކުރާ</t>
  </si>
  <si>
    <t xml:space="preserve"> </t>
  </si>
  <si>
    <t xml:space="preserve">             Maldives Immigration </t>
  </si>
  <si>
    <t xml:space="preserve">       މޯލްޑީވްސް އިމިގްރޭޝަން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</si>
  <si>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</si>
  <si>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</si>
  <si>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2025 udwdwA egcnirevurutwf iawaejcaWr cnutogegukwtumuawq uhwmcswmikea : 10.11 ulwvWt</t>
  </si>
  <si>
    <t>Table 10.11 :   MONTHLY DISTRIBUTION OF TOURIST ARRIVALS, 2025</t>
  </si>
  <si>
    <t>Source: Ministry Tourism and Civil Aviation</t>
  </si>
  <si>
    <t>މަޢުލޫމާތު ދެއްވީ: މިނިސްޓްރީ އޮފް ޓޫރިޒަމް އެންޑް ސިވިލް އޭވިއޭޝަން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</si>
</sst>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_(* #,##0_);_(* \(#,##0\);_(* &quot;-&quot;??_);_(@_)"/>
    <numFmt numFmtId="166" formatCode="#,##0.0"/>
    <numFmt numFmtId="167" formatCode="General_)"/>
    <numFmt numFmtId="169" formatCode="0.00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.5"/>
      <name val="Faruma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Arial"/>
      <family val="2"/>
    </font>
    <font>
      <b/>
      <sz val="9"/>
      <name val="Faruma"/>
    </font>
    <font>
      <b/>
      <sz val="9"/>
      <name val="Calibri"/>
      <family val="2"/>
    </font>
    <font>
      <sz val="10"/>
      <name val="Faruma"/>
    </font>
    <font>
      <sz val="10"/>
      <name val="Courier"/>
      <family val="3"/>
    </font>
    <font>
      <b/>
      <sz val="9"/>
      <name val="Arial"/>
      <family val="2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1"/>
      <name val="A_Faseyha"/>
    </font>
    <font>
      <i/>
      <sz val="9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85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3" fillId="0" borderId="0"/>
    <xf numFmtId="9" fontId="3" fillId="0" borderId="0" applyFont="0" applyFill="0" applyBorder="0" applyAlignment="0" applyProtection="0"/>
    <xf numFmtId="0" fontId="17" fillId="0" borderId="0"/>
    <xf numFmtId="0" fontId="17" fillId="0" borderId="0"/>
    <xf numFmtId="0" fontId="3" fillId="0" borderId="0"/>
    <xf numFmtId="0" fontId="20" fillId="0" borderId="0"/>
    <xf numFmtId="0" fontId="3" fillId="0" borderId="0"/>
    <xf numFmtId="43" fontId="3" fillId="0" borderId="0" applyFont="0" applyFill="0" applyBorder="0" applyAlignment="0" applyProtection="0"/>
    <xf numFmtId="169" fontId="21" fillId="0" borderId="0"/>
    <xf numFmtId="1" fontId="22" fillId="0" borderId="8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0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8" fillId="0" borderId="0"/>
    <xf numFmtId="40" fontId="8" fillId="0" borderId="0" applyFont="0" applyFill="0" applyBorder="0" applyAlignment="0" applyProtection="0"/>
    <xf numFmtId="0" fontId="8" fillId="0" borderId="0"/>
    <xf numFmtId="0" fontId="3" fillId="0" borderId="0"/>
    <xf numFmtId="1" fontId="22" fillId="0" borderId="8" applyNumberFormat="0"/>
    <xf numFmtId="0" fontId="1" fillId="0" borderId="0"/>
    <xf numFmtId="0" fontId="8" fillId="0" borderId="0"/>
    <xf numFmtId="0" fontId="25" fillId="0" borderId="0" applyFill="0" applyProtection="0"/>
    <xf numFmtId="1" fontId="22" fillId="0" borderId="8" applyNumberFormat="0"/>
    <xf numFmtId="43" fontId="1" fillId="0" borderId="0" applyFont="0" applyFill="0" applyBorder="0" applyAlignment="0" applyProtection="0"/>
    <xf numFmtId="0" fontId="1" fillId="0" borderId="0"/>
    <xf numFmtId="0" fontId="26" fillId="0" borderId="0"/>
    <xf numFmtId="0" fontId="27" fillId="0" borderId="0"/>
    <xf numFmtId="0" fontId="26" fillId="0" borderId="0"/>
    <xf numFmtId="0" fontId="1" fillId="0" borderId="0"/>
    <xf numFmtId="0" fontId="8" fillId="0" borderId="0"/>
    <xf numFmtId="0" fontId="25" fillId="0" borderId="0" applyFill="0" applyProtection="0"/>
    <xf numFmtId="1" fontId="22" fillId="0" borderId="8" applyNumberFormat="0"/>
    <xf numFmtId="0" fontId="1" fillId="0" borderId="0"/>
    <xf numFmtId="0" fontId="3" fillId="0" borderId="0"/>
    <xf numFmtId="0" fontId="26" fillId="0" borderId="0"/>
    <xf numFmtId="0" fontId="27" fillId="0" borderId="0"/>
    <xf numFmtId="0" fontId="3" fillId="0" borderId="0"/>
    <xf numFmtId="0" fontId="26" fillId="0" borderId="0"/>
    <xf numFmtId="0" fontId="28" fillId="0" borderId="0"/>
    <xf numFmtId="0" fontId="26" fillId="0" borderId="0"/>
    <xf numFmtId="0" fontId="2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8" fillId="0" borderId="0" applyFont="0" applyFill="0" applyBorder="0" applyAlignment="0" applyProtection="0"/>
    <xf numFmtId="0" fontId="1" fillId="0" borderId="0"/>
    <xf numFmtId="0" fontId="28" fillId="0" borderId="0" applyBorder="0"/>
    <xf numFmtId="0" fontId="1" fillId="0" borderId="0"/>
    <xf numFmtId="40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8" fillId="0" borderId="0" applyBorder="0"/>
    <xf numFmtId="0" fontId="1" fillId="0" borderId="0"/>
    <xf numFmtId="0" fontId="1" fillId="0" borderId="0"/>
    <xf numFmtId="1" fontId="22" fillId="0" borderId="8" applyNumberFormat="0"/>
    <xf numFmtId="1" fontId="22" fillId="0" borderId="8" applyNumberFormat="0"/>
    <xf numFmtId="1" fontId="22" fillId="0" borderId="8" applyNumberFormat="0"/>
    <xf numFmtId="1" fontId="22" fillId="0" borderId="8" applyNumberFormat="0"/>
    <xf numFmtId="1" fontId="22" fillId="0" borderId="8" applyNumberFormat="0"/>
    <xf numFmtId="1" fontId="22" fillId="0" borderId="8" applyNumberFormat="0"/>
    <xf numFmtId="1" fontId="22" fillId="0" borderId="8" applyNumberFormat="0"/>
    <xf numFmtId="0" fontId="1" fillId="0" borderId="0"/>
    <xf numFmtId="0" fontId="1" fillId="0" borderId="0"/>
    <xf numFmtId="0" fontId="28" fillId="0" borderId="0" applyBorder="0"/>
    <xf numFmtId="0" fontId="28" fillId="0" borderId="0"/>
    <xf numFmtId="0" fontId="1" fillId="0" borderId="0"/>
    <xf numFmtId="0" fontId="8" fillId="0" borderId="0"/>
    <xf numFmtId="0" fontId="8" fillId="0" borderId="0"/>
    <xf numFmtId="1" fontId="22" fillId="0" borderId="8" applyNumberFormat="0"/>
    <xf numFmtId="0" fontId="28" fillId="0" borderId="0" applyBorder="0"/>
    <xf numFmtId="0" fontId="28" fillId="0" borderId="0" applyBorder="0"/>
    <xf numFmtId="0" fontId="8" fillId="0" borderId="0"/>
    <xf numFmtId="0" fontId="3" fillId="0" borderId="0"/>
    <xf numFmtId="0" fontId="3" fillId="0" borderId="0"/>
    <xf numFmtId="0" fontId="3" fillId="0" borderId="0"/>
  </cellStyleXfs>
  <cellXfs count="46">
    <xf numFmtId="0" fontId="0" fillId="0" borderId="0" xfId="0"/>
    <xf numFmtId="0" fontId="7" fillId="2" borderId="0" xfId="2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4" fillId="2" borderId="2" xfId="3" applyFont="1" applyFill="1" applyBorder="1" applyAlignment="1">
      <alignment horizontal="right" vertical="center" wrapText="1"/>
    </xf>
    <xf numFmtId="167" fontId="3" fillId="2" borderId="4" xfId="6" applyNumberFormat="1" applyFont="1" applyFill="1" applyBorder="1" applyAlignment="1">
      <alignment vertical="center"/>
    </xf>
    <xf numFmtId="0" fontId="3" fillId="2" borderId="4" xfId="3" applyFill="1" applyBorder="1"/>
    <xf numFmtId="0" fontId="4" fillId="2" borderId="2" xfId="3" applyFont="1" applyFill="1" applyBorder="1" applyAlignment="1">
      <alignment horizontal="left" vertical="center"/>
    </xf>
    <xf numFmtId="0" fontId="10" fillId="2" borderId="4" xfId="3" applyFont="1" applyFill="1" applyBorder="1" applyAlignment="1">
      <alignment vertical="center"/>
    </xf>
    <xf numFmtId="0" fontId="6" fillId="2" borderId="6" xfId="3" applyFont="1" applyFill="1" applyBorder="1" applyAlignment="1">
      <alignment vertical="center"/>
    </xf>
    <xf numFmtId="165" fontId="6" fillId="2" borderId="6" xfId="1" applyNumberFormat="1" applyFont="1" applyFill="1" applyBorder="1" applyAlignment="1" applyProtection="1">
      <alignment horizontal="right" vertical="center"/>
    </xf>
    <xf numFmtId="0" fontId="18" fillId="2" borderId="5" xfId="3" applyFont="1" applyFill="1" applyBorder="1"/>
    <xf numFmtId="0" fontId="6" fillId="2" borderId="0" xfId="3" applyFont="1" applyFill="1" applyAlignment="1">
      <alignment vertical="center"/>
    </xf>
    <xf numFmtId="165" fontId="6" fillId="2" borderId="0" xfId="1" applyNumberFormat="1" applyFont="1" applyFill="1" applyBorder="1" applyAlignment="1" applyProtection="1">
      <alignment horizontal="right" vertical="center"/>
    </xf>
    <xf numFmtId="166" fontId="5" fillId="2" borderId="0" xfId="3" applyNumberFormat="1" applyFont="1" applyFill="1" applyAlignment="1">
      <alignment horizontal="right"/>
    </xf>
    <xf numFmtId="0" fontId="18" fillId="2" borderId="0" xfId="3" applyFont="1" applyFill="1"/>
    <xf numFmtId="17" fontId="12" fillId="2" borderId="0" xfId="7" applyNumberFormat="1" applyFont="1" applyFill="1" applyAlignment="1">
      <alignment horizontal="left" vertical="center" indent="1"/>
    </xf>
    <xf numFmtId="165" fontId="12" fillId="2" borderId="0" xfId="1" applyNumberFormat="1" applyFont="1" applyFill="1" applyBorder="1" applyAlignment="1" applyProtection="1">
      <alignment horizontal="right" vertical="center"/>
    </xf>
    <xf numFmtId="166" fontId="16" fillId="2" borderId="0" xfId="3" applyNumberFormat="1" applyFont="1" applyFill="1" applyAlignment="1">
      <alignment horizontal="right"/>
    </xf>
    <xf numFmtId="0" fontId="10" fillId="2" borderId="0" xfId="3" applyFont="1" applyFill="1"/>
    <xf numFmtId="17" fontId="12" fillId="2" borderId="0" xfId="7" applyNumberFormat="1" applyFont="1" applyFill="1" applyAlignment="1">
      <alignment horizontal="left" vertical="center" wrapText="1" indent="1"/>
    </xf>
    <xf numFmtId="0" fontId="6" fillId="2" borderId="1" xfId="3" applyFont="1" applyFill="1" applyBorder="1" applyAlignment="1">
      <alignment vertical="center"/>
    </xf>
    <xf numFmtId="165" fontId="6" fillId="2" borderId="1" xfId="1" applyNumberFormat="1" applyFont="1" applyFill="1" applyBorder="1" applyAlignment="1" applyProtection="1">
      <alignment horizontal="right" vertical="center"/>
    </xf>
    <xf numFmtId="0" fontId="14" fillId="2" borderId="1" xfId="3" applyFont="1" applyFill="1" applyBorder="1"/>
    <xf numFmtId="0" fontId="11" fillId="2" borderId="0" xfId="3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 indent="3"/>
    </xf>
    <xf numFmtId="0" fontId="14" fillId="2" borderId="3" xfId="3" applyFont="1" applyFill="1" applyBorder="1" applyAlignment="1">
      <alignment horizontal="right" vertical="center" wrapText="1" indent="1"/>
    </xf>
    <xf numFmtId="166" fontId="5" fillId="2" borderId="9" xfId="3" applyNumberFormat="1" applyFont="1" applyFill="1" applyBorder="1" applyAlignment="1">
      <alignment horizontal="right"/>
    </xf>
    <xf numFmtId="0" fontId="3" fillId="2" borderId="7" xfId="3" applyFill="1" applyBorder="1"/>
    <xf numFmtId="167" fontId="3" fillId="2" borderId="0" xfId="6" applyNumberFormat="1" applyFont="1" applyFill="1" applyAlignment="1">
      <alignment vertical="center"/>
    </xf>
    <xf numFmtId="0" fontId="3" fillId="2" borderId="0" xfId="3" applyFill="1"/>
    <xf numFmtId="0" fontId="10" fillId="2" borderId="0" xfId="3" applyFont="1" applyFill="1" applyAlignment="1">
      <alignment vertical="center"/>
    </xf>
    <xf numFmtId="165" fontId="18" fillId="2" borderId="0" xfId="3" applyNumberFormat="1" applyFont="1" applyFill="1" applyAlignment="1">
      <alignment vertical="center"/>
    </xf>
    <xf numFmtId="0" fontId="18" fillId="2" borderId="0" xfId="3" applyFont="1" applyFill="1" applyAlignment="1">
      <alignment vertical="center"/>
    </xf>
    <xf numFmtId="0" fontId="13" fillId="2" borderId="6" xfId="3" applyFont="1" applyFill="1" applyBorder="1" applyAlignment="1">
      <alignment horizontal="left" vertical="center"/>
    </xf>
    <xf numFmtId="165" fontId="13" fillId="2" borderId="6" xfId="3" applyNumberFormat="1" applyFont="1" applyFill="1" applyBorder="1" applyAlignment="1">
      <alignment horizontal="left" vertical="center"/>
    </xf>
    <xf numFmtId="0" fontId="24" fillId="2" borderId="6" xfId="3" applyFont="1" applyFill="1" applyBorder="1" applyAlignment="1">
      <alignment horizontal="left" vertical="center"/>
    </xf>
    <xf numFmtId="0" fontId="10" fillId="2" borderId="6" xfId="3" applyFont="1" applyFill="1" applyBorder="1"/>
    <xf numFmtId="0" fontId="13" fillId="2" borderId="0" xfId="3" applyFont="1" applyFill="1" applyAlignment="1">
      <alignment horizontal="left" vertical="center"/>
    </xf>
    <xf numFmtId="165" fontId="13" fillId="2" borderId="0" xfId="3" applyNumberFormat="1" applyFont="1" applyFill="1" applyAlignment="1">
      <alignment horizontal="left" vertical="center"/>
    </xf>
    <xf numFmtId="3" fontId="3" fillId="2" borderId="0" xfId="3" applyNumberFormat="1" applyFill="1"/>
    <xf numFmtId="0" fontId="19" fillId="2" borderId="0" xfId="0" applyFont="1" applyFill="1" applyAlignment="1">
      <alignment horizontal="right" vertical="center"/>
    </xf>
    <xf numFmtId="166" fontId="5" fillId="2" borderId="1" xfId="3" applyNumberFormat="1" applyFont="1" applyFill="1" applyBorder="1" applyAlignment="1">
      <alignment horizontal="right"/>
    </xf>
    <xf numFmtId="167" fontId="23" fillId="2" borderId="4" xfId="5" applyNumberFormat="1" applyFont="1" applyFill="1" applyBorder="1" applyAlignment="1">
      <alignment horizontal="center" vertical="center"/>
    </xf>
    <xf numFmtId="0" fontId="2" fillId="2" borderId="5" xfId="3" applyFont="1" applyFill="1" applyBorder="1" applyAlignment="1">
      <alignment horizontal="center" vertical="center"/>
    </xf>
    <xf numFmtId="0" fontId="19" fillId="2" borderId="0" xfId="3" applyFont="1" applyFill="1" applyAlignment="1">
      <alignment horizontal="right" vertical="center"/>
    </xf>
  </cellXfs>
  <cellStyles count="85">
    <cellStyle name="1" xfId="9" xr:uid="{00000000-0005-0000-0000-000000000000}"/>
    <cellStyle name="Comma" xfId="1" builtinId="3"/>
    <cellStyle name="Comma 2" xfId="23" xr:uid="{00000000-0005-0000-0000-000002000000}"/>
    <cellStyle name="Comma 2 2" xfId="50" xr:uid="{71832AE8-63E9-47AC-B43D-24C9B30FD491}"/>
    <cellStyle name="Comma 2 2 2 5" xfId="31" xr:uid="{923A80DF-8391-490C-A9FC-9B04BA3FF02C}"/>
    <cellStyle name="Comma 2 3" xfId="57" xr:uid="{18E20042-2979-46AD-9D37-4A459DA64BAE}"/>
    <cellStyle name="Comma 3" xfId="10" xr:uid="{00000000-0005-0000-0000-000003000000}"/>
    <cellStyle name="Comma 3 2" xfId="53" xr:uid="{C94EE668-205D-4DE2-A3E1-635995599CA4}"/>
    <cellStyle name="Normal" xfId="0" builtinId="0"/>
    <cellStyle name="Normal - Style1" xfId="11" xr:uid="{00000000-0005-0000-0000-000005000000}"/>
    <cellStyle name="Normal 10" xfId="17" xr:uid="{00000000-0005-0000-0000-000006000000}"/>
    <cellStyle name="Normal 10 2" xfId="84" xr:uid="{AF4FE69F-9401-42FA-B027-EEF0FEB874E3}"/>
    <cellStyle name="Normal 11" xfId="28" xr:uid="{95DB1E47-A717-4F50-B120-BDB4A6A98D35}"/>
    <cellStyle name="Normal 12" xfId="30" xr:uid="{5F37676F-9210-428B-A54A-88AF31197612}"/>
    <cellStyle name="Normal 13" xfId="39" xr:uid="{1E44DD08-E506-4B0E-A49D-239619E68ECB}"/>
    <cellStyle name="Normal 14" xfId="64" xr:uid="{CF47567C-18E3-48E3-B4B2-F9546E19550C}"/>
    <cellStyle name="Normal 15" xfId="65" xr:uid="{791BF7C1-0A53-4899-92D0-58D1295D1734}"/>
    <cellStyle name="Normal 16" xfId="66" xr:uid="{FB24067F-240D-455E-8348-EE3147456F5B}"/>
    <cellStyle name="Normal 17" xfId="67" xr:uid="{D4A5C67F-868D-43C6-89A5-249394EF5F61}"/>
    <cellStyle name="Normal 18" xfId="68" xr:uid="{C428DA61-20F8-4842-A18B-7FA043B482A4}"/>
    <cellStyle name="Normal 19" xfId="69" xr:uid="{EACCE844-16D2-420C-B840-ACEE6225450A}"/>
    <cellStyle name="Normal 2" xfId="3" xr:uid="{00000000-0005-0000-0000-000007000000}"/>
    <cellStyle name="Normal 2 2" xfId="12" xr:uid="{00000000-0005-0000-0000-000008000000}"/>
    <cellStyle name="Normal 2 2 2" xfId="24" xr:uid="{00000000-0005-0000-0000-000009000000}"/>
    <cellStyle name="Normal 2 2 2 2" xfId="48" xr:uid="{8F8F9C60-80DF-42BF-B765-6C68B3B83858}"/>
    <cellStyle name="Normal 2 2 3" xfId="25" xr:uid="{2E2FEFD2-ABBD-420D-8461-C8F503FDA24A}"/>
    <cellStyle name="Normal 2 2 3 2" xfId="46" xr:uid="{847F1A16-9FCA-412B-AE91-D29E3FC8B338}"/>
    <cellStyle name="Normal 2 2 4" xfId="42" xr:uid="{19B03459-4F46-4840-B83F-02097E770DD0}"/>
    <cellStyle name="Normal 2 3" xfId="27" xr:uid="{48422FEC-E0BC-428C-9750-2D76D2E13FBF}"/>
    <cellStyle name="Normal 2 3 2" xfId="38" xr:uid="{53720891-5BB7-4072-A4AA-9D579EA571CD}"/>
    <cellStyle name="Normal 2 3 3" xfId="41" xr:uid="{7DCAFB35-81DA-42EB-A924-F7ED0EEF7A1F}"/>
    <cellStyle name="Normal 2 4" xfId="29" xr:uid="{84E1C268-3A16-4FB7-A335-F22068D33369}"/>
    <cellStyle name="Normal 2 4 2" xfId="49" xr:uid="{57E5914E-388A-4C4B-895D-9DE84233932D}"/>
    <cellStyle name="Normal 2 5" xfId="33" xr:uid="{D29D2916-D641-4853-A275-3F08E70F8C7A}"/>
    <cellStyle name="Normal 2 5 2" xfId="71" xr:uid="{C22BCFAD-F32E-457E-938E-ABEE683A2342}"/>
    <cellStyle name="Normal 2 6" xfId="72" xr:uid="{FEC1E65A-B873-4B1D-8CA3-90C7267B1DBB}"/>
    <cellStyle name="Normal 2 7" xfId="75" xr:uid="{1F813466-FC69-4C83-8E34-944476152EEC}"/>
    <cellStyle name="Normal 20" xfId="70" xr:uid="{6BBCB359-6445-479F-B974-2714BC50CD98}"/>
    <cellStyle name="Normal 21" xfId="76" xr:uid="{ED747AB2-D527-4275-89BF-F4D42E0C64B3}"/>
    <cellStyle name="Normal 22" xfId="77" xr:uid="{8E332121-172D-4CE3-830C-64EBB89E6CB3}"/>
    <cellStyle name="Normal 23" xfId="78" xr:uid="{DB6A6BF5-DDB4-454B-9671-9B4525D9FEF0}"/>
    <cellStyle name="Normal 24" xfId="79" xr:uid="{DB5E392E-84E8-49A0-A5E9-BE8B736EFA85}"/>
    <cellStyle name="Normal 25" xfId="80" xr:uid="{6753E3D1-5C90-4E93-BA77-A2FB0D20D5D4}"/>
    <cellStyle name="Normal 3" xfId="13" xr:uid="{00000000-0005-0000-0000-00000A000000}"/>
    <cellStyle name="Normal 3 2" xfId="26" xr:uid="{44D070A0-948A-45DA-8AFF-8A98BB90EB1D}"/>
    <cellStyle name="Normal 3 2 2" xfId="35" xr:uid="{4957CE97-0C4F-446D-8F13-BA568858B15F}"/>
    <cellStyle name="Normal 3 2 2 2" xfId="60" xr:uid="{2E853BA5-A6AB-4EF9-973C-19000D44968E}"/>
    <cellStyle name="Normal 3 2 3" xfId="82" xr:uid="{2702B235-7DDF-4A16-AFF9-4947AD331AEF}"/>
    <cellStyle name="Normal 3 3" xfId="44" xr:uid="{1D4DED44-E767-4414-A710-53A5E77B0231}"/>
    <cellStyle name="Normal 3 3 2" xfId="63" xr:uid="{105881E3-0498-4F49-93D5-84249EBD8B7E}"/>
    <cellStyle name="Normal 3 4" xfId="54" xr:uid="{775CBDBA-2355-47F1-8EDC-996CD2E9D14C}"/>
    <cellStyle name="Normal 3 5" xfId="58" xr:uid="{B67EF198-0A73-4423-9F40-46956DF79B03}"/>
    <cellStyle name="Normal 3 6" xfId="73" xr:uid="{147BF9F4-9920-475F-AFAF-1D72BEB5A6F8}"/>
    <cellStyle name="Normal 3 7" xfId="74" xr:uid="{C369A487-A923-4CFF-B26E-A8A707B5AE2D}"/>
    <cellStyle name="Normal 4" xfId="18" xr:uid="{00000000-0005-0000-0000-00000B000000}"/>
    <cellStyle name="Normal 4 2" xfId="14" xr:uid="{00000000-0005-0000-0000-00000C000000}"/>
    <cellStyle name="Normal 4 2 2" xfId="19" xr:uid="{00000000-0005-0000-0000-00000D000000}"/>
    <cellStyle name="Normal 4 2 3" xfId="43" xr:uid="{3CC09F86-6AF3-42B7-B59F-47E11B119A56}"/>
    <cellStyle name="Normal 4 3" xfId="34" xr:uid="{6720CF7E-3D28-49D4-A4F3-23A341275CC3}"/>
    <cellStyle name="Normal 4 3 2" xfId="51" xr:uid="{FF8D28D6-8DB2-418B-A317-8CA9F33A63C6}"/>
    <cellStyle name="Normal 4 4" xfId="56" xr:uid="{506DB73D-6B6B-40EF-85B4-52381B4717DA}"/>
    <cellStyle name="Normal 4 5" xfId="81" xr:uid="{29A6969F-54E4-4383-BF5F-A7F4F715B13A}"/>
    <cellStyle name="Normal 5" xfId="15" xr:uid="{00000000-0005-0000-0000-00000E000000}"/>
    <cellStyle name="Normal 5 2" xfId="7" xr:uid="{00000000-0005-0000-0000-00000F000000}"/>
    <cellStyle name="Normal 5 2 2" xfId="59" xr:uid="{349C0B77-1FB1-4403-84A0-A4B2133A156A}"/>
    <cellStyle name="Normal 5 3" xfId="32" xr:uid="{F16A05F5-F806-4902-9DAF-1592A0EB3B8F}"/>
    <cellStyle name="Normal 5 4" xfId="45" xr:uid="{A6EA1B92-714A-484D-87C5-6D1A3BC3F4D7}"/>
    <cellStyle name="Normal 6" xfId="20" xr:uid="{00000000-0005-0000-0000-000010000000}"/>
    <cellStyle name="Normal 6 2" xfId="36" xr:uid="{28DCBC0B-46D7-4D92-ADC4-A6E5B7FB0383}"/>
    <cellStyle name="Normal 6 2 2" xfId="61" xr:uid="{35024BBE-69E3-4A93-86D9-3A08FFADFD0D}"/>
    <cellStyle name="Normal 6 3" xfId="47" xr:uid="{A1A5671A-5779-4172-B339-E25C279C443B}"/>
    <cellStyle name="Normal 7" xfId="21" xr:uid="{00000000-0005-0000-0000-000011000000}"/>
    <cellStyle name="Normal 7 2" xfId="37" xr:uid="{F94E59D5-A861-4070-A967-F13E24BDD6F0}"/>
    <cellStyle name="Normal 7 2 2" xfId="52" xr:uid="{3C7963B8-B6CF-4FCF-93B3-DD71D3A617EC}"/>
    <cellStyle name="Normal 7 3" xfId="62" xr:uid="{31B347B4-04A7-4773-99FE-B93DBCB9EF51}"/>
    <cellStyle name="Normal 7 4" xfId="40" xr:uid="{82FD4FAA-650B-46FE-85A5-0119781775C0}"/>
    <cellStyle name="Normal 8" xfId="22" xr:uid="{00000000-0005-0000-0000-000012000000}"/>
    <cellStyle name="Normal 8 2" xfId="55" xr:uid="{2C19882A-370B-4CF1-8D87-E650A5A0EE91}"/>
    <cellStyle name="Normal 9" xfId="8" xr:uid="{00000000-0005-0000-0000-000013000000}"/>
    <cellStyle name="Normal 9 2" xfId="83" xr:uid="{8B69E301-AFA8-488E-94F8-DE9EB7E34FB9}"/>
    <cellStyle name="Normal_TABLE456" xfId="2" xr:uid="{00000000-0005-0000-0000-000017000000}"/>
    <cellStyle name="Normal_VIII-8 (Tourism) 2" xfId="5" xr:uid="{00000000-0005-0000-0000-000018000000}"/>
    <cellStyle name="Normal_VIII-8 (Tourism) 2 3" xfId="6" xr:uid="{00000000-0005-0000-0000-000019000000}"/>
    <cellStyle name="Percent 2" xfId="16" xr:uid="{00000000-0005-0000-0000-00001B000000}"/>
    <cellStyle name="Percent 2 2" xfId="4" xr:uid="{00000000-0005-0000-0000-00001C000000}"/>
  </cellStyles>
  <dxfs count="0"/>
  <tableStyles count="0" defaultTableStyle="TableStyleMedium2" defaultPivotStyle="PivotStyleLight16"/>
  <colors>
    <mruColors>
      <color rgb="FFF6FAF4"/>
      <color rgb="FFFCFDFE"/>
      <color rgb="FFF1F7ED"/>
      <color rgb="FF003300"/>
      <color rgb="FF336600"/>
      <color rgb="FF2F75B5"/>
      <color rgb="FFFF3399"/>
      <color rgb="FF003399"/>
      <color rgb="FF7E54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10.17: Monthly tourist arrivals by European Market, 2025 </a:t>
            </a:r>
          </a:p>
        </c:rich>
      </c:tx>
      <c:layout>
        <c:manualLayout>
          <c:xMode val="edge"/>
          <c:yMode val="edge"/>
          <c:x val="0.12215975586255923"/>
          <c:y val="1.9766518075423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64618374825347"/>
          <c:y val="0.12103060151902054"/>
          <c:w val="0.87957552340085354"/>
          <c:h val="0.78856609237787967"/>
        </c:manualLayout>
      </c:layout>
      <c:lineChart>
        <c:grouping val="standard"/>
        <c:varyColors val="0"/>
        <c:ser>
          <c:idx val="0"/>
          <c:order val="0"/>
          <c:tx>
            <c:strRef>
              <c:f>'10.11'!$AW$11</c:f>
              <c:strCache>
                <c:ptCount val="1"/>
                <c:pt idx="0">
                  <c:v>Central/Eastern Europe</c:v>
                </c:pt>
              </c:strCache>
            </c:strRef>
          </c:tx>
          <c:spPr>
            <a:ln w="34925" cap="rnd">
              <a:solidFill>
                <a:srgbClr val="3366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'10.11'!$AX$10:$BI$10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'10.11'!$AX$11:$BI$11</c:f>
              <c:numCache>
                <c:formatCode>_(* #,##0_);_(* \(#,##0\);_(* "-"??_);_(@_)</c:formatCode>
                <c:ptCount val="12"/>
                <c:pt idx="0">
                  <c:v>49494</c:v>
                </c:pt>
                <c:pt idx="1">
                  <c:v>49639</c:v>
                </c:pt>
                <c:pt idx="2">
                  <c:v>47162</c:v>
                </c:pt>
                <c:pt idx="3">
                  <c:v>32747</c:v>
                </c:pt>
                <c:pt idx="4">
                  <c:v>25597</c:v>
                </c:pt>
                <c:pt idx="5">
                  <c:v>30118</c:v>
                </c:pt>
                <c:pt idx="6">
                  <c:v>38760</c:v>
                </c:pt>
                <c:pt idx="7">
                  <c:v>36110</c:v>
                </c:pt>
                <c:pt idx="8">
                  <c:v>29223</c:v>
                </c:pt>
                <c:pt idx="9">
                  <c:v>42133</c:v>
                </c:pt>
                <c:pt idx="10">
                  <c:v>46805</c:v>
                </c:pt>
                <c:pt idx="11">
                  <c:v>51812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AF-489F-AC73-381DC72CD132}"/>
            </c:ext>
          </c:extLst>
        </c:ser>
        <c:ser>
          <c:idx val="1"/>
          <c:order val="1"/>
          <c:tx>
            <c:strRef>
              <c:f>'10.11'!$AW$12</c:f>
              <c:strCache>
                <c:ptCount val="1"/>
                <c:pt idx="0">
                  <c:v>Northern Europe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'10.11'!$AX$10:$BI$10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'10.11'!$AX$12:$BI$12</c:f>
              <c:numCache>
                <c:formatCode>_(* #,##0_);_(* \(#,##0\);_(* "-"??_);_(@_)</c:formatCode>
                <c:ptCount val="12"/>
                <c:pt idx="0">
                  <c:v>24054</c:v>
                </c:pt>
                <c:pt idx="1">
                  <c:v>29616</c:v>
                </c:pt>
                <c:pt idx="2">
                  <c:v>26762</c:v>
                </c:pt>
                <c:pt idx="3">
                  <c:v>25180</c:v>
                </c:pt>
                <c:pt idx="4">
                  <c:v>12656</c:v>
                </c:pt>
                <c:pt idx="5">
                  <c:v>11219</c:v>
                </c:pt>
                <c:pt idx="6">
                  <c:v>16662</c:v>
                </c:pt>
                <c:pt idx="7">
                  <c:v>14485</c:v>
                </c:pt>
                <c:pt idx="8">
                  <c:v>12072</c:v>
                </c:pt>
                <c:pt idx="9">
                  <c:v>21218</c:v>
                </c:pt>
                <c:pt idx="10">
                  <c:v>23097</c:v>
                </c:pt>
                <c:pt idx="11">
                  <c:v>26491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AF-489F-AC73-381DC72CD132}"/>
            </c:ext>
          </c:extLst>
        </c:ser>
        <c:ser>
          <c:idx val="3"/>
          <c:order val="2"/>
          <c:tx>
            <c:strRef>
              <c:f>'10.11'!$AW$13</c:f>
              <c:strCache>
                <c:ptCount val="1"/>
                <c:pt idx="0">
                  <c:v>Southern Europe</c:v>
                </c:pt>
              </c:strCache>
            </c:strRef>
          </c:tx>
          <c:spPr>
            <a:ln w="34925" cap="rnd">
              <a:solidFill>
                <a:srgbClr val="0033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'10.11'!$AX$10:$BI$10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'10.11'!$AX$13:$BI$13</c:f>
              <c:numCache>
                <c:formatCode>_(* #,##0_);_(* \(#,##0\);_(* "-"??_);_(@_)</c:formatCode>
                <c:ptCount val="12"/>
                <c:pt idx="0">
                  <c:v>27232</c:v>
                </c:pt>
                <c:pt idx="1">
                  <c:v>27378</c:v>
                </c:pt>
                <c:pt idx="2">
                  <c:v>26982</c:v>
                </c:pt>
                <c:pt idx="3">
                  <c:v>28269</c:v>
                </c:pt>
                <c:pt idx="4">
                  <c:v>10017</c:v>
                </c:pt>
                <c:pt idx="5">
                  <c:v>11007</c:v>
                </c:pt>
                <c:pt idx="6">
                  <c:v>15145</c:v>
                </c:pt>
                <c:pt idx="7">
                  <c:v>25609</c:v>
                </c:pt>
                <c:pt idx="8">
                  <c:v>14393</c:v>
                </c:pt>
                <c:pt idx="9">
                  <c:v>16415</c:v>
                </c:pt>
                <c:pt idx="10">
                  <c:v>21424</c:v>
                </c:pt>
                <c:pt idx="11">
                  <c:v>32252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0AF-489F-AC73-381DC72CD132}"/>
            </c:ext>
          </c:extLst>
        </c:ser>
        <c:ser>
          <c:idx val="4"/>
          <c:order val="3"/>
          <c:tx>
            <c:strRef>
              <c:f>'10.11'!$AW$14</c:f>
              <c:strCache>
                <c:ptCount val="1"/>
                <c:pt idx="0">
                  <c:v>Western Europe</c:v>
                </c:pt>
              </c:strCache>
            </c:strRef>
          </c:tx>
          <c:spPr>
            <a:ln w="349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'10.11'!$AX$10:$BI$10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'10.11'!$AX$14:$BI$14</c:f>
              <c:numCache>
                <c:formatCode>_(* #,##0_);_(* \(#,##0\);_(* "-"??_);_(@_)</c:formatCode>
                <c:ptCount val="12"/>
                <c:pt idx="0">
                  <c:v>29357</c:v>
                </c:pt>
                <c:pt idx="1">
                  <c:v>37472</c:v>
                </c:pt>
                <c:pt idx="2">
                  <c:v>35896</c:v>
                </c:pt>
                <c:pt idx="3">
                  <c:v>38560</c:v>
                </c:pt>
                <c:pt idx="4">
                  <c:v>16641</c:v>
                </c:pt>
                <c:pt idx="5">
                  <c:v>12405</c:v>
                </c:pt>
                <c:pt idx="6">
                  <c:v>19180</c:v>
                </c:pt>
                <c:pt idx="7">
                  <c:v>21252</c:v>
                </c:pt>
                <c:pt idx="8">
                  <c:v>19066</c:v>
                </c:pt>
                <c:pt idx="9">
                  <c:v>33860</c:v>
                </c:pt>
                <c:pt idx="10">
                  <c:v>33472</c:v>
                </c:pt>
                <c:pt idx="11">
                  <c:v>32695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0AF-489F-AC73-381DC72CD132}"/>
            </c:ext>
          </c:extLst>
        </c:ser>
        <c:ser>
          <c:idx val="2"/>
          <c:order val="4"/>
          <c:tx>
            <c:strRef>
              <c:f>'10.11'!$AW$15</c:f>
              <c:strCache>
                <c:ptCount val="1"/>
                <c:pt idx="0">
                  <c:v>East/Mediterranean Europe</c:v>
                </c:pt>
              </c:strCache>
            </c:strRef>
          </c:tx>
          <c:spPr>
            <a:ln w="34925" cap="rnd">
              <a:solidFill>
                <a:srgbClr val="92D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'10.11'!$AX$10:$BI$10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'10.11'!$AX$15:$BI$15</c:f>
              <c:numCache>
                <c:formatCode>_(* #,##0_);_(* \(#,##0\);_(* "-"??_);_(@_)</c:formatCode>
                <c:ptCount val="12"/>
                <c:pt idx="0">
                  <c:v>2703</c:v>
                </c:pt>
                <c:pt idx="1">
                  <c:v>1318</c:v>
                </c:pt>
                <c:pt idx="2">
                  <c:v>1720</c:v>
                </c:pt>
                <c:pt idx="3">
                  <c:v>1531</c:v>
                </c:pt>
                <c:pt idx="4">
                  <c:v>1529</c:v>
                </c:pt>
                <c:pt idx="5">
                  <c:v>2034</c:v>
                </c:pt>
                <c:pt idx="6">
                  <c:v>2118</c:v>
                </c:pt>
                <c:pt idx="7">
                  <c:v>2046</c:v>
                </c:pt>
                <c:pt idx="8">
                  <c:v>2335</c:v>
                </c:pt>
                <c:pt idx="9">
                  <c:v>1568</c:v>
                </c:pt>
                <c:pt idx="10">
                  <c:v>1653</c:v>
                </c:pt>
                <c:pt idx="11">
                  <c:v>1824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AF-489F-AC73-381DC72CD1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0830560"/>
        <c:axId val="528824280"/>
      </c:lineChart>
      <c:catAx>
        <c:axId val="41083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24280"/>
        <c:crosses val="autoZero"/>
        <c:auto val="1"/>
        <c:lblAlgn val="ctr"/>
        <c:lblOffset val="100"/>
        <c:noMultiLvlLbl val="0"/>
      </c:catAx>
      <c:valAx>
        <c:axId val="528824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1.2004699827419154E-3"/>
              <c:y val="0.409976166345931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30560"/>
        <c:crosses val="autoZero"/>
        <c:crossBetween val="between"/>
      </c:valAx>
      <c:spPr>
        <a:solidFill>
          <a:srgbClr val="F6FAF4"/>
        </a:solidFill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1103132572045666"/>
          <c:y val="0.13206329420075993"/>
          <c:w val="0.60887413378533517"/>
          <c:h val="0.13489449904279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10.18: Monthly tourist arrivals by Asian Market, 2025 </a:t>
            </a:r>
          </a:p>
        </c:rich>
      </c:tx>
      <c:layout>
        <c:manualLayout>
          <c:xMode val="edge"/>
          <c:yMode val="edge"/>
          <c:x val="0.17351425367412587"/>
          <c:y val="4.37471646600123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6545986632074"/>
          <c:y val="0.15014656490773748"/>
          <c:w val="0.86420778143168298"/>
          <c:h val="0.74491601350388115"/>
        </c:manualLayout>
      </c:layout>
      <c:lineChart>
        <c:grouping val="standard"/>
        <c:varyColors val="0"/>
        <c:ser>
          <c:idx val="0"/>
          <c:order val="0"/>
          <c:tx>
            <c:strRef>
              <c:f>'10.11'!$AW$29</c:f>
              <c:strCache>
                <c:ptCount val="1"/>
                <c:pt idx="0">
                  <c:v>North East Asia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'10.11'!$AX$28:$BI$28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'10.11'!$AX$29:$BI$29</c:f>
              <c:numCache>
                <c:formatCode>_(* #,##0_);_(* \(#,##0\);_(* "-"??_);_(@_)</c:formatCode>
                <c:ptCount val="12"/>
                <c:pt idx="0">
                  <c:v>42277</c:v>
                </c:pt>
                <c:pt idx="1">
                  <c:v>28867</c:v>
                </c:pt>
                <c:pt idx="2">
                  <c:v>22749</c:v>
                </c:pt>
                <c:pt idx="3">
                  <c:v>23587</c:v>
                </c:pt>
                <c:pt idx="4">
                  <c:v>27930</c:v>
                </c:pt>
                <c:pt idx="5">
                  <c:v>29086</c:v>
                </c:pt>
                <c:pt idx="6">
                  <c:v>52940</c:v>
                </c:pt>
                <c:pt idx="7">
                  <c:v>52548</c:v>
                </c:pt>
                <c:pt idx="8">
                  <c:v>33636</c:v>
                </c:pt>
                <c:pt idx="9">
                  <c:v>34855</c:v>
                </c:pt>
                <c:pt idx="10">
                  <c:v>25163</c:v>
                </c:pt>
                <c:pt idx="11">
                  <c:v>24601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72-40F7-B71E-05A7C82D9A47}"/>
            </c:ext>
          </c:extLst>
        </c:ser>
        <c:ser>
          <c:idx val="1"/>
          <c:order val="1"/>
          <c:tx>
            <c:strRef>
              <c:f>'10.11'!$AW$30</c:f>
              <c:strCache>
                <c:ptCount val="1"/>
                <c:pt idx="0">
                  <c:v>South East Asia</c:v>
                </c:pt>
              </c:strCache>
            </c:strRef>
          </c:tx>
          <c:spPr>
            <a:ln w="34925" cap="rnd">
              <a:solidFill>
                <a:srgbClr val="3366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'10.11'!$AX$28:$BI$28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'10.11'!$AX$30:$BI$30</c:f>
              <c:numCache>
                <c:formatCode>_(* #,##0_);_(* \(#,##0\);_(* "-"??_);_(@_)</c:formatCode>
                <c:ptCount val="12"/>
                <c:pt idx="0">
                  <c:v>4223</c:v>
                </c:pt>
                <c:pt idx="1">
                  <c:v>5310</c:v>
                </c:pt>
                <c:pt idx="2">
                  <c:v>5633</c:v>
                </c:pt>
                <c:pt idx="3">
                  <c:v>7092</c:v>
                </c:pt>
                <c:pt idx="4">
                  <c:v>6557</c:v>
                </c:pt>
                <c:pt idx="5">
                  <c:v>6383</c:v>
                </c:pt>
                <c:pt idx="6">
                  <c:v>4863</c:v>
                </c:pt>
                <c:pt idx="7">
                  <c:v>4942</c:v>
                </c:pt>
                <c:pt idx="8">
                  <c:v>6360</c:v>
                </c:pt>
                <c:pt idx="9">
                  <c:v>5919</c:v>
                </c:pt>
                <c:pt idx="10">
                  <c:v>5737</c:v>
                </c:pt>
                <c:pt idx="11">
                  <c:v>9109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72-40F7-B71E-05A7C82D9A47}"/>
            </c:ext>
          </c:extLst>
        </c:ser>
        <c:ser>
          <c:idx val="2"/>
          <c:order val="2"/>
          <c:tx>
            <c:strRef>
              <c:f>'10.11'!$AW$31</c:f>
              <c:strCache>
                <c:ptCount val="1"/>
                <c:pt idx="0">
                  <c:v>South Asia</c:v>
                </c:pt>
              </c:strCache>
            </c:strRef>
          </c:tx>
          <c:spPr>
            <a:ln w="34925" cap="rnd">
              <a:solidFill>
                <a:srgbClr val="92D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'10.11'!$AX$28:$BI$28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'10.11'!$AX$31:$BI$31</c:f>
              <c:numCache>
                <c:formatCode>_(* #,##0_);_(* \(#,##0\);_(* "-"??_);_(@_)</c:formatCode>
                <c:ptCount val="12"/>
                <c:pt idx="0">
                  <c:v>15157</c:v>
                </c:pt>
                <c:pt idx="1">
                  <c:v>14414</c:v>
                </c:pt>
                <c:pt idx="2">
                  <c:v>15381</c:v>
                </c:pt>
                <c:pt idx="3">
                  <c:v>16489</c:v>
                </c:pt>
                <c:pt idx="4">
                  <c:v>16716</c:v>
                </c:pt>
                <c:pt idx="5">
                  <c:v>16759</c:v>
                </c:pt>
                <c:pt idx="6">
                  <c:v>13467</c:v>
                </c:pt>
                <c:pt idx="7">
                  <c:v>14614</c:v>
                </c:pt>
                <c:pt idx="8">
                  <c:v>14836</c:v>
                </c:pt>
                <c:pt idx="9">
                  <c:v>15746</c:v>
                </c:pt>
                <c:pt idx="10">
                  <c:v>15889</c:v>
                </c:pt>
                <c:pt idx="11">
                  <c:v>20461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72-40F7-B71E-05A7C82D9A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6955272"/>
        <c:axId val="158431488"/>
      </c:lineChart>
      <c:catAx>
        <c:axId val="40695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1488"/>
        <c:crosses val="autoZero"/>
        <c:auto val="1"/>
        <c:lblAlgn val="ctr"/>
        <c:lblOffset val="100"/>
        <c:noMultiLvlLbl val="0"/>
      </c:catAx>
      <c:valAx>
        <c:axId val="158431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F6FAF4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8.5919833505218243E-3"/>
              <c:y val="0.441281050173451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55272"/>
        <c:crosses val="autoZero"/>
        <c:crossBetween val="between"/>
      </c:valAx>
      <c:spPr>
        <a:solidFill>
          <a:srgbClr val="F6FAF4"/>
        </a:solidFill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732764423950405"/>
          <c:y val="0.16509761789632929"/>
          <c:w val="0.70313890129830259"/>
          <c:h val="8.05911804610693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64943</xdr:colOff>
      <xdr:row>24</xdr:row>
      <xdr:rowOff>146159</xdr:rowOff>
    </xdr:from>
    <xdr:to>
      <xdr:col>6</xdr:col>
      <xdr:colOff>324478</xdr:colOff>
      <xdr:row>43</xdr:row>
      <xdr:rowOff>73269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460551</xdr:colOff>
      <xdr:row>24</xdr:row>
      <xdr:rowOff>121165</xdr:rowOff>
    </xdr:from>
    <xdr:to>
      <xdr:col>14</xdr:col>
      <xdr:colOff>1370889</xdr:colOff>
      <xdr:row>43</xdr:row>
      <xdr:rowOff>62801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S674"/>
  <sheetViews>
    <sheetView tabSelected="1" zoomScale="96" zoomScaleNormal="96" zoomScaleSheetLayoutView="84" workbookViewId="0">
      <selection activeCell="AA38" sqref="AA38"/>
    </sheetView>
  </sheetViews>
  <sheetFormatPr defaultColWidth="9.140625" defaultRowHeight="12.75"/>
  <cols>
    <col min="1" max="1" width="24.42578125" style="5" customWidth="1"/>
    <col min="2" max="3" width="10.7109375" style="5" customWidth="1"/>
    <col min="4" max="4" width="10.28515625" style="5" customWidth="1"/>
    <col min="5" max="5" width="10.5703125" style="5" customWidth="1"/>
    <col min="6" max="6" width="10.28515625" style="5" customWidth="1"/>
    <col min="7" max="7" width="9.5703125" style="5" customWidth="1"/>
    <col min="8" max="8" width="9.140625" style="5" customWidth="1"/>
    <col min="9" max="9" width="9.28515625" style="5" customWidth="1"/>
    <col min="10" max="10" width="8.7109375" style="5" customWidth="1"/>
    <col min="11" max="11" width="9.42578125" style="5" customWidth="1"/>
    <col min="12" max="12" width="8.7109375" style="5" customWidth="1"/>
    <col min="13" max="13" width="9" style="5" customWidth="1"/>
    <col min="14" max="14" width="9.5703125" style="5" customWidth="1"/>
    <col min="15" max="15" width="21.5703125" style="28" customWidth="1"/>
    <col min="16" max="46" width="9.140625" style="30"/>
    <col min="47" max="47" width="13.7109375" style="30" customWidth="1"/>
    <col min="48" max="48" width="9.140625" style="30"/>
    <col min="49" max="49" width="15.7109375" style="30" customWidth="1"/>
    <col min="50" max="227" width="9.140625" style="30"/>
    <col min="228" max="16384" width="9.140625" style="5"/>
  </cols>
  <sheetData>
    <row r="1" spans="1:227" s="4" customFormat="1" ht="19.5" customHeight="1">
      <c r="A1" s="43" t="s">
        <v>66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L1" s="29"/>
      <c r="GM1" s="29"/>
      <c r="GN1" s="29"/>
      <c r="GO1" s="29"/>
      <c r="GP1" s="29"/>
      <c r="GQ1" s="29"/>
      <c r="GR1" s="29"/>
      <c r="GS1" s="29"/>
      <c r="GT1" s="29"/>
      <c r="GU1" s="29"/>
      <c r="GV1" s="29"/>
      <c r="GW1" s="29"/>
      <c r="GX1" s="29"/>
      <c r="GY1" s="29"/>
      <c r="GZ1" s="29"/>
      <c r="HA1" s="29"/>
      <c r="HB1" s="29"/>
      <c r="HC1" s="29"/>
      <c r="HD1" s="29"/>
      <c r="HE1" s="29"/>
      <c r="HF1" s="29"/>
      <c r="HG1" s="29"/>
      <c r="HH1" s="29"/>
      <c r="HI1" s="29"/>
      <c r="HJ1" s="29"/>
      <c r="HK1" s="29"/>
      <c r="HL1" s="29"/>
      <c r="HM1" s="29"/>
      <c r="HN1" s="29"/>
      <c r="HO1" s="29"/>
      <c r="HP1" s="29"/>
      <c r="HQ1" s="29"/>
      <c r="HR1" s="29"/>
      <c r="HS1" s="29"/>
    </row>
    <row r="2" spans="1:227" ht="16.5" customHeight="1">
      <c r="A2" s="44" t="s">
        <v>67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227" s="7" customFormat="1" ht="29.25" customHeight="1">
      <c r="A3" s="6" t="s">
        <v>36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26" t="s">
        <v>37</v>
      </c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</row>
    <row r="4" spans="1:227" s="10" customFormat="1" ht="17.25" customHeight="1">
      <c r="A4" s="8" t="s">
        <v>0</v>
      </c>
      <c r="B4" s="9">
        <f>B5+B11+B15+B16+B17+B18+B19+B20</f>
        <v>2246516</v>
      </c>
      <c r="C4" s="9">
        <f>C5+C11+C15+C16+C17+C18+C19+C20</f>
        <v>214863</v>
      </c>
      <c r="D4" s="9">
        <f t="shared" ref="D4:N4" si="0">D5+D11+D15+D16+D17+D18+D19+D20</f>
        <v>214091</v>
      </c>
      <c r="E4" s="9">
        <f t="shared" si="0"/>
        <v>203468</v>
      </c>
      <c r="F4" s="9">
        <f t="shared" si="0"/>
        <v>198322</v>
      </c>
      <c r="G4" s="9">
        <f t="shared" si="0"/>
        <v>135614</v>
      </c>
      <c r="H4" s="9">
        <f t="shared" si="0"/>
        <v>141772</v>
      </c>
      <c r="I4" s="9">
        <f t="shared" si="0"/>
        <v>186738</v>
      </c>
      <c r="J4" s="9">
        <f t="shared" si="0"/>
        <v>192058</v>
      </c>
      <c r="K4" s="9">
        <f t="shared" si="0"/>
        <v>149563</v>
      </c>
      <c r="L4" s="9">
        <f t="shared" si="0"/>
        <v>190445</v>
      </c>
      <c r="M4" s="9">
        <f t="shared" si="0"/>
        <v>195127</v>
      </c>
      <c r="N4" s="9">
        <f t="shared" si="0"/>
        <v>224455</v>
      </c>
      <c r="O4" s="27" t="s">
        <v>1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</row>
    <row r="5" spans="1:227" s="14" customFormat="1" ht="19.5" customHeight="1">
      <c r="A5" s="11" t="s">
        <v>2</v>
      </c>
      <c r="B5" s="12">
        <f t="shared" ref="B5:H5" si="1">SUM(B6:B10)</f>
        <v>1331470</v>
      </c>
      <c r="C5" s="12">
        <f t="shared" si="1"/>
        <v>132840</v>
      </c>
      <c r="D5" s="12">
        <f t="shared" si="1"/>
        <v>145423</v>
      </c>
      <c r="E5" s="12">
        <f t="shared" si="1"/>
        <v>138522</v>
      </c>
      <c r="F5" s="12">
        <f t="shared" si="1"/>
        <v>126287</v>
      </c>
      <c r="G5" s="12">
        <f t="shared" si="1"/>
        <v>66440</v>
      </c>
      <c r="H5" s="12">
        <f t="shared" si="1"/>
        <v>66783</v>
      </c>
      <c r="I5" s="12">
        <f t="shared" ref="I5:N5" si="2">SUM(I6:I10)</f>
        <v>91865</v>
      </c>
      <c r="J5" s="12">
        <f t="shared" si="2"/>
        <v>99502</v>
      </c>
      <c r="K5" s="12">
        <f t="shared" si="2"/>
        <v>77089</v>
      </c>
      <c r="L5" s="12">
        <f t="shared" si="2"/>
        <v>115194</v>
      </c>
      <c r="M5" s="12">
        <f t="shared" si="2"/>
        <v>126451</v>
      </c>
      <c r="N5" s="12">
        <f t="shared" si="2"/>
        <v>145074</v>
      </c>
      <c r="O5" s="13" t="s">
        <v>3</v>
      </c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</row>
    <row r="6" spans="1:227" s="18" customFormat="1" ht="19.5" customHeight="1">
      <c r="A6" s="15" t="s">
        <v>38</v>
      </c>
      <c r="B6" s="16">
        <f t="shared" ref="B6:B18" si="3">SUM(C6:N6)</f>
        <v>479600</v>
      </c>
      <c r="C6" s="16">
        <v>49494</v>
      </c>
      <c r="D6" s="16">
        <v>49639</v>
      </c>
      <c r="E6" s="16">
        <v>47162</v>
      </c>
      <c r="F6" s="16">
        <v>32747</v>
      </c>
      <c r="G6" s="16">
        <v>25597</v>
      </c>
      <c r="H6" s="16">
        <v>30118</v>
      </c>
      <c r="I6" s="16">
        <v>38760</v>
      </c>
      <c r="J6" s="16">
        <v>36110</v>
      </c>
      <c r="K6" s="16">
        <v>29223</v>
      </c>
      <c r="L6" s="16">
        <v>42133</v>
      </c>
      <c r="M6" s="16">
        <v>46805</v>
      </c>
      <c r="N6" s="16">
        <v>51812</v>
      </c>
      <c r="O6" s="17" t="s">
        <v>39</v>
      </c>
    </row>
    <row r="7" spans="1:227" s="18" customFormat="1" ht="19.5" customHeight="1">
      <c r="A7" s="15" t="s">
        <v>40</v>
      </c>
      <c r="B7" s="16">
        <f t="shared" si="3"/>
        <v>243512</v>
      </c>
      <c r="C7" s="16">
        <v>24054</v>
      </c>
      <c r="D7" s="16">
        <v>29616</v>
      </c>
      <c r="E7" s="16">
        <v>26762</v>
      </c>
      <c r="F7" s="16">
        <v>25180</v>
      </c>
      <c r="G7" s="16">
        <v>12656</v>
      </c>
      <c r="H7" s="16">
        <v>11219</v>
      </c>
      <c r="I7" s="16">
        <v>16662</v>
      </c>
      <c r="J7" s="16">
        <v>14485</v>
      </c>
      <c r="K7" s="16">
        <v>12072</v>
      </c>
      <c r="L7" s="16">
        <v>21218</v>
      </c>
      <c r="M7" s="16">
        <v>23097</v>
      </c>
      <c r="N7" s="16">
        <v>26491</v>
      </c>
      <c r="O7" s="17" t="s">
        <v>41</v>
      </c>
    </row>
    <row r="8" spans="1:227" s="18" customFormat="1" ht="19.5" customHeight="1">
      <c r="A8" s="15" t="s">
        <v>42</v>
      </c>
      <c r="B8" s="16">
        <f t="shared" si="3"/>
        <v>256123</v>
      </c>
      <c r="C8" s="16">
        <v>27232</v>
      </c>
      <c r="D8" s="16">
        <v>27378</v>
      </c>
      <c r="E8" s="16">
        <v>26982</v>
      </c>
      <c r="F8" s="16">
        <v>28269</v>
      </c>
      <c r="G8" s="16">
        <v>10017</v>
      </c>
      <c r="H8" s="16">
        <v>11007</v>
      </c>
      <c r="I8" s="16">
        <v>15145</v>
      </c>
      <c r="J8" s="16">
        <v>25609</v>
      </c>
      <c r="K8" s="16">
        <v>14393</v>
      </c>
      <c r="L8" s="16">
        <v>16415</v>
      </c>
      <c r="M8" s="16">
        <v>21424</v>
      </c>
      <c r="N8" s="16">
        <v>32252</v>
      </c>
      <c r="O8" s="17" t="s">
        <v>43</v>
      </c>
    </row>
    <row r="9" spans="1:227" s="18" customFormat="1" ht="19.5" customHeight="1">
      <c r="A9" s="15" t="s">
        <v>44</v>
      </c>
      <c r="B9" s="16">
        <f t="shared" si="3"/>
        <v>329856</v>
      </c>
      <c r="C9" s="16">
        <v>29357</v>
      </c>
      <c r="D9" s="16">
        <v>37472</v>
      </c>
      <c r="E9" s="16">
        <v>35896</v>
      </c>
      <c r="F9" s="16">
        <v>38560</v>
      </c>
      <c r="G9" s="16">
        <v>16641</v>
      </c>
      <c r="H9" s="16">
        <v>12405</v>
      </c>
      <c r="I9" s="16">
        <v>19180</v>
      </c>
      <c r="J9" s="16">
        <v>21252</v>
      </c>
      <c r="K9" s="16">
        <v>19066</v>
      </c>
      <c r="L9" s="16">
        <v>33860</v>
      </c>
      <c r="M9" s="16">
        <v>33472</v>
      </c>
      <c r="N9" s="16">
        <v>32695</v>
      </c>
      <c r="O9" s="17" t="s">
        <v>45</v>
      </c>
      <c r="P9" s="31"/>
    </row>
    <row r="10" spans="1:227" s="18" customFormat="1" ht="19.5" customHeight="1">
      <c r="A10" s="19" t="s">
        <v>46</v>
      </c>
      <c r="B10" s="16">
        <f t="shared" si="3"/>
        <v>22379</v>
      </c>
      <c r="C10" s="16">
        <v>2703</v>
      </c>
      <c r="D10" s="16">
        <v>1318</v>
      </c>
      <c r="E10" s="16">
        <v>1720</v>
      </c>
      <c r="F10" s="16">
        <v>1531</v>
      </c>
      <c r="G10" s="16">
        <v>1529</v>
      </c>
      <c r="H10" s="16">
        <v>2034</v>
      </c>
      <c r="I10" s="16">
        <v>2118</v>
      </c>
      <c r="J10" s="16">
        <v>2046</v>
      </c>
      <c r="K10" s="16">
        <v>2335</v>
      </c>
      <c r="L10" s="16">
        <v>1568</v>
      </c>
      <c r="M10" s="16">
        <v>1653</v>
      </c>
      <c r="N10" s="16">
        <v>1824</v>
      </c>
      <c r="O10" s="17" t="s">
        <v>47</v>
      </c>
      <c r="P10" s="31"/>
      <c r="AW10" s="11"/>
      <c r="AX10" s="30" t="s">
        <v>12</v>
      </c>
      <c r="AY10" s="30" t="s">
        <v>13</v>
      </c>
      <c r="AZ10" s="30" t="s">
        <v>14</v>
      </c>
      <c r="BA10" s="30" t="s">
        <v>15</v>
      </c>
      <c r="BB10" s="30" t="s">
        <v>11</v>
      </c>
      <c r="BC10" s="30" t="s">
        <v>16</v>
      </c>
      <c r="BD10" s="30" t="s">
        <v>17</v>
      </c>
      <c r="BE10" s="30" t="s">
        <v>18</v>
      </c>
      <c r="BF10" s="30" t="s">
        <v>19</v>
      </c>
      <c r="BG10" s="30" t="s">
        <v>20</v>
      </c>
      <c r="BH10" s="30" t="s">
        <v>21</v>
      </c>
      <c r="BI10" s="30" t="s">
        <v>22</v>
      </c>
    </row>
    <row r="11" spans="1:227" s="14" customFormat="1" ht="19.5" customHeight="1">
      <c r="A11" s="11" t="s">
        <v>4</v>
      </c>
      <c r="B11" s="12">
        <f t="shared" si="3"/>
        <v>660296</v>
      </c>
      <c r="C11" s="12">
        <f t="shared" ref="C11:H11" si="4">SUM(C12:C14)</f>
        <v>61657</v>
      </c>
      <c r="D11" s="12">
        <f t="shared" si="4"/>
        <v>48591</v>
      </c>
      <c r="E11" s="12">
        <f t="shared" si="4"/>
        <v>43763</v>
      </c>
      <c r="F11" s="12">
        <f t="shared" si="4"/>
        <v>47168</v>
      </c>
      <c r="G11" s="12">
        <f t="shared" si="4"/>
        <v>51203</v>
      </c>
      <c r="H11" s="12">
        <f t="shared" si="4"/>
        <v>52228</v>
      </c>
      <c r="I11" s="12">
        <f t="shared" ref="I11:N11" si="5">SUM(I12:I14)</f>
        <v>71270</v>
      </c>
      <c r="J11" s="12">
        <f t="shared" si="5"/>
        <v>72104</v>
      </c>
      <c r="K11" s="12">
        <f t="shared" si="5"/>
        <v>54832</v>
      </c>
      <c r="L11" s="12">
        <f t="shared" si="5"/>
        <v>56520</v>
      </c>
      <c r="M11" s="12">
        <f t="shared" si="5"/>
        <v>46789</v>
      </c>
      <c r="N11" s="12">
        <f t="shared" si="5"/>
        <v>54171</v>
      </c>
      <c r="O11" s="13" t="s">
        <v>5</v>
      </c>
      <c r="P11" s="33"/>
      <c r="AW11" s="15" t="s">
        <v>38</v>
      </c>
      <c r="AX11" s="16">
        <f>C6</f>
        <v>49494</v>
      </c>
      <c r="AY11" s="16">
        <f t="shared" ref="AX11:BI15" si="6">D6</f>
        <v>49639</v>
      </c>
      <c r="AZ11" s="16">
        <f t="shared" si="6"/>
        <v>47162</v>
      </c>
      <c r="BA11" s="16">
        <f t="shared" si="6"/>
        <v>32747</v>
      </c>
      <c r="BB11" s="16">
        <f t="shared" si="6"/>
        <v>25597</v>
      </c>
      <c r="BC11" s="16">
        <f t="shared" si="6"/>
        <v>30118</v>
      </c>
      <c r="BD11" s="16">
        <f t="shared" si="6"/>
        <v>38760</v>
      </c>
      <c r="BE11" s="16">
        <f t="shared" si="6"/>
        <v>36110</v>
      </c>
      <c r="BF11" s="16">
        <f t="shared" si="6"/>
        <v>29223</v>
      </c>
      <c r="BG11" s="16">
        <f t="shared" si="6"/>
        <v>42133</v>
      </c>
      <c r="BH11" s="16">
        <f t="shared" si="6"/>
        <v>46805</v>
      </c>
      <c r="BI11" s="16">
        <f t="shared" si="6"/>
        <v>51812</v>
      </c>
    </row>
    <row r="12" spans="1:227" s="18" customFormat="1" ht="19.5" customHeight="1">
      <c r="A12" s="15" t="s">
        <v>48</v>
      </c>
      <c r="B12" s="16">
        <f t="shared" si="3"/>
        <v>398239</v>
      </c>
      <c r="C12" s="16">
        <v>42277</v>
      </c>
      <c r="D12" s="16">
        <v>28867</v>
      </c>
      <c r="E12" s="16">
        <v>22749</v>
      </c>
      <c r="F12" s="16">
        <v>23587</v>
      </c>
      <c r="G12" s="16">
        <v>27930</v>
      </c>
      <c r="H12" s="16">
        <v>29086</v>
      </c>
      <c r="I12" s="16">
        <v>52940</v>
      </c>
      <c r="J12" s="16">
        <v>52548</v>
      </c>
      <c r="K12" s="16">
        <v>33636</v>
      </c>
      <c r="L12" s="16">
        <v>34855</v>
      </c>
      <c r="M12" s="16">
        <v>25163</v>
      </c>
      <c r="N12" s="16">
        <v>24601</v>
      </c>
      <c r="O12" s="17" t="s">
        <v>49</v>
      </c>
      <c r="AW12" s="15" t="s">
        <v>40</v>
      </c>
      <c r="AX12" s="16">
        <f>C7</f>
        <v>24054</v>
      </c>
      <c r="AY12" s="16">
        <f t="shared" si="6"/>
        <v>29616</v>
      </c>
      <c r="AZ12" s="16">
        <f t="shared" si="6"/>
        <v>26762</v>
      </c>
      <c r="BA12" s="16">
        <f t="shared" si="6"/>
        <v>25180</v>
      </c>
      <c r="BB12" s="16">
        <f t="shared" si="6"/>
        <v>12656</v>
      </c>
      <c r="BC12" s="16">
        <f t="shared" si="6"/>
        <v>11219</v>
      </c>
      <c r="BD12" s="16">
        <f t="shared" si="6"/>
        <v>16662</v>
      </c>
      <c r="BE12" s="16">
        <f t="shared" si="6"/>
        <v>14485</v>
      </c>
      <c r="BF12" s="16">
        <f t="shared" si="6"/>
        <v>12072</v>
      </c>
      <c r="BG12" s="16">
        <f t="shared" si="6"/>
        <v>21218</v>
      </c>
      <c r="BH12" s="16">
        <f t="shared" si="6"/>
        <v>23097</v>
      </c>
      <c r="BI12" s="16">
        <f t="shared" si="6"/>
        <v>26491</v>
      </c>
    </row>
    <row r="13" spans="1:227" s="18" customFormat="1" ht="19.5" customHeight="1">
      <c r="A13" s="15" t="s">
        <v>50</v>
      </c>
      <c r="B13" s="16">
        <f t="shared" si="3"/>
        <v>72128</v>
      </c>
      <c r="C13" s="16">
        <v>4223</v>
      </c>
      <c r="D13" s="16">
        <v>5310</v>
      </c>
      <c r="E13" s="16">
        <v>5633</v>
      </c>
      <c r="F13" s="16">
        <v>7092</v>
      </c>
      <c r="G13" s="16">
        <v>6557</v>
      </c>
      <c r="H13" s="16">
        <v>6383</v>
      </c>
      <c r="I13" s="16">
        <v>4863</v>
      </c>
      <c r="J13" s="16">
        <v>4942</v>
      </c>
      <c r="K13" s="16">
        <v>6360</v>
      </c>
      <c r="L13" s="16">
        <v>5919</v>
      </c>
      <c r="M13" s="16">
        <v>5737</v>
      </c>
      <c r="N13" s="16">
        <v>9109</v>
      </c>
      <c r="O13" s="17" t="s">
        <v>51</v>
      </c>
      <c r="AW13" s="15" t="s">
        <v>42</v>
      </c>
      <c r="AX13" s="16">
        <f t="shared" si="6"/>
        <v>27232</v>
      </c>
      <c r="AY13" s="16">
        <f t="shared" si="6"/>
        <v>27378</v>
      </c>
      <c r="AZ13" s="16">
        <f t="shared" si="6"/>
        <v>26982</v>
      </c>
      <c r="BA13" s="16">
        <f t="shared" si="6"/>
        <v>28269</v>
      </c>
      <c r="BB13" s="16">
        <f t="shared" si="6"/>
        <v>10017</v>
      </c>
      <c r="BC13" s="16">
        <f t="shared" si="6"/>
        <v>11007</v>
      </c>
      <c r="BD13" s="16">
        <f t="shared" si="6"/>
        <v>15145</v>
      </c>
      <c r="BE13" s="16">
        <f t="shared" si="6"/>
        <v>25609</v>
      </c>
      <c r="BF13" s="16">
        <f t="shared" si="6"/>
        <v>14393</v>
      </c>
      <c r="BG13" s="16">
        <f t="shared" si="6"/>
        <v>16415</v>
      </c>
      <c r="BH13" s="16">
        <f t="shared" si="6"/>
        <v>21424</v>
      </c>
      <c r="BI13" s="16">
        <f t="shared" si="6"/>
        <v>32252</v>
      </c>
    </row>
    <row r="14" spans="1:227" s="18" customFormat="1" ht="19.5" customHeight="1">
      <c r="A14" s="15" t="s">
        <v>52</v>
      </c>
      <c r="B14" s="16">
        <f t="shared" si="3"/>
        <v>189929</v>
      </c>
      <c r="C14" s="16">
        <v>15157</v>
      </c>
      <c r="D14" s="16">
        <v>14414</v>
      </c>
      <c r="E14" s="16">
        <v>15381</v>
      </c>
      <c r="F14" s="16">
        <v>16489</v>
      </c>
      <c r="G14" s="16">
        <v>16716</v>
      </c>
      <c r="H14" s="16">
        <v>16759</v>
      </c>
      <c r="I14" s="16">
        <v>13467</v>
      </c>
      <c r="J14" s="16">
        <v>14614</v>
      </c>
      <c r="K14" s="16">
        <v>14836</v>
      </c>
      <c r="L14" s="16">
        <v>15746</v>
      </c>
      <c r="M14" s="16">
        <v>15889</v>
      </c>
      <c r="N14" s="16">
        <v>20461</v>
      </c>
      <c r="O14" s="17" t="s">
        <v>53</v>
      </c>
      <c r="P14" s="31"/>
      <c r="AW14" s="15" t="s">
        <v>44</v>
      </c>
      <c r="AX14" s="16">
        <f>C9</f>
        <v>29357</v>
      </c>
      <c r="AY14" s="16">
        <f t="shared" si="6"/>
        <v>37472</v>
      </c>
      <c r="AZ14" s="16">
        <f t="shared" si="6"/>
        <v>35896</v>
      </c>
      <c r="BA14" s="16">
        <f t="shared" si="6"/>
        <v>38560</v>
      </c>
      <c r="BB14" s="16">
        <f t="shared" si="6"/>
        <v>16641</v>
      </c>
      <c r="BC14" s="16">
        <f t="shared" si="6"/>
        <v>12405</v>
      </c>
      <c r="BD14" s="16">
        <f t="shared" si="6"/>
        <v>19180</v>
      </c>
      <c r="BE14" s="16">
        <f t="shared" si="6"/>
        <v>21252</v>
      </c>
      <c r="BF14" s="16">
        <f t="shared" si="6"/>
        <v>19066</v>
      </c>
      <c r="BG14" s="16">
        <f t="shared" si="6"/>
        <v>33860</v>
      </c>
      <c r="BH14" s="16">
        <f t="shared" si="6"/>
        <v>33472</v>
      </c>
      <c r="BI14" s="16">
        <f t="shared" si="6"/>
        <v>32695</v>
      </c>
    </row>
    <row r="15" spans="1:227" s="14" customFormat="1" ht="19.5" customHeight="1">
      <c r="A15" s="11" t="s">
        <v>8</v>
      </c>
      <c r="B15" s="12">
        <f t="shared" si="3"/>
        <v>45739</v>
      </c>
      <c r="C15" s="12">
        <v>3405</v>
      </c>
      <c r="D15" s="12">
        <v>2675</v>
      </c>
      <c r="E15" s="12">
        <v>3892</v>
      </c>
      <c r="F15" s="12">
        <v>5409</v>
      </c>
      <c r="G15" s="12">
        <v>3697</v>
      </c>
      <c r="H15" s="12">
        <v>3445</v>
      </c>
      <c r="I15" s="12">
        <v>4186</v>
      </c>
      <c r="J15" s="12">
        <v>2931</v>
      </c>
      <c r="K15" s="12">
        <v>4082</v>
      </c>
      <c r="L15" s="12">
        <v>4306</v>
      </c>
      <c r="M15" s="12">
        <v>3776</v>
      </c>
      <c r="N15" s="12">
        <v>3935</v>
      </c>
      <c r="O15" s="13" t="s">
        <v>7</v>
      </c>
      <c r="P15" s="33"/>
      <c r="AU15" s="11"/>
      <c r="AV15" s="30"/>
      <c r="AW15" s="19" t="s">
        <v>46</v>
      </c>
      <c r="AX15" s="16">
        <f>C10</f>
        <v>2703</v>
      </c>
      <c r="AY15" s="16">
        <f t="shared" si="6"/>
        <v>1318</v>
      </c>
      <c r="AZ15" s="16">
        <f t="shared" si="6"/>
        <v>1720</v>
      </c>
      <c r="BA15" s="16">
        <f t="shared" si="6"/>
        <v>1531</v>
      </c>
      <c r="BB15" s="16">
        <f t="shared" si="6"/>
        <v>1529</v>
      </c>
      <c r="BC15" s="16">
        <f t="shared" si="6"/>
        <v>2034</v>
      </c>
      <c r="BD15" s="16">
        <f t="shared" si="6"/>
        <v>2118</v>
      </c>
      <c r="BE15" s="16">
        <f t="shared" si="6"/>
        <v>2046</v>
      </c>
      <c r="BF15" s="16">
        <f t="shared" si="6"/>
        <v>2335</v>
      </c>
      <c r="BG15" s="16">
        <f t="shared" si="6"/>
        <v>1568</v>
      </c>
      <c r="BH15" s="16">
        <f t="shared" si="6"/>
        <v>1653</v>
      </c>
      <c r="BI15" s="16">
        <f t="shared" si="6"/>
        <v>1824</v>
      </c>
    </row>
    <row r="16" spans="1:227" s="14" customFormat="1" ht="19.5" customHeight="1">
      <c r="A16" s="11" t="s">
        <v>6</v>
      </c>
      <c r="B16" s="12">
        <f t="shared" si="3"/>
        <v>21830</v>
      </c>
      <c r="C16" s="12">
        <v>1489</v>
      </c>
      <c r="D16" s="12">
        <v>1323</v>
      </c>
      <c r="E16" s="12">
        <v>1334</v>
      </c>
      <c r="F16" s="12">
        <v>2217</v>
      </c>
      <c r="G16" s="12">
        <v>1417</v>
      </c>
      <c r="H16" s="12">
        <v>1602</v>
      </c>
      <c r="I16" s="12">
        <v>2122</v>
      </c>
      <c r="J16" s="12">
        <v>1938</v>
      </c>
      <c r="K16" s="12">
        <v>1943</v>
      </c>
      <c r="L16" s="12">
        <v>1789</v>
      </c>
      <c r="M16" s="12">
        <v>1578</v>
      </c>
      <c r="N16" s="12">
        <v>3078</v>
      </c>
      <c r="O16" s="13" t="s">
        <v>54</v>
      </c>
      <c r="AU16" s="15"/>
      <c r="AV16" s="16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</row>
    <row r="17" spans="1:227" s="14" customFormat="1" ht="19.5" customHeight="1">
      <c r="A17" s="11" t="s">
        <v>55</v>
      </c>
      <c r="B17" s="12">
        <f t="shared" si="3"/>
        <v>104623</v>
      </c>
      <c r="C17" s="12">
        <v>10658</v>
      </c>
      <c r="D17" s="12">
        <v>10048</v>
      </c>
      <c r="E17" s="12">
        <v>12107</v>
      </c>
      <c r="F17" s="12">
        <v>9408</v>
      </c>
      <c r="G17" s="12">
        <v>6745</v>
      </c>
      <c r="H17" s="12">
        <v>6456</v>
      </c>
      <c r="I17" s="12">
        <v>7300</v>
      </c>
      <c r="J17" s="12">
        <v>5912</v>
      </c>
      <c r="K17" s="12">
        <v>6188</v>
      </c>
      <c r="L17" s="12">
        <v>7824</v>
      </c>
      <c r="M17" s="12">
        <v>10268</v>
      </c>
      <c r="N17" s="12">
        <v>11709</v>
      </c>
      <c r="O17" s="13" t="s">
        <v>56</v>
      </c>
      <c r="P17" s="33"/>
      <c r="AU17" s="15"/>
      <c r="AV17" s="16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</row>
    <row r="18" spans="1:227" s="14" customFormat="1" ht="19.5" customHeight="1">
      <c r="A18" s="20" t="s">
        <v>9</v>
      </c>
      <c r="B18" s="21">
        <f t="shared" si="3"/>
        <v>82558</v>
      </c>
      <c r="C18" s="21">
        <v>4814</v>
      </c>
      <c r="D18" s="21">
        <v>6031</v>
      </c>
      <c r="E18" s="21">
        <v>3850</v>
      </c>
      <c r="F18" s="21">
        <v>7833</v>
      </c>
      <c r="G18" s="21">
        <v>6112</v>
      </c>
      <c r="H18" s="21">
        <v>11258</v>
      </c>
      <c r="I18" s="21">
        <v>9995</v>
      </c>
      <c r="J18" s="21">
        <v>9671</v>
      </c>
      <c r="K18" s="21">
        <v>5429</v>
      </c>
      <c r="L18" s="21">
        <v>4812</v>
      </c>
      <c r="M18" s="21">
        <v>6265</v>
      </c>
      <c r="N18" s="21">
        <v>6488</v>
      </c>
      <c r="O18" s="42" t="s">
        <v>57</v>
      </c>
      <c r="P18" s="33"/>
      <c r="AU18" s="15"/>
      <c r="AV18" s="16"/>
    </row>
    <row r="19" spans="1:227" s="14" customFormat="1" ht="19.5" hidden="1" customHeight="1">
      <c r="A19" s="11" t="s">
        <v>58</v>
      </c>
      <c r="B19" s="12">
        <f>SUM(C19:N19)</f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" t="s">
        <v>10</v>
      </c>
      <c r="P19" s="33"/>
      <c r="AU19" s="15"/>
      <c r="AV19" s="16"/>
    </row>
    <row r="20" spans="1:227" s="14" customFormat="1" ht="19.5" hidden="1" customHeight="1">
      <c r="A20" s="20" t="s">
        <v>59</v>
      </c>
      <c r="B20" s="21">
        <f>SUM(C20:N20)</f>
        <v>0</v>
      </c>
      <c r="C20" s="21">
        <v>0</v>
      </c>
      <c r="D20" s="21">
        <v>0</v>
      </c>
      <c r="E20" s="21">
        <v>0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2" t="s">
        <v>60</v>
      </c>
      <c r="P20" s="33"/>
      <c r="AU20" s="15"/>
      <c r="AV20" s="16"/>
    </row>
    <row r="21" spans="1:227" s="37" customFormat="1" ht="15.75" customHeight="1">
      <c r="A21" s="2" t="s">
        <v>68</v>
      </c>
      <c r="B21" s="34"/>
      <c r="C21" s="35"/>
      <c r="D21" s="34" t="s">
        <v>61</v>
      </c>
      <c r="E21" s="34"/>
      <c r="F21" s="34"/>
      <c r="G21" s="34"/>
      <c r="H21" s="34"/>
      <c r="I21" s="34"/>
      <c r="J21" s="34"/>
      <c r="K21" s="34"/>
      <c r="L21" s="34"/>
      <c r="M21" s="36"/>
      <c r="N21" s="36"/>
      <c r="O21" s="41" t="s">
        <v>69</v>
      </c>
      <c r="P21" s="31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5"/>
      <c r="AV21" s="16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  <c r="EC21" s="18"/>
      <c r="ED21" s="18"/>
      <c r="EE21" s="18"/>
      <c r="EF21" s="18"/>
      <c r="EG21" s="18"/>
      <c r="EH21" s="18"/>
      <c r="EI21" s="18"/>
      <c r="EJ21" s="18"/>
      <c r="EK21" s="18"/>
      <c r="EL21" s="18"/>
      <c r="EM21" s="18"/>
      <c r="EN21" s="1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18"/>
      <c r="FH21" s="18"/>
      <c r="FI21" s="18"/>
      <c r="FJ21" s="18"/>
      <c r="FK21" s="18"/>
      <c r="FL21" s="18"/>
      <c r="FM21" s="18"/>
      <c r="FN21" s="18"/>
      <c r="FO21" s="18"/>
      <c r="FP21" s="18"/>
      <c r="FQ21" s="18"/>
      <c r="FR21" s="18"/>
      <c r="FS21" s="18"/>
      <c r="FT21" s="18"/>
      <c r="FU21" s="18"/>
      <c r="FV21" s="18"/>
      <c r="FW21" s="18"/>
      <c r="FX21" s="18"/>
      <c r="FY21" s="18"/>
      <c r="FZ21" s="18"/>
      <c r="GA21" s="18"/>
      <c r="GB21" s="18"/>
      <c r="GC21" s="18"/>
      <c r="GD21" s="18"/>
      <c r="GE21" s="18"/>
      <c r="GF21" s="18"/>
      <c r="GG21" s="18"/>
      <c r="GH21" s="18"/>
      <c r="GI21" s="1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18"/>
      <c r="HC21" s="18"/>
      <c r="HD21" s="18"/>
      <c r="HE21" s="18"/>
      <c r="HF21" s="18"/>
      <c r="HG21" s="18"/>
      <c r="HH21" s="18"/>
      <c r="HI21" s="18"/>
      <c r="HJ21" s="18"/>
      <c r="HK21" s="18"/>
      <c r="HL21" s="18"/>
      <c r="HM21" s="18"/>
      <c r="HN21" s="18"/>
      <c r="HO21" s="18"/>
      <c r="HP21" s="18"/>
      <c r="HQ21" s="18"/>
      <c r="HR21" s="18"/>
      <c r="HS21" s="18"/>
    </row>
    <row r="22" spans="1:227" s="18" customFormat="1" ht="13.5" customHeight="1">
      <c r="A22" s="23" t="s">
        <v>62</v>
      </c>
      <c r="B22" s="38"/>
      <c r="C22" s="39"/>
      <c r="D22" s="38"/>
      <c r="E22" s="38"/>
      <c r="F22" s="38"/>
      <c r="G22" s="38"/>
      <c r="H22" s="38"/>
      <c r="I22" s="38"/>
      <c r="J22" s="38"/>
      <c r="K22" s="38"/>
      <c r="L22" s="38"/>
      <c r="M22" s="45" t="s">
        <v>63</v>
      </c>
      <c r="N22" s="45"/>
      <c r="O22" s="45"/>
      <c r="AU22" s="19"/>
      <c r="AV22" s="16"/>
    </row>
    <row r="23" spans="1:227" s="30" customFormat="1">
      <c r="A23" s="24" t="s">
        <v>64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</row>
    <row r="24" spans="1:227" s="30" customFormat="1">
      <c r="A24" s="25" t="s">
        <v>65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</row>
    <row r="25" spans="1:227" s="30" customFormat="1"/>
    <row r="26" spans="1:227" s="30" customFormat="1"/>
    <row r="27" spans="1:227" s="30" customFormat="1"/>
    <row r="28" spans="1:227" s="30" customFormat="1">
      <c r="A28" s="11"/>
      <c r="B28" s="12"/>
      <c r="AW28" s="11"/>
      <c r="AX28" s="30" t="s">
        <v>12</v>
      </c>
      <c r="AY28" s="30" t="s">
        <v>13</v>
      </c>
      <c r="AZ28" s="30" t="s">
        <v>14</v>
      </c>
      <c r="BA28" s="30" t="s">
        <v>15</v>
      </c>
      <c r="BB28" s="30" t="s">
        <v>11</v>
      </c>
      <c r="BC28" s="30" t="s">
        <v>16</v>
      </c>
      <c r="BD28" s="30" t="s">
        <v>17</v>
      </c>
      <c r="BE28" s="30" t="s">
        <v>18</v>
      </c>
      <c r="BF28" s="30" t="s">
        <v>19</v>
      </c>
      <c r="BG28" s="30" t="s">
        <v>20</v>
      </c>
      <c r="BH28" s="30" t="s">
        <v>21</v>
      </c>
      <c r="BI28" s="30" t="s">
        <v>22</v>
      </c>
    </row>
    <row r="29" spans="1:227" s="30" customFormat="1">
      <c r="A29" s="11"/>
      <c r="B29" s="12"/>
      <c r="AW29" s="15" t="s">
        <v>48</v>
      </c>
      <c r="AX29" s="16">
        <f t="shared" ref="AX29:BI31" si="7">C12</f>
        <v>42277</v>
      </c>
      <c r="AY29" s="16">
        <f t="shared" si="7"/>
        <v>28867</v>
      </c>
      <c r="AZ29" s="16">
        <f t="shared" si="7"/>
        <v>22749</v>
      </c>
      <c r="BA29" s="16">
        <f t="shared" si="7"/>
        <v>23587</v>
      </c>
      <c r="BB29" s="16">
        <f t="shared" si="7"/>
        <v>27930</v>
      </c>
      <c r="BC29" s="16">
        <f t="shared" si="7"/>
        <v>29086</v>
      </c>
      <c r="BD29" s="16">
        <f t="shared" si="7"/>
        <v>52940</v>
      </c>
      <c r="BE29" s="16">
        <f t="shared" si="7"/>
        <v>52548</v>
      </c>
      <c r="BF29" s="16">
        <f t="shared" si="7"/>
        <v>33636</v>
      </c>
      <c r="BG29" s="16">
        <f t="shared" si="7"/>
        <v>34855</v>
      </c>
      <c r="BH29" s="16">
        <f t="shared" si="7"/>
        <v>25163</v>
      </c>
      <c r="BI29" s="16">
        <f t="shared" si="7"/>
        <v>24601</v>
      </c>
    </row>
    <row r="30" spans="1:227" s="30" customFormat="1">
      <c r="A30" s="11"/>
      <c r="B30" s="12"/>
      <c r="AW30" s="15" t="s">
        <v>50</v>
      </c>
      <c r="AX30" s="16">
        <f t="shared" si="7"/>
        <v>4223</v>
      </c>
      <c r="AY30" s="16">
        <f t="shared" si="7"/>
        <v>5310</v>
      </c>
      <c r="AZ30" s="16">
        <f t="shared" si="7"/>
        <v>5633</v>
      </c>
      <c r="BA30" s="16">
        <f t="shared" si="7"/>
        <v>7092</v>
      </c>
      <c r="BB30" s="16">
        <f t="shared" si="7"/>
        <v>6557</v>
      </c>
      <c r="BC30" s="16">
        <f t="shared" si="7"/>
        <v>6383</v>
      </c>
      <c r="BD30" s="16">
        <f t="shared" si="7"/>
        <v>4863</v>
      </c>
      <c r="BE30" s="16">
        <f t="shared" si="7"/>
        <v>4942</v>
      </c>
      <c r="BF30" s="16">
        <f t="shared" si="7"/>
        <v>6360</v>
      </c>
      <c r="BG30" s="16">
        <f t="shared" si="7"/>
        <v>5919</v>
      </c>
      <c r="BH30" s="16">
        <f t="shared" si="7"/>
        <v>5737</v>
      </c>
      <c r="BI30" s="16">
        <f t="shared" si="7"/>
        <v>9109</v>
      </c>
    </row>
    <row r="31" spans="1:227" s="30" customFormat="1">
      <c r="A31" s="11"/>
      <c r="B31" s="11"/>
      <c r="C31" s="11"/>
      <c r="AW31" s="15" t="s">
        <v>52</v>
      </c>
      <c r="AX31" s="16">
        <f t="shared" si="7"/>
        <v>15157</v>
      </c>
      <c r="AY31" s="16">
        <f t="shared" si="7"/>
        <v>14414</v>
      </c>
      <c r="AZ31" s="16">
        <f t="shared" si="7"/>
        <v>15381</v>
      </c>
      <c r="BA31" s="16">
        <f t="shared" si="7"/>
        <v>16489</v>
      </c>
      <c r="BB31" s="16">
        <f t="shared" si="7"/>
        <v>16716</v>
      </c>
      <c r="BC31" s="16">
        <f t="shared" si="7"/>
        <v>16759</v>
      </c>
      <c r="BD31" s="16">
        <f t="shared" si="7"/>
        <v>13467</v>
      </c>
      <c r="BE31" s="16">
        <f t="shared" si="7"/>
        <v>14614</v>
      </c>
      <c r="BF31" s="16">
        <f t="shared" si="7"/>
        <v>14836</v>
      </c>
      <c r="BG31" s="16">
        <f t="shared" si="7"/>
        <v>15746</v>
      </c>
      <c r="BH31" s="16">
        <f t="shared" si="7"/>
        <v>15889</v>
      </c>
      <c r="BI31" s="16">
        <f t="shared" si="7"/>
        <v>20461</v>
      </c>
    </row>
    <row r="32" spans="1:227" s="30" customFormat="1">
      <c r="A32" s="11"/>
      <c r="B32" s="11"/>
      <c r="C32" s="11"/>
    </row>
    <row r="33" spans="1:3" s="30" customFormat="1">
      <c r="A33" s="11"/>
      <c r="B33" s="11"/>
      <c r="C33" s="11"/>
    </row>
    <row r="34" spans="1:3" s="30" customFormat="1">
      <c r="A34" s="11"/>
      <c r="B34" s="11"/>
      <c r="C34" s="11"/>
    </row>
    <row r="35" spans="1:3" s="30" customFormat="1">
      <c r="A35" s="11"/>
      <c r="B35" s="11"/>
      <c r="C35" s="11"/>
    </row>
    <row r="36" spans="1:3" s="30" customFormat="1"/>
    <row r="37" spans="1:3" s="30" customFormat="1"/>
    <row r="38" spans="1:3" s="30" customFormat="1"/>
    <row r="39" spans="1:3" s="30" customFormat="1"/>
    <row r="40" spans="1:3" s="30" customFormat="1"/>
    <row r="41" spans="1:3" s="30" customFormat="1"/>
    <row r="42" spans="1:3" s="30" customFormat="1"/>
    <row r="43" spans="1:3" s="30" customFormat="1"/>
    <row r="44" spans="1:3" s="30" customFormat="1"/>
    <row r="45" spans="1:3" s="30" customFormat="1"/>
    <row r="46" spans="1:3" s="30" customFormat="1"/>
    <row r="47" spans="1:3" s="30" customFormat="1"/>
    <row r="48" spans="1:3" s="30" customFormat="1"/>
    <row r="49" s="30" customFormat="1"/>
    <row r="50" s="30" customFormat="1"/>
    <row r="51" s="30" customFormat="1"/>
    <row r="52" s="30" customFormat="1"/>
    <row r="53" s="30" customFormat="1"/>
    <row r="54" s="30" customFormat="1"/>
    <row r="55" s="30" customFormat="1"/>
    <row r="56" s="30" customFormat="1"/>
    <row r="57" s="30" customFormat="1"/>
    <row r="58" s="30" customFormat="1"/>
    <row r="59" s="30" customFormat="1"/>
    <row r="60" s="30" customFormat="1"/>
    <row r="61" s="30" customFormat="1"/>
    <row r="62" s="30" customFormat="1"/>
    <row r="63" s="30" customFormat="1"/>
    <row r="64" s="30" customFormat="1"/>
    <row r="65" s="30" customFormat="1"/>
    <row r="66" s="30" customFormat="1"/>
    <row r="67" s="30" customFormat="1"/>
    <row r="68" s="30" customFormat="1"/>
    <row r="69" s="30" customFormat="1"/>
    <row r="70" s="30" customFormat="1"/>
    <row r="71" s="30" customFormat="1"/>
    <row r="72" s="30" customFormat="1"/>
    <row r="73" s="30" customFormat="1"/>
    <row r="74" s="30" customFormat="1"/>
    <row r="75" s="30" customFormat="1"/>
    <row r="76" s="30" customFormat="1"/>
    <row r="77" s="30" customFormat="1"/>
    <row r="78" s="30" customFormat="1"/>
    <row r="79" s="30" customFormat="1"/>
    <row r="80" s="30" customFormat="1"/>
    <row r="81" s="30" customFormat="1"/>
    <row r="82" s="30" customFormat="1"/>
    <row r="83" s="30" customFormat="1"/>
    <row r="84" s="30" customFormat="1"/>
    <row r="85" s="30" customFormat="1"/>
    <row r="86" s="30" customFormat="1"/>
    <row r="87" s="30" customFormat="1"/>
    <row r="88" s="30" customFormat="1"/>
    <row r="89" s="30" customFormat="1"/>
    <row r="90" s="30" customFormat="1"/>
    <row r="91" s="30" customFormat="1"/>
    <row r="92" s="30" customFormat="1"/>
    <row r="93" s="30" customFormat="1"/>
    <row r="94" s="30" customFormat="1"/>
    <row r="95" s="30" customFormat="1"/>
    <row r="96" s="30" customFormat="1"/>
    <row r="97" s="30" customFormat="1"/>
    <row r="98" s="30" customFormat="1"/>
    <row r="99" s="30" customFormat="1"/>
    <row r="100" s="30" customFormat="1"/>
    <row r="101" s="30" customFormat="1"/>
    <row r="102" s="30" customFormat="1"/>
    <row r="103" s="30" customFormat="1"/>
    <row r="104" s="30" customFormat="1"/>
    <row r="105" s="30" customFormat="1"/>
    <row r="106" s="30" customFormat="1"/>
    <row r="107" s="30" customFormat="1"/>
    <row r="108" s="30" customFormat="1"/>
    <row r="109" s="30" customFormat="1"/>
    <row r="110" s="30" customFormat="1"/>
    <row r="111" s="30" customFormat="1"/>
    <row r="112" s="30" customFormat="1"/>
    <row r="113" s="30" customFormat="1"/>
    <row r="114" s="30" customFormat="1"/>
    <row r="115" s="30" customFormat="1"/>
    <row r="116" s="30" customFormat="1"/>
    <row r="117" s="30" customFormat="1"/>
    <row r="118" s="30" customFormat="1"/>
    <row r="119" s="30" customFormat="1"/>
    <row r="120" s="30" customFormat="1"/>
    <row r="121" s="30" customFormat="1"/>
    <row r="122" s="30" customFormat="1"/>
    <row r="123" s="30" customFormat="1"/>
    <row r="124" s="30" customFormat="1"/>
    <row r="125" s="30" customFormat="1"/>
    <row r="126" s="30" customFormat="1"/>
    <row r="127" s="30" customFormat="1"/>
    <row r="128" s="30" customFormat="1"/>
    <row r="129" s="30" customFormat="1"/>
    <row r="130" s="30" customFormat="1"/>
    <row r="131" s="30" customFormat="1"/>
    <row r="132" s="30" customFormat="1"/>
    <row r="133" s="30" customFormat="1"/>
    <row r="134" s="30" customFormat="1"/>
    <row r="135" s="30" customFormat="1"/>
    <row r="136" s="30" customFormat="1"/>
    <row r="137" s="30" customFormat="1"/>
    <row r="138" s="30" customFormat="1"/>
    <row r="139" s="30" customFormat="1"/>
    <row r="140" s="30" customFormat="1"/>
    <row r="141" s="30" customFormat="1"/>
    <row r="142" s="30" customFormat="1"/>
    <row r="143" s="30" customFormat="1"/>
    <row r="144" s="30" customFormat="1"/>
    <row r="145" s="30" customFormat="1"/>
    <row r="146" s="30" customFormat="1"/>
    <row r="147" s="30" customFormat="1"/>
    <row r="148" s="30" customFormat="1"/>
    <row r="149" s="30" customFormat="1"/>
    <row r="150" s="30" customFormat="1"/>
    <row r="151" s="30" customFormat="1"/>
    <row r="152" s="30" customFormat="1"/>
    <row r="153" s="30" customFormat="1"/>
    <row r="154" s="30" customFormat="1"/>
    <row r="155" s="30" customFormat="1"/>
    <row r="156" s="30" customFormat="1"/>
    <row r="157" s="30" customFormat="1"/>
    <row r="158" s="30" customFormat="1"/>
    <row r="159" s="30" customFormat="1"/>
    <row r="160" s="30" customFormat="1"/>
    <row r="161" s="30" customFormat="1"/>
    <row r="162" s="30" customFormat="1"/>
    <row r="163" s="30" customFormat="1"/>
    <row r="164" s="30" customFormat="1"/>
    <row r="165" s="30" customFormat="1"/>
    <row r="166" s="30" customFormat="1"/>
    <row r="167" s="30" customFormat="1"/>
    <row r="168" s="30" customFormat="1"/>
    <row r="169" s="30" customFormat="1"/>
    <row r="170" s="30" customFormat="1"/>
    <row r="171" s="30" customFormat="1"/>
    <row r="172" s="30" customFormat="1"/>
    <row r="173" s="30" customFormat="1"/>
    <row r="174" s="30" customFormat="1"/>
    <row r="175" s="30" customFormat="1"/>
    <row r="176" s="30" customFormat="1"/>
    <row r="177" s="30" customFormat="1"/>
    <row r="178" s="30" customFormat="1"/>
    <row r="179" s="30" customFormat="1"/>
    <row r="180" s="30" customFormat="1"/>
    <row r="181" s="30" customFormat="1"/>
    <row r="182" s="30" customFormat="1"/>
    <row r="183" s="30" customFormat="1"/>
    <row r="184" s="30" customFormat="1"/>
    <row r="185" s="30" customFormat="1"/>
    <row r="186" s="30" customFormat="1"/>
    <row r="187" s="30" customFormat="1"/>
    <row r="188" s="30" customFormat="1"/>
    <row r="189" s="30" customFormat="1"/>
    <row r="190" s="30" customFormat="1"/>
    <row r="191" s="30" customFormat="1"/>
    <row r="192" s="30" customFormat="1"/>
    <row r="193" s="30" customFormat="1"/>
    <row r="194" s="30" customFormat="1"/>
    <row r="195" s="30" customFormat="1"/>
    <row r="196" s="30" customFormat="1"/>
    <row r="197" s="30" customFormat="1"/>
    <row r="198" s="30" customFormat="1"/>
    <row r="199" s="30" customFormat="1"/>
    <row r="200" s="30" customFormat="1"/>
    <row r="201" s="30" customFormat="1"/>
    <row r="202" s="30" customFormat="1"/>
    <row r="203" s="30" customFormat="1"/>
    <row r="204" s="30" customFormat="1"/>
    <row r="205" s="30" customFormat="1"/>
    <row r="206" s="30" customFormat="1"/>
    <row r="207" s="30" customFormat="1"/>
    <row r="208" s="30" customFormat="1"/>
    <row r="209" s="30" customFormat="1"/>
    <row r="210" s="30" customFormat="1"/>
    <row r="211" s="30" customFormat="1"/>
    <row r="212" s="30" customFormat="1"/>
    <row r="213" s="30" customFormat="1"/>
    <row r="214" s="30" customFormat="1"/>
    <row r="215" s="30" customFormat="1"/>
    <row r="216" s="30" customFormat="1"/>
    <row r="217" s="30" customFormat="1"/>
    <row r="218" s="30" customFormat="1"/>
    <row r="219" s="30" customFormat="1"/>
    <row r="220" s="30" customFormat="1"/>
    <row r="221" s="30" customFormat="1"/>
    <row r="222" s="30" customFormat="1"/>
    <row r="223" s="30" customFormat="1"/>
    <row r="224" s="30" customFormat="1"/>
    <row r="225" s="30" customFormat="1"/>
    <row r="226" s="30" customFormat="1"/>
    <row r="227" s="30" customFormat="1"/>
    <row r="228" s="30" customFormat="1"/>
    <row r="229" s="30" customFormat="1"/>
    <row r="230" s="30" customFormat="1"/>
    <row r="231" s="30" customFormat="1"/>
    <row r="232" s="30" customFormat="1"/>
    <row r="233" s="30" customFormat="1"/>
    <row r="234" s="30" customFormat="1"/>
    <row r="235" s="30" customFormat="1"/>
    <row r="236" s="30" customFormat="1"/>
    <row r="237" s="30" customFormat="1"/>
    <row r="238" s="30" customFormat="1"/>
    <row r="239" s="30" customFormat="1"/>
    <row r="240" s="30" customFormat="1"/>
    <row r="241" s="30" customFormat="1"/>
    <row r="242" s="30" customFormat="1"/>
    <row r="243" s="30" customFormat="1"/>
    <row r="244" s="30" customFormat="1"/>
    <row r="245" s="30" customFormat="1"/>
    <row r="246" s="30" customFormat="1"/>
    <row r="247" s="30" customFormat="1"/>
    <row r="248" s="30" customFormat="1"/>
    <row r="249" s="30" customFormat="1"/>
    <row r="250" s="30" customFormat="1"/>
    <row r="251" s="30" customFormat="1"/>
    <row r="252" s="30" customFormat="1"/>
    <row r="253" s="30" customFormat="1"/>
    <row r="254" s="30" customFormat="1"/>
    <row r="255" s="30" customFormat="1"/>
    <row r="256" s="30" customFormat="1"/>
    <row r="257" s="30" customFormat="1"/>
    <row r="258" s="30" customFormat="1"/>
    <row r="259" s="30" customFormat="1"/>
    <row r="260" s="30" customFormat="1"/>
    <row r="261" s="30" customFormat="1"/>
    <row r="262" s="30" customFormat="1"/>
    <row r="263" s="30" customFormat="1"/>
    <row r="264" s="30" customFormat="1"/>
    <row r="265" s="30" customFormat="1"/>
    <row r="266" s="30" customFormat="1"/>
    <row r="267" s="30" customFormat="1"/>
    <row r="268" s="30" customFormat="1"/>
    <row r="269" s="30" customFormat="1"/>
    <row r="270" s="30" customFormat="1"/>
    <row r="271" s="30" customFormat="1"/>
    <row r="272" s="30" customFormat="1"/>
    <row r="273" s="30" customFormat="1"/>
    <row r="274" s="30" customFormat="1"/>
    <row r="275" s="30" customFormat="1"/>
    <row r="276" s="30" customFormat="1"/>
    <row r="277" s="30" customFormat="1"/>
    <row r="278" s="30" customFormat="1"/>
    <row r="279" s="30" customFormat="1"/>
    <row r="280" s="30" customFormat="1"/>
    <row r="281" s="30" customFormat="1"/>
    <row r="282" s="30" customFormat="1"/>
    <row r="283" s="30" customFormat="1"/>
    <row r="284" s="30" customFormat="1"/>
    <row r="285" s="30" customFormat="1"/>
    <row r="286" s="30" customFormat="1"/>
    <row r="287" s="30" customFormat="1"/>
    <row r="288" s="30" customFormat="1"/>
    <row r="289" s="30" customFormat="1"/>
    <row r="290" s="30" customFormat="1"/>
    <row r="291" s="30" customFormat="1"/>
    <row r="292" s="30" customFormat="1"/>
    <row r="293" s="30" customFormat="1"/>
    <row r="294" s="30" customFormat="1"/>
    <row r="295" s="30" customFormat="1"/>
    <row r="296" s="30" customFormat="1"/>
    <row r="297" s="30" customFormat="1"/>
    <row r="298" s="30" customFormat="1"/>
    <row r="299" s="30" customFormat="1"/>
    <row r="300" s="30" customFormat="1"/>
    <row r="301" s="30" customFormat="1"/>
    <row r="302" s="30" customFormat="1"/>
    <row r="303" s="30" customFormat="1"/>
    <row r="304" s="30" customFormat="1"/>
    <row r="305" s="30" customFormat="1"/>
    <row r="306" s="30" customFormat="1"/>
    <row r="307" s="30" customFormat="1"/>
    <row r="308" s="30" customFormat="1"/>
    <row r="309" s="30" customFormat="1"/>
    <row r="310" s="30" customFormat="1"/>
    <row r="311" s="30" customFormat="1"/>
    <row r="312" s="30" customFormat="1"/>
    <row r="313" s="30" customFormat="1"/>
    <row r="314" s="30" customFormat="1"/>
    <row r="315" s="30" customFormat="1"/>
    <row r="316" s="30" customFormat="1"/>
    <row r="317" s="30" customFormat="1"/>
    <row r="318" s="30" customFormat="1"/>
    <row r="319" s="30" customFormat="1"/>
    <row r="320" s="30" customFormat="1"/>
    <row r="321" s="30" customFormat="1"/>
    <row r="322" s="30" customFormat="1"/>
    <row r="323" s="30" customFormat="1"/>
    <row r="324" s="30" customFormat="1"/>
    <row r="325" s="30" customFormat="1"/>
    <row r="326" s="30" customFormat="1"/>
    <row r="327" s="30" customFormat="1"/>
    <row r="328" s="30" customFormat="1"/>
    <row r="329" s="30" customFormat="1"/>
    <row r="330" s="30" customFormat="1"/>
    <row r="331" s="30" customFormat="1"/>
    <row r="332" s="30" customFormat="1"/>
    <row r="333" s="30" customFormat="1"/>
    <row r="334" s="30" customFormat="1"/>
    <row r="335" s="30" customFormat="1"/>
    <row r="336" s="30" customFormat="1"/>
    <row r="337" s="30" customFormat="1"/>
    <row r="338" s="30" customFormat="1"/>
    <row r="339" s="30" customFormat="1"/>
    <row r="340" s="30" customFormat="1"/>
    <row r="341" s="30" customFormat="1"/>
    <row r="342" s="30" customFormat="1"/>
    <row r="343" s="30" customFormat="1"/>
    <row r="344" s="30" customFormat="1"/>
    <row r="345" s="30" customFormat="1"/>
    <row r="346" s="30" customFormat="1"/>
    <row r="347" s="30" customFormat="1"/>
    <row r="348" s="30" customFormat="1"/>
    <row r="349" s="30" customFormat="1"/>
    <row r="350" s="30" customFormat="1"/>
    <row r="351" s="30" customFormat="1"/>
    <row r="352" s="30" customFormat="1"/>
    <row r="353" s="30" customFormat="1"/>
    <row r="354" s="30" customFormat="1"/>
    <row r="355" s="30" customFormat="1"/>
    <row r="356" s="30" customFormat="1"/>
    <row r="357" s="30" customFormat="1"/>
    <row r="358" s="30" customFormat="1"/>
    <row r="359" s="30" customFormat="1"/>
    <row r="360" s="30" customFormat="1"/>
    <row r="361" s="30" customFormat="1"/>
    <row r="362" s="30" customFormat="1"/>
    <row r="363" s="30" customFormat="1"/>
    <row r="364" s="30" customFormat="1"/>
    <row r="365" s="30" customFormat="1"/>
    <row r="366" s="30" customFormat="1"/>
    <row r="367" s="30" customFormat="1"/>
    <row r="368" s="30" customFormat="1"/>
    <row r="369" s="30" customFormat="1"/>
    <row r="370" s="30" customFormat="1"/>
    <row r="371" s="30" customFormat="1"/>
    <row r="372" s="30" customFormat="1"/>
    <row r="373" s="30" customFormat="1"/>
    <row r="374" s="30" customFormat="1"/>
    <row r="375" s="30" customFormat="1"/>
    <row r="376" s="30" customFormat="1"/>
    <row r="377" s="30" customFormat="1"/>
    <row r="378" s="30" customFormat="1"/>
    <row r="379" s="30" customFormat="1"/>
    <row r="380" s="30" customFormat="1"/>
    <row r="381" s="30" customFormat="1"/>
    <row r="382" s="30" customFormat="1"/>
    <row r="383" s="30" customFormat="1"/>
    <row r="384" s="30" customFormat="1"/>
    <row r="385" s="30" customFormat="1"/>
    <row r="386" s="30" customFormat="1"/>
    <row r="387" s="30" customFormat="1"/>
    <row r="388" s="30" customFormat="1"/>
    <row r="389" s="30" customFormat="1"/>
    <row r="390" s="30" customFormat="1"/>
    <row r="391" s="30" customFormat="1"/>
    <row r="392" s="30" customFormat="1"/>
    <row r="393" s="30" customFormat="1"/>
    <row r="394" s="30" customFormat="1"/>
    <row r="395" s="30" customFormat="1"/>
    <row r="396" s="30" customFormat="1"/>
    <row r="397" s="30" customFormat="1"/>
    <row r="398" s="30" customFormat="1"/>
    <row r="399" s="30" customFormat="1"/>
    <row r="400" s="30" customFormat="1"/>
    <row r="401" s="30" customFormat="1"/>
    <row r="402" s="30" customFormat="1"/>
    <row r="403" s="30" customFormat="1"/>
    <row r="404" s="30" customFormat="1"/>
    <row r="405" s="30" customFormat="1"/>
    <row r="406" s="30" customFormat="1"/>
    <row r="407" s="30" customFormat="1"/>
    <row r="408" s="30" customFormat="1"/>
    <row r="409" s="30" customFormat="1"/>
    <row r="410" s="30" customFormat="1"/>
    <row r="411" s="30" customFormat="1"/>
    <row r="412" s="30" customFormat="1"/>
    <row r="413" s="30" customFormat="1"/>
    <row r="414" s="30" customFormat="1"/>
    <row r="415" s="30" customFormat="1"/>
    <row r="416" s="30" customFormat="1"/>
    <row r="417" s="30" customFormat="1"/>
    <row r="418" s="30" customFormat="1"/>
    <row r="419" s="30" customFormat="1"/>
    <row r="420" s="30" customFormat="1"/>
    <row r="421" s="30" customFormat="1"/>
    <row r="422" s="30" customFormat="1"/>
    <row r="423" s="30" customFormat="1"/>
    <row r="424" s="30" customFormat="1"/>
    <row r="425" s="30" customFormat="1"/>
    <row r="426" s="30" customFormat="1"/>
    <row r="427" s="30" customFormat="1"/>
    <row r="428" s="30" customFormat="1"/>
    <row r="429" s="30" customFormat="1"/>
    <row r="430" s="30" customFormat="1"/>
    <row r="431" s="30" customFormat="1"/>
    <row r="432" s="30" customFormat="1"/>
    <row r="433" s="30" customFormat="1"/>
    <row r="434" s="30" customFormat="1"/>
    <row r="435" s="30" customFormat="1"/>
    <row r="436" s="30" customFormat="1"/>
    <row r="437" s="30" customFormat="1"/>
    <row r="438" s="30" customFormat="1"/>
    <row r="439" s="30" customFormat="1"/>
    <row r="440" s="30" customFormat="1"/>
    <row r="441" s="30" customFormat="1"/>
    <row r="442" s="30" customFormat="1"/>
    <row r="443" s="30" customFormat="1"/>
    <row r="444" s="30" customFormat="1"/>
    <row r="445" s="30" customFormat="1"/>
    <row r="446" s="30" customFormat="1"/>
    <row r="447" s="30" customFormat="1"/>
    <row r="448" s="30" customFormat="1"/>
    <row r="449" s="30" customFormat="1"/>
    <row r="450" s="30" customFormat="1"/>
    <row r="451" s="30" customFormat="1"/>
    <row r="452" s="30" customFormat="1"/>
    <row r="453" s="30" customFormat="1"/>
    <row r="454" s="30" customFormat="1"/>
    <row r="455" s="30" customFormat="1"/>
    <row r="456" s="30" customFormat="1"/>
    <row r="457" s="30" customFormat="1"/>
    <row r="458" s="30" customFormat="1"/>
    <row r="459" s="30" customFormat="1"/>
    <row r="460" s="30" customFormat="1"/>
    <row r="461" s="30" customFormat="1"/>
    <row r="462" s="30" customFormat="1"/>
    <row r="463" s="30" customFormat="1"/>
    <row r="464" s="30" customFormat="1"/>
    <row r="465" s="30" customFormat="1"/>
    <row r="466" s="30" customFormat="1"/>
    <row r="467" s="30" customFormat="1"/>
    <row r="468" s="30" customFormat="1"/>
    <row r="469" s="30" customFormat="1"/>
    <row r="470" s="30" customFormat="1"/>
    <row r="471" s="30" customFormat="1"/>
    <row r="472" s="30" customFormat="1"/>
    <row r="473" s="30" customFormat="1"/>
    <row r="474" s="30" customFormat="1"/>
    <row r="475" s="30" customFormat="1"/>
    <row r="476" s="30" customFormat="1"/>
    <row r="477" s="30" customFormat="1"/>
    <row r="478" s="30" customFormat="1"/>
    <row r="479" s="30" customFormat="1"/>
    <row r="480" s="30" customFormat="1"/>
    <row r="481" s="30" customFormat="1"/>
    <row r="482" s="30" customFormat="1"/>
    <row r="483" s="30" customFormat="1"/>
    <row r="484" s="30" customFormat="1"/>
    <row r="485" s="30" customFormat="1"/>
    <row r="486" s="30" customFormat="1"/>
    <row r="487" s="30" customFormat="1"/>
    <row r="488" s="30" customFormat="1"/>
    <row r="489" s="30" customFormat="1"/>
    <row r="490" s="30" customFormat="1"/>
    <row r="491" s="30" customFormat="1"/>
    <row r="492" s="30" customFormat="1"/>
    <row r="493" s="30" customFormat="1"/>
    <row r="494" s="30" customFormat="1"/>
    <row r="495" s="30" customFormat="1"/>
    <row r="496" s="30" customFormat="1"/>
    <row r="497" s="30" customFormat="1"/>
    <row r="498" s="30" customFormat="1"/>
    <row r="499" s="30" customFormat="1"/>
    <row r="500" s="30" customFormat="1"/>
    <row r="501" s="30" customFormat="1"/>
    <row r="502" s="30" customFormat="1"/>
    <row r="503" s="30" customFormat="1"/>
    <row r="504" s="30" customFormat="1"/>
    <row r="505" s="30" customFormat="1"/>
    <row r="506" s="30" customFormat="1"/>
    <row r="507" s="30" customFormat="1"/>
    <row r="508" s="30" customFormat="1"/>
    <row r="509" s="30" customFormat="1"/>
    <row r="510" s="30" customFormat="1"/>
    <row r="511" s="30" customFormat="1"/>
    <row r="512" s="30" customFormat="1"/>
    <row r="513" s="30" customFormat="1"/>
    <row r="514" s="30" customFormat="1"/>
    <row r="515" s="30" customFormat="1"/>
    <row r="516" s="30" customFormat="1"/>
    <row r="517" s="30" customFormat="1"/>
    <row r="518" s="30" customFormat="1"/>
    <row r="519" s="30" customFormat="1"/>
    <row r="520" s="30" customFormat="1"/>
    <row r="521" s="30" customFormat="1"/>
    <row r="522" s="30" customFormat="1"/>
    <row r="523" s="30" customFormat="1"/>
    <row r="524" s="30" customFormat="1"/>
    <row r="525" s="30" customFormat="1"/>
    <row r="526" s="30" customFormat="1"/>
    <row r="527" s="30" customFormat="1"/>
    <row r="528" s="30" customFormat="1"/>
    <row r="529" s="30" customFormat="1"/>
    <row r="530" s="30" customFormat="1"/>
    <row r="531" s="30" customFormat="1"/>
    <row r="532" s="30" customFormat="1"/>
    <row r="533" s="30" customFormat="1"/>
    <row r="534" s="30" customFormat="1"/>
    <row r="535" s="30" customFormat="1"/>
    <row r="536" s="30" customFormat="1"/>
    <row r="537" s="30" customFormat="1"/>
    <row r="538" s="30" customFormat="1"/>
    <row r="539" s="30" customFormat="1"/>
    <row r="540" s="30" customFormat="1"/>
    <row r="541" s="30" customFormat="1"/>
    <row r="542" s="30" customFormat="1"/>
    <row r="543" s="30" customFormat="1"/>
    <row r="544" s="30" customFormat="1"/>
    <row r="545" s="30" customFormat="1"/>
    <row r="546" s="30" customFormat="1"/>
    <row r="547" s="30" customFormat="1"/>
    <row r="548" s="30" customFormat="1"/>
    <row r="549" s="30" customFormat="1"/>
    <row r="550" s="30" customFormat="1"/>
    <row r="551" s="30" customFormat="1"/>
    <row r="552" s="30" customFormat="1"/>
    <row r="553" s="30" customFormat="1"/>
    <row r="554" s="30" customFormat="1"/>
    <row r="555" s="30" customFormat="1"/>
    <row r="556" s="30" customFormat="1"/>
    <row r="557" s="30" customFormat="1"/>
    <row r="558" s="30" customFormat="1"/>
    <row r="559" s="30" customFormat="1"/>
    <row r="560" s="30" customFormat="1"/>
    <row r="561" s="30" customFormat="1"/>
    <row r="562" s="30" customFormat="1"/>
    <row r="563" s="30" customFormat="1"/>
    <row r="564" s="30" customFormat="1"/>
    <row r="565" s="30" customFormat="1"/>
    <row r="566" s="30" customFormat="1"/>
    <row r="567" s="30" customFormat="1"/>
    <row r="568" s="30" customFormat="1"/>
    <row r="569" s="30" customFormat="1"/>
    <row r="570" s="30" customFormat="1"/>
    <row r="571" s="30" customFormat="1"/>
    <row r="572" s="30" customFormat="1"/>
    <row r="573" s="30" customFormat="1"/>
    <row r="574" s="30" customFormat="1"/>
    <row r="575" s="30" customFormat="1"/>
    <row r="576" s="30" customFormat="1"/>
    <row r="577" s="30" customFormat="1"/>
    <row r="578" s="30" customFormat="1"/>
    <row r="579" s="30" customFormat="1"/>
    <row r="580" s="30" customFormat="1"/>
    <row r="581" s="30" customFormat="1"/>
    <row r="582" s="30" customFormat="1"/>
    <row r="583" s="30" customFormat="1"/>
    <row r="584" s="30" customFormat="1"/>
    <row r="585" s="30" customFormat="1"/>
    <row r="586" s="30" customFormat="1"/>
    <row r="587" s="30" customFormat="1"/>
    <row r="588" s="30" customFormat="1"/>
    <row r="589" s="30" customFormat="1"/>
    <row r="590" s="30" customFormat="1"/>
    <row r="591" s="30" customFormat="1"/>
    <row r="592" s="30" customFormat="1"/>
    <row r="593" s="30" customFormat="1"/>
    <row r="594" s="30" customFormat="1"/>
    <row r="595" s="30" customFormat="1"/>
    <row r="596" s="30" customFormat="1"/>
    <row r="597" s="30" customFormat="1"/>
    <row r="598" s="30" customFormat="1"/>
    <row r="599" s="30" customFormat="1"/>
    <row r="600" s="30" customFormat="1"/>
    <row r="601" s="30" customFormat="1"/>
    <row r="602" s="30" customFormat="1"/>
    <row r="603" s="30" customFormat="1"/>
    <row r="604" s="30" customFormat="1"/>
    <row r="605" s="30" customFormat="1"/>
    <row r="606" s="30" customFormat="1"/>
    <row r="607" s="30" customFormat="1"/>
    <row r="608" s="30" customFormat="1"/>
    <row r="609" s="30" customFormat="1"/>
    <row r="610" s="30" customFormat="1"/>
    <row r="611" s="30" customFormat="1"/>
    <row r="612" s="30" customFormat="1"/>
    <row r="613" s="30" customFormat="1"/>
    <row r="614" s="30" customFormat="1"/>
    <row r="615" s="30" customFormat="1"/>
    <row r="616" s="30" customFormat="1"/>
    <row r="617" s="30" customFormat="1"/>
    <row r="618" s="30" customFormat="1"/>
    <row r="619" s="30" customFormat="1"/>
    <row r="620" s="30" customFormat="1"/>
    <row r="621" s="30" customFormat="1"/>
    <row r="622" s="30" customFormat="1"/>
    <row r="623" s="30" customFormat="1"/>
    <row r="624" s="30" customFormat="1"/>
    <row r="625" s="30" customFormat="1"/>
    <row r="626" s="30" customFormat="1"/>
    <row r="627" s="30" customFormat="1"/>
    <row r="628" s="30" customFormat="1"/>
    <row r="629" s="30" customFormat="1"/>
    <row r="630" s="30" customFormat="1"/>
    <row r="631" s="30" customFormat="1"/>
    <row r="632" s="30" customFormat="1"/>
    <row r="633" s="30" customFormat="1"/>
    <row r="634" s="30" customFormat="1"/>
    <row r="635" s="30" customFormat="1"/>
    <row r="636" s="30" customFormat="1"/>
    <row r="637" s="30" customFormat="1"/>
    <row r="638" s="30" customFormat="1"/>
    <row r="639" s="30" customFormat="1"/>
    <row r="640" s="30" customFormat="1"/>
    <row r="641" s="30" customFormat="1"/>
    <row r="642" s="30" customFormat="1"/>
    <row r="643" s="30" customFormat="1"/>
    <row r="644" s="30" customFormat="1"/>
    <row r="645" s="30" customFormat="1"/>
    <row r="646" s="30" customFormat="1"/>
    <row r="647" s="30" customFormat="1"/>
    <row r="648" s="30" customFormat="1"/>
    <row r="649" s="30" customFormat="1"/>
    <row r="650" s="30" customFormat="1"/>
    <row r="651" s="30" customFormat="1"/>
    <row r="652" s="30" customFormat="1"/>
    <row r="653" s="30" customFormat="1"/>
    <row r="654" s="30" customFormat="1"/>
    <row r="655" s="30" customFormat="1"/>
    <row r="656" s="30" customFormat="1"/>
    <row r="657" s="30" customFormat="1"/>
    <row r="658" s="30" customFormat="1"/>
    <row r="659" s="30" customFormat="1"/>
    <row r="660" s="30" customFormat="1"/>
    <row r="661" s="30" customFormat="1"/>
    <row r="662" s="30" customFormat="1"/>
    <row r="663" s="30" customFormat="1"/>
    <row r="664" s="30" customFormat="1"/>
    <row r="665" s="30" customFormat="1"/>
    <row r="666" s="30" customFormat="1"/>
    <row r="667" s="30" customFormat="1"/>
    <row r="668" s="30" customFormat="1"/>
    <row r="669" s="30" customFormat="1"/>
    <row r="670" s="30" customFormat="1"/>
    <row r="671" s="30" customFormat="1"/>
    <row r="672" s="30" customFormat="1"/>
    <row r="673" s="30" customFormat="1"/>
    <row r="674" s="30" customFormat="1"/>
  </sheetData>
  <mergeCells count="3">
    <mergeCell ref="A1:O1"/>
    <mergeCell ref="A2:O2"/>
    <mergeCell ref="M22:O22"/>
  </mergeCells>
  <pageMargins left="0.7" right="0.7" top="0.75" bottom="0.75" header="0.3" footer="0.3"/>
  <pageSetup paperSize="9" scale="7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10.11</vt:lpstr>
      <vt:lpstr>'10.11'!Print_Area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2026-06-11T09:45:44Z</cp:lastPrinted>
  <dcterms:created xsi:type="dcterms:W3CDTF">2019-02-27T06:18:18Z</dcterms:created>
  <dcterms:modified xsi:type="dcterms:W3CDTF">2026-06-11T09:46:15Z</dcterms:modified>
</cp:coreProperties>
</file>