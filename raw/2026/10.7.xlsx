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01536F7E-E5B9-48F3-8AE1-A63CBD267B90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7" sheetId="7" r:id="rId1"/>
  </sheets>
  <definedNames>
    <definedName name="_xlnm.Print_Area" localSheetId="0">'10.7'!$A$1:$L$41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7" l="1"/>
  <c r="I17" i="7"/>
  <c r="I16" i="7"/>
  <c r="I15" i="7"/>
  <c r="I14" i="7"/>
  <c r="I13" i="7"/>
  <c r="I12" i="7"/>
  <c r="I11" i="7"/>
  <c r="I10" i="7"/>
  <c r="I9" i="7"/>
  <c r="I8" i="7"/>
  <c r="I7" i="7"/>
  <c r="K6" i="7"/>
  <c r="J6" i="7"/>
  <c r="H6" i="7"/>
  <c r="G6" i="7"/>
  <c r="I6" i="7" l="1"/>
  <c r="D18" i="7" l="1"/>
  <c r="D17" i="7"/>
  <c r="D16" i="7"/>
  <c r="D15" i="7"/>
  <c r="D14" i="7"/>
  <c r="D13" i="7"/>
  <c r="D12" i="7"/>
  <c r="D11" i="7"/>
  <c r="D10" i="7"/>
  <c r="D9" i="7"/>
  <c r="D8" i="7"/>
  <c r="D7" i="7"/>
  <c r="F6" i="7"/>
  <c r="E6" i="7"/>
  <c r="C6" i="7"/>
  <c r="B6" i="7"/>
  <c r="D6" i="7" l="1"/>
</calcChain>
</file>

<file path=xl/sharedStrings.xml><?xml version="1.0" encoding="utf-8"?>
<sst xmlns="http://schemas.openxmlformats.org/spreadsheetml/2006/main" count="40" uniqueCount="30">
  <si>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</si>
  <si>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</si>
  <si>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</si>
  <si>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</si>
  <si>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</si>
  <si>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</si>
  <si>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</si>
  <si>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</si>
  <si>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</si>
  <si>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</si>
  <si>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</si>
  <si>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</si>
  <si>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</si>
  <si>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</si>
  <si>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</si>
  <si>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</si>
  <si>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</si>
  <si>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</si>
  <si>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</si>
  <si>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</si>
  <si>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</si>
  <si>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</si>
  <si>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</si>
  <si>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</si>
  <si>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</si>
  <si>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</si>
  <si>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Source: Ministry Tourism and Civil Aviation</t>
  </si>
  <si>
    <t>މަޢުލޫމާތު ދެއްވީ: މިނިސްޓްރީ އޮފް ޓޫރިޒަމް އެންޑް ސިވިލް އޭވިއޭޝަން</t>
  </si>
  <si>
    <t>Table  10.7: BED CAPACITY AND UTILIZATION OF SAFARI VESSELS BY MONTH,  2024 - 2025</t>
  </si>
  <si>
    <t>2025 - 2024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</si>
</sst>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1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1" applyNumberFormat="0"/>
    <xf numFmtId="0" fontId="1" fillId="0" borderId="0"/>
    <xf numFmtId="0" fontId="3" fillId="0" borderId="0"/>
    <xf numFmtId="0" fontId="18" fillId="0" borderId="0" applyFill="0" applyProtection="0"/>
    <xf numFmtId="1" fontId="15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3" fillId="0" borderId="0"/>
    <xf numFmtId="0" fontId="18" fillId="0" borderId="0" applyFill="0" applyProtection="0"/>
    <xf numFmtId="1" fontId="15" fillId="0" borderId="11" applyNumberFormat="0"/>
    <xf numFmtId="0" fontId="1" fillId="0" borderId="0"/>
    <xf numFmtId="0" fontId="2" fillId="0" borderId="0"/>
    <xf numFmtId="0" fontId="19" fillId="0" borderId="0"/>
    <xf numFmtId="0" fontId="20" fillId="0" borderId="0"/>
    <xf numFmtId="0" fontId="2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1" fontId="15" fillId="0" borderId="11" applyNumberFormat="0"/>
    <xf numFmtId="0" fontId="1" fillId="0" borderId="0"/>
    <xf numFmtId="0" fontId="1" fillId="0" borderId="0"/>
    <xf numFmtId="0" fontId="21" fillId="0" borderId="0" applyBorder="0"/>
    <xf numFmtId="0" fontId="21" fillId="0" borderId="0"/>
    <xf numFmtId="0" fontId="1" fillId="0" borderId="0"/>
    <xf numFmtId="0" fontId="3" fillId="0" borderId="0"/>
    <xf numFmtId="0" fontId="3" fillId="0" borderId="0"/>
    <xf numFmtId="1" fontId="15" fillId="0" borderId="11" applyNumberFormat="0"/>
    <xf numFmtId="0" fontId="21" fillId="0" borderId="0" applyBorder="0"/>
    <xf numFmtId="0" fontId="21" fillId="0" borderId="0" applyBorder="0"/>
    <xf numFmtId="0" fontId="3" fillId="0" borderId="0"/>
    <xf numFmtId="0" fontId="2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5" xfId="0" applyNumberFormat="1" applyFont="1" applyFill="1" applyBorder="1" applyAlignment="1">
      <alignment horizontal="center" vertical="center" wrapText="1"/>
    </xf>
    <xf numFmtId="37" fontId="8" fillId="2" borderId="6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9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0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8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0" fontId="17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2" fillId="2" borderId="0" xfId="0" applyFont="1" applyFill="1" applyAlignment="1">
      <alignment horizontal="right" vertical="center"/>
    </xf>
    <xf numFmtId="0" fontId="6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37" fontId="8" fillId="2" borderId="14" xfId="0" applyNumberFormat="1" applyFont="1" applyFill="1" applyBorder="1" applyAlignment="1">
      <alignment horizontal="center" vertical="center" wrapText="1"/>
    </xf>
    <xf numFmtId="3" fontId="6" fillId="2" borderId="12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167" fontId="6" fillId="2" borderId="0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right" vertical="center" indent="3"/>
    </xf>
    <xf numFmtId="3" fontId="7" fillId="2" borderId="0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right" vertical="center" indent="3"/>
    </xf>
    <xf numFmtId="3" fontId="7" fillId="2" borderId="7" xfId="0" applyNumberFormat="1" applyFont="1" applyFill="1" applyBorder="1" applyAlignment="1">
      <alignment horizontal="right" vertical="center" indent="3"/>
    </xf>
  </cellXfs>
  <cellStyles count="81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0 2" xfId="80" xr:uid="{AF4FE69F-9401-42FA-B027-EEF0FEB874E3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Normal 9 2" xfId="79" xr:uid="{8B69E301-AFA8-488E-94F8-DE9EB7E34FB9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10.11:  Bed capacity and beds in operation in safari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100" b="1" i="0" baseline="0">
                <a:effectLst/>
              </a:rPr>
              <a:t> , 2025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30689723602489655"/>
          <c:y val="4.853937054991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58008808290315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'10.7'!$G$5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'10.7'!$A$7:$A$18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'10.7'!$G$7:$G$18</c:f>
              <c:numCache>
                <c:formatCode>#,##0</c:formatCode>
                <c:ptCount val="12"/>
                <c:pt idx="0">
                  <c:v>3127</c:v>
                </c:pt>
                <c:pt idx="1">
                  <c:v>3140</c:v>
                </c:pt>
                <c:pt idx="2">
                  <c:v>3144</c:v>
                </c:pt>
                <c:pt idx="3">
                  <c:v>3180</c:v>
                </c:pt>
                <c:pt idx="4">
                  <c:v>3199</c:v>
                </c:pt>
                <c:pt idx="5">
                  <c:v>3162</c:v>
                </c:pt>
                <c:pt idx="6">
                  <c:v>3156</c:v>
                </c:pt>
                <c:pt idx="7">
                  <c:v>3256</c:v>
                </c:pt>
                <c:pt idx="8">
                  <c:v>3281</c:v>
                </c:pt>
                <c:pt idx="9">
                  <c:v>4874</c:v>
                </c:pt>
                <c:pt idx="10">
                  <c:v>3322</c:v>
                </c:pt>
                <c:pt idx="11">
                  <c:v>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53E-B050-5126D987D595}"/>
            </c:ext>
          </c:extLst>
        </c:ser>
        <c:ser>
          <c:idx val="1"/>
          <c:order val="1"/>
          <c:tx>
            <c:strRef>
              <c:f>'10.7'!$H$5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'10.7'!$A$7:$A$18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'10.7'!$H$7:$H$18</c:f>
              <c:numCache>
                <c:formatCode>#,##0</c:formatCode>
                <c:ptCount val="12"/>
                <c:pt idx="0">
                  <c:v>3127</c:v>
                </c:pt>
                <c:pt idx="1">
                  <c:v>3140</c:v>
                </c:pt>
                <c:pt idx="2">
                  <c:v>3144</c:v>
                </c:pt>
                <c:pt idx="3">
                  <c:v>3132</c:v>
                </c:pt>
                <c:pt idx="4">
                  <c:v>3199</c:v>
                </c:pt>
                <c:pt idx="5">
                  <c:v>3162</c:v>
                </c:pt>
                <c:pt idx="6">
                  <c:v>3156</c:v>
                </c:pt>
                <c:pt idx="7">
                  <c:v>3213</c:v>
                </c:pt>
                <c:pt idx="8">
                  <c:v>3229</c:v>
                </c:pt>
                <c:pt idx="9">
                  <c:v>3247</c:v>
                </c:pt>
                <c:pt idx="10">
                  <c:v>3322</c:v>
                </c:pt>
                <c:pt idx="11">
                  <c:v>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53E-B050-5126D98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503158028065407"/>
          <c:y val="0.17494042332592558"/>
          <c:w val="0.42125167233498467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107829</xdr:rowOff>
    </xdr:from>
    <xdr:to>
      <xdr:col>9</xdr:col>
      <xdr:colOff>521180</xdr:colOff>
      <xdr:row>36</xdr:row>
      <xdr:rowOff>62901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1"/>
  <sheetViews>
    <sheetView tabSelected="1" zoomScaleNormal="100" zoomScaleSheetLayoutView="106" workbookViewId="0">
      <selection activeCell="K29" sqref="K29"/>
    </sheetView>
  </sheetViews>
  <sheetFormatPr defaultColWidth="9.140625" defaultRowHeight="12"/>
  <cols>
    <col min="1" max="1" width="13.7109375" style="3" customWidth="1"/>
    <col min="2" max="2" width="15" style="3" customWidth="1"/>
    <col min="3" max="3" width="14.7109375" style="3" customWidth="1"/>
    <col min="4" max="4" width="17.85546875" style="3" customWidth="1"/>
    <col min="5" max="5" width="15.28515625" style="3" customWidth="1"/>
    <col min="6" max="6" width="16.7109375" style="3" customWidth="1"/>
    <col min="7" max="7" width="15" style="3" customWidth="1"/>
    <col min="8" max="8" width="14.7109375" style="3" customWidth="1"/>
    <col min="9" max="9" width="17.85546875" style="3" customWidth="1"/>
    <col min="10" max="10" width="15.28515625" style="3" customWidth="1"/>
    <col min="11" max="11" width="16.7109375" style="3" customWidth="1"/>
    <col min="12" max="12" width="3.7109375" style="3" customWidth="1"/>
    <col min="13" max="16384" width="9.140625" style="3"/>
  </cols>
  <sheetData>
    <row r="1" spans="1:11" ht="17.25" customHeight="1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4" customHeight="1">
      <c r="A2" s="32" t="s">
        <v>28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s="4" customFormat="1" ht="18.75" customHeight="1">
      <c r="A3" s="35" t="s">
        <v>1</v>
      </c>
      <c r="B3" s="31">
        <v>2024</v>
      </c>
      <c r="C3" s="31"/>
      <c r="D3" s="31"/>
      <c r="E3" s="31"/>
      <c r="F3" s="37"/>
      <c r="G3" s="30">
        <v>2025</v>
      </c>
      <c r="H3" s="31"/>
      <c r="I3" s="31"/>
      <c r="J3" s="31"/>
      <c r="K3" s="31"/>
    </row>
    <row r="4" spans="1:11" s="4" customFormat="1" ht="52.5" customHeight="1">
      <c r="A4" s="36"/>
      <c r="B4" s="6" t="s">
        <v>2</v>
      </c>
      <c r="C4" s="6" t="s">
        <v>3</v>
      </c>
      <c r="D4" s="6" t="s">
        <v>0</v>
      </c>
      <c r="E4" s="6" t="s">
        <v>4</v>
      </c>
      <c r="F4" s="38" t="s">
        <v>5</v>
      </c>
      <c r="G4" s="5" t="s">
        <v>2</v>
      </c>
      <c r="H4" s="6" t="s">
        <v>3</v>
      </c>
      <c r="I4" s="6" t="s">
        <v>0</v>
      </c>
      <c r="J4" s="6" t="s">
        <v>4</v>
      </c>
      <c r="K4" s="6" t="s">
        <v>5</v>
      </c>
    </row>
    <row r="5" spans="1:11" s="4" customFormat="1" ht="46.5" customHeight="1">
      <c r="A5" s="34"/>
      <c r="B5" s="24" t="s">
        <v>9</v>
      </c>
      <c r="C5" s="24" t="s">
        <v>25</v>
      </c>
      <c r="D5" s="24" t="s">
        <v>6</v>
      </c>
      <c r="E5" s="24" t="s">
        <v>7</v>
      </c>
      <c r="F5" s="29" t="s">
        <v>8</v>
      </c>
      <c r="G5" s="25" t="s">
        <v>9</v>
      </c>
      <c r="H5" s="24" t="s">
        <v>25</v>
      </c>
      <c r="I5" s="24" t="s">
        <v>6</v>
      </c>
      <c r="J5" s="24" t="s">
        <v>7</v>
      </c>
      <c r="K5" s="24" t="s">
        <v>8</v>
      </c>
    </row>
    <row r="6" spans="1:11" s="4" customFormat="1" ht="16.5" customHeight="1">
      <c r="A6" s="7" t="s">
        <v>10</v>
      </c>
      <c r="B6" s="39">
        <f>AVERAGE(B7:B18)</f>
        <v>2934.1666666666665</v>
      </c>
      <c r="C6" s="40">
        <f>AVERAGE(C7:C18)</f>
        <v>2934.1666666666665</v>
      </c>
      <c r="D6" s="41">
        <f>AVERAGE(D7:D18)</f>
        <v>100</v>
      </c>
      <c r="E6" s="41">
        <f>AVERAGE(E7:E18)</f>
        <v>27.28995874899152</v>
      </c>
      <c r="F6" s="42">
        <f>SUM(F7:F18)</f>
        <v>292043.51169000193</v>
      </c>
      <c r="G6" s="8">
        <f>AVERAGE(G7:G18)</f>
        <v>3349.75</v>
      </c>
      <c r="H6" s="9">
        <f>AVERAGE(H7:H18)</f>
        <v>3202.25</v>
      </c>
      <c r="I6" s="10">
        <f>AVERAGE(I7:I18)</f>
        <v>96.850319846504803</v>
      </c>
      <c r="J6" s="10">
        <f>AVERAGE(J7:J18)</f>
        <v>23.976803066422786</v>
      </c>
      <c r="K6" s="20">
        <f>SUM(K7:K18)</f>
        <v>278955.64448933071</v>
      </c>
    </row>
    <row r="7" spans="1:11" s="4" customFormat="1" ht="16.5" customHeight="1">
      <c r="A7" s="11" t="s">
        <v>11</v>
      </c>
      <c r="B7" s="43">
        <v>2794</v>
      </c>
      <c r="C7" s="43">
        <v>2794</v>
      </c>
      <c r="D7" s="44">
        <f>C7/B7*100</f>
        <v>100</v>
      </c>
      <c r="E7" s="44">
        <v>31.257628596338272</v>
      </c>
      <c r="F7" s="45">
        <v>27073.482432432433</v>
      </c>
      <c r="G7" s="12">
        <v>3127</v>
      </c>
      <c r="H7" s="2">
        <v>3127</v>
      </c>
      <c r="I7" s="13">
        <f>H7/G7*100</f>
        <v>100</v>
      </c>
      <c r="J7" s="13">
        <v>33.845672022934778</v>
      </c>
      <c r="K7" s="21">
        <v>32808.979088872293</v>
      </c>
    </row>
    <row r="8" spans="1:11" s="4" customFormat="1" ht="16.5" customHeight="1">
      <c r="A8" s="11" t="s">
        <v>12</v>
      </c>
      <c r="B8" s="43">
        <v>2824</v>
      </c>
      <c r="C8" s="43">
        <v>2824</v>
      </c>
      <c r="D8" s="44">
        <f t="shared" ref="D8:D18" si="0">C8/B8*100</f>
        <v>100</v>
      </c>
      <c r="E8" s="44">
        <v>36.869263210121559</v>
      </c>
      <c r="F8" s="45">
        <v>30194.451798561153</v>
      </c>
      <c r="G8" s="12">
        <v>3140</v>
      </c>
      <c r="H8" s="2">
        <v>3140</v>
      </c>
      <c r="I8" s="13">
        <f t="shared" ref="I8:I18" si="1">H8/G8*100</f>
        <v>100</v>
      </c>
      <c r="J8" s="13">
        <v>36.514264019958773</v>
      </c>
      <c r="K8" s="21">
        <v>32103.340926347759</v>
      </c>
    </row>
    <row r="9" spans="1:11" s="4" customFormat="1" ht="16.5" customHeight="1">
      <c r="A9" s="11" t="s">
        <v>13</v>
      </c>
      <c r="B9" s="43">
        <v>2862</v>
      </c>
      <c r="C9" s="43">
        <v>2862</v>
      </c>
      <c r="D9" s="44">
        <f t="shared" si="0"/>
        <v>100</v>
      </c>
      <c r="E9" s="44">
        <v>39.936913181694969</v>
      </c>
      <c r="F9" s="45">
        <v>35432.828113063406</v>
      </c>
      <c r="G9" s="12">
        <v>3144</v>
      </c>
      <c r="H9" s="2">
        <v>3144</v>
      </c>
      <c r="I9" s="13">
        <f t="shared" si="1"/>
        <v>100</v>
      </c>
      <c r="J9" s="13">
        <v>38.471829939051581</v>
      </c>
      <c r="K9" s="21">
        <v>37496.184331797238</v>
      </c>
    </row>
    <row r="10" spans="1:11" s="4" customFormat="1" ht="16.5" customHeight="1">
      <c r="A10" s="11" t="s">
        <v>14</v>
      </c>
      <c r="B10" s="43">
        <v>2862</v>
      </c>
      <c r="C10" s="43">
        <v>2862</v>
      </c>
      <c r="D10" s="44">
        <f t="shared" si="0"/>
        <v>100</v>
      </c>
      <c r="E10" s="44">
        <v>34.228136882129277</v>
      </c>
      <c r="F10" s="45">
        <v>29388.278326996198</v>
      </c>
      <c r="G10" s="12">
        <v>3180</v>
      </c>
      <c r="H10" s="2">
        <v>3132</v>
      </c>
      <c r="I10" s="13">
        <f t="shared" si="1"/>
        <v>98.490566037735846</v>
      </c>
      <c r="J10" s="13">
        <v>25.873015873015877</v>
      </c>
      <c r="K10" s="21">
        <v>24310.285714285714</v>
      </c>
    </row>
    <row r="11" spans="1:11" s="4" customFormat="1" ht="16.5" customHeight="1">
      <c r="A11" s="11" t="s">
        <v>15</v>
      </c>
      <c r="B11" s="43">
        <v>2950</v>
      </c>
      <c r="C11" s="43">
        <v>2950</v>
      </c>
      <c r="D11" s="44">
        <f t="shared" si="0"/>
        <v>100</v>
      </c>
      <c r="E11" s="44">
        <v>22.042610429226812</v>
      </c>
      <c r="F11" s="45">
        <v>20157.967237527922</v>
      </c>
      <c r="G11" s="12">
        <v>3199</v>
      </c>
      <c r="H11" s="2">
        <v>3199</v>
      </c>
      <c r="I11" s="13">
        <f t="shared" si="1"/>
        <v>100</v>
      </c>
      <c r="J11" s="13">
        <v>17.904776674937963</v>
      </c>
      <c r="K11" s="21">
        <v>17755.98798076923</v>
      </c>
    </row>
    <row r="12" spans="1:11" s="4" customFormat="1" ht="16.5" customHeight="1">
      <c r="A12" s="11" t="s">
        <v>16</v>
      </c>
      <c r="B12" s="43">
        <v>2953</v>
      </c>
      <c r="C12" s="43">
        <v>2953</v>
      </c>
      <c r="D12" s="44">
        <f t="shared" si="0"/>
        <v>100</v>
      </c>
      <c r="E12" s="44">
        <v>10.402869757174393</v>
      </c>
      <c r="F12" s="45">
        <v>9215.9023178807947</v>
      </c>
      <c r="G12" s="12">
        <v>3162</v>
      </c>
      <c r="H12" s="2">
        <v>3162</v>
      </c>
      <c r="I12" s="13">
        <f t="shared" si="1"/>
        <v>100</v>
      </c>
      <c r="J12" s="13">
        <v>15.532879818594106</v>
      </c>
      <c r="K12" s="21">
        <v>14734.489795918367</v>
      </c>
    </row>
    <row r="13" spans="1:11" s="4" customFormat="1" ht="16.5" customHeight="1">
      <c r="A13" s="11" t="s">
        <v>17</v>
      </c>
      <c r="B13" s="43">
        <v>2933</v>
      </c>
      <c r="C13" s="43">
        <v>2933</v>
      </c>
      <c r="D13" s="44">
        <f t="shared" si="0"/>
        <v>100</v>
      </c>
      <c r="E13" s="44">
        <v>14.548356404039165</v>
      </c>
      <c r="F13" s="45">
        <v>13227.802093244529</v>
      </c>
      <c r="G13" s="12">
        <v>3156</v>
      </c>
      <c r="H13" s="2">
        <v>3156</v>
      </c>
      <c r="I13" s="13">
        <f t="shared" si="1"/>
        <v>100</v>
      </c>
      <c r="J13" s="13">
        <v>7.3765479284513074</v>
      </c>
      <c r="K13" s="21">
        <v>7216.9194312796208</v>
      </c>
    </row>
    <row r="14" spans="1:11" s="4" customFormat="1" ht="16.5" customHeight="1">
      <c r="A14" s="11" t="s">
        <v>18</v>
      </c>
      <c r="B14" s="43">
        <v>2990</v>
      </c>
      <c r="C14" s="43">
        <v>2990</v>
      </c>
      <c r="D14" s="44">
        <f t="shared" si="0"/>
        <v>100</v>
      </c>
      <c r="E14" s="44">
        <v>25.672686114112263</v>
      </c>
      <c r="F14" s="45">
        <v>23796.012759170655</v>
      </c>
      <c r="G14" s="12">
        <v>3256</v>
      </c>
      <c r="H14" s="2">
        <v>3213</v>
      </c>
      <c r="I14" s="13">
        <f t="shared" si="1"/>
        <v>98.67936117936118</v>
      </c>
      <c r="J14" s="13">
        <v>16.898490677715301</v>
      </c>
      <c r="K14" s="21">
        <v>16831.403669724772</v>
      </c>
    </row>
    <row r="15" spans="1:11" s="4" customFormat="1" ht="16.5" customHeight="1">
      <c r="A15" s="11" t="s">
        <v>19</v>
      </c>
      <c r="B15" s="43">
        <v>2942</v>
      </c>
      <c r="C15" s="43">
        <v>2942</v>
      </c>
      <c r="D15" s="44">
        <f t="shared" si="0"/>
        <v>100</v>
      </c>
      <c r="E15" s="44">
        <v>22.46833737537052</v>
      </c>
      <c r="F15" s="45">
        <v>19830.554567502022</v>
      </c>
      <c r="G15" s="12">
        <v>3281</v>
      </c>
      <c r="H15" s="2">
        <v>3229</v>
      </c>
      <c r="I15" s="13">
        <f t="shared" si="1"/>
        <v>98.415117342273689</v>
      </c>
      <c r="J15" s="13">
        <v>21.306607275426874</v>
      </c>
      <c r="K15" s="21">
        <v>20639.710467706012</v>
      </c>
    </row>
    <row r="16" spans="1:11" s="4" customFormat="1" ht="16.5" customHeight="1">
      <c r="A16" s="11" t="s">
        <v>20</v>
      </c>
      <c r="B16" s="43">
        <v>2994</v>
      </c>
      <c r="C16" s="43">
        <v>2994</v>
      </c>
      <c r="D16" s="44">
        <f t="shared" si="0"/>
        <v>100</v>
      </c>
      <c r="E16" s="44">
        <v>28.513254551261575</v>
      </c>
      <c r="F16" s="45">
        <v>26464.29207920792</v>
      </c>
      <c r="G16" s="12">
        <v>4874</v>
      </c>
      <c r="H16" s="2">
        <v>3247</v>
      </c>
      <c r="I16" s="13">
        <f t="shared" si="1"/>
        <v>66.618793598686906</v>
      </c>
      <c r="J16" s="13">
        <v>22.49308755760369</v>
      </c>
      <c r="K16" s="21">
        <v>22640.867142857143</v>
      </c>
    </row>
    <row r="17" spans="1:25" s="4" customFormat="1" ht="16.5" customHeight="1">
      <c r="A17" s="11" t="s">
        <v>21</v>
      </c>
      <c r="B17" s="43">
        <v>3028</v>
      </c>
      <c r="C17" s="43">
        <v>3028</v>
      </c>
      <c r="D17" s="44">
        <f t="shared" si="0"/>
        <v>100</v>
      </c>
      <c r="E17" s="44">
        <v>31.842966194111234</v>
      </c>
      <c r="F17" s="45">
        <v>28926.150490730644</v>
      </c>
      <c r="G17" s="12">
        <v>3322</v>
      </c>
      <c r="H17" s="2">
        <v>3322</v>
      </c>
      <c r="I17" s="13">
        <f t="shared" si="1"/>
        <v>100</v>
      </c>
      <c r="J17" s="13">
        <v>26.638694638694638</v>
      </c>
      <c r="K17" s="21">
        <v>26548.123076923075</v>
      </c>
    </row>
    <row r="18" spans="1:25" s="4" customFormat="1" ht="16.5" customHeight="1">
      <c r="A18" s="14" t="s">
        <v>22</v>
      </c>
      <c r="B18" s="16">
        <v>3078</v>
      </c>
      <c r="C18" s="16">
        <v>3078</v>
      </c>
      <c r="D18" s="17">
        <f t="shared" si="0"/>
        <v>100</v>
      </c>
      <c r="E18" s="17">
        <v>29.696482292318233</v>
      </c>
      <c r="F18" s="46">
        <v>28335.78947368421</v>
      </c>
      <c r="G18" s="15">
        <v>3356</v>
      </c>
      <c r="H18" s="16">
        <v>3356</v>
      </c>
      <c r="I18" s="17">
        <f t="shared" si="1"/>
        <v>100</v>
      </c>
      <c r="J18" s="17">
        <v>24.865770370688544</v>
      </c>
      <c r="K18" s="22">
        <v>25869.352862849533</v>
      </c>
    </row>
    <row r="19" spans="1:25" ht="19.5" customHeight="1">
      <c r="A19" s="1" t="s">
        <v>26</v>
      </c>
      <c r="B19" s="23"/>
      <c r="C19" s="23"/>
      <c r="D19" s="23"/>
      <c r="E19" s="23"/>
      <c r="F19" s="23"/>
      <c r="G19" s="23"/>
      <c r="H19" s="23"/>
      <c r="I19" s="23"/>
      <c r="J19" s="23"/>
      <c r="K19" s="28" t="s">
        <v>27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1.25" customHeight="1">
      <c r="A20" s="26" t="s">
        <v>23</v>
      </c>
    </row>
    <row r="21" spans="1:25" ht="11.25" customHeight="1">
      <c r="A21" s="27" t="s">
        <v>24</v>
      </c>
    </row>
    <row r="22" spans="1:25" ht="18.75" customHeight="1">
      <c r="A22" s="18"/>
    </row>
    <row r="23" spans="1:25" ht="18.75" customHeight="1">
      <c r="A23" s="18"/>
    </row>
    <row r="24" spans="1:25" ht="18.75" customHeight="1">
      <c r="A24" s="18"/>
    </row>
    <row r="25" spans="1:25" ht="18.75" customHeight="1">
      <c r="A25" s="18"/>
    </row>
    <row r="26" spans="1:25" ht="18.75" customHeight="1">
      <c r="A26" s="18"/>
    </row>
    <row r="27" spans="1:25" ht="18.75" customHeight="1">
      <c r="A27" s="18"/>
    </row>
    <row r="28" spans="1:25" ht="18.75" customHeight="1">
      <c r="A28" s="18"/>
    </row>
    <row r="29" spans="1:25" ht="18.75" customHeight="1">
      <c r="A29" s="18"/>
    </row>
    <row r="30" spans="1:25" ht="18.75" customHeight="1">
      <c r="A30" s="18"/>
    </row>
    <row r="31" spans="1:25" ht="9.75" customHeight="1">
      <c r="A31" s="18"/>
    </row>
    <row r="32" spans="1:25" ht="18.75" customHeight="1">
      <c r="A32" s="18"/>
    </row>
    <row r="33" spans="1:13" ht="18.75" customHeight="1">
      <c r="A33" s="18"/>
    </row>
    <row r="36" spans="1:13" ht="12.7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50" spans="2:13" ht="12.7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70" spans="15:15">
      <c r="O70" s="19"/>
    </row>
    <row r="71" spans="15:15">
      <c r="O71" s="19"/>
    </row>
  </sheetData>
  <mergeCells count="5">
    <mergeCell ref="A1:K1"/>
    <mergeCell ref="A2:K2"/>
    <mergeCell ref="G3:K3"/>
    <mergeCell ref="A3:A5"/>
    <mergeCell ref="B3:F3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2026-06-11T09:08:46Z</cp:lastPrinted>
  <dcterms:created xsi:type="dcterms:W3CDTF">2019-02-27T06:18:18Z</dcterms:created>
  <dcterms:modified xsi:type="dcterms:W3CDTF">2026-06-11T09:08:59Z</dcterms:modified>
</cp:coreProperties>
</file>