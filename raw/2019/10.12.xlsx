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Tourism\"/>
    </mc:Choice>
  </mc:AlternateContent>
  <bookViews>
    <workbookView xWindow="0" yWindow="0" windowWidth="28800" windowHeight="12330" tabRatio="829"/>
  </bookViews>
  <sheets>
    <sheet name="10.12" sheetId="12" r:id="rId1"/>
  </sheets>
  <externalReferences>
    <externalReference r:id="rId2"/>
  </externalReferences>
  <definedNames>
    <definedName name="_xlnm.Print_Area" localSheetId="0">'10.12'!$A$1:$J$62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6" i="12" l="1"/>
  <c r="AA45" i="12" l="1"/>
  <c r="Y27" i="12"/>
  <c r="Y45" i="12" s="1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Z45" i="12" l="1"/>
  <c r="G5" i="12"/>
  <c r="H6" i="12" s="1"/>
  <c r="F5" i="12"/>
  <c r="E5" i="12"/>
  <c r="D5" i="12"/>
  <c r="C5" i="12"/>
  <c r="B5" i="12"/>
  <c r="H8" i="12" l="1"/>
  <c r="H16" i="12"/>
  <c r="H24" i="12"/>
  <c r="H10" i="12"/>
  <c r="H18" i="12"/>
  <c r="H5" i="12"/>
  <c r="H19" i="12"/>
  <c r="H9" i="12"/>
  <c r="H17" i="12"/>
  <c r="H11" i="12"/>
  <c r="H12" i="12"/>
  <c r="H20" i="12"/>
  <c r="H13" i="12"/>
  <c r="H21" i="12"/>
  <c r="H14" i="12"/>
  <c r="H22" i="12"/>
  <c r="H7" i="12"/>
  <c r="H15" i="12"/>
  <c r="H23" i="12"/>
</calcChain>
</file>

<file path=xl/sharedStrings.xml><?xml version="1.0" encoding="utf-8"?>
<sst xmlns="http://schemas.openxmlformats.org/spreadsheetml/2006/main" count="72" uniqueCount="68">
  <si>
    <t>ޖުމްލަ</t>
  </si>
  <si>
    <t>-</t>
  </si>
  <si>
    <t>Source: Ministry of Tourism</t>
  </si>
  <si>
    <t>cmwzirUT cfoa  IrcTcsinim :ctWrwf ivcaed utWmUluAwm</t>
  </si>
  <si>
    <t>Resorts</t>
  </si>
  <si>
    <t>Bed Capacity</t>
  </si>
  <si>
    <t xml:space="preserve">% Share </t>
  </si>
  <si>
    <t>in 2018</t>
  </si>
  <si>
    <t>އަތޮޅުތައް</t>
  </si>
  <si>
    <t>All Resorts ( include marinas)</t>
  </si>
  <si>
    <t>North Thiladhunmathi Atoll (HA)</t>
  </si>
  <si>
    <t>ތިލަދުންމަތި އުތުރުބުރި (ހއ)</t>
  </si>
  <si>
    <t>South Thiladhunmathi Atoll (H.Dh)</t>
  </si>
  <si>
    <t>North Miladhunmadulu Atoll (Sh)</t>
  </si>
  <si>
    <t>މިލަދުންމަޑޫލު އުތުރުބުރި (ށ)</t>
  </si>
  <si>
    <t>South Miladhunmadulu Atoll (N)</t>
  </si>
  <si>
    <t>މިލަދުންމަޑޫލު ދެކުނުބުރި (ނ)</t>
  </si>
  <si>
    <t>North Maalhosmadulu (R)</t>
  </si>
  <si>
    <t>މާޅޮސްމަޑުލު އުތުރުބުރި (ރ)</t>
  </si>
  <si>
    <t>South Maalhosmadulu (B)</t>
  </si>
  <si>
    <t>މާޅޮސްމަޑުލު ދެކުނުބުރި (ބ)</t>
  </si>
  <si>
    <t>Faadhippolhu (Lh)</t>
  </si>
  <si>
    <t>ފާދިއްޕޮޅު (ޅ)</t>
  </si>
  <si>
    <t>Male' Atoll (K)</t>
  </si>
  <si>
    <t>މާލެ އަތޮޅު (ކ)</t>
  </si>
  <si>
    <t>North Ari Atoll (AA)</t>
  </si>
  <si>
    <t>އަރިއަތޮޅު އުތުރުބުރި (އއ)</t>
  </si>
  <si>
    <t>South Ari Atoll (ADh)</t>
  </si>
  <si>
    <t>އަރިއަތޮޅު ދެކުނުބުރި (އދ)</t>
  </si>
  <si>
    <t>Felidhu Atoll (V)</t>
  </si>
  <si>
    <t>ފެލިދެ އަތޮޅު (ވ)</t>
  </si>
  <si>
    <t>Mulakatholhu (M)</t>
  </si>
  <si>
    <t>މުލަކަތޮޅު (މ)</t>
  </si>
  <si>
    <t>North Nilandhe Atoll (F)</t>
  </si>
  <si>
    <t>ނިލަންދެ އަތޮޅު އުތުރުބުރި (ފ)</t>
  </si>
  <si>
    <t>South Nilandhe Atoll (D)</t>
  </si>
  <si>
    <t>ނިލަންދެ އަތޮޅު ދެކުނުބުރި (ދ)</t>
  </si>
  <si>
    <t>Thaa Atoll (Th)</t>
  </si>
  <si>
    <t>ކޮޅުމަޑުލު (ތ)</t>
  </si>
  <si>
    <t>Laamu Atoll (L)</t>
  </si>
  <si>
    <t>ހައްދުންމަތި (ލ)</t>
  </si>
  <si>
    <t>North Huvadhu Atoll (GA)</t>
  </si>
  <si>
    <t>ހުވަދު އަތޮޅު އުތުރުބުރި (ގއ)</t>
  </si>
  <si>
    <t>South Huvadhu Atoll (GDh)</t>
  </si>
  <si>
    <t>ހުވަދު އަތޮޅު ދެކުނުބުރި (ގދ)</t>
  </si>
  <si>
    <t>Addu Atoll (S)</t>
  </si>
  <si>
    <t>އައްޑު އަތޮޅު (ސ)</t>
  </si>
  <si>
    <t>HA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</si>
  <si>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</si>
  <si>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</si>
  <si>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</si>
  <si>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</si>
  <si>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</si>
  <si>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</si>
  <si>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</si>
  <si>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</si>
  <si>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</si>
  <si>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</si>
  <si>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</si>
  <si>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</t>
  </si>
  <si>
    <t>Th</t>
  </si>
  <si>
    <t>L</t>
  </si>
  <si>
    <t>GA</t>
  </si>
  <si>
    <t>GDh</t>
  </si>
  <si>
    <t>S</t>
  </si>
  <si>
    <t>ތާވަލު 10.12: ރިސޯޓުތަކުގެ އެނދުގެ ޖާގަ އަތޮޅުތަކަށް ބެހިފައިވާ ގޮތް، 2013 - 2018</t>
  </si>
  <si>
    <t>Table 10.12 :   BED CAPACITY OF TOURIST RESORTS BY ATOLL, 2013 - 2018</t>
  </si>
  <si>
    <t>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</si>
</sst>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9"/>
      <color theme="1"/>
      <name val="A_Randhoo"/>
    </font>
    <font>
      <i/>
      <sz val="9"/>
      <color theme="1"/>
      <name val="Arial"/>
      <family val="2"/>
    </font>
    <font>
      <sz val="10"/>
      <color theme="1"/>
      <name val="Faruma"/>
    </font>
    <font>
      <sz val="10"/>
      <color theme="1"/>
      <name val="Times New Roman"/>
      <family val="1"/>
    </font>
    <font>
      <i/>
      <sz val="10"/>
      <color theme="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dotted">
        <color theme="1"/>
      </bottom>
      <diagonal/>
    </border>
    <border>
      <left/>
      <right/>
      <top style="thin">
        <color indexed="64"/>
      </top>
      <bottom style="dotted">
        <color theme="1"/>
      </bottom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</cellStyleXfs>
  <cellXfs count="83">
    <xf numFmtId="0" fontId="0" fillId="0" borderId="0" xfId="0"/>
    <xf numFmtId="3" fontId="5" fillId="2" borderId="0" xfId="2" applyNumberFormat="1" applyFont="1" applyFill="1" applyBorder="1" applyAlignment="1" applyProtection="1">
      <alignment horizontal="right" vertical="center"/>
      <protection locked="0"/>
    </xf>
    <xf numFmtId="0" fontId="11" fillId="2" borderId="0" xfId="0" applyFont="1" applyFill="1" applyBorder="1" applyAlignment="1">
      <alignment horizontal="right" vertical="center"/>
    </xf>
    <xf numFmtId="0" fontId="8" fillId="2" borderId="2" xfId="2" applyFont="1" applyFill="1" applyBorder="1"/>
    <xf numFmtId="0" fontId="8" fillId="2" borderId="3" xfId="2" applyFont="1" applyFill="1" applyBorder="1"/>
    <xf numFmtId="0" fontId="4" fillId="2" borderId="13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right"/>
    </xf>
    <xf numFmtId="0" fontId="8" fillId="2" borderId="6" xfId="2" applyFont="1" applyFill="1" applyBorder="1"/>
    <xf numFmtId="0" fontId="8" fillId="2" borderId="0" xfId="2" applyFont="1" applyFill="1" applyBorder="1"/>
    <xf numFmtId="0" fontId="8" fillId="2" borderId="8" xfId="2" applyFont="1" applyFill="1" applyBorder="1"/>
    <xf numFmtId="1" fontId="4" fillId="2" borderId="14" xfId="2" applyNumberFormat="1" applyFont="1" applyFill="1" applyBorder="1" applyAlignment="1">
      <alignment vertical="center"/>
    </xf>
    <xf numFmtId="1" fontId="4" fillId="2" borderId="14" xfId="2" applyNumberFormat="1" applyFont="1" applyFill="1" applyBorder="1" applyAlignment="1">
      <alignment horizontal="right" vertical="center"/>
    </xf>
    <xf numFmtId="0" fontId="4" fillId="2" borderId="15" xfId="2" applyFont="1" applyFill="1" applyBorder="1" applyAlignment="1">
      <alignment horizontal="center" vertical="center"/>
    </xf>
    <xf numFmtId="0" fontId="6" fillId="2" borderId="15" xfId="2" applyFont="1" applyFill="1" applyBorder="1" applyAlignment="1" applyProtection="1">
      <alignment horizontal="right" vertical="center"/>
    </xf>
    <xf numFmtId="0" fontId="4" fillId="2" borderId="1" xfId="2" applyFont="1" applyFill="1" applyBorder="1" applyAlignment="1" applyProtection="1">
      <alignment horizontal="left" vertical="center"/>
    </xf>
    <xf numFmtId="3" fontId="4" fillId="2" borderId="1" xfId="2" applyNumberFormat="1" applyFont="1" applyFill="1" applyBorder="1" applyAlignment="1">
      <alignment horizontal="right" vertical="center"/>
    </xf>
    <xf numFmtId="3" fontId="4" fillId="2" borderId="1" xfId="2" applyNumberFormat="1" applyFont="1" applyFill="1" applyBorder="1" applyAlignment="1">
      <alignment horizontal="center" vertical="center"/>
    </xf>
    <xf numFmtId="0" fontId="6" fillId="2" borderId="1" xfId="2" applyFont="1" applyFill="1" applyBorder="1" applyAlignment="1" applyProtection="1">
      <alignment horizontal="right" vertical="center"/>
    </xf>
    <xf numFmtId="0" fontId="8" fillId="2" borderId="2" xfId="2" applyFont="1" applyFill="1" applyBorder="1" applyAlignment="1">
      <alignment vertical="center"/>
    </xf>
    <xf numFmtId="0" fontId="8" fillId="2" borderId="6" xfId="2" applyFont="1" applyFill="1" applyBorder="1" applyAlignment="1">
      <alignment vertical="center"/>
    </xf>
    <xf numFmtId="0" fontId="8" fillId="2" borderId="0" xfId="2" applyFont="1" applyFill="1" applyBorder="1" applyAlignment="1">
      <alignment vertical="center"/>
    </xf>
    <xf numFmtId="0" fontId="5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right" vertical="center"/>
    </xf>
    <xf numFmtId="3" fontId="5" fillId="2" borderId="2" xfId="2" applyNumberFormat="1" applyFont="1" applyFill="1" applyBorder="1" applyAlignment="1">
      <alignment horizontal="center" vertical="center"/>
    </xf>
    <xf numFmtId="0" fontId="13" fillId="2" borderId="2" xfId="2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vertical="center"/>
    </xf>
    <xf numFmtId="3" fontId="14" fillId="2" borderId="0" xfId="0" applyNumberFormat="1" applyFont="1" applyFill="1" applyBorder="1"/>
    <xf numFmtId="0" fontId="5" fillId="2" borderId="0" xfId="2" applyFont="1" applyFill="1" applyBorder="1" applyAlignment="1">
      <alignment vertical="center"/>
    </xf>
    <xf numFmtId="3" fontId="5" fillId="2" borderId="0" xfId="2" applyNumberFormat="1" applyFont="1" applyFill="1" applyBorder="1" applyAlignment="1">
      <alignment horizontal="right" vertical="center"/>
    </xf>
    <xf numFmtId="0" fontId="13" fillId="2" borderId="2" xfId="2" applyFont="1" applyFill="1" applyBorder="1" applyAlignment="1" applyProtection="1">
      <alignment horizontal="right" vertical="center"/>
    </xf>
    <xf numFmtId="0" fontId="5" fillId="2" borderId="2" xfId="2" applyFont="1" applyFill="1" applyBorder="1" applyAlignment="1" applyProtection="1">
      <alignment horizontal="left" vertical="center"/>
    </xf>
    <xf numFmtId="0" fontId="7" fillId="2" borderId="2" xfId="2" applyFont="1" applyFill="1" applyBorder="1" applyAlignment="1">
      <alignment vertical="center"/>
    </xf>
    <xf numFmtId="0" fontId="7" fillId="2" borderId="6" xfId="2" applyFont="1" applyFill="1" applyBorder="1" applyAlignment="1">
      <alignment vertical="center"/>
    </xf>
    <xf numFmtId="0" fontId="7" fillId="2" borderId="0" xfId="2" applyFont="1" applyFill="1" applyBorder="1" applyAlignment="1">
      <alignment vertical="center"/>
    </xf>
    <xf numFmtId="0" fontId="5" fillId="2" borderId="0" xfId="2" applyFont="1" applyFill="1" applyBorder="1" applyAlignment="1" applyProtection="1">
      <alignment horizontal="left" vertical="center"/>
    </xf>
    <xf numFmtId="3" fontId="5" fillId="2" borderId="2" xfId="2" applyNumberFormat="1" applyFont="1" applyFill="1" applyBorder="1" applyAlignment="1" applyProtection="1">
      <alignment horizontal="right" vertical="center"/>
      <protection locked="0"/>
    </xf>
    <xf numFmtId="0" fontId="5" fillId="2" borderId="3" xfId="2" applyFont="1" applyFill="1" applyBorder="1" applyAlignment="1">
      <alignment horizontal="left" vertical="center"/>
    </xf>
    <xf numFmtId="3" fontId="5" fillId="2" borderId="3" xfId="2" applyNumberFormat="1" applyFont="1" applyFill="1" applyBorder="1" applyAlignment="1">
      <alignment horizontal="right" vertical="center"/>
    </xf>
    <xf numFmtId="0" fontId="13" fillId="2" borderId="3" xfId="2" applyFont="1" applyFill="1" applyBorder="1" applyAlignment="1" applyProtection="1">
      <alignment horizontal="right" vertical="center"/>
    </xf>
    <xf numFmtId="0" fontId="8" fillId="2" borderId="3" xfId="2" applyFont="1" applyFill="1" applyBorder="1" applyAlignment="1">
      <alignment vertical="center"/>
    </xf>
    <xf numFmtId="0" fontId="8" fillId="2" borderId="16" xfId="2" applyFont="1" applyFill="1" applyBorder="1" applyAlignment="1">
      <alignment vertical="center"/>
    </xf>
    <xf numFmtId="0" fontId="5" fillId="2" borderId="0" xfId="2" applyFont="1" applyFill="1" applyBorder="1" applyAlignment="1">
      <alignment horizontal="left" vertical="center"/>
    </xf>
    <xf numFmtId="0" fontId="13" fillId="2" borderId="1" xfId="2" applyFont="1" applyFill="1" applyBorder="1" applyAlignment="1" applyProtection="1">
      <alignment horizontal="right" vertical="center"/>
    </xf>
    <xf numFmtId="0" fontId="13" fillId="2" borderId="0" xfId="2" applyFont="1" applyFill="1" applyBorder="1" applyAlignment="1" applyProtection="1">
      <alignment horizontal="right" vertical="center"/>
    </xf>
    <xf numFmtId="0" fontId="5" fillId="2" borderId="1" xfId="2" applyFont="1" applyFill="1" applyBorder="1" applyAlignment="1">
      <alignment horizontal="left" vertical="center"/>
    </xf>
    <xf numFmtId="3" fontId="5" fillId="2" borderId="1" xfId="2" applyNumberFormat="1" applyFont="1" applyFill="1" applyBorder="1" applyAlignment="1">
      <alignment horizontal="right" vertical="center"/>
    </xf>
    <xf numFmtId="0" fontId="8" fillId="2" borderId="1" xfId="2" applyFont="1" applyFill="1" applyBorder="1" applyAlignment="1">
      <alignment vertical="center"/>
    </xf>
    <xf numFmtId="0" fontId="8" fillId="2" borderId="4" xfId="2" applyFont="1" applyFill="1" applyBorder="1" applyAlignment="1">
      <alignment vertical="center"/>
    </xf>
    <xf numFmtId="0" fontId="5" fillId="2" borderId="15" xfId="2" applyFont="1" applyFill="1" applyBorder="1" applyAlignment="1">
      <alignment horizontal="left" vertical="center"/>
    </xf>
    <xf numFmtId="3" fontId="5" fillId="2" borderId="15" xfId="2" applyNumberFormat="1" applyFont="1" applyFill="1" applyBorder="1" applyAlignment="1">
      <alignment horizontal="right" vertical="center"/>
    </xf>
    <xf numFmtId="3" fontId="5" fillId="2" borderId="15" xfId="2" applyNumberFormat="1" applyFont="1" applyFill="1" applyBorder="1" applyAlignment="1">
      <alignment horizontal="center" vertical="center"/>
    </xf>
    <xf numFmtId="0" fontId="13" fillId="2" borderId="15" xfId="2" applyFont="1" applyFill="1" applyBorder="1" applyAlignment="1">
      <alignment horizontal="right" vertical="center"/>
    </xf>
    <xf numFmtId="0" fontId="3" fillId="2" borderId="2" xfId="2" applyFont="1" applyFill="1" applyBorder="1" applyAlignment="1" applyProtection="1">
      <alignment horizontal="left" vertical="center"/>
    </xf>
    <xf numFmtId="0" fontId="12" fillId="2" borderId="2" xfId="2" applyFont="1" applyFill="1" applyBorder="1" applyAlignment="1" applyProtection="1">
      <alignment horizontal="left" vertical="center"/>
    </xf>
    <xf numFmtId="0" fontId="12" fillId="2" borderId="1" xfId="2" applyFont="1" applyFill="1" applyBorder="1" applyAlignment="1" applyProtection="1">
      <alignment horizontal="left" vertical="center"/>
    </xf>
    <xf numFmtId="0" fontId="15" fillId="2" borderId="2" xfId="2" applyFont="1" applyFill="1" applyBorder="1"/>
    <xf numFmtId="3" fontId="8" fillId="2" borderId="2" xfId="2" applyNumberFormat="1" applyFont="1" applyFill="1" applyBorder="1"/>
    <xf numFmtId="3" fontId="7" fillId="2" borderId="0" xfId="2" applyNumberFormat="1" applyFont="1" applyFill="1" applyBorder="1" applyAlignment="1">
      <alignment horizontal="right" vertical="center"/>
    </xf>
    <xf numFmtId="3" fontId="4" fillId="2" borderId="0" xfId="2" applyNumberFormat="1" applyFont="1" applyFill="1" applyBorder="1" applyAlignment="1" applyProtection="1">
      <alignment horizontal="right" vertical="center"/>
      <protection locked="0"/>
    </xf>
    <xf numFmtId="0" fontId="9" fillId="2" borderId="6" xfId="2" applyFont="1" applyFill="1" applyBorder="1" applyAlignment="1">
      <alignment horizontal="center"/>
    </xf>
    <xf numFmtId="0" fontId="9" fillId="2" borderId="7" xfId="2" applyFont="1" applyFill="1" applyBorder="1" applyAlignment="1">
      <alignment horizontal="center"/>
    </xf>
    <xf numFmtId="0" fontId="9" fillId="2" borderId="8" xfId="2" applyFont="1" applyFill="1" applyBorder="1" applyAlignment="1">
      <alignment horizontal="center"/>
    </xf>
    <xf numFmtId="0" fontId="10" fillId="2" borderId="3" xfId="2" applyFont="1" applyFill="1" applyBorder="1" applyAlignment="1" applyProtection="1">
      <alignment horizontal="center" vertical="center" wrapText="1"/>
    </xf>
    <xf numFmtId="0" fontId="4" fillId="2" borderId="9" xfId="2" applyFont="1" applyFill="1" applyBorder="1" applyAlignment="1" applyProtection="1">
      <alignment horizontal="center" vertical="center"/>
    </xf>
    <xf numFmtId="0" fontId="4" fillId="2" borderId="14" xfId="2" applyFont="1" applyFill="1" applyBorder="1" applyAlignment="1" applyProtection="1">
      <alignment horizontal="center" vertical="center"/>
    </xf>
    <xf numFmtId="0" fontId="4" fillId="2" borderId="10" xfId="2" applyFont="1" applyFill="1" applyBorder="1" applyAlignment="1">
      <alignment horizontal="center" vertical="center" wrapText="1"/>
    </xf>
    <xf numFmtId="0" fontId="4" fillId="2" borderId="11" xfId="2" applyFont="1" applyFill="1" applyBorder="1" applyAlignment="1">
      <alignment horizontal="center" vertical="center" wrapText="1"/>
    </xf>
    <xf numFmtId="0" fontId="4" fillId="2" borderId="12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vertical="center"/>
    </xf>
    <xf numFmtId="0" fontId="7" fillId="2" borderId="8" xfId="2" applyFont="1" applyFill="1" applyBorder="1" applyAlignment="1">
      <alignment vertical="center"/>
    </xf>
    <xf numFmtId="0" fontId="8" fillId="2" borderId="17" xfId="2" applyFont="1" applyFill="1" applyBorder="1" applyAlignment="1">
      <alignment vertical="center"/>
    </xf>
    <xf numFmtId="0" fontId="8" fillId="2" borderId="5" xfId="2" applyFont="1" applyFill="1" applyBorder="1" applyAlignment="1">
      <alignment vertical="center"/>
    </xf>
    <xf numFmtId="1" fontId="8" fillId="2" borderId="0" xfId="2" applyNumberFormat="1" applyFont="1" applyFill="1" applyBorder="1"/>
    <xf numFmtId="0" fontId="14" fillId="2" borderId="0" xfId="0" applyFont="1" applyFill="1" applyBorder="1"/>
    <xf numFmtId="166" fontId="8" fillId="2" borderId="0" xfId="1" applyNumberFormat="1" applyFont="1" applyFill="1" applyBorder="1"/>
    <xf numFmtId="0" fontId="8" fillId="2" borderId="0" xfId="0" applyFont="1" applyFill="1" applyBorder="1"/>
    <xf numFmtId="0" fontId="8" fillId="2" borderId="16" xfId="2" applyFont="1" applyFill="1" applyBorder="1"/>
    <xf numFmtId="0" fontId="8" fillId="2" borderId="1" xfId="2" applyFont="1" applyFill="1" applyBorder="1"/>
    <xf numFmtId="0" fontId="8" fillId="2" borderId="4" xfId="2" applyFont="1" applyFill="1" applyBorder="1"/>
    <xf numFmtId="0" fontId="16" fillId="2" borderId="0" xfId="2" applyFont="1" applyFill="1" applyBorder="1" applyAlignment="1">
      <alignment horizontal="center"/>
    </xf>
    <xf numFmtId="0" fontId="8" fillId="2" borderId="17" xfId="2" applyFont="1" applyFill="1" applyBorder="1"/>
    <xf numFmtId="0" fontId="8" fillId="2" borderId="5" xfId="2" applyFont="1" applyFill="1" applyBorder="1"/>
    <xf numFmtId="0" fontId="16" fillId="2" borderId="0" xfId="2" applyFont="1" applyFill="1" applyBorder="1" applyAlignment="1">
      <alignment horizontal="center"/>
    </xf>
  </cellXfs>
  <cellStyles count="5">
    <cellStyle name="Comma" xfId="1" builtinId="3"/>
    <cellStyle name="Normal" xfId="0" builtinId="0"/>
    <cellStyle name="Normal 2" xfId="2"/>
    <cellStyle name="Normal 5 2" xfId="4"/>
    <cellStyle name="Percent 2 2" xfId="3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onsolas" panose="020B0609020204030204" pitchFamily="49" charset="0"/>
                <a:cs typeface="Consolas" pitchFamily="49" charset="0"/>
              </a:rPr>
              <a:t>Figure 10.18: Number of resorts by Atoll, 2017-2018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87517185351831E-2"/>
          <c:y val="0.15104465600336545"/>
          <c:w val="0.88651527934008245"/>
          <c:h val="0.6908977841184487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'10.12'!$Z$25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60-4D1B-A849-57DBE4C578D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60-4D1B-A849-57DBE4C578D3}"/>
                </c:ext>
              </c:extLst>
            </c:dLbl>
            <c:dLbl>
              <c:idx val="7"/>
              <c:layout>
                <c:manualLayout>
                  <c:x val="0"/>
                  <c:y val="2.78393893747791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D60-4D1B-A849-57DBE4C578D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60-4D1B-A849-57DBE4C578D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60-4D1B-A849-57DBE4C578D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D60-4D1B-A849-57DBE4C578D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D60-4D1B-A849-57DBE4C578D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D60-4D1B-A849-57DBE4C578D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60-4D1B-A849-57DBE4C578D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D60-4D1B-A849-57DBE4C578D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D60-4D1B-A849-57DBE4C578D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D60-4D1B-A849-57DBE4C578D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D60-4D1B-A849-57DBE4C578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'10.12'!$X$26:$X$44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'10.12'!$Z$26:$Z$44</c:f>
              <c:numCache>
                <c:formatCode>General</c:formatCode>
                <c:ptCount val="19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6</c:v>
                </c:pt>
                <c:pt idx="5">
                  <c:v>13</c:v>
                </c:pt>
                <c:pt idx="6">
                  <c:v>8</c:v>
                </c:pt>
                <c:pt idx="7">
                  <c:v>45</c:v>
                </c:pt>
                <c:pt idx="8">
                  <c:v>13</c:v>
                </c:pt>
                <c:pt idx="9">
                  <c:v>17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6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1-43F7-9F72-1F51BD755BD6}"/>
            </c:ext>
          </c:extLst>
        </c:ser>
        <c:ser>
          <c:idx val="0"/>
          <c:order val="1"/>
          <c:tx>
            <c:strRef>
              <c:f>'10.12'!$AA$25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60-4D1B-A849-57DBE4C578D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60-4D1B-A849-57DBE4C578D3}"/>
                </c:ext>
              </c:extLst>
            </c:dLbl>
            <c:dLbl>
              <c:idx val="7"/>
              <c:layout>
                <c:manualLayout>
                  <c:x val="0"/>
                  <c:y val="2.31994911456493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D60-4D1B-A849-57DBE4C578D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D60-4D1B-A849-57DBE4C578D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60-4D1B-A849-57DBE4C578D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60-4D1B-A849-57DBE4C578D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D60-4D1B-A849-57DBE4C578D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D60-4D1B-A849-57DBE4C578D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D60-4D1B-A849-57DBE4C578D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D60-4D1B-A849-57DBE4C578D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D60-4D1B-A849-57DBE4C578D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D60-4D1B-A849-57DBE4C578D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D60-4D1B-A849-57DBE4C578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Humanst521 Lt BT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'10.12'!$X$26:$X$44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'10.12'!$AA$26:$AA$44</c:f>
              <c:numCache>
                <c:formatCode>General</c:formatCode>
                <c:ptCount val="1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8</c:v>
                </c:pt>
                <c:pt idx="5">
                  <c:v>15</c:v>
                </c:pt>
                <c:pt idx="6">
                  <c:v>9</c:v>
                </c:pt>
                <c:pt idx="7">
                  <c:v>47</c:v>
                </c:pt>
                <c:pt idx="8">
                  <c:v>13</c:v>
                </c:pt>
                <c:pt idx="9">
                  <c:v>17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7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0-4D1B-A849-57DBE4C57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57535744"/>
        <c:axId val="357536304"/>
      </c:barChart>
      <c:catAx>
        <c:axId val="3575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57536304"/>
        <c:crosses val="autoZero"/>
        <c:auto val="1"/>
        <c:lblAlgn val="ctr"/>
        <c:lblOffset val="100"/>
        <c:noMultiLvlLbl val="0"/>
      </c:catAx>
      <c:valAx>
        <c:axId val="357536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7213056972832878E-3"/>
              <c:y val="0.342565616797900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57535744"/>
        <c:crosses val="autoZero"/>
        <c:crossBetween val="between"/>
      </c:valAx>
      <c:spPr>
        <a:solidFill>
          <a:srgbClr val="FFFFEB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100" b="1" i="0" baseline="0">
                <a:latin typeface="Consolas" panose="020B0609020204030204" pitchFamily="49" charset="0"/>
                <a:cs typeface="Consolas" pitchFamily="49" charset="0"/>
              </a:rPr>
              <a:t>Figure 10.19: Number of registered beds of tourist resorts by Atolls, 2018  </a:t>
            </a:r>
            <a:endParaRPr lang="en-US" sz="1100" b="1">
              <a:latin typeface="Consolas" panose="020B0609020204030204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9387527436263446"/>
          <c:y val="3.7449652126817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88201474815648"/>
          <c:y val="0.1600313294171562"/>
          <c:w val="0.85448928258967627"/>
          <c:h val="0.674019947506563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'10.12'!$X$26:$X$44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'10.12'!$Y$26:$Y$44</c:f>
              <c:numCache>
                <c:formatCode>_(* #,##0_);_(* \(#,##0\);_(* "-"??_);_(@_)</c:formatCode>
                <c:ptCount val="19"/>
                <c:pt idx="0">
                  <c:v>594</c:v>
                </c:pt>
                <c:pt idx="1">
                  <c:v>118</c:v>
                </c:pt>
                <c:pt idx="2">
                  <c:v>227</c:v>
                </c:pt>
                <c:pt idx="3">
                  <c:v>1388</c:v>
                </c:pt>
                <c:pt idx="4">
                  <c:v>1960</c:v>
                </c:pt>
                <c:pt idx="5">
                  <c:v>2882</c:v>
                </c:pt>
                <c:pt idx="6">
                  <c:v>2284</c:v>
                </c:pt>
                <c:pt idx="7">
                  <c:v>10568</c:v>
                </c:pt>
                <c:pt idx="8">
                  <c:v>2488</c:v>
                </c:pt>
                <c:pt idx="9">
                  <c:v>4056</c:v>
                </c:pt>
                <c:pt idx="10">
                  <c:v>434</c:v>
                </c:pt>
                <c:pt idx="11">
                  <c:v>400</c:v>
                </c:pt>
                <c:pt idx="12">
                  <c:v>250</c:v>
                </c:pt>
                <c:pt idx="13">
                  <c:v>1754</c:v>
                </c:pt>
                <c:pt idx="14">
                  <c:v>152</c:v>
                </c:pt>
                <c:pt idx="15">
                  <c:v>194</c:v>
                </c:pt>
                <c:pt idx="16">
                  <c:v>616</c:v>
                </c:pt>
                <c:pt idx="17">
                  <c:v>550</c:v>
                </c:pt>
                <c:pt idx="18">
                  <c:v>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7-4497-9288-AE950A107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352325968"/>
        <c:axId val="352326528"/>
      </c:barChart>
      <c:catAx>
        <c:axId val="35232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52326528"/>
        <c:crosses val="autoZero"/>
        <c:auto val="1"/>
        <c:lblAlgn val="ctr"/>
        <c:lblOffset val="100"/>
        <c:noMultiLvlLbl val="0"/>
      </c:catAx>
      <c:valAx>
        <c:axId val="352326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547E-3"/>
              <c:y val="0.378545236992434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352325968"/>
        <c:crosses val="autoZero"/>
        <c:crossBetween val="between"/>
      </c:valAx>
      <c:spPr>
        <a:solidFill>
          <a:srgbClr val="FFFFEB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25</xdr:row>
      <xdr:rowOff>76200</xdr:rowOff>
    </xdr:from>
    <xdr:to>
      <xdr:col>8</xdr:col>
      <xdr:colOff>790575</xdr:colOff>
      <xdr:row>41</xdr:row>
      <xdr:rowOff>76200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866775</xdr:colOff>
      <xdr:row>42</xdr:row>
      <xdr:rowOff>95249</xdr:rowOff>
    </xdr:from>
    <xdr:to>
      <xdr:col>8</xdr:col>
      <xdr:colOff>771525</xdr:colOff>
      <xdr:row>61</xdr:row>
      <xdr:rowOff>19049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43</xdr:row>
      <xdr:rowOff>99060</xdr:rowOff>
    </xdr:from>
    <xdr:to>
      <xdr:col>1</xdr:col>
      <xdr:colOff>144780</xdr:colOff>
      <xdr:row>44</xdr:row>
      <xdr:rowOff>15240</xdr:rowOff>
    </xdr:to>
    <xdr:sp macro="" textlink="">
      <xdr:nvSpPr>
        <xdr:cNvPr id="4" name="Left Arrow 3"/>
        <xdr:cNvSpPr/>
      </xdr:nvSpPr>
      <xdr:spPr bwMode="auto">
        <a:xfrm>
          <a:off x="3411855" y="9243060"/>
          <a:ext cx="933450" cy="78105"/>
        </a:xfrm>
        <a:prstGeom prst="leftArrow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0.31532</cdr:x>
      <cdr:y>0.33428</cdr:y>
    </cdr:from>
    <cdr:to>
      <cdr:x>0.34384</cdr:x>
      <cdr:y>0.43343</cdr:y>
    </cdr:to>
    <cdr:sp macro="" textlink="">
      <cdr:nvSpPr>
        <cdr:cNvPr id="2" name="Left Arrow 1"/>
        <cdr:cNvSpPr/>
      </cdr:nvSpPr>
      <cdr:spPr bwMode="auto">
        <a:xfrm xmlns:a="http://schemas.openxmlformats.org/drawingml/2006/main">
          <a:off x="1600200" y="899160"/>
          <a:ext cx="144780" cy="266700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  <cell r="AD40">
            <v>70.654883803757457</v>
          </cell>
        </row>
        <row r="41">
          <cell r="AC41" t="str">
            <v>Hotels</v>
          </cell>
          <cell r="AD41">
            <v>4.1447778470305403</v>
          </cell>
        </row>
        <row r="42">
          <cell r="AC42" t="str">
            <v>Guest Houses</v>
          </cell>
          <cell r="AD42">
            <v>19.061080936693081</v>
          </cell>
        </row>
        <row r="43">
          <cell r="AC43" t="str">
            <v>Safari Vessels</v>
          </cell>
          <cell r="AD43">
            <v>6.139257412518921</v>
          </cell>
        </row>
        <row r="47">
          <cell r="AC47" t="str">
            <v>Resorts (including Marinas)</v>
          </cell>
          <cell r="AD47">
            <v>0.17575757575757575</v>
          </cell>
        </row>
        <row r="48">
          <cell r="AC48" t="str">
            <v>Hotels</v>
          </cell>
          <cell r="AD48">
            <v>1.4545454545454545E-2</v>
          </cell>
        </row>
        <row r="49">
          <cell r="AC49" t="str">
            <v>Guest Houses</v>
          </cell>
          <cell r="AD49">
            <v>0.63151515151515147</v>
          </cell>
        </row>
        <row r="50">
          <cell r="AC50" t="str">
            <v>Safari Vessels</v>
          </cell>
          <cell r="AD50">
            <v>0.17818181818181819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30063</v>
          </cell>
          <cell r="AF20">
            <v>29404</v>
          </cell>
        </row>
        <row r="21">
          <cell r="AD21" t="str">
            <v>Feb</v>
          </cell>
          <cell r="AE21">
            <v>30063</v>
          </cell>
          <cell r="AF21">
            <v>29160</v>
          </cell>
        </row>
        <row r="22">
          <cell r="AD22" t="str">
            <v>Mar</v>
          </cell>
          <cell r="AE22">
            <v>30181</v>
          </cell>
          <cell r="AF22">
            <v>29268</v>
          </cell>
        </row>
        <row r="23">
          <cell r="AD23" t="str">
            <v>Apr</v>
          </cell>
          <cell r="AE23">
            <v>30187</v>
          </cell>
          <cell r="AF23">
            <v>29334</v>
          </cell>
        </row>
        <row r="24">
          <cell r="AD24" t="str">
            <v>May</v>
          </cell>
          <cell r="AE24">
            <v>30187</v>
          </cell>
          <cell r="AF24">
            <v>28964</v>
          </cell>
        </row>
        <row r="25">
          <cell r="AD25" t="str">
            <v>Jun</v>
          </cell>
          <cell r="AE25">
            <v>30207</v>
          </cell>
          <cell r="AF25">
            <v>28910</v>
          </cell>
        </row>
        <row r="26">
          <cell r="AD26" t="str">
            <v>Jul</v>
          </cell>
          <cell r="AE26">
            <v>30207</v>
          </cell>
          <cell r="AF26">
            <v>28820</v>
          </cell>
        </row>
        <row r="27">
          <cell r="AD27" t="str">
            <v>Aug</v>
          </cell>
          <cell r="AE27">
            <v>30341</v>
          </cell>
          <cell r="AF27">
            <v>29044</v>
          </cell>
        </row>
        <row r="28">
          <cell r="AD28" t="str">
            <v>Sep</v>
          </cell>
          <cell r="AE28">
            <v>30823</v>
          </cell>
          <cell r="AF28">
            <v>29526</v>
          </cell>
        </row>
        <row r="29">
          <cell r="AD29" t="str">
            <v>Oct</v>
          </cell>
          <cell r="AE29">
            <v>30885</v>
          </cell>
          <cell r="AF29">
            <v>29588</v>
          </cell>
        </row>
        <row r="30">
          <cell r="AD30" t="str">
            <v>Nov</v>
          </cell>
          <cell r="AE30">
            <v>31423</v>
          </cell>
          <cell r="AF30">
            <v>30082</v>
          </cell>
        </row>
        <row r="31">
          <cell r="AD31" t="str">
            <v>Dec</v>
          </cell>
          <cell r="AE31">
            <v>31741</v>
          </cell>
          <cell r="AF31">
            <v>30438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  <cell r="C15">
            <v>60242</v>
          </cell>
          <cell r="D15">
            <v>58195</v>
          </cell>
          <cell r="E15">
            <v>54157</v>
          </cell>
          <cell r="F15">
            <v>57109</v>
          </cell>
          <cell r="G15">
            <v>45177</v>
          </cell>
          <cell r="H15">
            <v>40579</v>
          </cell>
          <cell r="I15">
            <v>54239</v>
          </cell>
          <cell r="J15">
            <v>57649</v>
          </cell>
          <cell r="K15">
            <v>51284</v>
          </cell>
          <cell r="L15">
            <v>61740</v>
          </cell>
          <cell r="M15">
            <v>57934</v>
          </cell>
          <cell r="N15">
            <v>68981</v>
          </cell>
        </row>
        <row r="16">
          <cell r="A16" t="str">
            <v>Female</v>
          </cell>
          <cell r="C16">
            <v>65094</v>
          </cell>
          <cell r="D16">
            <v>62857</v>
          </cell>
          <cell r="E16">
            <v>58508</v>
          </cell>
          <cell r="F16">
            <v>62665</v>
          </cell>
          <cell r="G16">
            <v>48314</v>
          </cell>
          <cell r="H16">
            <v>44643</v>
          </cell>
          <cell r="I16">
            <v>58936</v>
          </cell>
          <cell r="J16">
            <v>63661</v>
          </cell>
          <cell r="K16">
            <v>54700</v>
          </cell>
          <cell r="L16">
            <v>66246</v>
          </cell>
          <cell r="M16">
            <v>62572</v>
          </cell>
          <cell r="N16">
            <v>74060</v>
          </cell>
        </row>
        <row r="22">
          <cell r="Z22" t="str">
            <v>Jan</v>
          </cell>
          <cell r="AA22" t="str">
            <v>Feb</v>
          </cell>
          <cell r="AB22" t="str">
            <v>Mar</v>
          </cell>
          <cell r="AC22" t="str">
            <v>Apr</v>
          </cell>
          <cell r="AD22" t="str">
            <v>May</v>
          </cell>
          <cell r="AE22" t="str">
            <v>Jun</v>
          </cell>
          <cell r="AF22" t="str">
            <v>Jul</v>
          </cell>
          <cell r="AG22" t="str">
            <v>Aug</v>
          </cell>
          <cell r="AH22" t="str">
            <v>Sep</v>
          </cell>
          <cell r="AI22" t="str">
            <v>Oct</v>
          </cell>
          <cell r="AJ22" t="str">
            <v>Nov</v>
          </cell>
          <cell r="AK22" t="str">
            <v>Dec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H1036"/>
  <sheetViews>
    <sheetView tabSelected="1" zoomScale="142" zoomScaleNormal="142" zoomScaleSheetLayoutView="77" workbookViewId="0">
      <selection activeCell="U23" sqref="U23"/>
    </sheetView>
  </sheetViews>
  <sheetFormatPr defaultColWidth="9.140625" defaultRowHeight="12.75" x14ac:dyDescent="0.2"/>
  <cols>
    <col min="1" max="1" width="28.140625" style="3" customWidth="1"/>
    <col min="2" max="7" width="8.7109375" style="3" customWidth="1"/>
    <col min="8" max="8" width="17" style="3" customWidth="1"/>
    <col min="9" max="9" width="23.28515625" style="3" customWidth="1"/>
    <col min="10" max="10" width="2" style="7" customWidth="1"/>
    <col min="11" max="24" width="9.140625" style="8"/>
    <col min="25" max="25" width="9.42578125" style="8" bestFit="1" customWidth="1"/>
    <col min="26" max="85" width="9.140625" style="8"/>
    <col min="86" max="86" width="9.140625" style="9"/>
    <col min="87" max="16384" width="9.140625" style="3"/>
  </cols>
  <sheetData>
    <row r="1" spans="1:86" ht="18.75" customHeight="1" x14ac:dyDescent="0.55000000000000004">
      <c r="A1" s="59" t="s">
        <v>65</v>
      </c>
      <c r="B1" s="60"/>
      <c r="C1" s="60"/>
      <c r="D1" s="60"/>
      <c r="E1" s="60"/>
      <c r="F1" s="60"/>
      <c r="G1" s="60"/>
      <c r="H1" s="60"/>
      <c r="I1" s="61"/>
    </row>
    <row r="2" spans="1:86" ht="18.75" customHeight="1" x14ac:dyDescent="0.2">
      <c r="A2" s="62" t="s">
        <v>66</v>
      </c>
      <c r="B2" s="62"/>
      <c r="C2" s="62"/>
      <c r="D2" s="62"/>
      <c r="E2" s="62"/>
      <c r="F2" s="62"/>
      <c r="G2" s="62"/>
      <c r="H2" s="62"/>
      <c r="I2" s="62"/>
    </row>
    <row r="3" spans="1:86" ht="13.5" customHeight="1" x14ac:dyDescent="0.2">
      <c r="A3" s="63" t="s">
        <v>4</v>
      </c>
      <c r="B3" s="65" t="s">
        <v>5</v>
      </c>
      <c r="C3" s="66"/>
      <c r="D3" s="66"/>
      <c r="E3" s="66"/>
      <c r="F3" s="66"/>
      <c r="G3" s="67"/>
      <c r="H3" s="5" t="s">
        <v>6</v>
      </c>
      <c r="I3" s="6"/>
    </row>
    <row r="4" spans="1:86" ht="15.95" customHeight="1" x14ac:dyDescent="0.2">
      <c r="A4" s="64"/>
      <c r="B4" s="11">
        <v>2013</v>
      </c>
      <c r="C4" s="10">
        <v>2014</v>
      </c>
      <c r="D4" s="10">
        <v>2015</v>
      </c>
      <c r="E4" s="10">
        <v>2016</v>
      </c>
      <c r="F4" s="10">
        <v>2017</v>
      </c>
      <c r="G4" s="10">
        <v>2018</v>
      </c>
      <c r="H4" s="12" t="s">
        <v>7</v>
      </c>
      <c r="I4" s="13" t="s">
        <v>8</v>
      </c>
    </row>
    <row r="5" spans="1:86" s="18" customFormat="1" ht="17.25" customHeight="1" x14ac:dyDescent="0.2">
      <c r="A5" s="14" t="s">
        <v>9</v>
      </c>
      <c r="B5" s="15">
        <f t="shared" ref="B5:G5" si="0">SUM(B6:B24)</f>
        <v>23487</v>
      </c>
      <c r="C5" s="15">
        <f t="shared" si="0"/>
        <v>24031</v>
      </c>
      <c r="D5" s="15">
        <f t="shared" si="0"/>
        <v>24877</v>
      </c>
      <c r="E5" s="15">
        <f t="shared" si="0"/>
        <v>27031</v>
      </c>
      <c r="F5" s="15">
        <f t="shared" si="0"/>
        <v>29977</v>
      </c>
      <c r="G5" s="15">
        <f t="shared" si="0"/>
        <v>31741</v>
      </c>
      <c r="H5" s="16">
        <f>G5/$G$5*100</f>
        <v>100</v>
      </c>
      <c r="I5" s="17" t="s">
        <v>0</v>
      </c>
      <c r="J5" s="1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8"/>
      <c r="Y5" s="8"/>
      <c r="Z5" s="8"/>
      <c r="AA5" s="8"/>
      <c r="AB5" s="8"/>
      <c r="AC5" s="8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68"/>
    </row>
    <row r="6" spans="1:86" s="18" customFormat="1" ht="18.75" customHeight="1" x14ac:dyDescent="0.2">
      <c r="A6" s="21" t="s">
        <v>10</v>
      </c>
      <c r="B6" s="22">
        <v>456</v>
      </c>
      <c r="C6" s="22">
        <v>464</v>
      </c>
      <c r="D6" s="22">
        <v>464</v>
      </c>
      <c r="E6" s="22">
        <v>464</v>
      </c>
      <c r="F6" s="22">
        <v>594</v>
      </c>
      <c r="G6" s="22">
        <v>594</v>
      </c>
      <c r="H6" s="23">
        <f>G6/$G$5*100</f>
        <v>1.8713966163636937</v>
      </c>
      <c r="I6" s="24" t="s">
        <v>11</v>
      </c>
      <c r="J6" s="19"/>
      <c r="K6" s="20"/>
      <c r="L6" s="8"/>
      <c r="M6" s="8"/>
      <c r="N6" s="8"/>
      <c r="O6" s="8"/>
      <c r="P6" s="8"/>
      <c r="Q6" s="8"/>
      <c r="R6" s="25"/>
      <c r="S6" s="26"/>
      <c r="T6" s="20"/>
      <c r="U6" s="25"/>
      <c r="V6" s="20"/>
      <c r="W6" s="20"/>
      <c r="X6" s="27"/>
      <c r="Y6" s="28"/>
      <c r="Z6" s="72"/>
      <c r="AA6" s="8"/>
      <c r="AB6" s="8"/>
      <c r="AC6" s="8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68"/>
    </row>
    <row r="7" spans="1:86" s="18" customFormat="1" ht="18.75" customHeight="1" x14ac:dyDescent="0.2">
      <c r="A7" s="21" t="s">
        <v>12</v>
      </c>
      <c r="B7" s="58" t="s">
        <v>1</v>
      </c>
      <c r="C7" s="58" t="s">
        <v>1</v>
      </c>
      <c r="D7" s="58" t="s">
        <v>1</v>
      </c>
      <c r="E7" s="58" t="s">
        <v>1</v>
      </c>
      <c r="F7" s="58" t="s">
        <v>1</v>
      </c>
      <c r="G7" s="22">
        <v>118</v>
      </c>
      <c r="H7" s="23">
        <f t="shared" ref="H7:H24" si="1">G7/$G$5*100</f>
        <v>0.37175892378942066</v>
      </c>
      <c r="I7" s="24"/>
      <c r="J7" s="19"/>
      <c r="K7" s="20"/>
      <c r="L7" s="8"/>
      <c r="M7" s="8"/>
      <c r="N7" s="8"/>
      <c r="O7" s="8"/>
      <c r="P7" s="8"/>
      <c r="Q7" s="8"/>
      <c r="R7" s="25"/>
      <c r="S7" s="26"/>
      <c r="T7" s="20"/>
      <c r="U7" s="25"/>
      <c r="V7" s="20"/>
      <c r="W7" s="20"/>
      <c r="X7" s="27"/>
      <c r="Y7" s="28"/>
      <c r="Z7" s="72"/>
      <c r="AA7" s="8"/>
      <c r="AB7" s="8"/>
      <c r="AC7" s="8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68"/>
    </row>
    <row r="8" spans="1:86" s="18" customFormat="1" ht="18.75" customHeight="1" x14ac:dyDescent="0.2">
      <c r="A8" s="21" t="s">
        <v>13</v>
      </c>
      <c r="B8" s="22">
        <v>159</v>
      </c>
      <c r="C8" s="22">
        <v>159</v>
      </c>
      <c r="D8" s="22">
        <v>159</v>
      </c>
      <c r="E8" s="22">
        <v>159</v>
      </c>
      <c r="F8" s="22">
        <v>227</v>
      </c>
      <c r="G8" s="22">
        <v>227</v>
      </c>
      <c r="H8" s="23">
        <f t="shared" si="1"/>
        <v>0.7151633533915126</v>
      </c>
      <c r="I8" s="29" t="s">
        <v>14</v>
      </c>
      <c r="J8" s="19"/>
      <c r="K8" s="20"/>
      <c r="L8" s="20"/>
      <c r="M8" s="20"/>
      <c r="N8" s="20"/>
      <c r="O8" s="20"/>
      <c r="P8" s="20"/>
      <c r="Q8" s="20"/>
      <c r="R8" s="25"/>
      <c r="S8" s="26"/>
      <c r="T8" s="20"/>
      <c r="U8" s="25"/>
      <c r="V8" s="20"/>
      <c r="W8" s="20"/>
      <c r="X8" s="27"/>
      <c r="Y8" s="28"/>
      <c r="Z8" s="72"/>
      <c r="AA8" s="8"/>
      <c r="AB8" s="8"/>
      <c r="AC8" s="8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68"/>
    </row>
    <row r="9" spans="1:86" s="18" customFormat="1" ht="18.75" customHeight="1" x14ac:dyDescent="0.2">
      <c r="A9" s="21" t="s">
        <v>15</v>
      </c>
      <c r="B9" s="22">
        <v>796</v>
      </c>
      <c r="C9" s="22">
        <v>796</v>
      </c>
      <c r="D9" s="22">
        <v>796</v>
      </c>
      <c r="E9" s="22">
        <v>832</v>
      </c>
      <c r="F9" s="22">
        <v>1176</v>
      </c>
      <c r="G9" s="22">
        <v>1388</v>
      </c>
      <c r="H9" s="23">
        <f t="shared" si="1"/>
        <v>4.3728931035569136</v>
      </c>
      <c r="I9" s="29" t="s">
        <v>16</v>
      </c>
      <c r="J9" s="19"/>
      <c r="K9" s="20"/>
      <c r="L9" s="20"/>
      <c r="M9" s="20"/>
      <c r="N9" s="20"/>
      <c r="O9" s="20"/>
      <c r="P9" s="20"/>
      <c r="Q9" s="20"/>
      <c r="R9" s="25"/>
      <c r="S9" s="26"/>
      <c r="T9" s="20"/>
      <c r="U9" s="25"/>
      <c r="V9" s="20"/>
      <c r="W9" s="20"/>
      <c r="X9" s="27"/>
      <c r="Y9" s="28"/>
      <c r="Z9" s="72"/>
      <c r="AA9" s="8"/>
      <c r="AB9" s="8"/>
      <c r="AC9" s="8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68"/>
    </row>
    <row r="10" spans="1:86" s="31" customFormat="1" ht="18.75" customHeight="1" x14ac:dyDescent="0.2">
      <c r="A10" s="30" t="s">
        <v>17</v>
      </c>
      <c r="B10" s="22">
        <v>470</v>
      </c>
      <c r="C10" s="22">
        <v>656</v>
      </c>
      <c r="D10" s="22">
        <v>680</v>
      </c>
      <c r="E10" s="22">
        <v>810</v>
      </c>
      <c r="F10" s="22">
        <v>1616</v>
      </c>
      <c r="G10" s="22">
        <v>1960</v>
      </c>
      <c r="H10" s="23">
        <f t="shared" si="1"/>
        <v>6.1749787341293594</v>
      </c>
      <c r="I10" s="29" t="s">
        <v>18</v>
      </c>
      <c r="J10" s="32"/>
      <c r="K10" s="33"/>
      <c r="L10" s="20"/>
      <c r="M10" s="20"/>
      <c r="N10" s="20"/>
      <c r="O10" s="20"/>
      <c r="P10" s="20"/>
      <c r="Q10" s="20"/>
      <c r="R10" s="25"/>
      <c r="S10" s="26"/>
      <c r="T10" s="33"/>
      <c r="U10" s="25"/>
      <c r="V10" s="33"/>
      <c r="W10" s="33"/>
      <c r="X10" s="34"/>
      <c r="Y10" s="28"/>
      <c r="Z10" s="72"/>
      <c r="AA10" s="8"/>
      <c r="AB10" s="8"/>
      <c r="AC10" s="8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69"/>
    </row>
    <row r="11" spans="1:86" s="31" customFormat="1" ht="18.75" customHeight="1" x14ac:dyDescent="0.2">
      <c r="A11" s="30" t="s">
        <v>19</v>
      </c>
      <c r="B11" s="35">
        <v>1704</v>
      </c>
      <c r="C11" s="35">
        <v>1704</v>
      </c>
      <c r="D11" s="35">
        <v>1700</v>
      </c>
      <c r="E11" s="35">
        <v>2302</v>
      </c>
      <c r="F11" s="35">
        <v>2562</v>
      </c>
      <c r="G11" s="35">
        <v>2882</v>
      </c>
      <c r="H11" s="23">
        <f t="shared" si="1"/>
        <v>9.0797391386534763</v>
      </c>
      <c r="I11" s="29" t="s">
        <v>20</v>
      </c>
      <c r="J11" s="32"/>
      <c r="K11" s="33"/>
      <c r="L11" s="20"/>
      <c r="M11" s="20"/>
      <c r="N11" s="20"/>
      <c r="O11" s="20"/>
      <c r="P11" s="20"/>
      <c r="Q11" s="20"/>
      <c r="R11" s="25"/>
      <c r="S11" s="26"/>
      <c r="T11" s="33"/>
      <c r="U11" s="25"/>
      <c r="V11" s="33"/>
      <c r="W11" s="33"/>
      <c r="X11" s="34"/>
      <c r="Y11" s="1"/>
      <c r="Z11" s="72"/>
      <c r="AA11" s="8"/>
      <c r="AB11" s="8"/>
      <c r="AC11" s="8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69"/>
    </row>
    <row r="12" spans="1:86" s="31" customFormat="1" ht="18.75" customHeight="1" x14ac:dyDescent="0.2">
      <c r="A12" s="30" t="s">
        <v>21</v>
      </c>
      <c r="B12" s="35">
        <v>1476</v>
      </c>
      <c r="C12" s="35">
        <v>1636</v>
      </c>
      <c r="D12" s="35">
        <v>1636</v>
      </c>
      <c r="E12" s="35">
        <v>2138</v>
      </c>
      <c r="F12" s="35">
        <v>2250</v>
      </c>
      <c r="G12" s="35">
        <v>2284</v>
      </c>
      <c r="H12" s="23">
        <f t="shared" si="1"/>
        <v>7.1957405248731927</v>
      </c>
      <c r="I12" s="29" t="s">
        <v>22</v>
      </c>
      <c r="J12" s="32"/>
      <c r="K12" s="33"/>
      <c r="L12" s="33"/>
      <c r="M12" s="33"/>
      <c r="N12" s="33"/>
      <c r="O12" s="33"/>
      <c r="P12" s="33"/>
      <c r="Q12" s="33"/>
      <c r="R12" s="25"/>
      <c r="S12" s="26"/>
      <c r="T12" s="33"/>
      <c r="U12" s="25"/>
      <c r="V12" s="33"/>
      <c r="W12" s="33"/>
      <c r="X12" s="34"/>
      <c r="Y12" s="1"/>
      <c r="Z12" s="72"/>
      <c r="AA12" s="8"/>
      <c r="AB12" s="8"/>
      <c r="AC12" s="8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69"/>
    </row>
    <row r="13" spans="1:86" s="31" customFormat="1" ht="18.75" customHeight="1" x14ac:dyDescent="0.2">
      <c r="A13" s="30" t="s">
        <v>23</v>
      </c>
      <c r="B13" s="35">
        <v>8964</v>
      </c>
      <c r="C13" s="35">
        <v>8968</v>
      </c>
      <c r="D13" s="35">
        <v>9088</v>
      </c>
      <c r="E13" s="35">
        <v>9506</v>
      </c>
      <c r="F13" s="35">
        <v>10094</v>
      </c>
      <c r="G13" s="35">
        <v>10568</v>
      </c>
      <c r="H13" s="23">
        <f t="shared" si="1"/>
        <v>33.294477174632178</v>
      </c>
      <c r="I13" s="29" t="s">
        <v>24</v>
      </c>
      <c r="J13" s="32"/>
      <c r="K13" s="33"/>
      <c r="L13" s="33"/>
      <c r="M13" s="33"/>
      <c r="N13" s="33"/>
      <c r="O13" s="33"/>
      <c r="P13" s="33"/>
      <c r="Q13" s="33"/>
      <c r="R13" s="25"/>
      <c r="S13" s="26"/>
      <c r="T13" s="33"/>
      <c r="U13" s="25"/>
      <c r="V13" s="33"/>
      <c r="W13" s="33"/>
      <c r="X13" s="34"/>
      <c r="Y13" s="1"/>
      <c r="Z13" s="72"/>
      <c r="AA13" s="8"/>
      <c r="AB13" s="8"/>
      <c r="AC13" s="8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69"/>
    </row>
    <row r="14" spans="1:86" s="31" customFormat="1" ht="18.75" customHeight="1" x14ac:dyDescent="0.2">
      <c r="A14" s="30" t="s">
        <v>25</v>
      </c>
      <c r="B14" s="35">
        <v>2156</v>
      </c>
      <c r="C14" s="35">
        <v>2216</v>
      </c>
      <c r="D14" s="35">
        <v>2244</v>
      </c>
      <c r="E14" s="35">
        <v>2454</v>
      </c>
      <c r="F14" s="35">
        <v>2488</v>
      </c>
      <c r="G14" s="35">
        <v>2488</v>
      </c>
      <c r="H14" s="23">
        <f t="shared" si="1"/>
        <v>7.8384423931193092</v>
      </c>
      <c r="I14" s="29" t="s">
        <v>26</v>
      </c>
      <c r="J14" s="32"/>
      <c r="K14" s="33"/>
      <c r="L14" s="33"/>
      <c r="M14" s="33"/>
      <c r="N14" s="33"/>
      <c r="O14" s="33"/>
      <c r="P14" s="33"/>
      <c r="Q14" s="33"/>
      <c r="R14" s="25"/>
      <c r="S14" s="26"/>
      <c r="T14" s="33"/>
      <c r="U14" s="25"/>
      <c r="V14" s="33"/>
      <c r="W14" s="33"/>
      <c r="X14" s="34"/>
      <c r="Y14" s="1"/>
      <c r="Z14" s="72"/>
      <c r="AA14" s="8"/>
      <c r="AB14" s="8"/>
      <c r="AC14" s="8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69"/>
    </row>
    <row r="15" spans="1:86" s="18" customFormat="1" ht="18.75" customHeight="1" x14ac:dyDescent="0.2">
      <c r="A15" s="30" t="s">
        <v>27</v>
      </c>
      <c r="B15" s="35">
        <v>3818</v>
      </c>
      <c r="C15" s="35">
        <v>3862</v>
      </c>
      <c r="D15" s="35">
        <v>3982</v>
      </c>
      <c r="E15" s="35">
        <v>3982</v>
      </c>
      <c r="F15" s="35">
        <v>4036</v>
      </c>
      <c r="G15" s="35">
        <v>4056</v>
      </c>
      <c r="H15" s="23">
        <f t="shared" si="1"/>
        <v>12.778425380422798</v>
      </c>
      <c r="I15" s="29" t="s">
        <v>28</v>
      </c>
      <c r="J15" s="19"/>
      <c r="K15" s="20"/>
      <c r="L15" s="33"/>
      <c r="M15" s="33"/>
      <c r="N15" s="33"/>
      <c r="O15" s="33"/>
      <c r="P15" s="33"/>
      <c r="Q15" s="33"/>
      <c r="R15" s="25"/>
      <c r="S15" s="26"/>
      <c r="T15" s="20"/>
      <c r="U15" s="25"/>
      <c r="V15" s="20"/>
      <c r="W15" s="20"/>
      <c r="X15" s="34"/>
      <c r="Y15" s="1"/>
      <c r="Z15" s="72"/>
      <c r="AA15" s="8"/>
      <c r="AB15" s="8"/>
      <c r="AC15" s="8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68"/>
    </row>
    <row r="16" spans="1:86" s="18" customFormat="1" ht="18.75" customHeight="1" x14ac:dyDescent="0.2">
      <c r="A16" s="30" t="s">
        <v>29</v>
      </c>
      <c r="B16" s="22">
        <v>402</v>
      </c>
      <c r="C16" s="22">
        <v>402</v>
      </c>
      <c r="D16" s="22">
        <v>402</v>
      </c>
      <c r="E16" s="22">
        <v>434</v>
      </c>
      <c r="F16" s="22">
        <v>434</v>
      </c>
      <c r="G16" s="22">
        <v>434</v>
      </c>
      <c r="H16" s="23">
        <f t="shared" si="1"/>
        <v>1.3673167197000724</v>
      </c>
      <c r="I16" s="29" t="s">
        <v>30</v>
      </c>
      <c r="J16" s="19"/>
      <c r="K16" s="20"/>
      <c r="L16" s="33"/>
      <c r="M16" s="33"/>
      <c r="N16" s="33"/>
      <c r="O16" s="33"/>
      <c r="P16" s="33"/>
      <c r="Q16" s="33"/>
      <c r="R16" s="25"/>
      <c r="S16" s="26"/>
      <c r="T16" s="20"/>
      <c r="U16" s="25"/>
      <c r="V16" s="20"/>
      <c r="W16" s="20"/>
      <c r="X16" s="34"/>
      <c r="Y16" s="28"/>
      <c r="Z16" s="72"/>
      <c r="AA16" s="8"/>
      <c r="AB16" s="8"/>
      <c r="AC16" s="8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68"/>
    </row>
    <row r="17" spans="1:86" s="18" customFormat="1" ht="18.75" customHeight="1" x14ac:dyDescent="0.2">
      <c r="A17" s="21" t="s">
        <v>31</v>
      </c>
      <c r="B17" s="22">
        <v>400</v>
      </c>
      <c r="C17" s="22">
        <v>400</v>
      </c>
      <c r="D17" s="22">
        <v>400</v>
      </c>
      <c r="E17" s="22">
        <v>400</v>
      </c>
      <c r="F17" s="22">
        <v>400</v>
      </c>
      <c r="G17" s="22">
        <v>400</v>
      </c>
      <c r="H17" s="23">
        <f t="shared" si="1"/>
        <v>1.2601997416590529</v>
      </c>
      <c r="I17" s="24" t="s">
        <v>32</v>
      </c>
      <c r="J17" s="19"/>
      <c r="K17" s="20"/>
      <c r="L17" s="20"/>
      <c r="M17" s="20"/>
      <c r="N17" s="20"/>
      <c r="O17" s="20"/>
      <c r="P17" s="20"/>
      <c r="Q17" s="20"/>
      <c r="R17" s="25"/>
      <c r="S17" s="26"/>
      <c r="T17" s="20"/>
      <c r="U17" s="25"/>
      <c r="V17" s="20"/>
      <c r="W17" s="20"/>
      <c r="X17" s="27"/>
      <c r="Y17" s="28"/>
      <c r="Z17" s="72"/>
      <c r="AA17" s="8"/>
      <c r="AB17" s="8"/>
      <c r="AC17" s="8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68"/>
    </row>
    <row r="18" spans="1:86" s="18" customFormat="1" ht="18.75" customHeight="1" x14ac:dyDescent="0.2">
      <c r="A18" s="21" t="s">
        <v>33</v>
      </c>
      <c r="B18" s="22">
        <v>250</v>
      </c>
      <c r="C18" s="22">
        <v>250</v>
      </c>
      <c r="D18" s="22">
        <v>250</v>
      </c>
      <c r="E18" s="22">
        <v>250</v>
      </c>
      <c r="F18" s="22">
        <v>250</v>
      </c>
      <c r="G18" s="22">
        <v>250</v>
      </c>
      <c r="H18" s="23">
        <f t="shared" si="1"/>
        <v>0.78762483853690812</v>
      </c>
      <c r="I18" s="29" t="s">
        <v>34</v>
      </c>
      <c r="J18" s="19"/>
      <c r="K18" s="20"/>
      <c r="L18" s="20"/>
      <c r="M18" s="20"/>
      <c r="N18" s="20"/>
      <c r="O18" s="20"/>
      <c r="P18" s="20"/>
      <c r="Q18" s="20"/>
      <c r="R18" s="25"/>
      <c r="S18" s="26"/>
      <c r="T18" s="20"/>
      <c r="U18" s="25"/>
      <c r="V18" s="20"/>
      <c r="W18" s="20"/>
      <c r="X18" s="27"/>
      <c r="Y18" s="28"/>
      <c r="Z18" s="72"/>
      <c r="AA18" s="8"/>
      <c r="AB18" s="8"/>
      <c r="AC18" s="8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68"/>
    </row>
    <row r="19" spans="1:86" s="39" customFormat="1" ht="18.75" customHeight="1" x14ac:dyDescent="0.2">
      <c r="A19" s="36" t="s">
        <v>35</v>
      </c>
      <c r="B19" s="37">
        <v>590</v>
      </c>
      <c r="C19" s="37">
        <v>590</v>
      </c>
      <c r="D19" s="37">
        <v>778</v>
      </c>
      <c r="E19" s="37">
        <v>962</v>
      </c>
      <c r="F19" s="37">
        <v>1512</v>
      </c>
      <c r="G19" s="37">
        <v>1754</v>
      </c>
      <c r="H19" s="23">
        <f t="shared" si="1"/>
        <v>5.5259758671749477</v>
      </c>
      <c r="I19" s="38" t="s">
        <v>36</v>
      </c>
      <c r="J19" s="40"/>
      <c r="K19" s="20"/>
      <c r="L19" s="20"/>
      <c r="M19" s="20"/>
      <c r="N19" s="20"/>
      <c r="O19" s="20"/>
      <c r="P19" s="20"/>
      <c r="Q19" s="20"/>
      <c r="R19" s="25"/>
      <c r="S19" s="26"/>
      <c r="T19" s="20"/>
      <c r="U19" s="25"/>
      <c r="V19" s="20"/>
      <c r="W19" s="20"/>
      <c r="X19" s="27"/>
      <c r="Y19" s="28"/>
      <c r="Z19" s="72"/>
      <c r="AA19" s="8"/>
      <c r="AB19" s="8"/>
      <c r="AC19" s="8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70"/>
    </row>
    <row r="20" spans="1:86" s="20" customFormat="1" ht="18.75" customHeight="1" x14ac:dyDescent="0.2">
      <c r="A20" s="41" t="s">
        <v>37</v>
      </c>
      <c r="B20" s="28">
        <v>46</v>
      </c>
      <c r="C20" s="28">
        <v>132</v>
      </c>
      <c r="D20" s="28">
        <v>152</v>
      </c>
      <c r="E20" s="28">
        <v>152</v>
      </c>
      <c r="F20" s="28">
        <v>152</v>
      </c>
      <c r="G20" s="28">
        <v>152</v>
      </c>
      <c r="H20" s="23">
        <f t="shared" si="1"/>
        <v>0.47887590183044015</v>
      </c>
      <c r="I20" s="42" t="s">
        <v>38</v>
      </c>
      <c r="R20" s="25"/>
      <c r="S20" s="26"/>
      <c r="U20" s="25"/>
      <c r="X20" s="27"/>
      <c r="Y20" s="28"/>
      <c r="Z20" s="72"/>
      <c r="AA20" s="8"/>
      <c r="AB20" s="8"/>
      <c r="AC20" s="8"/>
    </row>
    <row r="21" spans="1:86" s="33" customFormat="1" ht="18.75" customHeight="1" x14ac:dyDescent="0.2">
      <c r="A21" s="41" t="s">
        <v>39</v>
      </c>
      <c r="B21" s="28">
        <v>194</v>
      </c>
      <c r="C21" s="28">
        <v>194</v>
      </c>
      <c r="D21" s="28">
        <v>194</v>
      </c>
      <c r="E21" s="28">
        <v>194</v>
      </c>
      <c r="F21" s="28">
        <v>194</v>
      </c>
      <c r="G21" s="28">
        <v>194</v>
      </c>
      <c r="H21" s="23">
        <f t="shared" si="1"/>
        <v>0.61119687470464068</v>
      </c>
      <c r="I21" s="43" t="s">
        <v>40</v>
      </c>
      <c r="L21" s="20"/>
      <c r="M21" s="20"/>
      <c r="N21" s="20"/>
      <c r="O21" s="20"/>
      <c r="P21" s="20"/>
      <c r="Q21" s="20"/>
      <c r="R21" s="25"/>
      <c r="S21" s="26"/>
      <c r="U21" s="25"/>
      <c r="X21" s="27"/>
      <c r="Y21" s="28"/>
      <c r="Z21" s="72"/>
      <c r="AA21" s="8"/>
      <c r="AB21" s="8"/>
      <c r="AC21" s="8"/>
    </row>
    <row r="22" spans="1:86" s="46" customFormat="1" ht="18.75" customHeight="1" x14ac:dyDescent="0.2">
      <c r="A22" s="44" t="s">
        <v>41</v>
      </c>
      <c r="B22" s="45">
        <v>576</v>
      </c>
      <c r="C22" s="45">
        <v>576</v>
      </c>
      <c r="D22" s="45">
        <v>576</v>
      </c>
      <c r="E22" s="45">
        <v>616</v>
      </c>
      <c r="F22" s="45">
        <v>616</v>
      </c>
      <c r="G22" s="45">
        <v>616</v>
      </c>
      <c r="H22" s="23">
        <f t="shared" si="1"/>
        <v>1.9407076021549416</v>
      </c>
      <c r="I22" s="42" t="s">
        <v>42</v>
      </c>
      <c r="J22" s="47"/>
      <c r="K22" s="20"/>
      <c r="L22" s="20"/>
      <c r="M22" s="20"/>
      <c r="N22" s="20"/>
      <c r="O22" s="20"/>
      <c r="P22" s="20"/>
      <c r="Q22" s="20"/>
      <c r="R22" s="25"/>
      <c r="S22" s="26"/>
      <c r="T22" s="20"/>
      <c r="U22" s="25"/>
      <c r="V22" s="20"/>
      <c r="W22" s="20"/>
      <c r="X22" s="27"/>
      <c r="Y22" s="28"/>
      <c r="Z22" s="72"/>
      <c r="AA22" s="8"/>
      <c r="AB22" s="8"/>
      <c r="AC22" s="8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71"/>
    </row>
    <row r="23" spans="1:86" s="18" customFormat="1" ht="18.75" customHeight="1" x14ac:dyDescent="0.2">
      <c r="A23" s="21" t="s">
        <v>43</v>
      </c>
      <c r="B23" s="22">
        <v>200</v>
      </c>
      <c r="C23" s="22">
        <v>200</v>
      </c>
      <c r="D23" s="22">
        <v>550</v>
      </c>
      <c r="E23" s="22">
        <v>550</v>
      </c>
      <c r="F23" s="22">
        <v>550</v>
      </c>
      <c r="G23" s="22">
        <v>550</v>
      </c>
      <c r="H23" s="23">
        <f t="shared" si="1"/>
        <v>1.7327746447811976</v>
      </c>
      <c r="I23" s="42" t="s">
        <v>44</v>
      </c>
      <c r="J23" s="19"/>
      <c r="K23" s="20"/>
      <c r="L23" s="20"/>
      <c r="M23" s="20"/>
      <c r="N23" s="20"/>
      <c r="O23" s="20"/>
      <c r="P23" s="20"/>
      <c r="Q23" s="20"/>
      <c r="R23" s="25"/>
      <c r="S23" s="26"/>
      <c r="T23" s="20"/>
      <c r="U23" s="25"/>
      <c r="V23" s="20"/>
      <c r="W23" s="20"/>
      <c r="X23" s="27"/>
      <c r="Y23" s="28"/>
      <c r="Z23" s="72"/>
      <c r="AA23" s="8"/>
      <c r="AB23" s="8"/>
      <c r="AC23" s="8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68"/>
    </row>
    <row r="24" spans="1:86" s="18" customFormat="1" ht="18.75" customHeight="1" x14ac:dyDescent="0.2">
      <c r="A24" s="48" t="s">
        <v>45</v>
      </c>
      <c r="B24" s="49">
        <v>830</v>
      </c>
      <c r="C24" s="49">
        <v>826</v>
      </c>
      <c r="D24" s="49">
        <v>826</v>
      </c>
      <c r="E24" s="49">
        <v>826</v>
      </c>
      <c r="F24" s="49">
        <v>826</v>
      </c>
      <c r="G24" s="49">
        <v>826</v>
      </c>
      <c r="H24" s="50">
        <f t="shared" si="1"/>
        <v>2.6023124665259445</v>
      </c>
      <c r="I24" s="51" t="s">
        <v>46</v>
      </c>
      <c r="J24" s="19"/>
      <c r="K24" s="20"/>
      <c r="L24" s="20"/>
      <c r="M24" s="20"/>
      <c r="N24" s="20"/>
      <c r="O24" s="20"/>
      <c r="P24" s="20"/>
      <c r="Q24" s="20"/>
      <c r="R24" s="25"/>
      <c r="S24" s="26"/>
      <c r="T24" s="20"/>
      <c r="U24" s="25"/>
      <c r="V24" s="20"/>
      <c r="W24" s="20"/>
      <c r="X24" s="27"/>
      <c r="Y24" s="28"/>
      <c r="Z24" s="72"/>
      <c r="AA24" s="8"/>
      <c r="AB24" s="8"/>
      <c r="AC24" s="8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68"/>
    </row>
    <row r="25" spans="1:86" ht="20.25" customHeight="1" x14ac:dyDescent="0.2">
      <c r="A25" s="52" t="s">
        <v>2</v>
      </c>
      <c r="B25" s="53"/>
      <c r="C25" s="53"/>
      <c r="D25" s="53"/>
      <c r="E25" s="53"/>
      <c r="F25" s="53"/>
      <c r="G25" s="53"/>
      <c r="H25" s="54"/>
      <c r="I25" s="2" t="s">
        <v>3</v>
      </c>
      <c r="S25" s="73"/>
      <c r="Z25" s="8">
        <v>2017</v>
      </c>
      <c r="AA25" s="8">
        <v>2018</v>
      </c>
    </row>
    <row r="26" spans="1:86" ht="24" customHeight="1" x14ac:dyDescent="0.2">
      <c r="S26" s="73"/>
      <c r="U26" s="41"/>
      <c r="X26" s="27" t="s">
        <v>47</v>
      </c>
      <c r="Y26" s="74">
        <f>G6</f>
        <v>594</v>
      </c>
      <c r="Z26" s="8">
        <v>3</v>
      </c>
      <c r="AA26" s="75">
        <v>3</v>
      </c>
      <c r="AB26" s="75"/>
    </row>
    <row r="27" spans="1:86" x14ac:dyDescent="0.2">
      <c r="A27" s="55"/>
      <c r="S27" s="73"/>
      <c r="U27" s="41"/>
      <c r="X27" s="27" t="s">
        <v>67</v>
      </c>
      <c r="Y27" s="74">
        <f t="shared" ref="Y27:Y44" si="2">G7</f>
        <v>118</v>
      </c>
      <c r="Z27" s="8">
        <v>0</v>
      </c>
      <c r="AA27" s="75">
        <v>1</v>
      </c>
      <c r="AB27" s="75"/>
    </row>
    <row r="28" spans="1:86" x14ac:dyDescent="0.2">
      <c r="A28" s="55"/>
      <c r="B28" s="56"/>
      <c r="C28" s="56"/>
      <c r="D28" s="56"/>
      <c r="E28" s="56"/>
      <c r="F28" s="56"/>
      <c r="G28" s="56"/>
      <c r="I28" s="4"/>
      <c r="J28" s="76"/>
      <c r="S28" s="73"/>
      <c r="U28" s="41"/>
      <c r="X28" s="27" t="s">
        <v>48</v>
      </c>
      <c r="Y28" s="74">
        <f t="shared" si="2"/>
        <v>227</v>
      </c>
      <c r="Z28" s="8">
        <v>2</v>
      </c>
      <c r="AA28" s="75">
        <v>2</v>
      </c>
      <c r="AB28" s="75"/>
    </row>
    <row r="29" spans="1:86" x14ac:dyDescent="0.2">
      <c r="H29" s="7"/>
      <c r="I29" s="8"/>
      <c r="J29" s="8"/>
      <c r="S29" s="73"/>
      <c r="U29" s="34"/>
      <c r="X29" s="27" t="s">
        <v>49</v>
      </c>
      <c r="Y29" s="74">
        <f t="shared" si="2"/>
        <v>1388</v>
      </c>
      <c r="Z29" s="8">
        <v>6</v>
      </c>
      <c r="AA29" s="75">
        <v>7</v>
      </c>
      <c r="AB29" s="75"/>
    </row>
    <row r="30" spans="1:86" x14ac:dyDescent="0.2">
      <c r="H30" s="7"/>
      <c r="I30" s="8"/>
      <c r="J30" s="8"/>
      <c r="U30" s="34"/>
      <c r="X30" s="34" t="s">
        <v>50</v>
      </c>
      <c r="Y30" s="74">
        <f t="shared" si="2"/>
        <v>1960</v>
      </c>
      <c r="Z30" s="8">
        <v>6</v>
      </c>
      <c r="AA30" s="75">
        <v>8</v>
      </c>
      <c r="AB30" s="75"/>
    </row>
    <row r="31" spans="1:86" x14ac:dyDescent="0.2">
      <c r="H31" s="7"/>
      <c r="I31" s="8"/>
      <c r="J31" s="8"/>
      <c r="U31" s="34"/>
      <c r="X31" s="34" t="s">
        <v>51</v>
      </c>
      <c r="Y31" s="74">
        <f t="shared" si="2"/>
        <v>2882</v>
      </c>
      <c r="Z31" s="8">
        <v>13</v>
      </c>
      <c r="AA31" s="75">
        <v>15</v>
      </c>
      <c r="AB31" s="75"/>
    </row>
    <row r="32" spans="1:86" x14ac:dyDescent="0.2">
      <c r="H32" s="7"/>
      <c r="I32" s="8"/>
      <c r="J32" s="8"/>
      <c r="U32" s="34"/>
      <c r="X32" s="34" t="s">
        <v>52</v>
      </c>
      <c r="Y32" s="74">
        <f t="shared" si="2"/>
        <v>2284</v>
      </c>
      <c r="Z32" s="8">
        <v>8</v>
      </c>
      <c r="AA32" s="75">
        <v>9</v>
      </c>
      <c r="AB32" s="75"/>
    </row>
    <row r="33" spans="8:28" x14ac:dyDescent="0.2">
      <c r="H33" s="7"/>
      <c r="I33" s="8"/>
      <c r="J33" s="8"/>
      <c r="U33" s="34"/>
      <c r="X33" s="34" t="s">
        <v>53</v>
      </c>
      <c r="Y33" s="74">
        <f t="shared" si="2"/>
        <v>10568</v>
      </c>
      <c r="Z33" s="8">
        <v>45</v>
      </c>
      <c r="AA33" s="75">
        <v>47</v>
      </c>
      <c r="AB33" s="75"/>
    </row>
    <row r="34" spans="8:28" x14ac:dyDescent="0.2">
      <c r="H34" s="7"/>
      <c r="I34" s="79"/>
      <c r="J34" s="79"/>
      <c r="K34" s="79"/>
      <c r="L34" s="79"/>
      <c r="M34" s="82"/>
      <c r="N34" s="82"/>
      <c r="O34" s="82"/>
      <c r="P34" s="82"/>
      <c r="Q34" s="82"/>
      <c r="U34" s="34"/>
      <c r="X34" s="34" t="s">
        <v>54</v>
      </c>
      <c r="Y34" s="74">
        <f t="shared" si="2"/>
        <v>2488</v>
      </c>
      <c r="Z34" s="8">
        <v>13</v>
      </c>
      <c r="AA34" s="75">
        <v>13</v>
      </c>
    </row>
    <row r="35" spans="8:28" x14ac:dyDescent="0.2">
      <c r="H35" s="7"/>
      <c r="I35" s="8"/>
      <c r="J35" s="8"/>
      <c r="U35" s="34"/>
      <c r="X35" s="34" t="s">
        <v>55</v>
      </c>
      <c r="Y35" s="74">
        <f t="shared" si="2"/>
        <v>4056</v>
      </c>
      <c r="Z35" s="8">
        <v>17</v>
      </c>
      <c r="AA35" s="75">
        <v>17</v>
      </c>
      <c r="AB35" s="75"/>
    </row>
    <row r="36" spans="8:28" x14ac:dyDescent="0.2">
      <c r="H36" s="7"/>
      <c r="I36" s="8"/>
      <c r="J36" s="8"/>
      <c r="U36" s="41"/>
      <c r="X36" s="34" t="s">
        <v>56</v>
      </c>
      <c r="Y36" s="74">
        <f t="shared" si="2"/>
        <v>434</v>
      </c>
      <c r="Z36" s="8">
        <v>2</v>
      </c>
      <c r="AA36" s="75">
        <v>2</v>
      </c>
      <c r="AB36" s="75"/>
    </row>
    <row r="37" spans="8:28" x14ac:dyDescent="0.2">
      <c r="H37" s="7"/>
      <c r="I37" s="8"/>
      <c r="J37" s="8"/>
      <c r="U37" s="41"/>
      <c r="X37" s="27" t="s">
        <v>57</v>
      </c>
      <c r="Y37" s="74">
        <f t="shared" si="2"/>
        <v>400</v>
      </c>
      <c r="Z37" s="8">
        <v>2</v>
      </c>
      <c r="AA37" s="75">
        <v>2</v>
      </c>
      <c r="AB37" s="75"/>
    </row>
    <row r="38" spans="8:28" x14ac:dyDescent="0.2">
      <c r="H38" s="7"/>
      <c r="I38" s="8"/>
      <c r="J38" s="8"/>
      <c r="U38" s="41"/>
      <c r="X38" s="27" t="s">
        <v>58</v>
      </c>
      <c r="Y38" s="74">
        <f t="shared" si="2"/>
        <v>250</v>
      </c>
      <c r="Z38" s="8">
        <v>1</v>
      </c>
      <c r="AA38" s="75">
        <v>1</v>
      </c>
    </row>
    <row r="39" spans="8:28" x14ac:dyDescent="0.2">
      <c r="H39" s="7"/>
      <c r="I39" s="8"/>
      <c r="J39" s="8"/>
      <c r="U39" s="41"/>
      <c r="X39" s="27" t="s">
        <v>59</v>
      </c>
      <c r="Y39" s="74">
        <f t="shared" si="2"/>
        <v>1754</v>
      </c>
      <c r="Z39" s="8">
        <v>6</v>
      </c>
      <c r="AA39" s="75">
        <v>7</v>
      </c>
      <c r="AB39" s="57"/>
    </row>
    <row r="40" spans="8:28" x14ac:dyDescent="0.2">
      <c r="H40" s="7"/>
      <c r="I40" s="8"/>
      <c r="J40" s="8"/>
      <c r="U40" s="41"/>
      <c r="X40" s="27" t="s">
        <v>60</v>
      </c>
      <c r="Y40" s="74">
        <f t="shared" si="2"/>
        <v>152</v>
      </c>
      <c r="Z40" s="8">
        <v>1</v>
      </c>
      <c r="AA40" s="75">
        <v>1</v>
      </c>
      <c r="AB40" s="57"/>
    </row>
    <row r="41" spans="8:28" x14ac:dyDescent="0.2">
      <c r="H41" s="7"/>
      <c r="I41" s="8"/>
      <c r="J41" s="8"/>
      <c r="U41" s="41"/>
      <c r="X41" s="27" t="s">
        <v>61</v>
      </c>
      <c r="Y41" s="74">
        <f t="shared" si="2"/>
        <v>194</v>
      </c>
      <c r="Z41" s="8">
        <v>1</v>
      </c>
      <c r="AA41" s="75">
        <v>1</v>
      </c>
      <c r="AB41" s="57"/>
    </row>
    <row r="42" spans="8:28" x14ac:dyDescent="0.2">
      <c r="H42" s="7"/>
      <c r="I42" s="8"/>
      <c r="J42" s="8"/>
      <c r="U42" s="41"/>
      <c r="X42" s="27" t="s">
        <v>62</v>
      </c>
      <c r="Y42" s="74">
        <f t="shared" si="2"/>
        <v>616</v>
      </c>
      <c r="Z42" s="8">
        <v>4</v>
      </c>
      <c r="AA42" s="75">
        <v>4</v>
      </c>
      <c r="AB42" s="57"/>
    </row>
    <row r="43" spans="8:28" x14ac:dyDescent="0.2">
      <c r="H43" s="7"/>
      <c r="I43" s="8"/>
      <c r="J43" s="8"/>
      <c r="U43" s="41"/>
      <c r="X43" s="27" t="s">
        <v>63</v>
      </c>
      <c r="Y43" s="74">
        <f t="shared" si="2"/>
        <v>550</v>
      </c>
      <c r="Z43" s="8">
        <v>3</v>
      </c>
      <c r="AA43" s="75">
        <v>3</v>
      </c>
      <c r="AB43" s="57"/>
    </row>
    <row r="44" spans="8:28" x14ac:dyDescent="0.2">
      <c r="I44" s="77"/>
      <c r="J44" s="78"/>
      <c r="X44" s="27" t="s">
        <v>64</v>
      </c>
      <c r="Y44" s="74">
        <f t="shared" si="2"/>
        <v>826</v>
      </c>
      <c r="Z44" s="8">
        <v>2</v>
      </c>
      <c r="AA44" s="8">
        <v>2</v>
      </c>
    </row>
    <row r="45" spans="8:28" x14ac:dyDescent="0.2">
      <c r="Y45" s="8">
        <f>SUM(Y26:Y44)</f>
        <v>31741</v>
      </c>
      <c r="Z45" s="8">
        <f>SUM(Z26:Z44)</f>
        <v>135</v>
      </c>
      <c r="AA45" s="8">
        <f>SUM(AA26:AA44)</f>
        <v>145</v>
      </c>
    </row>
    <row r="54" spans="10:86" s="4" customFormat="1" x14ac:dyDescent="0.2">
      <c r="J54" s="7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0"/>
    </row>
    <row r="55" spans="10:86" s="8" customFormat="1" x14ac:dyDescent="0.2"/>
    <row r="56" spans="10:86" s="8" customFormat="1" x14ac:dyDescent="0.2"/>
    <row r="57" spans="10:86" s="8" customFormat="1" x14ac:dyDescent="0.2"/>
    <row r="58" spans="10:86" s="8" customFormat="1" x14ac:dyDescent="0.2"/>
    <row r="59" spans="10:86" s="8" customFormat="1" x14ac:dyDescent="0.2"/>
    <row r="60" spans="10:86" s="8" customFormat="1" x14ac:dyDescent="0.2"/>
    <row r="61" spans="10:86" s="8" customFormat="1" x14ac:dyDescent="0.2"/>
    <row r="62" spans="10:86" s="8" customFormat="1" x14ac:dyDescent="0.2"/>
    <row r="63" spans="10:86" s="8" customFormat="1" x14ac:dyDescent="0.2"/>
    <row r="64" spans="10:86" s="8" customFormat="1" x14ac:dyDescent="0.2"/>
    <row r="65" s="8" customFormat="1" x14ac:dyDescent="0.2"/>
    <row r="66" s="8" customFormat="1" x14ac:dyDescent="0.2"/>
    <row r="67" s="8" customFormat="1" x14ac:dyDescent="0.2"/>
    <row r="68" s="8" customFormat="1" x14ac:dyDescent="0.2"/>
    <row r="69" s="8" customFormat="1" x14ac:dyDescent="0.2"/>
    <row r="70" s="8" customFormat="1" x14ac:dyDescent="0.2"/>
    <row r="71" s="8" customFormat="1" x14ac:dyDescent="0.2"/>
    <row r="72" s="8" customFormat="1" x14ac:dyDescent="0.2"/>
    <row r="73" s="8" customFormat="1" x14ac:dyDescent="0.2"/>
    <row r="74" s="8" customFormat="1" x14ac:dyDescent="0.2"/>
    <row r="75" s="8" customFormat="1" x14ac:dyDescent="0.2"/>
    <row r="76" s="8" customFormat="1" x14ac:dyDescent="0.2"/>
    <row r="77" s="8" customFormat="1" x14ac:dyDescent="0.2"/>
    <row r="78" s="8" customFormat="1" x14ac:dyDescent="0.2"/>
    <row r="79" s="8" customFormat="1" x14ac:dyDescent="0.2"/>
    <row r="80" s="8" customFormat="1" x14ac:dyDescent="0.2"/>
    <row r="81" s="8" customFormat="1" x14ac:dyDescent="0.2"/>
    <row r="82" s="8" customFormat="1" x14ac:dyDescent="0.2"/>
    <row r="83" s="8" customFormat="1" x14ac:dyDescent="0.2"/>
    <row r="84" s="8" customFormat="1" x14ac:dyDescent="0.2"/>
    <row r="85" s="8" customFormat="1" x14ac:dyDescent="0.2"/>
    <row r="86" s="8" customFormat="1" x14ac:dyDescent="0.2"/>
    <row r="87" s="8" customFormat="1" x14ac:dyDescent="0.2"/>
    <row r="88" s="8" customFormat="1" x14ac:dyDescent="0.2"/>
    <row r="89" s="8" customFormat="1" x14ac:dyDescent="0.2"/>
    <row r="90" s="8" customFormat="1" x14ac:dyDescent="0.2"/>
    <row r="91" s="8" customFormat="1" x14ac:dyDescent="0.2"/>
    <row r="92" s="8" customFormat="1" x14ac:dyDescent="0.2"/>
    <row r="93" s="8" customFormat="1" x14ac:dyDescent="0.2"/>
    <row r="94" s="8" customFormat="1" x14ac:dyDescent="0.2"/>
    <row r="95" s="8" customFormat="1" x14ac:dyDescent="0.2"/>
    <row r="96" s="8" customFormat="1" x14ac:dyDescent="0.2"/>
    <row r="97" s="8" customFormat="1" x14ac:dyDescent="0.2"/>
    <row r="98" s="8" customFormat="1" x14ac:dyDescent="0.2"/>
    <row r="99" s="8" customFormat="1" x14ac:dyDescent="0.2"/>
    <row r="100" s="8" customFormat="1" x14ac:dyDescent="0.2"/>
    <row r="101" s="8" customFormat="1" x14ac:dyDescent="0.2"/>
    <row r="102" s="8" customFormat="1" x14ac:dyDescent="0.2"/>
    <row r="103" s="8" customFormat="1" x14ac:dyDescent="0.2"/>
    <row r="104" s="8" customFormat="1" x14ac:dyDescent="0.2"/>
    <row r="105" s="8" customFormat="1" x14ac:dyDescent="0.2"/>
    <row r="106" s="8" customFormat="1" x14ac:dyDescent="0.2"/>
    <row r="107" s="8" customFormat="1" x14ac:dyDescent="0.2"/>
    <row r="108" s="8" customFormat="1" x14ac:dyDescent="0.2"/>
    <row r="109" s="8" customFormat="1" x14ac:dyDescent="0.2"/>
    <row r="110" s="8" customFormat="1" x14ac:dyDescent="0.2"/>
    <row r="111" s="8" customFormat="1" x14ac:dyDescent="0.2"/>
    <row r="112" s="8" customFormat="1" x14ac:dyDescent="0.2"/>
    <row r="113" s="8" customFormat="1" x14ac:dyDescent="0.2"/>
    <row r="114" s="8" customFormat="1" x14ac:dyDescent="0.2"/>
    <row r="115" s="8" customFormat="1" x14ac:dyDescent="0.2"/>
    <row r="116" s="8" customFormat="1" x14ac:dyDescent="0.2"/>
    <row r="117" s="8" customFormat="1" x14ac:dyDescent="0.2"/>
    <row r="118" s="8" customFormat="1" x14ac:dyDescent="0.2"/>
    <row r="119" s="8" customFormat="1" x14ac:dyDescent="0.2"/>
    <row r="120" s="8" customFormat="1" x14ac:dyDescent="0.2"/>
    <row r="121" s="8" customFormat="1" x14ac:dyDescent="0.2"/>
    <row r="122" s="8" customFormat="1" x14ac:dyDescent="0.2"/>
    <row r="123" s="8" customFormat="1" x14ac:dyDescent="0.2"/>
    <row r="124" s="8" customFormat="1" x14ac:dyDescent="0.2"/>
    <row r="125" s="8" customFormat="1" x14ac:dyDescent="0.2"/>
    <row r="126" s="8" customFormat="1" x14ac:dyDescent="0.2"/>
    <row r="127" s="8" customFormat="1" x14ac:dyDescent="0.2"/>
    <row r="128" s="8" customFormat="1" x14ac:dyDescent="0.2"/>
    <row r="129" s="8" customFormat="1" x14ac:dyDescent="0.2"/>
    <row r="130" s="8" customFormat="1" x14ac:dyDescent="0.2"/>
    <row r="131" s="8" customFormat="1" x14ac:dyDescent="0.2"/>
    <row r="132" s="8" customFormat="1" x14ac:dyDescent="0.2"/>
    <row r="133" s="8" customFormat="1" x14ac:dyDescent="0.2"/>
    <row r="134" s="8" customFormat="1" x14ac:dyDescent="0.2"/>
    <row r="135" s="8" customFormat="1" x14ac:dyDescent="0.2"/>
    <row r="136" s="8" customFormat="1" x14ac:dyDescent="0.2"/>
    <row r="137" s="8" customFormat="1" x14ac:dyDescent="0.2"/>
    <row r="138" s="8" customFormat="1" x14ac:dyDescent="0.2"/>
    <row r="139" s="8" customFormat="1" x14ac:dyDescent="0.2"/>
    <row r="140" s="8" customFormat="1" x14ac:dyDescent="0.2"/>
    <row r="141" s="8" customFormat="1" x14ac:dyDescent="0.2"/>
    <row r="142" s="8" customFormat="1" x14ac:dyDescent="0.2"/>
    <row r="143" s="8" customFormat="1" x14ac:dyDescent="0.2"/>
    <row r="144" s="8" customFormat="1" x14ac:dyDescent="0.2"/>
    <row r="145" s="8" customFormat="1" x14ac:dyDescent="0.2"/>
    <row r="146" s="8" customFormat="1" x14ac:dyDescent="0.2"/>
    <row r="147" s="8" customFormat="1" x14ac:dyDescent="0.2"/>
    <row r="148" s="8" customFormat="1" x14ac:dyDescent="0.2"/>
    <row r="149" s="8" customFormat="1" x14ac:dyDescent="0.2"/>
    <row r="150" s="8" customFormat="1" x14ac:dyDescent="0.2"/>
    <row r="151" s="8" customFormat="1" x14ac:dyDescent="0.2"/>
    <row r="152" s="8" customFormat="1" x14ac:dyDescent="0.2"/>
    <row r="153" s="8" customFormat="1" x14ac:dyDescent="0.2"/>
    <row r="154" s="8" customFormat="1" x14ac:dyDescent="0.2"/>
    <row r="155" s="8" customFormat="1" x14ac:dyDescent="0.2"/>
    <row r="156" s="8" customFormat="1" x14ac:dyDescent="0.2"/>
    <row r="157" s="8" customFormat="1" x14ac:dyDescent="0.2"/>
    <row r="158" s="8" customFormat="1" x14ac:dyDescent="0.2"/>
    <row r="159" s="8" customFormat="1" x14ac:dyDescent="0.2"/>
    <row r="160" s="8" customFormat="1" x14ac:dyDescent="0.2"/>
    <row r="161" s="8" customFormat="1" x14ac:dyDescent="0.2"/>
    <row r="162" s="8" customFormat="1" x14ac:dyDescent="0.2"/>
    <row r="163" s="8" customFormat="1" x14ac:dyDescent="0.2"/>
    <row r="164" s="8" customFormat="1" x14ac:dyDescent="0.2"/>
    <row r="165" s="8" customFormat="1" x14ac:dyDescent="0.2"/>
    <row r="166" s="8" customFormat="1" x14ac:dyDescent="0.2"/>
    <row r="167" s="8" customFormat="1" x14ac:dyDescent="0.2"/>
    <row r="168" s="8" customFormat="1" x14ac:dyDescent="0.2"/>
    <row r="169" s="8" customFormat="1" x14ac:dyDescent="0.2"/>
    <row r="170" s="8" customFormat="1" x14ac:dyDescent="0.2"/>
    <row r="171" s="8" customFormat="1" x14ac:dyDescent="0.2"/>
    <row r="172" s="8" customFormat="1" x14ac:dyDescent="0.2"/>
    <row r="173" s="8" customFormat="1" x14ac:dyDescent="0.2"/>
    <row r="174" s="8" customFormat="1" x14ac:dyDescent="0.2"/>
    <row r="175" s="8" customFormat="1" x14ac:dyDescent="0.2"/>
    <row r="176" s="8" customFormat="1" x14ac:dyDescent="0.2"/>
    <row r="177" s="8" customFormat="1" x14ac:dyDescent="0.2"/>
    <row r="178" s="8" customFormat="1" x14ac:dyDescent="0.2"/>
    <row r="179" s="8" customFormat="1" x14ac:dyDescent="0.2"/>
    <row r="180" s="8" customFormat="1" x14ac:dyDescent="0.2"/>
    <row r="181" s="8" customFormat="1" x14ac:dyDescent="0.2"/>
    <row r="182" s="8" customFormat="1" x14ac:dyDescent="0.2"/>
    <row r="183" s="8" customFormat="1" x14ac:dyDescent="0.2"/>
    <row r="184" s="8" customFormat="1" x14ac:dyDescent="0.2"/>
    <row r="185" s="8" customFormat="1" x14ac:dyDescent="0.2"/>
    <row r="186" s="8" customFormat="1" x14ac:dyDescent="0.2"/>
    <row r="187" s="8" customFormat="1" x14ac:dyDescent="0.2"/>
    <row r="188" s="8" customFormat="1" x14ac:dyDescent="0.2"/>
    <row r="189" s="8" customFormat="1" x14ac:dyDescent="0.2"/>
    <row r="190" s="8" customFormat="1" x14ac:dyDescent="0.2"/>
    <row r="191" s="8" customFormat="1" x14ac:dyDescent="0.2"/>
    <row r="192" s="8" customFormat="1" x14ac:dyDescent="0.2"/>
    <row r="193" s="8" customFormat="1" x14ac:dyDescent="0.2"/>
    <row r="194" s="8" customFormat="1" x14ac:dyDescent="0.2"/>
    <row r="195" s="8" customFormat="1" x14ac:dyDescent="0.2"/>
    <row r="196" s="8" customFormat="1" x14ac:dyDescent="0.2"/>
    <row r="197" s="8" customFormat="1" x14ac:dyDescent="0.2"/>
    <row r="198" s="8" customFormat="1" x14ac:dyDescent="0.2"/>
    <row r="199" s="8" customFormat="1" x14ac:dyDescent="0.2"/>
    <row r="200" s="8" customFormat="1" x14ac:dyDescent="0.2"/>
    <row r="201" s="8" customFormat="1" x14ac:dyDescent="0.2"/>
    <row r="202" s="8" customFormat="1" x14ac:dyDescent="0.2"/>
    <row r="203" s="8" customFormat="1" x14ac:dyDescent="0.2"/>
    <row r="204" s="8" customFormat="1" x14ac:dyDescent="0.2"/>
    <row r="205" s="8" customFormat="1" x14ac:dyDescent="0.2"/>
    <row r="206" s="8" customFormat="1" x14ac:dyDescent="0.2"/>
    <row r="207" s="8" customFormat="1" x14ac:dyDescent="0.2"/>
    <row r="208" s="8" customFormat="1" x14ac:dyDescent="0.2"/>
    <row r="209" s="8" customFormat="1" x14ac:dyDescent="0.2"/>
    <row r="210" s="8" customFormat="1" x14ac:dyDescent="0.2"/>
    <row r="211" s="8" customFormat="1" x14ac:dyDescent="0.2"/>
    <row r="212" s="8" customFormat="1" x14ac:dyDescent="0.2"/>
    <row r="213" s="8" customFormat="1" x14ac:dyDescent="0.2"/>
    <row r="214" s="8" customFormat="1" x14ac:dyDescent="0.2"/>
    <row r="215" s="8" customFormat="1" x14ac:dyDescent="0.2"/>
    <row r="216" s="8" customFormat="1" x14ac:dyDescent="0.2"/>
    <row r="217" s="8" customFormat="1" x14ac:dyDescent="0.2"/>
    <row r="218" s="8" customFormat="1" x14ac:dyDescent="0.2"/>
    <row r="219" s="8" customFormat="1" x14ac:dyDescent="0.2"/>
    <row r="220" s="8" customFormat="1" x14ac:dyDescent="0.2"/>
    <row r="221" s="8" customFormat="1" x14ac:dyDescent="0.2"/>
    <row r="222" s="8" customFormat="1" x14ac:dyDescent="0.2"/>
    <row r="223" s="8" customFormat="1" x14ac:dyDescent="0.2"/>
    <row r="224" s="8" customFormat="1" x14ac:dyDescent="0.2"/>
    <row r="225" s="8" customFormat="1" x14ac:dyDescent="0.2"/>
    <row r="226" s="8" customFormat="1" x14ac:dyDescent="0.2"/>
    <row r="227" s="8" customFormat="1" x14ac:dyDescent="0.2"/>
    <row r="228" s="8" customFormat="1" x14ac:dyDescent="0.2"/>
    <row r="229" s="8" customFormat="1" x14ac:dyDescent="0.2"/>
    <row r="230" s="8" customFormat="1" x14ac:dyDescent="0.2"/>
    <row r="231" s="8" customFormat="1" x14ac:dyDescent="0.2"/>
    <row r="232" s="8" customFormat="1" x14ac:dyDescent="0.2"/>
    <row r="233" s="8" customFormat="1" x14ac:dyDescent="0.2"/>
    <row r="234" s="8" customFormat="1" x14ac:dyDescent="0.2"/>
    <row r="235" s="8" customFormat="1" x14ac:dyDescent="0.2"/>
    <row r="236" s="8" customFormat="1" x14ac:dyDescent="0.2"/>
    <row r="237" s="8" customFormat="1" x14ac:dyDescent="0.2"/>
    <row r="238" s="8" customFormat="1" x14ac:dyDescent="0.2"/>
    <row r="239" s="8" customFormat="1" x14ac:dyDescent="0.2"/>
    <row r="240" s="8" customFormat="1" x14ac:dyDescent="0.2"/>
    <row r="241" s="8" customFormat="1" x14ac:dyDescent="0.2"/>
    <row r="242" s="8" customFormat="1" x14ac:dyDescent="0.2"/>
    <row r="243" s="8" customFormat="1" x14ac:dyDescent="0.2"/>
    <row r="244" s="8" customFormat="1" x14ac:dyDescent="0.2"/>
    <row r="245" s="8" customFormat="1" x14ac:dyDescent="0.2"/>
    <row r="246" s="8" customFormat="1" x14ac:dyDescent="0.2"/>
    <row r="247" s="8" customFormat="1" x14ac:dyDescent="0.2"/>
    <row r="248" s="8" customFormat="1" x14ac:dyDescent="0.2"/>
    <row r="249" s="8" customFormat="1" x14ac:dyDescent="0.2"/>
    <row r="250" s="8" customFormat="1" x14ac:dyDescent="0.2"/>
    <row r="251" s="8" customFormat="1" x14ac:dyDescent="0.2"/>
    <row r="252" s="8" customFormat="1" x14ac:dyDescent="0.2"/>
    <row r="253" s="8" customFormat="1" x14ac:dyDescent="0.2"/>
    <row r="254" s="8" customFormat="1" x14ac:dyDescent="0.2"/>
    <row r="255" s="8" customFormat="1" x14ac:dyDescent="0.2"/>
    <row r="256" s="8" customFormat="1" x14ac:dyDescent="0.2"/>
    <row r="257" s="8" customFormat="1" x14ac:dyDescent="0.2"/>
    <row r="258" s="8" customFormat="1" x14ac:dyDescent="0.2"/>
    <row r="259" s="8" customFormat="1" x14ac:dyDescent="0.2"/>
    <row r="260" s="8" customFormat="1" x14ac:dyDescent="0.2"/>
    <row r="261" s="8" customFormat="1" x14ac:dyDescent="0.2"/>
    <row r="262" s="8" customFormat="1" x14ac:dyDescent="0.2"/>
    <row r="263" s="8" customFormat="1" x14ac:dyDescent="0.2"/>
    <row r="264" s="8" customFormat="1" x14ac:dyDescent="0.2"/>
    <row r="265" s="8" customFormat="1" x14ac:dyDescent="0.2"/>
    <row r="266" s="8" customFormat="1" x14ac:dyDescent="0.2"/>
    <row r="267" s="8" customFormat="1" x14ac:dyDescent="0.2"/>
    <row r="268" s="8" customFormat="1" x14ac:dyDescent="0.2"/>
    <row r="269" s="8" customFormat="1" x14ac:dyDescent="0.2"/>
    <row r="270" s="8" customFormat="1" x14ac:dyDescent="0.2"/>
    <row r="271" s="8" customFormat="1" x14ac:dyDescent="0.2"/>
    <row r="272" s="8" customFormat="1" x14ac:dyDescent="0.2"/>
    <row r="273" s="8" customFormat="1" x14ac:dyDescent="0.2"/>
    <row r="274" s="8" customFormat="1" x14ac:dyDescent="0.2"/>
    <row r="275" s="8" customFormat="1" x14ac:dyDescent="0.2"/>
    <row r="276" s="8" customFormat="1" x14ac:dyDescent="0.2"/>
    <row r="277" s="8" customFormat="1" x14ac:dyDescent="0.2"/>
    <row r="278" s="8" customFormat="1" x14ac:dyDescent="0.2"/>
    <row r="279" s="8" customFormat="1" x14ac:dyDescent="0.2"/>
    <row r="280" s="8" customFormat="1" x14ac:dyDescent="0.2"/>
    <row r="281" s="8" customFormat="1" x14ac:dyDescent="0.2"/>
    <row r="282" s="8" customFormat="1" x14ac:dyDescent="0.2"/>
    <row r="283" s="8" customFormat="1" x14ac:dyDescent="0.2"/>
    <row r="284" s="8" customFormat="1" x14ac:dyDescent="0.2"/>
    <row r="285" s="8" customFormat="1" x14ac:dyDescent="0.2"/>
    <row r="286" s="8" customFormat="1" x14ac:dyDescent="0.2"/>
    <row r="287" s="8" customFormat="1" x14ac:dyDescent="0.2"/>
    <row r="288" s="8" customFormat="1" x14ac:dyDescent="0.2"/>
    <row r="289" s="8" customFormat="1" x14ac:dyDescent="0.2"/>
    <row r="290" s="8" customFormat="1" x14ac:dyDescent="0.2"/>
    <row r="291" s="8" customFormat="1" x14ac:dyDescent="0.2"/>
    <row r="292" s="8" customFormat="1" x14ac:dyDescent="0.2"/>
    <row r="293" s="8" customFormat="1" x14ac:dyDescent="0.2"/>
    <row r="294" s="8" customFormat="1" x14ac:dyDescent="0.2"/>
    <row r="295" s="8" customFormat="1" x14ac:dyDescent="0.2"/>
    <row r="296" s="8" customFormat="1" x14ac:dyDescent="0.2"/>
    <row r="297" s="8" customFormat="1" x14ac:dyDescent="0.2"/>
    <row r="298" s="8" customFormat="1" x14ac:dyDescent="0.2"/>
    <row r="299" s="8" customFormat="1" x14ac:dyDescent="0.2"/>
    <row r="300" s="8" customFormat="1" x14ac:dyDescent="0.2"/>
    <row r="301" s="8" customFormat="1" x14ac:dyDescent="0.2"/>
    <row r="302" s="8" customFormat="1" x14ac:dyDescent="0.2"/>
    <row r="303" s="8" customFormat="1" x14ac:dyDescent="0.2"/>
    <row r="304" s="8" customFormat="1" x14ac:dyDescent="0.2"/>
    <row r="305" s="8" customFormat="1" x14ac:dyDescent="0.2"/>
    <row r="306" s="8" customFormat="1" x14ac:dyDescent="0.2"/>
    <row r="307" s="8" customFormat="1" x14ac:dyDescent="0.2"/>
    <row r="308" s="8" customFormat="1" x14ac:dyDescent="0.2"/>
    <row r="309" s="8" customFormat="1" x14ac:dyDescent="0.2"/>
    <row r="310" s="8" customFormat="1" x14ac:dyDescent="0.2"/>
    <row r="311" s="8" customFormat="1" x14ac:dyDescent="0.2"/>
    <row r="312" s="8" customFormat="1" x14ac:dyDescent="0.2"/>
    <row r="313" s="8" customFormat="1" x14ac:dyDescent="0.2"/>
    <row r="314" s="8" customFormat="1" x14ac:dyDescent="0.2"/>
    <row r="315" s="8" customFormat="1" x14ac:dyDescent="0.2"/>
    <row r="316" s="8" customFormat="1" x14ac:dyDescent="0.2"/>
    <row r="317" s="8" customFormat="1" x14ac:dyDescent="0.2"/>
    <row r="318" s="8" customFormat="1" x14ac:dyDescent="0.2"/>
    <row r="319" s="8" customFormat="1" x14ac:dyDescent="0.2"/>
    <row r="320" s="8" customFormat="1" x14ac:dyDescent="0.2"/>
    <row r="321" s="8" customFormat="1" x14ac:dyDescent="0.2"/>
    <row r="322" s="8" customFormat="1" x14ac:dyDescent="0.2"/>
    <row r="323" s="8" customFormat="1" x14ac:dyDescent="0.2"/>
    <row r="324" s="8" customFormat="1" x14ac:dyDescent="0.2"/>
    <row r="325" s="8" customFormat="1" x14ac:dyDescent="0.2"/>
    <row r="326" s="8" customFormat="1" x14ac:dyDescent="0.2"/>
    <row r="327" s="8" customFormat="1" x14ac:dyDescent="0.2"/>
    <row r="328" s="8" customFormat="1" x14ac:dyDescent="0.2"/>
    <row r="329" s="8" customFormat="1" x14ac:dyDescent="0.2"/>
    <row r="330" s="8" customFormat="1" x14ac:dyDescent="0.2"/>
    <row r="331" s="8" customFormat="1" x14ac:dyDescent="0.2"/>
    <row r="332" s="8" customFormat="1" x14ac:dyDescent="0.2"/>
    <row r="333" s="8" customFormat="1" x14ac:dyDescent="0.2"/>
    <row r="334" s="8" customFormat="1" x14ac:dyDescent="0.2"/>
    <row r="335" s="8" customFormat="1" x14ac:dyDescent="0.2"/>
    <row r="336" s="8" customFormat="1" x14ac:dyDescent="0.2"/>
    <row r="337" s="8" customFormat="1" x14ac:dyDescent="0.2"/>
    <row r="338" s="8" customFormat="1" x14ac:dyDescent="0.2"/>
    <row r="339" s="8" customFormat="1" x14ac:dyDescent="0.2"/>
    <row r="340" s="8" customFormat="1" x14ac:dyDescent="0.2"/>
    <row r="341" s="8" customFormat="1" x14ac:dyDescent="0.2"/>
    <row r="342" s="8" customFormat="1" x14ac:dyDescent="0.2"/>
    <row r="343" s="8" customFormat="1" x14ac:dyDescent="0.2"/>
    <row r="344" s="8" customFormat="1" x14ac:dyDescent="0.2"/>
    <row r="345" s="8" customFormat="1" x14ac:dyDescent="0.2"/>
    <row r="346" s="8" customFormat="1" x14ac:dyDescent="0.2"/>
    <row r="347" s="8" customFormat="1" x14ac:dyDescent="0.2"/>
    <row r="348" s="8" customFormat="1" x14ac:dyDescent="0.2"/>
    <row r="349" s="8" customFormat="1" x14ac:dyDescent="0.2"/>
    <row r="350" s="8" customFormat="1" x14ac:dyDescent="0.2"/>
    <row r="351" s="8" customFormat="1" x14ac:dyDescent="0.2"/>
    <row r="352" s="8" customFormat="1" x14ac:dyDescent="0.2"/>
    <row r="353" s="8" customFormat="1" x14ac:dyDescent="0.2"/>
    <row r="354" s="8" customFormat="1" x14ac:dyDescent="0.2"/>
    <row r="355" s="8" customFormat="1" x14ac:dyDescent="0.2"/>
    <row r="356" s="8" customFormat="1" x14ac:dyDescent="0.2"/>
    <row r="357" s="8" customFormat="1" x14ac:dyDescent="0.2"/>
    <row r="358" s="8" customFormat="1" x14ac:dyDescent="0.2"/>
    <row r="359" s="8" customFormat="1" x14ac:dyDescent="0.2"/>
    <row r="360" s="8" customFormat="1" x14ac:dyDescent="0.2"/>
    <row r="361" s="8" customFormat="1" x14ac:dyDescent="0.2"/>
    <row r="362" s="8" customFormat="1" x14ac:dyDescent="0.2"/>
    <row r="363" s="8" customFormat="1" x14ac:dyDescent="0.2"/>
    <row r="364" s="8" customFormat="1" x14ac:dyDescent="0.2"/>
    <row r="365" s="8" customFormat="1" x14ac:dyDescent="0.2"/>
    <row r="366" s="8" customFormat="1" x14ac:dyDescent="0.2"/>
    <row r="367" s="8" customFormat="1" x14ac:dyDescent="0.2"/>
    <row r="368" s="8" customFormat="1" x14ac:dyDescent="0.2"/>
    <row r="369" s="8" customFormat="1" x14ac:dyDescent="0.2"/>
    <row r="370" s="8" customFormat="1" x14ac:dyDescent="0.2"/>
    <row r="371" s="8" customFormat="1" x14ac:dyDescent="0.2"/>
    <row r="372" s="8" customFormat="1" x14ac:dyDescent="0.2"/>
    <row r="373" s="8" customFormat="1" x14ac:dyDescent="0.2"/>
    <row r="374" s="8" customFormat="1" x14ac:dyDescent="0.2"/>
    <row r="375" s="8" customFormat="1" x14ac:dyDescent="0.2"/>
    <row r="376" s="8" customFormat="1" x14ac:dyDescent="0.2"/>
    <row r="377" s="8" customFormat="1" x14ac:dyDescent="0.2"/>
    <row r="378" s="8" customFormat="1" x14ac:dyDescent="0.2"/>
    <row r="379" s="8" customFormat="1" x14ac:dyDescent="0.2"/>
    <row r="380" s="8" customFormat="1" x14ac:dyDescent="0.2"/>
    <row r="381" s="8" customFormat="1" x14ac:dyDescent="0.2"/>
    <row r="382" s="8" customFormat="1" x14ac:dyDescent="0.2"/>
    <row r="383" s="8" customFormat="1" x14ac:dyDescent="0.2"/>
    <row r="384" s="8" customFormat="1" x14ac:dyDescent="0.2"/>
    <row r="385" s="8" customFormat="1" x14ac:dyDescent="0.2"/>
    <row r="386" s="8" customFormat="1" x14ac:dyDescent="0.2"/>
    <row r="387" s="8" customFormat="1" x14ac:dyDescent="0.2"/>
    <row r="388" s="8" customFormat="1" x14ac:dyDescent="0.2"/>
    <row r="389" s="8" customFormat="1" x14ac:dyDescent="0.2"/>
    <row r="390" s="8" customFormat="1" x14ac:dyDescent="0.2"/>
    <row r="391" s="8" customFormat="1" x14ac:dyDescent="0.2"/>
    <row r="392" s="8" customFormat="1" x14ac:dyDescent="0.2"/>
    <row r="393" s="8" customFormat="1" x14ac:dyDescent="0.2"/>
    <row r="394" s="8" customFormat="1" x14ac:dyDescent="0.2"/>
    <row r="395" s="8" customFormat="1" x14ac:dyDescent="0.2"/>
    <row r="396" s="8" customFormat="1" x14ac:dyDescent="0.2"/>
    <row r="397" s="8" customFormat="1" x14ac:dyDescent="0.2"/>
    <row r="398" s="8" customFormat="1" x14ac:dyDescent="0.2"/>
    <row r="399" s="8" customFormat="1" x14ac:dyDescent="0.2"/>
    <row r="400" s="8" customFormat="1" x14ac:dyDescent="0.2"/>
    <row r="401" s="8" customFormat="1" x14ac:dyDescent="0.2"/>
    <row r="402" s="8" customFormat="1" x14ac:dyDescent="0.2"/>
    <row r="403" s="8" customFormat="1" x14ac:dyDescent="0.2"/>
    <row r="404" s="8" customFormat="1" x14ac:dyDescent="0.2"/>
    <row r="405" s="8" customFormat="1" x14ac:dyDescent="0.2"/>
    <row r="406" s="8" customFormat="1" x14ac:dyDescent="0.2"/>
    <row r="407" s="8" customFormat="1" x14ac:dyDescent="0.2"/>
    <row r="408" s="8" customFormat="1" x14ac:dyDescent="0.2"/>
    <row r="409" s="8" customFormat="1" x14ac:dyDescent="0.2"/>
    <row r="410" s="8" customFormat="1" x14ac:dyDescent="0.2"/>
    <row r="411" s="8" customFormat="1" x14ac:dyDescent="0.2"/>
    <row r="412" s="8" customFormat="1" x14ac:dyDescent="0.2"/>
    <row r="413" s="8" customFormat="1" x14ac:dyDescent="0.2"/>
    <row r="414" s="8" customFormat="1" x14ac:dyDescent="0.2"/>
    <row r="415" s="8" customFormat="1" x14ac:dyDescent="0.2"/>
    <row r="416" s="8" customFormat="1" x14ac:dyDescent="0.2"/>
    <row r="417" s="8" customFormat="1" x14ac:dyDescent="0.2"/>
    <row r="418" s="8" customFormat="1" x14ac:dyDescent="0.2"/>
    <row r="419" s="8" customFormat="1" x14ac:dyDescent="0.2"/>
    <row r="420" s="8" customFormat="1" x14ac:dyDescent="0.2"/>
    <row r="421" s="8" customFormat="1" x14ac:dyDescent="0.2"/>
    <row r="422" s="8" customFormat="1" x14ac:dyDescent="0.2"/>
    <row r="423" s="8" customFormat="1" x14ac:dyDescent="0.2"/>
    <row r="424" s="8" customFormat="1" x14ac:dyDescent="0.2"/>
    <row r="425" s="8" customFormat="1" x14ac:dyDescent="0.2"/>
    <row r="426" s="8" customFormat="1" x14ac:dyDescent="0.2"/>
    <row r="427" s="8" customFormat="1" x14ac:dyDescent="0.2"/>
    <row r="428" s="8" customFormat="1" x14ac:dyDescent="0.2"/>
    <row r="429" s="8" customFormat="1" x14ac:dyDescent="0.2"/>
    <row r="430" s="8" customFormat="1" x14ac:dyDescent="0.2"/>
    <row r="431" s="8" customFormat="1" x14ac:dyDescent="0.2"/>
    <row r="432" s="8" customFormat="1" x14ac:dyDescent="0.2"/>
    <row r="433" s="8" customFormat="1" x14ac:dyDescent="0.2"/>
    <row r="434" s="8" customFormat="1" x14ac:dyDescent="0.2"/>
    <row r="435" s="8" customFormat="1" x14ac:dyDescent="0.2"/>
    <row r="436" s="8" customFormat="1" x14ac:dyDescent="0.2"/>
    <row r="437" s="8" customFormat="1" x14ac:dyDescent="0.2"/>
    <row r="438" s="8" customFormat="1" x14ac:dyDescent="0.2"/>
    <row r="439" s="8" customFormat="1" x14ac:dyDescent="0.2"/>
    <row r="440" s="8" customFormat="1" x14ac:dyDescent="0.2"/>
    <row r="441" s="8" customFormat="1" x14ac:dyDescent="0.2"/>
    <row r="442" s="8" customFormat="1" x14ac:dyDescent="0.2"/>
    <row r="443" s="8" customFormat="1" x14ac:dyDescent="0.2"/>
    <row r="444" s="8" customFormat="1" x14ac:dyDescent="0.2"/>
    <row r="445" s="8" customFormat="1" x14ac:dyDescent="0.2"/>
    <row r="446" s="8" customFormat="1" x14ac:dyDescent="0.2"/>
    <row r="447" s="8" customFormat="1" x14ac:dyDescent="0.2"/>
    <row r="448" s="8" customFormat="1" x14ac:dyDescent="0.2"/>
    <row r="449" s="8" customFormat="1" x14ac:dyDescent="0.2"/>
    <row r="450" s="8" customFormat="1" x14ac:dyDescent="0.2"/>
    <row r="451" s="8" customFormat="1" x14ac:dyDescent="0.2"/>
    <row r="452" s="8" customFormat="1" x14ac:dyDescent="0.2"/>
    <row r="453" s="8" customFormat="1" x14ac:dyDescent="0.2"/>
    <row r="454" s="8" customFormat="1" x14ac:dyDescent="0.2"/>
    <row r="455" s="8" customFormat="1" x14ac:dyDescent="0.2"/>
    <row r="456" s="8" customFormat="1" x14ac:dyDescent="0.2"/>
    <row r="457" s="8" customFormat="1" x14ac:dyDescent="0.2"/>
    <row r="458" s="8" customFormat="1" x14ac:dyDescent="0.2"/>
    <row r="459" s="8" customFormat="1" x14ac:dyDescent="0.2"/>
    <row r="460" s="8" customFormat="1" x14ac:dyDescent="0.2"/>
    <row r="461" s="8" customFormat="1" x14ac:dyDescent="0.2"/>
    <row r="462" s="8" customFormat="1" x14ac:dyDescent="0.2"/>
    <row r="463" s="8" customFormat="1" x14ac:dyDescent="0.2"/>
    <row r="464" s="8" customFormat="1" x14ac:dyDescent="0.2"/>
    <row r="465" s="8" customFormat="1" x14ac:dyDescent="0.2"/>
    <row r="466" s="8" customFormat="1" x14ac:dyDescent="0.2"/>
    <row r="467" s="8" customFormat="1" x14ac:dyDescent="0.2"/>
    <row r="468" s="8" customFormat="1" x14ac:dyDescent="0.2"/>
    <row r="469" s="8" customFormat="1" x14ac:dyDescent="0.2"/>
    <row r="470" s="8" customFormat="1" x14ac:dyDescent="0.2"/>
    <row r="471" s="8" customFormat="1" x14ac:dyDescent="0.2"/>
    <row r="472" s="8" customFormat="1" x14ac:dyDescent="0.2"/>
    <row r="473" s="8" customFormat="1" x14ac:dyDescent="0.2"/>
    <row r="474" s="8" customFormat="1" x14ac:dyDescent="0.2"/>
    <row r="475" s="8" customFormat="1" x14ac:dyDescent="0.2"/>
    <row r="476" s="8" customFormat="1" x14ac:dyDescent="0.2"/>
    <row r="477" s="8" customFormat="1" x14ac:dyDescent="0.2"/>
    <row r="478" s="8" customFormat="1" x14ac:dyDescent="0.2"/>
    <row r="479" s="8" customFormat="1" x14ac:dyDescent="0.2"/>
    <row r="480" s="8" customFormat="1" x14ac:dyDescent="0.2"/>
    <row r="481" s="8" customFormat="1" x14ac:dyDescent="0.2"/>
    <row r="482" s="8" customFormat="1" x14ac:dyDescent="0.2"/>
    <row r="483" s="8" customFormat="1" x14ac:dyDescent="0.2"/>
    <row r="484" s="8" customFormat="1" x14ac:dyDescent="0.2"/>
    <row r="485" s="8" customFormat="1" x14ac:dyDescent="0.2"/>
    <row r="486" s="8" customFormat="1" x14ac:dyDescent="0.2"/>
    <row r="487" s="8" customFormat="1" x14ac:dyDescent="0.2"/>
    <row r="488" s="8" customFormat="1" x14ac:dyDescent="0.2"/>
    <row r="489" s="8" customFormat="1" x14ac:dyDescent="0.2"/>
    <row r="490" s="8" customFormat="1" x14ac:dyDescent="0.2"/>
    <row r="491" s="8" customFormat="1" x14ac:dyDescent="0.2"/>
    <row r="492" s="8" customFormat="1" x14ac:dyDescent="0.2"/>
    <row r="493" s="8" customFormat="1" x14ac:dyDescent="0.2"/>
    <row r="494" s="8" customFormat="1" x14ac:dyDescent="0.2"/>
    <row r="495" s="8" customFormat="1" x14ac:dyDescent="0.2"/>
    <row r="496" s="8" customFormat="1" x14ac:dyDescent="0.2"/>
    <row r="497" s="8" customFormat="1" x14ac:dyDescent="0.2"/>
    <row r="498" s="8" customFormat="1" x14ac:dyDescent="0.2"/>
    <row r="499" s="8" customFormat="1" x14ac:dyDescent="0.2"/>
    <row r="500" s="8" customFormat="1" x14ac:dyDescent="0.2"/>
    <row r="501" s="8" customFormat="1" x14ac:dyDescent="0.2"/>
    <row r="502" s="8" customFormat="1" x14ac:dyDescent="0.2"/>
    <row r="503" s="8" customFormat="1" x14ac:dyDescent="0.2"/>
    <row r="504" s="8" customFormat="1" x14ac:dyDescent="0.2"/>
    <row r="505" s="8" customFormat="1" x14ac:dyDescent="0.2"/>
    <row r="506" s="8" customFormat="1" x14ac:dyDescent="0.2"/>
    <row r="507" s="8" customFormat="1" x14ac:dyDescent="0.2"/>
    <row r="508" s="8" customFormat="1" x14ac:dyDescent="0.2"/>
    <row r="509" s="8" customFormat="1" x14ac:dyDescent="0.2"/>
    <row r="510" s="8" customFormat="1" x14ac:dyDescent="0.2"/>
    <row r="511" s="8" customFormat="1" x14ac:dyDescent="0.2"/>
    <row r="512" s="8" customFormat="1" x14ac:dyDescent="0.2"/>
    <row r="513" s="8" customFormat="1" x14ac:dyDescent="0.2"/>
    <row r="514" s="8" customFormat="1" x14ac:dyDescent="0.2"/>
    <row r="515" s="8" customFormat="1" x14ac:dyDescent="0.2"/>
    <row r="516" s="8" customFormat="1" x14ac:dyDescent="0.2"/>
    <row r="517" s="8" customFormat="1" x14ac:dyDescent="0.2"/>
    <row r="518" s="8" customFormat="1" x14ac:dyDescent="0.2"/>
    <row r="519" s="8" customFormat="1" x14ac:dyDescent="0.2"/>
    <row r="520" s="8" customFormat="1" x14ac:dyDescent="0.2"/>
    <row r="521" s="8" customFormat="1" x14ac:dyDescent="0.2"/>
    <row r="522" s="8" customFormat="1" x14ac:dyDescent="0.2"/>
    <row r="523" s="8" customFormat="1" x14ac:dyDescent="0.2"/>
    <row r="524" s="8" customFormat="1" x14ac:dyDescent="0.2"/>
    <row r="525" s="8" customFormat="1" x14ac:dyDescent="0.2"/>
    <row r="526" s="8" customFormat="1" x14ac:dyDescent="0.2"/>
    <row r="527" s="8" customFormat="1" x14ac:dyDescent="0.2"/>
    <row r="528" s="8" customFormat="1" x14ac:dyDescent="0.2"/>
    <row r="529" s="8" customFormat="1" x14ac:dyDescent="0.2"/>
    <row r="530" s="8" customFormat="1" x14ac:dyDescent="0.2"/>
    <row r="531" s="8" customFormat="1" x14ac:dyDescent="0.2"/>
    <row r="532" s="8" customFormat="1" x14ac:dyDescent="0.2"/>
    <row r="533" s="8" customFormat="1" x14ac:dyDescent="0.2"/>
    <row r="534" s="8" customFormat="1" x14ac:dyDescent="0.2"/>
    <row r="535" s="8" customFormat="1" x14ac:dyDescent="0.2"/>
    <row r="536" s="8" customFormat="1" x14ac:dyDescent="0.2"/>
    <row r="537" s="8" customFormat="1" x14ac:dyDescent="0.2"/>
    <row r="538" s="8" customFormat="1" x14ac:dyDescent="0.2"/>
    <row r="539" s="8" customFormat="1" x14ac:dyDescent="0.2"/>
    <row r="540" s="8" customFormat="1" x14ac:dyDescent="0.2"/>
    <row r="541" s="8" customFormat="1" x14ac:dyDescent="0.2"/>
    <row r="542" s="8" customFormat="1" x14ac:dyDescent="0.2"/>
    <row r="543" s="8" customFormat="1" x14ac:dyDescent="0.2"/>
    <row r="544" s="8" customFormat="1" x14ac:dyDescent="0.2"/>
    <row r="545" s="8" customFormat="1" x14ac:dyDescent="0.2"/>
    <row r="546" s="8" customFormat="1" x14ac:dyDescent="0.2"/>
    <row r="547" s="8" customFormat="1" x14ac:dyDescent="0.2"/>
    <row r="548" s="8" customFormat="1" x14ac:dyDescent="0.2"/>
    <row r="549" s="8" customFormat="1" x14ac:dyDescent="0.2"/>
    <row r="550" s="8" customFormat="1" x14ac:dyDescent="0.2"/>
    <row r="551" s="8" customFormat="1" x14ac:dyDescent="0.2"/>
    <row r="552" s="8" customFormat="1" x14ac:dyDescent="0.2"/>
    <row r="553" s="8" customFormat="1" x14ac:dyDescent="0.2"/>
    <row r="554" s="8" customFormat="1" x14ac:dyDescent="0.2"/>
    <row r="555" s="8" customFormat="1" x14ac:dyDescent="0.2"/>
    <row r="556" s="8" customFormat="1" x14ac:dyDescent="0.2"/>
    <row r="557" s="8" customFormat="1" x14ac:dyDescent="0.2"/>
    <row r="558" s="8" customFormat="1" x14ac:dyDescent="0.2"/>
    <row r="559" s="8" customFormat="1" x14ac:dyDescent="0.2"/>
    <row r="560" s="8" customFormat="1" x14ac:dyDescent="0.2"/>
    <row r="561" s="8" customFormat="1" x14ac:dyDescent="0.2"/>
    <row r="562" s="8" customFormat="1" x14ac:dyDescent="0.2"/>
    <row r="563" s="8" customFormat="1" x14ac:dyDescent="0.2"/>
    <row r="564" s="8" customFormat="1" x14ac:dyDescent="0.2"/>
    <row r="565" s="8" customFormat="1" x14ac:dyDescent="0.2"/>
    <row r="566" s="8" customFormat="1" x14ac:dyDescent="0.2"/>
    <row r="567" s="8" customFormat="1" x14ac:dyDescent="0.2"/>
    <row r="568" s="8" customFormat="1" x14ac:dyDescent="0.2"/>
    <row r="569" s="8" customFormat="1" x14ac:dyDescent="0.2"/>
    <row r="570" s="8" customFormat="1" x14ac:dyDescent="0.2"/>
    <row r="571" s="8" customFormat="1" x14ac:dyDescent="0.2"/>
    <row r="572" s="8" customFormat="1" x14ac:dyDescent="0.2"/>
    <row r="573" s="8" customFormat="1" x14ac:dyDescent="0.2"/>
    <row r="574" s="8" customFormat="1" x14ac:dyDescent="0.2"/>
    <row r="575" s="8" customFormat="1" x14ac:dyDescent="0.2"/>
    <row r="576" s="8" customFormat="1" x14ac:dyDescent="0.2"/>
    <row r="577" s="8" customFormat="1" x14ac:dyDescent="0.2"/>
    <row r="578" s="8" customFormat="1" x14ac:dyDescent="0.2"/>
    <row r="579" s="8" customFormat="1" x14ac:dyDescent="0.2"/>
    <row r="580" s="8" customFormat="1" x14ac:dyDescent="0.2"/>
    <row r="581" s="8" customFormat="1" x14ac:dyDescent="0.2"/>
    <row r="582" s="8" customFormat="1" x14ac:dyDescent="0.2"/>
    <row r="583" s="8" customFormat="1" x14ac:dyDescent="0.2"/>
    <row r="584" s="8" customFormat="1" x14ac:dyDescent="0.2"/>
    <row r="585" s="8" customFormat="1" x14ac:dyDescent="0.2"/>
    <row r="586" s="8" customFormat="1" x14ac:dyDescent="0.2"/>
    <row r="587" s="8" customFormat="1" x14ac:dyDescent="0.2"/>
    <row r="588" s="8" customFormat="1" x14ac:dyDescent="0.2"/>
    <row r="589" s="8" customFormat="1" x14ac:dyDescent="0.2"/>
    <row r="590" s="8" customFormat="1" x14ac:dyDescent="0.2"/>
    <row r="591" s="8" customFormat="1" x14ac:dyDescent="0.2"/>
    <row r="592" s="8" customFormat="1" x14ac:dyDescent="0.2"/>
    <row r="593" s="8" customFormat="1" x14ac:dyDescent="0.2"/>
    <row r="594" s="8" customFormat="1" x14ac:dyDescent="0.2"/>
    <row r="595" s="8" customFormat="1" x14ac:dyDescent="0.2"/>
    <row r="596" s="8" customFormat="1" x14ac:dyDescent="0.2"/>
    <row r="597" s="8" customFormat="1" x14ac:dyDescent="0.2"/>
    <row r="598" s="8" customFormat="1" x14ac:dyDescent="0.2"/>
    <row r="599" s="8" customFormat="1" x14ac:dyDescent="0.2"/>
    <row r="600" s="8" customFormat="1" x14ac:dyDescent="0.2"/>
    <row r="601" s="8" customFormat="1" x14ac:dyDescent="0.2"/>
    <row r="602" s="8" customFormat="1" x14ac:dyDescent="0.2"/>
    <row r="603" s="8" customFormat="1" x14ac:dyDescent="0.2"/>
    <row r="604" s="8" customFormat="1" x14ac:dyDescent="0.2"/>
    <row r="605" s="8" customFormat="1" x14ac:dyDescent="0.2"/>
    <row r="606" s="8" customFormat="1" x14ac:dyDescent="0.2"/>
    <row r="607" s="8" customFormat="1" x14ac:dyDescent="0.2"/>
    <row r="608" s="8" customFormat="1" x14ac:dyDescent="0.2"/>
    <row r="609" s="8" customFormat="1" x14ac:dyDescent="0.2"/>
    <row r="610" s="8" customFormat="1" x14ac:dyDescent="0.2"/>
    <row r="611" s="8" customFormat="1" x14ac:dyDescent="0.2"/>
    <row r="612" s="8" customFormat="1" x14ac:dyDescent="0.2"/>
    <row r="613" s="8" customFormat="1" x14ac:dyDescent="0.2"/>
    <row r="614" s="8" customFormat="1" x14ac:dyDescent="0.2"/>
    <row r="615" s="8" customFormat="1" x14ac:dyDescent="0.2"/>
    <row r="616" s="8" customFormat="1" x14ac:dyDescent="0.2"/>
    <row r="617" s="8" customFormat="1" x14ac:dyDescent="0.2"/>
    <row r="618" s="8" customFormat="1" x14ac:dyDescent="0.2"/>
    <row r="619" s="8" customFormat="1" x14ac:dyDescent="0.2"/>
    <row r="620" s="8" customFormat="1" x14ac:dyDescent="0.2"/>
    <row r="621" s="8" customFormat="1" x14ac:dyDescent="0.2"/>
    <row r="622" s="8" customFormat="1" x14ac:dyDescent="0.2"/>
    <row r="623" s="8" customFormat="1" x14ac:dyDescent="0.2"/>
    <row r="624" s="8" customFormat="1" x14ac:dyDescent="0.2"/>
    <row r="625" s="8" customFormat="1" x14ac:dyDescent="0.2"/>
    <row r="626" s="8" customFormat="1" x14ac:dyDescent="0.2"/>
    <row r="627" s="8" customFormat="1" x14ac:dyDescent="0.2"/>
    <row r="628" s="8" customFormat="1" x14ac:dyDescent="0.2"/>
    <row r="629" s="8" customFormat="1" x14ac:dyDescent="0.2"/>
    <row r="630" s="8" customFormat="1" x14ac:dyDescent="0.2"/>
    <row r="631" s="8" customFormat="1" x14ac:dyDescent="0.2"/>
    <row r="632" s="8" customFormat="1" x14ac:dyDescent="0.2"/>
    <row r="633" s="8" customFormat="1" x14ac:dyDescent="0.2"/>
    <row r="634" s="8" customFormat="1" x14ac:dyDescent="0.2"/>
    <row r="635" s="8" customFormat="1" x14ac:dyDescent="0.2"/>
    <row r="636" s="8" customFormat="1" x14ac:dyDescent="0.2"/>
    <row r="637" s="8" customFormat="1" x14ac:dyDescent="0.2"/>
    <row r="638" s="8" customFormat="1" x14ac:dyDescent="0.2"/>
    <row r="639" s="8" customFormat="1" x14ac:dyDescent="0.2"/>
    <row r="640" s="8" customFormat="1" x14ac:dyDescent="0.2"/>
    <row r="641" s="8" customFormat="1" x14ac:dyDescent="0.2"/>
    <row r="642" s="8" customFormat="1" x14ac:dyDescent="0.2"/>
    <row r="643" s="8" customFormat="1" x14ac:dyDescent="0.2"/>
    <row r="644" s="8" customFormat="1" x14ac:dyDescent="0.2"/>
    <row r="645" s="8" customFormat="1" x14ac:dyDescent="0.2"/>
    <row r="646" s="8" customFormat="1" x14ac:dyDescent="0.2"/>
    <row r="647" s="8" customFormat="1" x14ac:dyDescent="0.2"/>
    <row r="648" s="8" customFormat="1" x14ac:dyDescent="0.2"/>
    <row r="649" s="8" customFormat="1" x14ac:dyDescent="0.2"/>
    <row r="650" s="8" customFormat="1" x14ac:dyDescent="0.2"/>
    <row r="651" s="8" customFormat="1" x14ac:dyDescent="0.2"/>
    <row r="652" s="8" customFormat="1" x14ac:dyDescent="0.2"/>
    <row r="653" s="8" customFormat="1" x14ac:dyDescent="0.2"/>
    <row r="654" s="8" customFormat="1" x14ac:dyDescent="0.2"/>
    <row r="655" s="8" customFormat="1" x14ac:dyDescent="0.2"/>
    <row r="656" s="8" customFormat="1" x14ac:dyDescent="0.2"/>
    <row r="657" s="8" customFormat="1" x14ac:dyDescent="0.2"/>
    <row r="658" s="8" customFormat="1" x14ac:dyDescent="0.2"/>
    <row r="659" s="8" customFormat="1" x14ac:dyDescent="0.2"/>
    <row r="660" s="8" customFormat="1" x14ac:dyDescent="0.2"/>
    <row r="661" s="8" customFormat="1" x14ac:dyDescent="0.2"/>
    <row r="662" s="8" customFormat="1" x14ac:dyDescent="0.2"/>
    <row r="663" s="8" customFormat="1" x14ac:dyDescent="0.2"/>
    <row r="664" s="8" customFormat="1" x14ac:dyDescent="0.2"/>
    <row r="665" s="8" customFormat="1" x14ac:dyDescent="0.2"/>
    <row r="666" s="8" customFormat="1" x14ac:dyDescent="0.2"/>
    <row r="667" s="8" customFormat="1" x14ac:dyDescent="0.2"/>
    <row r="668" s="8" customFormat="1" x14ac:dyDescent="0.2"/>
    <row r="669" s="8" customFormat="1" x14ac:dyDescent="0.2"/>
    <row r="670" s="8" customFormat="1" x14ac:dyDescent="0.2"/>
    <row r="671" s="8" customFormat="1" x14ac:dyDescent="0.2"/>
    <row r="672" s="8" customFormat="1" x14ac:dyDescent="0.2"/>
    <row r="673" s="8" customFormat="1" x14ac:dyDescent="0.2"/>
    <row r="674" s="8" customFormat="1" x14ac:dyDescent="0.2"/>
    <row r="675" s="8" customFormat="1" x14ac:dyDescent="0.2"/>
    <row r="676" s="8" customFormat="1" x14ac:dyDescent="0.2"/>
    <row r="677" s="8" customFormat="1" x14ac:dyDescent="0.2"/>
    <row r="678" s="8" customFormat="1" x14ac:dyDescent="0.2"/>
    <row r="679" s="8" customFormat="1" x14ac:dyDescent="0.2"/>
    <row r="680" s="8" customFormat="1" x14ac:dyDescent="0.2"/>
    <row r="681" s="8" customFormat="1" x14ac:dyDescent="0.2"/>
    <row r="682" s="8" customFormat="1" x14ac:dyDescent="0.2"/>
    <row r="683" s="8" customFormat="1" x14ac:dyDescent="0.2"/>
    <row r="684" s="8" customFormat="1" x14ac:dyDescent="0.2"/>
    <row r="685" s="8" customFormat="1" x14ac:dyDescent="0.2"/>
    <row r="686" s="8" customFormat="1" x14ac:dyDescent="0.2"/>
    <row r="687" s="8" customFormat="1" x14ac:dyDescent="0.2"/>
    <row r="688" s="8" customFormat="1" x14ac:dyDescent="0.2"/>
    <row r="689" s="8" customFormat="1" x14ac:dyDescent="0.2"/>
    <row r="690" s="8" customFormat="1" x14ac:dyDescent="0.2"/>
    <row r="691" s="8" customFormat="1" x14ac:dyDescent="0.2"/>
    <row r="692" s="8" customFormat="1" x14ac:dyDescent="0.2"/>
    <row r="693" s="8" customFormat="1" x14ac:dyDescent="0.2"/>
    <row r="694" s="8" customFormat="1" x14ac:dyDescent="0.2"/>
    <row r="695" s="8" customFormat="1" x14ac:dyDescent="0.2"/>
    <row r="696" s="8" customFormat="1" x14ac:dyDescent="0.2"/>
    <row r="697" s="8" customFormat="1" x14ac:dyDescent="0.2"/>
    <row r="698" s="8" customFormat="1" x14ac:dyDescent="0.2"/>
    <row r="699" s="8" customFormat="1" x14ac:dyDescent="0.2"/>
    <row r="700" s="8" customFormat="1" x14ac:dyDescent="0.2"/>
    <row r="701" s="8" customFormat="1" x14ac:dyDescent="0.2"/>
    <row r="702" s="8" customFormat="1" x14ac:dyDescent="0.2"/>
    <row r="703" s="8" customFormat="1" x14ac:dyDescent="0.2"/>
    <row r="704" s="8" customFormat="1" x14ac:dyDescent="0.2"/>
    <row r="705" s="8" customFormat="1" x14ac:dyDescent="0.2"/>
    <row r="706" s="8" customFormat="1" x14ac:dyDescent="0.2"/>
    <row r="707" s="8" customFormat="1" x14ac:dyDescent="0.2"/>
    <row r="708" s="8" customFormat="1" x14ac:dyDescent="0.2"/>
    <row r="709" s="8" customFormat="1" x14ac:dyDescent="0.2"/>
    <row r="710" s="8" customFormat="1" x14ac:dyDescent="0.2"/>
    <row r="711" s="8" customFormat="1" x14ac:dyDescent="0.2"/>
    <row r="712" s="8" customFormat="1" x14ac:dyDescent="0.2"/>
    <row r="713" s="8" customFormat="1" x14ac:dyDescent="0.2"/>
    <row r="714" s="8" customFormat="1" x14ac:dyDescent="0.2"/>
    <row r="715" s="8" customFormat="1" x14ac:dyDescent="0.2"/>
    <row r="716" s="8" customFormat="1" x14ac:dyDescent="0.2"/>
    <row r="717" s="8" customFormat="1" x14ac:dyDescent="0.2"/>
    <row r="718" s="8" customFormat="1" x14ac:dyDescent="0.2"/>
    <row r="719" s="8" customFormat="1" x14ac:dyDescent="0.2"/>
    <row r="720" s="8" customFormat="1" x14ac:dyDescent="0.2"/>
    <row r="721" s="8" customFormat="1" x14ac:dyDescent="0.2"/>
    <row r="722" s="8" customFormat="1" x14ac:dyDescent="0.2"/>
    <row r="723" s="8" customFormat="1" x14ac:dyDescent="0.2"/>
    <row r="724" s="8" customFormat="1" x14ac:dyDescent="0.2"/>
    <row r="725" s="8" customFormat="1" x14ac:dyDescent="0.2"/>
    <row r="726" s="8" customFormat="1" x14ac:dyDescent="0.2"/>
    <row r="727" s="8" customFormat="1" x14ac:dyDescent="0.2"/>
    <row r="728" s="8" customFormat="1" x14ac:dyDescent="0.2"/>
    <row r="729" s="8" customFormat="1" x14ac:dyDescent="0.2"/>
    <row r="730" s="8" customFormat="1" x14ac:dyDescent="0.2"/>
    <row r="731" s="8" customFormat="1" x14ac:dyDescent="0.2"/>
    <row r="732" s="8" customFormat="1" x14ac:dyDescent="0.2"/>
    <row r="733" s="8" customFormat="1" x14ac:dyDescent="0.2"/>
    <row r="734" s="8" customFormat="1" x14ac:dyDescent="0.2"/>
    <row r="735" s="8" customFormat="1" x14ac:dyDescent="0.2"/>
    <row r="736" s="8" customFormat="1" x14ac:dyDescent="0.2"/>
    <row r="737" s="8" customFormat="1" x14ac:dyDescent="0.2"/>
    <row r="738" s="8" customFormat="1" x14ac:dyDescent="0.2"/>
    <row r="739" s="8" customFormat="1" x14ac:dyDescent="0.2"/>
    <row r="740" s="8" customFormat="1" x14ac:dyDescent="0.2"/>
    <row r="741" s="8" customFormat="1" x14ac:dyDescent="0.2"/>
    <row r="742" s="8" customFormat="1" x14ac:dyDescent="0.2"/>
    <row r="743" s="8" customFormat="1" x14ac:dyDescent="0.2"/>
    <row r="744" s="8" customFormat="1" x14ac:dyDescent="0.2"/>
    <row r="745" s="8" customFormat="1" x14ac:dyDescent="0.2"/>
    <row r="746" s="8" customFormat="1" x14ac:dyDescent="0.2"/>
    <row r="747" s="8" customFormat="1" x14ac:dyDescent="0.2"/>
    <row r="748" s="8" customFormat="1" x14ac:dyDescent="0.2"/>
    <row r="749" s="8" customFormat="1" x14ac:dyDescent="0.2"/>
    <row r="750" s="8" customFormat="1" x14ac:dyDescent="0.2"/>
    <row r="751" s="8" customFormat="1" x14ac:dyDescent="0.2"/>
    <row r="752" s="8" customFormat="1" x14ac:dyDescent="0.2"/>
    <row r="753" s="8" customFormat="1" x14ac:dyDescent="0.2"/>
    <row r="754" s="8" customFormat="1" x14ac:dyDescent="0.2"/>
    <row r="755" s="8" customFormat="1" x14ac:dyDescent="0.2"/>
    <row r="756" s="8" customFormat="1" x14ac:dyDescent="0.2"/>
    <row r="757" s="8" customFormat="1" x14ac:dyDescent="0.2"/>
    <row r="758" s="8" customFormat="1" x14ac:dyDescent="0.2"/>
    <row r="759" s="8" customFormat="1" x14ac:dyDescent="0.2"/>
    <row r="760" s="8" customFormat="1" x14ac:dyDescent="0.2"/>
    <row r="761" s="8" customFormat="1" x14ac:dyDescent="0.2"/>
    <row r="762" s="8" customFormat="1" x14ac:dyDescent="0.2"/>
    <row r="763" s="8" customFormat="1" x14ac:dyDescent="0.2"/>
    <row r="764" s="8" customFormat="1" x14ac:dyDescent="0.2"/>
    <row r="765" s="8" customFormat="1" x14ac:dyDescent="0.2"/>
    <row r="766" s="8" customFormat="1" x14ac:dyDescent="0.2"/>
    <row r="767" s="8" customFormat="1" x14ac:dyDescent="0.2"/>
    <row r="768" s="8" customFormat="1" x14ac:dyDescent="0.2"/>
    <row r="769" s="8" customFormat="1" x14ac:dyDescent="0.2"/>
    <row r="770" s="8" customFormat="1" x14ac:dyDescent="0.2"/>
    <row r="771" s="8" customFormat="1" x14ac:dyDescent="0.2"/>
    <row r="772" s="8" customFormat="1" x14ac:dyDescent="0.2"/>
    <row r="773" s="8" customFormat="1" x14ac:dyDescent="0.2"/>
    <row r="774" s="8" customFormat="1" x14ac:dyDescent="0.2"/>
    <row r="775" s="8" customFormat="1" x14ac:dyDescent="0.2"/>
    <row r="776" s="8" customFormat="1" x14ac:dyDescent="0.2"/>
    <row r="777" s="8" customFormat="1" x14ac:dyDescent="0.2"/>
    <row r="778" s="8" customFormat="1" x14ac:dyDescent="0.2"/>
    <row r="779" s="8" customFormat="1" x14ac:dyDescent="0.2"/>
    <row r="780" s="8" customFormat="1" x14ac:dyDescent="0.2"/>
    <row r="781" s="8" customFormat="1" x14ac:dyDescent="0.2"/>
    <row r="782" s="8" customFormat="1" x14ac:dyDescent="0.2"/>
    <row r="783" s="8" customFormat="1" x14ac:dyDescent="0.2"/>
    <row r="784" s="8" customFormat="1" x14ac:dyDescent="0.2"/>
    <row r="785" s="8" customFormat="1" x14ac:dyDescent="0.2"/>
    <row r="786" s="8" customFormat="1" x14ac:dyDescent="0.2"/>
    <row r="787" s="8" customFormat="1" x14ac:dyDescent="0.2"/>
    <row r="788" s="8" customFormat="1" x14ac:dyDescent="0.2"/>
    <row r="789" s="8" customFormat="1" x14ac:dyDescent="0.2"/>
    <row r="790" s="8" customFormat="1" x14ac:dyDescent="0.2"/>
    <row r="791" s="8" customFormat="1" x14ac:dyDescent="0.2"/>
    <row r="792" s="8" customFormat="1" x14ac:dyDescent="0.2"/>
    <row r="793" s="8" customFormat="1" x14ac:dyDescent="0.2"/>
    <row r="794" s="8" customFormat="1" x14ac:dyDescent="0.2"/>
    <row r="795" s="8" customFormat="1" x14ac:dyDescent="0.2"/>
    <row r="796" s="8" customFormat="1" x14ac:dyDescent="0.2"/>
    <row r="797" s="8" customFormat="1" x14ac:dyDescent="0.2"/>
    <row r="798" s="8" customFormat="1" x14ac:dyDescent="0.2"/>
    <row r="799" s="8" customFormat="1" x14ac:dyDescent="0.2"/>
    <row r="800" s="8" customFormat="1" x14ac:dyDescent="0.2"/>
    <row r="801" s="8" customFormat="1" x14ac:dyDescent="0.2"/>
    <row r="802" s="8" customFormat="1" x14ac:dyDescent="0.2"/>
    <row r="803" s="8" customFormat="1" x14ac:dyDescent="0.2"/>
    <row r="804" s="8" customFormat="1" x14ac:dyDescent="0.2"/>
    <row r="805" s="8" customFormat="1" x14ac:dyDescent="0.2"/>
    <row r="806" s="8" customFormat="1" x14ac:dyDescent="0.2"/>
    <row r="807" s="8" customFormat="1" x14ac:dyDescent="0.2"/>
    <row r="808" s="8" customFormat="1" x14ac:dyDescent="0.2"/>
    <row r="809" s="8" customFormat="1" x14ac:dyDescent="0.2"/>
    <row r="810" s="8" customFormat="1" x14ac:dyDescent="0.2"/>
    <row r="811" s="8" customFormat="1" x14ac:dyDescent="0.2"/>
    <row r="812" s="8" customFormat="1" x14ac:dyDescent="0.2"/>
    <row r="813" s="8" customFormat="1" x14ac:dyDescent="0.2"/>
    <row r="814" s="8" customFormat="1" x14ac:dyDescent="0.2"/>
    <row r="815" s="8" customFormat="1" x14ac:dyDescent="0.2"/>
    <row r="816" s="8" customFormat="1" x14ac:dyDescent="0.2"/>
    <row r="817" s="8" customFormat="1" x14ac:dyDescent="0.2"/>
    <row r="818" s="8" customFormat="1" x14ac:dyDescent="0.2"/>
    <row r="819" s="8" customFormat="1" x14ac:dyDescent="0.2"/>
    <row r="820" s="8" customFormat="1" x14ac:dyDescent="0.2"/>
    <row r="821" s="8" customFormat="1" x14ac:dyDescent="0.2"/>
    <row r="822" s="8" customFormat="1" x14ac:dyDescent="0.2"/>
    <row r="823" s="8" customFormat="1" x14ac:dyDescent="0.2"/>
    <row r="824" s="8" customFormat="1" x14ac:dyDescent="0.2"/>
    <row r="825" s="8" customFormat="1" x14ac:dyDescent="0.2"/>
    <row r="826" s="8" customFormat="1" x14ac:dyDescent="0.2"/>
    <row r="827" s="8" customFormat="1" x14ac:dyDescent="0.2"/>
    <row r="828" s="8" customFormat="1" x14ac:dyDescent="0.2"/>
    <row r="829" s="8" customFormat="1" x14ac:dyDescent="0.2"/>
    <row r="830" s="8" customFormat="1" x14ac:dyDescent="0.2"/>
    <row r="831" s="8" customFormat="1" x14ac:dyDescent="0.2"/>
    <row r="832" s="8" customFormat="1" x14ac:dyDescent="0.2"/>
    <row r="833" s="8" customFormat="1" x14ac:dyDescent="0.2"/>
    <row r="834" s="8" customFormat="1" x14ac:dyDescent="0.2"/>
    <row r="835" s="8" customFormat="1" x14ac:dyDescent="0.2"/>
    <row r="836" s="8" customFormat="1" x14ac:dyDescent="0.2"/>
    <row r="837" s="8" customFormat="1" x14ac:dyDescent="0.2"/>
    <row r="838" s="8" customFormat="1" x14ac:dyDescent="0.2"/>
    <row r="839" s="8" customFormat="1" x14ac:dyDescent="0.2"/>
    <row r="840" s="8" customFormat="1" x14ac:dyDescent="0.2"/>
    <row r="841" s="8" customFormat="1" x14ac:dyDescent="0.2"/>
    <row r="842" s="8" customFormat="1" x14ac:dyDescent="0.2"/>
    <row r="843" s="8" customFormat="1" x14ac:dyDescent="0.2"/>
    <row r="844" s="8" customFormat="1" x14ac:dyDescent="0.2"/>
    <row r="845" s="8" customFormat="1" x14ac:dyDescent="0.2"/>
    <row r="846" s="8" customFormat="1" x14ac:dyDescent="0.2"/>
    <row r="847" s="8" customFormat="1" x14ac:dyDescent="0.2"/>
    <row r="848" s="8" customFormat="1" x14ac:dyDescent="0.2"/>
    <row r="849" s="8" customFormat="1" x14ac:dyDescent="0.2"/>
    <row r="850" s="8" customFormat="1" x14ac:dyDescent="0.2"/>
    <row r="851" s="8" customFormat="1" x14ac:dyDescent="0.2"/>
    <row r="852" s="8" customFormat="1" x14ac:dyDescent="0.2"/>
    <row r="853" s="8" customFormat="1" x14ac:dyDescent="0.2"/>
    <row r="854" s="8" customFormat="1" x14ac:dyDescent="0.2"/>
    <row r="855" s="8" customFormat="1" x14ac:dyDescent="0.2"/>
    <row r="856" s="8" customFormat="1" x14ac:dyDescent="0.2"/>
    <row r="857" s="8" customFormat="1" x14ac:dyDescent="0.2"/>
    <row r="858" s="8" customFormat="1" x14ac:dyDescent="0.2"/>
    <row r="859" s="8" customFormat="1" x14ac:dyDescent="0.2"/>
    <row r="860" s="8" customFormat="1" x14ac:dyDescent="0.2"/>
    <row r="861" s="8" customFormat="1" x14ac:dyDescent="0.2"/>
    <row r="862" s="8" customFormat="1" x14ac:dyDescent="0.2"/>
    <row r="863" s="8" customFormat="1" x14ac:dyDescent="0.2"/>
    <row r="864" s="8" customFormat="1" x14ac:dyDescent="0.2"/>
    <row r="865" s="8" customFormat="1" x14ac:dyDescent="0.2"/>
    <row r="866" s="8" customFormat="1" x14ac:dyDescent="0.2"/>
    <row r="867" s="8" customFormat="1" x14ac:dyDescent="0.2"/>
    <row r="868" s="8" customFormat="1" x14ac:dyDescent="0.2"/>
    <row r="869" s="8" customFormat="1" x14ac:dyDescent="0.2"/>
    <row r="870" s="8" customFormat="1" x14ac:dyDescent="0.2"/>
    <row r="871" s="8" customFormat="1" x14ac:dyDescent="0.2"/>
    <row r="872" s="8" customFormat="1" x14ac:dyDescent="0.2"/>
    <row r="873" s="8" customFormat="1" x14ac:dyDescent="0.2"/>
    <row r="874" s="8" customFormat="1" x14ac:dyDescent="0.2"/>
    <row r="875" s="8" customFormat="1" x14ac:dyDescent="0.2"/>
    <row r="876" s="8" customFormat="1" x14ac:dyDescent="0.2"/>
    <row r="877" s="8" customFormat="1" x14ac:dyDescent="0.2"/>
    <row r="878" s="8" customFormat="1" x14ac:dyDescent="0.2"/>
    <row r="879" s="8" customFormat="1" x14ac:dyDescent="0.2"/>
    <row r="880" s="8" customFormat="1" x14ac:dyDescent="0.2"/>
    <row r="881" s="8" customFormat="1" x14ac:dyDescent="0.2"/>
    <row r="882" s="8" customFormat="1" x14ac:dyDescent="0.2"/>
    <row r="883" s="8" customFormat="1" x14ac:dyDescent="0.2"/>
    <row r="884" s="8" customFormat="1" x14ac:dyDescent="0.2"/>
    <row r="885" s="8" customFormat="1" x14ac:dyDescent="0.2"/>
    <row r="886" s="8" customFormat="1" x14ac:dyDescent="0.2"/>
    <row r="887" s="8" customFormat="1" x14ac:dyDescent="0.2"/>
    <row r="888" s="8" customFormat="1" x14ac:dyDescent="0.2"/>
    <row r="889" s="8" customFormat="1" x14ac:dyDescent="0.2"/>
    <row r="890" s="8" customFormat="1" x14ac:dyDescent="0.2"/>
    <row r="891" s="8" customFormat="1" x14ac:dyDescent="0.2"/>
    <row r="892" s="8" customFormat="1" x14ac:dyDescent="0.2"/>
    <row r="893" s="8" customFormat="1" x14ac:dyDescent="0.2"/>
    <row r="894" s="8" customFormat="1" x14ac:dyDescent="0.2"/>
    <row r="895" s="8" customFormat="1" x14ac:dyDescent="0.2"/>
    <row r="896" s="8" customFormat="1" x14ac:dyDescent="0.2"/>
    <row r="897" s="8" customFormat="1" x14ac:dyDescent="0.2"/>
    <row r="898" s="8" customFormat="1" x14ac:dyDescent="0.2"/>
    <row r="899" s="8" customFormat="1" x14ac:dyDescent="0.2"/>
    <row r="900" s="8" customFormat="1" x14ac:dyDescent="0.2"/>
    <row r="901" s="8" customFormat="1" x14ac:dyDescent="0.2"/>
    <row r="902" s="8" customFormat="1" x14ac:dyDescent="0.2"/>
    <row r="903" s="8" customFormat="1" x14ac:dyDescent="0.2"/>
    <row r="904" s="8" customFormat="1" x14ac:dyDescent="0.2"/>
    <row r="905" s="8" customFormat="1" x14ac:dyDescent="0.2"/>
    <row r="906" s="8" customFormat="1" x14ac:dyDescent="0.2"/>
    <row r="907" s="8" customFormat="1" x14ac:dyDescent="0.2"/>
    <row r="908" s="8" customFormat="1" x14ac:dyDescent="0.2"/>
    <row r="909" s="8" customFormat="1" x14ac:dyDescent="0.2"/>
    <row r="910" s="8" customFormat="1" x14ac:dyDescent="0.2"/>
    <row r="911" s="8" customFormat="1" x14ac:dyDescent="0.2"/>
    <row r="912" s="8" customFormat="1" x14ac:dyDescent="0.2"/>
    <row r="913" s="8" customFormat="1" x14ac:dyDescent="0.2"/>
    <row r="914" s="8" customFormat="1" x14ac:dyDescent="0.2"/>
    <row r="915" s="8" customFormat="1" x14ac:dyDescent="0.2"/>
    <row r="916" s="8" customFormat="1" x14ac:dyDescent="0.2"/>
    <row r="917" s="8" customFormat="1" x14ac:dyDescent="0.2"/>
    <row r="918" s="8" customFormat="1" x14ac:dyDescent="0.2"/>
    <row r="919" s="8" customFormat="1" x14ac:dyDescent="0.2"/>
    <row r="920" s="8" customFormat="1" x14ac:dyDescent="0.2"/>
    <row r="921" s="8" customFormat="1" x14ac:dyDescent="0.2"/>
    <row r="922" s="8" customFormat="1" x14ac:dyDescent="0.2"/>
    <row r="923" s="8" customFormat="1" x14ac:dyDescent="0.2"/>
    <row r="924" s="8" customFormat="1" x14ac:dyDescent="0.2"/>
    <row r="925" s="8" customFormat="1" x14ac:dyDescent="0.2"/>
    <row r="926" s="8" customFormat="1" x14ac:dyDescent="0.2"/>
    <row r="927" s="8" customFormat="1" x14ac:dyDescent="0.2"/>
    <row r="928" s="8" customFormat="1" x14ac:dyDescent="0.2"/>
    <row r="929" s="8" customFormat="1" x14ac:dyDescent="0.2"/>
    <row r="930" s="8" customFormat="1" x14ac:dyDescent="0.2"/>
    <row r="931" s="8" customFormat="1" x14ac:dyDescent="0.2"/>
    <row r="932" s="8" customFormat="1" x14ac:dyDescent="0.2"/>
    <row r="933" s="8" customFormat="1" x14ac:dyDescent="0.2"/>
    <row r="934" s="8" customFormat="1" x14ac:dyDescent="0.2"/>
    <row r="935" s="8" customFormat="1" x14ac:dyDescent="0.2"/>
    <row r="936" s="8" customFormat="1" x14ac:dyDescent="0.2"/>
    <row r="937" s="8" customFormat="1" x14ac:dyDescent="0.2"/>
    <row r="938" s="8" customFormat="1" x14ac:dyDescent="0.2"/>
    <row r="939" s="8" customFormat="1" x14ac:dyDescent="0.2"/>
    <row r="940" s="8" customFormat="1" x14ac:dyDescent="0.2"/>
    <row r="941" s="8" customFormat="1" x14ac:dyDescent="0.2"/>
    <row r="942" s="8" customFormat="1" x14ac:dyDescent="0.2"/>
    <row r="943" s="8" customFormat="1" x14ac:dyDescent="0.2"/>
    <row r="944" s="8" customFormat="1" x14ac:dyDescent="0.2"/>
    <row r="945" s="8" customFormat="1" x14ac:dyDescent="0.2"/>
    <row r="946" s="8" customFormat="1" x14ac:dyDescent="0.2"/>
    <row r="947" s="8" customFormat="1" x14ac:dyDescent="0.2"/>
    <row r="948" s="8" customFormat="1" x14ac:dyDescent="0.2"/>
    <row r="949" s="8" customFormat="1" x14ac:dyDescent="0.2"/>
    <row r="950" s="8" customFormat="1" x14ac:dyDescent="0.2"/>
    <row r="951" s="8" customFormat="1" x14ac:dyDescent="0.2"/>
    <row r="952" s="8" customFormat="1" x14ac:dyDescent="0.2"/>
    <row r="953" s="8" customFormat="1" x14ac:dyDescent="0.2"/>
    <row r="954" s="8" customFormat="1" x14ac:dyDescent="0.2"/>
    <row r="955" s="8" customFormat="1" x14ac:dyDescent="0.2"/>
    <row r="956" s="8" customFormat="1" x14ac:dyDescent="0.2"/>
    <row r="957" s="8" customFormat="1" x14ac:dyDescent="0.2"/>
    <row r="958" s="8" customFormat="1" x14ac:dyDescent="0.2"/>
    <row r="959" s="8" customFormat="1" x14ac:dyDescent="0.2"/>
    <row r="960" s="8" customFormat="1" x14ac:dyDescent="0.2"/>
    <row r="961" s="8" customFormat="1" x14ac:dyDescent="0.2"/>
    <row r="962" s="8" customFormat="1" x14ac:dyDescent="0.2"/>
    <row r="963" s="8" customFormat="1" x14ac:dyDescent="0.2"/>
    <row r="964" s="8" customFormat="1" x14ac:dyDescent="0.2"/>
    <row r="965" s="8" customFormat="1" x14ac:dyDescent="0.2"/>
    <row r="966" s="8" customFormat="1" x14ac:dyDescent="0.2"/>
    <row r="967" s="8" customFormat="1" x14ac:dyDescent="0.2"/>
    <row r="968" s="8" customFormat="1" x14ac:dyDescent="0.2"/>
    <row r="969" s="8" customFormat="1" x14ac:dyDescent="0.2"/>
    <row r="970" s="8" customFormat="1" x14ac:dyDescent="0.2"/>
    <row r="971" s="8" customFormat="1" x14ac:dyDescent="0.2"/>
    <row r="972" s="8" customFormat="1" x14ac:dyDescent="0.2"/>
    <row r="973" s="8" customFormat="1" x14ac:dyDescent="0.2"/>
    <row r="974" s="8" customFormat="1" x14ac:dyDescent="0.2"/>
    <row r="975" s="8" customFormat="1" x14ac:dyDescent="0.2"/>
    <row r="976" s="8" customFormat="1" x14ac:dyDescent="0.2"/>
    <row r="977" s="8" customFormat="1" x14ac:dyDescent="0.2"/>
    <row r="978" s="8" customFormat="1" x14ac:dyDescent="0.2"/>
    <row r="979" s="8" customFormat="1" x14ac:dyDescent="0.2"/>
    <row r="980" s="8" customFormat="1" x14ac:dyDescent="0.2"/>
    <row r="981" s="8" customFormat="1" x14ac:dyDescent="0.2"/>
    <row r="982" s="8" customFormat="1" x14ac:dyDescent="0.2"/>
    <row r="983" s="8" customFormat="1" x14ac:dyDescent="0.2"/>
    <row r="984" s="8" customFormat="1" x14ac:dyDescent="0.2"/>
    <row r="985" s="8" customFormat="1" x14ac:dyDescent="0.2"/>
    <row r="986" s="8" customFormat="1" x14ac:dyDescent="0.2"/>
    <row r="987" s="8" customFormat="1" x14ac:dyDescent="0.2"/>
    <row r="988" s="8" customFormat="1" x14ac:dyDescent="0.2"/>
    <row r="989" s="8" customFormat="1" x14ac:dyDescent="0.2"/>
    <row r="990" s="8" customFormat="1" x14ac:dyDescent="0.2"/>
    <row r="991" s="8" customFormat="1" x14ac:dyDescent="0.2"/>
    <row r="992" s="8" customFormat="1" x14ac:dyDescent="0.2"/>
    <row r="993" s="8" customFormat="1" x14ac:dyDescent="0.2"/>
    <row r="994" s="8" customFormat="1" x14ac:dyDescent="0.2"/>
    <row r="995" s="8" customFormat="1" x14ac:dyDescent="0.2"/>
    <row r="996" s="8" customFormat="1" x14ac:dyDescent="0.2"/>
    <row r="997" s="8" customFormat="1" x14ac:dyDescent="0.2"/>
    <row r="998" s="8" customFormat="1" x14ac:dyDescent="0.2"/>
    <row r="999" s="8" customFormat="1" x14ac:dyDescent="0.2"/>
    <row r="1000" s="8" customFormat="1" x14ac:dyDescent="0.2"/>
    <row r="1001" s="8" customFormat="1" x14ac:dyDescent="0.2"/>
    <row r="1002" s="8" customFormat="1" x14ac:dyDescent="0.2"/>
    <row r="1003" s="8" customFormat="1" x14ac:dyDescent="0.2"/>
    <row r="1004" s="8" customFormat="1" x14ac:dyDescent="0.2"/>
    <row r="1005" s="8" customFormat="1" x14ac:dyDescent="0.2"/>
    <row r="1006" s="8" customFormat="1" x14ac:dyDescent="0.2"/>
    <row r="1007" s="8" customFormat="1" x14ac:dyDescent="0.2"/>
    <row r="1008" s="8" customFormat="1" x14ac:dyDescent="0.2"/>
    <row r="1009" s="8" customFormat="1" x14ac:dyDescent="0.2"/>
    <row r="1010" s="8" customFormat="1" x14ac:dyDescent="0.2"/>
    <row r="1011" s="8" customFormat="1" x14ac:dyDescent="0.2"/>
    <row r="1012" s="8" customFormat="1" x14ac:dyDescent="0.2"/>
    <row r="1013" s="8" customFormat="1" x14ac:dyDescent="0.2"/>
    <row r="1014" s="8" customFormat="1" x14ac:dyDescent="0.2"/>
    <row r="1015" s="8" customFormat="1" x14ac:dyDescent="0.2"/>
    <row r="1016" s="8" customFormat="1" x14ac:dyDescent="0.2"/>
    <row r="1017" s="8" customFormat="1" x14ac:dyDescent="0.2"/>
    <row r="1018" s="8" customFormat="1" x14ac:dyDescent="0.2"/>
    <row r="1019" s="8" customFormat="1" x14ac:dyDescent="0.2"/>
    <row r="1020" s="8" customFormat="1" x14ac:dyDescent="0.2"/>
    <row r="1021" s="8" customFormat="1" x14ac:dyDescent="0.2"/>
    <row r="1022" s="8" customFormat="1" x14ac:dyDescent="0.2"/>
    <row r="1023" s="8" customFormat="1" x14ac:dyDescent="0.2"/>
    <row r="1024" s="8" customFormat="1" x14ac:dyDescent="0.2"/>
    <row r="1025" spans="10:86" s="8" customFormat="1" x14ac:dyDescent="0.2"/>
    <row r="1026" spans="10:86" s="8" customFormat="1" x14ac:dyDescent="0.2"/>
    <row r="1027" spans="10:86" s="8" customFormat="1" x14ac:dyDescent="0.2"/>
    <row r="1028" spans="10:86" s="8" customFormat="1" x14ac:dyDescent="0.2"/>
    <row r="1029" spans="10:86" s="8" customFormat="1" x14ac:dyDescent="0.2"/>
    <row r="1030" spans="10:86" s="8" customFormat="1" x14ac:dyDescent="0.2"/>
    <row r="1031" spans="10:86" s="8" customFormat="1" x14ac:dyDescent="0.2"/>
    <row r="1032" spans="10:86" s="8" customFormat="1" x14ac:dyDescent="0.2"/>
    <row r="1033" spans="10:86" s="8" customFormat="1" x14ac:dyDescent="0.2"/>
    <row r="1034" spans="10:86" s="8" customFormat="1" x14ac:dyDescent="0.2"/>
    <row r="1035" spans="10:86" s="8" customFormat="1" x14ac:dyDescent="0.2"/>
    <row r="1036" spans="10:86" s="77" customFormat="1" x14ac:dyDescent="0.2">
      <c r="J1036" s="7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1"/>
    </row>
  </sheetData>
  <mergeCells count="5">
    <mergeCell ref="A1:I1"/>
    <mergeCell ref="A2:I2"/>
    <mergeCell ref="A3:A4"/>
    <mergeCell ref="I34:L34"/>
    <mergeCell ref="B3:G3"/>
  </mergeCells>
  <pageMargins left="0.7" right="0.7" top="0.75" bottom="0.75" header="0.3" footer="0.3"/>
  <pageSetup paperSize="9" scale="7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10.12</vt:lpstr>
      <vt:lpstr>'10.12'!Print_Area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2019-04-29T05:48:40Z</cp:lastPrinted>
  <dcterms:created xsi:type="dcterms:W3CDTF">2019-02-27T06:18:18Z</dcterms:created>
  <dcterms:modified xsi:type="dcterms:W3CDTF">2019-04-29T05:48:59Z</dcterms:modified>
</cp:coreProperties>
</file>