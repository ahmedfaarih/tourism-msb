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Tourism\"/>
    </mc:Choice>
  </mc:AlternateContent>
  <bookViews>
    <workbookView xWindow="0" yWindow="0" windowWidth="28800" windowHeight="12330" tabRatio="829"/>
  </bookViews>
  <sheets>
    <sheet name="10.9" sheetId="9" r:id="rId1"/>
  </sheets>
  <externalReferences>
    <externalReference r:id="rId2"/>
  </externalReferences>
  <definedNames>
    <definedName name="_xlnm.Print_Area" localSheetId="0">'10.9'!$A$1:$Q$67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9" l="1"/>
  <c r="M10" i="9"/>
  <c r="M9" i="9"/>
  <c r="P15" i="9" l="1"/>
  <c r="P20" i="9"/>
  <c r="P19" i="9"/>
  <c r="P18" i="9"/>
  <c r="P17" i="9"/>
  <c r="P16" i="9"/>
  <c r="P14" i="9"/>
  <c r="P13" i="9"/>
  <c r="P12" i="9"/>
  <c r="P11" i="9"/>
  <c r="P10" i="9"/>
  <c r="P9" i="9"/>
  <c r="N20" i="9" l="1"/>
  <c r="M20" i="9"/>
  <c r="K20" i="9"/>
  <c r="N19" i="9"/>
  <c r="M19" i="9"/>
  <c r="K19" i="9"/>
  <c r="N18" i="9"/>
  <c r="M18" i="9"/>
  <c r="K18" i="9"/>
  <c r="N17" i="9"/>
  <c r="M17" i="9"/>
  <c r="K17" i="9"/>
  <c r="N16" i="9"/>
  <c r="M16" i="9"/>
  <c r="K16" i="9"/>
  <c r="N15" i="9"/>
  <c r="M15" i="9"/>
  <c r="K15" i="9"/>
  <c r="N14" i="9"/>
  <c r="M14" i="9"/>
  <c r="K14" i="9"/>
  <c r="N13" i="9"/>
  <c r="M13" i="9"/>
  <c r="K13" i="9"/>
  <c r="N12" i="9"/>
  <c r="K12" i="9"/>
  <c r="N11" i="9"/>
  <c r="M11" i="9"/>
  <c r="K11" i="9"/>
  <c r="N10" i="9"/>
  <c r="K10" i="9"/>
  <c r="N9" i="9"/>
  <c r="K9" i="9"/>
  <c r="J8" i="9"/>
  <c r="I8" i="9"/>
  <c r="H8" i="9"/>
  <c r="G8" i="9"/>
  <c r="F8" i="9"/>
  <c r="D8" i="9"/>
  <c r="C8" i="9"/>
  <c r="B8" i="9"/>
  <c r="M8" i="9" l="1"/>
  <c r="K8" i="9"/>
</calcChain>
</file>

<file path=xl/sharedStrings.xml><?xml version="1.0" encoding="utf-8"?>
<sst xmlns="http://schemas.openxmlformats.org/spreadsheetml/2006/main" count="65" uniqueCount="55">
  <si>
    <t>Total</t>
  </si>
  <si>
    <t>Source: Ministry of Tourism</t>
  </si>
  <si>
    <t>wlcmuj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</si>
  <si>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</si>
  <si>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</si>
  <si>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</si>
  <si>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</si>
  <si>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</si>
  <si>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</si>
  <si>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</si>
  <si>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</si>
  <si>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</si>
  <si>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</si>
  <si>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</si>
  <si>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</si>
  <si>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</si>
  <si>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</si>
  <si>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</si>
  <si>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</si>
  <si>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</si>
  <si>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</si>
  <si>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</si>
  <si>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</si>
  <si>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</si>
  <si>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</si>
  <si>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</si>
  <si>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</si>
  <si>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</si>
  <si>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Tourist Bed-nights*</t>
  </si>
  <si>
    <t xml:space="preserve">Tourist Arrivals </t>
  </si>
  <si>
    <t xml:space="preserve">% change same month of previous year </t>
  </si>
  <si>
    <t>% change from previous month</t>
  </si>
  <si>
    <t>cswm</t>
  </si>
  <si>
    <t>ވޭތުވެދިޔަ އަހަރުގެ މިމަހާއި އަޅާބަލާއިރު އިތުރުވި މިންވަރު</t>
  </si>
  <si>
    <t>ވޭތުވެދިޔަ މަހާއި އަޅާބަލާއިރު އިތުރުވި މިންވަރު</t>
  </si>
  <si>
    <t xml:space="preserve">ފަތުރުވެރިން ހޭދަކުރި ރޭގެ އަދަދު </t>
  </si>
  <si>
    <t xml:space="preserve">ފަތުރުވެރިންގެ އަދަދު </t>
  </si>
  <si>
    <t>2017-2018</t>
  </si>
  <si>
    <t>_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</si>
  <si>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</si>
  <si>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</si>
  <si>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</si>
  <si>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</si>
  <si>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</si>
  <si>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</si>
  <si>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</si>
  <si>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</si>
  <si>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</si>
  <si>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</si>
  <si>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</si>
  <si>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</si>
  <si>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ނޯޓް: ފަތުރުވެރިން ހޭދަކުރި ރޭގެ އަދަދުގެ ތެރޭގައި ރިސޯޓް، ހޮޓާ، ސަފާރީ އަދި ގެސްޓްހައުސްތައްވެސް ހިމެނެއެވެ.</t>
  </si>
  <si>
    <t>2018 - 2016 , udwdwA egEr irukwdEh cnirevurutwf iaWrwviawa cnirevurutwf iawguhwmcswmikea : 10.9 ulwvWt</t>
  </si>
  <si>
    <t xml:space="preserve">Table 10.9: TOURIST ARRIVALS,AND TOURIST BED-NIGHTS BY MONTH,  2016 - 2018
</t>
  </si>
  <si>
    <t>Note: * Tourist Bed night figures include resorts/hotels/safaris &amp; guesthouses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</si>
</sst>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7" formatCode="#,##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color theme="1"/>
      <name val="A_Randhoo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_Randhoo"/>
    </font>
    <font>
      <b/>
      <sz val="12"/>
      <color theme="1"/>
      <name val="A_Utheem"/>
    </font>
    <font>
      <b/>
      <sz val="10"/>
      <color theme="1"/>
      <name val="A_Randhoo"/>
    </font>
    <font>
      <b/>
      <sz val="9.5"/>
      <color theme="1"/>
      <name val="Faruma"/>
    </font>
    <font>
      <b/>
      <sz val="9"/>
      <color theme="1"/>
      <name val="A_Randhoo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</cellStyleXfs>
  <cellXfs count="98">
    <xf numFmtId="0" fontId="0" fillId="0" borderId="0" xfId="0"/>
    <xf numFmtId="0" fontId="3" fillId="2" borderId="0" xfId="0" applyFont="1" applyFill="1" applyAlignment="1" applyProtection="1">
      <alignment horizontal="left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9" fillId="2" borderId="0" xfId="0" applyFont="1" applyFill="1"/>
    <xf numFmtId="164" fontId="8" fillId="2" borderId="0" xfId="0" applyNumberFormat="1" applyFont="1" applyFill="1"/>
    <xf numFmtId="0" fontId="8" fillId="2" borderId="0" xfId="0" applyFont="1" applyFill="1" applyAlignment="1" applyProtection="1">
      <alignment horizontal="left" vertical="center"/>
    </xf>
    <xf numFmtId="0" fontId="4" fillId="2" borderId="6" xfId="0" applyFont="1" applyFill="1" applyBorder="1" applyAlignment="1" applyProtection="1">
      <alignment horizontal="right" vertical="center" wrapText="1"/>
    </xf>
    <xf numFmtId="0" fontId="10" fillId="2" borderId="0" xfId="0" applyFont="1" applyFill="1" applyBorder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 applyProtection="1">
      <alignment horizontal="center" vertical="center" wrapText="1"/>
    </xf>
    <xf numFmtId="0" fontId="4" fillId="2" borderId="11" xfId="0" applyFont="1" applyFill="1" applyBorder="1" applyAlignment="1" applyProtection="1">
      <alignment horizontal="center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4" fillId="2" borderId="13" xfId="0" applyFont="1" applyFill="1" applyBorder="1" applyAlignment="1" applyProtection="1">
      <alignment horizontal="center" vertical="top" wrapText="1"/>
    </xf>
    <xf numFmtId="0" fontId="4" fillId="2" borderId="11" xfId="0" applyFont="1" applyFill="1" applyBorder="1" applyAlignment="1" applyProtection="1">
      <alignment horizontal="center" vertical="top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18" xfId="0" applyFont="1" applyFill="1" applyBorder="1" applyAlignment="1" applyProtection="1">
      <alignment horizontal="right" vertical="center" wrapText="1" indent="2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6" fillId="2" borderId="18" xfId="0" applyFont="1" applyFill="1" applyBorder="1" applyAlignment="1" applyProtection="1">
      <alignment horizontal="right" vertical="top" wrapText="1"/>
    </xf>
    <xf numFmtId="0" fontId="6" fillId="2" borderId="19" xfId="0" applyFont="1" applyFill="1" applyBorder="1" applyAlignment="1" applyProtection="1">
      <alignment vertical="top" wrapText="1"/>
    </xf>
    <xf numFmtId="0" fontId="4" fillId="2" borderId="4" xfId="0" applyFont="1" applyFill="1" applyBorder="1" applyAlignment="1" applyProtection="1">
      <alignment horizontal="right" vertical="center" wrapText="1"/>
    </xf>
    <xf numFmtId="0" fontId="4" fillId="2" borderId="5" xfId="0" applyFont="1" applyFill="1" applyBorder="1" applyAlignment="1" applyProtection="1">
      <alignment horizontal="right" vertical="center" wrapText="1"/>
    </xf>
    <xf numFmtId="0" fontId="4" fillId="2" borderId="15" xfId="0" applyFont="1" applyFill="1" applyBorder="1" applyAlignment="1" applyProtection="1">
      <alignment horizontal="right" vertical="center" wrapText="1"/>
    </xf>
    <xf numFmtId="0" fontId="8" fillId="2" borderId="0" xfId="0" applyFont="1" applyFill="1" applyAlignment="1">
      <alignment horizontal="right" vertical="center"/>
    </xf>
    <xf numFmtId="0" fontId="4" fillId="2" borderId="0" xfId="0" applyFont="1" applyFill="1" applyAlignment="1" applyProtection="1">
      <alignment horizontal="left" vertical="center"/>
    </xf>
    <xf numFmtId="3" fontId="4" fillId="2" borderId="0" xfId="0" applyNumberFormat="1" applyFont="1" applyFill="1" applyAlignment="1" applyProtection="1">
      <alignment horizontal="right" vertical="center"/>
    </xf>
    <xf numFmtId="3" fontId="4" fillId="2" borderId="8" xfId="0" applyNumberFormat="1" applyFont="1" applyFill="1" applyBorder="1" applyAlignment="1" applyProtection="1">
      <alignment horizontal="right" vertical="center"/>
    </xf>
    <xf numFmtId="3" fontId="4" fillId="2" borderId="7" xfId="0" applyNumberFormat="1" applyFont="1" applyFill="1" applyBorder="1" applyAlignment="1" applyProtection="1">
      <alignment horizontal="right" vertical="center"/>
    </xf>
    <xf numFmtId="3" fontId="4" fillId="2" borderId="8" xfId="0" applyNumberFormat="1" applyFont="1" applyFill="1" applyBorder="1" applyAlignment="1" applyProtection="1">
      <alignment horizontal="center" vertical="center"/>
    </xf>
    <xf numFmtId="3" fontId="4" fillId="2" borderId="0" xfId="0" applyNumberFormat="1" applyFont="1" applyFill="1" applyBorder="1" applyAlignment="1" applyProtection="1">
      <alignment horizontal="center" vertical="center"/>
    </xf>
    <xf numFmtId="0" fontId="14" fillId="2" borderId="0" xfId="0" applyFont="1" applyFill="1" applyAlignment="1">
      <alignment horizontal="right" vertical="center" indent="1"/>
    </xf>
    <xf numFmtId="0" fontId="5" fillId="2" borderId="0" xfId="0" applyFont="1" applyFill="1" applyAlignment="1" applyProtection="1">
      <alignment horizontal="left" vertical="center" indent="1"/>
    </xf>
    <xf numFmtId="3" fontId="5" fillId="2" borderId="0" xfId="0" applyNumberFormat="1" applyFont="1" applyFill="1" applyBorder="1" applyAlignment="1" applyProtection="1">
      <alignment horizontal="right" vertical="center"/>
    </xf>
    <xf numFmtId="3" fontId="5" fillId="2" borderId="8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 indent="2"/>
    </xf>
    <xf numFmtId="0" fontId="5" fillId="2" borderId="6" xfId="0" applyFont="1" applyFill="1" applyBorder="1" applyAlignment="1" applyProtection="1">
      <alignment horizontal="left" vertical="center" indent="1"/>
    </xf>
    <xf numFmtId="3" fontId="5" fillId="2" borderId="6" xfId="0" applyNumberFormat="1" applyFont="1" applyFill="1" applyBorder="1" applyAlignment="1" applyProtection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right" vertical="center" indent="2"/>
    </xf>
    <xf numFmtId="37" fontId="8" fillId="2" borderId="0" xfId="0" applyNumberFormat="1" applyFont="1" applyFill="1" applyAlignment="1" applyProtection="1">
      <alignment horizontal="right" vertical="center"/>
    </xf>
    <xf numFmtId="0" fontId="15" fillId="2" borderId="0" xfId="0" applyFont="1" applyFill="1" applyAlignment="1">
      <alignment vertical="center"/>
    </xf>
    <xf numFmtId="0" fontId="3" fillId="2" borderId="0" xfId="0" applyFont="1" applyFill="1" applyAlignment="1" applyProtection="1">
      <alignment horizontal="left" vertical="center" indent="1"/>
    </xf>
    <xf numFmtId="0" fontId="15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167" fontId="5" fillId="2" borderId="0" xfId="0" applyNumberFormat="1" applyFont="1" applyFill="1" applyBorder="1" applyAlignment="1" applyProtection="1">
      <alignment horizontal="right" vertical="center" indent="5"/>
    </xf>
    <xf numFmtId="167" fontId="5" fillId="2" borderId="6" xfId="0" applyNumberFormat="1" applyFont="1" applyFill="1" applyBorder="1" applyAlignment="1" applyProtection="1">
      <alignment horizontal="right" vertical="center" indent="5"/>
    </xf>
    <xf numFmtId="167" fontId="4" fillId="2" borderId="2" xfId="0" applyNumberFormat="1" applyFont="1" applyFill="1" applyBorder="1" applyAlignment="1" applyProtection="1">
      <alignment horizontal="right" vertical="center" indent="5"/>
    </xf>
    <xf numFmtId="167" fontId="4" fillId="2" borderId="0" xfId="0" applyNumberFormat="1" applyFont="1" applyFill="1" applyBorder="1" applyAlignment="1" applyProtection="1">
      <alignment horizontal="right" vertical="center" indent="5"/>
    </xf>
    <xf numFmtId="167" fontId="4" fillId="2" borderId="7" xfId="0" applyNumberFormat="1" applyFont="1" applyFill="1" applyBorder="1" applyAlignment="1" applyProtection="1">
      <alignment horizontal="right" vertical="center" indent="5"/>
    </xf>
    <xf numFmtId="0" fontId="4" fillId="2" borderId="1" xfId="0" applyFont="1" applyFill="1" applyBorder="1" applyAlignment="1" applyProtection="1">
      <alignment vertical="center" wrapText="1"/>
    </xf>
    <xf numFmtId="0" fontId="4" fillId="2" borderId="9" xfId="0" applyFont="1" applyFill="1" applyBorder="1" applyAlignment="1" applyProtection="1">
      <alignment vertical="center" wrapText="1"/>
    </xf>
    <xf numFmtId="0" fontId="6" fillId="2" borderId="1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6" xfId="0" applyFont="1" applyFill="1" applyBorder="1" applyAlignment="1" applyProtection="1">
      <alignment vertical="center" wrapText="1"/>
    </xf>
    <xf numFmtId="0" fontId="9" fillId="2" borderId="0" xfId="0" applyFont="1" applyFill="1" applyAlignment="1">
      <alignment horizontal="center"/>
    </xf>
    <xf numFmtId="3" fontId="5" fillId="2" borderId="7" xfId="0" applyNumberFormat="1" applyFont="1" applyFill="1" applyBorder="1" applyAlignment="1">
      <alignment horizontal="right" vertical="center"/>
    </xf>
    <xf numFmtId="167" fontId="5" fillId="2" borderId="8" xfId="0" applyNumberFormat="1" applyFont="1" applyFill="1" applyBorder="1" applyAlignment="1" applyProtection="1">
      <alignment horizontal="right" vertical="center" indent="5"/>
    </xf>
    <xf numFmtId="167" fontId="5" fillId="2" borderId="7" xfId="0" applyNumberFormat="1" applyFont="1" applyFill="1" applyBorder="1" applyAlignment="1" applyProtection="1">
      <alignment horizontal="right" vertical="center" indent="5"/>
    </xf>
    <xf numFmtId="3" fontId="5" fillId="2" borderId="3" xfId="0" applyNumberFormat="1" applyFont="1" applyFill="1" applyBorder="1" applyAlignment="1">
      <alignment horizontal="right" vertical="center"/>
    </xf>
    <xf numFmtId="167" fontId="5" fillId="2" borderId="3" xfId="0" applyNumberFormat="1" applyFont="1" applyFill="1" applyBorder="1" applyAlignment="1" applyProtection="1">
      <alignment horizontal="right" vertical="center" indent="5"/>
    </xf>
    <xf numFmtId="167" fontId="5" fillId="2" borderId="9" xfId="0" applyNumberFormat="1" applyFont="1" applyFill="1" applyBorder="1" applyAlignment="1" applyProtection="1">
      <alignment horizontal="right" vertical="center" indent="5"/>
    </xf>
    <xf numFmtId="3" fontId="4" fillId="2" borderId="12" xfId="0" applyNumberFormat="1" applyFont="1" applyFill="1" applyBorder="1" applyAlignment="1" applyProtection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left" vertical="center"/>
    </xf>
    <xf numFmtId="0" fontId="4" fillId="2" borderId="6" xfId="0" applyFont="1" applyFill="1" applyBorder="1" applyAlignment="1" applyProtection="1">
      <alignment horizontal="left" vertical="center"/>
    </xf>
    <xf numFmtId="0" fontId="4" fillId="2" borderId="13" xfId="0" applyFont="1" applyFill="1" applyBorder="1" applyAlignment="1" applyProtection="1">
      <alignment horizontal="center" vertical="center" wrapText="1"/>
    </xf>
    <xf numFmtId="0" fontId="4" fillId="2" borderId="11" xfId="0" applyFont="1" applyFill="1" applyBorder="1" applyAlignment="1" applyProtection="1">
      <alignment horizontal="center" vertical="center" wrapText="1"/>
    </xf>
    <xf numFmtId="0" fontId="4" fillId="2" borderId="14" xfId="0" applyFont="1" applyFill="1" applyBorder="1" applyAlignment="1" applyProtection="1">
      <alignment horizontal="center" vertical="center" wrapText="1"/>
    </xf>
    <xf numFmtId="0" fontId="12" fillId="2" borderId="1" xfId="0" applyFont="1" applyFill="1" applyBorder="1" applyAlignment="1">
      <alignment horizontal="right" vertical="center" indent="1"/>
    </xf>
    <xf numFmtId="0" fontId="12" fillId="2" borderId="0" xfId="0" applyFont="1" applyFill="1" applyBorder="1" applyAlignment="1">
      <alignment horizontal="right" vertical="center" indent="1"/>
    </xf>
    <xf numFmtId="0" fontId="12" fillId="2" borderId="6" xfId="0" applyFont="1" applyFill="1" applyBorder="1" applyAlignment="1">
      <alignment horizontal="right" vertical="center" inden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4" fillId="2" borderId="12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12" xfId="0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13" fillId="2" borderId="4" xfId="0" applyFont="1" applyFill="1" applyBorder="1" applyAlignment="1" applyProtection="1">
      <alignment horizontal="center" vertical="top"/>
    </xf>
    <xf numFmtId="0" fontId="13" fillId="2" borderId="5" xfId="0" applyFont="1" applyFill="1" applyBorder="1" applyAlignment="1" applyProtection="1">
      <alignment horizontal="center" vertical="top"/>
    </xf>
    <xf numFmtId="0" fontId="13" fillId="2" borderId="15" xfId="0" applyFont="1" applyFill="1" applyBorder="1" applyAlignment="1" applyProtection="1">
      <alignment horizontal="center" vertical="top"/>
    </xf>
    <xf numFmtId="0" fontId="13" fillId="2" borderId="4" xfId="0" applyFont="1" applyFill="1" applyBorder="1" applyAlignment="1" applyProtection="1">
      <alignment horizontal="center" vertical="top" wrapText="1"/>
    </xf>
    <xf numFmtId="0" fontId="13" fillId="2" borderId="5" xfId="0" applyFont="1" applyFill="1" applyBorder="1" applyAlignment="1" applyProtection="1">
      <alignment horizontal="center" vertical="top" wrapText="1"/>
    </xf>
  </cellXfs>
  <cellStyles count="4">
    <cellStyle name="Normal" xfId="0" builtinId="0"/>
    <cellStyle name="Normal 2" xfId="1"/>
    <cellStyle name="Normal 5 2" xfId="3"/>
    <cellStyle name="Percent 2 2" xfId="2"/>
  </cellStyles>
  <dxfs count="0"/>
  <tableStyles count="0" defaultTableStyle="TableStyleMedium2" defaultPivotStyle="PivotStyleLight16"/>
  <colors>
    <mruColors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254506451212172E-2"/>
          <c:y val="0.16485972637374249"/>
          <c:w val="0.9166905172558566"/>
          <c:h val="0.71330419841719406"/>
        </c:manualLayout>
      </c:layout>
      <c:lineChart>
        <c:grouping val="standard"/>
        <c:varyColors val="0"/>
        <c:ser>
          <c:idx val="0"/>
          <c:order val="0"/>
          <c:tx>
            <c:strRef>
              <c:f>'10.9'!$K$5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 w="25400">
              <a:solidFill>
                <a:schemeClr val="accent4">
                  <a:lumMod val="50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dLbls>
            <c:dLbl>
              <c:idx val="0"/>
              <c:layout>
                <c:manualLayout>
                  <c:x val="-3.1600513769612849E-2"/>
                  <c:y val="4.6257919468118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3F3-447C-A72F-DDFCFBC28CB3}"/>
                </c:ext>
              </c:extLst>
            </c:dLbl>
            <c:dLbl>
              <c:idx val="1"/>
              <c:layout>
                <c:manualLayout>
                  <c:x val="-3.3180539458093489E-2"/>
                  <c:y val="-4.6257919468118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3F3-447C-A72F-DDFCFBC28CB3}"/>
                </c:ext>
              </c:extLst>
            </c:dLbl>
            <c:dLbl>
              <c:idx val="2"/>
              <c:layout>
                <c:manualLayout>
                  <c:x val="-2.3700385327209663E-2"/>
                  <c:y val="-3.4693439601089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3F3-447C-A72F-DDFCFBC28CB3}"/>
                </c:ext>
              </c:extLst>
            </c:dLbl>
            <c:dLbl>
              <c:idx val="3"/>
              <c:layout>
                <c:manualLayout>
                  <c:x val="-4.7400770654419271E-2"/>
                  <c:y val="2.69837863564027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3F3-447C-A72F-DDFCFBC28CB3}"/>
                </c:ext>
              </c:extLst>
            </c:dLbl>
            <c:dLbl>
              <c:idx val="4"/>
              <c:layout>
                <c:manualLayout>
                  <c:x val="-6.3201027539225695E-3"/>
                  <c:y val="1.9274133111716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3F3-447C-A72F-DDFCFBC28CB3}"/>
                </c:ext>
              </c:extLst>
            </c:dLbl>
            <c:dLbl>
              <c:idx val="5"/>
              <c:layout>
                <c:manualLayout>
                  <c:x val="-2.8440462392651619E-2"/>
                  <c:y val="-4.6257919468118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3F3-447C-A72F-DDFCFBC28CB3}"/>
                </c:ext>
              </c:extLst>
            </c:dLbl>
            <c:dLbl>
              <c:idx val="6"/>
              <c:layout>
                <c:manualLayout>
                  <c:x val="-2.054033395024835E-2"/>
                  <c:y val="-4.24030928457757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3F3-447C-A72F-DDFCFBC28CB3}"/>
                </c:ext>
              </c:extLst>
            </c:dLbl>
            <c:dLbl>
              <c:idx val="7"/>
              <c:layout>
                <c:manualLayout>
                  <c:x val="-2.054033395024835E-2"/>
                  <c:y val="-4.6257919468118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3F3-447C-A72F-DDFCFBC28CB3}"/>
                </c:ext>
              </c:extLst>
            </c:dLbl>
            <c:dLbl>
              <c:idx val="8"/>
              <c:layout>
                <c:manualLayout>
                  <c:x val="-2.844046239265156E-2"/>
                  <c:y val="-3.8548266223432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93F3-447C-A72F-DDFCFBC28CB3}"/>
                </c:ext>
              </c:extLst>
            </c:dLbl>
            <c:dLbl>
              <c:idx val="9"/>
              <c:layout>
                <c:manualLayout>
                  <c:x val="-2.5280411015690278E-2"/>
                  <c:y val="-5.3967572712805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93F3-447C-A72F-DDFCFBC28CB3}"/>
                </c:ext>
              </c:extLst>
            </c:dLbl>
            <c:dLbl>
              <c:idx val="10"/>
              <c:layout>
                <c:manualLayout>
                  <c:x val="-2.370038532720975E-2"/>
                  <c:y val="-4.2403092845775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93F3-447C-A72F-DDFCFBC28CB3}"/>
                </c:ext>
              </c:extLst>
            </c:dLbl>
            <c:dLbl>
              <c:idx val="11"/>
              <c:layout>
                <c:manualLayout>
                  <c:x val="-1.5800256884806539E-2"/>
                  <c:y val="-5.78223993351487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3F3-447C-A72F-DDFCFBC28C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'10.9'!$AF$16:$AF$27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'10.9'!$M$9:$M$20</c:f>
              <c:numCache>
                <c:formatCode>#,##0.0</c:formatCode>
                <c:ptCount val="12"/>
                <c:pt idx="0">
                  <c:v>13.575509031722731</c:v>
                </c:pt>
                <c:pt idx="1">
                  <c:v>19.193404487327758</c:v>
                </c:pt>
                <c:pt idx="2">
                  <c:v>18.462699152354322</c:v>
                </c:pt>
                <c:pt idx="3">
                  <c:v>-5.0929250087661249E-2</c:v>
                </c:pt>
                <c:pt idx="4">
                  <c:v>-0.61824132804226828</c:v>
                </c:pt>
                <c:pt idx="5">
                  <c:v>10.049048367792345</c:v>
                </c:pt>
                <c:pt idx="6">
                  <c:v>8.0910094985641621</c:v>
                </c:pt>
                <c:pt idx="7">
                  <c:v>2.2108647267331527</c:v>
                </c:pt>
                <c:pt idx="8">
                  <c:v>1.5436292270531338</c:v>
                </c:pt>
                <c:pt idx="9">
                  <c:v>-0.46333192692951108</c:v>
                </c:pt>
                <c:pt idx="10">
                  <c:v>4.2304947471495158</c:v>
                </c:pt>
                <c:pt idx="11">
                  <c:v>5.436902706217106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F-414A-BA94-AA70D5D53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378272"/>
        <c:axId val="330378832"/>
      </c:lineChart>
      <c:catAx>
        <c:axId val="33037827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ln w="25400">
            <a:solidFill>
              <a:schemeClr val="bg1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200" b="0"/>
            </a:pPr>
            <a:endParaRPr lang="en-US"/>
          </a:p>
        </c:txPr>
        <c:crossAx val="330378832"/>
        <c:crosses val="autoZero"/>
        <c:auto val="1"/>
        <c:lblAlgn val="ctr"/>
        <c:lblOffset val="100"/>
        <c:noMultiLvlLbl val="0"/>
      </c:catAx>
      <c:valAx>
        <c:axId val="330378832"/>
        <c:scaling>
          <c:orientation val="minMax"/>
          <c:max val="30"/>
          <c:min val="-1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7.6830459769088189E-3"/>
              <c:y val="0.3758709856509705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33037827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Consolas" pitchFamily="49" charset="0"/>
                <a:cs typeface="Consolas" pitchFamily="49" charset="0"/>
              </a:defRPr>
            </a:pPr>
            <a:r>
              <a:rPr lang="en-US" sz="1000">
                <a:latin typeface="Consolas" pitchFamily="49" charset="0"/>
                <a:cs typeface="Consolas" pitchFamily="49" charset="0"/>
              </a:rPr>
              <a:t>Figure 10.15: Percentage change of tourist arrivals and bed-nights compared to previous month, 2018</a:t>
            </a:r>
          </a:p>
        </c:rich>
      </c:tx>
      <c:layout>
        <c:manualLayout>
          <c:xMode val="edge"/>
          <c:yMode val="edge"/>
          <c:x val="0.15355991000113384"/>
          <c:y val="2.58933416608664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1217417634369409E-2"/>
          <c:y val="0.1865851421872079"/>
          <c:w val="0.90005013412575996"/>
          <c:h val="0.74553029319443698"/>
        </c:manualLayout>
      </c:layout>
      <c:lineChart>
        <c:grouping val="standard"/>
        <c:varyColors val="0"/>
        <c:ser>
          <c:idx val="0"/>
          <c:order val="0"/>
          <c:tx>
            <c:strRef>
              <c:f>'10.9'!$N$5</c:f>
              <c:strCache>
                <c:ptCount val="1"/>
                <c:pt idx="0">
                  <c:v>Tourist Bed-nights*</c:v>
                </c:pt>
              </c:strCache>
            </c:strRef>
          </c:tx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cat>
            <c:strRef>
              <c:f>'10.9'!$AF$16:$AF$27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'10.9'!$N$9:$N$20</c:f>
              <c:numCache>
                <c:formatCode>#,##0.0</c:formatCode>
                <c:ptCount val="12"/>
                <c:pt idx="0">
                  <c:v>9.084707079605824</c:v>
                </c:pt>
                <c:pt idx="1">
                  <c:v>-1.6900465859385982</c:v>
                </c:pt>
                <c:pt idx="2">
                  <c:v>-5.6025020117514091</c:v>
                </c:pt>
                <c:pt idx="3">
                  <c:v>-8.8001316303510713</c:v>
                </c:pt>
                <c:pt idx="4">
                  <c:v>-19.488990236515559</c:v>
                </c:pt>
                <c:pt idx="5">
                  <c:v>-15.118868676573882</c:v>
                </c:pt>
                <c:pt idx="6">
                  <c:v>36.537364351452275</c:v>
                </c:pt>
                <c:pt idx="7">
                  <c:v>10.680271449475875</c:v>
                </c:pt>
                <c:pt idx="8">
                  <c:v>-21.206390772106765</c:v>
                </c:pt>
                <c:pt idx="9">
                  <c:v>26.568953725365031</c:v>
                </c:pt>
                <c:pt idx="10">
                  <c:v>-1.4040881790892468</c:v>
                </c:pt>
                <c:pt idx="11">
                  <c:v>12.41864406258426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2-481F-8432-BDDC3A80E60E}"/>
            </c:ext>
          </c:extLst>
        </c:ser>
        <c:ser>
          <c:idx val="1"/>
          <c:order val="1"/>
          <c:tx>
            <c:strRef>
              <c:f>'10.9'!$P$5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strRef>
              <c:f>'10.9'!$AF$16:$AF$27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'10.9'!$P$9:$P$20</c:f>
              <c:numCache>
                <c:formatCode>#,##0.0</c:formatCode>
                <c:ptCount val="12"/>
                <c:pt idx="0">
                  <c:v>-0.48237917799791585</c:v>
                </c:pt>
                <c:pt idx="1">
                  <c:v>1.359316056789206</c:v>
                </c:pt>
                <c:pt idx="2">
                  <c:v>-7.4989950514949495</c:v>
                </c:pt>
                <c:pt idx="3">
                  <c:v>-10.30449702545967</c:v>
                </c:pt>
                <c:pt idx="4">
                  <c:v>-22.386875276703442</c:v>
                </c:pt>
                <c:pt idx="5">
                  <c:v>0.9395886474443893</c:v>
                </c:pt>
                <c:pt idx="6">
                  <c:v>30.437378713240793</c:v>
                </c:pt>
                <c:pt idx="7">
                  <c:v>1.3569630186704984</c:v>
                </c:pt>
                <c:pt idx="8">
                  <c:v>-13.204077682431127</c:v>
                </c:pt>
                <c:pt idx="9">
                  <c:v>18.37297900018584</c:v>
                </c:pt>
                <c:pt idx="10">
                  <c:v>-1.4043157787319571</c:v>
                </c:pt>
                <c:pt idx="11">
                  <c:v>20.074201458552277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AE-4BC3-92A8-8168527C4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293264"/>
        <c:axId val="378293824"/>
      </c:lineChart>
      <c:catAx>
        <c:axId val="378293264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nextTo"/>
        <c:spPr>
          <a:ln w="31750">
            <a:solidFill>
              <a:schemeClr val="bg1">
                <a:lumMod val="65000"/>
              </a:schemeClr>
            </a:solidFill>
          </a:ln>
        </c:spPr>
        <c:txPr>
          <a:bodyPr rot="0" vert="horz"/>
          <a:lstStyle/>
          <a:p>
            <a:pPr>
              <a:defRPr sz="1200"/>
            </a:pPr>
            <a:endParaRPr lang="en-US"/>
          </a:p>
        </c:txPr>
        <c:crossAx val="378293824"/>
        <c:crosses val="autoZero"/>
        <c:auto val="1"/>
        <c:lblAlgn val="ctr"/>
        <c:lblOffset val="100"/>
        <c:noMultiLvlLbl val="0"/>
      </c:catAx>
      <c:valAx>
        <c:axId val="3782938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crossAx val="37829326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1453771108800079"/>
          <c:y val="0.26340751433450943"/>
          <c:w val="0.34381991927275668"/>
          <c:h val="6.376367980763252E-2"/>
        </c:manualLayout>
      </c:layout>
      <c:overlay val="0"/>
      <c:spPr>
        <a:noFill/>
      </c:spPr>
      <c:txPr>
        <a:bodyPr/>
        <a:lstStyle/>
        <a:p>
          <a:pPr>
            <a:defRPr sz="900"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344156</xdr:colOff>
      <xdr:row>22</xdr:row>
      <xdr:rowOff>211527</xdr:rowOff>
    </xdr:from>
    <xdr:to>
      <xdr:col>14</xdr:col>
      <xdr:colOff>9525</xdr:colOff>
      <xdr:row>43</xdr:row>
      <xdr:rowOff>38998</xdr:rowOff>
    </xdr:to>
    <xdr:graphicFrame macro="">
      <xdr:nvGraphicFramePr>
        <xdr:cNvPr id="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333375</xdr:colOff>
      <xdr:row>45</xdr:row>
      <xdr:rowOff>8627</xdr:rowOff>
    </xdr:from>
    <xdr:to>
      <xdr:col>14</xdr:col>
      <xdr:colOff>38100</xdr:colOff>
      <xdr:row>66</xdr:row>
      <xdr:rowOff>35944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7559</xdr:colOff>
      <xdr:row>64</xdr:row>
      <xdr:rowOff>151235</xdr:rowOff>
    </xdr:from>
    <xdr:to>
      <xdr:col>9</xdr:col>
      <xdr:colOff>142874</xdr:colOff>
      <xdr:row>66</xdr:row>
      <xdr:rowOff>19050</xdr:rowOff>
    </xdr:to>
    <xdr:sp macro="" textlink="">
      <xdr:nvSpPr>
        <xdr:cNvPr id="6" name="TextBox 5"/>
        <xdr:cNvSpPr txBox="1"/>
      </xdr:nvSpPr>
      <xdr:spPr>
        <a:xfrm>
          <a:off x="1864934" y="12705185"/>
          <a:ext cx="3316665" cy="191665"/>
        </a:xfrm>
        <a:prstGeom prst="rect">
          <a:avLst/>
        </a:prstGeom>
        <a:noFill/>
        <a:ln w="31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800" i="1"/>
            <a:t>* Tourist Bed night figures include resorts/hotels/safaris &amp; guesthouses</a:t>
          </a:r>
        </a:p>
      </xdr:txBody>
    </xdr:sp>
    <xdr:clientData/>
  </xdr:twoCellAnchor>
  <xdr:twoCellAnchor>
    <xdr:from>
      <xdr:col>1</xdr:col>
      <xdr:colOff>505387</xdr:colOff>
      <xdr:row>40</xdr:row>
      <xdr:rowOff>133351</xdr:rowOff>
    </xdr:from>
    <xdr:to>
      <xdr:col>9</xdr:col>
      <xdr:colOff>619125</xdr:colOff>
      <xdr:row>42</xdr:row>
      <xdr:rowOff>75841</xdr:rowOff>
    </xdr:to>
    <xdr:sp macro="" textlink="">
      <xdr:nvSpPr>
        <xdr:cNvPr id="7" name="TextBox 6"/>
        <xdr:cNvSpPr txBox="1"/>
      </xdr:nvSpPr>
      <xdr:spPr>
        <a:xfrm>
          <a:off x="1543612" y="8801101"/>
          <a:ext cx="4114238" cy="266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Tourist Bed night figures include resorts/hotels/safaris &amp; guesthouses</a:t>
          </a:r>
          <a:endParaRPr lang="en-US" sz="8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0.03639</cdr:x>
      <cdr:y>0.03197</cdr:y>
    </cdr:from>
    <cdr:to>
      <cdr:x>1</cdr:x>
      <cdr:y>0.11794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80001" y="105327"/>
          <a:ext cx="7414943" cy="283221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10.14: Percentage change of tourist arrivals and bed-nights compared to same month of previous year, 2017 - 2018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0.00268</cdr:x>
      <cdr:y>0.38852</cdr:y>
    </cdr:from>
    <cdr:to>
      <cdr:x>0.04289</cdr:x>
      <cdr:y>0.59806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22465" y="1330265"/>
          <a:ext cx="337582" cy="7174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+mn-lt"/>
            </a:rPr>
            <a:t>In percent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  <cell r="AD40">
            <v>70.654883803757457</v>
          </cell>
        </row>
        <row r="41">
          <cell r="AC41" t="str">
            <v>Hotels</v>
          </cell>
          <cell r="AD41">
            <v>4.1447778470305403</v>
          </cell>
        </row>
        <row r="42">
          <cell r="AC42" t="str">
            <v>Guest Houses</v>
          </cell>
          <cell r="AD42">
            <v>19.061080936693081</v>
          </cell>
        </row>
        <row r="43">
          <cell r="AC43" t="str">
            <v>Safari Vessels</v>
          </cell>
          <cell r="AD43">
            <v>6.139257412518921</v>
          </cell>
        </row>
        <row r="47">
          <cell r="AC47" t="str">
            <v>Resorts (including Marinas)</v>
          </cell>
          <cell r="AD47">
            <v>0.17575757575757575</v>
          </cell>
        </row>
        <row r="48">
          <cell r="AC48" t="str">
            <v>Hotels</v>
          </cell>
          <cell r="AD48">
            <v>1.4545454545454545E-2</v>
          </cell>
        </row>
        <row r="49">
          <cell r="AC49" t="str">
            <v>Guest Houses</v>
          </cell>
          <cell r="AD49">
            <v>0.63151515151515147</v>
          </cell>
        </row>
        <row r="50">
          <cell r="AC50" t="str">
            <v>Safari Vessels</v>
          </cell>
          <cell r="AD50">
            <v>0.17818181818181819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30063</v>
          </cell>
          <cell r="AF20">
            <v>29404</v>
          </cell>
        </row>
        <row r="21">
          <cell r="AD21" t="str">
            <v>Feb</v>
          </cell>
          <cell r="AE21">
            <v>30063</v>
          </cell>
          <cell r="AF21">
            <v>29160</v>
          </cell>
        </row>
        <row r="22">
          <cell r="AD22" t="str">
            <v>Mar</v>
          </cell>
          <cell r="AE22">
            <v>30181</v>
          </cell>
          <cell r="AF22">
            <v>29268</v>
          </cell>
        </row>
        <row r="23">
          <cell r="AD23" t="str">
            <v>Apr</v>
          </cell>
          <cell r="AE23">
            <v>30187</v>
          </cell>
          <cell r="AF23">
            <v>29334</v>
          </cell>
        </row>
        <row r="24">
          <cell r="AD24" t="str">
            <v>May</v>
          </cell>
          <cell r="AE24">
            <v>30187</v>
          </cell>
          <cell r="AF24">
            <v>28964</v>
          </cell>
        </row>
        <row r="25">
          <cell r="AD25" t="str">
            <v>Jun</v>
          </cell>
          <cell r="AE25">
            <v>30207</v>
          </cell>
          <cell r="AF25">
            <v>28910</v>
          </cell>
        </row>
        <row r="26">
          <cell r="AD26" t="str">
            <v>Jul</v>
          </cell>
          <cell r="AE26">
            <v>30207</v>
          </cell>
          <cell r="AF26">
            <v>28820</v>
          </cell>
        </row>
        <row r="27">
          <cell r="AD27" t="str">
            <v>Aug</v>
          </cell>
          <cell r="AE27">
            <v>30341</v>
          </cell>
          <cell r="AF27">
            <v>29044</v>
          </cell>
        </row>
        <row r="28">
          <cell r="AD28" t="str">
            <v>Sep</v>
          </cell>
          <cell r="AE28">
            <v>30823</v>
          </cell>
          <cell r="AF28">
            <v>29526</v>
          </cell>
        </row>
        <row r="29">
          <cell r="AD29" t="str">
            <v>Oct</v>
          </cell>
          <cell r="AE29">
            <v>30885</v>
          </cell>
          <cell r="AF29">
            <v>29588</v>
          </cell>
        </row>
        <row r="30">
          <cell r="AD30" t="str">
            <v>Nov</v>
          </cell>
          <cell r="AE30">
            <v>31423</v>
          </cell>
          <cell r="AF30">
            <v>30082</v>
          </cell>
        </row>
        <row r="31">
          <cell r="AD31" t="str">
            <v>Dec</v>
          </cell>
          <cell r="AE31">
            <v>31741</v>
          </cell>
          <cell r="AF31">
            <v>30438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  <cell r="C15">
            <v>60242</v>
          </cell>
          <cell r="D15">
            <v>58195</v>
          </cell>
          <cell r="E15">
            <v>54157</v>
          </cell>
          <cell r="F15">
            <v>57109</v>
          </cell>
          <cell r="G15">
            <v>45177</v>
          </cell>
          <cell r="H15">
            <v>40579</v>
          </cell>
          <cell r="I15">
            <v>54239</v>
          </cell>
          <cell r="J15">
            <v>57649</v>
          </cell>
          <cell r="K15">
            <v>51284</v>
          </cell>
          <cell r="L15">
            <v>61740</v>
          </cell>
          <cell r="M15">
            <v>57934</v>
          </cell>
          <cell r="N15">
            <v>68981</v>
          </cell>
        </row>
        <row r="16">
          <cell r="A16" t="str">
            <v>Female</v>
          </cell>
          <cell r="C16">
            <v>65094</v>
          </cell>
          <cell r="D16">
            <v>62857</v>
          </cell>
          <cell r="E16">
            <v>58508</v>
          </cell>
          <cell r="F16">
            <v>62665</v>
          </cell>
          <cell r="G16">
            <v>48314</v>
          </cell>
          <cell r="H16">
            <v>44643</v>
          </cell>
          <cell r="I16">
            <v>58936</v>
          </cell>
          <cell r="J16">
            <v>63661</v>
          </cell>
          <cell r="K16">
            <v>54700</v>
          </cell>
          <cell r="L16">
            <v>66246</v>
          </cell>
          <cell r="M16">
            <v>62572</v>
          </cell>
          <cell r="N16">
            <v>74060</v>
          </cell>
        </row>
        <row r="22">
          <cell r="Z22" t="str">
            <v>Jan</v>
          </cell>
          <cell r="AA22" t="str">
            <v>Feb</v>
          </cell>
          <cell r="AB22" t="str">
            <v>Mar</v>
          </cell>
          <cell r="AC22" t="str">
            <v>Apr</v>
          </cell>
          <cell r="AD22" t="str">
            <v>May</v>
          </cell>
          <cell r="AE22" t="str">
            <v>Jun</v>
          </cell>
          <cell r="AF22" t="str">
            <v>Jul</v>
          </cell>
          <cell r="AG22" t="str">
            <v>Aug</v>
          </cell>
          <cell r="AH22" t="str">
            <v>Sep</v>
          </cell>
          <cell r="AI22" t="str">
            <v>Oct</v>
          </cell>
          <cell r="AJ22" t="str">
            <v>Nov</v>
          </cell>
          <cell r="AK22" t="str">
            <v>Dec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27"/>
  <sheetViews>
    <sheetView tabSelected="1" zoomScaleNormal="100" workbookViewId="0">
      <selection activeCell="U13" sqref="U13"/>
    </sheetView>
  </sheetViews>
  <sheetFormatPr defaultColWidth="9.140625" defaultRowHeight="12.75" x14ac:dyDescent="0.2"/>
  <cols>
    <col min="1" max="1" width="15.5703125" style="6" customWidth="1"/>
    <col min="2" max="4" width="12.28515625" style="6" customWidth="1"/>
    <col min="5" max="5" width="0.85546875" style="6" customWidth="1"/>
    <col min="6" max="7" width="11.140625" style="6" hidden="1" customWidth="1"/>
    <col min="8" max="10" width="11.140625" style="6" customWidth="1"/>
    <col min="11" max="11" width="20" style="6" customWidth="1"/>
    <col min="12" max="12" width="1.5703125" style="6" customWidth="1"/>
    <col min="13" max="13" width="15.140625" style="6" customWidth="1"/>
    <col min="14" max="14" width="17.7109375" style="6" customWidth="1"/>
    <col min="15" max="15" width="2.42578125" style="6" customWidth="1"/>
    <col min="16" max="16" width="14.5703125" style="6" customWidth="1"/>
    <col min="17" max="17" width="12.7109375" style="6" customWidth="1"/>
    <col min="18" max="18" width="3.85546875" style="6" customWidth="1"/>
    <col min="19" max="16384" width="9.140625" style="6"/>
  </cols>
  <sheetData>
    <row r="1" spans="1:32" ht="19.5" x14ac:dyDescent="0.2">
      <c r="A1" s="69" t="s">
        <v>52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11"/>
    </row>
    <row r="2" spans="1:32" s="61" customFormat="1" ht="22.5" customHeight="1" x14ac:dyDescent="0.2">
      <c r="A2" s="70" t="s">
        <v>53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3" spans="1:32" s="5" customFormat="1" ht="19.5" customHeight="1" x14ac:dyDescent="0.2">
      <c r="A3" s="72" t="s">
        <v>3</v>
      </c>
      <c r="B3" s="81" t="s">
        <v>28</v>
      </c>
      <c r="C3" s="81"/>
      <c r="D3" s="81"/>
      <c r="E3" s="12"/>
      <c r="G3" s="56"/>
      <c r="H3" s="85" t="s">
        <v>29</v>
      </c>
      <c r="I3" s="81"/>
      <c r="J3" s="86"/>
      <c r="K3" s="75" t="s">
        <v>30</v>
      </c>
      <c r="L3" s="76"/>
      <c r="M3" s="77"/>
      <c r="N3" s="75" t="s">
        <v>31</v>
      </c>
      <c r="O3" s="76"/>
      <c r="P3" s="76"/>
      <c r="Q3" s="78" t="s">
        <v>32</v>
      </c>
    </row>
    <row r="4" spans="1:32" s="5" customFormat="1" ht="18.75" customHeight="1" x14ac:dyDescent="0.2">
      <c r="A4" s="73"/>
      <c r="B4" s="82"/>
      <c r="C4" s="82"/>
      <c r="D4" s="82"/>
      <c r="E4" s="14"/>
      <c r="F4" s="57"/>
      <c r="G4" s="13"/>
      <c r="H4" s="87"/>
      <c r="I4" s="82"/>
      <c r="J4" s="88"/>
      <c r="K4" s="93" t="s">
        <v>33</v>
      </c>
      <c r="L4" s="94"/>
      <c r="M4" s="95"/>
      <c r="N4" s="96" t="s">
        <v>34</v>
      </c>
      <c r="O4" s="97"/>
      <c r="P4" s="97"/>
      <c r="Q4" s="79"/>
    </row>
    <row r="5" spans="1:32" s="5" customFormat="1" ht="18.75" customHeight="1" x14ac:dyDescent="0.2">
      <c r="A5" s="73"/>
      <c r="B5" s="83" t="s">
        <v>35</v>
      </c>
      <c r="C5" s="83"/>
      <c r="D5" s="83"/>
      <c r="E5" s="15"/>
      <c r="G5" s="58"/>
      <c r="H5" s="89" t="s">
        <v>36</v>
      </c>
      <c r="I5" s="83"/>
      <c r="J5" s="90"/>
      <c r="K5" s="16" t="s">
        <v>28</v>
      </c>
      <c r="L5" s="17"/>
      <c r="M5" s="18" t="s">
        <v>29</v>
      </c>
      <c r="N5" s="19" t="s">
        <v>28</v>
      </c>
      <c r="O5" s="20"/>
      <c r="P5" s="20" t="s">
        <v>29</v>
      </c>
      <c r="Q5" s="79"/>
    </row>
    <row r="6" spans="1:32" s="5" customFormat="1" ht="37.5" x14ac:dyDescent="0.2">
      <c r="A6" s="73"/>
      <c r="B6" s="84"/>
      <c r="C6" s="84"/>
      <c r="D6" s="84"/>
      <c r="E6" s="21"/>
      <c r="F6" s="60"/>
      <c r="G6" s="59"/>
      <c r="H6" s="91"/>
      <c r="I6" s="84"/>
      <c r="J6" s="92"/>
      <c r="K6" s="22" t="s">
        <v>35</v>
      </c>
      <c r="L6" s="23"/>
      <c r="M6" s="24" t="s">
        <v>36</v>
      </c>
      <c r="N6" s="25" t="s">
        <v>35</v>
      </c>
      <c r="O6" s="26"/>
      <c r="P6" s="26" t="s">
        <v>36</v>
      </c>
      <c r="Q6" s="79"/>
    </row>
    <row r="7" spans="1:32" s="30" customFormat="1" x14ac:dyDescent="0.25">
      <c r="A7" s="74"/>
      <c r="B7" s="28">
        <v>2016</v>
      </c>
      <c r="C7" s="9">
        <v>2017</v>
      </c>
      <c r="D7" s="9">
        <v>2018</v>
      </c>
      <c r="E7" s="9"/>
      <c r="F7" s="27">
        <v>2014</v>
      </c>
      <c r="G7" s="28">
        <v>2015</v>
      </c>
      <c r="H7" s="27">
        <v>2016</v>
      </c>
      <c r="I7" s="28">
        <v>2017</v>
      </c>
      <c r="J7" s="29">
        <v>2018</v>
      </c>
      <c r="K7" s="87" t="s">
        <v>37</v>
      </c>
      <c r="L7" s="82"/>
      <c r="M7" s="88"/>
      <c r="N7" s="87">
        <v>2018</v>
      </c>
      <c r="O7" s="82"/>
      <c r="P7" s="82"/>
      <c r="Q7" s="80"/>
    </row>
    <row r="8" spans="1:32" s="5" customFormat="1" ht="19.5" customHeight="1" x14ac:dyDescent="0.2">
      <c r="A8" s="31" t="s">
        <v>0</v>
      </c>
      <c r="B8" s="32">
        <f>SUM(B9:B20)</f>
        <v>7770922.642037821</v>
      </c>
      <c r="C8" s="32">
        <f>SUM(C9:C20)</f>
        <v>8593283.6177621465</v>
      </c>
      <c r="D8" s="32">
        <f>SUM(D9:D20)</f>
        <v>9478093.9017162751</v>
      </c>
      <c r="E8" s="32"/>
      <c r="F8" s="33">
        <f>SUM(F9:F20)</f>
        <v>1204857</v>
      </c>
      <c r="G8" s="2">
        <f>SUM(G9:G20)</f>
        <v>1234248</v>
      </c>
      <c r="H8" s="33">
        <f>SUM(H9:H20)</f>
        <v>1286135</v>
      </c>
      <c r="I8" s="2">
        <f>SUM(I9:I20)</f>
        <v>1389542</v>
      </c>
      <c r="J8" s="34">
        <f>SUM(J9:J20)</f>
        <v>1484274</v>
      </c>
      <c r="K8" s="53">
        <f>((D8/C8)-1)*100</f>
        <v>10.296533005442111</v>
      </c>
      <c r="L8" s="54"/>
      <c r="M8" s="55">
        <f>((J8/I8)-1)*100</f>
        <v>6.8174981396748047</v>
      </c>
      <c r="N8" s="35" t="s">
        <v>38</v>
      </c>
      <c r="O8" s="68"/>
      <c r="P8" s="36" t="s">
        <v>38</v>
      </c>
      <c r="Q8" s="37" t="s">
        <v>2</v>
      </c>
    </row>
    <row r="9" spans="1:32" s="5" customFormat="1" ht="19.5" customHeight="1" x14ac:dyDescent="0.2">
      <c r="A9" s="38" t="s">
        <v>4</v>
      </c>
      <c r="B9" s="39">
        <v>658991.02257734654</v>
      </c>
      <c r="C9" s="39">
        <v>800126.35612185334</v>
      </c>
      <c r="D9" s="39">
        <v>941496.93723687832</v>
      </c>
      <c r="E9" s="4"/>
      <c r="F9" s="40">
        <v>105296</v>
      </c>
      <c r="G9" s="4">
        <v>97073</v>
      </c>
      <c r="H9" s="40">
        <v>108396</v>
      </c>
      <c r="I9" s="4">
        <v>125336</v>
      </c>
      <c r="J9" s="62">
        <v>142351</v>
      </c>
      <c r="K9" s="63">
        <f>((D9/C9)-1)*100</f>
        <v>17.668531980403259</v>
      </c>
      <c r="L9" s="51"/>
      <c r="M9" s="64">
        <f>((J9/I9)-1)*100</f>
        <v>13.575509031722731</v>
      </c>
      <c r="N9" s="63">
        <f>((D9/C20)-1)*100</f>
        <v>9.084707079605824</v>
      </c>
      <c r="O9" s="51"/>
      <c r="P9" s="63">
        <f>((J9/I20)-1)*100</f>
        <v>-0.48237917799791585</v>
      </c>
      <c r="Q9" s="41" t="s">
        <v>39</v>
      </c>
      <c r="S9" s="7"/>
    </row>
    <row r="10" spans="1:32" s="5" customFormat="1" ht="19.5" customHeight="1" x14ac:dyDescent="0.2">
      <c r="A10" s="38" t="s">
        <v>5</v>
      </c>
      <c r="B10" s="39">
        <v>749459.82384348847</v>
      </c>
      <c r="C10" s="39">
        <v>772412.98962665652</v>
      </c>
      <c r="D10" s="39">
        <v>925585.20039239002</v>
      </c>
      <c r="E10" s="4"/>
      <c r="F10" s="40">
        <v>110705</v>
      </c>
      <c r="G10" s="4">
        <v>120468</v>
      </c>
      <c r="H10" s="40">
        <v>120639</v>
      </c>
      <c r="I10" s="4">
        <v>121052</v>
      </c>
      <c r="J10" s="62">
        <v>144286</v>
      </c>
      <c r="K10" s="63">
        <f>((D10/C10)-1)*100</f>
        <v>19.830351485902487</v>
      </c>
      <c r="L10" s="51"/>
      <c r="M10" s="64">
        <f>((J10/I10)-1)*100</f>
        <v>19.193404487327758</v>
      </c>
      <c r="N10" s="63">
        <f t="shared" ref="N10:N20" si="0">((D10/D9)-1)*100</f>
        <v>-1.6900465859385982</v>
      </c>
      <c r="O10" s="51"/>
      <c r="P10" s="63">
        <f t="shared" ref="P10:P20" si="1">((J10/J9)-1)*100</f>
        <v>1.359316056789206</v>
      </c>
      <c r="Q10" s="41" t="s">
        <v>40</v>
      </c>
      <c r="S10" s="7"/>
    </row>
    <row r="11" spans="1:32" s="5" customFormat="1" ht="19.5" customHeight="1" x14ac:dyDescent="0.2">
      <c r="A11" s="38" t="s">
        <v>6</v>
      </c>
      <c r="B11" s="39">
        <v>746568.50029467535</v>
      </c>
      <c r="C11" s="39">
        <v>750431.75735626707</v>
      </c>
      <c r="D11" s="39">
        <v>873729.2709199331</v>
      </c>
      <c r="E11" s="4"/>
      <c r="F11" s="40">
        <v>105560</v>
      </c>
      <c r="G11" s="4">
        <v>112427</v>
      </c>
      <c r="H11" s="40">
        <v>115131</v>
      </c>
      <c r="I11" s="4">
        <v>112665</v>
      </c>
      <c r="J11" s="62">
        <v>133466</v>
      </c>
      <c r="K11" s="63">
        <f t="shared" ref="K11:K20" si="2">((D11/C11)-1)*100</f>
        <v>16.430209989784661</v>
      </c>
      <c r="L11" s="51"/>
      <c r="M11" s="64">
        <f t="shared" ref="M10:M20" si="3">((J11/I11)-1)*100</f>
        <v>18.462699152354322</v>
      </c>
      <c r="N11" s="63">
        <f t="shared" si="0"/>
        <v>-5.6025020117514091</v>
      </c>
      <c r="O11" s="51"/>
      <c r="P11" s="63">
        <f t="shared" si="1"/>
        <v>-7.4989950514949495</v>
      </c>
      <c r="Q11" s="41" t="s">
        <v>41</v>
      </c>
      <c r="S11" s="7"/>
    </row>
    <row r="12" spans="1:32" s="5" customFormat="1" ht="19.5" customHeight="1" x14ac:dyDescent="0.2">
      <c r="A12" s="38" t="s">
        <v>7</v>
      </c>
      <c r="B12" s="39">
        <v>655921.90097689989</v>
      </c>
      <c r="C12" s="39">
        <v>742497.61743564717</v>
      </c>
      <c r="D12" s="39">
        <v>796839.94498607225</v>
      </c>
      <c r="E12" s="4"/>
      <c r="F12" s="40">
        <v>105309</v>
      </c>
      <c r="G12" s="4">
        <v>102242</v>
      </c>
      <c r="H12" s="40">
        <v>103493</v>
      </c>
      <c r="I12" s="4">
        <v>119774</v>
      </c>
      <c r="J12" s="62">
        <v>119713</v>
      </c>
      <c r="K12" s="63">
        <f t="shared" si="2"/>
        <v>7.3188554783658821</v>
      </c>
      <c r="L12" s="51"/>
      <c r="M12" s="64">
        <f>((J12/I12)-1)*100</f>
        <v>-5.0929250087661249E-2</v>
      </c>
      <c r="N12" s="63">
        <f t="shared" si="0"/>
        <v>-8.8001316303510713</v>
      </c>
      <c r="O12" s="51"/>
      <c r="P12" s="63">
        <f t="shared" si="1"/>
        <v>-10.30449702545967</v>
      </c>
      <c r="Q12" s="41" t="s">
        <v>42</v>
      </c>
      <c r="S12" s="7"/>
    </row>
    <row r="13" spans="1:32" s="5" customFormat="1" ht="19.5" customHeight="1" x14ac:dyDescent="0.2">
      <c r="A13" s="38" t="s">
        <v>8</v>
      </c>
      <c r="B13" s="39">
        <v>573465.31358633551</v>
      </c>
      <c r="C13" s="39">
        <v>601496.36821079231</v>
      </c>
      <c r="D13" s="39">
        <v>641543.88590708072</v>
      </c>
      <c r="E13" s="4"/>
      <c r="F13" s="40">
        <v>91296</v>
      </c>
      <c r="G13" s="4">
        <v>95389</v>
      </c>
      <c r="H13" s="40">
        <v>93228</v>
      </c>
      <c r="I13" s="4">
        <v>93491</v>
      </c>
      <c r="J13" s="62">
        <v>92913</v>
      </c>
      <c r="K13" s="63">
        <f t="shared" si="2"/>
        <v>6.6579816292845706</v>
      </c>
      <c r="L13" s="51"/>
      <c r="M13" s="64">
        <f t="shared" si="3"/>
        <v>-0.61824132804226828</v>
      </c>
      <c r="N13" s="63">
        <f t="shared" si="0"/>
        <v>-19.488990236515559</v>
      </c>
      <c r="O13" s="51"/>
      <c r="P13" s="63">
        <f t="shared" si="1"/>
        <v>-22.386875276703442</v>
      </c>
      <c r="Q13" s="41" t="s">
        <v>43</v>
      </c>
      <c r="S13" s="7"/>
    </row>
    <row r="14" spans="1:32" s="5" customFormat="1" ht="19.5" customHeight="1" x14ac:dyDescent="0.2">
      <c r="A14" s="38" t="s">
        <v>9</v>
      </c>
      <c r="B14" s="39">
        <v>443937.13137700246</v>
      </c>
      <c r="C14" s="39">
        <v>480889.64024626091</v>
      </c>
      <c r="D14" s="39">
        <v>544549.70829420025</v>
      </c>
      <c r="E14" s="4"/>
      <c r="F14" s="40">
        <v>83347</v>
      </c>
      <c r="G14" s="4">
        <v>81506</v>
      </c>
      <c r="H14" s="40">
        <v>79034</v>
      </c>
      <c r="I14" s="4">
        <v>85222</v>
      </c>
      <c r="J14" s="62">
        <v>93786</v>
      </c>
      <c r="K14" s="63">
        <f t="shared" si="2"/>
        <v>13.237978679544726</v>
      </c>
      <c r="L14" s="51"/>
      <c r="M14" s="64">
        <f t="shared" si="3"/>
        <v>10.049048367792345</v>
      </c>
      <c r="N14" s="63">
        <f t="shared" si="0"/>
        <v>-15.118868676573882</v>
      </c>
      <c r="O14" s="51"/>
      <c r="P14" s="63">
        <f t="shared" si="1"/>
        <v>0.9395886474443893</v>
      </c>
      <c r="Q14" s="41" t="s">
        <v>44</v>
      </c>
      <c r="S14" s="7"/>
    </row>
    <row r="15" spans="1:32" s="5" customFormat="1" ht="19.5" customHeight="1" x14ac:dyDescent="0.2">
      <c r="A15" s="38" t="s">
        <v>10</v>
      </c>
      <c r="B15" s="39">
        <v>629327.19249594188</v>
      </c>
      <c r="C15" s="39">
        <v>688020.73461813317</v>
      </c>
      <c r="D15" s="39">
        <v>743513.8192884227</v>
      </c>
      <c r="E15" s="4"/>
      <c r="F15" s="40">
        <v>100191</v>
      </c>
      <c r="G15" s="4">
        <v>104517</v>
      </c>
      <c r="H15" s="40">
        <v>110432</v>
      </c>
      <c r="I15" s="4">
        <v>113175</v>
      </c>
      <c r="J15" s="62">
        <v>122332</v>
      </c>
      <c r="K15" s="63">
        <f t="shared" si="2"/>
        <v>8.065612252382115</v>
      </c>
      <c r="L15" s="51"/>
      <c r="M15" s="64">
        <f t="shared" si="3"/>
        <v>8.0910094985641621</v>
      </c>
      <c r="N15" s="63">
        <f t="shared" si="0"/>
        <v>36.537364351452275</v>
      </c>
      <c r="O15" s="51"/>
      <c r="P15" s="63">
        <f t="shared" si="1"/>
        <v>30.437378713240793</v>
      </c>
      <c r="Q15" s="41" t="s">
        <v>45</v>
      </c>
      <c r="S15" s="7"/>
    </row>
    <row r="16" spans="1:32" s="5" customFormat="1" ht="19.5" customHeight="1" x14ac:dyDescent="0.2">
      <c r="A16" s="38" t="s">
        <v>11</v>
      </c>
      <c r="B16" s="39">
        <v>679120.24186927639</v>
      </c>
      <c r="C16" s="39">
        <v>746618.12340413022</v>
      </c>
      <c r="D16" s="39">
        <v>822923.1134527917</v>
      </c>
      <c r="E16" s="4"/>
      <c r="F16" s="40">
        <v>104186</v>
      </c>
      <c r="G16" s="4">
        <v>110144</v>
      </c>
      <c r="H16" s="40">
        <v>112282</v>
      </c>
      <c r="I16" s="4">
        <v>121310</v>
      </c>
      <c r="J16" s="62">
        <v>123992</v>
      </c>
      <c r="K16" s="63">
        <f t="shared" si="2"/>
        <v>10.220082751374493</v>
      </c>
      <c r="L16" s="51"/>
      <c r="M16" s="64">
        <f t="shared" si="3"/>
        <v>2.2108647267331527</v>
      </c>
      <c r="N16" s="63">
        <f t="shared" si="0"/>
        <v>10.680271449475875</v>
      </c>
      <c r="O16" s="51"/>
      <c r="P16" s="63">
        <f t="shared" si="1"/>
        <v>1.3569630186704984</v>
      </c>
      <c r="Q16" s="41" t="s">
        <v>46</v>
      </c>
      <c r="S16" s="7"/>
      <c r="AF16" s="8" t="s">
        <v>17</v>
      </c>
    </row>
    <row r="17" spans="1:32" s="5" customFormat="1" ht="19.5" customHeight="1" x14ac:dyDescent="0.2">
      <c r="A17" s="38" t="s">
        <v>12</v>
      </c>
      <c r="B17" s="39">
        <v>589810.66820347263</v>
      </c>
      <c r="C17" s="39">
        <v>604175.35293706728</v>
      </c>
      <c r="D17" s="39">
        <v>648410.82226000517</v>
      </c>
      <c r="E17" s="4"/>
      <c r="F17" s="40">
        <v>95114</v>
      </c>
      <c r="G17" s="4">
        <v>95511</v>
      </c>
      <c r="H17" s="40">
        <v>101909</v>
      </c>
      <c r="I17" s="4">
        <v>105984</v>
      </c>
      <c r="J17" s="62">
        <v>107620</v>
      </c>
      <c r="K17" s="63">
        <f t="shared" si="2"/>
        <v>7.321627588397428</v>
      </c>
      <c r="L17" s="51"/>
      <c r="M17" s="64">
        <f t="shared" si="3"/>
        <v>1.5436292270531338</v>
      </c>
      <c r="N17" s="63">
        <f t="shared" si="0"/>
        <v>-21.206390772106765</v>
      </c>
      <c r="O17" s="51"/>
      <c r="P17" s="63">
        <f t="shared" si="1"/>
        <v>-13.204077682431127</v>
      </c>
      <c r="Q17" s="41" t="s">
        <v>47</v>
      </c>
      <c r="S17" s="7"/>
      <c r="AF17" s="8" t="s">
        <v>18</v>
      </c>
    </row>
    <row r="18" spans="1:32" s="5" customFormat="1" ht="19.5" customHeight="1" x14ac:dyDescent="0.2">
      <c r="A18" s="38" t="s">
        <v>13</v>
      </c>
      <c r="B18" s="39">
        <v>706407.53106039867</v>
      </c>
      <c r="C18" s="39">
        <v>793474.41907263896</v>
      </c>
      <c r="D18" s="39">
        <v>820686.79357652483</v>
      </c>
      <c r="E18" s="4"/>
      <c r="F18" s="40">
        <v>110331</v>
      </c>
      <c r="G18" s="4">
        <v>105498</v>
      </c>
      <c r="H18" s="40">
        <v>117489</v>
      </c>
      <c r="I18" s="4">
        <v>127986</v>
      </c>
      <c r="J18" s="62">
        <v>127393</v>
      </c>
      <c r="K18" s="63">
        <f t="shared" si="2"/>
        <v>3.4295213367672162</v>
      </c>
      <c r="L18" s="51"/>
      <c r="M18" s="64">
        <f t="shared" si="3"/>
        <v>-0.46333192692951108</v>
      </c>
      <c r="N18" s="63">
        <f t="shared" si="0"/>
        <v>26.568953725365031</v>
      </c>
      <c r="O18" s="51"/>
      <c r="P18" s="63">
        <f t="shared" si="1"/>
        <v>18.37297900018584</v>
      </c>
      <c r="Q18" s="41" t="s">
        <v>48</v>
      </c>
      <c r="S18" s="7"/>
      <c r="AF18" s="8" t="s">
        <v>19</v>
      </c>
    </row>
    <row r="19" spans="1:32" s="5" customFormat="1" ht="19.5" customHeight="1" x14ac:dyDescent="0.2">
      <c r="A19" s="38" t="s">
        <v>14</v>
      </c>
      <c r="B19" s="39">
        <v>651958.88226781064</v>
      </c>
      <c r="C19" s="39">
        <v>750052.33152232482</v>
      </c>
      <c r="D19" s="39">
        <v>809163.62732057029</v>
      </c>
      <c r="E19" s="4"/>
      <c r="F19" s="40">
        <v>89778</v>
      </c>
      <c r="G19" s="4">
        <v>90218</v>
      </c>
      <c r="H19" s="40">
        <v>104572</v>
      </c>
      <c r="I19" s="4">
        <v>120506</v>
      </c>
      <c r="J19" s="62">
        <v>125604</v>
      </c>
      <c r="K19" s="63">
        <f t="shared" si="2"/>
        <v>7.8809562098516084</v>
      </c>
      <c r="L19" s="51"/>
      <c r="M19" s="64">
        <f t="shared" si="3"/>
        <v>4.2304947471495158</v>
      </c>
      <c r="N19" s="63">
        <f t="shared" si="0"/>
        <v>-1.4040881790892468</v>
      </c>
      <c r="O19" s="51"/>
      <c r="P19" s="63">
        <f t="shared" si="1"/>
        <v>-1.4043157787319571</v>
      </c>
      <c r="Q19" s="41" t="s">
        <v>49</v>
      </c>
      <c r="S19" s="7"/>
      <c r="AF19" s="8" t="s">
        <v>20</v>
      </c>
    </row>
    <row r="20" spans="1:32" s="5" customFormat="1" ht="19.5" customHeight="1" x14ac:dyDescent="0.2">
      <c r="A20" s="42" t="s">
        <v>15</v>
      </c>
      <c r="B20" s="43">
        <v>685954.43348517246</v>
      </c>
      <c r="C20" s="43">
        <v>863087.92721037427</v>
      </c>
      <c r="D20" s="43">
        <v>909650.77808140765</v>
      </c>
      <c r="E20" s="3"/>
      <c r="F20" s="44">
        <v>103744</v>
      </c>
      <c r="G20" s="3">
        <v>119255</v>
      </c>
      <c r="H20" s="44">
        <v>119530</v>
      </c>
      <c r="I20" s="3">
        <v>143041</v>
      </c>
      <c r="J20" s="65">
        <v>150818</v>
      </c>
      <c r="K20" s="67">
        <f t="shared" si="2"/>
        <v>5.3949139366983534</v>
      </c>
      <c r="L20" s="52"/>
      <c r="M20" s="66">
        <f t="shared" si="3"/>
        <v>5.436902706217106</v>
      </c>
      <c r="N20" s="67">
        <f t="shared" si="0"/>
        <v>12.41864406258426</v>
      </c>
      <c r="O20" s="52"/>
      <c r="P20" s="67">
        <f t="shared" si="1"/>
        <v>20.074201458552277</v>
      </c>
      <c r="Q20" s="45" t="s">
        <v>50</v>
      </c>
      <c r="S20" s="7"/>
      <c r="AF20" s="8" t="s">
        <v>8</v>
      </c>
    </row>
    <row r="21" spans="1:32" s="5" customFormat="1" ht="17.25" x14ac:dyDescent="0.2">
      <c r="A21" s="1" t="s">
        <v>54</v>
      </c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7" t="s">
        <v>51</v>
      </c>
      <c r="AF21" s="8" t="s">
        <v>21</v>
      </c>
    </row>
    <row r="22" spans="1:32" s="5" customFormat="1" ht="15.75" customHeight="1" x14ac:dyDescent="0.2">
      <c r="A22" s="1" t="s">
        <v>1</v>
      </c>
      <c r="Q22" s="10" t="s">
        <v>16</v>
      </c>
      <c r="AF22" s="8" t="s">
        <v>22</v>
      </c>
    </row>
    <row r="23" spans="1:32" s="5" customFormat="1" ht="17.25" x14ac:dyDescent="0.2"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9"/>
      <c r="AF23" s="8" t="s">
        <v>23</v>
      </c>
    </row>
    <row r="24" spans="1:32" s="5" customFormat="1" ht="12" x14ac:dyDescent="0.2">
      <c r="A24" s="1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AF24" s="8" t="s">
        <v>24</v>
      </c>
    </row>
    <row r="25" spans="1:32" s="5" customFormat="1" ht="14.25" customHeight="1" x14ac:dyDescent="0.2">
      <c r="A25" s="48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50"/>
      <c r="AF25" s="8" t="s">
        <v>25</v>
      </c>
    </row>
    <row r="26" spans="1:32" x14ac:dyDescent="0.2">
      <c r="AF26" s="8" t="s">
        <v>26</v>
      </c>
    </row>
    <row r="27" spans="1:32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AF27" s="8" t="s">
        <v>27</v>
      </c>
    </row>
  </sheetData>
  <mergeCells count="14">
    <mergeCell ref="A1:Q1"/>
    <mergeCell ref="A2:Q2"/>
    <mergeCell ref="A3:A7"/>
    <mergeCell ref="K3:M3"/>
    <mergeCell ref="N3:P3"/>
    <mergeCell ref="Q3:Q7"/>
    <mergeCell ref="B3:D4"/>
    <mergeCell ref="B5:D6"/>
    <mergeCell ref="H3:J4"/>
    <mergeCell ref="H5:J6"/>
    <mergeCell ref="K7:M7"/>
    <mergeCell ref="N7:P7"/>
    <mergeCell ref="K4:M4"/>
    <mergeCell ref="N4:P4"/>
  </mergeCells>
  <pageMargins left="0.7" right="0.7" top="0.75" bottom="0.75" header="0.3" footer="0.3"/>
  <pageSetup paperSize="9" scale="70" orientation="landscape" horizontalDpi="4294967295" verticalDpi="4294967295" r:id="rId1"/>
  <rowBreaks count="1" manualBreakCount="1">
    <brk id="44" max="18" man="1"/>
  </rowBreaks>
  <colBreaks count="1" manualBreakCount="1">
    <brk id="17" max="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10.9</vt:lpstr>
      <vt:lpstr>'10.9'!Print_Area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2019-04-29T03:55:00Z</cp:lastPrinted>
  <dcterms:created xsi:type="dcterms:W3CDTF">2019-02-27T06:18:18Z</dcterms:created>
  <dcterms:modified xsi:type="dcterms:W3CDTF">2019-04-29T03:55:24Z</dcterms:modified>
</cp:coreProperties>
</file>