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0.TOURISM\"/>
    </mc:Choice>
  </mc:AlternateContent>
  <bookViews>
    <workbookView xWindow="0" yWindow="0" windowWidth="28800" windowHeight="12330" tabRatio="885"/>
  </bookViews>
  <sheets>
    <sheet name="10.5" sheetId="5" r:id="rId1"/>
  </sheets>
  <externalReferences>
    <externalReference r:id="rId2"/>
  </externalReferences>
  <definedNames>
    <definedName name="_xlnm.Print_Area" localSheetId="0">'10.5'!$A$1:$L$35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33" i="5" l="1"/>
  <c r="AN22" i="5"/>
  <c r="AM22" i="5"/>
  <c r="AN33" i="5" l="1"/>
  <c r="AN32" i="5"/>
  <c r="AM32" i="5"/>
  <c r="AN31" i="5"/>
  <c r="AM31" i="5"/>
  <c r="AN30" i="5"/>
  <c r="AM30" i="5"/>
  <c r="AN29" i="5"/>
  <c r="AM29" i="5"/>
  <c r="AN28" i="5"/>
  <c r="AM28" i="5"/>
  <c r="AN27" i="5"/>
  <c r="AM27" i="5"/>
  <c r="AN26" i="5"/>
  <c r="AM26" i="5"/>
  <c r="AN25" i="5"/>
  <c r="AM25" i="5"/>
  <c r="AN24" i="5"/>
  <c r="AM24" i="5"/>
  <c r="AN23" i="5"/>
  <c r="AM23" i="5"/>
  <c r="I18" i="5"/>
  <c r="D18" i="5"/>
  <c r="I17" i="5"/>
  <c r="D17" i="5"/>
  <c r="I16" i="5"/>
  <c r="D16" i="5"/>
  <c r="I15" i="5"/>
  <c r="D15" i="5"/>
  <c r="I14" i="5"/>
  <c r="D14" i="5"/>
  <c r="I13" i="5"/>
  <c r="D13" i="5"/>
  <c r="I12" i="5"/>
  <c r="D12" i="5"/>
  <c r="I11" i="5"/>
  <c r="D11" i="5"/>
  <c r="I10" i="5"/>
  <c r="D10" i="5"/>
  <c r="I9" i="5"/>
  <c r="D9" i="5"/>
  <c r="D6" i="5" s="1"/>
  <c r="I8" i="5"/>
  <c r="D8" i="5"/>
  <c r="I7" i="5"/>
  <c r="D7" i="5"/>
  <c r="K6" i="5"/>
  <c r="J6" i="5"/>
  <c r="H6" i="5"/>
  <c r="G6" i="5"/>
  <c r="F6" i="5"/>
  <c r="E6" i="5"/>
  <c r="C6" i="5"/>
  <c r="B6" i="5"/>
  <c r="I6" i="5" l="1"/>
</calcChain>
</file>

<file path=xl/sharedStrings.xml><?xml version="1.0" encoding="utf-8"?>
<sst xmlns="http://schemas.openxmlformats.org/spreadsheetml/2006/main" count="52" uniqueCount="40">
  <si>
    <t>Source: Ministry of Tourism</t>
  </si>
  <si>
    <t>އެނދުގެ ޖާގައިން  ބޭނުންކުރެވުނު މިންވަރު %</t>
  </si>
  <si>
    <t>Month</t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</si>
  <si>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</si>
  <si>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</si>
  <si>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</si>
  <si>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</si>
  <si>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>Beds in
 operation</t>
  </si>
  <si>
    <t xml:space="preserve">% share of registered beds in operation </t>
  </si>
  <si>
    <t>Bed Capacity
 Utilization Rate %</t>
  </si>
  <si>
    <t>Tourist Bednights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</si>
  <si>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</si>
  <si>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</si>
  <si>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</si>
  <si>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</si>
  <si>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</si>
  <si>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</si>
  <si>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</si>
  <si>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</si>
  <si>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</si>
  <si>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</si>
  <si>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</si>
  <si>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</si>
  <si>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</si>
  <si>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</si>
  <si>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cmwzirUT cfoa  IrcTcsinim :ctWrwf ivcaed utWmUluAwm</t>
  </si>
  <si>
    <t xml:space="preserve">Beds in operation 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</si>
  <si>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</si>
  <si>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</si>
  <si>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</si>
  <si>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</si>
  <si>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</si>
  <si>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</si>
  <si>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</si>
  <si>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</si>
  <si>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</si>
  <si>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</si>
  <si>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</si>
  <si>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2018 - 2017  ,urwvcnim unuverukcnunEb wgWjegudnea iaWa wgWj egudnea egukwtWToh uhwmcswmikea : 10.5 ulwvWt</t>
  </si>
  <si>
    <t>Table  10.5: BED CAPACITY AND UTILIZATION OF HOTELS BY MONTH,  2017 - 2018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</si>
</sst>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0.0"/>
    <numFmt numFmtId="167" formatCode="#,##0.0"/>
    <numFmt numFmtId="168" formatCode="[$-409]mmm\-yy;@"/>
    <numFmt numFmtId="171" formatCode="0.00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sz val="9"/>
      <name val="A_Randhoo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b/>
      <sz val="12"/>
      <color theme="1"/>
      <name val="A_Randhoo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</font>
    <font>
      <b/>
      <i/>
      <sz val="16"/>
      <name val="Helv"/>
    </font>
    <font>
      <b/>
      <sz val="10"/>
      <name val="TimesNewRomanP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6" fillId="0" borderId="0"/>
    <xf numFmtId="0" fontId="2" fillId="0" borderId="0"/>
    <xf numFmtId="43" fontId="2" fillId="0" borderId="0" applyFont="0" applyFill="0" applyBorder="0" applyAlignment="0" applyProtection="0"/>
    <xf numFmtId="171" fontId="17" fillId="0" borderId="0"/>
    <xf numFmtId="1" fontId="18" fillId="0" borderId="12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6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40" fontId="3" fillId="0" borderId="0" applyFont="0" applyFill="0" applyBorder="0" applyAlignment="0" applyProtection="0"/>
    <xf numFmtId="0" fontId="3" fillId="0" borderId="0"/>
  </cellStyleXfs>
  <cellXfs count="49">
    <xf numFmtId="0" fontId="0" fillId="0" borderId="0" xfId="0"/>
    <xf numFmtId="0" fontId="4" fillId="2" borderId="0" xfId="0" applyFont="1" applyFill="1" applyAlignment="1" applyProtection="1">
      <alignment horizontal="left" vertical="center"/>
    </xf>
    <xf numFmtId="0" fontId="5" fillId="2" borderId="0" xfId="0" applyFont="1" applyFill="1" applyBorder="1" applyAlignment="1">
      <alignment horizontal="right" vertical="center"/>
    </xf>
    <xf numFmtId="3" fontId="7" fillId="2" borderId="0" xfId="0" applyNumberFormat="1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right" vertical="center"/>
    </xf>
    <xf numFmtId="3" fontId="7" fillId="2" borderId="0" xfId="0" applyNumberFormat="1" applyFont="1" applyFill="1" applyBorder="1" applyAlignment="1">
      <alignment horizontal="right" vertical="center"/>
    </xf>
    <xf numFmtId="0" fontId="10" fillId="2" borderId="0" xfId="0" applyFont="1" applyFill="1"/>
    <xf numFmtId="0" fontId="12" fillId="2" borderId="0" xfId="0" applyFont="1" applyFill="1"/>
    <xf numFmtId="37" fontId="8" fillId="2" borderId="6" xfId="0" applyNumberFormat="1" applyFont="1" applyFill="1" applyBorder="1" applyAlignment="1" applyProtection="1">
      <alignment horizontal="center" vertical="center" wrapText="1"/>
    </xf>
    <xf numFmtId="37" fontId="8" fillId="2" borderId="7" xfId="0" applyNumberFormat="1" applyFont="1" applyFill="1" applyBorder="1" applyAlignment="1" applyProtection="1">
      <alignment horizontal="center" vertical="center" wrapText="1"/>
    </xf>
    <xf numFmtId="0" fontId="6" fillId="2" borderId="9" xfId="0" applyFont="1" applyFill="1" applyBorder="1" applyAlignment="1" applyProtection="1">
      <alignment horizontal="center" vertical="center" wrapText="1"/>
    </xf>
    <xf numFmtId="0" fontId="6" fillId="2" borderId="0" xfId="0" applyFont="1" applyFill="1" applyAlignment="1" applyProtection="1">
      <alignment horizontal="left" vertical="center" wrapText="1"/>
    </xf>
    <xf numFmtId="3" fontId="6" fillId="2" borderId="10" xfId="0" applyNumberFormat="1" applyFont="1" applyFill="1" applyBorder="1" applyAlignment="1">
      <alignment horizontal="center"/>
    </xf>
    <xf numFmtId="3" fontId="6" fillId="2" borderId="0" xfId="0" applyNumberFormat="1" applyFont="1" applyFill="1" applyAlignment="1">
      <alignment horizontal="center"/>
    </xf>
    <xf numFmtId="167" fontId="6" fillId="2" borderId="0" xfId="0" applyNumberFormat="1" applyFont="1" applyFill="1" applyAlignment="1">
      <alignment horizontal="center"/>
    </xf>
    <xf numFmtId="3" fontId="6" fillId="2" borderId="0" xfId="0" applyNumberFormat="1" applyFont="1" applyFill="1" applyAlignment="1">
      <alignment horizontal="right" vertical="center"/>
    </xf>
    <xf numFmtId="0" fontId="7" fillId="2" borderId="0" xfId="0" applyFont="1" applyFill="1" applyAlignment="1" applyProtection="1">
      <alignment horizontal="left" vertical="center"/>
    </xf>
    <xf numFmtId="3" fontId="7" fillId="2" borderId="11" xfId="0" applyNumberFormat="1" applyFont="1" applyFill="1" applyBorder="1" applyAlignment="1">
      <alignment horizontal="center"/>
    </xf>
    <xf numFmtId="164" fontId="7" fillId="2" borderId="0" xfId="0" applyNumberFormat="1" applyFont="1" applyFill="1" applyAlignment="1">
      <alignment horizontal="center"/>
    </xf>
    <xf numFmtId="0" fontId="7" fillId="2" borderId="0" xfId="0" applyFont="1" applyFill="1" applyBorder="1" applyAlignment="1" applyProtection="1">
      <alignment horizontal="left" vertical="center"/>
    </xf>
    <xf numFmtId="0" fontId="7" fillId="2" borderId="1" xfId="0" applyFont="1" applyFill="1" applyBorder="1" applyAlignment="1" applyProtection="1">
      <alignment horizontal="left" vertical="center"/>
    </xf>
    <xf numFmtId="3" fontId="7" fillId="2" borderId="9" xfId="0" applyNumberFormat="1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167" fontId="10" fillId="2" borderId="0" xfId="0" applyNumberFormat="1" applyFont="1" applyFill="1"/>
    <xf numFmtId="164" fontId="10" fillId="2" borderId="0" xfId="0" applyNumberFormat="1" applyFont="1" applyFill="1"/>
    <xf numFmtId="0" fontId="13" fillId="2" borderId="1" xfId="0" applyFont="1" applyFill="1" applyBorder="1" applyAlignment="1" applyProtection="1">
      <alignment horizontal="center" vertical="center" wrapText="1"/>
    </xf>
    <xf numFmtId="3" fontId="10" fillId="2" borderId="0" xfId="0" applyNumberFormat="1" applyFont="1" applyFill="1"/>
    <xf numFmtId="0" fontId="10" fillId="2" borderId="0" xfId="0" applyFont="1" applyFill="1" applyAlignment="1" applyProtection="1">
      <alignment horizontal="left" vertical="center"/>
    </xf>
    <xf numFmtId="0" fontId="10" fillId="2" borderId="0" xfId="0" applyFont="1" applyFill="1" applyBorder="1" applyAlignment="1" applyProtection="1">
      <alignment horizontal="left" vertical="center"/>
    </xf>
    <xf numFmtId="164" fontId="10" fillId="2" borderId="0" xfId="0" applyNumberFormat="1" applyFont="1" applyFill="1" applyAlignment="1">
      <alignment horizontal="center" vertical="center"/>
    </xf>
    <xf numFmtId="167" fontId="10" fillId="2" borderId="0" xfId="0" applyNumberFormat="1" applyFont="1" applyFill="1" applyBorder="1"/>
    <xf numFmtId="3" fontId="10" fillId="2" borderId="0" xfId="0" applyNumberFormat="1" applyFont="1" applyFill="1" applyBorder="1"/>
    <xf numFmtId="0" fontId="13" fillId="2" borderId="0" xfId="0" applyFont="1" applyFill="1" applyBorder="1" applyAlignment="1" applyProtection="1">
      <alignment horizontal="center" vertical="center" wrapText="1"/>
    </xf>
    <xf numFmtId="0" fontId="10" fillId="2" borderId="0" xfId="0" applyFont="1" applyFill="1" applyBorder="1"/>
    <xf numFmtId="3" fontId="10" fillId="2" borderId="0" xfId="0" applyNumberFormat="1" applyFont="1" applyFill="1" applyBorder="1" applyAlignment="1">
      <alignment horizontal="center"/>
    </xf>
    <xf numFmtId="0" fontId="15" fillId="2" borderId="0" xfId="0" applyFont="1" applyFill="1" applyBorder="1" applyAlignment="1" applyProtection="1">
      <alignment horizontal="center" vertical="center" wrapText="1"/>
    </xf>
    <xf numFmtId="0" fontId="14" fillId="2" borderId="0" xfId="0" applyFont="1" applyFill="1" applyBorder="1" applyAlignment="1" applyProtection="1">
      <alignment horizontal="left" vertical="center"/>
    </xf>
    <xf numFmtId="164" fontId="7" fillId="2" borderId="0" xfId="0" applyNumberFormat="1" applyFont="1" applyFill="1" applyBorder="1" applyAlignment="1">
      <alignment horizontal="center"/>
    </xf>
    <xf numFmtId="168" fontId="14" fillId="2" borderId="0" xfId="0" applyNumberFormat="1" applyFont="1" applyFill="1" applyBorder="1" applyAlignment="1" applyProtection="1">
      <alignment horizontal="left" vertical="center"/>
    </xf>
    <xf numFmtId="164" fontId="10" fillId="2" borderId="0" xfId="0" applyNumberFormat="1" applyFont="1" applyFill="1" applyBorder="1" applyAlignment="1">
      <alignment horizontal="center"/>
    </xf>
    <xf numFmtId="0" fontId="6" fillId="2" borderId="1" xfId="0" applyFont="1" applyFill="1" applyBorder="1" applyAlignment="1" applyProtection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1" fillId="2" borderId="1" xfId="0" applyFont="1" applyFill="1" applyBorder="1" applyAlignment="1" applyProtection="1">
      <alignment horizontal="center" vertical="center"/>
    </xf>
    <xf numFmtId="0" fontId="6" fillId="2" borderId="2" xfId="0" applyFont="1" applyFill="1" applyBorder="1" applyAlignment="1" applyProtection="1">
      <alignment horizontal="center" vertical="center" wrapText="1"/>
    </xf>
    <xf numFmtId="0" fontId="6" fillId="2" borderId="5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horizontal="center" vertical="center" wrapText="1"/>
    </xf>
    <xf numFmtId="0" fontId="11" fillId="2" borderId="3" xfId="0" applyFont="1" applyFill="1" applyBorder="1" applyAlignment="1" applyProtection="1">
      <alignment horizontal="center" vertical="center"/>
    </xf>
    <xf numFmtId="0" fontId="11" fillId="2" borderId="4" xfId="0" applyFont="1" applyFill="1" applyBorder="1" applyAlignment="1" applyProtection="1">
      <alignment horizontal="center" vertical="center"/>
    </xf>
  </cellXfs>
  <cellStyles count="21">
    <cellStyle name="1" xfId="5"/>
    <cellStyle name="Comma 2" xfId="19"/>
    <cellStyle name="Comma 3" xfId="6"/>
    <cellStyle name="Normal" xfId="0" builtinId="0"/>
    <cellStyle name="Normal - Style1" xfId="7"/>
    <cellStyle name="Normal 10" xfId="13"/>
    <cellStyle name="Normal 2" xfId="1"/>
    <cellStyle name="Normal 2 2" xfId="8"/>
    <cellStyle name="Normal 2 2 2" xfId="20"/>
    <cellStyle name="Normal 3" xfId="9"/>
    <cellStyle name="Normal 4" xfId="14"/>
    <cellStyle name="Normal 4 2" xfId="10"/>
    <cellStyle name="Normal 4 2 2" xfId="15"/>
    <cellStyle name="Normal 5" xfId="11"/>
    <cellStyle name="Normal 5 2" xfId="3"/>
    <cellStyle name="Normal 6" xfId="16"/>
    <cellStyle name="Normal 7" xfId="17"/>
    <cellStyle name="Normal 8" xfId="18"/>
    <cellStyle name="Normal 9" xfId="4"/>
    <cellStyle name="Percent 2" xfId="12"/>
    <cellStyle name="Percent 2 2" xfId="2"/>
  </cellStyles>
  <dxfs count="0"/>
  <tableStyles count="0" defaultTableStyle="TableStyleMedium2" defaultPivotStyle="PivotStyleLight16"/>
  <colors>
    <mruColors>
      <color rgb="FFFFCCB3"/>
      <color rgb="FFFF9966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10.7:  Bed capacity and beds in operation in </a:t>
            </a:r>
            <a:r>
              <a:rPr lang="en-US" sz="1200" b="1" i="0" u="none" strike="noStrike" baseline="0">
                <a:effectLst/>
              </a:rPr>
              <a:t>hotels</a:t>
            </a:r>
            <a:r>
              <a:rPr lang="en-US" sz="1200" b="1" i="0" baseline="0">
                <a:effectLst/>
              </a:rPr>
              <a:t>, 2018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2335898448050194"/>
          <c:y val="3.19086644781647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745645514469065E-2"/>
          <c:y val="0.1444703890279628"/>
          <c:w val="0.90029650250643645"/>
          <c:h val="0.723134905600310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'10.5'!$AM$21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'10.5'!$AL$22:$AL$33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'10.5'!$AM$22:$AM$33</c:f>
              <c:numCache>
                <c:formatCode>#,##0</c:formatCode>
                <c:ptCount val="12"/>
                <c:pt idx="0">
                  <c:v>1456</c:v>
                </c:pt>
                <c:pt idx="1">
                  <c:v>1456</c:v>
                </c:pt>
                <c:pt idx="2">
                  <c:v>1456</c:v>
                </c:pt>
                <c:pt idx="3">
                  <c:v>1860</c:v>
                </c:pt>
                <c:pt idx="4">
                  <c:v>1860</c:v>
                </c:pt>
                <c:pt idx="5">
                  <c:v>1860</c:v>
                </c:pt>
                <c:pt idx="6">
                  <c:v>1860</c:v>
                </c:pt>
                <c:pt idx="7">
                  <c:v>1860</c:v>
                </c:pt>
                <c:pt idx="8">
                  <c:v>1860</c:v>
                </c:pt>
                <c:pt idx="9">
                  <c:v>1858</c:v>
                </c:pt>
                <c:pt idx="10">
                  <c:v>1858</c:v>
                </c:pt>
                <c:pt idx="11">
                  <c:v>1862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7C-44CF-B7BF-D4DBEC0B3BE6}"/>
            </c:ext>
          </c:extLst>
        </c:ser>
        <c:ser>
          <c:idx val="1"/>
          <c:order val="1"/>
          <c:tx>
            <c:strRef>
              <c:f>'10.5'!$AN$21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'10.5'!$AL$22:$AL$33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'10.5'!$AN$22:$AN$33</c:f>
              <c:numCache>
                <c:formatCode>#,##0</c:formatCode>
                <c:ptCount val="12"/>
                <c:pt idx="0">
                  <c:v>1456</c:v>
                </c:pt>
                <c:pt idx="1">
                  <c:v>1456</c:v>
                </c:pt>
                <c:pt idx="2">
                  <c:v>1456</c:v>
                </c:pt>
                <c:pt idx="3">
                  <c:v>1860</c:v>
                </c:pt>
                <c:pt idx="4">
                  <c:v>1860</c:v>
                </c:pt>
                <c:pt idx="5">
                  <c:v>1860</c:v>
                </c:pt>
                <c:pt idx="6">
                  <c:v>1860</c:v>
                </c:pt>
                <c:pt idx="7">
                  <c:v>1860</c:v>
                </c:pt>
                <c:pt idx="8">
                  <c:v>1860</c:v>
                </c:pt>
                <c:pt idx="9">
                  <c:v>1858</c:v>
                </c:pt>
                <c:pt idx="10">
                  <c:v>1858</c:v>
                </c:pt>
                <c:pt idx="11">
                  <c:v>1862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7C-44CF-B7BF-D4DBEC0B3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351660736"/>
        <c:axId val="351661296"/>
      </c:barChart>
      <c:catAx>
        <c:axId val="35166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661296"/>
        <c:crosses val="autoZero"/>
        <c:auto val="1"/>
        <c:lblAlgn val="ctr"/>
        <c:lblOffset val="100"/>
        <c:noMultiLvlLbl val="0"/>
      </c:catAx>
      <c:valAx>
        <c:axId val="3516612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660736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8.654062701265243E-2"/>
          <c:y val="0.17710612704024242"/>
          <c:w val="0.21603432156732388"/>
          <c:h val="0.119408339263714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809624</xdr:colOff>
      <xdr:row>19</xdr:row>
      <xdr:rowOff>123825</xdr:rowOff>
    </xdr:from>
    <xdr:to>
      <xdr:col>10</xdr:col>
      <xdr:colOff>247649</xdr:colOff>
      <xdr:row>33</xdr:row>
      <xdr:rowOff>171450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30063</v>
          </cell>
          <cell r="AF20">
            <v>29404</v>
          </cell>
        </row>
        <row r="21">
          <cell r="AD21" t="str">
            <v>Feb</v>
          </cell>
          <cell r="AE21">
            <v>30063</v>
          </cell>
          <cell r="AF21">
            <v>29160</v>
          </cell>
        </row>
        <row r="22">
          <cell r="AD22" t="str">
            <v>Mar</v>
          </cell>
          <cell r="AE22">
            <v>30181</v>
          </cell>
          <cell r="AF22">
            <v>29268</v>
          </cell>
        </row>
        <row r="23">
          <cell r="AD23" t="str">
            <v>Apr</v>
          </cell>
          <cell r="AE23">
            <v>30187</v>
          </cell>
          <cell r="AF23">
            <v>29334</v>
          </cell>
        </row>
        <row r="24">
          <cell r="AD24" t="str">
            <v>May</v>
          </cell>
          <cell r="AE24">
            <v>30187</v>
          </cell>
          <cell r="AF24">
            <v>28964</v>
          </cell>
        </row>
        <row r="25">
          <cell r="AD25" t="str">
            <v>Jun</v>
          </cell>
          <cell r="AE25">
            <v>30207</v>
          </cell>
          <cell r="AF25">
            <v>28910</v>
          </cell>
        </row>
        <row r="26">
          <cell r="AD26" t="str">
            <v>Jul</v>
          </cell>
          <cell r="AE26">
            <v>30207</v>
          </cell>
          <cell r="AF26">
            <v>28820</v>
          </cell>
        </row>
        <row r="27">
          <cell r="AD27" t="str">
            <v>Aug</v>
          </cell>
          <cell r="AE27">
            <v>30341</v>
          </cell>
          <cell r="AF27">
            <v>29044</v>
          </cell>
        </row>
        <row r="28">
          <cell r="AD28" t="str">
            <v>Sep</v>
          </cell>
          <cell r="AE28">
            <v>30823</v>
          </cell>
          <cell r="AF28">
            <v>29526</v>
          </cell>
        </row>
        <row r="29">
          <cell r="AD29" t="str">
            <v>Oct</v>
          </cell>
          <cell r="AE29">
            <v>30885</v>
          </cell>
          <cell r="AF29">
            <v>29588</v>
          </cell>
        </row>
        <row r="30">
          <cell r="AD30" t="str">
            <v>Nov</v>
          </cell>
          <cell r="AE30">
            <v>31423</v>
          </cell>
          <cell r="AF30">
            <v>30082</v>
          </cell>
        </row>
        <row r="31">
          <cell r="AD31" t="str">
            <v>Dec</v>
          </cell>
          <cell r="AE31">
            <v>31741</v>
          </cell>
          <cell r="AF31">
            <v>30438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  <cell r="C15">
            <v>60242</v>
          </cell>
          <cell r="D15">
            <v>58195</v>
          </cell>
          <cell r="E15">
            <v>54157</v>
          </cell>
          <cell r="F15">
            <v>57109</v>
          </cell>
          <cell r="G15">
            <v>45177</v>
          </cell>
          <cell r="H15">
            <v>40579</v>
          </cell>
          <cell r="I15">
            <v>54239</v>
          </cell>
          <cell r="J15">
            <v>57649</v>
          </cell>
          <cell r="K15">
            <v>51284</v>
          </cell>
          <cell r="L15">
            <v>61740</v>
          </cell>
          <cell r="M15">
            <v>57934</v>
          </cell>
          <cell r="N15">
            <v>68981</v>
          </cell>
        </row>
        <row r="16">
          <cell r="A16" t="str">
            <v>Female</v>
          </cell>
          <cell r="C16">
            <v>65094</v>
          </cell>
          <cell r="D16">
            <v>62857</v>
          </cell>
          <cell r="E16">
            <v>58508</v>
          </cell>
          <cell r="F16">
            <v>62665</v>
          </cell>
          <cell r="G16">
            <v>48314</v>
          </cell>
          <cell r="H16">
            <v>44643</v>
          </cell>
          <cell r="I16">
            <v>58936</v>
          </cell>
          <cell r="J16">
            <v>63661</v>
          </cell>
          <cell r="K16">
            <v>54700</v>
          </cell>
          <cell r="L16">
            <v>66246</v>
          </cell>
          <cell r="M16">
            <v>62572</v>
          </cell>
          <cell r="N16">
            <v>74060</v>
          </cell>
        </row>
        <row r="22">
          <cell r="Z22" t="str">
            <v>Jan</v>
          </cell>
          <cell r="AA22" t="str">
            <v>Feb</v>
          </cell>
          <cell r="AB22" t="str">
            <v>Mar</v>
          </cell>
          <cell r="AC22" t="str">
            <v>Apr</v>
          </cell>
          <cell r="AD22" t="str">
            <v>May</v>
          </cell>
          <cell r="AE22" t="str">
            <v>Jun</v>
          </cell>
          <cell r="AF22" t="str">
            <v>Jul</v>
          </cell>
          <cell r="AG22" t="str">
            <v>Aug</v>
          </cell>
          <cell r="AH22" t="str">
            <v>Sep</v>
          </cell>
          <cell r="AI22" t="str">
            <v>Oct</v>
          </cell>
          <cell r="AJ22" t="str">
            <v>Nov</v>
          </cell>
          <cell r="AK22" t="str">
            <v>Dec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P73"/>
  <sheetViews>
    <sheetView tabSelected="1" zoomScaleNormal="100" workbookViewId="0">
      <selection activeCell="M12" sqref="M12"/>
    </sheetView>
  </sheetViews>
  <sheetFormatPr defaultColWidth="9.140625" defaultRowHeight="12"/>
  <cols>
    <col min="1" max="1" width="13.7109375" style="6" customWidth="1"/>
    <col min="2" max="3" width="10.85546875" style="6" customWidth="1"/>
    <col min="4" max="4" width="13.5703125" style="6" customWidth="1"/>
    <col min="5" max="8" width="10.85546875" style="6" customWidth="1"/>
    <col min="9" max="9" width="13.42578125" style="6" customWidth="1"/>
    <col min="10" max="11" width="10.85546875" style="6" customWidth="1"/>
    <col min="12" max="12" width="2.28515625" style="6" customWidth="1"/>
    <col min="13" max="16384" width="9.140625" style="6"/>
  </cols>
  <sheetData>
    <row r="1" spans="1:12" ht="17.25" customHeight="1">
      <c r="A1" s="42" t="s">
        <v>38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2" ht="24" customHeight="1">
      <c r="A2" s="43" t="s">
        <v>39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36"/>
    </row>
    <row r="3" spans="1:12" s="7" customFormat="1" ht="18.75" customHeight="1">
      <c r="A3" s="44" t="s">
        <v>2</v>
      </c>
      <c r="B3" s="47">
        <v>2017</v>
      </c>
      <c r="C3" s="48"/>
      <c r="D3" s="48"/>
      <c r="E3" s="48"/>
      <c r="F3" s="48"/>
      <c r="G3" s="47">
        <v>2018</v>
      </c>
      <c r="H3" s="48"/>
      <c r="I3" s="48"/>
      <c r="J3" s="48"/>
      <c r="K3" s="48"/>
      <c r="L3" s="40"/>
    </row>
    <row r="4" spans="1:12" s="7" customFormat="1" ht="72" customHeight="1">
      <c r="A4" s="45"/>
      <c r="B4" s="8" t="s">
        <v>3</v>
      </c>
      <c r="C4" s="9" t="s">
        <v>4</v>
      </c>
      <c r="D4" s="9" t="s">
        <v>1</v>
      </c>
      <c r="E4" s="9" t="s">
        <v>5</v>
      </c>
      <c r="F4" s="9" t="s">
        <v>6</v>
      </c>
      <c r="G4" s="8" t="s">
        <v>3</v>
      </c>
      <c r="H4" s="9" t="s">
        <v>4</v>
      </c>
      <c r="I4" s="9" t="s">
        <v>1</v>
      </c>
      <c r="J4" s="9" t="s">
        <v>5</v>
      </c>
      <c r="K4" s="9" t="s">
        <v>6</v>
      </c>
      <c r="L4" s="40"/>
    </row>
    <row r="5" spans="1:12" s="7" customFormat="1" ht="46.5" customHeight="1">
      <c r="A5" s="46"/>
      <c r="B5" s="10" t="s">
        <v>11</v>
      </c>
      <c r="C5" s="41" t="s">
        <v>7</v>
      </c>
      <c r="D5" s="41" t="s">
        <v>8</v>
      </c>
      <c r="E5" s="41" t="s">
        <v>9</v>
      </c>
      <c r="F5" s="41" t="s">
        <v>10</v>
      </c>
      <c r="G5" s="10" t="s">
        <v>11</v>
      </c>
      <c r="H5" s="41" t="s">
        <v>7</v>
      </c>
      <c r="I5" s="41" t="s">
        <v>8</v>
      </c>
      <c r="J5" s="41" t="s">
        <v>9</v>
      </c>
      <c r="K5" s="41" t="s">
        <v>10</v>
      </c>
      <c r="L5" s="40"/>
    </row>
    <row r="6" spans="1:12" s="7" customFormat="1" ht="15.75" customHeight="1">
      <c r="A6" s="11" t="s">
        <v>12</v>
      </c>
      <c r="B6" s="12">
        <f>AVERAGE(B7:B18)</f>
        <v>1582.1666666666667</v>
      </c>
      <c r="C6" s="13">
        <f>AVERAGE(C7:C18)</f>
        <v>1496.8333333333333</v>
      </c>
      <c r="D6" s="14">
        <f>AVERAGE(D7:D18)</f>
        <v>94.6495154766897</v>
      </c>
      <c r="E6" s="14">
        <f>AVERAGE(E7:E18)</f>
        <v>44.192331264448093</v>
      </c>
      <c r="F6" s="15">
        <f>SUM(F7:F18)</f>
        <v>241843.6231966608</v>
      </c>
      <c r="G6" s="12">
        <f>AVERAGE(G7:G18)</f>
        <v>1758.8333333333333</v>
      </c>
      <c r="H6" s="13">
        <f>AVERAGE(H7:H18)</f>
        <v>1758.8333333333333</v>
      </c>
      <c r="I6" s="14">
        <f>AVERAGE(I7:I18)</f>
        <v>100</v>
      </c>
      <c r="J6" s="14">
        <f>AVERAGE(J7:J18)</f>
        <v>40.364547642626832</v>
      </c>
      <c r="K6" s="15">
        <f>SUM(K7:K18)</f>
        <v>255389.18203142448</v>
      </c>
      <c r="L6" s="40"/>
    </row>
    <row r="7" spans="1:12" s="7" customFormat="1" ht="16.5" customHeight="1">
      <c r="A7" s="16" t="s">
        <v>13</v>
      </c>
      <c r="B7" s="17">
        <v>1610</v>
      </c>
      <c r="C7" s="3">
        <v>1515</v>
      </c>
      <c r="D7" s="18">
        <f>C7/B7*100</f>
        <v>94.099378881987576</v>
      </c>
      <c r="E7" s="18">
        <v>56.421268848326413</v>
      </c>
      <c r="F7" s="5">
        <v>26498.248914616499</v>
      </c>
      <c r="G7" s="17">
        <v>1456</v>
      </c>
      <c r="H7" s="3">
        <v>1456</v>
      </c>
      <c r="I7" s="18">
        <f>H7/G7*100</f>
        <v>100</v>
      </c>
      <c r="J7" s="18">
        <v>54.253810705423597</v>
      </c>
      <c r="K7" s="5">
        <v>24488</v>
      </c>
      <c r="L7" s="40"/>
    </row>
    <row r="8" spans="1:12" s="7" customFormat="1" ht="16.5" customHeight="1">
      <c r="A8" s="16" t="s">
        <v>14</v>
      </c>
      <c r="B8" s="17">
        <v>1610</v>
      </c>
      <c r="C8" s="3">
        <v>1515</v>
      </c>
      <c r="D8" s="18">
        <f t="shared" ref="D8:D18" si="0">C8/B8*100</f>
        <v>94.099378881987576</v>
      </c>
      <c r="E8" s="18">
        <v>54.846575899207487</v>
      </c>
      <c r="F8" s="5">
        <v>23265.917496443813</v>
      </c>
      <c r="G8" s="17">
        <v>1456</v>
      </c>
      <c r="H8" s="3">
        <v>1456</v>
      </c>
      <c r="I8" s="18">
        <f t="shared" ref="I8:I18" si="1">H8/G8*100</f>
        <v>100</v>
      </c>
      <c r="J8" s="18">
        <v>54.363716640502361</v>
      </c>
      <c r="K8" s="5">
        <v>22163</v>
      </c>
      <c r="L8" s="40"/>
    </row>
    <row r="9" spans="1:12" s="7" customFormat="1" ht="16.5" customHeight="1">
      <c r="A9" s="16" t="s">
        <v>15</v>
      </c>
      <c r="B9" s="17">
        <v>1610</v>
      </c>
      <c r="C9" s="3">
        <v>1515</v>
      </c>
      <c r="D9" s="18">
        <f t="shared" si="0"/>
        <v>94.099378881987576</v>
      </c>
      <c r="E9" s="18">
        <v>49.994578476551908</v>
      </c>
      <c r="F9" s="5">
        <v>23479.953781512606</v>
      </c>
      <c r="G9" s="17">
        <v>1456</v>
      </c>
      <c r="H9" s="3">
        <v>1456</v>
      </c>
      <c r="I9" s="18">
        <f t="shared" si="1"/>
        <v>100</v>
      </c>
      <c r="J9" s="18">
        <v>41.521180432470757</v>
      </c>
      <c r="K9" s="5">
        <v>18741</v>
      </c>
      <c r="L9" s="40"/>
    </row>
    <row r="10" spans="1:12" s="7" customFormat="1" ht="16.5" customHeight="1">
      <c r="A10" s="16" t="s">
        <v>16</v>
      </c>
      <c r="B10" s="17">
        <v>1610</v>
      </c>
      <c r="C10" s="3">
        <v>1515</v>
      </c>
      <c r="D10" s="18">
        <f t="shared" si="0"/>
        <v>94.099378881987576</v>
      </c>
      <c r="E10" s="18">
        <v>49.107327141382868</v>
      </c>
      <c r="F10" s="5">
        <v>22319.280185758515</v>
      </c>
      <c r="G10" s="17">
        <v>1860</v>
      </c>
      <c r="H10" s="3">
        <v>1860</v>
      </c>
      <c r="I10" s="18">
        <f t="shared" si="1"/>
        <v>100</v>
      </c>
      <c r="J10" s="18">
        <v>38.914529914529908</v>
      </c>
      <c r="K10" s="5">
        <v>21714.307692307691</v>
      </c>
      <c r="L10" s="40"/>
    </row>
    <row r="11" spans="1:12" s="7" customFormat="1" ht="16.5" customHeight="1">
      <c r="A11" s="16" t="s">
        <v>17</v>
      </c>
      <c r="B11" s="17">
        <v>1610</v>
      </c>
      <c r="C11" s="3">
        <v>1487</v>
      </c>
      <c r="D11" s="18">
        <f t="shared" si="0"/>
        <v>92.360248447204967</v>
      </c>
      <c r="E11" s="18">
        <v>38.580551251349952</v>
      </c>
      <c r="F11" s="5">
        <v>17784.476710334788</v>
      </c>
      <c r="G11" s="17">
        <v>1860</v>
      </c>
      <c r="H11" s="3">
        <v>1860</v>
      </c>
      <c r="I11" s="18">
        <f t="shared" si="1"/>
        <v>100</v>
      </c>
      <c r="J11" s="18">
        <v>31.031844499586438</v>
      </c>
      <c r="K11" s="5">
        <v>17892.961538461539</v>
      </c>
      <c r="L11" s="40"/>
    </row>
    <row r="12" spans="1:12" s="7" customFormat="1" ht="16.5" customHeight="1">
      <c r="A12" s="16" t="s">
        <v>18</v>
      </c>
      <c r="B12" s="17">
        <v>1556</v>
      </c>
      <c r="C12" s="3">
        <v>1489</v>
      </c>
      <c r="D12" s="18">
        <f t="shared" si="0"/>
        <v>95.694087403598971</v>
      </c>
      <c r="E12" s="18">
        <v>19.860321969696969</v>
      </c>
      <c r="F12" s="5">
        <v>8871.605823863636</v>
      </c>
      <c r="G12" s="17">
        <v>1860</v>
      </c>
      <c r="H12" s="3">
        <v>1860</v>
      </c>
      <c r="I12" s="18">
        <f t="shared" si="1"/>
        <v>100</v>
      </c>
      <c r="J12" s="18">
        <v>25.785256410256409</v>
      </c>
      <c r="K12" s="5">
        <v>14388.173076923076</v>
      </c>
      <c r="L12" s="40"/>
    </row>
    <row r="13" spans="1:12" s="7" customFormat="1" ht="16.5" customHeight="1">
      <c r="A13" s="16" t="s">
        <v>19</v>
      </c>
      <c r="B13" s="17">
        <v>1588</v>
      </c>
      <c r="C13" s="3">
        <v>1544</v>
      </c>
      <c r="D13" s="18">
        <f t="shared" si="0"/>
        <v>97.229219143576827</v>
      </c>
      <c r="E13" s="18">
        <v>49.733544985543404</v>
      </c>
      <c r="F13" s="5">
        <v>23804.463971880494</v>
      </c>
      <c r="G13" s="17">
        <v>1860</v>
      </c>
      <c r="H13" s="3">
        <v>1860</v>
      </c>
      <c r="I13" s="18">
        <f t="shared" si="1"/>
        <v>100</v>
      </c>
      <c r="J13" s="18">
        <v>32.903225806451609</v>
      </c>
      <c r="K13" s="5">
        <v>18972</v>
      </c>
      <c r="L13" s="40"/>
    </row>
    <row r="14" spans="1:12" s="7" customFormat="1" ht="16.5" customHeight="1">
      <c r="A14" s="16" t="s">
        <v>20</v>
      </c>
      <c r="B14" s="17">
        <v>1588</v>
      </c>
      <c r="C14" s="3">
        <v>1490</v>
      </c>
      <c r="D14" s="18">
        <f t="shared" si="0"/>
        <v>93.82871536523929</v>
      </c>
      <c r="E14" s="18">
        <v>47.019583551722498</v>
      </c>
      <c r="F14" s="5">
        <v>21718.345642540622</v>
      </c>
      <c r="G14" s="17">
        <v>1860</v>
      </c>
      <c r="H14" s="3">
        <v>1860</v>
      </c>
      <c r="I14" s="18">
        <f t="shared" si="1"/>
        <v>100</v>
      </c>
      <c r="J14" s="18">
        <v>34.723992548289054</v>
      </c>
      <c r="K14" s="5">
        <v>20021.854103343467</v>
      </c>
      <c r="L14" s="40"/>
    </row>
    <row r="15" spans="1:12" s="7" customFormat="1" ht="16.5" customHeight="1">
      <c r="A15" s="16" t="s">
        <v>21</v>
      </c>
      <c r="B15" s="17">
        <v>1594</v>
      </c>
      <c r="C15" s="3">
        <v>1490</v>
      </c>
      <c r="D15" s="18">
        <f t="shared" si="0"/>
        <v>93.475533249686322</v>
      </c>
      <c r="E15" s="18">
        <v>36.073194856577643</v>
      </c>
      <c r="F15" s="5">
        <v>16124.718100890208</v>
      </c>
      <c r="G15" s="17">
        <v>1860</v>
      </c>
      <c r="H15" s="3">
        <v>1860</v>
      </c>
      <c r="I15" s="18">
        <f t="shared" si="1"/>
        <v>100</v>
      </c>
      <c r="J15" s="18">
        <v>37.880716643092875</v>
      </c>
      <c r="K15" s="5">
        <v>21137.439886845827</v>
      </c>
      <c r="L15" s="40"/>
    </row>
    <row r="16" spans="1:12" s="7" customFormat="1" ht="16.5" customHeight="1">
      <c r="A16" s="16" t="s">
        <v>22</v>
      </c>
      <c r="B16" s="17">
        <v>1594</v>
      </c>
      <c r="C16" s="3">
        <v>1490</v>
      </c>
      <c r="D16" s="18">
        <f t="shared" si="0"/>
        <v>93.475533249686322</v>
      </c>
      <c r="E16" s="18">
        <v>42.442940868156484</v>
      </c>
      <c r="F16" s="5">
        <v>19604.394387001477</v>
      </c>
      <c r="G16" s="17">
        <v>1858</v>
      </c>
      <c r="H16" s="3">
        <v>1858</v>
      </c>
      <c r="I16" s="18">
        <f t="shared" si="1"/>
        <v>100</v>
      </c>
      <c r="J16" s="18">
        <v>39.569071657227283</v>
      </c>
      <c r="K16" s="5">
        <v>22790.993893129769</v>
      </c>
      <c r="L16" s="40"/>
    </row>
    <row r="17" spans="1:42" s="7" customFormat="1" ht="16.5" customHeight="1">
      <c r="A17" s="19" t="s">
        <v>23</v>
      </c>
      <c r="B17" s="17">
        <v>1560</v>
      </c>
      <c r="C17" s="3">
        <v>1456</v>
      </c>
      <c r="D17" s="18">
        <f t="shared" si="0"/>
        <v>93.333333333333329</v>
      </c>
      <c r="E17" s="18">
        <v>37.616161616161619</v>
      </c>
      <c r="F17" s="5">
        <v>16430.739393939395</v>
      </c>
      <c r="G17" s="17">
        <v>1858</v>
      </c>
      <c r="H17" s="3">
        <v>1858</v>
      </c>
      <c r="I17" s="18">
        <f t="shared" si="1"/>
        <v>100</v>
      </c>
      <c r="J17" s="18">
        <v>42.815934065934066</v>
      </c>
      <c r="K17" s="5">
        <v>23865.601648351647</v>
      </c>
      <c r="L17" s="40"/>
    </row>
    <row r="18" spans="1:42" s="7" customFormat="1" ht="16.5" customHeight="1">
      <c r="A18" s="20" t="s">
        <v>24</v>
      </c>
      <c r="B18" s="21">
        <v>1456</v>
      </c>
      <c r="C18" s="22">
        <v>1456</v>
      </c>
      <c r="D18" s="23">
        <f t="shared" si="0"/>
        <v>100</v>
      </c>
      <c r="E18" s="23">
        <v>48.6119257086999</v>
      </c>
      <c r="F18" s="4">
        <v>21941.478787878787</v>
      </c>
      <c r="G18" s="21">
        <v>1862</v>
      </c>
      <c r="H18" s="22">
        <v>1862</v>
      </c>
      <c r="I18" s="23">
        <f t="shared" si="1"/>
        <v>100</v>
      </c>
      <c r="J18" s="23">
        <v>50.611292387757622</v>
      </c>
      <c r="K18" s="4">
        <v>29213.850192061458</v>
      </c>
      <c r="L18" s="40"/>
    </row>
    <row r="19" spans="1:42" ht="19.5" customHeight="1">
      <c r="A19" s="1" t="s">
        <v>0</v>
      </c>
      <c r="B19" s="24"/>
      <c r="C19" s="24"/>
      <c r="D19" s="25"/>
      <c r="F19" s="2"/>
      <c r="G19" s="24"/>
      <c r="H19" s="24"/>
      <c r="I19" s="25"/>
      <c r="K19" s="2" t="s">
        <v>25</v>
      </c>
      <c r="L19" s="40"/>
      <c r="AK19" s="7"/>
      <c r="AL19" s="7"/>
      <c r="AM19" s="7"/>
      <c r="AN19" s="7"/>
      <c r="AO19" s="7"/>
    </row>
    <row r="20" spans="1:42" ht="18.75" customHeight="1">
      <c r="A20" s="27"/>
      <c r="B20" s="24"/>
      <c r="C20" s="24"/>
      <c r="D20" s="25"/>
      <c r="G20" s="37"/>
      <c r="H20" s="40"/>
      <c r="I20" s="40"/>
      <c r="J20" s="40"/>
      <c r="K20" s="40"/>
      <c r="L20" s="40"/>
      <c r="AK20" s="7"/>
      <c r="AL20" s="7"/>
      <c r="AM20" s="7"/>
      <c r="AN20" s="7"/>
      <c r="AO20" s="7"/>
    </row>
    <row r="21" spans="1:42" ht="18.75" customHeight="1">
      <c r="A21" s="29"/>
      <c r="B21" s="24"/>
      <c r="C21" s="24"/>
      <c r="G21" s="37"/>
      <c r="H21" s="40"/>
      <c r="I21" s="40"/>
      <c r="J21" s="40"/>
      <c r="K21" s="40"/>
      <c r="L21" s="40"/>
      <c r="AM21" s="26" t="s">
        <v>11</v>
      </c>
      <c r="AN21" s="26" t="s">
        <v>26</v>
      </c>
    </row>
    <row r="22" spans="1:42" ht="18.75" customHeight="1">
      <c r="A22" s="29"/>
      <c r="B22" s="24"/>
      <c r="C22" s="24"/>
      <c r="G22" s="37"/>
      <c r="H22" s="40"/>
      <c r="I22" s="40"/>
      <c r="J22" s="40"/>
      <c r="K22" s="40"/>
      <c r="L22" s="40"/>
      <c r="AL22" s="28" t="s">
        <v>27</v>
      </c>
      <c r="AM22" s="17">
        <f>G7</f>
        <v>1456</v>
      </c>
      <c r="AN22" s="17">
        <f>H7</f>
        <v>1456</v>
      </c>
    </row>
    <row r="23" spans="1:42" ht="18.75" customHeight="1">
      <c r="A23" s="29"/>
      <c r="B23" s="24"/>
      <c r="C23" s="24"/>
      <c r="G23" s="37"/>
      <c r="H23" s="40"/>
      <c r="I23" s="40"/>
      <c r="J23" s="40"/>
      <c r="K23" s="40"/>
      <c r="L23" s="40"/>
      <c r="AL23" s="28" t="s">
        <v>28</v>
      </c>
      <c r="AM23" s="17">
        <f t="shared" ref="AM23:AN33" si="2">G8</f>
        <v>1456</v>
      </c>
      <c r="AN23" s="17">
        <f t="shared" si="2"/>
        <v>1456</v>
      </c>
    </row>
    <row r="24" spans="1:42" ht="18.75" customHeight="1">
      <c r="A24" s="29"/>
      <c r="B24" s="24"/>
      <c r="C24" s="24"/>
      <c r="G24" s="37"/>
      <c r="H24" s="40"/>
      <c r="I24" s="40"/>
      <c r="J24" s="40"/>
      <c r="K24" s="40"/>
      <c r="L24" s="40"/>
      <c r="AL24" s="28" t="s">
        <v>29</v>
      </c>
      <c r="AM24" s="17">
        <f t="shared" si="2"/>
        <v>1456</v>
      </c>
      <c r="AN24" s="17">
        <f t="shared" si="2"/>
        <v>1456</v>
      </c>
    </row>
    <row r="25" spans="1:42" ht="18.75" customHeight="1">
      <c r="A25" s="29"/>
      <c r="B25" s="24"/>
      <c r="C25" s="24"/>
      <c r="G25" s="37"/>
      <c r="H25" s="40"/>
      <c r="I25" s="40"/>
      <c r="J25" s="40"/>
      <c r="K25" s="40"/>
      <c r="L25" s="40"/>
      <c r="AL25" s="28" t="s">
        <v>30</v>
      </c>
      <c r="AM25" s="17">
        <f t="shared" si="2"/>
        <v>1860</v>
      </c>
      <c r="AN25" s="17">
        <f t="shared" si="2"/>
        <v>1860</v>
      </c>
      <c r="AP25" s="30"/>
    </row>
    <row r="26" spans="1:42" ht="18.75" customHeight="1">
      <c r="A26" s="29"/>
      <c r="B26" s="24"/>
      <c r="C26" s="24"/>
      <c r="G26" s="39"/>
      <c r="H26" s="38"/>
      <c r="I26" s="38"/>
      <c r="J26" s="38"/>
      <c r="K26" s="38"/>
      <c r="L26" s="38"/>
      <c r="AL26" s="28" t="s">
        <v>17</v>
      </c>
      <c r="AM26" s="17">
        <f t="shared" si="2"/>
        <v>1860</v>
      </c>
      <c r="AN26" s="17">
        <f t="shared" si="2"/>
        <v>1860</v>
      </c>
      <c r="AP26" s="30"/>
    </row>
    <row r="27" spans="1:42" ht="18.75" customHeight="1">
      <c r="A27" s="29"/>
      <c r="B27" s="24"/>
      <c r="C27" s="24"/>
      <c r="G27" s="37"/>
      <c r="H27" s="38"/>
      <c r="I27" s="38"/>
      <c r="J27" s="38"/>
      <c r="K27" s="38"/>
      <c r="L27" s="38"/>
      <c r="AL27" s="28" t="s">
        <v>31</v>
      </c>
      <c r="AM27" s="17">
        <f t="shared" si="2"/>
        <v>1860</v>
      </c>
      <c r="AN27" s="17">
        <f t="shared" si="2"/>
        <v>1860</v>
      </c>
      <c r="AP27" s="30"/>
    </row>
    <row r="28" spans="1:42" ht="18.75" customHeight="1">
      <c r="A28" s="29"/>
      <c r="B28" s="24"/>
      <c r="C28" s="24"/>
      <c r="G28" s="37"/>
      <c r="H28" s="38"/>
      <c r="I28" s="38"/>
      <c r="J28" s="38"/>
      <c r="K28" s="38"/>
      <c r="L28" s="38"/>
      <c r="AL28" s="28" t="s">
        <v>32</v>
      </c>
      <c r="AM28" s="17">
        <f t="shared" si="2"/>
        <v>1860</v>
      </c>
      <c r="AN28" s="17">
        <f t="shared" si="2"/>
        <v>1860</v>
      </c>
      <c r="AP28" s="30"/>
    </row>
    <row r="29" spans="1:42" ht="18.75" customHeight="1">
      <c r="A29" s="29"/>
      <c r="B29" s="24"/>
      <c r="C29" s="24"/>
      <c r="G29" s="37"/>
      <c r="H29" s="38"/>
      <c r="I29" s="38"/>
      <c r="J29" s="38"/>
      <c r="K29" s="38"/>
      <c r="L29" s="38"/>
      <c r="AL29" s="28" t="s">
        <v>33</v>
      </c>
      <c r="AM29" s="17">
        <f t="shared" si="2"/>
        <v>1860</v>
      </c>
      <c r="AN29" s="17">
        <f t="shared" si="2"/>
        <v>1860</v>
      </c>
      <c r="AP29" s="30"/>
    </row>
    <row r="30" spans="1:42" ht="18.75" customHeight="1">
      <c r="A30" s="29"/>
      <c r="B30" s="24"/>
      <c r="C30" s="24"/>
      <c r="D30" s="27"/>
      <c r="G30" s="37"/>
      <c r="H30" s="38"/>
      <c r="I30" s="38"/>
      <c r="J30" s="38"/>
      <c r="K30" s="38"/>
      <c r="L30" s="38"/>
      <c r="AL30" s="28" t="s">
        <v>34</v>
      </c>
      <c r="AM30" s="17">
        <f t="shared" si="2"/>
        <v>1860</v>
      </c>
      <c r="AN30" s="17">
        <f t="shared" si="2"/>
        <v>1860</v>
      </c>
      <c r="AP30" s="30"/>
    </row>
    <row r="31" spans="1:42" ht="18.75" customHeight="1">
      <c r="A31" s="29"/>
      <c r="B31" s="31"/>
      <c r="C31" s="31"/>
      <c r="D31" s="32"/>
      <c r="G31" s="37"/>
      <c r="H31" s="38"/>
      <c r="I31" s="38"/>
      <c r="J31" s="38"/>
      <c r="K31" s="38"/>
      <c r="L31" s="38"/>
      <c r="AL31" s="28" t="s">
        <v>35</v>
      </c>
      <c r="AM31" s="17">
        <f t="shared" si="2"/>
        <v>1858</v>
      </c>
      <c r="AN31" s="17">
        <f t="shared" si="2"/>
        <v>1858</v>
      </c>
      <c r="AP31" s="30"/>
    </row>
    <row r="32" spans="1:42" ht="9.75" customHeight="1">
      <c r="A32" s="29"/>
      <c r="B32" s="33"/>
      <c r="C32" s="33"/>
      <c r="D32" s="33"/>
      <c r="E32" s="34"/>
      <c r="G32" s="37"/>
      <c r="H32" s="38"/>
      <c r="I32" s="38"/>
      <c r="J32" s="38"/>
      <c r="K32" s="38"/>
      <c r="L32" s="38"/>
      <c r="AL32" s="28" t="s">
        <v>36</v>
      </c>
      <c r="AM32" s="17">
        <f t="shared" si="2"/>
        <v>1858</v>
      </c>
      <c r="AN32" s="17">
        <f t="shared" si="2"/>
        <v>1858</v>
      </c>
      <c r="AP32" s="30"/>
    </row>
    <row r="33" spans="1:42" ht="18.75" customHeight="1">
      <c r="A33" s="29"/>
      <c r="B33" s="35"/>
      <c r="C33" s="35"/>
      <c r="D33" s="35"/>
      <c r="E33" s="34"/>
      <c r="G33" s="37"/>
      <c r="H33" s="38"/>
      <c r="I33" s="38"/>
      <c r="J33" s="38"/>
      <c r="K33" s="38"/>
      <c r="L33" s="38"/>
      <c r="AL33" s="28" t="s">
        <v>37</v>
      </c>
      <c r="AM33" s="17">
        <f>G18</f>
        <v>1862</v>
      </c>
      <c r="AN33" s="17">
        <f t="shared" si="2"/>
        <v>1862</v>
      </c>
      <c r="AP33" s="30"/>
    </row>
    <row r="34" spans="1:42" ht="18.75" customHeight="1">
      <c r="A34" s="29"/>
      <c r="B34" s="35"/>
      <c r="C34" s="35"/>
      <c r="D34" s="35"/>
      <c r="E34" s="34"/>
      <c r="F34" s="34"/>
      <c r="G34" s="37"/>
      <c r="H34" s="38"/>
      <c r="I34" s="38"/>
      <c r="J34" s="38"/>
      <c r="K34" s="38"/>
      <c r="L34" s="38"/>
      <c r="AP34" s="30"/>
    </row>
    <row r="35" spans="1:42" ht="12.75">
      <c r="B35" s="35"/>
      <c r="C35" s="35"/>
      <c r="D35" s="35"/>
      <c r="E35" s="34"/>
      <c r="F35" s="36"/>
      <c r="G35" s="37"/>
      <c r="H35" s="38"/>
      <c r="I35" s="38"/>
      <c r="J35" s="38"/>
      <c r="K35" s="38"/>
      <c r="L35" s="38"/>
      <c r="AP35" s="30"/>
    </row>
    <row r="36" spans="1:42" ht="12.75">
      <c r="B36" s="35"/>
      <c r="C36" s="35"/>
      <c r="D36" s="35"/>
      <c r="E36" s="28"/>
      <c r="F36" s="34"/>
      <c r="G36" s="37"/>
      <c r="H36" s="38"/>
      <c r="I36" s="38"/>
      <c r="J36" s="38"/>
      <c r="K36" s="38"/>
      <c r="L36" s="38"/>
      <c r="AP36" s="30"/>
    </row>
    <row r="37" spans="1:42" ht="12.75">
      <c r="B37" s="35"/>
      <c r="C37" s="35"/>
      <c r="D37" s="35"/>
      <c r="E37" s="28"/>
      <c r="G37" s="37"/>
      <c r="H37" s="38"/>
      <c r="I37" s="38"/>
      <c r="J37" s="38"/>
      <c r="K37" s="38"/>
      <c r="L37" s="38"/>
      <c r="AP37" s="30"/>
    </row>
    <row r="38" spans="1:42">
      <c r="B38" s="35"/>
      <c r="C38" s="35"/>
      <c r="D38" s="35"/>
      <c r="E38" s="28"/>
      <c r="AP38" s="30"/>
    </row>
    <row r="39" spans="1:42">
      <c r="B39" s="35"/>
      <c r="C39" s="35"/>
      <c r="D39" s="35"/>
      <c r="E39" s="28"/>
      <c r="AP39" s="30"/>
    </row>
    <row r="40" spans="1:42">
      <c r="B40" s="35"/>
      <c r="C40" s="35"/>
      <c r="D40" s="35"/>
      <c r="E40" s="28"/>
      <c r="AP40" s="30"/>
    </row>
    <row r="41" spans="1:42">
      <c r="B41" s="35"/>
      <c r="C41" s="35"/>
      <c r="D41" s="35"/>
      <c r="E41" s="28"/>
      <c r="AP41" s="30"/>
    </row>
    <row r="42" spans="1:42">
      <c r="B42" s="35"/>
      <c r="C42" s="35"/>
      <c r="D42" s="35"/>
      <c r="E42" s="28"/>
      <c r="AP42" s="30"/>
    </row>
    <row r="43" spans="1:42">
      <c r="B43" s="35"/>
      <c r="C43" s="35"/>
      <c r="D43" s="35"/>
      <c r="E43" s="28"/>
      <c r="AP43" s="30"/>
    </row>
    <row r="44" spans="1:42">
      <c r="B44" s="35"/>
      <c r="C44" s="35"/>
      <c r="D44" s="35"/>
      <c r="E44" s="28"/>
      <c r="AP44" s="30"/>
    </row>
    <row r="45" spans="1:42">
      <c r="B45" s="34"/>
      <c r="C45" s="34"/>
      <c r="D45" s="34"/>
      <c r="E45" s="28"/>
      <c r="AP45" s="30"/>
    </row>
    <row r="46" spans="1:42">
      <c r="B46" s="34"/>
      <c r="C46" s="34"/>
      <c r="D46" s="34"/>
      <c r="E46" s="28"/>
      <c r="AP46" s="30"/>
    </row>
    <row r="47" spans="1:42">
      <c r="E47" s="28"/>
      <c r="AP47" s="30"/>
    </row>
    <row r="48" spans="1:42">
      <c r="AP48" s="30"/>
    </row>
    <row r="49" spans="42:42">
      <c r="AP49" s="30"/>
    </row>
    <row r="50" spans="42:42">
      <c r="AP50" s="30"/>
    </row>
    <row r="51" spans="42:42">
      <c r="AP51" s="30"/>
    </row>
    <row r="52" spans="42:42">
      <c r="AP52" s="30"/>
    </row>
    <row r="53" spans="42:42">
      <c r="AP53" s="30"/>
    </row>
    <row r="54" spans="42:42">
      <c r="AP54" s="30"/>
    </row>
    <row r="55" spans="42:42">
      <c r="AP55" s="30"/>
    </row>
    <row r="56" spans="42:42">
      <c r="AP56" s="30"/>
    </row>
    <row r="57" spans="42:42">
      <c r="AP57" s="30"/>
    </row>
    <row r="58" spans="42:42">
      <c r="AP58" s="30"/>
    </row>
    <row r="59" spans="42:42">
      <c r="AP59" s="30"/>
    </row>
    <row r="60" spans="42:42">
      <c r="AP60" s="30"/>
    </row>
    <row r="61" spans="42:42">
      <c r="AP61" s="30"/>
    </row>
    <row r="62" spans="42:42">
      <c r="AP62" s="30"/>
    </row>
    <row r="63" spans="42:42">
      <c r="AP63" s="30"/>
    </row>
    <row r="64" spans="42:42">
      <c r="AP64" s="30"/>
    </row>
    <row r="65" spans="42:42">
      <c r="AP65" s="30"/>
    </row>
    <row r="66" spans="42:42">
      <c r="AP66" s="30"/>
    </row>
    <row r="67" spans="42:42">
      <c r="AP67" s="30"/>
    </row>
    <row r="68" spans="42:42">
      <c r="AP68" s="30"/>
    </row>
    <row r="69" spans="42:42">
      <c r="AP69" s="30"/>
    </row>
    <row r="70" spans="42:42">
      <c r="AP70" s="30"/>
    </row>
    <row r="71" spans="42:42">
      <c r="AP71" s="30"/>
    </row>
    <row r="72" spans="42:42">
      <c r="AP72" s="30"/>
    </row>
    <row r="73" spans="42:42">
      <c r="AP73" s="30"/>
    </row>
  </sheetData>
  <mergeCells count="5">
    <mergeCell ref="A1:K1"/>
    <mergeCell ref="A2:K2"/>
    <mergeCell ref="A3:A5"/>
    <mergeCell ref="B3:F3"/>
    <mergeCell ref="G3:K3"/>
  </mergeCells>
  <pageMargins left="0.7" right="0.7" top="0.75" bottom="0.75" header="0.3" footer="0.3"/>
  <pageSetup paperSize="9" scale="7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10.5</vt:lpstr>
      <vt:lpstr>'10.5'!Print_Area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2019-05-09T06:38:10Z</cp:lastPrinted>
  <dcterms:created xsi:type="dcterms:W3CDTF">2019-02-27T06:18:18Z</dcterms:created>
  <dcterms:modified xsi:type="dcterms:W3CDTF">2019-05-09T06:43:32Z</dcterms:modified>
</cp:coreProperties>
</file>