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3" sheetId="3" r:id="rId1"/>
  </sheets>
  <externalReferences>
    <externalReference r:id="rId2"/>
  </externalReferences>
  <definedNames>
    <definedName name="_xlnm.Print_Area" localSheetId="0">'10.3'!$A$1:$N$55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0" i="3" l="1"/>
  <c r="AN83" i="3" l="1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K31" i="3"/>
  <c r="AJ31" i="3"/>
  <c r="AK30" i="3"/>
  <c r="AJ30" i="3"/>
  <c r="AK29" i="3"/>
  <c r="AJ29" i="3"/>
  <c r="AK28" i="3"/>
  <c r="AJ28" i="3"/>
  <c r="AK27" i="3"/>
  <c r="AJ27" i="3"/>
  <c r="AK26" i="3"/>
  <c r="AJ26" i="3"/>
  <c r="AK25" i="3"/>
  <c r="AJ25" i="3"/>
  <c r="AK24" i="3"/>
  <c r="AJ24" i="3"/>
  <c r="AK23" i="3"/>
  <c r="AJ23" i="3"/>
  <c r="AK22" i="3"/>
  <c r="AJ22" i="3"/>
  <c r="AK21" i="3"/>
  <c r="AJ21" i="3"/>
  <c r="AK20" i="3"/>
  <c r="M6" i="3"/>
  <c r="L6" i="3"/>
  <c r="K6" i="3"/>
  <c r="J6" i="3"/>
  <c r="I6" i="3"/>
  <c r="H6" i="3"/>
  <c r="G6" i="3"/>
  <c r="F6" i="3"/>
  <c r="E6" i="3"/>
  <c r="D6" i="3"/>
  <c r="C6" i="3"/>
  <c r="B6" i="3"/>
</calcChain>
</file>

<file path=xl/sharedStrings.xml><?xml version="1.0" encoding="utf-8"?>
<sst xmlns="http://schemas.openxmlformats.org/spreadsheetml/2006/main" count="78" uniqueCount="42">
  <si>
    <t>Source: Ministry of Tourism</t>
  </si>
  <si>
    <t>އެނދުގެ ޖާގައިން  ބޭނުންކުރެވުނު މިންވަރު %</t>
  </si>
  <si>
    <t>2018 - 2017  ,urwvcnim unuverukcnunEb wgWjegudnea iaWa wgWj egudnea uhwmcswmikea : 10.3 ulwvWt</t>
  </si>
  <si>
    <t>Table  10.3: BED CAPACITY AND UTILIZATION BY MONTH,  2017 - 2018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</si>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</sst>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7" formatCode="#,##0.0"/>
    <numFmt numFmtId="168" formatCode="[$-409]mmm\-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2" borderId="0" xfId="0" applyFont="1" applyFill="1" applyAlignment="1" applyProtection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7" fillId="2" borderId="6" xfId="0" applyNumberFormat="1" applyFont="1" applyFill="1" applyBorder="1" applyAlignment="1" applyProtection="1">
      <alignment horizontal="center" vertical="center" wrapText="1"/>
    </xf>
    <xf numFmtId="37" fontId="7" fillId="2" borderId="7" xfId="0" applyNumberFormat="1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 wrapText="1"/>
    </xf>
    <xf numFmtId="3" fontId="5" fillId="2" borderId="10" xfId="0" applyNumberFormat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 applyProtection="1">
      <alignment horizontal="left" vertical="center"/>
    </xf>
    <xf numFmtId="3" fontId="6" fillId="2" borderId="1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3" fontId="6" fillId="2" borderId="9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 applyProtection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 applyProtection="1">
      <alignment horizontal="left" vertical="center"/>
    </xf>
    <xf numFmtId="3" fontId="13" fillId="2" borderId="0" xfId="0" applyNumberFormat="1" applyFont="1" applyFill="1" applyAlignment="1">
      <alignment horizontal="center"/>
    </xf>
    <xf numFmtId="0" fontId="9" fillId="2" borderId="0" xfId="0" applyFont="1" applyFill="1" applyBorder="1" applyAlignment="1" applyProtection="1">
      <alignment horizontal="left" vertical="center"/>
    </xf>
    <xf numFmtId="168" fontId="13" fillId="2" borderId="0" xfId="0" applyNumberFormat="1" applyFont="1" applyFill="1" applyAlignment="1" applyProtection="1">
      <alignment horizontal="left" vertical="center"/>
    </xf>
    <xf numFmtId="167" fontId="9" fillId="2" borderId="0" xfId="0" applyNumberFormat="1" applyFont="1" applyFill="1" applyBorder="1"/>
    <xf numFmtId="3" fontId="9" fillId="2" borderId="0" xfId="0" applyNumberFormat="1" applyFont="1" applyFill="1" applyBorder="1"/>
    <xf numFmtId="0" fontId="9" fillId="2" borderId="0" xfId="0" applyFont="1" applyFill="1" applyBorder="1"/>
    <xf numFmtId="3" fontId="9" fillId="2" borderId="0" xfId="0" applyNumberFormat="1" applyFont="1" applyFill="1" applyBorder="1" applyAlignment="1">
      <alignment horizontal="center"/>
    </xf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1" fontId="9" fillId="2" borderId="0" xfId="0" applyNumberFormat="1" applyFont="1" applyFill="1" applyBorder="1" applyAlignment="1">
      <alignment horizontal="center" vertical="center"/>
    </xf>
    <xf numFmtId="1" fontId="9" fillId="2" borderId="0" xfId="0" applyNumberFormat="1" applyFont="1" applyFill="1"/>
  </cellXfs>
  <cellStyles count="4">
    <cellStyle name="Normal" xfId="0" builtinId="0"/>
    <cellStyle name="Normal 2" xfId="1"/>
    <cellStyle name="Normal 5 2" xfId="3"/>
    <cellStyle name="Percent 2 2" xfId="2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10.6: Average duration of stay of tourists, 2017 - 2018</a:t>
            </a:r>
          </a:p>
        </c:rich>
      </c:tx>
      <c:layout>
        <c:manualLayout>
          <c:xMode val="edge"/>
          <c:yMode val="edge"/>
          <c:x val="0.16681476199403972"/>
          <c:y val="5.35495412829421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cked"/>
        <c:varyColors val="0"/>
        <c:ser>
          <c:idx val="0"/>
          <c:order val="0"/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'10.3'!$AM$60:$AM$83</c:f>
              <c:strCache>
                <c:ptCount val="24"/>
                <c:pt idx="0">
                  <c:v>Jan-17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Jan-18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'10.3'!$AN$60:$AN$83</c:f>
              <c:numCache>
                <c:formatCode>#,##0.0</c:formatCode>
                <c:ptCount val="24"/>
                <c:pt idx="0">
                  <c:v>6.4</c:v>
                </c:pt>
                <c:pt idx="1">
                  <c:v>6.4</c:v>
                </c:pt>
                <c:pt idx="2">
                  <c:v>6.7</c:v>
                </c:pt>
                <c:pt idx="3">
                  <c:v>6.2</c:v>
                </c:pt>
                <c:pt idx="4">
                  <c:v>6.4</c:v>
                </c:pt>
                <c:pt idx="5">
                  <c:v>5.6</c:v>
                </c:pt>
                <c:pt idx="6">
                  <c:v>6.1</c:v>
                </c:pt>
                <c:pt idx="7">
                  <c:v>6.2</c:v>
                </c:pt>
                <c:pt idx="8">
                  <c:v>5.7</c:v>
                </c:pt>
                <c:pt idx="9">
                  <c:v>6.2</c:v>
                </c:pt>
                <c:pt idx="10">
                  <c:v>6.2</c:v>
                </c:pt>
                <c:pt idx="11">
                  <c:v>6</c:v>
                </c:pt>
                <c:pt idx="12">
                  <c:v>6.6</c:v>
                </c:pt>
                <c:pt idx="13">
                  <c:v>6.4</c:v>
                </c:pt>
                <c:pt idx="14">
                  <c:v>6.5</c:v>
                </c:pt>
                <c:pt idx="15">
                  <c:v>6.7</c:v>
                </c:pt>
                <c:pt idx="16">
                  <c:v>6.9</c:v>
                </c:pt>
                <c:pt idx="17">
                  <c:v>5.8</c:v>
                </c:pt>
                <c:pt idx="18">
                  <c:v>6.1</c:v>
                </c:pt>
                <c:pt idx="19">
                  <c:v>6.6</c:v>
                </c:pt>
                <c:pt idx="20">
                  <c:v>6</c:v>
                </c:pt>
                <c:pt idx="21">
                  <c:v>6.4</c:v>
                </c:pt>
                <c:pt idx="22">
                  <c:v>6.4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540528"/>
        <c:axId val="351541088"/>
      </c:lineChart>
      <c:catAx>
        <c:axId val="35154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700">
                <a:latin typeface="+mn-lt"/>
              </a:defRPr>
            </a:pPr>
            <a:endParaRPr lang="en-US"/>
          </a:p>
        </c:txPr>
        <c:crossAx val="351541088"/>
        <c:crosses val="autoZero"/>
        <c:auto val="1"/>
        <c:lblAlgn val="ctr"/>
        <c:lblOffset val="100"/>
        <c:noMultiLvlLbl val="0"/>
      </c:catAx>
      <c:valAx>
        <c:axId val="351541088"/>
        <c:scaling>
          <c:orientation val="minMax"/>
          <c:max val="8"/>
          <c:min val="0"/>
        </c:scaling>
        <c:delete val="0"/>
        <c:axPos val="l"/>
        <c:majorGridlines>
          <c:spPr>
            <a:ln w="12700"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>
                    <a:latin typeface="+mn-lt"/>
                  </a:defRPr>
                </a:pPr>
                <a:r>
                  <a:rPr lang="en-US" b="0">
                    <a:latin typeface="+mn-lt"/>
                  </a:rPr>
                  <a:t>Number of days</a:t>
                </a:r>
              </a:p>
            </c:rich>
          </c:tx>
          <c:layout>
            <c:manualLayout>
              <c:xMode val="edge"/>
              <c:yMode val="edge"/>
              <c:x val="1.1001162168161821E-2"/>
              <c:y val="7.5038500982079231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351540528"/>
        <c:crosses val="autoZero"/>
        <c:crossBetween val="between"/>
        <c:majorUnit val="2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/>
              </a:rPr>
              <a:t>Figure 10.5:  Bed capacity and beds in operation in resorts,hotels, guest houses and safari vessels,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182053603878119"/>
          <c:y val="3.20104507460343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5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'10.3'!$AJ$19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'10.3'!$AI$20:$AI$31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'10.3'!$AJ$20:$AJ$31</c:f>
              <c:numCache>
                <c:formatCode>#,##0</c:formatCode>
                <c:ptCount val="12"/>
                <c:pt idx="0">
                  <c:v>41602</c:v>
                </c:pt>
                <c:pt idx="1">
                  <c:v>41710</c:v>
                </c:pt>
                <c:pt idx="2">
                  <c:v>42050</c:v>
                </c:pt>
                <c:pt idx="3">
                  <c:v>42688</c:v>
                </c:pt>
                <c:pt idx="4">
                  <c:v>42736</c:v>
                </c:pt>
                <c:pt idx="5">
                  <c:v>42822</c:v>
                </c:pt>
                <c:pt idx="6">
                  <c:v>42929</c:v>
                </c:pt>
                <c:pt idx="7">
                  <c:v>43099</c:v>
                </c:pt>
                <c:pt idx="8">
                  <c:v>43660</c:v>
                </c:pt>
                <c:pt idx="9">
                  <c:v>43806</c:v>
                </c:pt>
                <c:pt idx="10">
                  <c:v>44345</c:v>
                </c:pt>
                <c:pt idx="11">
                  <c:v>44860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4-40B3-8877-A0AD1EDEF530}"/>
            </c:ext>
          </c:extLst>
        </c:ser>
        <c:ser>
          <c:idx val="1"/>
          <c:order val="1"/>
          <c:tx>
            <c:strRef>
              <c:f>'10.3'!$AK$19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'10.3'!$AI$20:$AI$31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'10.3'!$AK$20:$AK$31</c:f>
              <c:numCache>
                <c:formatCode>#,##0</c:formatCode>
                <c:ptCount val="12"/>
                <c:pt idx="0">
                  <c:v>40943</c:v>
                </c:pt>
                <c:pt idx="1">
                  <c:v>40807</c:v>
                </c:pt>
                <c:pt idx="2">
                  <c:v>41137</c:v>
                </c:pt>
                <c:pt idx="3">
                  <c:v>41835</c:v>
                </c:pt>
                <c:pt idx="4">
                  <c:v>41513</c:v>
                </c:pt>
                <c:pt idx="5">
                  <c:v>41503</c:v>
                </c:pt>
                <c:pt idx="6">
                  <c:v>41534</c:v>
                </c:pt>
                <c:pt idx="7">
                  <c:v>41780</c:v>
                </c:pt>
                <c:pt idx="8">
                  <c:v>42355</c:v>
                </c:pt>
                <c:pt idx="9">
                  <c:v>42501</c:v>
                </c:pt>
                <c:pt idx="10">
                  <c:v>42960</c:v>
                </c:pt>
                <c:pt idx="11">
                  <c:v>43448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4-40B3-8877-A0AD1EDEF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020168912"/>
        <c:axId val="1020174736"/>
      </c:barChart>
      <c:catAx>
        <c:axId val="102016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74736"/>
        <c:crosses val="autoZero"/>
        <c:auto val="1"/>
        <c:lblAlgn val="ctr"/>
        <c:lblOffset val="100"/>
        <c:noMultiLvlLbl val="0"/>
      </c:catAx>
      <c:valAx>
        <c:axId val="1020174736"/>
        <c:scaling>
          <c:orientation val="minMax"/>
          <c:max val="4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6891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7274867956723216E-2"/>
          <c:y val="0.24972760510698117"/>
          <c:w val="0.38847174784605176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378617</xdr:colOff>
      <xdr:row>33</xdr:row>
      <xdr:rowOff>103697</xdr:rowOff>
    </xdr:from>
    <xdr:to>
      <xdr:col>10</xdr:col>
      <xdr:colOff>340517</xdr:colOff>
      <xdr:row>54</xdr:row>
      <xdr:rowOff>25272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352425</xdr:colOff>
      <xdr:row>19</xdr:row>
      <xdr:rowOff>23812</xdr:rowOff>
    </xdr:from>
    <xdr:to>
      <xdr:col>10</xdr:col>
      <xdr:colOff>323849</xdr:colOff>
      <xdr:row>30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83"/>
  <sheetViews>
    <sheetView tabSelected="1" zoomScaleNormal="100" zoomScaleSheetLayoutView="80" workbookViewId="0">
      <selection activeCell="O28" sqref="O28"/>
    </sheetView>
  </sheetViews>
  <sheetFormatPr defaultColWidth="9.140625" defaultRowHeight="12" x14ac:dyDescent="0.2"/>
  <cols>
    <col min="1" max="1" width="13.7109375" style="6" customWidth="1"/>
    <col min="2" max="3" width="11.28515625" style="6" customWidth="1"/>
    <col min="4" max="4" width="14.85546875" style="6" customWidth="1"/>
    <col min="5" max="9" width="11.28515625" style="6" customWidth="1"/>
    <col min="10" max="10" width="14.85546875" style="6" customWidth="1"/>
    <col min="11" max="13" width="11.28515625" style="6" customWidth="1"/>
    <col min="14" max="14" width="2.42578125" style="6" customWidth="1"/>
    <col min="15" max="33" width="8" style="6" customWidth="1"/>
    <col min="34" max="16384" width="9.140625" style="6"/>
  </cols>
  <sheetData>
    <row r="1" spans="1:13" ht="17.25" customHeight="1" x14ac:dyDescent="0.2">
      <c r="A1" s="43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24" customHeight="1" x14ac:dyDescent="0.2">
      <c r="A2" s="44" t="s">
        <v>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7" customFormat="1" ht="18.75" customHeight="1" x14ac:dyDescent="0.2">
      <c r="A3" s="45" t="s">
        <v>4</v>
      </c>
      <c r="B3" s="48">
        <v>2017</v>
      </c>
      <c r="C3" s="49"/>
      <c r="D3" s="49"/>
      <c r="E3" s="49"/>
      <c r="F3" s="49"/>
      <c r="G3" s="49"/>
      <c r="H3" s="48">
        <v>2018</v>
      </c>
      <c r="I3" s="49"/>
      <c r="J3" s="49"/>
      <c r="K3" s="49"/>
      <c r="L3" s="49"/>
      <c r="M3" s="49"/>
    </row>
    <row r="4" spans="1:13" s="7" customFormat="1" ht="72" customHeight="1" x14ac:dyDescent="0.2">
      <c r="A4" s="46"/>
      <c r="B4" s="8" t="s">
        <v>5</v>
      </c>
      <c r="C4" s="9" t="s">
        <v>6</v>
      </c>
      <c r="D4" s="9" t="s">
        <v>1</v>
      </c>
      <c r="E4" s="9" t="s">
        <v>7</v>
      </c>
      <c r="F4" s="9" t="s">
        <v>8</v>
      </c>
      <c r="G4" s="9" t="s">
        <v>9</v>
      </c>
      <c r="H4" s="8" t="s">
        <v>5</v>
      </c>
      <c r="I4" s="9" t="s">
        <v>6</v>
      </c>
      <c r="J4" s="9" t="s">
        <v>1</v>
      </c>
      <c r="K4" s="9" t="s">
        <v>7</v>
      </c>
      <c r="L4" s="9" t="s">
        <v>8</v>
      </c>
      <c r="M4" s="9" t="s">
        <v>9</v>
      </c>
    </row>
    <row r="5" spans="1:13" s="7" customFormat="1" ht="46.5" customHeight="1" x14ac:dyDescent="0.2">
      <c r="A5" s="47"/>
      <c r="B5" s="10" t="s">
        <v>15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0" t="s">
        <v>15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</row>
    <row r="6" spans="1:13" s="7" customFormat="1" ht="16.5" customHeight="1" x14ac:dyDescent="0.2">
      <c r="A6" s="12" t="s">
        <v>16</v>
      </c>
      <c r="B6" s="13">
        <f>AVERAGE(B7:B18)</f>
        <v>39535.833333333336</v>
      </c>
      <c r="C6" s="14">
        <f>AVERAGE(C7:C18)</f>
        <v>38592.333333333336</v>
      </c>
      <c r="D6" s="15">
        <f>AVERAGE(D7:D18)</f>
        <v>97.601595066573211</v>
      </c>
      <c r="E6" s="15">
        <f>AVERAGE(E7:E18)</f>
        <v>61.105983456729064</v>
      </c>
      <c r="F6" s="16">
        <f>SUM(F7:F18)</f>
        <v>8593283.6177621465</v>
      </c>
      <c r="G6" s="15">
        <f>AVERAGE(G7:G18)</f>
        <v>6.1750000000000007</v>
      </c>
      <c r="H6" s="13">
        <f>AVERAGE(H7:H18)</f>
        <v>43025.583333333336</v>
      </c>
      <c r="I6" s="14">
        <f>AVERAGE(I7:I18)</f>
        <v>41859.666666666664</v>
      </c>
      <c r="J6" s="15">
        <f>AVERAGE(J7:J18)</f>
        <v>97.299232882512911</v>
      </c>
      <c r="K6" s="15">
        <f>AVERAGE(K7:K18)</f>
        <v>62.132135362377618</v>
      </c>
      <c r="L6" s="16">
        <f>SUM(L7:L18)</f>
        <v>9478093.9017162751</v>
      </c>
      <c r="M6" s="15">
        <f>AVERAGE(M7:M18)</f>
        <v>6.3666666666666671</v>
      </c>
    </row>
    <row r="7" spans="1:13" s="7" customFormat="1" ht="16.5" customHeight="1" x14ac:dyDescent="0.2">
      <c r="A7" s="17" t="s">
        <v>17</v>
      </c>
      <c r="B7" s="18">
        <v>37575</v>
      </c>
      <c r="C7" s="3">
        <v>36225</v>
      </c>
      <c r="D7" s="19">
        <v>96.407185628742525</v>
      </c>
      <c r="E7" s="19">
        <v>71.250593835290502</v>
      </c>
      <c r="F7" s="5">
        <v>800126.35612185299</v>
      </c>
      <c r="G7" s="19">
        <v>6.4</v>
      </c>
      <c r="H7" s="18">
        <v>41602</v>
      </c>
      <c r="I7" s="3">
        <v>40943</v>
      </c>
      <c r="J7" s="19">
        <v>98.415941541272062</v>
      </c>
      <c r="K7" s="19">
        <v>74.178416195992256</v>
      </c>
      <c r="L7" s="5">
        <v>941496.93723687832</v>
      </c>
      <c r="M7" s="19">
        <v>6.6</v>
      </c>
    </row>
    <row r="8" spans="1:13" s="7" customFormat="1" ht="16.5" customHeight="1" x14ac:dyDescent="0.2">
      <c r="A8" s="17" t="s">
        <v>18</v>
      </c>
      <c r="B8" s="18">
        <v>38146</v>
      </c>
      <c r="C8" s="3">
        <v>37133</v>
      </c>
      <c r="D8" s="19">
        <v>97.344413568919421</v>
      </c>
      <c r="E8" s="19">
        <v>74.290195246686281</v>
      </c>
      <c r="F8" s="5">
        <v>772412.98962665652</v>
      </c>
      <c r="G8" s="19">
        <v>6.4</v>
      </c>
      <c r="H8" s="18">
        <v>41710</v>
      </c>
      <c r="I8" s="3">
        <v>40807</v>
      </c>
      <c r="J8" s="19">
        <v>97.835051546391753</v>
      </c>
      <c r="K8" s="19">
        <v>81.007215183003439</v>
      </c>
      <c r="L8" s="5">
        <v>925585.20039239002</v>
      </c>
      <c r="M8" s="19">
        <v>6.4</v>
      </c>
    </row>
    <row r="9" spans="1:13" s="7" customFormat="1" ht="16.5" customHeight="1" x14ac:dyDescent="0.2">
      <c r="A9" s="17" t="s">
        <v>19</v>
      </c>
      <c r="B9" s="18">
        <v>38719</v>
      </c>
      <c r="C9" s="3">
        <v>37773</v>
      </c>
      <c r="D9" s="19">
        <v>97.556755081484553</v>
      </c>
      <c r="E9" s="19">
        <v>64.08671814192823</v>
      </c>
      <c r="F9" s="5">
        <v>750431.75735626707</v>
      </c>
      <c r="G9" s="19">
        <v>6.7</v>
      </c>
      <c r="H9" s="18">
        <v>42050</v>
      </c>
      <c r="I9" s="3">
        <v>41137</v>
      </c>
      <c r="J9" s="19">
        <v>97.828775267538646</v>
      </c>
      <c r="K9" s="19">
        <v>68.514512946898378</v>
      </c>
      <c r="L9" s="5">
        <v>873729.2709199331</v>
      </c>
      <c r="M9" s="19">
        <v>6.5</v>
      </c>
    </row>
    <row r="10" spans="1:13" s="7" customFormat="1" ht="16.5" customHeight="1" x14ac:dyDescent="0.2">
      <c r="A10" s="17" t="s">
        <v>20</v>
      </c>
      <c r="B10" s="18">
        <v>39070</v>
      </c>
      <c r="C10" s="3">
        <v>37817</v>
      </c>
      <c r="D10" s="19">
        <v>96.792935756334785</v>
      </c>
      <c r="E10" s="19">
        <v>65.446546741381496</v>
      </c>
      <c r="F10" s="5">
        <v>742497.61743564717</v>
      </c>
      <c r="G10" s="19">
        <v>6.2</v>
      </c>
      <c r="H10" s="18">
        <v>42688</v>
      </c>
      <c r="I10" s="3">
        <v>41835</v>
      </c>
      <c r="J10" s="19">
        <v>98.001780359820089</v>
      </c>
      <c r="K10" s="19">
        <v>63.490693198364376</v>
      </c>
      <c r="L10" s="5">
        <v>796839.94498607225</v>
      </c>
      <c r="M10" s="19">
        <v>6.7</v>
      </c>
    </row>
    <row r="11" spans="1:13" s="7" customFormat="1" ht="16.5" customHeight="1" x14ac:dyDescent="0.2">
      <c r="A11" s="17" t="s">
        <v>21</v>
      </c>
      <c r="B11" s="18">
        <v>39505</v>
      </c>
      <c r="C11" s="3">
        <v>38264</v>
      </c>
      <c r="D11" s="19">
        <v>96.858625490444254</v>
      </c>
      <c r="E11" s="19">
        <v>50.708521461324061</v>
      </c>
      <c r="F11" s="5">
        <v>601496.36821079231</v>
      </c>
      <c r="G11" s="19">
        <v>6.4</v>
      </c>
      <c r="H11" s="18">
        <v>42736</v>
      </c>
      <c r="I11" s="3">
        <v>41513</v>
      </c>
      <c r="J11" s="19">
        <v>97.138244103332084</v>
      </c>
      <c r="K11" s="19">
        <v>49.851767064579128</v>
      </c>
      <c r="L11" s="5">
        <v>641543.88590708072</v>
      </c>
      <c r="M11" s="19">
        <v>6.9</v>
      </c>
    </row>
    <row r="12" spans="1:13" s="7" customFormat="1" ht="16.5" customHeight="1" x14ac:dyDescent="0.2">
      <c r="A12" s="17" t="s">
        <v>22</v>
      </c>
      <c r="B12" s="18">
        <v>39570</v>
      </c>
      <c r="C12" s="3">
        <v>38648</v>
      </c>
      <c r="D12" s="19">
        <v>97.669951983826095</v>
      </c>
      <c r="E12" s="19">
        <v>41.476026378791566</v>
      </c>
      <c r="F12" s="5">
        <v>480889.64024626091</v>
      </c>
      <c r="G12" s="19">
        <v>5.6</v>
      </c>
      <c r="H12" s="18">
        <v>42822</v>
      </c>
      <c r="I12" s="3">
        <v>41503</v>
      </c>
      <c r="J12" s="19">
        <v>96.919807575545278</v>
      </c>
      <c r="K12" s="19">
        <v>43.735770771124997</v>
      </c>
      <c r="L12" s="5">
        <v>544549.70829420025</v>
      </c>
      <c r="M12" s="19">
        <v>5.8</v>
      </c>
    </row>
    <row r="13" spans="1:13" s="7" customFormat="1" ht="16.5" customHeight="1" x14ac:dyDescent="0.2">
      <c r="A13" s="17" t="s">
        <v>23</v>
      </c>
      <c r="B13" s="18">
        <v>39799</v>
      </c>
      <c r="C13" s="3">
        <v>38979</v>
      </c>
      <c r="D13" s="19">
        <v>97.939646724792084</v>
      </c>
      <c r="E13" s="19">
        <v>56.93890876047675</v>
      </c>
      <c r="F13" s="5">
        <v>688020.73461813317</v>
      </c>
      <c r="G13" s="19">
        <v>6.1</v>
      </c>
      <c r="H13" s="18">
        <v>42929</v>
      </c>
      <c r="I13" s="3">
        <v>41534</v>
      </c>
      <c r="J13" s="19">
        <v>96.750448414824476</v>
      </c>
      <c r="K13" s="19">
        <v>57.746224180766227</v>
      </c>
      <c r="L13" s="5">
        <v>743513.8192884227</v>
      </c>
      <c r="M13" s="19">
        <v>6.1</v>
      </c>
    </row>
    <row r="14" spans="1:13" s="7" customFormat="1" ht="16.5" customHeight="1" x14ac:dyDescent="0.2">
      <c r="A14" s="17" t="s">
        <v>24</v>
      </c>
      <c r="B14" s="18">
        <v>39937</v>
      </c>
      <c r="C14" s="3">
        <v>39074</v>
      </c>
      <c r="D14" s="19">
        <v>97.839096577108947</v>
      </c>
      <c r="E14" s="19">
        <v>61.638060074938885</v>
      </c>
      <c r="F14" s="5">
        <v>746618.12340413022</v>
      </c>
      <c r="G14" s="19">
        <v>6.2</v>
      </c>
      <c r="H14" s="18">
        <v>43099</v>
      </c>
      <c r="I14" s="3">
        <v>41780</v>
      </c>
      <c r="J14" s="19">
        <v>96.939604167150051</v>
      </c>
      <c r="K14" s="19">
        <v>63.537354919995039</v>
      </c>
      <c r="L14" s="5">
        <v>822923.1134527917</v>
      </c>
      <c r="M14" s="19">
        <v>6.6</v>
      </c>
    </row>
    <row r="15" spans="1:13" s="7" customFormat="1" ht="16.5" customHeight="1" x14ac:dyDescent="0.2">
      <c r="A15" s="17" t="s">
        <v>25</v>
      </c>
      <c r="B15" s="18">
        <v>39991</v>
      </c>
      <c r="C15" s="3">
        <v>39262</v>
      </c>
      <c r="D15" s="19">
        <v>98.177089845215164</v>
      </c>
      <c r="E15" s="19">
        <v>51.294326400172118</v>
      </c>
      <c r="F15" s="5">
        <v>604175.35293706728</v>
      </c>
      <c r="G15" s="19">
        <v>5.7</v>
      </c>
      <c r="H15" s="18">
        <v>43660</v>
      </c>
      <c r="I15" s="3">
        <v>42355</v>
      </c>
      <c r="J15" s="19">
        <v>97.010994044892357</v>
      </c>
      <c r="K15" s="19">
        <v>51.029852615590855</v>
      </c>
      <c r="L15" s="5">
        <v>648410.82226000517</v>
      </c>
      <c r="M15" s="19">
        <v>6</v>
      </c>
    </row>
    <row r="16" spans="1:13" s="7" customFormat="1" ht="16.5" customHeight="1" x14ac:dyDescent="0.2">
      <c r="A16" s="17" t="s">
        <v>26</v>
      </c>
      <c r="B16" s="18">
        <v>40169</v>
      </c>
      <c r="C16" s="3">
        <v>39545</v>
      </c>
      <c r="D16" s="19">
        <v>98.446563270183475</v>
      </c>
      <c r="E16" s="19">
        <v>64.726132260319119</v>
      </c>
      <c r="F16" s="5">
        <v>793474.41907263896</v>
      </c>
      <c r="G16" s="19">
        <v>6.2</v>
      </c>
      <c r="H16" s="18">
        <v>43806</v>
      </c>
      <c r="I16" s="3">
        <v>42501</v>
      </c>
      <c r="J16" s="19">
        <v>97.020956033420077</v>
      </c>
      <c r="K16" s="19">
        <v>62.289752087542908</v>
      </c>
      <c r="L16" s="5">
        <v>820686.79357652483</v>
      </c>
      <c r="M16" s="19">
        <v>6.4</v>
      </c>
    </row>
    <row r="17" spans="1:40" s="7" customFormat="1" ht="16.5" customHeight="1" x14ac:dyDescent="0.2">
      <c r="A17" s="20" t="s">
        <v>27</v>
      </c>
      <c r="B17" s="18">
        <v>40694</v>
      </c>
      <c r="C17" s="3">
        <v>39816</v>
      </c>
      <c r="D17" s="19">
        <v>97.842433774020748</v>
      </c>
      <c r="E17" s="19">
        <v>62.793209724928403</v>
      </c>
      <c r="F17" s="5">
        <v>750052.33152232482</v>
      </c>
      <c r="G17" s="19">
        <v>6.2</v>
      </c>
      <c r="H17" s="18">
        <v>44345</v>
      </c>
      <c r="I17" s="3">
        <v>42960</v>
      </c>
      <c r="J17" s="19">
        <v>96.876761754425516</v>
      </c>
      <c r="K17" s="19">
        <v>62.784266551875412</v>
      </c>
      <c r="L17" s="5">
        <v>809163.62732057029</v>
      </c>
      <c r="M17" s="19">
        <v>6.4</v>
      </c>
    </row>
    <row r="18" spans="1:40" s="7" customFormat="1" ht="16.5" customHeight="1" x14ac:dyDescent="0.2">
      <c r="A18" s="21" t="s">
        <v>28</v>
      </c>
      <c r="B18" s="22">
        <v>41255</v>
      </c>
      <c r="C18" s="23">
        <v>40572</v>
      </c>
      <c r="D18" s="24">
        <v>98.34444309780632</v>
      </c>
      <c r="E18" s="24">
        <v>68.622562454511311</v>
      </c>
      <c r="F18" s="4">
        <v>863087.92721037427</v>
      </c>
      <c r="G18" s="24">
        <v>6</v>
      </c>
      <c r="H18" s="22">
        <v>44860</v>
      </c>
      <c r="I18" s="23">
        <v>43448</v>
      </c>
      <c r="J18" s="24">
        <v>96.852429781542583</v>
      </c>
      <c r="K18" s="24">
        <v>67.419798632798503</v>
      </c>
      <c r="L18" s="4">
        <v>909650.77808140765</v>
      </c>
      <c r="M18" s="24">
        <v>6</v>
      </c>
    </row>
    <row r="19" spans="1:40" ht="19.5" customHeight="1" x14ac:dyDescent="0.2">
      <c r="A19" s="1" t="s">
        <v>0</v>
      </c>
      <c r="B19" s="25"/>
      <c r="C19" s="25"/>
      <c r="D19" s="26"/>
      <c r="G19" s="2"/>
      <c r="H19" s="25"/>
      <c r="I19" s="25"/>
      <c r="J19" s="26"/>
      <c r="M19" s="2" t="s">
        <v>29</v>
      </c>
      <c r="AJ19" s="27" t="s">
        <v>15</v>
      </c>
      <c r="AK19" s="27" t="s">
        <v>30</v>
      </c>
    </row>
    <row r="20" spans="1:40" ht="18.75" customHeight="1" x14ac:dyDescent="0.2">
      <c r="A20" s="28"/>
      <c r="B20" s="25"/>
      <c r="C20" s="25"/>
      <c r="D20" s="26"/>
      <c r="H20" s="25"/>
      <c r="I20" s="25"/>
      <c r="J20" s="26"/>
      <c r="AI20" s="29" t="s">
        <v>31</v>
      </c>
      <c r="AJ20" s="18">
        <f>H7</f>
        <v>41602</v>
      </c>
      <c r="AK20" s="30">
        <f>I7</f>
        <v>40943</v>
      </c>
    </row>
    <row r="21" spans="1:40" ht="18.75" customHeight="1" x14ac:dyDescent="0.2">
      <c r="A21" s="31"/>
      <c r="B21" s="25"/>
      <c r="C21" s="25"/>
      <c r="H21" s="25"/>
      <c r="I21" s="25"/>
      <c r="AI21" s="29" t="s">
        <v>32</v>
      </c>
      <c r="AJ21" s="18">
        <f t="shared" ref="AJ21:AK31" si="0">H8</f>
        <v>41710</v>
      </c>
      <c r="AK21" s="30">
        <f t="shared" si="0"/>
        <v>40807</v>
      </c>
    </row>
    <row r="22" spans="1:40" ht="18.75" customHeight="1" x14ac:dyDescent="0.2">
      <c r="A22" s="31"/>
      <c r="B22" s="25"/>
      <c r="C22" s="25"/>
      <c r="H22" s="25"/>
      <c r="I22" s="25"/>
      <c r="AI22" s="29" t="s">
        <v>33</v>
      </c>
      <c r="AJ22" s="18">
        <f t="shared" si="0"/>
        <v>42050</v>
      </c>
      <c r="AK22" s="30">
        <f t="shared" si="0"/>
        <v>41137</v>
      </c>
    </row>
    <row r="23" spans="1:40" ht="18.75" customHeight="1" x14ac:dyDescent="0.2">
      <c r="A23" s="31"/>
      <c r="B23" s="25"/>
      <c r="C23" s="25"/>
      <c r="H23" s="25"/>
      <c r="I23" s="25"/>
      <c r="AI23" s="29" t="s">
        <v>34</v>
      </c>
      <c r="AJ23" s="18">
        <f t="shared" si="0"/>
        <v>42688</v>
      </c>
      <c r="AK23" s="30">
        <f t="shared" si="0"/>
        <v>41835</v>
      </c>
    </row>
    <row r="24" spans="1:40" ht="18.75" customHeight="1" x14ac:dyDescent="0.2">
      <c r="A24" s="31"/>
      <c r="B24" s="25"/>
      <c r="C24" s="25"/>
      <c r="H24" s="25"/>
      <c r="I24" s="25"/>
      <c r="AI24" s="29" t="s">
        <v>21</v>
      </c>
      <c r="AJ24" s="18">
        <f t="shared" si="0"/>
        <v>42736</v>
      </c>
      <c r="AK24" s="30">
        <f t="shared" si="0"/>
        <v>41513</v>
      </c>
      <c r="AM24" s="35"/>
      <c r="AN24" s="35"/>
    </row>
    <row r="25" spans="1:40" ht="18.75" customHeight="1" x14ac:dyDescent="0.2">
      <c r="A25" s="31"/>
      <c r="B25" s="25"/>
      <c r="C25" s="25"/>
      <c r="H25" s="25"/>
      <c r="I25" s="25"/>
      <c r="AI25" s="29" t="s">
        <v>35</v>
      </c>
      <c r="AJ25" s="18">
        <f t="shared" si="0"/>
        <v>42822</v>
      </c>
      <c r="AK25" s="30">
        <f t="shared" si="0"/>
        <v>41503</v>
      </c>
      <c r="AM25" s="42"/>
      <c r="AN25" s="39"/>
    </row>
    <row r="26" spans="1:40" ht="18.75" customHeight="1" x14ac:dyDescent="0.2">
      <c r="A26" s="31"/>
      <c r="B26" s="25"/>
      <c r="C26" s="25"/>
      <c r="H26" s="25"/>
      <c r="I26" s="25"/>
      <c r="AI26" s="29" t="s">
        <v>36</v>
      </c>
      <c r="AJ26" s="18">
        <f t="shared" si="0"/>
        <v>42929</v>
      </c>
      <c r="AK26" s="30">
        <f t="shared" si="0"/>
        <v>41534</v>
      </c>
      <c r="AM26" s="38"/>
      <c r="AN26" s="39"/>
    </row>
    <row r="27" spans="1:40" ht="18.75" customHeight="1" x14ac:dyDescent="0.2">
      <c r="A27" s="31"/>
      <c r="B27" s="25"/>
      <c r="C27" s="25"/>
      <c r="H27" s="25"/>
      <c r="I27" s="25"/>
      <c r="AI27" s="29" t="s">
        <v>37</v>
      </c>
      <c r="AJ27" s="18">
        <f t="shared" si="0"/>
        <v>43099</v>
      </c>
      <c r="AK27" s="30">
        <f t="shared" si="0"/>
        <v>41780</v>
      </c>
      <c r="AM27" s="38"/>
      <c r="AN27" s="39"/>
    </row>
    <row r="28" spans="1:40" ht="18.75" customHeight="1" x14ac:dyDescent="0.2">
      <c r="A28" s="31"/>
      <c r="B28" s="25"/>
      <c r="C28" s="25"/>
      <c r="H28" s="25"/>
      <c r="I28" s="25"/>
      <c r="AI28" s="29" t="s">
        <v>38</v>
      </c>
      <c r="AJ28" s="18">
        <f t="shared" si="0"/>
        <v>43660</v>
      </c>
      <c r="AK28" s="30">
        <f t="shared" si="0"/>
        <v>42355</v>
      </c>
      <c r="AM28" s="38"/>
      <c r="AN28" s="39"/>
    </row>
    <row r="29" spans="1:40" ht="18.75" customHeight="1" x14ac:dyDescent="0.2">
      <c r="A29" s="31"/>
      <c r="B29" s="25"/>
      <c r="C29" s="25"/>
      <c r="H29" s="25"/>
      <c r="I29" s="25"/>
      <c r="AI29" s="29" t="s">
        <v>39</v>
      </c>
      <c r="AJ29" s="18">
        <f t="shared" si="0"/>
        <v>43806</v>
      </c>
      <c r="AK29" s="30">
        <f t="shared" si="0"/>
        <v>42501</v>
      </c>
      <c r="AM29" s="38"/>
      <c r="AN29" s="39"/>
    </row>
    <row r="30" spans="1:40" ht="18.75" customHeight="1" x14ac:dyDescent="0.2">
      <c r="A30" s="31"/>
      <c r="B30" s="25"/>
      <c r="C30" s="25"/>
      <c r="D30" s="28"/>
      <c r="H30" s="25"/>
      <c r="I30" s="25"/>
      <c r="J30" s="28"/>
      <c r="AI30" s="29" t="s">
        <v>40</v>
      </c>
      <c r="AJ30" s="18">
        <f t="shared" si="0"/>
        <v>44345</v>
      </c>
      <c r="AK30" s="30">
        <f t="shared" si="0"/>
        <v>42960</v>
      </c>
      <c r="AM30" s="38"/>
      <c r="AN30" s="39"/>
    </row>
    <row r="31" spans="1:40" ht="18.75" customHeight="1" x14ac:dyDescent="0.2">
      <c r="A31" s="31"/>
      <c r="B31" s="33"/>
      <c r="C31" s="33"/>
      <c r="D31" s="34"/>
      <c r="H31" s="33"/>
      <c r="I31" s="33"/>
      <c r="J31" s="34"/>
      <c r="AI31" s="29" t="s">
        <v>41</v>
      </c>
      <c r="AJ31" s="18">
        <f t="shared" si="0"/>
        <v>44860</v>
      </c>
      <c r="AK31" s="30">
        <f t="shared" si="0"/>
        <v>43448</v>
      </c>
      <c r="AM31" s="38"/>
      <c r="AN31" s="39"/>
    </row>
    <row r="32" spans="1:40" ht="18.75" customHeight="1" x14ac:dyDescent="0.2">
      <c r="A32" s="31"/>
      <c r="B32" s="36"/>
      <c r="C32" s="36"/>
      <c r="D32" s="36"/>
      <c r="E32" s="35"/>
      <c r="H32" s="36"/>
      <c r="I32" s="36"/>
      <c r="J32" s="36"/>
      <c r="K32" s="35"/>
      <c r="AM32" s="38"/>
      <c r="AN32" s="39"/>
    </row>
    <row r="33" spans="1:40" ht="18.75" customHeight="1" x14ac:dyDescent="0.2">
      <c r="A33" s="31"/>
      <c r="B33" s="36"/>
      <c r="C33" s="36"/>
      <c r="D33" s="36"/>
      <c r="E33" s="35"/>
      <c r="F33" s="35"/>
      <c r="G33" s="35"/>
      <c r="H33" s="36"/>
      <c r="I33" s="36"/>
      <c r="J33" s="36"/>
      <c r="K33" s="35"/>
      <c r="L33" s="35"/>
      <c r="M33" s="35"/>
      <c r="AM33" s="38"/>
      <c r="AN33" s="39"/>
    </row>
    <row r="34" spans="1:40" x14ac:dyDescent="0.2">
      <c r="B34" s="36"/>
      <c r="C34" s="36"/>
      <c r="D34" s="36"/>
      <c r="E34" s="35"/>
      <c r="F34" s="37"/>
      <c r="G34" s="37"/>
      <c r="H34" s="36"/>
      <c r="I34" s="36"/>
      <c r="J34" s="36"/>
      <c r="K34" s="35"/>
      <c r="L34" s="37"/>
      <c r="M34" s="37"/>
      <c r="AM34" s="38"/>
      <c r="AN34" s="39"/>
    </row>
    <row r="35" spans="1:40" x14ac:dyDescent="0.2">
      <c r="B35" s="36"/>
      <c r="C35" s="36"/>
      <c r="D35" s="36"/>
      <c r="E35" s="29"/>
      <c r="F35" s="35"/>
      <c r="G35" s="35"/>
      <c r="H35" s="36"/>
      <c r="I35" s="36"/>
      <c r="J35" s="36"/>
      <c r="K35" s="29"/>
      <c r="L35" s="35"/>
      <c r="M35" s="35"/>
      <c r="AM35" s="38"/>
      <c r="AN35" s="39"/>
    </row>
    <row r="36" spans="1:40" x14ac:dyDescent="0.2">
      <c r="B36" s="36"/>
      <c r="C36" s="36"/>
      <c r="D36" s="36"/>
      <c r="E36" s="29"/>
      <c r="H36" s="36"/>
      <c r="I36" s="36"/>
      <c r="J36" s="36"/>
      <c r="K36" s="29"/>
      <c r="AM36" s="42"/>
      <c r="AN36" s="39"/>
    </row>
    <row r="37" spans="1:40" x14ac:dyDescent="0.2">
      <c r="B37" s="36"/>
      <c r="C37" s="36"/>
      <c r="D37" s="36"/>
      <c r="E37" s="29"/>
      <c r="H37" s="36"/>
      <c r="I37" s="36"/>
      <c r="J37" s="36"/>
      <c r="K37" s="29"/>
      <c r="AM37" s="38"/>
      <c r="AN37" s="39"/>
    </row>
    <row r="38" spans="1:40" x14ac:dyDescent="0.2">
      <c r="B38" s="36"/>
      <c r="C38" s="36"/>
      <c r="D38" s="36"/>
      <c r="E38" s="29"/>
      <c r="H38" s="36"/>
      <c r="I38" s="36"/>
      <c r="J38" s="36"/>
      <c r="K38" s="29"/>
      <c r="AM38" s="38"/>
      <c r="AN38" s="39"/>
    </row>
    <row r="39" spans="1:40" x14ac:dyDescent="0.2">
      <c r="B39" s="36"/>
      <c r="C39" s="36"/>
      <c r="D39" s="36"/>
      <c r="E39" s="29"/>
      <c r="H39" s="36"/>
      <c r="I39" s="36"/>
      <c r="J39" s="36"/>
      <c r="K39" s="29"/>
      <c r="AM39" s="38"/>
      <c r="AN39" s="39"/>
    </row>
    <row r="40" spans="1:40" x14ac:dyDescent="0.2">
      <c r="B40" s="36"/>
      <c r="C40" s="36"/>
      <c r="D40" s="36"/>
      <c r="E40" s="29"/>
      <c r="H40" s="36"/>
      <c r="I40" s="36"/>
      <c r="J40" s="36"/>
      <c r="K40" s="29"/>
      <c r="AM40" s="38"/>
      <c r="AN40" s="39"/>
    </row>
    <row r="41" spans="1:40" x14ac:dyDescent="0.2">
      <c r="B41" s="36"/>
      <c r="C41" s="36"/>
      <c r="D41" s="36"/>
      <c r="E41" s="29"/>
      <c r="H41" s="36"/>
      <c r="I41" s="36"/>
      <c r="J41" s="36"/>
      <c r="K41" s="29"/>
      <c r="AM41" s="38"/>
      <c r="AN41" s="39"/>
    </row>
    <row r="42" spans="1:40" x14ac:dyDescent="0.2">
      <c r="B42" s="36"/>
      <c r="C42" s="36"/>
      <c r="D42" s="36"/>
      <c r="E42" s="29"/>
      <c r="H42" s="36"/>
      <c r="I42" s="36"/>
      <c r="J42" s="36"/>
      <c r="K42" s="29"/>
      <c r="AM42" s="38"/>
      <c r="AN42" s="39"/>
    </row>
    <row r="43" spans="1:40" x14ac:dyDescent="0.2">
      <c r="B43" s="36"/>
      <c r="C43" s="36"/>
      <c r="D43" s="36"/>
      <c r="E43" s="29"/>
      <c r="H43" s="36"/>
      <c r="I43" s="36"/>
      <c r="J43" s="36"/>
      <c r="K43" s="29"/>
      <c r="AM43" s="38"/>
      <c r="AN43" s="39"/>
    </row>
    <row r="44" spans="1:40" x14ac:dyDescent="0.2">
      <c r="B44" s="35"/>
      <c r="C44" s="35"/>
      <c r="D44" s="35"/>
      <c r="E44" s="29"/>
      <c r="H44" s="35"/>
      <c r="I44" s="35"/>
      <c r="J44" s="35"/>
      <c r="K44" s="29"/>
      <c r="AM44" s="38"/>
      <c r="AN44" s="39"/>
    </row>
    <row r="45" spans="1:40" x14ac:dyDescent="0.2">
      <c r="B45" s="35"/>
      <c r="C45" s="35"/>
      <c r="D45" s="35"/>
      <c r="E45" s="29"/>
      <c r="H45" s="35"/>
      <c r="I45" s="35"/>
      <c r="J45" s="35"/>
      <c r="K45" s="29"/>
      <c r="AM45" s="38"/>
      <c r="AN45" s="39"/>
    </row>
    <row r="46" spans="1:40" x14ac:dyDescent="0.2">
      <c r="E46" s="29"/>
      <c r="K46" s="29"/>
      <c r="AM46" s="38"/>
      <c r="AN46" s="39"/>
    </row>
    <row r="47" spans="1:40" x14ac:dyDescent="0.2">
      <c r="AM47" s="38"/>
      <c r="AN47" s="39"/>
    </row>
    <row r="48" spans="1:40" x14ac:dyDescent="0.2">
      <c r="AM48" s="42"/>
      <c r="AN48" s="39"/>
    </row>
    <row r="49" spans="2:41" x14ac:dyDescent="0.2">
      <c r="AM49" s="31"/>
      <c r="AN49" s="39"/>
    </row>
    <row r="50" spans="2:41" x14ac:dyDescent="0.2">
      <c r="AM50" s="31"/>
      <c r="AN50" s="39"/>
    </row>
    <row r="51" spans="2:41" x14ac:dyDescent="0.2">
      <c r="AM51" s="31"/>
      <c r="AN51" s="39"/>
    </row>
    <row r="52" spans="2:41" x14ac:dyDescent="0.2">
      <c r="AM52" s="31"/>
      <c r="AN52" s="39"/>
    </row>
    <row r="53" spans="2:41" x14ac:dyDescent="0.2">
      <c r="AM53" s="31"/>
      <c r="AN53" s="39"/>
    </row>
    <row r="54" spans="2:41" x14ac:dyDescent="0.2">
      <c r="AM54" s="31"/>
      <c r="AN54" s="39"/>
    </row>
    <row r="55" spans="2:41" x14ac:dyDescent="0.2">
      <c r="AM55" s="31"/>
      <c r="AN55" s="39"/>
    </row>
    <row r="56" spans="2:41" x14ac:dyDescent="0.2">
      <c r="AM56" s="31"/>
      <c r="AN56" s="39"/>
    </row>
    <row r="57" spans="2:41" x14ac:dyDescent="0.2">
      <c r="B57" s="35"/>
      <c r="H57" s="35"/>
      <c r="AM57" s="31"/>
      <c r="AN57" s="39"/>
    </row>
    <row r="58" spans="2:41" x14ac:dyDescent="0.2">
      <c r="B58" s="35"/>
      <c r="H58" s="35"/>
      <c r="AM58" s="31"/>
      <c r="AN58" s="39"/>
    </row>
    <row r="59" spans="2:41" x14ac:dyDescent="0.2">
      <c r="B59" s="35"/>
      <c r="H59" s="35"/>
      <c r="AM59" s="31"/>
      <c r="AN59" s="50">
        <v>2017</v>
      </c>
      <c r="AO59" s="51">
        <v>2018</v>
      </c>
    </row>
    <row r="60" spans="2:41" x14ac:dyDescent="0.2">
      <c r="B60" s="35"/>
      <c r="H60" s="35"/>
      <c r="AM60" s="32">
        <v>42736</v>
      </c>
      <c r="AN60" s="40">
        <f>G7</f>
        <v>6.4</v>
      </c>
      <c r="AO60" s="6">
        <v>6.6</v>
      </c>
    </row>
    <row r="61" spans="2:41" x14ac:dyDescent="0.2">
      <c r="B61" s="35"/>
      <c r="H61" s="35"/>
      <c r="AM61" s="29" t="s">
        <v>32</v>
      </c>
      <c r="AN61" s="40">
        <f t="shared" ref="AN61:AN71" si="1">G8</f>
        <v>6.4</v>
      </c>
      <c r="AO61" s="6">
        <v>6.4</v>
      </c>
    </row>
    <row r="62" spans="2:41" x14ac:dyDescent="0.2">
      <c r="B62" s="35"/>
      <c r="H62" s="35"/>
      <c r="AM62" s="29" t="s">
        <v>33</v>
      </c>
      <c r="AN62" s="40">
        <f t="shared" si="1"/>
        <v>6.7</v>
      </c>
      <c r="AO62" s="6">
        <v>6.5</v>
      </c>
    </row>
    <row r="63" spans="2:41" x14ac:dyDescent="0.2">
      <c r="B63" s="35"/>
      <c r="H63" s="35"/>
      <c r="AM63" s="29" t="s">
        <v>34</v>
      </c>
      <c r="AN63" s="40">
        <f t="shared" si="1"/>
        <v>6.2</v>
      </c>
      <c r="AO63" s="6">
        <v>6.7</v>
      </c>
    </row>
    <row r="64" spans="2:41" x14ac:dyDescent="0.2">
      <c r="B64" s="35"/>
      <c r="H64" s="35"/>
      <c r="AM64" s="29" t="s">
        <v>21</v>
      </c>
      <c r="AN64" s="40">
        <f t="shared" si="1"/>
        <v>6.4</v>
      </c>
      <c r="AO64" s="6">
        <v>6.9</v>
      </c>
    </row>
    <row r="65" spans="2:41" x14ac:dyDescent="0.2">
      <c r="B65" s="35"/>
      <c r="H65" s="35"/>
      <c r="AM65" s="29" t="s">
        <v>35</v>
      </c>
      <c r="AN65" s="40">
        <f t="shared" si="1"/>
        <v>5.6</v>
      </c>
      <c r="AO65" s="6">
        <v>5.8</v>
      </c>
    </row>
    <row r="66" spans="2:41" x14ac:dyDescent="0.2">
      <c r="B66" s="35"/>
      <c r="H66" s="35"/>
      <c r="AM66" s="29" t="s">
        <v>36</v>
      </c>
      <c r="AN66" s="40">
        <f t="shared" si="1"/>
        <v>6.1</v>
      </c>
      <c r="AO66" s="6">
        <v>6.1</v>
      </c>
    </row>
    <row r="67" spans="2:41" x14ac:dyDescent="0.2">
      <c r="B67" s="35"/>
      <c r="H67" s="35"/>
      <c r="AM67" s="29" t="s">
        <v>37</v>
      </c>
      <c r="AN67" s="40">
        <f t="shared" si="1"/>
        <v>6.2</v>
      </c>
      <c r="AO67" s="6">
        <v>6.6</v>
      </c>
    </row>
    <row r="68" spans="2:41" x14ac:dyDescent="0.2">
      <c r="B68" s="35"/>
      <c r="H68" s="35"/>
      <c r="AM68" s="29" t="s">
        <v>38</v>
      </c>
      <c r="AN68" s="40">
        <f t="shared" si="1"/>
        <v>5.7</v>
      </c>
      <c r="AO68" s="6">
        <v>6</v>
      </c>
    </row>
    <row r="69" spans="2:41" x14ac:dyDescent="0.2">
      <c r="B69" s="35"/>
      <c r="H69" s="35"/>
      <c r="AM69" s="29" t="s">
        <v>39</v>
      </c>
      <c r="AN69" s="40">
        <f t="shared" si="1"/>
        <v>6.2</v>
      </c>
      <c r="AO69" s="6">
        <v>6.4</v>
      </c>
    </row>
    <row r="70" spans="2:41" x14ac:dyDescent="0.2">
      <c r="B70" s="35"/>
      <c r="H70" s="35"/>
      <c r="AM70" s="29" t="s">
        <v>40</v>
      </c>
      <c r="AN70" s="40">
        <f t="shared" si="1"/>
        <v>6.2</v>
      </c>
      <c r="AO70" s="6">
        <v>6.4</v>
      </c>
    </row>
    <row r="71" spans="2:41" x14ac:dyDescent="0.2">
      <c r="B71" s="35"/>
      <c r="H71" s="35"/>
      <c r="AM71" s="29" t="s">
        <v>41</v>
      </c>
      <c r="AN71" s="41">
        <f t="shared" si="1"/>
        <v>6</v>
      </c>
      <c r="AO71" s="6">
        <v>6</v>
      </c>
    </row>
    <row r="72" spans="2:41" x14ac:dyDescent="0.2">
      <c r="B72" s="35"/>
      <c r="H72" s="35"/>
      <c r="AM72" s="42">
        <v>43101</v>
      </c>
      <c r="AN72" s="40">
        <f>M7</f>
        <v>6.6</v>
      </c>
    </row>
    <row r="73" spans="2:41" x14ac:dyDescent="0.2">
      <c r="B73" s="35"/>
      <c r="H73" s="35"/>
      <c r="AM73" s="29" t="s">
        <v>32</v>
      </c>
      <c r="AN73" s="40">
        <f t="shared" ref="AN73:AN83" si="2">M8</f>
        <v>6.4</v>
      </c>
    </row>
    <row r="74" spans="2:41" x14ac:dyDescent="0.2">
      <c r="B74" s="35"/>
      <c r="H74" s="35"/>
      <c r="AM74" s="29" t="s">
        <v>33</v>
      </c>
      <c r="AN74" s="40">
        <f t="shared" si="2"/>
        <v>6.5</v>
      </c>
    </row>
    <row r="75" spans="2:41" x14ac:dyDescent="0.2">
      <c r="B75" s="35"/>
      <c r="H75" s="35"/>
      <c r="AM75" s="29" t="s">
        <v>34</v>
      </c>
      <c r="AN75" s="40">
        <f t="shared" si="2"/>
        <v>6.7</v>
      </c>
    </row>
    <row r="76" spans="2:41" x14ac:dyDescent="0.2">
      <c r="B76" s="35"/>
      <c r="H76" s="35"/>
      <c r="AM76" s="29" t="s">
        <v>21</v>
      </c>
      <c r="AN76" s="40">
        <f t="shared" si="2"/>
        <v>6.9</v>
      </c>
    </row>
    <row r="77" spans="2:41" x14ac:dyDescent="0.2">
      <c r="B77" s="35"/>
      <c r="H77" s="35"/>
      <c r="AM77" s="29" t="s">
        <v>35</v>
      </c>
      <c r="AN77" s="40">
        <f t="shared" si="2"/>
        <v>5.8</v>
      </c>
    </row>
    <row r="78" spans="2:41" x14ac:dyDescent="0.2">
      <c r="B78" s="35"/>
      <c r="H78" s="35"/>
      <c r="AM78" s="29" t="s">
        <v>36</v>
      </c>
      <c r="AN78" s="40">
        <f t="shared" si="2"/>
        <v>6.1</v>
      </c>
    </row>
    <row r="79" spans="2:41" x14ac:dyDescent="0.2">
      <c r="B79" s="35"/>
      <c r="H79" s="35"/>
      <c r="AM79" s="29" t="s">
        <v>37</v>
      </c>
      <c r="AN79" s="40">
        <f t="shared" si="2"/>
        <v>6.6</v>
      </c>
    </row>
    <row r="80" spans="2:41" x14ac:dyDescent="0.2">
      <c r="B80" s="35"/>
      <c r="H80" s="35"/>
      <c r="AM80" s="29" t="s">
        <v>38</v>
      </c>
      <c r="AN80" s="40">
        <f t="shared" si="2"/>
        <v>6</v>
      </c>
    </row>
    <row r="81" spans="39:40" x14ac:dyDescent="0.2">
      <c r="AM81" s="29" t="s">
        <v>39</v>
      </c>
      <c r="AN81" s="40">
        <f t="shared" si="2"/>
        <v>6.4</v>
      </c>
    </row>
    <row r="82" spans="39:40" x14ac:dyDescent="0.2">
      <c r="AM82" s="29" t="s">
        <v>40</v>
      </c>
      <c r="AN82" s="40">
        <f t="shared" si="2"/>
        <v>6.4</v>
      </c>
    </row>
    <row r="83" spans="39:40" x14ac:dyDescent="0.2">
      <c r="AM83" s="29" t="s">
        <v>41</v>
      </c>
      <c r="AN83" s="40">
        <f t="shared" si="2"/>
        <v>6</v>
      </c>
    </row>
  </sheetData>
  <mergeCells count="5">
    <mergeCell ref="A1:M1"/>
    <mergeCell ref="A2:M2"/>
    <mergeCell ref="A3:A5"/>
    <mergeCell ref="B3:G3"/>
    <mergeCell ref="H3:M3"/>
  </mergeCells>
  <pageMargins left="0.7" right="0.7" top="0.75" bottom="0.75" header="0.3" footer="0.3"/>
  <pageSetup paperSize="9" scale="76" orientation="landscape" horizontalDpi="4294967295" verticalDpi="4294967295" r:id="rId1"/>
  <rowBreaks count="1" manualBreakCount="1">
    <brk id="32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2019-04-16T06:15:13Z</cp:lastPrinted>
  <dcterms:created xsi:type="dcterms:W3CDTF">2019-02-27T06:18:18Z</dcterms:created>
  <dcterms:modified xsi:type="dcterms:W3CDTF">2019-04-16T06:15:24Z</dcterms:modified>
</cp:coreProperties>
</file>