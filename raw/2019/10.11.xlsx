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11" sheetId="11" r:id="rId1"/>
  </sheets>
  <definedNames>
    <definedName name="_xlnm.Print_Area" localSheetId="0">'10.11'!$A$1:$O$42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7" i="11" l="1"/>
  <c r="AG28" i="11"/>
  <c r="AR39" i="11" l="1"/>
  <c r="AQ39" i="11"/>
  <c r="AP39" i="11"/>
  <c r="AO39" i="11"/>
  <c r="AN39" i="11"/>
  <c r="AM39" i="11"/>
  <c r="AL39" i="11"/>
  <c r="AK39" i="11"/>
  <c r="AJ39" i="11"/>
  <c r="AI39" i="11"/>
  <c r="AH39" i="11"/>
  <c r="AG39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R37" i="11"/>
  <c r="AQ37" i="11"/>
  <c r="AP37" i="11"/>
  <c r="AO37" i="11"/>
  <c r="AN37" i="11"/>
  <c r="AM37" i="11"/>
  <c r="AL37" i="11"/>
  <c r="AK37" i="11"/>
  <c r="AJ37" i="11"/>
  <c r="AI37" i="11"/>
  <c r="AH37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R28" i="11"/>
  <c r="AQ28" i="11"/>
  <c r="AP28" i="11"/>
  <c r="AO28" i="11"/>
  <c r="AN28" i="11"/>
  <c r="AM28" i="11"/>
  <c r="AL28" i="11"/>
  <c r="AK28" i="11"/>
  <c r="AJ28" i="11"/>
  <c r="AI28" i="11"/>
  <c r="AH28" i="11"/>
  <c r="B20" i="11"/>
  <c r="B19" i="11"/>
  <c r="B18" i="11"/>
  <c r="B17" i="11"/>
  <c r="B16" i="11"/>
  <c r="B15" i="11"/>
  <c r="B14" i="11"/>
  <c r="B13" i="11"/>
  <c r="B12" i="11"/>
  <c r="N11" i="11"/>
  <c r="M11" i="11"/>
  <c r="L11" i="11"/>
  <c r="K11" i="11"/>
  <c r="J11" i="11"/>
  <c r="I11" i="11"/>
  <c r="H11" i="11"/>
  <c r="H4" i="11" s="1"/>
  <c r="G11" i="11"/>
  <c r="F11" i="11"/>
  <c r="E11" i="11"/>
  <c r="D11" i="11"/>
  <c r="C11" i="11"/>
  <c r="B10" i="11"/>
  <c r="B9" i="11"/>
  <c r="B8" i="11"/>
  <c r="B7" i="11"/>
  <c r="B6" i="11"/>
  <c r="N5" i="11"/>
  <c r="N4" i="11" s="1"/>
  <c r="M5" i="11"/>
  <c r="L5" i="11"/>
  <c r="L4" i="11" s="1"/>
  <c r="K5" i="11"/>
  <c r="J5" i="11"/>
  <c r="J4" i="11" s="1"/>
  <c r="I5" i="11"/>
  <c r="H5" i="11"/>
  <c r="G5" i="11"/>
  <c r="G4" i="11" s="1"/>
  <c r="F5" i="11"/>
  <c r="F4" i="11" s="1"/>
  <c r="E5" i="11"/>
  <c r="D5" i="11"/>
  <c r="D4" i="11" s="1"/>
  <c r="C5" i="11"/>
  <c r="I4" i="11"/>
  <c r="B11" i="11" l="1"/>
  <c r="M4" i="11"/>
  <c r="B5" i="11"/>
  <c r="B4" i="11" s="1"/>
  <c r="C4" i="11"/>
  <c r="K4" i="11"/>
  <c r="E4" i="11"/>
</calcChain>
</file>

<file path=xl/sharedStrings.xml><?xml version="1.0" encoding="utf-8"?>
<sst xmlns="http://schemas.openxmlformats.org/spreadsheetml/2006/main" count="88" uniqueCount="68">
  <si>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</si>
  <si>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</si>
  <si>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</si>
  <si>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</si>
  <si>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</si>
  <si>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</si>
  <si>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</si>
  <si>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</si>
  <si>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</si>
  <si>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</si>
  <si>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</si>
  <si>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</si>
  <si>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</si>
  <si>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</si>
  <si>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</si>
  <si>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</si>
  <si>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</si>
  <si>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</si>
  <si>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</si>
  <si>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</si>
  <si>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</si>
  <si>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</si>
  <si>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</si>
  <si>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</si>
  <si>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</si>
  <si>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</si>
  <si>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</si>
  <si>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</si>
  <si>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</si>
  <si>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</si>
  <si>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</si>
  <si>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</si>
  <si>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</si>
  <si>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</si>
  <si>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</si>
  <si>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</si>
  <si>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</si>
  <si>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</si>
  <si>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2018 udwdwA egcnirevurutwf iawaejcaWr cnutogegukwtumuawq uhwmcswmikea : 10.11 ulwvWt</t>
  </si>
  <si>
    <t>Table 10.11 :   MONTHLY DISTRIBUTION OF TOURIST ARRIVALS BY NATIONALITY, 2018</t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</si>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</sst>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11"/>
      <name val="A_Randhoo"/>
    </font>
    <font>
      <b/>
      <sz val="9"/>
      <name val="Arial"/>
      <family val="2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8" fillId="0" borderId="0"/>
    <xf numFmtId="0" fontId="18" fillId="0" borderId="0"/>
    <xf numFmtId="0" fontId="3" fillId="0" borderId="0"/>
  </cellStyleXfs>
  <cellXfs count="44">
    <xf numFmtId="0" fontId="0" fillId="0" borderId="0" xfId="0"/>
    <xf numFmtId="0" fontId="9" fillId="2" borderId="0" xfId="0" applyFont="1" applyFill="1" applyAlignment="1" applyProtection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166" fontId="3" fillId="2" borderId="4" xfId="6" applyNumberFormat="1" applyFont="1" applyFill="1" applyBorder="1" applyAlignment="1">
      <alignment vertical="center"/>
    </xf>
    <xf numFmtId="0" fontId="3" fillId="2" borderId="4" xfId="3" applyFont="1" applyFill="1" applyBorder="1"/>
    <xf numFmtId="0" fontId="4" fillId="2" borderId="2" xfId="3" applyFont="1" applyFill="1" applyBorder="1" applyAlignment="1" applyProtection="1">
      <alignment horizontal="left" vertical="center"/>
    </xf>
    <xf numFmtId="0" fontId="10" fillId="2" borderId="4" xfId="3" applyFont="1" applyFill="1" applyBorder="1" applyAlignment="1">
      <alignment vertical="center"/>
    </xf>
    <xf numFmtId="0" fontId="6" fillId="2" borderId="6" xfId="3" applyFont="1" applyFill="1" applyBorder="1" applyAlignment="1" applyProtection="1">
      <alignment vertical="center"/>
    </xf>
    <xf numFmtId="164" fontId="6" fillId="2" borderId="6" xfId="1" applyNumberFormat="1" applyFont="1" applyFill="1" applyBorder="1" applyAlignment="1" applyProtection="1">
      <alignment horizontal="right" vertical="center"/>
    </xf>
    <xf numFmtId="165" fontId="5" fillId="2" borderId="6" xfId="3" applyNumberFormat="1" applyFont="1" applyFill="1" applyBorder="1" applyAlignment="1">
      <alignment horizontal="right"/>
    </xf>
    <xf numFmtId="0" fontId="20" fillId="2" borderId="5" xfId="3" applyFont="1" applyFill="1" applyBorder="1"/>
    <xf numFmtId="0" fontId="6" fillId="2" borderId="0" xfId="3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horizontal="right" vertical="center"/>
    </xf>
    <xf numFmtId="165" fontId="5" fillId="2" borderId="0" xfId="3" applyNumberFormat="1" applyFont="1" applyFill="1" applyBorder="1" applyAlignment="1">
      <alignment horizontal="right"/>
    </xf>
    <xf numFmtId="164" fontId="20" fillId="2" borderId="0" xfId="3" applyNumberFormat="1" applyFont="1" applyFill="1" applyBorder="1" applyAlignment="1">
      <alignment vertical="center"/>
    </xf>
    <xf numFmtId="0" fontId="20" fillId="2" borderId="0" xfId="3" applyFont="1" applyFill="1" applyBorder="1"/>
    <xf numFmtId="17" fontId="13" fillId="2" borderId="0" xfId="7" applyNumberFormat="1" applyFont="1" applyFill="1" applyBorder="1" applyAlignment="1">
      <alignment horizontal="left" vertical="center" indent="1"/>
    </xf>
    <xf numFmtId="164" fontId="13" fillId="2" borderId="0" xfId="1" applyNumberFormat="1" applyFont="1" applyFill="1" applyBorder="1" applyAlignment="1" applyProtection="1">
      <alignment horizontal="right" vertical="center"/>
    </xf>
    <xf numFmtId="165" fontId="17" fillId="2" borderId="0" xfId="3" applyNumberFormat="1" applyFont="1" applyFill="1" applyBorder="1" applyAlignment="1">
      <alignment horizontal="right"/>
    </xf>
    <xf numFmtId="0" fontId="10" fillId="2" borderId="0" xfId="3" applyFont="1" applyFill="1" applyBorder="1"/>
    <xf numFmtId="0" fontId="10" fillId="2" borderId="0" xfId="3" applyFont="1" applyFill="1" applyBorder="1" applyAlignment="1">
      <alignment vertical="center"/>
    </xf>
    <xf numFmtId="17" fontId="13" fillId="2" borderId="0" xfId="7" applyNumberFormat="1" applyFont="1" applyFill="1" applyBorder="1" applyAlignment="1">
      <alignment horizontal="left" vertical="center" wrapText="1" indent="1"/>
    </xf>
    <xf numFmtId="0" fontId="20" fillId="2" borderId="0" xfId="3" applyFont="1" applyFill="1" applyBorder="1" applyAlignment="1">
      <alignment vertical="center"/>
    </xf>
    <xf numFmtId="0" fontId="6" fillId="2" borderId="1" xfId="3" applyFont="1" applyFill="1" applyBorder="1" applyAlignment="1" applyProtection="1">
      <alignment vertical="center"/>
    </xf>
    <xf numFmtId="164" fontId="6" fillId="2" borderId="1" xfId="1" applyNumberFormat="1" applyFont="1" applyFill="1" applyBorder="1" applyAlignment="1" applyProtection="1">
      <alignment horizontal="right" vertical="center"/>
    </xf>
    <xf numFmtId="0" fontId="15" fillId="2" borderId="1" xfId="3" applyFont="1" applyFill="1" applyBorder="1"/>
    <xf numFmtId="0" fontId="14" fillId="2" borderId="3" xfId="3" applyFont="1" applyFill="1" applyBorder="1" applyAlignment="1" applyProtection="1">
      <alignment horizontal="left" vertical="center"/>
    </xf>
    <xf numFmtId="164" fontId="14" fillId="2" borderId="3" xfId="3" applyNumberFormat="1" applyFont="1" applyFill="1" applyBorder="1" applyAlignment="1" applyProtection="1">
      <alignment horizontal="left" vertical="center"/>
    </xf>
    <xf numFmtId="0" fontId="10" fillId="2" borderId="3" xfId="3" applyFont="1" applyFill="1" applyBorder="1" applyAlignment="1">
      <alignment vertical="center"/>
    </xf>
    <xf numFmtId="0" fontId="10" fillId="2" borderId="3" xfId="3" applyFont="1" applyFill="1" applyBorder="1"/>
    <xf numFmtId="0" fontId="12" fillId="2" borderId="4" xfId="3" applyFont="1" applyFill="1" applyBorder="1" applyAlignment="1" applyProtection="1">
      <alignment horizontal="left" vertical="center"/>
    </xf>
    <xf numFmtId="0" fontId="14" fillId="2" borderId="4" xfId="3" applyFont="1" applyFill="1" applyBorder="1" applyAlignment="1" applyProtection="1">
      <alignment horizontal="left" vertical="center"/>
    </xf>
    <xf numFmtId="164" fontId="14" fillId="2" borderId="4" xfId="3" applyNumberFormat="1" applyFont="1" applyFill="1" applyBorder="1" applyAlignment="1" applyProtection="1">
      <alignment horizontal="left" vertical="center"/>
    </xf>
    <xf numFmtId="0" fontId="10" fillId="2" borderId="4" xfId="3" applyFont="1" applyFill="1" applyBorder="1"/>
    <xf numFmtId="3" fontId="3" fillId="2" borderId="4" xfId="3" applyNumberFormat="1" applyFont="1" applyFill="1" applyBorder="1"/>
    <xf numFmtId="164" fontId="13" fillId="2" borderId="1" xfId="1" applyNumberFormat="1" applyFont="1" applyFill="1" applyBorder="1" applyAlignment="1" applyProtection="1">
      <alignment horizontal="right" vertical="center"/>
    </xf>
    <xf numFmtId="0" fontId="15" fillId="2" borderId="2" xfId="3" applyFont="1" applyFill="1" applyBorder="1" applyAlignment="1" applyProtection="1">
      <alignment horizontal="right" vertical="center" wrapText="1" indent="1"/>
    </xf>
    <xf numFmtId="0" fontId="4" fillId="2" borderId="2" xfId="3" applyFont="1" applyFill="1" applyBorder="1" applyAlignment="1" applyProtection="1">
      <alignment horizontal="right" vertical="center" wrapText="1" indent="1"/>
    </xf>
    <xf numFmtId="0" fontId="7" fillId="2" borderId="0" xfId="2" applyFont="1" applyFill="1" applyBorder="1" applyAlignment="1">
      <alignment horizontal="right" vertical="center" indent="2"/>
    </xf>
    <xf numFmtId="166" fontId="19" fillId="2" borderId="4" xfId="5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 applyProtection="1">
      <alignment horizontal="center" vertical="center"/>
    </xf>
    <xf numFmtId="0" fontId="21" fillId="2" borderId="7" xfId="3" applyFont="1" applyFill="1" applyBorder="1" applyAlignment="1">
      <alignment horizontal="center" vertical="center"/>
    </xf>
    <xf numFmtId="0" fontId="21" fillId="2" borderId="8" xfId="3" applyFont="1" applyFill="1" applyBorder="1" applyAlignment="1">
      <alignment horizontal="center" vertical="center"/>
    </xf>
    <xf numFmtId="0" fontId="21" fillId="2" borderId="9" xfId="3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3"/>
    <cellStyle name="Normal 5 2" xfId="7"/>
    <cellStyle name="Normal_TABLE456" xfId="2"/>
    <cellStyle name="Normal_VIII-8 (Tourism) 2" xfId="5"/>
    <cellStyle name="Normal_VIII-8 (Tourism) 2 3" xfId="6"/>
    <cellStyle name="Percent 2 2" xfId="4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Figure 10.16: Monthly tourist arrivals by European Market, 2018 </a:t>
            </a:r>
          </a:p>
        </c:rich>
      </c:tx>
      <c:layout>
        <c:manualLayout>
          <c:xMode val="edge"/>
          <c:yMode val="edge"/>
          <c:x val="0.1540704428364974"/>
          <c:y val="1.9766625844536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01112793830584E-2"/>
          <c:y val="0.12541884654686802"/>
          <c:w val="0.92917204324923974"/>
          <c:h val="0.71381100569885936"/>
        </c:manualLayout>
      </c:layout>
      <c:lineChart>
        <c:grouping val="standard"/>
        <c:varyColors val="0"/>
        <c:ser>
          <c:idx val="0"/>
          <c:order val="0"/>
          <c:tx>
            <c:strRef>
              <c:f>'10.11'!$AF$28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17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53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'10.11'!$AG$28:$AR$28</c:f>
              <c:numCache>
                <c:formatCode>_(* #,##0_);_(* \(#,##0\);_(* "-"??_);_(@_)</c:formatCode>
                <c:ptCount val="12"/>
                <c:pt idx="0">
                  <c:v>20749</c:v>
                </c:pt>
                <c:pt idx="1">
                  <c:v>17512</c:v>
                </c:pt>
                <c:pt idx="2">
                  <c:v>17786</c:v>
                </c:pt>
                <c:pt idx="3">
                  <c:v>13301</c:v>
                </c:pt>
                <c:pt idx="4">
                  <c:v>7467</c:v>
                </c:pt>
                <c:pt idx="5">
                  <c:v>6422</c:v>
                </c:pt>
                <c:pt idx="6">
                  <c:v>9048</c:v>
                </c:pt>
                <c:pt idx="7">
                  <c:v>8372</c:v>
                </c:pt>
                <c:pt idx="8">
                  <c:v>7359</c:v>
                </c:pt>
                <c:pt idx="9">
                  <c:v>11847</c:v>
                </c:pt>
                <c:pt idx="10">
                  <c:v>13970</c:v>
                </c:pt>
                <c:pt idx="11">
                  <c:v>16818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E0-4361-A491-961597173775}"/>
            </c:ext>
          </c:extLst>
        </c:ser>
        <c:ser>
          <c:idx val="1"/>
          <c:order val="1"/>
          <c:tx>
            <c:strRef>
              <c:f>'10.11'!$AF$29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1750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shade val="76000"/>
                </a:schemeClr>
              </a:solidFill>
              <a:ln>
                <a:noFill/>
                <a:round/>
              </a:ln>
              <a:effectLst/>
            </c:spPr>
          </c:marker>
          <c:dLbls>
            <c:delete val="1"/>
          </c:dLbls>
          <c:cat>
            <c:strRef>
              <c:f>'10.11'!$AG$27:$AR$27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'10.11'!$AG$29:$AR$29</c:f>
              <c:numCache>
                <c:formatCode>_(* #,##0_);_(* \(#,##0\);_(* "-"??_);_(@_)</c:formatCode>
                <c:ptCount val="12"/>
                <c:pt idx="0">
                  <c:v>14669</c:v>
                </c:pt>
                <c:pt idx="1">
                  <c:v>17293</c:v>
                </c:pt>
                <c:pt idx="2">
                  <c:v>16657</c:v>
                </c:pt>
                <c:pt idx="3">
                  <c:v>13278</c:v>
                </c:pt>
                <c:pt idx="4">
                  <c:v>9024</c:v>
                </c:pt>
                <c:pt idx="5">
                  <c:v>8334</c:v>
                </c:pt>
                <c:pt idx="6">
                  <c:v>12516</c:v>
                </c:pt>
                <c:pt idx="7">
                  <c:v>11012</c:v>
                </c:pt>
                <c:pt idx="8">
                  <c:v>9793</c:v>
                </c:pt>
                <c:pt idx="9">
                  <c:v>13963</c:v>
                </c:pt>
                <c:pt idx="10">
                  <c:v>13889</c:v>
                </c:pt>
                <c:pt idx="11">
                  <c:v>16037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E0-4361-A491-961597173775}"/>
            </c:ext>
          </c:extLst>
        </c:ser>
        <c:ser>
          <c:idx val="3"/>
          <c:order val="2"/>
          <c:tx>
            <c:strRef>
              <c:f>'10.11'!$AF$31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  <a:effectLst/>
            </c:spPr>
          </c:marker>
          <c:dPt>
            <c:idx val="9"/>
            <c:marker>
              <c:symbol val="circle"/>
              <c:size val="6"/>
              <c:spPr>
                <a:solidFill>
                  <a:srgbClr val="FFC000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2AC-4507-996C-E5D3974E0BB0}"/>
              </c:ext>
            </c:extLst>
          </c:dPt>
          <c:dLbls>
            <c:delete val="1"/>
          </c:dLbls>
          <c:cat>
            <c:strRef>
              <c:f>'10.11'!$AG$27:$AR$27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'10.11'!$AG$31:$AR$31</c:f>
              <c:numCache>
                <c:formatCode>_(* #,##0_);_(* \(#,##0\);_(* "-"??_);_(@_)</c:formatCode>
                <c:ptCount val="12"/>
                <c:pt idx="0">
                  <c:v>21563</c:v>
                </c:pt>
                <c:pt idx="1">
                  <c:v>26881</c:v>
                </c:pt>
                <c:pt idx="2">
                  <c:v>29439</c:v>
                </c:pt>
                <c:pt idx="3">
                  <c:v>23126</c:v>
                </c:pt>
                <c:pt idx="4">
                  <c:v>16669</c:v>
                </c:pt>
                <c:pt idx="5">
                  <c:v>8458</c:v>
                </c:pt>
                <c:pt idx="6">
                  <c:v>14361</c:v>
                </c:pt>
                <c:pt idx="7">
                  <c:v>14225</c:v>
                </c:pt>
                <c:pt idx="8">
                  <c:v>14819</c:v>
                </c:pt>
                <c:pt idx="9">
                  <c:v>24721</c:v>
                </c:pt>
                <c:pt idx="10">
                  <c:v>23333</c:v>
                </c:pt>
                <c:pt idx="11">
                  <c:v>25132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CE0-4361-A491-961597173775}"/>
            </c:ext>
          </c:extLst>
        </c:ser>
        <c:ser>
          <c:idx val="4"/>
          <c:order val="3"/>
          <c:tx>
            <c:strRef>
              <c:f>'10.11'!$AF$32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tint val="54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'10.11'!$AG$27:$AR$27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'10.11'!$AG$32:$AR$32</c:f>
              <c:numCache>
                <c:formatCode>_(* #,##0_);_(* \(#,##0\);_(* "-"??_);_(@_)</c:formatCode>
                <c:ptCount val="12"/>
                <c:pt idx="0">
                  <c:v>2106</c:v>
                </c:pt>
                <c:pt idx="1">
                  <c:v>1141</c:v>
                </c:pt>
                <c:pt idx="2">
                  <c:v>1266</c:v>
                </c:pt>
                <c:pt idx="3">
                  <c:v>1569</c:v>
                </c:pt>
                <c:pt idx="4">
                  <c:v>978</c:v>
                </c:pt>
                <c:pt idx="5">
                  <c:v>831</c:v>
                </c:pt>
                <c:pt idx="6">
                  <c:v>1823</c:v>
                </c:pt>
                <c:pt idx="7">
                  <c:v>2092</c:v>
                </c:pt>
                <c:pt idx="8">
                  <c:v>2699</c:v>
                </c:pt>
                <c:pt idx="9">
                  <c:v>1255</c:v>
                </c:pt>
                <c:pt idx="10">
                  <c:v>1016</c:v>
                </c:pt>
                <c:pt idx="11">
                  <c:v>1814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CE0-4361-A491-9615971737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8298864"/>
        <c:axId val="378299424"/>
      </c:lineChart>
      <c:catAx>
        <c:axId val="3782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99424"/>
        <c:crosses val="autoZero"/>
        <c:auto val="1"/>
        <c:lblAlgn val="ctr"/>
        <c:lblOffset val="100"/>
        <c:noMultiLvlLbl val="0"/>
      </c:catAx>
      <c:valAx>
        <c:axId val="378299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359569036523E-3"/>
              <c:y val="0.40111785760160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378298864"/>
        <c:crosses val="autoZero"/>
        <c:crossBetween val="between"/>
      </c:valAx>
      <c:spPr>
        <a:solidFill>
          <a:srgbClr val="FFFFEB"/>
        </a:solidFill>
        <a:ln>
          <a:solidFill>
            <a:schemeClr val="accent3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5262622253779952E-2"/>
          <c:y val="0.14724139640024117"/>
          <c:w val="0.85109717838589038"/>
          <c:h val="5.7281371904870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Asian Market, 2018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41202943067361E-2"/>
          <c:y val="0.15455177091432448"/>
          <c:w val="0.92329541395813985"/>
          <c:h val="0.68324469111702979"/>
        </c:manualLayout>
      </c:layout>
      <c:lineChart>
        <c:grouping val="standard"/>
        <c:varyColors val="0"/>
        <c:ser>
          <c:idx val="0"/>
          <c:order val="0"/>
          <c:tx>
            <c:strRef>
              <c:f>'10.11'!$AF$37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17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'10.11'!$AG$37:$AR$37</c:f>
              <c:numCache>
                <c:formatCode>_(* #,##0_);_(* \(#,##0\);_(* "-"??_);_(@_)</c:formatCode>
                <c:ptCount val="12"/>
                <c:pt idx="0">
                  <c:v>32934</c:v>
                </c:pt>
                <c:pt idx="1">
                  <c:v>40522</c:v>
                </c:pt>
                <c:pt idx="2">
                  <c:v>20734</c:v>
                </c:pt>
                <c:pt idx="3">
                  <c:v>22846</c:v>
                </c:pt>
                <c:pt idx="4">
                  <c:v>22673</c:v>
                </c:pt>
                <c:pt idx="5">
                  <c:v>29047</c:v>
                </c:pt>
                <c:pt idx="6">
                  <c:v>39940</c:v>
                </c:pt>
                <c:pt idx="7">
                  <c:v>41066</c:v>
                </c:pt>
                <c:pt idx="8">
                  <c:v>35591</c:v>
                </c:pt>
                <c:pt idx="9">
                  <c:v>34122</c:v>
                </c:pt>
                <c:pt idx="10">
                  <c:v>27433</c:v>
                </c:pt>
                <c:pt idx="11">
                  <c:v>25540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C-4151-AFAD-DE53B653C804}"/>
            </c:ext>
          </c:extLst>
        </c:ser>
        <c:ser>
          <c:idx val="1"/>
          <c:order val="1"/>
          <c:tx>
            <c:strRef>
              <c:f>'10.11'!$AF$38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17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'10.11'!$AG$38:$AR$38</c:f>
              <c:numCache>
                <c:formatCode>_(* #,##0_);_(* \(#,##0\);_(* "-"??_);_(@_)</c:formatCode>
                <c:ptCount val="12"/>
                <c:pt idx="0">
                  <c:v>5295</c:v>
                </c:pt>
                <c:pt idx="1">
                  <c:v>5184</c:v>
                </c:pt>
                <c:pt idx="2">
                  <c:v>8457</c:v>
                </c:pt>
                <c:pt idx="3">
                  <c:v>9617</c:v>
                </c:pt>
                <c:pt idx="4">
                  <c:v>9488</c:v>
                </c:pt>
                <c:pt idx="5">
                  <c:v>11133</c:v>
                </c:pt>
                <c:pt idx="6">
                  <c:v>9256</c:v>
                </c:pt>
                <c:pt idx="7">
                  <c:v>6888</c:v>
                </c:pt>
                <c:pt idx="8">
                  <c:v>6463</c:v>
                </c:pt>
                <c:pt idx="9">
                  <c:v>7102</c:v>
                </c:pt>
                <c:pt idx="10">
                  <c:v>6435</c:v>
                </c:pt>
                <c:pt idx="11">
                  <c:v>8080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C-4151-AFAD-DE53B653C804}"/>
            </c:ext>
          </c:extLst>
        </c:ser>
        <c:ser>
          <c:idx val="2"/>
          <c:order val="2"/>
          <c:tx>
            <c:strRef>
              <c:f>'10.11'!$AF$39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'10.11'!$AG$36:$AR$36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'10.11'!$AG$39:$AR$39</c:f>
              <c:numCache>
                <c:formatCode>_(* #,##0_);_(* \(#,##0\);_(* "-"??_);_(@_)</c:formatCode>
                <c:ptCount val="12"/>
                <c:pt idx="0">
                  <c:v>10901</c:v>
                </c:pt>
                <c:pt idx="1">
                  <c:v>7621</c:v>
                </c:pt>
                <c:pt idx="2">
                  <c:v>7145</c:v>
                </c:pt>
                <c:pt idx="3">
                  <c:v>8080</c:v>
                </c:pt>
                <c:pt idx="4">
                  <c:v>10223</c:v>
                </c:pt>
                <c:pt idx="5">
                  <c:v>9483</c:v>
                </c:pt>
                <c:pt idx="6">
                  <c:v>8156</c:v>
                </c:pt>
                <c:pt idx="7">
                  <c:v>6856</c:v>
                </c:pt>
                <c:pt idx="8">
                  <c:v>6896</c:v>
                </c:pt>
                <c:pt idx="9">
                  <c:v>9679</c:v>
                </c:pt>
                <c:pt idx="10">
                  <c:v>13086</c:v>
                </c:pt>
                <c:pt idx="11">
                  <c:v>16956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C-4151-AFAD-DE53B653C8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7532384"/>
        <c:axId val="357532944"/>
      </c:lineChart>
      <c:catAx>
        <c:axId val="3575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32944"/>
        <c:crosses val="autoZero"/>
        <c:auto val="1"/>
        <c:lblAlgn val="ctr"/>
        <c:lblOffset val="100"/>
        <c:noMultiLvlLbl val="0"/>
      </c:catAx>
      <c:valAx>
        <c:axId val="357532944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357532384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256419474125847"/>
          <c:y val="0.54096497322812065"/>
          <c:w val="0.50029228717076191"/>
          <c:h val="7.3822694500447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142873</xdr:rowOff>
    </xdr:from>
    <xdr:to>
      <xdr:col>6</xdr:col>
      <xdr:colOff>373277</xdr:colOff>
      <xdr:row>40</xdr:row>
      <xdr:rowOff>155182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41</xdr:row>
      <xdr:rowOff>0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9"/>
  <sheetViews>
    <sheetView tabSelected="1" zoomScaleNormal="100" workbookViewId="0">
      <selection activeCell="H41" sqref="H41"/>
    </sheetView>
  </sheetViews>
  <sheetFormatPr defaultColWidth="9.140625" defaultRowHeight="12.75" x14ac:dyDescent="0.2"/>
  <cols>
    <col min="1" max="1" width="24.42578125" style="4" customWidth="1"/>
    <col min="2" max="3" width="10.7109375" style="4" customWidth="1"/>
    <col min="4" max="4" width="10.28515625" style="4" customWidth="1"/>
    <col min="5" max="5" width="10.5703125" style="4" customWidth="1"/>
    <col min="6" max="6" width="10.28515625" style="4" customWidth="1"/>
    <col min="7" max="7" width="9.5703125" style="4" customWidth="1"/>
    <col min="8" max="8" width="9.140625" style="4" customWidth="1"/>
    <col min="9" max="9" width="9.28515625" style="4" customWidth="1"/>
    <col min="10" max="10" width="8.7109375" style="4" customWidth="1"/>
    <col min="11" max="11" width="9.42578125" style="4" customWidth="1"/>
    <col min="12" max="12" width="8.7109375" style="4" customWidth="1"/>
    <col min="13" max="13" width="9" style="4" customWidth="1"/>
    <col min="14" max="14" width="9.5703125" style="4" customWidth="1"/>
    <col min="15" max="15" width="21.5703125" style="4" customWidth="1"/>
    <col min="16" max="26" width="9.140625" style="4"/>
    <col min="27" max="29" width="9.42578125" style="4" customWidth="1"/>
    <col min="30" max="31" width="9.140625" style="4"/>
    <col min="32" max="32" width="13.7109375" style="4" customWidth="1"/>
    <col min="33" max="16384" width="9.140625" style="4"/>
  </cols>
  <sheetData>
    <row r="1" spans="1:44" s="3" customFormat="1" ht="19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44" ht="16.5" customHeight="1" x14ac:dyDescent="0.2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44" s="6" customFormat="1" ht="29.25" customHeight="1" x14ac:dyDescent="0.25">
      <c r="A3" s="5" t="s">
        <v>40</v>
      </c>
      <c r="B3" s="37" t="s">
        <v>25</v>
      </c>
      <c r="C3" s="37" t="s">
        <v>26</v>
      </c>
      <c r="D3" s="37" t="s">
        <v>27</v>
      </c>
      <c r="E3" s="37" t="s">
        <v>28</v>
      </c>
      <c r="F3" s="37" t="s">
        <v>29</v>
      </c>
      <c r="G3" s="37" t="s">
        <v>30</v>
      </c>
      <c r="H3" s="37" t="s">
        <v>31</v>
      </c>
      <c r="I3" s="37" t="s">
        <v>32</v>
      </c>
      <c r="J3" s="37" t="s">
        <v>33</v>
      </c>
      <c r="K3" s="37" t="s">
        <v>34</v>
      </c>
      <c r="L3" s="37" t="s">
        <v>35</v>
      </c>
      <c r="M3" s="37" t="s">
        <v>36</v>
      </c>
      <c r="N3" s="37" t="s">
        <v>37</v>
      </c>
      <c r="O3" s="36" t="s">
        <v>41</v>
      </c>
    </row>
    <row r="4" spans="1:44" s="10" customFormat="1" ht="17.25" customHeight="1" x14ac:dyDescent="0.5">
      <c r="A4" s="7" t="s">
        <v>0</v>
      </c>
      <c r="B4" s="8">
        <f>B5+B11+B15+B16+B17+B18+B19+B20</f>
        <v>1484274</v>
      </c>
      <c r="C4" s="8">
        <f t="shared" ref="C4:N4" si="0">C5+C11+C15+C16+C17+C18+C19+C20</f>
        <v>142351</v>
      </c>
      <c r="D4" s="8">
        <f t="shared" si="0"/>
        <v>144286</v>
      </c>
      <c r="E4" s="8">
        <f t="shared" si="0"/>
        <v>133466</v>
      </c>
      <c r="F4" s="8">
        <f t="shared" si="0"/>
        <v>119713</v>
      </c>
      <c r="G4" s="8">
        <f t="shared" si="0"/>
        <v>92913</v>
      </c>
      <c r="H4" s="8">
        <f t="shared" si="0"/>
        <v>93786</v>
      </c>
      <c r="I4" s="8">
        <f t="shared" si="0"/>
        <v>122332</v>
      </c>
      <c r="J4" s="8">
        <f t="shared" si="0"/>
        <v>123992</v>
      </c>
      <c r="K4" s="8">
        <f t="shared" si="0"/>
        <v>107620</v>
      </c>
      <c r="L4" s="8">
        <f t="shared" si="0"/>
        <v>127393</v>
      </c>
      <c r="M4" s="8">
        <f t="shared" si="0"/>
        <v>125604</v>
      </c>
      <c r="N4" s="8">
        <f t="shared" si="0"/>
        <v>150818</v>
      </c>
      <c r="O4" s="9" t="s">
        <v>1</v>
      </c>
    </row>
    <row r="5" spans="1:44" s="15" customFormat="1" ht="19.5" customHeight="1" x14ac:dyDescent="0.5">
      <c r="A5" s="11" t="s">
        <v>2</v>
      </c>
      <c r="B5" s="12">
        <f t="shared" ref="B5:N5" si="1">SUM(B6:B10)</f>
        <v>726420</v>
      </c>
      <c r="C5" s="12">
        <f>SUM(C6:C10)</f>
        <v>76603</v>
      </c>
      <c r="D5" s="12">
        <f t="shared" si="1"/>
        <v>79710</v>
      </c>
      <c r="E5" s="12">
        <f t="shared" si="1"/>
        <v>82383</v>
      </c>
      <c r="F5" s="12">
        <f t="shared" si="1"/>
        <v>62871</v>
      </c>
      <c r="G5" s="12">
        <f t="shared" si="1"/>
        <v>40056</v>
      </c>
      <c r="H5" s="12">
        <f t="shared" si="1"/>
        <v>30774</v>
      </c>
      <c r="I5" s="12">
        <f t="shared" si="1"/>
        <v>47603</v>
      </c>
      <c r="J5" s="12">
        <f t="shared" si="1"/>
        <v>52488</v>
      </c>
      <c r="K5" s="12">
        <f t="shared" si="1"/>
        <v>44008</v>
      </c>
      <c r="L5" s="12">
        <f t="shared" si="1"/>
        <v>62962</v>
      </c>
      <c r="M5" s="12">
        <f t="shared" si="1"/>
        <v>64207</v>
      </c>
      <c r="N5" s="12">
        <f t="shared" si="1"/>
        <v>82755</v>
      </c>
      <c r="O5" s="13" t="s">
        <v>3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44" s="19" customFormat="1" ht="19.5" customHeight="1" x14ac:dyDescent="0.5">
      <c r="A6" s="16" t="s">
        <v>42</v>
      </c>
      <c r="B6" s="17">
        <f t="shared" ref="B6:B18" si="2">SUM(C6:N6)</f>
        <v>150651</v>
      </c>
      <c r="C6" s="17">
        <v>20749</v>
      </c>
      <c r="D6" s="17">
        <v>17512</v>
      </c>
      <c r="E6" s="17">
        <v>17786</v>
      </c>
      <c r="F6" s="17">
        <v>13301</v>
      </c>
      <c r="G6" s="17">
        <v>7467</v>
      </c>
      <c r="H6" s="17">
        <v>6422</v>
      </c>
      <c r="I6" s="17">
        <v>9048</v>
      </c>
      <c r="J6" s="17">
        <v>8372</v>
      </c>
      <c r="K6" s="17">
        <v>7359</v>
      </c>
      <c r="L6" s="17">
        <v>11847</v>
      </c>
      <c r="M6" s="17">
        <v>13970</v>
      </c>
      <c r="N6" s="17">
        <v>16818</v>
      </c>
      <c r="O6" s="18" t="s">
        <v>43</v>
      </c>
    </row>
    <row r="7" spans="1:44" s="19" customFormat="1" ht="19.5" customHeight="1" x14ac:dyDescent="0.5">
      <c r="A7" s="16" t="s">
        <v>44</v>
      </c>
      <c r="B7" s="17">
        <f t="shared" si="2"/>
        <v>156465</v>
      </c>
      <c r="C7" s="17">
        <v>14669</v>
      </c>
      <c r="D7" s="17">
        <v>17293</v>
      </c>
      <c r="E7" s="17">
        <v>16657</v>
      </c>
      <c r="F7" s="17">
        <v>13278</v>
      </c>
      <c r="G7" s="17">
        <v>9024</v>
      </c>
      <c r="H7" s="17">
        <v>8334</v>
      </c>
      <c r="I7" s="17">
        <v>12516</v>
      </c>
      <c r="J7" s="17">
        <v>11012</v>
      </c>
      <c r="K7" s="17">
        <v>9793</v>
      </c>
      <c r="L7" s="17">
        <v>13963</v>
      </c>
      <c r="M7" s="17">
        <v>13889</v>
      </c>
      <c r="N7" s="17">
        <v>16037</v>
      </c>
      <c r="O7" s="18" t="s">
        <v>45</v>
      </c>
    </row>
    <row r="8" spans="1:44" s="19" customFormat="1" ht="19.5" customHeight="1" x14ac:dyDescent="0.5">
      <c r="A8" s="16" t="s">
        <v>46</v>
      </c>
      <c r="B8" s="17">
        <f t="shared" si="2"/>
        <v>157987</v>
      </c>
      <c r="C8" s="17">
        <v>17516</v>
      </c>
      <c r="D8" s="17">
        <v>16883</v>
      </c>
      <c r="E8" s="17">
        <v>17235</v>
      </c>
      <c r="F8" s="17">
        <v>11597</v>
      </c>
      <c r="G8" s="17">
        <v>5918</v>
      </c>
      <c r="H8" s="17">
        <v>6729</v>
      </c>
      <c r="I8" s="17">
        <v>9855</v>
      </c>
      <c r="J8" s="17">
        <v>16787</v>
      </c>
      <c r="K8" s="17">
        <v>9338</v>
      </c>
      <c r="L8" s="17">
        <v>11176</v>
      </c>
      <c r="M8" s="17">
        <v>11999</v>
      </c>
      <c r="N8" s="17">
        <v>22954</v>
      </c>
      <c r="O8" s="18" t="s">
        <v>47</v>
      </c>
    </row>
    <row r="9" spans="1:44" s="19" customFormat="1" ht="19.5" customHeight="1" x14ac:dyDescent="0.5">
      <c r="A9" s="16" t="s">
        <v>48</v>
      </c>
      <c r="B9" s="17">
        <f t="shared" si="2"/>
        <v>242727</v>
      </c>
      <c r="C9" s="17">
        <v>21563</v>
      </c>
      <c r="D9" s="17">
        <v>26881</v>
      </c>
      <c r="E9" s="17">
        <v>29439</v>
      </c>
      <c r="F9" s="17">
        <v>23126</v>
      </c>
      <c r="G9" s="17">
        <v>16669</v>
      </c>
      <c r="H9" s="17">
        <v>8458</v>
      </c>
      <c r="I9" s="17">
        <v>14361</v>
      </c>
      <c r="J9" s="17">
        <v>14225</v>
      </c>
      <c r="K9" s="17">
        <v>14819</v>
      </c>
      <c r="L9" s="17">
        <v>24721</v>
      </c>
      <c r="M9" s="17">
        <v>23333</v>
      </c>
      <c r="N9" s="17">
        <v>25132</v>
      </c>
      <c r="O9" s="18" t="s">
        <v>49</v>
      </c>
      <c r="P9" s="20"/>
    </row>
    <row r="10" spans="1:44" s="19" customFormat="1" ht="19.5" customHeight="1" x14ac:dyDescent="0.5">
      <c r="A10" s="21" t="s">
        <v>50</v>
      </c>
      <c r="B10" s="17">
        <f t="shared" si="2"/>
        <v>18590</v>
      </c>
      <c r="C10" s="17">
        <v>2106</v>
      </c>
      <c r="D10" s="17">
        <v>1141</v>
      </c>
      <c r="E10" s="17">
        <v>1266</v>
      </c>
      <c r="F10" s="17">
        <v>1569</v>
      </c>
      <c r="G10" s="17">
        <v>978</v>
      </c>
      <c r="H10" s="17">
        <v>831</v>
      </c>
      <c r="I10" s="17">
        <v>1823</v>
      </c>
      <c r="J10" s="17">
        <v>2092</v>
      </c>
      <c r="K10" s="17">
        <v>2699</v>
      </c>
      <c r="L10" s="17">
        <v>1255</v>
      </c>
      <c r="M10" s="17">
        <v>1016</v>
      </c>
      <c r="N10" s="17">
        <v>1814</v>
      </c>
      <c r="O10" s="18" t="s">
        <v>51</v>
      </c>
      <c r="P10" s="20"/>
    </row>
    <row r="11" spans="1:44" s="15" customFormat="1" ht="19.5" customHeight="1" x14ac:dyDescent="0.5">
      <c r="A11" s="11" t="s">
        <v>4</v>
      </c>
      <c r="B11" s="12">
        <f t="shared" si="2"/>
        <v>580928</v>
      </c>
      <c r="C11" s="12">
        <f>SUM(C12:C14)</f>
        <v>49130</v>
      </c>
      <c r="D11" s="12">
        <f>SUM(D12:D14)</f>
        <v>53327</v>
      </c>
      <c r="E11" s="12">
        <f t="shared" ref="E11:N11" si="3">SUM(E12:E14)</f>
        <v>36336</v>
      </c>
      <c r="F11" s="12">
        <f t="shared" si="3"/>
        <v>40543</v>
      </c>
      <c r="G11" s="12">
        <f t="shared" si="3"/>
        <v>42384</v>
      </c>
      <c r="H11" s="12">
        <f t="shared" si="3"/>
        <v>49663</v>
      </c>
      <c r="I11" s="12">
        <f t="shared" si="3"/>
        <v>57352</v>
      </c>
      <c r="J11" s="12">
        <f t="shared" si="3"/>
        <v>54810</v>
      </c>
      <c r="K11" s="12">
        <f t="shared" si="3"/>
        <v>48950</v>
      </c>
      <c r="L11" s="12">
        <f t="shared" si="3"/>
        <v>50903</v>
      </c>
      <c r="M11" s="12">
        <f t="shared" si="3"/>
        <v>46954</v>
      </c>
      <c r="N11" s="12">
        <f t="shared" si="3"/>
        <v>50576</v>
      </c>
      <c r="O11" s="13" t="s">
        <v>5</v>
      </c>
      <c r="P11" s="22"/>
    </row>
    <row r="12" spans="1:44" s="19" customFormat="1" ht="19.5" customHeight="1" x14ac:dyDescent="0.5">
      <c r="A12" s="16" t="s">
        <v>52</v>
      </c>
      <c r="B12" s="17">
        <f t="shared" si="2"/>
        <v>372448</v>
      </c>
      <c r="C12" s="17">
        <v>32934</v>
      </c>
      <c r="D12" s="17">
        <v>40522</v>
      </c>
      <c r="E12" s="17">
        <v>20734</v>
      </c>
      <c r="F12" s="17">
        <v>22846</v>
      </c>
      <c r="G12" s="17">
        <v>22673</v>
      </c>
      <c r="H12" s="17">
        <v>29047</v>
      </c>
      <c r="I12" s="17">
        <v>39940</v>
      </c>
      <c r="J12" s="17">
        <v>41066</v>
      </c>
      <c r="K12" s="17">
        <v>35591</v>
      </c>
      <c r="L12" s="17">
        <v>34122</v>
      </c>
      <c r="M12" s="17">
        <v>27433</v>
      </c>
      <c r="N12" s="17">
        <v>25540</v>
      </c>
      <c r="O12" s="18" t="s">
        <v>53</v>
      </c>
    </row>
    <row r="13" spans="1:44" s="19" customFormat="1" ht="19.5" customHeight="1" x14ac:dyDescent="0.5">
      <c r="A13" s="16" t="s">
        <v>54</v>
      </c>
      <c r="B13" s="17">
        <f t="shared" si="2"/>
        <v>93398</v>
      </c>
      <c r="C13" s="17">
        <v>5295</v>
      </c>
      <c r="D13" s="17">
        <v>5184</v>
      </c>
      <c r="E13" s="17">
        <v>8457</v>
      </c>
      <c r="F13" s="17">
        <v>9617</v>
      </c>
      <c r="G13" s="17">
        <v>9488</v>
      </c>
      <c r="H13" s="17">
        <v>11133</v>
      </c>
      <c r="I13" s="17">
        <v>9256</v>
      </c>
      <c r="J13" s="17">
        <v>6888</v>
      </c>
      <c r="K13" s="17">
        <v>6463</v>
      </c>
      <c r="L13" s="17">
        <v>7102</v>
      </c>
      <c r="M13" s="17">
        <v>6435</v>
      </c>
      <c r="N13" s="17">
        <v>8080</v>
      </c>
      <c r="O13" s="18" t="s">
        <v>55</v>
      </c>
    </row>
    <row r="14" spans="1:44" s="19" customFormat="1" ht="19.5" customHeight="1" x14ac:dyDescent="0.5">
      <c r="A14" s="16" t="s">
        <v>56</v>
      </c>
      <c r="B14" s="17">
        <f t="shared" si="2"/>
        <v>115082</v>
      </c>
      <c r="C14" s="17">
        <v>10901</v>
      </c>
      <c r="D14" s="17">
        <v>7621</v>
      </c>
      <c r="E14" s="17">
        <v>7145</v>
      </c>
      <c r="F14" s="17">
        <v>8080</v>
      </c>
      <c r="G14" s="17">
        <v>10223</v>
      </c>
      <c r="H14" s="17">
        <v>9483</v>
      </c>
      <c r="I14" s="17">
        <v>8156</v>
      </c>
      <c r="J14" s="17">
        <v>6856</v>
      </c>
      <c r="K14" s="17">
        <v>6896</v>
      </c>
      <c r="L14" s="17">
        <v>9679</v>
      </c>
      <c r="M14" s="17">
        <v>13086</v>
      </c>
      <c r="N14" s="17">
        <v>16956</v>
      </c>
      <c r="O14" s="18" t="s">
        <v>57</v>
      </c>
      <c r="P14" s="20"/>
    </row>
    <row r="15" spans="1:44" s="15" customFormat="1" ht="19.5" customHeight="1" x14ac:dyDescent="0.5">
      <c r="A15" s="11" t="s">
        <v>8</v>
      </c>
      <c r="B15" s="12">
        <f t="shared" si="2"/>
        <v>40510</v>
      </c>
      <c r="C15" s="12">
        <v>3395</v>
      </c>
      <c r="D15" s="12">
        <v>2021</v>
      </c>
      <c r="E15" s="12">
        <v>3257</v>
      </c>
      <c r="F15" s="12">
        <v>4516</v>
      </c>
      <c r="G15" s="12">
        <v>2907</v>
      </c>
      <c r="H15" s="12">
        <v>2986</v>
      </c>
      <c r="I15" s="12">
        <v>3957</v>
      </c>
      <c r="J15" s="12">
        <v>3017</v>
      </c>
      <c r="K15" s="12">
        <v>4200</v>
      </c>
      <c r="L15" s="12">
        <v>4068</v>
      </c>
      <c r="M15" s="12">
        <v>3215</v>
      </c>
      <c r="N15" s="12">
        <v>2971</v>
      </c>
      <c r="O15" s="13" t="s">
        <v>7</v>
      </c>
      <c r="P15" s="22"/>
      <c r="AF15" s="11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 s="15" customFormat="1" ht="19.5" customHeight="1" x14ac:dyDescent="0.5">
      <c r="A16" s="11" t="s">
        <v>6</v>
      </c>
      <c r="B16" s="12">
        <f t="shared" si="2"/>
        <v>15355</v>
      </c>
      <c r="C16" s="12">
        <v>1057</v>
      </c>
      <c r="D16" s="12">
        <v>708</v>
      </c>
      <c r="E16" s="12">
        <v>1115</v>
      </c>
      <c r="F16" s="12">
        <v>1356</v>
      </c>
      <c r="G16" s="12">
        <v>859</v>
      </c>
      <c r="H16" s="12">
        <v>1101</v>
      </c>
      <c r="I16" s="12">
        <v>1595</v>
      </c>
      <c r="J16" s="12">
        <v>1649</v>
      </c>
      <c r="K16" s="12">
        <v>1449</v>
      </c>
      <c r="L16" s="12">
        <v>1156</v>
      </c>
      <c r="M16" s="12">
        <v>949</v>
      </c>
      <c r="N16" s="12">
        <v>2361</v>
      </c>
      <c r="O16" s="13" t="s">
        <v>58</v>
      </c>
      <c r="AF16" s="16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s="15" customFormat="1" ht="19.5" customHeight="1" x14ac:dyDescent="0.5">
      <c r="A17" s="11" t="s">
        <v>59</v>
      </c>
      <c r="B17" s="12">
        <f t="shared" si="2"/>
        <v>68763</v>
      </c>
      <c r="C17" s="12">
        <v>6581</v>
      </c>
      <c r="D17" s="12">
        <v>5780</v>
      </c>
      <c r="E17" s="12">
        <v>6746</v>
      </c>
      <c r="F17" s="12">
        <v>5813</v>
      </c>
      <c r="G17" s="12">
        <v>4630</v>
      </c>
      <c r="H17" s="12">
        <v>4683</v>
      </c>
      <c r="I17" s="12">
        <v>5117</v>
      </c>
      <c r="J17" s="12">
        <v>4594</v>
      </c>
      <c r="K17" s="12">
        <v>5055</v>
      </c>
      <c r="L17" s="12">
        <v>5314</v>
      </c>
      <c r="M17" s="12">
        <v>6830</v>
      </c>
      <c r="N17" s="12">
        <v>7620</v>
      </c>
      <c r="O17" s="13" t="s">
        <v>60</v>
      </c>
      <c r="P17" s="22"/>
      <c r="AF17" s="16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s="15" customFormat="1" ht="19.5" customHeight="1" x14ac:dyDescent="0.5">
      <c r="A18" s="11" t="s">
        <v>9</v>
      </c>
      <c r="B18" s="12">
        <f t="shared" si="2"/>
        <v>52114</v>
      </c>
      <c r="C18" s="12">
        <v>5567</v>
      </c>
      <c r="D18" s="12">
        <v>2723</v>
      </c>
      <c r="E18" s="12">
        <v>3608</v>
      </c>
      <c r="F18" s="12">
        <v>4599</v>
      </c>
      <c r="G18" s="12">
        <v>2067</v>
      </c>
      <c r="H18" s="12">
        <v>4566</v>
      </c>
      <c r="I18" s="12">
        <v>6693</v>
      </c>
      <c r="J18" s="12">
        <v>7417</v>
      </c>
      <c r="K18" s="12">
        <v>3946</v>
      </c>
      <c r="L18" s="12">
        <v>2982</v>
      </c>
      <c r="M18" s="12">
        <v>3429</v>
      </c>
      <c r="N18" s="12">
        <v>4517</v>
      </c>
      <c r="O18" s="13" t="s">
        <v>61</v>
      </c>
      <c r="P18" s="22"/>
      <c r="AF18" s="16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s="15" customFormat="1" ht="19.5" customHeight="1" x14ac:dyDescent="0.2">
      <c r="A19" s="11" t="s">
        <v>62</v>
      </c>
      <c r="B19" s="12">
        <f>SUM(C19:N19)</f>
        <v>63</v>
      </c>
      <c r="C19" s="12">
        <v>3</v>
      </c>
      <c r="D19" s="12">
        <v>6</v>
      </c>
      <c r="E19" s="12">
        <v>9</v>
      </c>
      <c r="F19" s="12">
        <v>1</v>
      </c>
      <c r="G19" s="12">
        <v>3</v>
      </c>
      <c r="H19" s="12">
        <v>0</v>
      </c>
      <c r="I19" s="12">
        <v>3</v>
      </c>
      <c r="J19" s="12">
        <v>13</v>
      </c>
      <c r="K19" s="17">
        <v>10</v>
      </c>
      <c r="L19" s="17">
        <v>1</v>
      </c>
      <c r="M19" s="17">
        <v>1</v>
      </c>
      <c r="N19" s="17">
        <v>13</v>
      </c>
      <c r="O19" s="38" t="s">
        <v>10</v>
      </c>
      <c r="P19" s="22"/>
      <c r="AF19" s="16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s="15" customFormat="1" ht="19.5" customHeight="1" x14ac:dyDescent="0.45">
      <c r="A20" s="23" t="s">
        <v>63</v>
      </c>
      <c r="B20" s="24">
        <f>SUM(C20:N20)</f>
        <v>121</v>
      </c>
      <c r="C20" s="24">
        <v>15</v>
      </c>
      <c r="D20" s="24">
        <v>11</v>
      </c>
      <c r="E20" s="24">
        <v>12</v>
      </c>
      <c r="F20" s="24">
        <v>14</v>
      </c>
      <c r="G20" s="24">
        <v>7</v>
      </c>
      <c r="H20" s="24">
        <v>13</v>
      </c>
      <c r="I20" s="24">
        <v>12</v>
      </c>
      <c r="J20" s="24">
        <v>4</v>
      </c>
      <c r="K20" s="35">
        <v>2</v>
      </c>
      <c r="L20" s="35">
        <v>7</v>
      </c>
      <c r="M20" s="35">
        <v>19</v>
      </c>
      <c r="N20" s="35">
        <v>5</v>
      </c>
      <c r="O20" s="25" t="s">
        <v>64</v>
      </c>
      <c r="P20" s="22"/>
      <c r="AF20" s="16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 spans="1:44" s="29" customFormat="1" ht="15.75" customHeight="1" x14ac:dyDescent="0.2">
      <c r="A21" s="1" t="s">
        <v>11</v>
      </c>
      <c r="B21" s="26"/>
      <c r="C21" s="27"/>
      <c r="D21" s="26" t="s">
        <v>65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" t="s">
        <v>13</v>
      </c>
      <c r="P21" s="28"/>
      <c r="AF21" s="16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</row>
    <row r="22" spans="1:44" s="33" customFormat="1" ht="13.5" customHeight="1" x14ac:dyDescent="0.2">
      <c r="A22" s="30" t="s">
        <v>66</v>
      </c>
      <c r="B22" s="31"/>
      <c r="C22" s="32"/>
      <c r="D22" s="31"/>
      <c r="E22" s="31"/>
      <c r="F22" s="31"/>
      <c r="G22" s="31"/>
      <c r="H22" s="31"/>
      <c r="I22" s="31"/>
      <c r="J22" s="31"/>
      <c r="K22" s="31"/>
      <c r="L22" s="31"/>
      <c r="M22" s="41" t="s">
        <v>67</v>
      </c>
      <c r="N22" s="42"/>
      <c r="O22" s="43"/>
      <c r="AF22" s="21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 spans="1:44" x14ac:dyDescent="0.2"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44" x14ac:dyDescent="0.2"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7" spans="1:44" x14ac:dyDescent="0.2">
      <c r="AF27" s="11"/>
      <c r="AG27" s="4" t="s">
        <v>14</v>
      </c>
      <c r="AH27" s="4" t="s">
        <v>15</v>
      </c>
      <c r="AI27" s="4" t="s">
        <v>16</v>
      </c>
      <c r="AJ27" s="4" t="s">
        <v>17</v>
      </c>
      <c r="AK27" s="4" t="s">
        <v>12</v>
      </c>
      <c r="AL27" s="4" t="s">
        <v>18</v>
      </c>
      <c r="AM27" s="4" t="s">
        <v>19</v>
      </c>
      <c r="AN27" s="4" t="s">
        <v>20</v>
      </c>
      <c r="AO27" s="4" t="s">
        <v>21</v>
      </c>
      <c r="AP27" s="4" t="s">
        <v>22</v>
      </c>
      <c r="AQ27" s="4" t="s">
        <v>23</v>
      </c>
      <c r="AR27" s="4" t="s">
        <v>24</v>
      </c>
    </row>
    <row r="28" spans="1:44" x14ac:dyDescent="0.2">
      <c r="A28" s="11"/>
      <c r="B28" s="12"/>
      <c r="AF28" s="16" t="s">
        <v>42</v>
      </c>
      <c r="AG28" s="17">
        <f>C6</f>
        <v>20749</v>
      </c>
      <c r="AH28" s="17">
        <f t="shared" ref="AH28:AR32" si="4">D6</f>
        <v>17512</v>
      </c>
      <c r="AI28" s="17">
        <f t="shared" si="4"/>
        <v>17786</v>
      </c>
      <c r="AJ28" s="17">
        <f t="shared" si="4"/>
        <v>13301</v>
      </c>
      <c r="AK28" s="17">
        <f t="shared" si="4"/>
        <v>7467</v>
      </c>
      <c r="AL28" s="17">
        <f t="shared" si="4"/>
        <v>6422</v>
      </c>
      <c r="AM28" s="17">
        <f t="shared" si="4"/>
        <v>9048</v>
      </c>
      <c r="AN28" s="17">
        <f t="shared" si="4"/>
        <v>8372</v>
      </c>
      <c r="AO28" s="17">
        <f t="shared" si="4"/>
        <v>7359</v>
      </c>
      <c r="AP28" s="17">
        <f t="shared" si="4"/>
        <v>11847</v>
      </c>
      <c r="AQ28" s="17">
        <f t="shared" si="4"/>
        <v>13970</v>
      </c>
      <c r="AR28" s="17">
        <f t="shared" si="4"/>
        <v>16818</v>
      </c>
    </row>
    <row r="29" spans="1:44" x14ac:dyDescent="0.2">
      <c r="A29" s="11"/>
      <c r="B29" s="12"/>
      <c r="AF29" s="16" t="s">
        <v>44</v>
      </c>
      <c r="AG29" s="17">
        <f t="shared" ref="AG29:AG31" si="5">C7</f>
        <v>14669</v>
      </c>
      <c r="AH29" s="17">
        <f t="shared" si="4"/>
        <v>17293</v>
      </c>
      <c r="AI29" s="17">
        <f t="shared" si="4"/>
        <v>16657</v>
      </c>
      <c r="AJ29" s="17">
        <f t="shared" si="4"/>
        <v>13278</v>
      </c>
      <c r="AK29" s="17">
        <f t="shared" si="4"/>
        <v>9024</v>
      </c>
      <c r="AL29" s="17">
        <f t="shared" si="4"/>
        <v>8334</v>
      </c>
      <c r="AM29" s="17">
        <f t="shared" si="4"/>
        <v>12516</v>
      </c>
      <c r="AN29" s="17">
        <f t="shared" si="4"/>
        <v>11012</v>
      </c>
      <c r="AO29" s="17">
        <f t="shared" si="4"/>
        <v>9793</v>
      </c>
      <c r="AP29" s="17">
        <f t="shared" si="4"/>
        <v>13963</v>
      </c>
      <c r="AQ29" s="17">
        <f t="shared" si="4"/>
        <v>13889</v>
      </c>
      <c r="AR29" s="17">
        <f t="shared" si="4"/>
        <v>16037</v>
      </c>
    </row>
    <row r="30" spans="1:44" x14ac:dyDescent="0.2">
      <c r="A30" s="11"/>
      <c r="B30" s="12"/>
      <c r="AF30" s="16" t="s">
        <v>46</v>
      </c>
      <c r="AG30" s="17">
        <f t="shared" si="5"/>
        <v>17516</v>
      </c>
      <c r="AH30" s="17">
        <f t="shared" si="4"/>
        <v>16883</v>
      </c>
      <c r="AI30" s="17">
        <f t="shared" si="4"/>
        <v>17235</v>
      </c>
      <c r="AJ30" s="17">
        <f t="shared" si="4"/>
        <v>11597</v>
      </c>
      <c r="AK30" s="17">
        <f t="shared" si="4"/>
        <v>5918</v>
      </c>
      <c r="AL30" s="17">
        <f t="shared" si="4"/>
        <v>6729</v>
      </c>
      <c r="AM30" s="17">
        <f t="shared" si="4"/>
        <v>9855</v>
      </c>
      <c r="AN30" s="17">
        <f t="shared" si="4"/>
        <v>16787</v>
      </c>
      <c r="AO30" s="17">
        <f t="shared" si="4"/>
        <v>9338</v>
      </c>
      <c r="AP30" s="17">
        <f t="shared" si="4"/>
        <v>11176</v>
      </c>
      <c r="AQ30" s="17">
        <f t="shared" si="4"/>
        <v>11999</v>
      </c>
      <c r="AR30" s="17">
        <f t="shared" si="4"/>
        <v>22954</v>
      </c>
    </row>
    <row r="31" spans="1:44" x14ac:dyDescent="0.2">
      <c r="A31" s="11"/>
      <c r="B31" s="11"/>
      <c r="C31" s="11"/>
      <c r="AF31" s="16" t="s">
        <v>48</v>
      </c>
      <c r="AG31" s="17">
        <f t="shared" si="5"/>
        <v>21563</v>
      </c>
      <c r="AH31" s="17">
        <f t="shared" si="4"/>
        <v>26881</v>
      </c>
      <c r="AI31" s="17">
        <f t="shared" si="4"/>
        <v>29439</v>
      </c>
      <c r="AJ31" s="17">
        <f t="shared" si="4"/>
        <v>23126</v>
      </c>
      <c r="AK31" s="17">
        <f t="shared" si="4"/>
        <v>16669</v>
      </c>
      <c r="AL31" s="17">
        <f t="shared" si="4"/>
        <v>8458</v>
      </c>
      <c r="AM31" s="17">
        <f t="shared" si="4"/>
        <v>14361</v>
      </c>
      <c r="AN31" s="17">
        <f t="shared" si="4"/>
        <v>14225</v>
      </c>
      <c r="AO31" s="17">
        <f t="shared" si="4"/>
        <v>14819</v>
      </c>
      <c r="AP31" s="17">
        <f t="shared" si="4"/>
        <v>24721</v>
      </c>
      <c r="AQ31" s="17">
        <f t="shared" si="4"/>
        <v>23333</v>
      </c>
      <c r="AR31" s="17">
        <f t="shared" si="4"/>
        <v>25132</v>
      </c>
    </row>
    <row r="32" spans="1:44" ht="25.5" x14ac:dyDescent="0.2">
      <c r="A32" s="11"/>
      <c r="B32" s="11"/>
      <c r="C32" s="11"/>
      <c r="AF32" s="21" t="s">
        <v>50</v>
      </c>
      <c r="AG32" s="17">
        <f>C10</f>
        <v>2106</v>
      </c>
      <c r="AH32" s="17">
        <f t="shared" si="4"/>
        <v>1141</v>
      </c>
      <c r="AI32" s="17">
        <f t="shared" si="4"/>
        <v>1266</v>
      </c>
      <c r="AJ32" s="17">
        <f t="shared" si="4"/>
        <v>1569</v>
      </c>
      <c r="AK32" s="17">
        <f t="shared" si="4"/>
        <v>978</v>
      </c>
      <c r="AL32" s="17">
        <f t="shared" si="4"/>
        <v>831</v>
      </c>
      <c r="AM32" s="17">
        <f t="shared" si="4"/>
        <v>1823</v>
      </c>
      <c r="AN32" s="17">
        <f t="shared" si="4"/>
        <v>2092</v>
      </c>
      <c r="AO32" s="17">
        <f t="shared" si="4"/>
        <v>2699</v>
      </c>
      <c r="AP32" s="17">
        <f t="shared" si="4"/>
        <v>1255</v>
      </c>
      <c r="AQ32" s="17">
        <f t="shared" si="4"/>
        <v>1016</v>
      </c>
      <c r="AR32" s="17">
        <f t="shared" si="4"/>
        <v>1814</v>
      </c>
    </row>
    <row r="33" spans="1:44" x14ac:dyDescent="0.2">
      <c r="A33" s="11"/>
      <c r="B33" s="11"/>
      <c r="C33" s="11"/>
    </row>
    <row r="34" spans="1:44" x14ac:dyDescent="0.2">
      <c r="A34" s="11"/>
      <c r="B34" s="11"/>
      <c r="C34" s="11"/>
    </row>
    <row r="35" spans="1:44" x14ac:dyDescent="0.2">
      <c r="A35" s="11"/>
      <c r="B35" s="11"/>
      <c r="C35" s="11"/>
    </row>
    <row r="36" spans="1:44" x14ac:dyDescent="0.2">
      <c r="AF36" s="11"/>
      <c r="AG36" s="4" t="s">
        <v>14</v>
      </c>
      <c r="AH36" s="4" t="s">
        <v>15</v>
      </c>
      <c r="AI36" s="4" t="s">
        <v>16</v>
      </c>
      <c r="AJ36" s="4" t="s">
        <v>17</v>
      </c>
      <c r="AK36" s="4" t="s">
        <v>12</v>
      </c>
      <c r="AL36" s="4" t="s">
        <v>18</v>
      </c>
      <c r="AM36" s="4" t="s">
        <v>19</v>
      </c>
      <c r="AN36" s="4" t="s">
        <v>20</v>
      </c>
      <c r="AO36" s="4" t="s">
        <v>21</v>
      </c>
      <c r="AP36" s="4" t="s">
        <v>22</v>
      </c>
      <c r="AQ36" s="4" t="s">
        <v>23</v>
      </c>
      <c r="AR36" s="4" t="s">
        <v>24</v>
      </c>
    </row>
    <row r="37" spans="1:44" x14ac:dyDescent="0.2">
      <c r="AF37" s="16" t="s">
        <v>52</v>
      </c>
      <c r="AG37" s="17">
        <f>C12</f>
        <v>32934</v>
      </c>
      <c r="AH37" s="17">
        <f t="shared" ref="AH37:AR39" si="6">D12</f>
        <v>40522</v>
      </c>
      <c r="AI37" s="17">
        <f t="shared" si="6"/>
        <v>20734</v>
      </c>
      <c r="AJ37" s="17">
        <f t="shared" si="6"/>
        <v>22846</v>
      </c>
      <c r="AK37" s="17">
        <f t="shared" si="6"/>
        <v>22673</v>
      </c>
      <c r="AL37" s="17">
        <f t="shared" si="6"/>
        <v>29047</v>
      </c>
      <c r="AM37" s="17">
        <f t="shared" si="6"/>
        <v>39940</v>
      </c>
      <c r="AN37" s="17">
        <f t="shared" si="6"/>
        <v>41066</v>
      </c>
      <c r="AO37" s="17">
        <f t="shared" si="6"/>
        <v>35591</v>
      </c>
      <c r="AP37" s="17">
        <f t="shared" si="6"/>
        <v>34122</v>
      </c>
      <c r="AQ37" s="17">
        <f t="shared" si="6"/>
        <v>27433</v>
      </c>
      <c r="AR37" s="17">
        <f t="shared" si="6"/>
        <v>25540</v>
      </c>
    </row>
    <row r="38" spans="1:44" x14ac:dyDescent="0.2">
      <c r="AF38" s="16" t="s">
        <v>54</v>
      </c>
      <c r="AG38" s="17">
        <f t="shared" ref="AG38:AG39" si="7">C13</f>
        <v>5295</v>
      </c>
      <c r="AH38" s="17">
        <f t="shared" si="6"/>
        <v>5184</v>
      </c>
      <c r="AI38" s="17">
        <f t="shared" si="6"/>
        <v>8457</v>
      </c>
      <c r="AJ38" s="17">
        <f t="shared" si="6"/>
        <v>9617</v>
      </c>
      <c r="AK38" s="17">
        <f t="shared" si="6"/>
        <v>9488</v>
      </c>
      <c r="AL38" s="17">
        <f t="shared" si="6"/>
        <v>11133</v>
      </c>
      <c r="AM38" s="17">
        <f t="shared" si="6"/>
        <v>9256</v>
      </c>
      <c r="AN38" s="17">
        <f t="shared" si="6"/>
        <v>6888</v>
      </c>
      <c r="AO38" s="17">
        <f t="shared" si="6"/>
        <v>6463</v>
      </c>
      <c r="AP38" s="17">
        <f t="shared" si="6"/>
        <v>7102</v>
      </c>
      <c r="AQ38" s="17">
        <f t="shared" si="6"/>
        <v>6435</v>
      </c>
      <c r="AR38" s="17">
        <f t="shared" si="6"/>
        <v>8080</v>
      </c>
    </row>
    <row r="39" spans="1:44" x14ac:dyDescent="0.2">
      <c r="AF39" s="16" t="s">
        <v>56</v>
      </c>
      <c r="AG39" s="17">
        <f t="shared" si="7"/>
        <v>10901</v>
      </c>
      <c r="AH39" s="17">
        <f t="shared" si="6"/>
        <v>7621</v>
      </c>
      <c r="AI39" s="17">
        <f t="shared" si="6"/>
        <v>7145</v>
      </c>
      <c r="AJ39" s="17">
        <f t="shared" si="6"/>
        <v>8080</v>
      </c>
      <c r="AK39" s="17">
        <f t="shared" si="6"/>
        <v>10223</v>
      </c>
      <c r="AL39" s="17">
        <f t="shared" si="6"/>
        <v>9483</v>
      </c>
      <c r="AM39" s="17">
        <f t="shared" si="6"/>
        <v>8156</v>
      </c>
      <c r="AN39" s="17">
        <f t="shared" si="6"/>
        <v>6856</v>
      </c>
      <c r="AO39" s="17">
        <f t="shared" si="6"/>
        <v>6896</v>
      </c>
      <c r="AP39" s="17">
        <f t="shared" si="6"/>
        <v>9679</v>
      </c>
      <c r="AQ39" s="17">
        <f t="shared" si="6"/>
        <v>13086</v>
      </c>
      <c r="AR39" s="17">
        <f t="shared" si="6"/>
        <v>16956</v>
      </c>
    </row>
  </sheetData>
  <mergeCells count="3">
    <mergeCell ref="A1:O1"/>
    <mergeCell ref="A2:O2"/>
    <mergeCell ref="M22:O22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2019-02-28T05:39:35Z</cp:lastPrinted>
  <dcterms:created xsi:type="dcterms:W3CDTF">2019-02-27T06:18:18Z</dcterms:created>
  <dcterms:modified xsi:type="dcterms:W3CDTF">2019-04-29T05:58:50Z</dcterms:modified>
</cp:coreProperties>
</file>