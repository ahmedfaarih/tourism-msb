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8" sheetId="8" r:id="rId1"/>
  </sheets>
  <externalReferences>
    <externalReference r:id="rId2"/>
  </externalReferences>
  <definedNames>
    <definedName name="_xlnm.Print_Area" localSheetId="0">'10.8'!$A$1:$P$79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5" i="8" l="1"/>
  <c r="AF35" i="8"/>
  <c r="B20" i="8" l="1"/>
  <c r="B19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 s="1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0" i="8" s="1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B6" i="8" s="1"/>
  <c r="N6" i="8"/>
  <c r="M6" i="8"/>
  <c r="L6" i="8"/>
  <c r="K6" i="8"/>
  <c r="J6" i="8"/>
  <c r="I6" i="8"/>
  <c r="H6" i="8"/>
  <c r="G6" i="8"/>
  <c r="F6" i="8"/>
  <c r="E6" i="8"/>
  <c r="D6" i="8"/>
  <c r="C6" i="8"/>
  <c r="B14" i="8" l="1"/>
</calcChain>
</file>

<file path=xl/sharedStrings.xml><?xml version="1.0" encoding="utf-8"?>
<sst xmlns="http://schemas.openxmlformats.org/spreadsheetml/2006/main" count="55" uniqueCount="35">
  <si>
    <t>Total</t>
  </si>
  <si>
    <t>ޖުމްލަ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</si>
  <si>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</si>
  <si>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</si>
  <si>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</si>
  <si>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</si>
  <si>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</si>
  <si>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</si>
  <si>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</si>
  <si>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</si>
  <si>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</si>
  <si>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</si>
  <si>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</si>
  <si>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</si>
  <si>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</si>
  <si>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</si>
  <si>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ތާވަލު 10.8: ޖިންސުގެ ގޮތުން އެކިމަސްމަހު ރާއްޖެއައި ފަތުރުވެރިންގެ އަދަދު،  2015 - 2018</t>
  </si>
  <si>
    <t>TABLE 10.8: MONTHLY ARRIVAL OF TOURISTS  BY SEX, 2015 - 2018</t>
  </si>
  <si>
    <t>Male</t>
  </si>
  <si>
    <t>ފިރިހެން</t>
  </si>
  <si>
    <t>Female</t>
  </si>
  <si>
    <t>އަންހެން</t>
  </si>
  <si>
    <r>
      <rPr>
        <b/>
        <sz val="10"/>
        <rFont val="Faruma"/>
      </rPr>
      <t>ޖުމްލަ</t>
    </r>
    <r>
      <rPr>
        <b/>
        <sz val="10"/>
        <rFont val="Calibri"/>
        <family val="2"/>
      </rPr>
      <t xml:space="preserve">
Total</t>
    </r>
  </si>
  <si>
    <r>
      <rPr>
        <b/>
        <sz val="10"/>
        <rFont val="Faruma"/>
      </rPr>
      <t>ޖެނުއަރީ</t>
    </r>
    <r>
      <rPr>
        <b/>
        <sz val="10"/>
        <rFont val="Calibri"/>
        <family val="2"/>
      </rPr>
      <t xml:space="preserve">
Jan</t>
    </r>
  </si>
  <si>
    <r>
      <rPr>
        <b/>
        <sz val="10"/>
        <rFont val="Faruma"/>
      </rPr>
      <t>ފެބްރުއަރީ</t>
    </r>
    <r>
      <rPr>
        <b/>
        <sz val="10"/>
        <rFont val="Calibri"/>
        <family val="2"/>
      </rPr>
      <t xml:space="preserve">
Feb</t>
    </r>
  </si>
  <si>
    <r>
      <rPr>
        <b/>
        <sz val="10"/>
        <rFont val="Faruma"/>
      </rPr>
      <t>މާރޗް</t>
    </r>
    <r>
      <rPr>
        <b/>
        <sz val="10"/>
        <rFont val="Calibri"/>
        <family val="2"/>
      </rPr>
      <t xml:space="preserve">
Mar</t>
    </r>
  </si>
  <si>
    <r>
      <rPr>
        <b/>
        <sz val="10"/>
        <rFont val="Faruma"/>
      </rPr>
      <t>އޭޕްރިލް</t>
    </r>
    <r>
      <rPr>
        <b/>
        <sz val="10"/>
        <rFont val="Calibri"/>
        <family val="2"/>
      </rPr>
      <t xml:space="preserve">
Apr</t>
    </r>
  </si>
  <si>
    <r>
      <rPr>
        <b/>
        <sz val="10"/>
        <rFont val="Faruma"/>
      </rPr>
      <t>މެއި</t>
    </r>
    <r>
      <rPr>
        <b/>
        <sz val="10"/>
        <rFont val="Calibri"/>
        <family val="2"/>
      </rPr>
      <t xml:space="preserve">
May</t>
    </r>
  </si>
  <si>
    <r>
      <rPr>
        <b/>
        <sz val="10"/>
        <rFont val="Faruma"/>
      </rPr>
      <t>ޖޫން</t>
    </r>
    <r>
      <rPr>
        <b/>
        <sz val="10"/>
        <rFont val="Calibri"/>
        <family val="2"/>
      </rPr>
      <t xml:space="preserve">
Jun</t>
    </r>
  </si>
  <si>
    <r>
      <rPr>
        <b/>
        <sz val="10"/>
        <rFont val="Faruma"/>
      </rPr>
      <t>ޖުލައި</t>
    </r>
    <r>
      <rPr>
        <b/>
        <sz val="10"/>
        <rFont val="Calibri"/>
        <family val="2"/>
      </rPr>
      <t xml:space="preserve">
Jul</t>
    </r>
  </si>
  <si>
    <r>
      <rPr>
        <b/>
        <sz val="10"/>
        <rFont val="Faruma"/>
      </rPr>
      <t>އޮގަސްޓު</t>
    </r>
    <r>
      <rPr>
        <b/>
        <sz val="10"/>
        <rFont val="Calibri"/>
        <family val="2"/>
      </rPr>
      <t xml:space="preserve">
Aug</t>
    </r>
  </si>
  <si>
    <r>
      <rPr>
        <b/>
        <sz val="10"/>
        <rFont val="Faruma"/>
      </rPr>
      <t>ސެޕްޓެމްބަރ</t>
    </r>
    <r>
      <rPr>
        <b/>
        <sz val="10"/>
        <rFont val="Calibri"/>
        <family val="2"/>
      </rPr>
      <t xml:space="preserve">
Sep</t>
    </r>
  </si>
  <si>
    <r>
      <rPr>
        <b/>
        <sz val="10"/>
        <rFont val="Faruma"/>
      </rPr>
      <t>އޮކްޓޯބަރ</t>
    </r>
    <r>
      <rPr>
        <b/>
        <sz val="10"/>
        <rFont val="Calibri"/>
        <family val="2"/>
      </rPr>
      <t xml:space="preserve">
Oct</t>
    </r>
  </si>
  <si>
    <r>
      <rPr>
        <b/>
        <sz val="10"/>
        <rFont val="Faruma"/>
      </rPr>
      <t>ނޮވެމްބަރ</t>
    </r>
    <r>
      <rPr>
        <b/>
        <sz val="10"/>
        <rFont val="Calibri"/>
        <family val="2"/>
      </rPr>
      <t xml:space="preserve">
Nov</t>
    </r>
  </si>
  <si>
    <r>
      <rPr>
        <b/>
        <sz val="10"/>
        <rFont val="Faruma"/>
      </rPr>
      <t>ޑިސެމްބަރ</t>
    </r>
    <r>
      <rPr>
        <b/>
        <sz val="10"/>
        <rFont val="Calibri"/>
        <family val="2"/>
      </rPr>
      <t xml:space="preserve">
Dec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</si>
</sst>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6" formatCode="_(* #,##0_);_(* \(#,##0\);_(* &quot;-&quot;??_);_(@_)"/>
    <numFmt numFmtId="169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aruma"/>
    </font>
    <font>
      <b/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sz val="9"/>
      <color theme="1"/>
      <name val="A_Randhoo"/>
    </font>
    <font>
      <sz val="10"/>
      <name val="Courier"/>
      <family val="3"/>
    </font>
    <font>
      <b/>
      <sz val="11"/>
      <name val="A_Randhoo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5" fillId="0" borderId="0"/>
    <xf numFmtId="0" fontId="3" fillId="0" borderId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Border="1"/>
    <xf numFmtId="0" fontId="7" fillId="2" borderId="0" xfId="0" applyFont="1" applyFill="1" applyBorder="1"/>
    <xf numFmtId="0" fontId="9" fillId="2" borderId="0" xfId="0" applyFont="1" applyFill="1" applyAlignment="1" applyProtection="1">
      <alignment horizontal="left" vertical="center"/>
    </xf>
    <xf numFmtId="0" fontId="7" fillId="2" borderId="0" xfId="0" applyFont="1" applyFill="1"/>
    <xf numFmtId="0" fontId="2" fillId="2" borderId="2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3" fontId="12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2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12" fillId="2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vertical="center"/>
    </xf>
    <xf numFmtId="0" fontId="6" fillId="2" borderId="6" xfId="2" applyFont="1" applyFill="1" applyBorder="1" applyAlignment="1" applyProtection="1">
      <alignment horizontal="left" vertical="center"/>
    </xf>
    <xf numFmtId="0" fontId="11" fillId="2" borderId="0" xfId="0" applyFont="1" applyFill="1" applyAlignment="1"/>
    <xf numFmtId="0" fontId="14" fillId="2" borderId="0" xfId="0" applyFont="1" applyFill="1" applyBorder="1" applyAlignment="1">
      <alignment horizontal="right" vertical="center"/>
    </xf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10" fillId="2" borderId="0" xfId="2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7" fillId="2" borderId="0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5" fillId="2" borderId="4" xfId="2" applyFont="1" applyFill="1" applyBorder="1" applyAlignment="1" applyProtection="1">
      <alignment horizontal="right" vertical="center" wrapText="1"/>
    </xf>
    <xf numFmtId="169" fontId="16" fillId="2" borderId="0" xfId="4" applyNumberFormat="1" applyFont="1" applyFill="1" applyBorder="1" applyAlignment="1">
      <alignment vertical="center"/>
    </xf>
  </cellXfs>
  <cellStyles count="6">
    <cellStyle name="Comma" xfId="1" builtinId="3"/>
    <cellStyle name="Normal" xfId="0" builtinId="0"/>
    <cellStyle name="Normal 2" xfId="2"/>
    <cellStyle name="Normal 5 2" xfId="5"/>
    <cellStyle name="Normal_VIII-8 (Tourism) 2" xfId="4"/>
    <cellStyle name="Percent 2 2" xfId="3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Figure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10.11: </a:t>
            </a: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Monthly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arrival of tourists by sex, 2018</a:t>
            </a:r>
            <a:endParaRPr lang="en-US" sz="1200">
              <a:solidFill>
                <a:schemeClr val="tx1"/>
              </a:solidFill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9757646365632867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0717410323705E-2"/>
          <c:y val="0.16069105691056912"/>
          <c:w val="0.9116420603674541"/>
          <c:h val="0.7251894885090582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'10.8'!$A$19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'10.8'!$Z$21:$AK$21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'10.8'!$C$19:$N$19</c:f>
              <c:numCache>
                <c:formatCode>#,##0</c:formatCode>
                <c:ptCount val="12"/>
                <c:pt idx="0">
                  <c:v>67601</c:v>
                </c:pt>
                <c:pt idx="1">
                  <c:v>68779</c:v>
                </c:pt>
                <c:pt idx="2">
                  <c:v>64018</c:v>
                </c:pt>
                <c:pt idx="3">
                  <c:v>57300</c:v>
                </c:pt>
                <c:pt idx="4">
                  <c:v>44543</c:v>
                </c:pt>
                <c:pt idx="5">
                  <c:v>44461</c:v>
                </c:pt>
                <c:pt idx="6">
                  <c:v>58223</c:v>
                </c:pt>
                <c:pt idx="7">
                  <c:v>58839</c:v>
                </c:pt>
                <c:pt idx="8">
                  <c:v>51698</c:v>
                </c:pt>
                <c:pt idx="9">
                  <c:v>61444</c:v>
                </c:pt>
                <c:pt idx="10">
                  <c:v>60624</c:v>
                </c:pt>
                <c:pt idx="11">
                  <c:v>72726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0-44DB-8EE1-A9E6C4BF8A09}"/>
            </c:ext>
          </c:extLst>
        </c:ser>
        <c:ser>
          <c:idx val="0"/>
          <c:order val="1"/>
          <c:tx>
            <c:strRef>
              <c:f>'10.8'!$A$20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'10.8'!$Z$21:$AK$21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'10.8'!$C$20:$N$20</c:f>
              <c:numCache>
                <c:formatCode>#,##0</c:formatCode>
                <c:ptCount val="12"/>
                <c:pt idx="0">
                  <c:v>74750</c:v>
                </c:pt>
                <c:pt idx="1">
                  <c:v>75507</c:v>
                </c:pt>
                <c:pt idx="2">
                  <c:v>69448</c:v>
                </c:pt>
                <c:pt idx="3">
                  <c:v>62413</c:v>
                </c:pt>
                <c:pt idx="4">
                  <c:v>48370</c:v>
                </c:pt>
                <c:pt idx="5">
                  <c:v>49325</c:v>
                </c:pt>
                <c:pt idx="6">
                  <c:v>64109</c:v>
                </c:pt>
                <c:pt idx="7">
                  <c:v>65153</c:v>
                </c:pt>
                <c:pt idx="8">
                  <c:v>55922</c:v>
                </c:pt>
                <c:pt idx="9">
                  <c:v>65949</c:v>
                </c:pt>
                <c:pt idx="10">
                  <c:v>64980</c:v>
                </c:pt>
                <c:pt idx="11">
                  <c:v>78092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0-44DB-8EE1-A9E6C4BF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"/>
        <c:axId val="329358704"/>
        <c:axId val="329359264"/>
      </c:barChart>
      <c:catAx>
        <c:axId val="32935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59264"/>
        <c:crosses val="autoZero"/>
        <c:auto val="1"/>
        <c:lblAlgn val="ctr"/>
        <c:lblOffset val="100"/>
        <c:noMultiLvlLbl val="0"/>
      </c:catAx>
      <c:valAx>
        <c:axId val="329359264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5870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6626052602799652"/>
          <c:y val="0.210597398151318"/>
          <c:w val="0.20981516612469656"/>
          <c:h val="6.1141732283464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6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10.12: Percentage of tourist arrival by sex, 2018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9-434D-8708-6E02DCFD0988}"/>
              </c:ext>
            </c:extLst>
          </c:dPt>
          <c:dLbls>
            <c:dLbl>
              <c:idx val="0"/>
              <c:layout>
                <c:manualLayout>
                  <c:x val="-0.11422404788687135"/>
                  <c:y val="-1.96805853813727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5B9-434D-8708-6E02DCFD0988}"/>
                </c:ext>
              </c:extLst>
            </c:dLbl>
            <c:dLbl>
              <c:idx val="1"/>
              <c:layout>
                <c:manualLayout>
                  <c:x val="0.12563588033638654"/>
                  <c:y val="-4.99502107691084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5B9-434D-8708-6E02DCFD09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'10.8'!$A$19:$A$20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'10.8'!$B$19:$B$20</c:f>
              <c:numCache>
                <c:formatCode>#,##0</c:formatCode>
                <c:ptCount val="2"/>
                <c:pt idx="0">
                  <c:v>710256</c:v>
                </c:pt>
                <c:pt idx="1">
                  <c:v>774018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10.13: Tourist arrival</a:t>
            </a:r>
            <a:r>
              <a:rPr lang="en-US" sz="1200" b="1" baseline="0">
                <a:solidFill>
                  <a:schemeClr val="tx1"/>
                </a:solidFill>
                <a:latin typeface="Consolas" panose="020B0609020204030204" pitchFamily="49" charset="0"/>
              </a:rPr>
              <a:t> by sex, 2015 - 2018</a:t>
            </a:r>
            <a:endParaRPr lang="en-US" sz="1200" b="1">
              <a:solidFill>
                <a:schemeClr val="tx1"/>
              </a:solidFill>
              <a:latin typeface="Consolas" panose="020B0609020204030204" pitchFamily="49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2906618325774E-2"/>
          <c:y val="0.13906613363832585"/>
          <c:w val="0.90612607509055587"/>
          <c:h val="0.7677166923467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'10.8'!$AF$31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547197716817181E-2"/>
                  <c:y val="1.2647893839355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18E-40D2-AD96-9DF93495FEE4}"/>
                </c:ext>
              </c:extLst>
            </c:dLbl>
            <c:dLbl>
              <c:idx val="1"/>
              <c:layout>
                <c:manualLayout>
                  <c:x val="-6.7735988584085825E-3"/>
                  <c:y val="9.48592037951642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8E-40D2-AD96-9DF93495FEE4}"/>
                </c:ext>
              </c:extLst>
            </c:dLbl>
            <c:dLbl>
              <c:idx val="2"/>
              <c:layout>
                <c:manualLayout>
                  <c:x val="-3.3867994292044157E-3"/>
                  <c:y val="1.2647893839355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18E-40D2-AD96-9DF93495FEE4}"/>
                </c:ext>
              </c:extLst>
            </c:dLbl>
            <c:dLbl>
              <c:idx val="3"/>
              <c:layout>
                <c:manualLayout>
                  <c:x val="-1.0160398287612874E-2"/>
                  <c:y val="3.16197345983882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18E-40D2-AD96-9DF93495FE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'10.8'!$AE$32:$AE$35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'10.8'!$AF$32:$AF$35</c:f>
              <c:numCache>
                <c:formatCode>_(* #,##0_);_(* \(#,##0\);_(* "-"??_);_(@_)</c:formatCode>
                <c:ptCount val="4"/>
                <c:pt idx="0">
                  <c:v>598458</c:v>
                </c:pt>
                <c:pt idx="1">
                  <c:v>623657</c:v>
                </c:pt>
                <c:pt idx="2">
                  <c:v>667286</c:v>
                </c:pt>
                <c:pt idx="3" formatCode="#,##0">
                  <c:v>710256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3-4931-A496-BB556552B691}"/>
            </c:ext>
          </c:extLst>
        </c:ser>
        <c:ser>
          <c:idx val="1"/>
          <c:order val="1"/>
          <c:tx>
            <c:strRef>
              <c:f>'10.8'!$AG$31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'10.8'!$AE$32:$AE$35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'10.8'!$AG$32:$AG$35</c:f>
              <c:numCache>
                <c:formatCode>_(* #,##0_);_(* \(#,##0\);_(* "-"??_);_(@_)</c:formatCode>
                <c:ptCount val="4"/>
                <c:pt idx="0">
                  <c:v>635790</c:v>
                </c:pt>
                <c:pt idx="1">
                  <c:v>662478</c:v>
                </c:pt>
                <c:pt idx="2">
                  <c:v>722256</c:v>
                </c:pt>
                <c:pt idx="3" formatCode="#,##0">
                  <c:v>774018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3-4931-A496-BB556552B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axId val="330374352"/>
        <c:axId val="330374912"/>
      </c:barChart>
      <c:catAx>
        <c:axId val="3303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74912"/>
        <c:crosses val="autoZero"/>
        <c:auto val="1"/>
        <c:lblAlgn val="ctr"/>
        <c:lblOffset val="100"/>
        <c:noMultiLvlLbl val="0"/>
      </c:catAx>
      <c:valAx>
        <c:axId val="330374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7435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750293681109912"/>
          <c:y val="0.17562179424312616"/>
          <c:w val="0.203975556797581"/>
          <c:h val="5.3506600152855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22</xdr:row>
      <xdr:rowOff>123825</xdr:rowOff>
    </xdr:from>
    <xdr:to>
      <xdr:col>13</xdr:col>
      <xdr:colOff>266700</xdr:colOff>
      <xdr:row>41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264452</xdr:colOff>
      <xdr:row>42</xdr:row>
      <xdr:rowOff>120293</xdr:rowOff>
    </xdr:from>
    <xdr:to>
      <xdr:col>13</xdr:col>
      <xdr:colOff>264452</xdr:colOff>
      <xdr:row>59</xdr:row>
      <xdr:rowOff>25043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246152</xdr:colOff>
      <xdr:row>60</xdr:row>
      <xdr:rowOff>26830</xdr:rowOff>
    </xdr:from>
    <xdr:to>
      <xdr:col>13</xdr:col>
      <xdr:colOff>278258</xdr:colOff>
      <xdr:row>78</xdr:row>
      <xdr:rowOff>95249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258305</xdr:colOff>
      <xdr:row>61</xdr:row>
      <xdr:rowOff>48432</xdr:rowOff>
    </xdr:from>
    <xdr:to>
      <xdr:col>3</xdr:col>
      <xdr:colOff>32288</xdr:colOff>
      <xdr:row>62</xdr:row>
      <xdr:rowOff>80720</xdr:rowOff>
    </xdr:to>
    <xdr:sp macro="" textlink="">
      <xdr:nvSpPr>
        <xdr:cNvPr id="8" name="TextBox 7"/>
        <xdr:cNvSpPr txBox="1"/>
      </xdr:nvSpPr>
      <xdr:spPr>
        <a:xfrm>
          <a:off x="867905" y="11792757"/>
          <a:ext cx="1145583" cy="194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/>
            <a:t>Arrivals</a:t>
          </a:r>
          <a:r>
            <a:rPr lang="en-US" sz="900" b="1" i="0" baseline="0"/>
            <a:t> in Numbers</a:t>
          </a:r>
          <a:endParaRPr lang="en-US" sz="900" b="1" i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2"/>
  <sheetViews>
    <sheetView tabSelected="1" zoomScale="95" zoomScaleNormal="95" workbookViewId="0">
      <selection activeCell="V14" sqref="V14"/>
    </sheetView>
  </sheetViews>
  <sheetFormatPr defaultRowHeight="15" x14ac:dyDescent="0.25"/>
  <cols>
    <col min="1" max="1" width="9.140625" style="5"/>
    <col min="2" max="2" width="11.42578125" style="5" customWidth="1"/>
    <col min="3" max="14" width="9.140625" style="5"/>
    <col min="15" max="15" width="9.85546875" style="5" customWidth="1"/>
    <col min="16" max="16" width="3.85546875" style="1" customWidth="1"/>
    <col min="17" max="18" width="9.140625" style="1"/>
    <col min="19" max="20" width="12.28515625" style="1" bestFit="1" customWidth="1"/>
    <col min="21" max="31" width="9.140625" style="1"/>
    <col min="32" max="33" width="10.5703125" style="1" customWidth="1"/>
    <col min="34" max="34" width="10.5703125" style="1" bestFit="1" customWidth="1"/>
    <col min="35" max="16384" width="9.140625" style="1"/>
  </cols>
  <sheetData>
    <row r="1" spans="1:15" ht="21" x14ac:dyDescent="0.25">
      <c r="A1" s="32" t="s">
        <v>16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3" t="s">
        <v>17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ht="15.75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5" s="8" customFormat="1" ht="31.5" x14ac:dyDescent="0.25">
      <c r="A4" s="6"/>
      <c r="B4" s="39" t="s">
        <v>22</v>
      </c>
      <c r="C4" s="39" t="s">
        <v>23</v>
      </c>
      <c r="D4" s="39" t="s">
        <v>24</v>
      </c>
      <c r="E4" s="39" t="s">
        <v>25</v>
      </c>
      <c r="F4" s="39" t="s">
        <v>26</v>
      </c>
      <c r="G4" s="39" t="s">
        <v>27</v>
      </c>
      <c r="H4" s="39" t="s">
        <v>28</v>
      </c>
      <c r="I4" s="39" t="s">
        <v>29</v>
      </c>
      <c r="J4" s="39" t="s">
        <v>30</v>
      </c>
      <c r="K4" s="39" t="s">
        <v>31</v>
      </c>
      <c r="L4" s="39" t="s">
        <v>32</v>
      </c>
      <c r="M4" s="39" t="s">
        <v>33</v>
      </c>
      <c r="N4" s="39" t="s">
        <v>34</v>
      </c>
      <c r="O4" s="7"/>
    </row>
    <row r="5" spans="1:15" x14ac:dyDescent="0.25">
      <c r="A5" s="9">
        <v>2015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>
        <v>2015</v>
      </c>
    </row>
    <row r="6" spans="1:15" ht="18.75" x14ac:dyDescent="0.25">
      <c r="A6" s="35" t="s">
        <v>0</v>
      </c>
      <c r="B6" s="11">
        <f t="shared" ref="B6" si="0">SUM(B7:B8)</f>
        <v>1234248</v>
      </c>
      <c r="C6" s="11">
        <f>SUM(C7:C8)</f>
        <v>97073</v>
      </c>
      <c r="D6" s="11">
        <f t="shared" ref="D6:N6" si="1">SUM(D7:D8)</f>
        <v>120468</v>
      </c>
      <c r="E6" s="11">
        <f t="shared" si="1"/>
        <v>112427</v>
      </c>
      <c r="F6" s="11">
        <f t="shared" si="1"/>
        <v>102242</v>
      </c>
      <c r="G6" s="11">
        <f>SUM(G7:G8)</f>
        <v>95389</v>
      </c>
      <c r="H6" s="11">
        <f t="shared" si="1"/>
        <v>81506</v>
      </c>
      <c r="I6" s="11">
        <f t="shared" si="1"/>
        <v>104517</v>
      </c>
      <c r="J6" s="11">
        <f t="shared" si="1"/>
        <v>110144</v>
      </c>
      <c r="K6" s="11">
        <f t="shared" si="1"/>
        <v>95511</v>
      </c>
      <c r="L6" s="11">
        <f t="shared" si="1"/>
        <v>105498</v>
      </c>
      <c r="M6" s="11">
        <f t="shared" si="1"/>
        <v>90218</v>
      </c>
      <c r="N6" s="11">
        <f t="shared" si="1"/>
        <v>119255</v>
      </c>
      <c r="O6" s="12" t="s">
        <v>1</v>
      </c>
    </row>
    <row r="7" spans="1:15" ht="18.75" x14ac:dyDescent="0.25">
      <c r="A7" s="36" t="s">
        <v>18</v>
      </c>
      <c r="B7" s="11">
        <f>SUM(C7:N7)</f>
        <v>598458</v>
      </c>
      <c r="C7" s="14">
        <v>47173</v>
      </c>
      <c r="D7" s="14">
        <v>57866</v>
      </c>
      <c r="E7" s="14">
        <v>54087</v>
      </c>
      <c r="F7" s="14">
        <v>49321</v>
      </c>
      <c r="G7" s="15">
        <v>46353</v>
      </c>
      <c r="H7" s="14">
        <v>39330</v>
      </c>
      <c r="I7" s="14">
        <v>49602</v>
      </c>
      <c r="J7" s="14">
        <v>53154</v>
      </c>
      <c r="K7" s="14">
        <v>46533</v>
      </c>
      <c r="L7" s="14">
        <v>52055</v>
      </c>
      <c r="M7" s="14">
        <v>44453</v>
      </c>
      <c r="N7" s="14">
        <v>58531</v>
      </c>
      <c r="O7" s="16" t="s">
        <v>19</v>
      </c>
    </row>
    <row r="8" spans="1:15" ht="18.75" x14ac:dyDescent="0.25">
      <c r="A8" s="37" t="s">
        <v>20</v>
      </c>
      <c r="B8" s="18">
        <f>SUM(C8:N8)</f>
        <v>635790</v>
      </c>
      <c r="C8" s="19">
        <v>49900</v>
      </c>
      <c r="D8" s="19">
        <v>62602</v>
      </c>
      <c r="E8" s="19">
        <v>58340</v>
      </c>
      <c r="F8" s="19">
        <v>52921</v>
      </c>
      <c r="G8" s="20">
        <v>49036</v>
      </c>
      <c r="H8" s="19">
        <v>42176</v>
      </c>
      <c r="I8" s="19">
        <v>54915</v>
      </c>
      <c r="J8" s="19">
        <v>56990</v>
      </c>
      <c r="K8" s="19">
        <v>48978</v>
      </c>
      <c r="L8" s="19">
        <v>53443</v>
      </c>
      <c r="M8" s="19">
        <v>45765</v>
      </c>
      <c r="N8" s="19">
        <v>60724</v>
      </c>
      <c r="O8" s="21" t="s">
        <v>21</v>
      </c>
    </row>
    <row r="9" spans="1:15" x14ac:dyDescent="0.25">
      <c r="A9" s="9">
        <v>2016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v>2016</v>
      </c>
    </row>
    <row r="10" spans="1:15" ht="18.75" x14ac:dyDescent="0.25">
      <c r="A10" s="35" t="s">
        <v>0</v>
      </c>
      <c r="B10" s="11">
        <f t="shared" ref="B10" si="2">SUM(B11:B12)</f>
        <v>1286135</v>
      </c>
      <c r="C10" s="11">
        <f>SUM(C11:C12)</f>
        <v>108396</v>
      </c>
      <c r="D10" s="11">
        <f t="shared" ref="D10:N10" si="3">SUM(D11:D12)</f>
        <v>120639</v>
      </c>
      <c r="E10" s="11">
        <f t="shared" si="3"/>
        <v>115131</v>
      </c>
      <c r="F10" s="11">
        <f t="shared" si="3"/>
        <v>103493</v>
      </c>
      <c r="G10" s="11">
        <f t="shared" si="3"/>
        <v>93228</v>
      </c>
      <c r="H10" s="11">
        <f t="shared" si="3"/>
        <v>79034</v>
      </c>
      <c r="I10" s="11">
        <f t="shared" si="3"/>
        <v>110432</v>
      </c>
      <c r="J10" s="11">
        <f t="shared" si="3"/>
        <v>112282</v>
      </c>
      <c r="K10" s="11">
        <f t="shared" si="3"/>
        <v>101909</v>
      </c>
      <c r="L10" s="11">
        <f t="shared" si="3"/>
        <v>117489</v>
      </c>
      <c r="M10" s="11">
        <f t="shared" si="3"/>
        <v>104572</v>
      </c>
      <c r="N10" s="11">
        <f t="shared" si="3"/>
        <v>119530</v>
      </c>
      <c r="O10" s="12" t="s">
        <v>1</v>
      </c>
    </row>
    <row r="11" spans="1:15" ht="18.75" x14ac:dyDescent="0.25">
      <c r="A11" s="36" t="s">
        <v>18</v>
      </c>
      <c r="B11" s="11">
        <f>SUM(C11:N11)</f>
        <v>623657</v>
      </c>
      <c r="C11" s="14">
        <v>52580</v>
      </c>
      <c r="D11" s="14">
        <v>58245</v>
      </c>
      <c r="E11" s="14">
        <v>55809</v>
      </c>
      <c r="F11" s="14">
        <v>49741</v>
      </c>
      <c r="G11" s="14">
        <v>45523</v>
      </c>
      <c r="H11" s="14">
        <v>37767</v>
      </c>
      <c r="I11" s="14">
        <v>52833</v>
      </c>
      <c r="J11" s="14">
        <v>53869</v>
      </c>
      <c r="K11" s="14">
        <v>49635</v>
      </c>
      <c r="L11" s="14">
        <v>58020</v>
      </c>
      <c r="M11" s="14">
        <v>51192</v>
      </c>
      <c r="N11" s="14">
        <v>58443</v>
      </c>
      <c r="O11" s="16" t="s">
        <v>19</v>
      </c>
    </row>
    <row r="12" spans="1:15" ht="18.75" x14ac:dyDescent="0.25">
      <c r="A12" s="37" t="s">
        <v>20</v>
      </c>
      <c r="B12" s="18">
        <f>SUM(C12:N12)</f>
        <v>662478</v>
      </c>
      <c r="C12" s="19">
        <v>55816</v>
      </c>
      <c r="D12" s="19">
        <v>62394</v>
      </c>
      <c r="E12" s="19">
        <v>59322</v>
      </c>
      <c r="F12" s="19">
        <v>53752</v>
      </c>
      <c r="G12" s="19">
        <v>47705</v>
      </c>
      <c r="H12" s="19">
        <v>41267</v>
      </c>
      <c r="I12" s="19">
        <v>57599</v>
      </c>
      <c r="J12" s="19">
        <v>58413</v>
      </c>
      <c r="K12" s="19">
        <v>52274</v>
      </c>
      <c r="L12" s="19">
        <v>59469</v>
      </c>
      <c r="M12" s="19">
        <v>53380</v>
      </c>
      <c r="N12" s="19">
        <v>61087</v>
      </c>
      <c r="O12" s="21" t="s">
        <v>21</v>
      </c>
    </row>
    <row r="13" spans="1:15" s="8" customFormat="1" ht="18.75" customHeight="1" x14ac:dyDescent="0.25">
      <c r="A13" s="9">
        <v>2017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10">
        <v>2017</v>
      </c>
    </row>
    <row r="14" spans="1:15" s="8" customFormat="1" ht="18.75" x14ac:dyDescent="0.25">
      <c r="A14" s="35" t="s">
        <v>0</v>
      </c>
      <c r="B14" s="11">
        <f>SUM(C14:N14)</f>
        <v>1389542</v>
      </c>
      <c r="C14" s="11">
        <f>SUM(C15:C16)</f>
        <v>125336</v>
      </c>
      <c r="D14" s="11">
        <f t="shared" ref="D14:N14" si="4">SUM(D15:D16)</f>
        <v>121052</v>
      </c>
      <c r="E14" s="11">
        <f t="shared" si="4"/>
        <v>112665</v>
      </c>
      <c r="F14" s="11">
        <f t="shared" si="4"/>
        <v>119774</v>
      </c>
      <c r="G14" s="11">
        <f t="shared" si="4"/>
        <v>93491</v>
      </c>
      <c r="H14" s="11">
        <f t="shared" si="4"/>
        <v>85222</v>
      </c>
      <c r="I14" s="11">
        <f t="shared" si="4"/>
        <v>113175</v>
      </c>
      <c r="J14" s="11">
        <f t="shared" si="4"/>
        <v>121310</v>
      </c>
      <c r="K14" s="11">
        <f t="shared" si="4"/>
        <v>105984</v>
      </c>
      <c r="L14" s="11">
        <f t="shared" si="4"/>
        <v>127986</v>
      </c>
      <c r="M14" s="11">
        <f t="shared" si="4"/>
        <v>120506</v>
      </c>
      <c r="N14" s="11">
        <f t="shared" si="4"/>
        <v>143041</v>
      </c>
      <c r="O14" s="12" t="s">
        <v>1</v>
      </c>
    </row>
    <row r="15" spans="1:15" ht="18.75" x14ac:dyDescent="0.25">
      <c r="A15" s="36" t="s">
        <v>18</v>
      </c>
      <c r="B15" s="11">
        <f>SUM(C15:N15)</f>
        <v>667286</v>
      </c>
      <c r="C15" s="14">
        <v>60242</v>
      </c>
      <c r="D15" s="14">
        <v>58195</v>
      </c>
      <c r="E15" s="14">
        <v>54157</v>
      </c>
      <c r="F15" s="14">
        <v>57109</v>
      </c>
      <c r="G15" s="14">
        <v>45177</v>
      </c>
      <c r="H15" s="14">
        <v>40579</v>
      </c>
      <c r="I15" s="14">
        <v>54239</v>
      </c>
      <c r="J15" s="14">
        <v>57649</v>
      </c>
      <c r="K15" s="14">
        <v>51284</v>
      </c>
      <c r="L15" s="14">
        <v>61740</v>
      </c>
      <c r="M15" s="14">
        <v>57934</v>
      </c>
      <c r="N15" s="14">
        <v>68981</v>
      </c>
      <c r="O15" s="16" t="s">
        <v>19</v>
      </c>
    </row>
    <row r="16" spans="1:15" s="2" customFormat="1" ht="18.75" x14ac:dyDescent="0.25">
      <c r="A16" s="38" t="s">
        <v>20</v>
      </c>
      <c r="B16" s="23">
        <f>SUM(C16:N16)</f>
        <v>722256</v>
      </c>
      <c r="C16" s="24">
        <v>65094</v>
      </c>
      <c r="D16" s="24">
        <v>62857</v>
      </c>
      <c r="E16" s="24">
        <v>58508</v>
      </c>
      <c r="F16" s="24">
        <v>62665</v>
      </c>
      <c r="G16" s="24">
        <v>48314</v>
      </c>
      <c r="H16" s="24">
        <v>44643</v>
      </c>
      <c r="I16" s="24">
        <v>58936</v>
      </c>
      <c r="J16" s="24">
        <v>63661</v>
      </c>
      <c r="K16" s="24">
        <v>54700</v>
      </c>
      <c r="L16" s="24">
        <v>66246</v>
      </c>
      <c r="M16" s="24">
        <v>62572</v>
      </c>
      <c r="N16" s="24">
        <v>74060</v>
      </c>
      <c r="O16" s="25" t="s">
        <v>21</v>
      </c>
    </row>
    <row r="17" spans="1:37" s="8" customFormat="1" ht="18.75" customHeight="1" x14ac:dyDescent="0.25">
      <c r="A17" s="9">
        <v>2018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0">
        <v>2018</v>
      </c>
    </row>
    <row r="18" spans="1:37" s="8" customFormat="1" ht="18.75" x14ac:dyDescent="0.25">
      <c r="A18" s="35" t="s">
        <v>0</v>
      </c>
      <c r="B18" s="11">
        <f>SUM(C18:N18)</f>
        <v>1484274</v>
      </c>
      <c r="C18" s="11">
        <f>SUM(C19:C20)</f>
        <v>142351</v>
      </c>
      <c r="D18" s="11">
        <f t="shared" ref="D18:N18" si="5">SUM(D19:D20)</f>
        <v>144286</v>
      </c>
      <c r="E18" s="11">
        <f t="shared" si="5"/>
        <v>133466</v>
      </c>
      <c r="F18" s="11">
        <f t="shared" si="5"/>
        <v>119713</v>
      </c>
      <c r="G18" s="11">
        <f t="shared" si="5"/>
        <v>92913</v>
      </c>
      <c r="H18" s="11">
        <f t="shared" si="5"/>
        <v>93786</v>
      </c>
      <c r="I18" s="11">
        <f t="shared" si="5"/>
        <v>122332</v>
      </c>
      <c r="J18" s="11">
        <f t="shared" si="5"/>
        <v>123992</v>
      </c>
      <c r="K18" s="11">
        <f t="shared" si="5"/>
        <v>107620</v>
      </c>
      <c r="L18" s="11">
        <f t="shared" si="5"/>
        <v>127393</v>
      </c>
      <c r="M18" s="11">
        <f t="shared" si="5"/>
        <v>125604</v>
      </c>
      <c r="N18" s="11">
        <f t="shared" si="5"/>
        <v>150818</v>
      </c>
      <c r="O18" s="12" t="s">
        <v>1</v>
      </c>
    </row>
    <row r="19" spans="1:37" ht="18.75" x14ac:dyDescent="0.25">
      <c r="A19" s="36" t="s">
        <v>18</v>
      </c>
      <c r="B19" s="11">
        <f>SUM(C19:N19)</f>
        <v>710256</v>
      </c>
      <c r="C19" s="14">
        <v>67601</v>
      </c>
      <c r="D19" s="14">
        <v>68779</v>
      </c>
      <c r="E19" s="14">
        <v>64018</v>
      </c>
      <c r="F19" s="14">
        <v>57300</v>
      </c>
      <c r="G19" s="14">
        <v>44543</v>
      </c>
      <c r="H19" s="14">
        <v>44461</v>
      </c>
      <c r="I19" s="14">
        <v>58223</v>
      </c>
      <c r="J19" s="14">
        <v>58839</v>
      </c>
      <c r="K19" s="14">
        <v>51698</v>
      </c>
      <c r="L19" s="14">
        <v>61444</v>
      </c>
      <c r="M19" s="14">
        <v>60624</v>
      </c>
      <c r="N19" s="14">
        <v>72726</v>
      </c>
      <c r="O19" s="16" t="s">
        <v>19</v>
      </c>
    </row>
    <row r="20" spans="1:37" s="2" customFormat="1" ht="18.75" x14ac:dyDescent="0.25">
      <c r="A20" s="38" t="s">
        <v>20</v>
      </c>
      <c r="B20" s="23">
        <f>SUM(C20:N20)</f>
        <v>774018</v>
      </c>
      <c r="C20" s="24">
        <v>74750</v>
      </c>
      <c r="D20" s="24">
        <v>75507</v>
      </c>
      <c r="E20" s="24">
        <v>69448</v>
      </c>
      <c r="F20" s="24">
        <v>62413</v>
      </c>
      <c r="G20" s="24">
        <v>48370</v>
      </c>
      <c r="H20" s="24">
        <v>49325</v>
      </c>
      <c r="I20" s="24">
        <v>64109</v>
      </c>
      <c r="J20" s="24">
        <v>65153</v>
      </c>
      <c r="K20" s="24">
        <v>55922</v>
      </c>
      <c r="L20" s="24">
        <v>65949</v>
      </c>
      <c r="M20" s="24">
        <v>64980</v>
      </c>
      <c r="N20" s="24">
        <v>78092</v>
      </c>
      <c r="O20" s="25" t="s">
        <v>21</v>
      </c>
    </row>
    <row r="21" spans="1:37" ht="15.75" x14ac:dyDescent="0.25">
      <c r="A21" s="26" t="s">
        <v>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1"/>
      <c r="O21" s="28" t="s">
        <v>4</v>
      </c>
      <c r="Z21" s="4" t="s">
        <v>5</v>
      </c>
      <c r="AA21" s="4" t="s">
        <v>6</v>
      </c>
      <c r="AB21" s="4" t="s">
        <v>7</v>
      </c>
      <c r="AC21" s="4" t="s">
        <v>8</v>
      </c>
      <c r="AD21" s="4" t="s">
        <v>3</v>
      </c>
      <c r="AE21" s="4" t="s">
        <v>9</v>
      </c>
      <c r="AF21" s="4" t="s">
        <v>10</v>
      </c>
      <c r="AG21" s="4" t="s">
        <v>11</v>
      </c>
      <c r="AH21" s="4" t="s">
        <v>12</v>
      </c>
      <c r="AI21" s="4" t="s">
        <v>13</v>
      </c>
      <c r="AJ21" s="4" t="s">
        <v>14</v>
      </c>
      <c r="AK21" s="4" t="s">
        <v>15</v>
      </c>
    </row>
    <row r="25" spans="1:37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2"/>
      <c r="Q25" s="2"/>
    </row>
    <row r="26" spans="1:37" ht="18" x14ac:dyDescent="0.25"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37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2"/>
      <c r="Q27" s="2"/>
    </row>
    <row r="28" spans="1:37" x14ac:dyDescent="0.25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"/>
      <c r="Q28" s="2"/>
    </row>
    <row r="29" spans="1:37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</row>
    <row r="30" spans="1:37" x14ac:dyDescent="0.25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2"/>
    </row>
    <row r="31" spans="1:37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AF31" s="13" t="s">
        <v>18</v>
      </c>
      <c r="AG31" s="17" t="s">
        <v>20</v>
      </c>
    </row>
    <row r="32" spans="1:37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  <c r="Q32" s="2"/>
      <c r="AE32" s="1">
        <v>2015</v>
      </c>
      <c r="AF32" s="29">
        <v>598458</v>
      </c>
      <c r="AG32" s="29">
        <v>635790</v>
      </c>
      <c r="AI32" s="30"/>
      <c r="AJ32" s="30"/>
    </row>
    <row r="33" spans="3:36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"/>
      <c r="Q33" s="2"/>
      <c r="AE33" s="1">
        <v>2016</v>
      </c>
      <c r="AF33" s="29">
        <v>623657</v>
      </c>
      <c r="AG33" s="29">
        <v>662478</v>
      </c>
      <c r="AI33" s="30"/>
      <c r="AJ33" s="30"/>
    </row>
    <row r="34" spans="3:36" x14ac:dyDescent="0.2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"/>
      <c r="Q34" s="2"/>
      <c r="AE34" s="1">
        <v>2017</v>
      </c>
      <c r="AF34" s="29">
        <v>667286</v>
      </c>
      <c r="AG34" s="29">
        <v>722256</v>
      </c>
      <c r="AH34" s="31"/>
      <c r="AI34" s="30"/>
      <c r="AJ34" s="30"/>
    </row>
    <row r="35" spans="3:36" x14ac:dyDescent="0.2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"/>
      <c r="Q35" s="2"/>
      <c r="AE35" s="1">
        <v>2018</v>
      </c>
      <c r="AF35" s="30">
        <f>B19</f>
        <v>710256</v>
      </c>
      <c r="AG35" s="30">
        <f>B20</f>
        <v>774018</v>
      </c>
      <c r="AH35" s="31"/>
      <c r="AI35" s="30"/>
    </row>
    <row r="36" spans="3:36" x14ac:dyDescent="0.2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"/>
      <c r="Q36" s="2"/>
    </row>
    <row r="37" spans="3:36" x14ac:dyDescent="0.2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"/>
      <c r="Q37" s="2"/>
    </row>
    <row r="38" spans="3:36" x14ac:dyDescent="0.2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"/>
      <c r="Q38" s="2"/>
    </row>
    <row r="39" spans="3:36" x14ac:dyDescent="0.2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"/>
      <c r="Q39" s="2"/>
    </row>
    <row r="40" spans="3:36" x14ac:dyDescent="0.2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"/>
      <c r="Q40" s="2"/>
    </row>
    <row r="41" spans="3:36" x14ac:dyDescent="0.2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"/>
      <c r="Q41" s="2"/>
    </row>
    <row r="42" spans="3:36" x14ac:dyDescent="0.2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"/>
      <c r="Q42" s="2"/>
    </row>
  </sheetData>
  <mergeCells count="3">
    <mergeCell ref="A1:O1"/>
    <mergeCell ref="A2:O2"/>
    <mergeCell ref="A3:N3"/>
  </mergeCells>
  <pageMargins left="0.7" right="0.7" top="0.75" bottom="0.75" header="0.3" footer="0.3"/>
  <pageSetup paperSize="9" scale="70" orientation="landscape" horizontalDpi="4294967295" verticalDpi="4294967295" r:id="rId1"/>
  <rowBreaks count="1" manualBreakCount="1">
    <brk id="42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10.8</vt:lpstr>
      <vt:lpstr>'10.8'!Print_Area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2019-04-29T03:26:16Z</cp:lastPrinted>
  <dcterms:created xsi:type="dcterms:W3CDTF">2019-02-27T06:18:18Z</dcterms:created>
  <dcterms:modified xsi:type="dcterms:W3CDTF">2019-04-29T03:26:25Z</dcterms:modified>
</cp:coreProperties>
</file>