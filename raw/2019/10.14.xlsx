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0.TOURISM\"/>
    </mc:Choice>
  </mc:AlternateContent>
  <bookViews>
    <workbookView xWindow="0" yWindow="0" windowWidth="28800" windowHeight="12330"/>
  </bookViews>
  <sheets>
    <sheet name="10.1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8" i="1" l="1"/>
  <c r="R12" i="1"/>
  <c r="R11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Q164" i="1"/>
  <c r="P164" i="1"/>
  <c r="O164" i="1"/>
  <c r="N164" i="1"/>
  <c r="M164" i="1"/>
  <c r="L164" i="1"/>
  <c r="K164" i="1"/>
  <c r="J164" i="1"/>
  <c r="Q159" i="1"/>
  <c r="P159" i="1"/>
  <c r="O159" i="1"/>
  <c r="N159" i="1"/>
  <c r="M159" i="1"/>
  <c r="L159" i="1"/>
  <c r="K159" i="1"/>
  <c r="J159" i="1"/>
  <c r="I159" i="1"/>
  <c r="H159" i="1"/>
  <c r="Q157" i="1"/>
  <c r="P157" i="1"/>
  <c r="O157" i="1"/>
  <c r="N157" i="1"/>
  <c r="M157" i="1"/>
  <c r="L157" i="1"/>
  <c r="K157" i="1"/>
  <c r="J157" i="1"/>
  <c r="Q155" i="1"/>
  <c r="P155" i="1"/>
  <c r="O155" i="1"/>
  <c r="N155" i="1"/>
  <c r="M155" i="1"/>
  <c r="L155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Q59" i="1"/>
  <c r="P59" i="1"/>
  <c r="O59" i="1"/>
  <c r="N59" i="1"/>
  <c r="M59" i="1"/>
  <c r="L59" i="1"/>
  <c r="K59" i="1"/>
  <c r="J59" i="1"/>
  <c r="I59" i="1"/>
  <c r="H59" i="1"/>
  <c r="G59" i="1"/>
  <c r="F59" i="1"/>
  <c r="Q49" i="1"/>
  <c r="P49" i="1"/>
  <c r="P6" i="1" s="1"/>
  <c r="O49" i="1"/>
  <c r="N49" i="1"/>
  <c r="M49" i="1"/>
  <c r="L49" i="1"/>
  <c r="K49" i="1"/>
  <c r="J49" i="1"/>
  <c r="I49" i="1"/>
  <c r="H49" i="1"/>
  <c r="H6" i="1" s="1"/>
  <c r="G49" i="1"/>
  <c r="F49" i="1"/>
  <c r="Q33" i="1"/>
  <c r="P33" i="1"/>
  <c r="O33" i="1"/>
  <c r="N33" i="1"/>
  <c r="M33" i="1"/>
  <c r="L33" i="1"/>
  <c r="K33" i="1"/>
  <c r="J33" i="1"/>
  <c r="I33" i="1"/>
  <c r="H33" i="1"/>
  <c r="G33" i="1"/>
  <c r="F33" i="1"/>
  <c r="F6" i="1" s="1"/>
  <c r="Q24" i="1"/>
  <c r="Q6" i="1" s="1"/>
  <c r="P24" i="1"/>
  <c r="O24" i="1"/>
  <c r="N24" i="1"/>
  <c r="M24" i="1"/>
  <c r="L24" i="1"/>
  <c r="K24" i="1"/>
  <c r="J24" i="1"/>
  <c r="I24" i="1"/>
  <c r="I6" i="1" s="1"/>
  <c r="H24" i="1"/>
  <c r="G24" i="1"/>
  <c r="G6" i="1" s="1"/>
  <c r="F24" i="1"/>
  <c r="Q16" i="1"/>
  <c r="P16" i="1"/>
  <c r="O16" i="1"/>
  <c r="N16" i="1"/>
  <c r="M16" i="1"/>
  <c r="L16" i="1"/>
  <c r="K16" i="1"/>
  <c r="J16" i="1"/>
  <c r="I16" i="1"/>
  <c r="H16" i="1"/>
  <c r="G16" i="1"/>
  <c r="F16" i="1"/>
  <c r="Q13" i="1"/>
  <c r="P13" i="1"/>
  <c r="O13" i="1"/>
  <c r="N13" i="1"/>
  <c r="M13" i="1"/>
  <c r="L13" i="1"/>
  <c r="L6" i="1" s="1"/>
  <c r="K13" i="1"/>
  <c r="J13" i="1"/>
  <c r="I13" i="1"/>
  <c r="H13" i="1"/>
  <c r="G13" i="1"/>
  <c r="F13" i="1"/>
  <c r="Q11" i="1"/>
  <c r="Q7" i="1"/>
  <c r="P7" i="1"/>
  <c r="O7" i="1"/>
  <c r="O6" i="1" s="1"/>
  <c r="N7" i="1"/>
  <c r="N6" i="1" s="1"/>
  <c r="M7" i="1"/>
  <c r="M6" i="1" s="1"/>
  <c r="L7" i="1"/>
  <c r="K7" i="1"/>
  <c r="J7" i="1"/>
  <c r="I7" i="1"/>
  <c r="H7" i="1"/>
  <c r="G7" i="1"/>
  <c r="F7" i="1"/>
  <c r="K6" i="1"/>
  <c r="J6" i="1"/>
  <c r="R142" i="1" l="1"/>
  <c r="R159" i="1"/>
  <c r="R163" i="1"/>
  <c r="R157" i="1"/>
  <c r="R147" i="1"/>
  <c r="R131" i="1"/>
  <c r="R123" i="1"/>
  <c r="R119" i="1"/>
  <c r="R111" i="1"/>
  <c r="R91" i="1"/>
  <c r="R83" i="1"/>
  <c r="R75" i="1"/>
  <c r="R67" i="1"/>
  <c r="R162" i="1"/>
  <c r="R156" i="1"/>
  <c r="R154" i="1"/>
  <c r="R138" i="1"/>
  <c r="R130" i="1"/>
  <c r="R122" i="1"/>
  <c r="R118" i="1"/>
  <c r="R110" i="1"/>
  <c r="R106" i="1"/>
  <c r="R98" i="1"/>
  <c r="R90" i="1"/>
  <c r="R82" i="1"/>
  <c r="R74" i="1"/>
  <c r="R66" i="1"/>
  <c r="R54" i="1"/>
  <c r="R42" i="1"/>
  <c r="R34" i="1"/>
  <c r="R30" i="1"/>
  <c r="R14" i="1"/>
  <c r="R9" i="1"/>
  <c r="R132" i="1"/>
  <c r="R84" i="1"/>
  <c r="R60" i="1"/>
  <c r="R36" i="1"/>
  <c r="R161" i="1"/>
  <c r="R155" i="1"/>
  <c r="R153" i="1"/>
  <c r="R141" i="1"/>
  <c r="R137" i="1"/>
  <c r="R129" i="1"/>
  <c r="R121" i="1"/>
  <c r="R117" i="1"/>
  <c r="R109" i="1"/>
  <c r="R105" i="1"/>
  <c r="R97" i="1"/>
  <c r="R89" i="1"/>
  <c r="R81" i="1"/>
  <c r="R73" i="1"/>
  <c r="R65" i="1"/>
  <c r="R53" i="1"/>
  <c r="R41" i="1"/>
  <c r="R33" i="1"/>
  <c r="R29" i="1"/>
  <c r="R17" i="1"/>
  <c r="R13" i="1"/>
  <c r="R8" i="1"/>
  <c r="R57" i="1"/>
  <c r="R124" i="1"/>
  <c r="R76" i="1"/>
  <c r="R44" i="1"/>
  <c r="R20" i="1"/>
  <c r="R160" i="1"/>
  <c r="R152" i="1"/>
  <c r="R144" i="1"/>
  <c r="R140" i="1"/>
  <c r="R136" i="1"/>
  <c r="R128" i="1"/>
  <c r="R116" i="1"/>
  <c r="R108" i="1"/>
  <c r="R104" i="1"/>
  <c r="R96" i="1"/>
  <c r="R88" i="1"/>
  <c r="R80" i="1"/>
  <c r="R72" i="1"/>
  <c r="R64" i="1"/>
  <c r="R52" i="1"/>
  <c r="R48" i="1"/>
  <c r="R40" i="1"/>
  <c r="R28" i="1"/>
  <c r="R16" i="1"/>
  <c r="R7" i="1"/>
  <c r="R134" i="1"/>
  <c r="R126" i="1"/>
  <c r="R102" i="1"/>
  <c r="R86" i="1"/>
  <c r="R70" i="1"/>
  <c r="R62" i="1"/>
  <c r="R58" i="1"/>
  <c r="R50" i="1"/>
  <c r="R46" i="1"/>
  <c r="R38" i="1"/>
  <c r="R169" i="1"/>
  <c r="R165" i="1"/>
  <c r="R125" i="1"/>
  <c r="R93" i="1"/>
  <c r="R77" i="1"/>
  <c r="R61" i="1"/>
  <c r="R45" i="1"/>
  <c r="R21" i="1"/>
  <c r="R168" i="1"/>
  <c r="R158" i="1"/>
  <c r="R148" i="1"/>
  <c r="R120" i="1"/>
  <c r="R92" i="1"/>
  <c r="R99" i="1"/>
  <c r="R59" i="1"/>
  <c r="R35" i="1"/>
  <c r="R31" i="1"/>
  <c r="R19" i="1"/>
  <c r="R15" i="1"/>
  <c r="R6" i="1"/>
  <c r="R167" i="1"/>
  <c r="R151" i="1"/>
  <c r="R143" i="1"/>
  <c r="R135" i="1"/>
  <c r="R127" i="1"/>
  <c r="R115" i="1"/>
  <c r="R103" i="1"/>
  <c r="R95" i="1"/>
  <c r="R87" i="1"/>
  <c r="R79" i="1"/>
  <c r="R71" i="1"/>
  <c r="R63" i="1"/>
  <c r="R51" i="1"/>
  <c r="R47" i="1"/>
  <c r="R39" i="1"/>
  <c r="R27" i="1"/>
  <c r="R23" i="1"/>
  <c r="R170" i="1"/>
  <c r="R166" i="1"/>
  <c r="R150" i="1"/>
  <c r="R146" i="1"/>
  <c r="R114" i="1"/>
  <c r="R94" i="1"/>
  <c r="R78" i="1"/>
  <c r="R26" i="1"/>
  <c r="R22" i="1"/>
  <c r="R149" i="1"/>
  <c r="R133" i="1"/>
  <c r="R113" i="1"/>
  <c r="R101" i="1"/>
  <c r="R85" i="1"/>
  <c r="R69" i="1"/>
  <c r="R37" i="1"/>
  <c r="R25" i="1"/>
  <c r="R164" i="1"/>
  <c r="R112" i="1"/>
  <c r="R100" i="1"/>
  <c r="R68" i="1"/>
  <c r="R56" i="1"/>
  <c r="R32" i="1"/>
  <c r="R55" i="1"/>
  <c r="R43" i="1"/>
  <c r="R10" i="1"/>
  <c r="R49" i="1"/>
  <c r="R107" i="1"/>
  <c r="R139" i="1"/>
  <c r="R145" i="1"/>
  <c r="R24" i="1"/>
</calcChain>
</file>

<file path=xl/comments1.xml><?xml version="1.0" encoding="utf-8"?>
<comments xmlns="http://schemas.openxmlformats.org/spreadsheetml/2006/main">
  <authors>
    <author>Fathimath Shifaza</author>
  </authors>
  <commentList>
    <comment ref="B101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previously known as: Soneva Gili by Six Senses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previously known as :Kudarah Island Resort</t>
        </r>
      </text>
    </comment>
  </commentList>
</comments>
</file>

<file path=xl/sharedStrings.xml><?xml version="1.0" encoding="utf-8"?>
<sst xmlns="http://schemas.openxmlformats.org/spreadsheetml/2006/main" count="674" uniqueCount="211">
  <si>
    <t>ތާވަލު 10.14: ރިސޯޓްތަކުގެ އެނދުގެ ޖާގައާއި ބައިނަލްއަޤަވާމީ ވައިގެ ބަނދަރާއިހުރި ދުރުމިން،  2013 - 2018</t>
  </si>
  <si>
    <t>Table 10.14   BED CAPACITY OF TOURIST RESORTS AND THE DISTANCE FROM MALE' INTERNATIONAL AIRPORT, 2013 - 2018</t>
  </si>
  <si>
    <t>Resorts</t>
  </si>
  <si>
    <t xml:space="preserve">Year of Initial </t>
  </si>
  <si>
    <t>Initial Bed</t>
  </si>
  <si>
    <t>Distance from</t>
  </si>
  <si>
    <t>Bed Capacity  (end year)*</t>
  </si>
  <si>
    <t xml:space="preserve">% Share </t>
  </si>
  <si>
    <t>Operation</t>
  </si>
  <si>
    <t>Capacity</t>
  </si>
  <si>
    <t>Airport (in Km)</t>
  </si>
  <si>
    <t>in 2018</t>
  </si>
  <si>
    <t>All Resorts</t>
  </si>
  <si>
    <t>-</t>
  </si>
  <si>
    <t>North Thiladhunmathi Atoll (HA)</t>
  </si>
  <si>
    <t>Alidhoo Island Resort</t>
  </si>
  <si>
    <t>Hideaway Beach Resort and Spa at Dhonakulhi Island Maldives</t>
  </si>
  <si>
    <t>JA Manafaru (Beach House Maldives)</t>
  </si>
  <si>
    <t>North Thiladhunmathi Atoll (H.Dh)</t>
  </si>
  <si>
    <t>Hondaafushi Island Resort</t>
  </si>
  <si>
    <t>2018</t>
  </si>
  <si>
    <t>na</t>
  </si>
  <si>
    <t>North Miladhunmadulu Atoll (Sh)</t>
  </si>
  <si>
    <t>Sirru Fenfushi</t>
  </si>
  <si>
    <t>Viceroy Maldives (Vagaru)</t>
  </si>
  <si>
    <t>South Miladhunmadulu Atoll (N)</t>
  </si>
  <si>
    <t>Cheval Blanc randheli</t>
  </si>
  <si>
    <t xml:space="preserve">Mövenpick Resort Kuredhivaru Maldives </t>
  </si>
  <si>
    <t>Noku Maldives  (Kudafunafaru)</t>
  </si>
  <si>
    <t>Robinson Club Maldives Noonu</t>
  </si>
  <si>
    <t>Soneva Jani (Medhufaru)</t>
  </si>
  <si>
    <t>The Sun Siyam Irufushi Maldives (Medhafushi)</t>
  </si>
  <si>
    <t xml:space="preserve">Velaa Private Island </t>
  </si>
  <si>
    <t>North Maalhosmadulu (R)</t>
  </si>
  <si>
    <t>Adaaran Select Meedhupparu</t>
  </si>
  <si>
    <t>Carpe Diem Beach Resort and Spa Maldives</t>
  </si>
  <si>
    <t>Dhigali Maldives</t>
  </si>
  <si>
    <t>Furaveri Island Resort &amp; Spa</t>
  </si>
  <si>
    <t>Joali Muravandhoo (Muravandhoo)</t>
  </si>
  <si>
    <t>Kudafushi Resort &amp; Spa</t>
  </si>
  <si>
    <t>Loama Resort Maldives at Maamigili</t>
  </si>
  <si>
    <t>Reethi Faru Resort</t>
  </si>
  <si>
    <t>South Maalhosmadulu (B)</t>
  </si>
  <si>
    <t xml:space="preserve">Anantara Kihava Villas, Maldives </t>
  </si>
  <si>
    <t>Coco Palm Dhuni Kolhu</t>
  </si>
  <si>
    <t>Dhigufaru Island Resort (Dhigufaruvinagandu)</t>
  </si>
  <si>
    <t>2016</t>
  </si>
  <si>
    <t>Dreamland - The Unique Sea &amp; Lake Resort / Spa (Hirundhoo)</t>
  </si>
  <si>
    <t>Dusit Thani Maldives (Mudhdhoo)</t>
  </si>
  <si>
    <t>2012</t>
  </si>
  <si>
    <t>Finolhu Baa Atoll Maldives (Kanufushi)</t>
  </si>
  <si>
    <t>Four Seasons Private Island Maldives at Voavah (Voavah)</t>
  </si>
  <si>
    <t>Four Seasons Resort Maldives at Landaa Giraavaru</t>
  </si>
  <si>
    <t>2006</t>
  </si>
  <si>
    <t>Kihaa Maldives</t>
  </si>
  <si>
    <t>1999</t>
  </si>
  <si>
    <t>Milaidhoo Island Maldives (Milaidhoo)</t>
  </si>
  <si>
    <t>Reethi Beach Resort</t>
  </si>
  <si>
    <t>Royal Island Resort &amp; Spa</t>
  </si>
  <si>
    <t>Soneva Fushi By Six Senses</t>
  </si>
  <si>
    <t xml:space="preserve">     1983</t>
  </si>
  <si>
    <t>The Westin Maldives Miriandhoo Resort</t>
  </si>
  <si>
    <t>Vakkaru Maldives</t>
  </si>
  <si>
    <t>Faadhippolhu (Lh)</t>
  </si>
  <si>
    <t xml:space="preserve">Atmosphere Kanifushi Maldives </t>
  </si>
  <si>
    <t>Cocoon Maldives (Ookolhu Finolhu)</t>
  </si>
  <si>
    <t>Fushifaru Maldives</t>
  </si>
  <si>
    <t>2017</t>
  </si>
  <si>
    <t>Hurawalhi Island Resort  (Hurawalhi)</t>
  </si>
  <si>
    <t>One &amp; Only Kanuhura, Maldives</t>
  </si>
  <si>
    <t>Komandoo Maldive Island Resort</t>
  </si>
  <si>
    <t xml:space="preserve">Kudadoo Maldives Private Island </t>
  </si>
  <si>
    <t>Kuredhdhoo Island Resort</t>
  </si>
  <si>
    <t xml:space="preserve">     1978</t>
  </si>
  <si>
    <t>Palm Beach Island</t>
  </si>
  <si>
    <t>Male' Atoll (K)</t>
  </si>
  <si>
    <t>Adaaran Club Rannalhi</t>
  </si>
  <si>
    <t xml:space="preserve">Adaaran Prestige Vaadhu </t>
  </si>
  <si>
    <t>Adaaran Select Hudhuranfushi (Lhohifushi)</t>
  </si>
  <si>
    <t xml:space="preserve">     1979</t>
  </si>
  <si>
    <t>Anantara Resort &amp; Spa Maldives (Dhigufinolhu)</t>
  </si>
  <si>
    <t xml:space="preserve">     1980</t>
  </si>
  <si>
    <t xml:space="preserve">Angsana Resort &amp; Spa Maldives, Ihuru </t>
  </si>
  <si>
    <t>Asdhu Sun Island</t>
  </si>
  <si>
    <t xml:space="preserve">     1981</t>
  </si>
  <si>
    <t>Bandos Maldives</t>
  </si>
  <si>
    <t xml:space="preserve">     1972</t>
  </si>
  <si>
    <t>Banyan Tree Maldives Vabbinfaru</t>
  </si>
  <si>
    <t xml:space="preserve">     1977</t>
  </si>
  <si>
    <t>Baros Holiday Resort</t>
  </si>
  <si>
    <t xml:space="preserve">     1973</t>
  </si>
  <si>
    <t>Biyaadhoo Island Resort</t>
  </si>
  <si>
    <t xml:space="preserve">     1982</t>
  </si>
  <si>
    <t>Centara Ras Fushi Resort &amp; Spa (Giraavaru)</t>
  </si>
  <si>
    <t>Cinnamon Dhonveli Maldives</t>
  </si>
  <si>
    <t>Club Med Finolhu Villas (Gasfinolhu)</t>
  </si>
  <si>
    <t>Club Med Kanifinolhu</t>
  </si>
  <si>
    <t>Coco Palm Boduhithi</t>
  </si>
  <si>
    <t xml:space="preserve">Coco Privé Kuda Hithi Island </t>
  </si>
  <si>
    <t>1984</t>
  </si>
  <si>
    <t>Cocoa Island</t>
  </si>
  <si>
    <t>Dream Island Maldives</t>
  </si>
  <si>
    <t xml:space="preserve">Embudhoo Village </t>
  </si>
  <si>
    <t>Eriyadhoo Island Resort</t>
  </si>
  <si>
    <t>Fihaalhohi Island Resort</t>
  </si>
  <si>
    <t>Four Seasons Resort Maldives at Kuda Huraa</t>
  </si>
  <si>
    <t>1977</t>
  </si>
  <si>
    <t>Fun Island Resort</t>
  </si>
  <si>
    <t>Grand Park Kohddiparu</t>
  </si>
  <si>
    <t xml:space="preserve">Holiday Inn Resort Kandooma Maldives </t>
  </si>
  <si>
    <t xml:space="preserve">     1985</t>
  </si>
  <si>
    <t>Huvafenfushi</t>
  </si>
  <si>
    <t xml:space="preserve">Jumeirah Vittaveli Island Resort at Bolifushi </t>
  </si>
  <si>
    <t>Kurumba Maldives</t>
  </si>
  <si>
    <t>Lux North Male’ Atoll (Olhahali)</t>
  </si>
  <si>
    <t>Makunudu Island</t>
  </si>
  <si>
    <t>Malahini Kuda Bandos (Kudabandos)</t>
  </si>
  <si>
    <t>Meeru Island Resort</t>
  </si>
  <si>
    <t>Naladhu (Palm Tree Island)</t>
  </si>
  <si>
    <t>Oblu By Atmosphere at Helengeli</t>
  </si>
  <si>
    <t>Oblu Select by Atmosphere at Sangeli (Akirifushi)</t>
  </si>
  <si>
    <t>Olhuveli Beach &amp; Spa Resort</t>
  </si>
  <si>
    <t>One and Only Reethi Rah, Maldives</t>
  </si>
  <si>
    <t>Ozen By Atmosphere at Maadhoo (Maadhoo Finolhu)</t>
  </si>
  <si>
    <t>Paradise Island Resort &amp; Spa</t>
  </si>
  <si>
    <t>Rihiveli Beach Resort</t>
  </si>
  <si>
    <t>Sheraton Maldives Full Moon Resort &amp; Spa</t>
  </si>
  <si>
    <t>Gili Lankanfushi</t>
  </si>
  <si>
    <t>Summer Island Maldives</t>
  </si>
  <si>
    <t>Taj Exortica Resort &amp; Spa Maldives</t>
  </si>
  <si>
    <t>Thulhaagiri Island Resort</t>
  </si>
  <si>
    <t>Velassaru Maldives (Laguna Maldives)</t>
  </si>
  <si>
    <t xml:space="preserve">     1974</t>
  </si>
  <si>
    <t>Vivanta by Taj - Coral Reef, Maldives</t>
  </si>
  <si>
    <t>North Ari Atoll (AA)</t>
  </si>
  <si>
    <t xml:space="preserve">Bathala Island Resort </t>
  </si>
  <si>
    <t>Constance Halaveli Resort</t>
  </si>
  <si>
    <t>Ellaidhoo Maldives By Cinnamon</t>
  </si>
  <si>
    <t>Gangehi Island Resort</t>
  </si>
  <si>
    <t xml:space="preserve">     1987</t>
  </si>
  <si>
    <t>Kandholhu Island Maldives</t>
  </si>
  <si>
    <t>2014</t>
  </si>
  <si>
    <t>Kuramathi Maldives</t>
  </si>
  <si>
    <t>Maayafushi Tourist Resort</t>
  </si>
  <si>
    <t>Madoogali Resort</t>
  </si>
  <si>
    <t xml:space="preserve">     1989</t>
  </si>
  <si>
    <t>Nika Island Resort</t>
  </si>
  <si>
    <t>Safari Island (Mushimasmigili)</t>
  </si>
  <si>
    <t>Velidhu Island Resort</t>
  </si>
  <si>
    <t>Veligandu Island</t>
  </si>
  <si>
    <t xml:space="preserve">     1984</t>
  </si>
  <si>
    <t>W. Retreat and Spa Maldives Fesdhu</t>
  </si>
  <si>
    <t>South Ari Atoll (ADh)</t>
  </si>
  <si>
    <t>Angaaga Island Resort and Spa</t>
  </si>
  <si>
    <t>Diamonds Athurugau Island Resort</t>
  </si>
  <si>
    <t xml:space="preserve">     1990</t>
  </si>
  <si>
    <t>Centara Grand Island Resort &amp; Spa Maldives</t>
  </si>
  <si>
    <t xml:space="preserve">  1992</t>
  </si>
  <si>
    <t>Conrad Maldives, Rangali Island</t>
  </si>
  <si>
    <t>Constance Moofushi Resort</t>
  </si>
  <si>
    <t>Drift Thelu Veliga Retreat (Theluveliga)</t>
  </si>
  <si>
    <t>Holiday Island</t>
  </si>
  <si>
    <t>Amaya Kudarah Maldives</t>
  </si>
  <si>
    <t>Lily Beach Resort</t>
  </si>
  <si>
    <t>Lux South Ari Atoll, Maldives (Diva Maldives)</t>
  </si>
  <si>
    <t>Mirihi Island Resort</t>
  </si>
  <si>
    <t>Ranveli Village</t>
  </si>
  <si>
    <t>Sun Island Resort &amp; Spa</t>
  </si>
  <si>
    <t>Thundufushi Island Resort</t>
  </si>
  <si>
    <t>Twin Island Resort</t>
  </si>
  <si>
    <t xml:space="preserve">     1991</t>
  </si>
  <si>
    <t>Vakarufalhi Island Resort</t>
  </si>
  <si>
    <t>Vilamendhoo Island Resort</t>
  </si>
  <si>
    <t>Felidhu Atoll (V)</t>
  </si>
  <si>
    <t>Alimatha Aquatic Resort</t>
  </si>
  <si>
    <t xml:space="preserve">     1975</t>
  </si>
  <si>
    <t>Dhiggiri Tourist Resort</t>
  </si>
  <si>
    <t>Mulakatholhu (M)</t>
  </si>
  <si>
    <t>Cinnamon Hakuraa Huraa Maldives</t>
  </si>
  <si>
    <t>Medhufushi Island Resort</t>
  </si>
  <si>
    <t>North Nilandhe Atoll (F)</t>
  </si>
  <si>
    <t xml:space="preserve">Filitheyo Island Resort </t>
  </si>
  <si>
    <t>South Nilandhe Atoll (D)</t>
  </si>
  <si>
    <t>AaaVeee Nature's Paradise  (Dhoores)</t>
  </si>
  <si>
    <t>Angsana Resort &amp; Spa Maldives - Velavaru</t>
  </si>
  <si>
    <t>Kandima Maldives</t>
  </si>
  <si>
    <t>Niyama (Olhuveli &amp; Embudhufushi)</t>
  </si>
  <si>
    <t>Sun Aqua Iru Veli</t>
  </si>
  <si>
    <t>Sun Aqua Vilu Reef Maldives (Vilu Reef)</t>
  </si>
  <si>
    <t>The St. Regis Vommuli Resort, Maldives (Vommuli)</t>
  </si>
  <si>
    <t>Thaa Atoll (Th)</t>
  </si>
  <si>
    <t>Maalifushi By Como (Male'fushi)</t>
  </si>
  <si>
    <t>2013</t>
  </si>
  <si>
    <t>Laamu Atoll (L)</t>
  </si>
  <si>
    <t>Six Sensese Laamu Atoll (Olhuveli)</t>
  </si>
  <si>
    <t>North Huvadhu Atoll (GA)</t>
  </si>
  <si>
    <t>Jumeirah Dhevanafushi (Meradhoo)</t>
  </si>
  <si>
    <t>Park Hyatt Maldives</t>
  </si>
  <si>
    <t>Robinson Club Maldives (Funamauddua)</t>
  </si>
  <si>
    <t>The Residence Maldives (Falhumaafushi)</t>
  </si>
  <si>
    <t>South Huvadhu Atoll (GDh)</t>
  </si>
  <si>
    <t>Amari Havodda Maldives</t>
  </si>
  <si>
    <t>Ayada Maldives(Magudhuva)</t>
  </si>
  <si>
    <t>Outrigger Konotta Maldives Resort</t>
  </si>
  <si>
    <t>Addu Atoll (S)</t>
  </si>
  <si>
    <t>Canareef Resort Maldives (Herethere)</t>
  </si>
  <si>
    <t>Shangri - La's Villingili Resort &amp; Spa, Maldives</t>
  </si>
  <si>
    <t>2009</t>
  </si>
  <si>
    <t>* Resorts beds include marinas</t>
  </si>
  <si>
    <t>Source: Ministry of Tourism</t>
  </si>
  <si>
    <t xml:space="preserve">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</si>
</sst>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#,##0.0_);\(#,##0.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rgb="FF000000"/>
      <name val="Calibri"/>
      <family val="2"/>
    </font>
    <font>
      <sz val="9"/>
      <name val="Arial"/>
      <family val="2"/>
    </font>
    <font>
      <i/>
      <sz val="9"/>
      <color theme="1"/>
      <name val="Calibri"/>
      <family val="2"/>
      <scheme val="minor"/>
    </font>
    <font>
      <i/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07">
    <xf numFmtId="0" fontId="0" fillId="0" borderId="0" xfId="0"/>
    <xf numFmtId="0" fontId="3" fillId="2" borderId="0" xfId="2" applyFont="1" applyFill="1" applyBorder="1" applyAlignment="1">
      <alignment horizontal="center" vertical="center"/>
    </xf>
    <xf numFmtId="0" fontId="4" fillId="2" borderId="0" xfId="2" applyFont="1" applyFill="1" applyBorder="1" applyAlignment="1" applyProtection="1">
      <alignment horizontal="center" vertical="center" wrapText="1"/>
    </xf>
    <xf numFmtId="0" fontId="5" fillId="2" borderId="0" xfId="2" applyFont="1" applyFill="1" applyBorder="1" applyAlignment="1" applyProtection="1">
      <alignment horizontal="center" vertical="center"/>
    </xf>
    <xf numFmtId="0" fontId="5" fillId="2" borderId="0" xfId="2" applyFont="1" applyFill="1" applyBorder="1" applyAlignment="1">
      <alignment vertical="center"/>
    </xf>
    <xf numFmtId="0" fontId="6" fillId="2" borderId="0" xfId="2" applyFont="1" applyFill="1" applyBorder="1"/>
    <xf numFmtId="0" fontId="3" fillId="2" borderId="0" xfId="2" applyFont="1" applyFill="1" applyAlignment="1">
      <alignment horizontal="center" vertical="center"/>
    </xf>
    <xf numFmtId="0" fontId="2" fillId="2" borderId="0" xfId="2" applyFont="1" applyFill="1" applyBorder="1" applyAlignment="1" applyProtection="1">
      <alignment horizontal="center" vertical="center"/>
    </xf>
    <xf numFmtId="0" fontId="5" fillId="2" borderId="0" xfId="2" applyFont="1" applyFill="1" applyAlignment="1">
      <alignment vertical="center"/>
    </xf>
    <xf numFmtId="0" fontId="6" fillId="2" borderId="0" xfId="2" applyFont="1" applyFill="1"/>
    <xf numFmtId="0" fontId="6" fillId="2" borderId="0" xfId="2" applyFont="1" applyFill="1" applyAlignment="1">
      <alignment wrapText="1"/>
    </xf>
    <xf numFmtId="0" fontId="6" fillId="2" borderId="0" xfId="2" applyFont="1" applyFill="1" applyAlignment="1">
      <alignment horizontal="right" vertical="center"/>
    </xf>
    <xf numFmtId="0" fontId="6" fillId="2" borderId="0" xfId="2" applyFont="1" applyFill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7" fillId="2" borderId="1" xfId="2" applyFont="1" applyFill="1" applyBorder="1" applyAlignment="1" applyProtection="1">
      <alignment horizontal="left" vertical="center" wrapText="1"/>
    </xf>
    <xf numFmtId="0" fontId="7" fillId="2" borderId="1" xfId="2" applyFont="1" applyFill="1" applyBorder="1" applyAlignment="1" applyProtection="1">
      <alignment horizontal="right" vertical="center"/>
    </xf>
    <xf numFmtId="0" fontId="6" fillId="2" borderId="1" xfId="2" applyFont="1" applyFill="1" applyBorder="1" applyAlignment="1">
      <alignment horizontal="right" vertical="center"/>
    </xf>
    <xf numFmtId="0" fontId="7" fillId="2" borderId="2" xfId="2" applyFont="1" applyFill="1" applyBorder="1" applyAlignment="1">
      <alignment vertical="center"/>
    </xf>
    <xf numFmtId="0" fontId="7" fillId="2" borderId="2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9" fillId="2" borderId="0" xfId="2" applyFont="1" applyFill="1" applyBorder="1" applyAlignment="1">
      <alignment horizontal="right" vertical="center"/>
    </xf>
    <xf numFmtId="0" fontId="3" fillId="2" borderId="3" xfId="2" applyFont="1" applyFill="1" applyBorder="1" applyAlignment="1">
      <alignment horizontal="center" vertical="center"/>
    </xf>
    <xf numFmtId="0" fontId="7" fillId="2" borderId="3" xfId="2" applyFont="1" applyFill="1" applyBorder="1" applyAlignment="1" applyProtection="1">
      <alignment horizontal="left" vertical="center" wrapText="1"/>
    </xf>
    <xf numFmtId="0" fontId="7" fillId="2" borderId="3" xfId="2" applyFont="1" applyFill="1" applyBorder="1" applyAlignment="1" applyProtection="1">
      <alignment horizontal="right" vertical="center"/>
    </xf>
    <xf numFmtId="1" fontId="7" fillId="2" borderId="3" xfId="2" applyNumberFormat="1" applyFont="1" applyFill="1" applyBorder="1" applyAlignment="1">
      <alignment horizontal="right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0" xfId="2" applyFont="1" applyFill="1" applyBorder="1" applyAlignment="1" applyProtection="1">
      <alignment horizontal="left" vertical="center" wrapText="1"/>
    </xf>
    <xf numFmtId="3" fontId="7" fillId="2" borderId="0" xfId="2" applyNumberFormat="1" applyFont="1" applyFill="1" applyBorder="1" applyAlignment="1" applyProtection="1">
      <alignment horizontal="right" vertical="center"/>
      <protection locked="0"/>
    </xf>
    <xf numFmtId="3" fontId="7" fillId="2" borderId="0" xfId="2" applyNumberFormat="1" applyFont="1" applyFill="1" applyBorder="1" applyAlignment="1">
      <alignment horizontal="right" vertical="center"/>
    </xf>
    <xf numFmtId="3" fontId="7" fillId="2" borderId="0" xfId="2" applyNumberFormat="1" applyFont="1" applyFill="1" applyBorder="1" applyAlignment="1">
      <alignment horizontal="center" vertical="center"/>
    </xf>
    <xf numFmtId="3" fontId="9" fillId="2" borderId="0" xfId="2" applyNumberFormat="1" applyFont="1" applyFill="1" applyBorder="1" applyAlignment="1">
      <alignment horizontal="right" vertical="center"/>
    </xf>
    <xf numFmtId="3" fontId="5" fillId="2" borderId="0" xfId="2" applyNumberFormat="1" applyFont="1" applyFill="1" applyAlignment="1">
      <alignment vertical="center"/>
    </xf>
    <xf numFmtId="0" fontId="7" fillId="2" borderId="0" xfId="2" applyFont="1" applyFill="1" applyBorder="1" applyAlignment="1">
      <alignment horizontal="left" vertical="center" wrapText="1"/>
    </xf>
    <xf numFmtId="164" fontId="7" fillId="2" borderId="0" xfId="2" applyNumberFormat="1" applyFont="1" applyFill="1" applyBorder="1" applyAlignment="1">
      <alignment horizontal="center" vertical="center"/>
    </xf>
    <xf numFmtId="1" fontId="7" fillId="2" borderId="0" xfId="2" applyNumberFormat="1" applyFont="1" applyFill="1" applyBorder="1" applyAlignment="1">
      <alignment vertical="center"/>
    </xf>
    <xf numFmtId="1" fontId="7" fillId="2" borderId="0" xfId="2" applyNumberFormat="1" applyFont="1" applyFill="1" applyBorder="1" applyAlignment="1">
      <alignment horizontal="right" vertical="center"/>
    </xf>
    <xf numFmtId="0" fontId="10" fillId="2" borderId="0" xfId="2" applyFont="1" applyFill="1" applyBorder="1" applyAlignment="1">
      <alignment horizontal="center" vertical="center"/>
    </xf>
    <xf numFmtId="0" fontId="11" fillId="2" borderId="0" xfId="2" applyFont="1" applyFill="1" applyBorder="1" applyAlignment="1" applyProtection="1">
      <alignment horizontal="left" vertical="center" wrapText="1"/>
    </xf>
    <xf numFmtId="49" fontId="11" fillId="2" borderId="0" xfId="2" applyNumberFormat="1" applyFont="1" applyFill="1" applyBorder="1" applyAlignment="1" applyProtection="1">
      <alignment horizontal="right" vertical="center"/>
    </xf>
    <xf numFmtId="3" fontId="11" fillId="2" borderId="0" xfId="2" applyNumberFormat="1" applyFont="1" applyFill="1" applyBorder="1" applyAlignment="1" applyProtection="1">
      <alignment horizontal="right" vertical="center"/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3" fontId="9" fillId="2" borderId="0" xfId="2" applyNumberFormat="1" applyFont="1" applyFill="1" applyBorder="1" applyAlignment="1" applyProtection="1">
      <alignment horizontal="right" vertical="center"/>
      <protection locked="0"/>
    </xf>
    <xf numFmtId="0" fontId="9" fillId="2" borderId="0" xfId="2" applyFont="1" applyFill="1" applyBorder="1" applyAlignment="1">
      <alignment vertical="center"/>
    </xf>
    <xf numFmtId="0" fontId="12" fillId="2" borderId="0" xfId="2" applyFont="1" applyFill="1" applyBorder="1"/>
    <xf numFmtId="0" fontId="12" fillId="2" borderId="0" xfId="2" applyFont="1" applyFill="1"/>
    <xf numFmtId="3" fontId="12" fillId="2" borderId="0" xfId="2" applyNumberFormat="1" applyFont="1" applyFill="1" applyBorder="1" applyAlignment="1">
      <alignment horizontal="right" vertical="center"/>
    </xf>
    <xf numFmtId="165" fontId="9" fillId="2" borderId="0" xfId="1" applyNumberFormat="1" applyFont="1" applyFill="1" applyBorder="1" applyAlignment="1">
      <alignment vertical="center"/>
    </xf>
    <xf numFmtId="0" fontId="10" fillId="2" borderId="4" xfId="2" applyFont="1" applyFill="1" applyBorder="1" applyAlignment="1">
      <alignment horizontal="center" vertical="center"/>
    </xf>
    <xf numFmtId="0" fontId="11" fillId="2" borderId="5" xfId="2" applyFont="1" applyFill="1" applyBorder="1" applyAlignment="1" applyProtection="1">
      <alignment horizontal="left" vertical="center" wrapText="1"/>
    </xf>
    <xf numFmtId="49" fontId="11" fillId="2" borderId="5" xfId="2" applyNumberFormat="1" applyFont="1" applyFill="1" applyBorder="1" applyAlignment="1" applyProtection="1">
      <alignment horizontal="right" vertical="center"/>
    </xf>
    <xf numFmtId="3" fontId="11" fillId="2" borderId="5" xfId="2" applyNumberFormat="1" applyFont="1" applyFill="1" applyBorder="1" applyAlignment="1" applyProtection="1">
      <alignment horizontal="right" vertical="center"/>
      <protection locked="0"/>
    </xf>
    <xf numFmtId="3" fontId="11" fillId="2" borderId="4" xfId="2" applyNumberFormat="1" applyFont="1" applyFill="1" applyBorder="1" applyAlignment="1" applyProtection="1">
      <alignment horizontal="right" vertical="center"/>
      <protection locked="0"/>
    </xf>
    <xf numFmtId="164" fontId="11" fillId="2" borderId="5" xfId="2" applyNumberFormat="1" applyFont="1" applyFill="1" applyBorder="1" applyAlignment="1">
      <alignment horizontal="center" vertical="center"/>
    </xf>
    <xf numFmtId="3" fontId="9" fillId="2" borderId="0" xfId="2" applyNumberFormat="1" applyFont="1" applyFill="1" applyBorder="1" applyAlignment="1">
      <alignment vertical="center"/>
    </xf>
    <xf numFmtId="0" fontId="11" fillId="2" borderId="0" xfId="2" applyFont="1" applyFill="1" applyBorder="1" applyAlignment="1">
      <alignment horizontal="left" vertical="center" wrapText="1"/>
    </xf>
    <xf numFmtId="1" fontId="11" fillId="2" borderId="0" xfId="2" applyNumberFormat="1" applyFont="1" applyFill="1" applyBorder="1" applyAlignment="1" applyProtection="1">
      <alignment horizontal="right" vertical="center"/>
    </xf>
    <xf numFmtId="3" fontId="11" fillId="2" borderId="0" xfId="2" applyNumberFormat="1" applyFont="1" applyFill="1" applyBorder="1" applyAlignment="1">
      <alignment horizontal="right" vertical="center"/>
    </xf>
    <xf numFmtId="1" fontId="11" fillId="2" borderId="5" xfId="2" applyNumberFormat="1" applyFont="1" applyFill="1" applyBorder="1" applyAlignment="1" applyProtection="1">
      <alignment horizontal="right" vertical="center"/>
    </xf>
    <xf numFmtId="1" fontId="11" fillId="2" borderId="5" xfId="2" applyNumberFormat="1" applyFont="1" applyFill="1" applyBorder="1" applyAlignment="1" applyProtection="1">
      <alignment horizontal="right" vertical="center"/>
      <protection locked="0"/>
    </xf>
    <xf numFmtId="3" fontId="11" fillId="2" borderId="5" xfId="2" applyNumberFormat="1" applyFont="1" applyFill="1" applyBorder="1" applyAlignment="1" applyProtection="1">
      <alignment horizontal="right" vertical="center"/>
    </xf>
    <xf numFmtId="0" fontId="9" fillId="2" borderId="0" xfId="2" applyFont="1" applyFill="1" applyAlignment="1">
      <alignment vertical="center"/>
    </xf>
    <xf numFmtId="1" fontId="11" fillId="2" borderId="0" xfId="2" applyNumberFormat="1" applyFont="1" applyFill="1" applyBorder="1" applyAlignment="1" applyProtection="1">
      <alignment horizontal="right" vertical="center"/>
      <protection locked="0"/>
    </xf>
    <xf numFmtId="1" fontId="11" fillId="2" borderId="4" xfId="2" applyNumberFormat="1" applyFont="1" applyFill="1" applyBorder="1" applyAlignment="1" applyProtection="1">
      <alignment horizontal="right" vertical="center"/>
      <protection locked="0"/>
    </xf>
    <xf numFmtId="0" fontId="10" fillId="2" borderId="6" xfId="2" applyFont="1" applyFill="1" applyBorder="1" applyAlignment="1">
      <alignment horizontal="center" vertical="center"/>
    </xf>
    <xf numFmtId="0" fontId="7" fillId="2" borderId="6" xfId="2" applyFont="1" applyFill="1" applyBorder="1" applyAlignment="1" applyProtection="1">
      <alignment horizontal="left" vertical="center" wrapText="1"/>
    </xf>
    <xf numFmtId="3" fontId="7" fillId="2" borderId="6" xfId="2" applyNumberFormat="1" applyFont="1" applyFill="1" applyBorder="1" applyAlignment="1">
      <alignment horizontal="right" vertical="center"/>
    </xf>
    <xf numFmtId="164" fontId="7" fillId="2" borderId="6" xfId="2" applyNumberFormat="1" applyFont="1" applyFill="1" applyBorder="1" applyAlignment="1">
      <alignment horizontal="center" vertical="center"/>
    </xf>
    <xf numFmtId="3" fontId="11" fillId="2" borderId="0" xfId="2" applyNumberFormat="1" applyFont="1" applyFill="1" applyBorder="1" applyAlignment="1" applyProtection="1">
      <alignment horizontal="right" vertical="center"/>
    </xf>
    <xf numFmtId="1" fontId="11" fillId="2" borderId="4" xfId="2" applyNumberFormat="1" applyFont="1" applyFill="1" applyBorder="1" applyAlignment="1" applyProtection="1">
      <alignment horizontal="right" vertical="center"/>
    </xf>
    <xf numFmtId="3" fontId="11" fillId="2" borderId="4" xfId="2" applyNumberFormat="1" applyFont="1" applyFill="1" applyBorder="1" applyAlignment="1" applyProtection="1">
      <alignment horizontal="right" vertical="center"/>
    </xf>
    <xf numFmtId="49" fontId="11" fillId="2" borderId="0" xfId="1" applyNumberFormat="1" applyFont="1" applyFill="1" applyBorder="1" applyAlignment="1" applyProtection="1">
      <alignment horizontal="right" vertical="center"/>
    </xf>
    <xf numFmtId="0" fontId="13" fillId="2" borderId="0" xfId="0" applyNumberFormat="1" applyFont="1" applyFill="1" applyBorder="1" applyAlignment="1" applyProtection="1"/>
    <xf numFmtId="0" fontId="13" fillId="2" borderId="5" xfId="0" applyNumberFormat="1" applyFont="1" applyFill="1" applyBorder="1" applyAlignment="1" applyProtection="1"/>
    <xf numFmtId="3" fontId="7" fillId="2" borderId="5" xfId="2" applyNumberFormat="1" applyFont="1" applyFill="1" applyBorder="1" applyAlignment="1" applyProtection="1">
      <alignment horizontal="right" vertical="center"/>
      <protection locked="0"/>
    </xf>
    <xf numFmtId="3" fontId="11" fillId="2" borderId="5" xfId="2" applyNumberFormat="1" applyFont="1" applyFill="1" applyBorder="1" applyAlignment="1">
      <alignment horizontal="right" vertical="center"/>
    </xf>
    <xf numFmtId="0" fontId="14" fillId="2" borderId="0" xfId="2" applyFont="1" applyFill="1" applyBorder="1" applyAlignment="1">
      <alignment horizontal="center" vertical="center"/>
    </xf>
    <xf numFmtId="3" fontId="11" fillId="2" borderId="4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Border="1" applyAlignment="1" applyProtection="1">
      <alignment horizontal="right" vertical="center"/>
      <protection locked="0"/>
    </xf>
    <xf numFmtId="164" fontId="11" fillId="2" borderId="4" xfId="2" applyNumberFormat="1" applyFont="1" applyFill="1" applyBorder="1" applyAlignment="1">
      <alignment horizontal="center" vertical="center"/>
    </xf>
    <xf numFmtId="49" fontId="11" fillId="2" borderId="5" xfId="1" applyNumberFormat="1" applyFont="1" applyFill="1" applyBorder="1" applyAlignment="1" applyProtection="1">
      <alignment horizontal="right" vertical="center"/>
    </xf>
    <xf numFmtId="0" fontId="11" fillId="2" borderId="5" xfId="2" applyFont="1" applyFill="1" applyBorder="1" applyAlignment="1">
      <alignment horizontal="left" vertical="center" wrapText="1"/>
    </xf>
    <xf numFmtId="0" fontId="11" fillId="2" borderId="5" xfId="2" applyFont="1" applyFill="1" applyBorder="1" applyAlignment="1">
      <alignment horizontal="right" vertical="center"/>
    </xf>
    <xf numFmtId="0" fontId="9" fillId="2" borderId="0" xfId="2" applyFont="1" applyFill="1"/>
    <xf numFmtId="0" fontId="11" fillId="2" borderId="0" xfId="2" applyFont="1" applyFill="1" applyBorder="1" applyAlignment="1" applyProtection="1">
      <alignment horizontal="right" vertical="center"/>
    </xf>
    <xf numFmtId="0" fontId="11" fillId="2" borderId="5" xfId="2" applyFont="1" applyFill="1" applyBorder="1" applyAlignment="1" applyProtection="1">
      <alignment horizontal="right" vertical="center"/>
    </xf>
    <xf numFmtId="0" fontId="5" fillId="2" borderId="0" xfId="2" applyFont="1" applyFill="1"/>
    <xf numFmtId="0" fontId="11" fillId="2" borderId="0" xfId="0" applyFont="1" applyFill="1" applyBorder="1" applyAlignment="1" applyProtection="1">
      <alignment horizontal="left"/>
    </xf>
    <xf numFmtId="0" fontId="11" fillId="2" borderId="0" xfId="2" applyFont="1" applyFill="1" applyBorder="1" applyAlignment="1">
      <alignment horizontal="right" vertical="center"/>
    </xf>
    <xf numFmtId="0" fontId="11" fillId="2" borderId="4" xfId="0" applyFont="1" applyFill="1" applyBorder="1" applyAlignment="1" applyProtection="1">
      <alignment horizontal="left"/>
    </xf>
    <xf numFmtId="0" fontId="11" fillId="2" borderId="4" xfId="2" applyFont="1" applyFill="1" applyBorder="1" applyAlignment="1">
      <alignment horizontal="right" vertical="center"/>
    </xf>
    <xf numFmtId="0" fontId="10" fillId="2" borderId="3" xfId="2" applyFont="1" applyFill="1" applyBorder="1" applyAlignment="1">
      <alignment horizontal="center" vertical="center"/>
    </xf>
    <xf numFmtId="0" fontId="11" fillId="2" borderId="3" xfId="2" applyFont="1" applyFill="1" applyBorder="1" applyAlignment="1" applyProtection="1">
      <alignment horizontal="left" vertical="center" wrapText="1"/>
    </xf>
    <xf numFmtId="49" fontId="11" fillId="2" borderId="3" xfId="2" applyNumberFormat="1" applyFont="1" applyFill="1" applyBorder="1" applyAlignment="1" applyProtection="1">
      <alignment horizontal="right" vertical="center"/>
    </xf>
    <xf numFmtId="3" fontId="11" fillId="2" borderId="3" xfId="2" applyNumberFormat="1" applyFont="1" applyFill="1" applyBorder="1" applyAlignment="1" applyProtection="1">
      <alignment horizontal="right" vertical="center"/>
      <protection locked="0"/>
    </xf>
    <xf numFmtId="164" fontId="11" fillId="2" borderId="3" xfId="2" applyNumberFormat="1" applyFont="1" applyFill="1" applyBorder="1" applyAlignment="1">
      <alignment horizontal="center" vertical="center"/>
    </xf>
    <xf numFmtId="0" fontId="15" fillId="2" borderId="0" xfId="2" applyFont="1" applyFill="1" applyBorder="1" applyAlignment="1" applyProtection="1">
      <alignment horizontal="left" vertical="center" wrapText="1"/>
    </xf>
    <xf numFmtId="1" fontId="12" fillId="2" borderId="0" xfId="2" applyNumberFormat="1" applyFont="1" applyFill="1" applyBorder="1" applyAlignment="1" applyProtection="1">
      <alignment horizontal="right" vertical="center"/>
    </xf>
    <xf numFmtId="164" fontId="12" fillId="2" borderId="0" xfId="2" applyNumberFormat="1" applyFont="1" applyFill="1" applyBorder="1" applyAlignment="1" applyProtection="1">
      <alignment horizontal="right" vertical="center"/>
      <protection locked="0"/>
    </xf>
    <xf numFmtId="3" fontId="9" fillId="2" borderId="0" xfId="2" applyNumberFormat="1" applyFont="1" applyFill="1" applyBorder="1" applyAlignment="1">
      <alignment horizontal="center" vertical="center"/>
    </xf>
    <xf numFmtId="0" fontId="16" fillId="2" borderId="0" xfId="2" applyFont="1" applyFill="1" applyBorder="1" applyAlignment="1" applyProtection="1">
      <alignment horizontal="right" vertical="center"/>
    </xf>
    <xf numFmtId="0" fontId="16" fillId="2" borderId="0" xfId="2" applyFont="1" applyFill="1" applyBorder="1" applyAlignment="1" applyProtection="1">
      <alignment horizontal="center" vertical="center"/>
    </xf>
    <xf numFmtId="0" fontId="16" fillId="2" borderId="0" xfId="2" applyFont="1" applyFill="1" applyBorder="1" applyAlignment="1" applyProtection="1">
      <alignment horizontal="left" vertical="center"/>
    </xf>
    <xf numFmtId="0" fontId="12" fillId="2" borderId="0" xfId="2" applyFont="1" applyFill="1" applyAlignment="1">
      <alignment vertical="center"/>
    </xf>
    <xf numFmtId="0" fontId="11" fillId="2" borderId="0" xfId="2" applyFont="1" applyFill="1" applyAlignment="1">
      <alignment wrapText="1"/>
    </xf>
    <xf numFmtId="164" fontId="11" fillId="2" borderId="0" xfId="2" applyNumberFormat="1" applyFont="1" applyFill="1" applyBorder="1" applyAlignment="1" applyProtection="1">
      <alignment horizontal="right" vertical="center" wrapText="1"/>
      <protection locked="0"/>
    </xf>
    <xf numFmtId="0" fontId="12" fillId="2" borderId="0" xfId="2" applyFont="1" applyFill="1" applyBorder="1" applyAlignment="1" applyProtection="1">
      <alignment horizontal="left" vertical="center" wrapText="1"/>
    </xf>
    <xf numFmtId="166" fontId="12" fillId="2" borderId="0" xfId="2" applyNumberFormat="1" applyFont="1" applyFill="1" applyBorder="1" applyAlignment="1" applyProtection="1">
      <alignment horizontal="right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297"/>
  <sheetViews>
    <sheetView tabSelected="1" topLeftCell="A132" workbookViewId="0">
      <selection activeCell="W142" sqref="W142"/>
    </sheetView>
  </sheetViews>
  <sheetFormatPr defaultColWidth="9.140625" defaultRowHeight="12.75" x14ac:dyDescent="0.2"/>
  <cols>
    <col min="1" max="1" width="3.42578125" style="6" customWidth="1"/>
    <col min="2" max="2" width="49.28515625" style="10" customWidth="1"/>
    <col min="3" max="3" width="12.42578125" style="11" customWidth="1"/>
    <col min="4" max="4" width="9.28515625" style="11" customWidth="1"/>
    <col min="5" max="5" width="14" style="11" customWidth="1"/>
    <col min="6" max="11" width="8" style="11" hidden="1" customWidth="1"/>
    <col min="12" max="17" width="8" style="11" customWidth="1"/>
    <col min="18" max="18" width="12.28515625" style="12" customWidth="1"/>
    <col min="19" max="19" width="7.5703125" style="9" customWidth="1"/>
    <col min="20" max="20" width="11" style="9" bestFit="1" customWidth="1"/>
    <col min="21" max="16384" width="9.140625" style="9"/>
  </cols>
  <sheetData>
    <row r="1" spans="1:29" s="5" customFormat="1" ht="21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</row>
    <row r="2" spans="1:29" ht="15.75" customHeight="1" x14ac:dyDescent="0.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3"/>
      <c r="T2" s="8"/>
    </row>
    <row r="3" spans="1:29" ht="4.5" customHeight="1" x14ac:dyDescent="0.2"/>
    <row r="4" spans="1:29" ht="13.5" customHeight="1" x14ac:dyDescent="0.2">
      <c r="A4" s="13"/>
      <c r="B4" s="14" t="s">
        <v>2</v>
      </c>
      <c r="C4" s="15" t="s">
        <v>3</v>
      </c>
      <c r="D4" s="15" t="s">
        <v>4</v>
      </c>
      <c r="E4" s="15" t="s">
        <v>5</v>
      </c>
      <c r="F4" s="16"/>
      <c r="G4" s="17"/>
      <c r="H4" s="17"/>
      <c r="I4" s="17"/>
      <c r="J4" s="18" t="s">
        <v>6</v>
      </c>
      <c r="K4" s="18"/>
      <c r="L4" s="18"/>
      <c r="M4" s="18"/>
      <c r="N4" s="18"/>
      <c r="O4" s="18"/>
      <c r="P4" s="18"/>
      <c r="Q4" s="18"/>
      <c r="R4" s="19" t="s">
        <v>7</v>
      </c>
      <c r="S4" s="20"/>
      <c r="T4" s="8"/>
    </row>
    <row r="5" spans="1:29" ht="13.5" customHeight="1" x14ac:dyDescent="0.2">
      <c r="A5" s="21"/>
      <c r="B5" s="22"/>
      <c r="C5" s="23" t="s">
        <v>8</v>
      </c>
      <c r="D5" s="23" t="s">
        <v>9</v>
      </c>
      <c r="E5" s="23" t="s">
        <v>10</v>
      </c>
      <c r="F5" s="24">
        <v>2007</v>
      </c>
      <c r="G5" s="24">
        <v>2008</v>
      </c>
      <c r="H5" s="24">
        <v>2009</v>
      </c>
      <c r="I5" s="24">
        <v>2010</v>
      </c>
      <c r="J5" s="24">
        <v>2011</v>
      </c>
      <c r="K5" s="24">
        <v>2012</v>
      </c>
      <c r="L5" s="24">
        <v>2013</v>
      </c>
      <c r="M5" s="24">
        <v>2014</v>
      </c>
      <c r="N5" s="24">
        <v>2015</v>
      </c>
      <c r="O5" s="24">
        <v>2016</v>
      </c>
      <c r="P5" s="24">
        <v>2017</v>
      </c>
      <c r="Q5" s="24">
        <v>2018</v>
      </c>
      <c r="R5" s="25" t="s">
        <v>11</v>
      </c>
      <c r="S5" s="20"/>
      <c r="T5" s="8"/>
    </row>
    <row r="6" spans="1:29" ht="15.95" customHeight="1" x14ac:dyDescent="0.2">
      <c r="A6" s="1"/>
      <c r="B6" s="26" t="s">
        <v>12</v>
      </c>
      <c r="C6" s="27" t="s">
        <v>13</v>
      </c>
      <c r="D6" s="27" t="s">
        <v>13</v>
      </c>
      <c r="E6" s="27" t="s">
        <v>13</v>
      </c>
      <c r="F6" s="28">
        <f>F24+F33+F49+F59+F107+F121+F139+F142+F145+F147+F7+F168</f>
        <v>18724</v>
      </c>
      <c r="G6" s="28">
        <f>G24+G33+G49+G59+G107+G121+G139+G142+G145+G147+G7+G168+G16</f>
        <v>19556</v>
      </c>
      <c r="H6" s="28">
        <f>H24+H33+H49+H59+H107+H121+H139+H142+H145+H147+H7+H168+H16+H159</f>
        <v>20638</v>
      </c>
      <c r="I6" s="28">
        <f>I24+I33+I49+I59+I107+I121+I139+I142+I145+I147+I7+I168+I16+I159</f>
        <v>21046</v>
      </c>
      <c r="J6" s="28">
        <f>J24+J33+J49+J59+J107+J121+J139+J142+J145+J147+J7+J168+J16+J159+J157+J164</f>
        <v>21816</v>
      </c>
      <c r="K6" s="28">
        <f>K24+K33+K49+K59+K107+K121+K139+K142+K145+K147+K7+K168+K16+K159+K157+K164+K13</f>
        <v>22585</v>
      </c>
      <c r="L6" s="28">
        <f>L7+L13+L16+L24+L33+L49+L59+L107+L121+L139+L142+L145+L147+L157+L159+L164+L168+L155</f>
        <v>23487</v>
      </c>
      <c r="M6" s="28">
        <f>M7+M13+M16+M24+M33+M49+M59+M107+M121+M139+M142+M145+M147+M157+M159+M164+M168+M155</f>
        <v>24031</v>
      </c>
      <c r="N6" s="28">
        <f>N7+N13+N16+N24+N33+N49+N59+N107+N121+N139+N142+N145+N147+N157+N159+N164+N168+N155</f>
        <v>24877</v>
      </c>
      <c r="O6" s="28">
        <f>O7+O13+O16+O24+O33+O49+O59+O107+O121+O139+O142+O145+O147+O157+O159+O164+O168+O155</f>
        <v>26933</v>
      </c>
      <c r="P6" s="28">
        <f>P7+P13+P16+P24+P33+P49+P59+P107+P121+P139+P142+P145+P147+P157+P159+P164+P168+P155</f>
        <v>29977</v>
      </c>
      <c r="Q6" s="28">
        <f>Q7+Q13+Q16+Q24+Q33+Q49+Q59+Q107+Q121+Q139+Q142+Q145+Q147+Q157+Q159+Q164+Q168+Q155+Q11</f>
        <v>31741</v>
      </c>
      <c r="R6" s="29">
        <f>Q6/Q$6*100</f>
        <v>100</v>
      </c>
      <c r="S6" s="30"/>
      <c r="T6" s="31"/>
    </row>
    <row r="7" spans="1:29" ht="15.95" customHeight="1" x14ac:dyDescent="0.2">
      <c r="A7" s="1"/>
      <c r="B7" s="32" t="s">
        <v>14</v>
      </c>
      <c r="C7" s="27" t="s">
        <v>13</v>
      </c>
      <c r="D7" s="27" t="s">
        <v>13</v>
      </c>
      <c r="E7" s="27" t="s">
        <v>13</v>
      </c>
      <c r="F7" s="28">
        <f t="shared" ref="F7:L7" si="0">SUM(F8:F10)</f>
        <v>390</v>
      </c>
      <c r="G7" s="28">
        <f t="shared" si="0"/>
        <v>432</v>
      </c>
      <c r="H7" s="28">
        <f t="shared" si="0"/>
        <v>432</v>
      </c>
      <c r="I7" s="28">
        <f t="shared" si="0"/>
        <v>456</v>
      </c>
      <c r="J7" s="28">
        <f t="shared" si="0"/>
        <v>456</v>
      </c>
      <c r="K7" s="28">
        <f t="shared" si="0"/>
        <v>456</v>
      </c>
      <c r="L7" s="28">
        <f t="shared" si="0"/>
        <v>456</v>
      </c>
      <c r="M7" s="28">
        <f>SUM(M8:M10)</f>
        <v>464</v>
      </c>
      <c r="N7" s="28">
        <f>SUM(N8:N10)</f>
        <v>464</v>
      </c>
      <c r="O7" s="28">
        <f>SUM(O8:O10)</f>
        <v>464</v>
      </c>
      <c r="P7" s="28">
        <f>SUM(P8:P10)</f>
        <v>594</v>
      </c>
      <c r="Q7" s="28">
        <f>SUM(Q8:Q10)</f>
        <v>594</v>
      </c>
      <c r="R7" s="33">
        <f>Q7/Q$6*100</f>
        <v>1.8713966163636937</v>
      </c>
      <c r="S7" s="30"/>
      <c r="T7" s="34"/>
      <c r="U7" s="34"/>
      <c r="V7" s="34"/>
      <c r="W7" s="34"/>
      <c r="X7" s="35"/>
      <c r="Y7" s="34"/>
      <c r="Z7" s="34"/>
      <c r="AA7" s="34"/>
      <c r="AB7" s="34"/>
      <c r="AC7" s="5"/>
    </row>
    <row r="8" spans="1:29" s="44" customFormat="1" ht="25.5" customHeight="1" x14ac:dyDescent="0.2">
      <c r="A8" s="36">
        <v>1</v>
      </c>
      <c r="B8" s="37" t="s">
        <v>15</v>
      </c>
      <c r="C8" s="38">
        <v>2007</v>
      </c>
      <c r="D8" s="39">
        <v>66</v>
      </c>
      <c r="E8" s="39">
        <v>300</v>
      </c>
      <c r="F8" s="39">
        <v>200</v>
      </c>
      <c r="G8" s="39">
        <v>200</v>
      </c>
      <c r="H8" s="39">
        <v>200</v>
      </c>
      <c r="I8" s="39">
        <v>200</v>
      </c>
      <c r="J8" s="39">
        <v>200</v>
      </c>
      <c r="K8" s="39">
        <v>200</v>
      </c>
      <c r="L8" s="39">
        <v>200</v>
      </c>
      <c r="M8" s="39">
        <v>200</v>
      </c>
      <c r="N8" s="39">
        <v>200</v>
      </c>
      <c r="O8" s="39">
        <v>200</v>
      </c>
      <c r="P8" s="39">
        <v>200</v>
      </c>
      <c r="Q8" s="39">
        <v>200</v>
      </c>
      <c r="R8" s="40">
        <f>Q8/Q$6*100</f>
        <v>0.63009987082952645</v>
      </c>
      <c r="S8" s="41"/>
      <c r="T8" s="42"/>
      <c r="U8" s="43"/>
      <c r="V8" s="43"/>
      <c r="W8" s="43"/>
      <c r="X8" s="43"/>
      <c r="Y8" s="43"/>
      <c r="Z8" s="43"/>
      <c r="AA8" s="43"/>
      <c r="AB8" s="43"/>
      <c r="AC8" s="43"/>
    </row>
    <row r="9" spans="1:29" s="44" customFormat="1" ht="21.75" customHeight="1" x14ac:dyDescent="0.2">
      <c r="A9" s="36">
        <v>2</v>
      </c>
      <c r="B9" s="37" t="s">
        <v>16</v>
      </c>
      <c r="C9" s="38">
        <v>2005</v>
      </c>
      <c r="D9" s="39">
        <v>50</v>
      </c>
      <c r="E9" s="39">
        <v>250</v>
      </c>
      <c r="F9" s="39">
        <v>90</v>
      </c>
      <c r="G9" s="39">
        <v>90</v>
      </c>
      <c r="H9" s="39">
        <v>90</v>
      </c>
      <c r="I9" s="39">
        <v>90</v>
      </c>
      <c r="J9" s="39">
        <v>90</v>
      </c>
      <c r="K9" s="39">
        <v>90</v>
      </c>
      <c r="L9" s="39">
        <v>90</v>
      </c>
      <c r="M9" s="39">
        <v>90</v>
      </c>
      <c r="N9" s="39">
        <v>90</v>
      </c>
      <c r="O9" s="39">
        <v>90</v>
      </c>
      <c r="P9" s="39">
        <v>220</v>
      </c>
      <c r="Q9" s="39">
        <v>220</v>
      </c>
      <c r="R9" s="40">
        <f>Q9/Q$6*100</f>
        <v>0.69310985791247914</v>
      </c>
      <c r="S9" s="45"/>
      <c r="T9" s="46"/>
      <c r="U9" s="46"/>
      <c r="V9" s="46"/>
      <c r="W9" s="46"/>
      <c r="X9" s="46"/>
      <c r="Y9" s="46"/>
      <c r="Z9" s="46"/>
      <c r="AA9" s="46"/>
      <c r="AB9" s="46"/>
      <c r="AC9" s="43"/>
    </row>
    <row r="10" spans="1:29" s="44" customFormat="1" ht="12.75" customHeight="1" x14ac:dyDescent="0.2">
      <c r="A10" s="47">
        <v>3</v>
      </c>
      <c r="B10" s="48" t="s">
        <v>17</v>
      </c>
      <c r="C10" s="49">
        <v>2007</v>
      </c>
      <c r="D10" s="50">
        <v>100</v>
      </c>
      <c r="E10" s="50">
        <v>337</v>
      </c>
      <c r="F10" s="50">
        <v>100</v>
      </c>
      <c r="G10" s="50">
        <v>142</v>
      </c>
      <c r="H10" s="50">
        <v>142</v>
      </c>
      <c r="I10" s="50">
        <v>166</v>
      </c>
      <c r="J10" s="50">
        <v>166</v>
      </c>
      <c r="K10" s="50">
        <v>166</v>
      </c>
      <c r="L10" s="51">
        <v>166</v>
      </c>
      <c r="M10" s="51">
        <v>174</v>
      </c>
      <c r="N10" s="51">
        <v>174</v>
      </c>
      <c r="O10" s="51">
        <v>174</v>
      </c>
      <c r="P10" s="51">
        <v>174</v>
      </c>
      <c r="Q10" s="51">
        <v>174</v>
      </c>
      <c r="R10" s="52">
        <f>Q10/Q$6*100</f>
        <v>0.54818688762168799</v>
      </c>
      <c r="S10" s="41"/>
      <c r="T10" s="53"/>
      <c r="U10" s="53"/>
      <c r="V10" s="53"/>
      <c r="W10" s="53"/>
      <c r="X10" s="53"/>
      <c r="Y10" s="53"/>
      <c r="Z10" s="53"/>
      <c r="AA10" s="53"/>
      <c r="AB10" s="53"/>
      <c r="AC10" s="43"/>
    </row>
    <row r="11" spans="1:29" s="44" customFormat="1" ht="12.75" customHeight="1" x14ac:dyDescent="0.2">
      <c r="A11" s="36"/>
      <c r="B11" s="32" t="s">
        <v>18</v>
      </c>
      <c r="C11" s="27" t="s">
        <v>13</v>
      </c>
      <c r="D11" s="27" t="s">
        <v>13</v>
      </c>
      <c r="E11" s="27" t="s">
        <v>13</v>
      </c>
      <c r="F11" s="27" t="s">
        <v>13</v>
      </c>
      <c r="G11" s="27" t="s">
        <v>13</v>
      </c>
      <c r="H11" s="27" t="s">
        <v>13</v>
      </c>
      <c r="I11" s="27" t="s">
        <v>13</v>
      </c>
      <c r="J11" s="27" t="s">
        <v>13</v>
      </c>
      <c r="K11" s="27" t="s">
        <v>13</v>
      </c>
      <c r="L11" s="27" t="s">
        <v>13</v>
      </c>
      <c r="M11" s="27" t="s">
        <v>13</v>
      </c>
      <c r="N11" s="27" t="s">
        <v>13</v>
      </c>
      <c r="O11" s="27" t="s">
        <v>13</v>
      </c>
      <c r="P11" s="27" t="s">
        <v>13</v>
      </c>
      <c r="Q11" s="39">
        <f>SUM(Q12)</f>
        <v>118</v>
      </c>
      <c r="R11" s="40">
        <f>Q11/Q$6*100</f>
        <v>0.37175892378942066</v>
      </c>
      <c r="S11" s="41"/>
      <c r="T11" s="53"/>
      <c r="U11" s="53"/>
      <c r="V11" s="53"/>
      <c r="W11" s="53"/>
      <c r="X11" s="53"/>
      <c r="Y11" s="53"/>
      <c r="Z11" s="53"/>
      <c r="AA11" s="53"/>
      <c r="AB11" s="53"/>
      <c r="AC11" s="43"/>
    </row>
    <row r="12" spans="1:29" s="44" customFormat="1" ht="12.75" customHeight="1" x14ac:dyDescent="0.2">
      <c r="A12" s="36">
        <v>4</v>
      </c>
      <c r="B12" s="37" t="s">
        <v>19</v>
      </c>
      <c r="C12" s="38" t="s">
        <v>20</v>
      </c>
      <c r="D12" s="39">
        <v>118</v>
      </c>
      <c r="E12" s="39" t="s">
        <v>21</v>
      </c>
      <c r="F12" s="39"/>
      <c r="G12" s="39"/>
      <c r="H12" s="39"/>
      <c r="I12" s="39"/>
      <c r="J12" s="39"/>
      <c r="K12" s="39"/>
      <c r="L12" s="28" t="s">
        <v>13</v>
      </c>
      <c r="M12" s="28" t="s">
        <v>13</v>
      </c>
      <c r="N12" s="28" t="s">
        <v>13</v>
      </c>
      <c r="O12" s="28" t="s">
        <v>13</v>
      </c>
      <c r="P12" s="28" t="s">
        <v>13</v>
      </c>
      <c r="Q12" s="39">
        <v>118</v>
      </c>
      <c r="R12" s="40">
        <f>Q12/Q$6*100</f>
        <v>0.37175892378942066</v>
      </c>
      <c r="S12" s="41"/>
      <c r="T12" s="53"/>
      <c r="U12" s="53"/>
      <c r="V12" s="53"/>
      <c r="W12" s="53"/>
      <c r="X12" s="53"/>
      <c r="Y12" s="53"/>
      <c r="Z12" s="53"/>
      <c r="AA12" s="53"/>
      <c r="AB12" s="53"/>
      <c r="AC12" s="43"/>
    </row>
    <row r="13" spans="1:29" s="44" customFormat="1" ht="21.75" customHeight="1" x14ac:dyDescent="0.2">
      <c r="A13" s="36"/>
      <c r="B13" s="32" t="s">
        <v>22</v>
      </c>
      <c r="C13" s="27" t="s">
        <v>13</v>
      </c>
      <c r="D13" s="27" t="s">
        <v>13</v>
      </c>
      <c r="E13" s="27" t="s">
        <v>13</v>
      </c>
      <c r="F13" s="28">
        <f t="shared" ref="F13:K13" si="1">SUM(F15)</f>
        <v>0</v>
      </c>
      <c r="G13" s="28">
        <f t="shared" si="1"/>
        <v>0</v>
      </c>
      <c r="H13" s="28">
        <f t="shared" si="1"/>
        <v>0</v>
      </c>
      <c r="I13" s="28">
        <f t="shared" si="1"/>
        <v>0</v>
      </c>
      <c r="J13" s="28">
        <f t="shared" si="1"/>
        <v>0</v>
      </c>
      <c r="K13" s="28">
        <f t="shared" si="1"/>
        <v>97</v>
      </c>
      <c r="L13" s="28">
        <f>SUM(L15)</f>
        <v>159</v>
      </c>
      <c r="M13" s="28">
        <f>SUM(M15)</f>
        <v>159</v>
      </c>
      <c r="N13" s="28">
        <f>SUM(N15)</f>
        <v>159</v>
      </c>
      <c r="O13" s="28">
        <f>SUM(O15)</f>
        <v>159</v>
      </c>
      <c r="P13" s="28">
        <f>SUM(P14:P15)</f>
        <v>227</v>
      </c>
      <c r="Q13" s="28">
        <f>SUM(Q14:Q15)</f>
        <v>227</v>
      </c>
      <c r="R13" s="33">
        <f>Q13/Q$6*100</f>
        <v>0.7151633533915126</v>
      </c>
      <c r="S13" s="45"/>
      <c r="T13" s="42"/>
      <c r="U13" s="43"/>
      <c r="V13" s="43"/>
      <c r="W13" s="43"/>
      <c r="X13" s="43"/>
      <c r="Y13" s="43"/>
      <c r="Z13" s="43"/>
      <c r="AA13" s="43"/>
      <c r="AB13" s="43"/>
      <c r="AC13" s="43"/>
    </row>
    <row r="14" spans="1:29" s="44" customFormat="1" ht="15" customHeight="1" x14ac:dyDescent="0.2">
      <c r="A14" s="36">
        <v>5</v>
      </c>
      <c r="B14" s="54" t="s">
        <v>23</v>
      </c>
      <c r="C14" s="55">
        <v>2017</v>
      </c>
      <c r="D14" s="39">
        <v>68</v>
      </c>
      <c r="E14" s="27" t="s">
        <v>13</v>
      </c>
      <c r="F14" s="28"/>
      <c r="G14" s="28"/>
      <c r="H14" s="28"/>
      <c r="I14" s="28"/>
      <c r="J14" s="28"/>
      <c r="K14" s="28"/>
      <c r="L14" s="39" t="s">
        <v>13</v>
      </c>
      <c r="M14" s="39" t="s">
        <v>13</v>
      </c>
      <c r="N14" s="39" t="s">
        <v>13</v>
      </c>
      <c r="O14" s="28" t="s">
        <v>13</v>
      </c>
      <c r="P14" s="56">
        <v>68</v>
      </c>
      <c r="Q14" s="56">
        <v>68</v>
      </c>
      <c r="R14" s="40">
        <f>Q14/Q$6*100</f>
        <v>0.21423395608203902</v>
      </c>
      <c r="S14" s="45"/>
      <c r="T14" s="42"/>
      <c r="U14" s="43"/>
      <c r="V14" s="43"/>
      <c r="W14" s="43"/>
      <c r="X14" s="43"/>
      <c r="Y14" s="43"/>
      <c r="Z14" s="43"/>
      <c r="AA14" s="43"/>
      <c r="AB14" s="43"/>
      <c r="AC14" s="43"/>
    </row>
    <row r="15" spans="1:29" s="44" customFormat="1" ht="24.75" customHeight="1" x14ac:dyDescent="0.2">
      <c r="A15" s="47">
        <v>6</v>
      </c>
      <c r="B15" s="48" t="s">
        <v>24</v>
      </c>
      <c r="C15" s="57">
        <v>2012</v>
      </c>
      <c r="D15" s="58">
        <v>97</v>
      </c>
      <c r="E15" s="50" t="s">
        <v>13</v>
      </c>
      <c r="F15" s="58" t="s">
        <v>13</v>
      </c>
      <c r="G15" s="58" t="s">
        <v>13</v>
      </c>
      <c r="H15" s="58" t="s">
        <v>13</v>
      </c>
      <c r="I15" s="58" t="s">
        <v>13</v>
      </c>
      <c r="J15" s="58" t="s">
        <v>13</v>
      </c>
      <c r="K15" s="59">
        <v>97</v>
      </c>
      <c r="L15" s="51">
        <v>159</v>
      </c>
      <c r="M15" s="51">
        <v>159</v>
      </c>
      <c r="N15" s="51">
        <v>159</v>
      </c>
      <c r="O15" s="51">
        <v>159</v>
      </c>
      <c r="P15" s="51">
        <v>159</v>
      </c>
      <c r="Q15" s="51">
        <v>159</v>
      </c>
      <c r="R15" s="52">
        <f>Q15/Q$6*100</f>
        <v>0.50092939730947361</v>
      </c>
      <c r="S15" s="45"/>
      <c r="T15" s="60"/>
    </row>
    <row r="16" spans="1:29" ht="15.95" customHeight="1" x14ac:dyDescent="0.2">
      <c r="A16" s="36"/>
      <c r="B16" s="32" t="s">
        <v>25</v>
      </c>
      <c r="C16" s="27" t="s">
        <v>13</v>
      </c>
      <c r="D16" s="27" t="s">
        <v>13</v>
      </c>
      <c r="E16" s="27" t="s">
        <v>13</v>
      </c>
      <c r="F16" s="28">
        <f t="shared" ref="F16:K16" si="2">SUM(F19:F23)</f>
        <v>0</v>
      </c>
      <c r="G16" s="28">
        <f t="shared" si="2"/>
        <v>400</v>
      </c>
      <c r="H16" s="28">
        <f t="shared" si="2"/>
        <v>490</v>
      </c>
      <c r="I16" s="28">
        <f t="shared" si="2"/>
        <v>542</v>
      </c>
      <c r="J16" s="28">
        <f t="shared" si="2"/>
        <v>542</v>
      </c>
      <c r="K16" s="28">
        <f t="shared" si="2"/>
        <v>542</v>
      </c>
      <c r="L16" s="28">
        <f t="shared" ref="L16:Q16" si="3">SUM(L17:L23)</f>
        <v>796</v>
      </c>
      <c r="M16" s="28">
        <f t="shared" si="3"/>
        <v>796</v>
      </c>
      <c r="N16" s="28">
        <f t="shared" si="3"/>
        <v>796</v>
      </c>
      <c r="O16" s="28">
        <f t="shared" si="3"/>
        <v>832</v>
      </c>
      <c r="P16" s="28">
        <f t="shared" si="3"/>
        <v>1176</v>
      </c>
      <c r="Q16" s="28">
        <f t="shared" si="3"/>
        <v>1388</v>
      </c>
      <c r="R16" s="33">
        <f>Q16/Q$6*100</f>
        <v>4.3728931035569136</v>
      </c>
      <c r="S16" s="45"/>
      <c r="T16" s="8"/>
    </row>
    <row r="17" spans="1:29" ht="15.95" customHeight="1" x14ac:dyDescent="0.2">
      <c r="A17" s="36">
        <v>7</v>
      </c>
      <c r="B17" s="37" t="s">
        <v>26</v>
      </c>
      <c r="C17" s="61">
        <v>2013</v>
      </c>
      <c r="D17" s="61">
        <v>120</v>
      </c>
      <c r="E17" s="61">
        <v>169</v>
      </c>
      <c r="F17" s="61" t="s">
        <v>13</v>
      </c>
      <c r="G17" s="61" t="s">
        <v>13</v>
      </c>
      <c r="H17" s="61" t="s">
        <v>13</v>
      </c>
      <c r="I17" s="61" t="s">
        <v>13</v>
      </c>
      <c r="J17" s="61" t="s">
        <v>13</v>
      </c>
      <c r="K17" s="61" t="s">
        <v>13</v>
      </c>
      <c r="L17" s="39">
        <v>120</v>
      </c>
      <c r="M17" s="39">
        <v>120</v>
      </c>
      <c r="N17" s="39">
        <v>120</v>
      </c>
      <c r="O17" s="39">
        <v>120</v>
      </c>
      <c r="P17" s="39">
        <v>120</v>
      </c>
      <c r="Q17" s="39">
        <v>120</v>
      </c>
      <c r="R17" s="40">
        <f>Q17/Q$6*100</f>
        <v>0.37805992249771586</v>
      </c>
      <c r="S17" s="45"/>
      <c r="T17" s="8"/>
    </row>
    <row r="18" spans="1:29" ht="15.95" customHeight="1" x14ac:dyDescent="0.2">
      <c r="A18" s="36">
        <v>8</v>
      </c>
      <c r="B18" s="37" t="s">
        <v>27</v>
      </c>
      <c r="C18" s="38" t="s">
        <v>20</v>
      </c>
      <c r="D18" s="61">
        <v>212</v>
      </c>
      <c r="E18" s="39" t="s">
        <v>21</v>
      </c>
      <c r="F18" s="39"/>
      <c r="G18" s="39"/>
      <c r="H18" s="39"/>
      <c r="I18" s="39"/>
      <c r="J18" s="39"/>
      <c r="K18" s="39"/>
      <c r="L18" s="28" t="s">
        <v>13</v>
      </c>
      <c r="M18" s="28" t="s">
        <v>13</v>
      </c>
      <c r="N18" s="28" t="s">
        <v>13</v>
      </c>
      <c r="O18" s="28" t="s">
        <v>13</v>
      </c>
      <c r="P18" s="28" t="s">
        <v>13</v>
      </c>
      <c r="Q18" s="39">
        <v>212</v>
      </c>
      <c r="R18" s="40">
        <f>Q18/Q$6*100</f>
        <v>0.66790586307929811</v>
      </c>
      <c r="S18" s="45"/>
      <c r="T18" s="8"/>
    </row>
    <row r="19" spans="1:29" ht="22.5" customHeight="1" x14ac:dyDescent="0.2">
      <c r="A19" s="36">
        <v>9</v>
      </c>
      <c r="B19" s="37" t="s">
        <v>28</v>
      </c>
      <c r="C19" s="55">
        <v>2008</v>
      </c>
      <c r="D19" s="39">
        <v>100</v>
      </c>
      <c r="E19" s="39">
        <v>180</v>
      </c>
      <c r="F19" s="39" t="s">
        <v>13</v>
      </c>
      <c r="G19" s="39">
        <v>100</v>
      </c>
      <c r="H19" s="39">
        <v>100</v>
      </c>
      <c r="I19" s="39">
        <v>100</v>
      </c>
      <c r="J19" s="39">
        <v>100</v>
      </c>
      <c r="K19" s="39">
        <v>100</v>
      </c>
      <c r="L19" s="39">
        <v>100</v>
      </c>
      <c r="M19" s="39">
        <v>100</v>
      </c>
      <c r="N19" s="39">
        <v>100</v>
      </c>
      <c r="O19" s="39">
        <v>100</v>
      </c>
      <c r="P19" s="39">
        <v>100</v>
      </c>
      <c r="Q19" s="39">
        <v>100</v>
      </c>
      <c r="R19" s="40">
        <f t="shared" ref="R18:R22" si="4">Q19/Q$6*100</f>
        <v>0.31504993541476323</v>
      </c>
      <c r="S19" s="45"/>
      <c r="T19" s="60"/>
      <c r="U19" s="44"/>
      <c r="V19" s="44"/>
      <c r="W19" s="44"/>
      <c r="X19" s="44"/>
      <c r="Y19" s="44"/>
      <c r="Z19" s="44"/>
      <c r="AA19" s="44"/>
      <c r="AB19" s="44"/>
      <c r="AC19" s="44"/>
    </row>
    <row r="20" spans="1:29" ht="22.5" customHeight="1" x14ac:dyDescent="0.2">
      <c r="A20" s="36">
        <v>10</v>
      </c>
      <c r="B20" s="37" t="s">
        <v>29</v>
      </c>
      <c r="C20" s="55">
        <v>2017</v>
      </c>
      <c r="D20" s="27" t="s">
        <v>13</v>
      </c>
      <c r="E20" s="39" t="s">
        <v>21</v>
      </c>
      <c r="F20" s="61"/>
      <c r="G20" s="61"/>
      <c r="H20" s="61"/>
      <c r="I20" s="61"/>
      <c r="J20" s="61"/>
      <c r="K20" s="61"/>
      <c r="L20" s="39" t="s">
        <v>13</v>
      </c>
      <c r="M20" s="39" t="s">
        <v>13</v>
      </c>
      <c r="N20" s="39" t="s">
        <v>13</v>
      </c>
      <c r="O20" s="28" t="s">
        <v>13</v>
      </c>
      <c r="P20" s="39">
        <v>300</v>
      </c>
      <c r="Q20" s="39">
        <v>300</v>
      </c>
      <c r="R20" s="40">
        <f t="shared" si="4"/>
        <v>0.94514980624428968</v>
      </c>
      <c r="S20" s="45"/>
      <c r="T20" s="8"/>
    </row>
    <row r="21" spans="1:29" ht="15.95" customHeight="1" x14ac:dyDescent="0.2">
      <c r="A21" s="36">
        <v>11</v>
      </c>
      <c r="B21" s="37" t="s">
        <v>30</v>
      </c>
      <c r="C21" s="55">
        <v>2016</v>
      </c>
      <c r="D21" s="39">
        <v>36</v>
      </c>
      <c r="E21" s="39">
        <v>170</v>
      </c>
      <c r="F21" s="39" t="s">
        <v>13</v>
      </c>
      <c r="G21" s="39" t="s">
        <v>13</v>
      </c>
      <c r="H21" s="39" t="s">
        <v>13</v>
      </c>
      <c r="I21" s="39" t="s">
        <v>13</v>
      </c>
      <c r="J21" s="39" t="s">
        <v>13</v>
      </c>
      <c r="K21" s="39" t="s">
        <v>13</v>
      </c>
      <c r="L21" s="39" t="s">
        <v>13</v>
      </c>
      <c r="M21" s="39" t="s">
        <v>13</v>
      </c>
      <c r="N21" s="39" t="s">
        <v>13</v>
      </c>
      <c r="O21" s="39">
        <v>36</v>
      </c>
      <c r="P21" s="39">
        <v>74</v>
      </c>
      <c r="Q21" s="39">
        <v>74</v>
      </c>
      <c r="R21" s="40">
        <f t="shared" si="4"/>
        <v>0.23313695220692479</v>
      </c>
      <c r="S21" s="45"/>
      <c r="T21" s="8"/>
    </row>
    <row r="22" spans="1:29" ht="15.95" customHeight="1" x14ac:dyDescent="0.2">
      <c r="A22" s="36">
        <v>12</v>
      </c>
      <c r="B22" s="37" t="s">
        <v>31</v>
      </c>
      <c r="C22" s="55">
        <v>2008</v>
      </c>
      <c r="D22" s="39">
        <v>200</v>
      </c>
      <c r="E22" s="39">
        <v>238</v>
      </c>
      <c r="F22" s="39" t="s">
        <v>13</v>
      </c>
      <c r="G22" s="39">
        <v>300</v>
      </c>
      <c r="H22" s="39">
        <v>390</v>
      </c>
      <c r="I22" s="39">
        <v>442</v>
      </c>
      <c r="J22" s="39">
        <v>442</v>
      </c>
      <c r="K22" s="39">
        <v>442</v>
      </c>
      <c r="L22" s="39">
        <v>442</v>
      </c>
      <c r="M22" s="39">
        <v>442</v>
      </c>
      <c r="N22" s="39">
        <v>442</v>
      </c>
      <c r="O22" s="39">
        <v>442</v>
      </c>
      <c r="P22" s="39">
        <v>448</v>
      </c>
      <c r="Q22" s="39">
        <v>448</v>
      </c>
      <c r="R22" s="40">
        <f t="shared" si="4"/>
        <v>1.4114237106581393</v>
      </c>
      <c r="S22" s="45"/>
      <c r="T22" s="8"/>
    </row>
    <row r="23" spans="1:29" s="44" customFormat="1" ht="28.5" customHeight="1" x14ac:dyDescent="0.2">
      <c r="A23" s="36">
        <v>13</v>
      </c>
      <c r="B23" s="37" t="s">
        <v>32</v>
      </c>
      <c r="C23" s="62">
        <v>2013</v>
      </c>
      <c r="D23" s="62">
        <v>100</v>
      </c>
      <c r="E23" s="62">
        <v>186</v>
      </c>
      <c r="F23" s="62" t="s">
        <v>13</v>
      </c>
      <c r="G23" s="61" t="s">
        <v>13</v>
      </c>
      <c r="H23" s="61" t="s">
        <v>13</v>
      </c>
      <c r="I23" s="61" t="s">
        <v>13</v>
      </c>
      <c r="J23" s="61" t="s">
        <v>13</v>
      </c>
      <c r="K23" s="61" t="s">
        <v>13</v>
      </c>
      <c r="L23" s="39">
        <v>134</v>
      </c>
      <c r="M23" s="39">
        <v>134</v>
      </c>
      <c r="N23" s="39">
        <v>134</v>
      </c>
      <c r="O23" s="39">
        <v>134</v>
      </c>
      <c r="P23" s="39">
        <v>134</v>
      </c>
      <c r="Q23" s="39">
        <v>134</v>
      </c>
      <c r="R23" s="40">
        <f>Q23/Q$6*100</f>
        <v>0.42216691345578272</v>
      </c>
      <c r="S23" s="45"/>
      <c r="T23" s="8"/>
      <c r="U23" s="9"/>
      <c r="V23" s="9"/>
      <c r="W23" s="9"/>
      <c r="X23" s="9"/>
      <c r="Y23" s="9"/>
      <c r="Z23" s="9"/>
      <c r="AA23" s="9"/>
      <c r="AB23" s="9"/>
      <c r="AC23" s="9"/>
    </row>
    <row r="24" spans="1:29" s="44" customFormat="1" ht="15.95" customHeight="1" x14ac:dyDescent="0.2">
      <c r="A24" s="63"/>
      <c r="B24" s="64" t="s">
        <v>33</v>
      </c>
      <c r="C24" s="27" t="s">
        <v>13</v>
      </c>
      <c r="D24" s="27" t="s">
        <v>13</v>
      </c>
      <c r="E24" s="27" t="s">
        <v>13</v>
      </c>
      <c r="F24" s="65">
        <f t="shared" ref="F24:K24" si="5">SUM(F25)</f>
        <v>470</v>
      </c>
      <c r="G24" s="65">
        <f t="shared" si="5"/>
        <v>470</v>
      </c>
      <c r="H24" s="65">
        <f t="shared" si="5"/>
        <v>470</v>
      </c>
      <c r="I24" s="65">
        <f t="shared" si="5"/>
        <v>470</v>
      </c>
      <c r="J24" s="65">
        <f t="shared" si="5"/>
        <v>470</v>
      </c>
      <c r="K24" s="65">
        <f t="shared" si="5"/>
        <v>470</v>
      </c>
      <c r="L24" s="65">
        <f>SUM(L25)</f>
        <v>470</v>
      </c>
      <c r="M24" s="65">
        <f>SUM(M25:M32)</f>
        <v>656</v>
      </c>
      <c r="N24" s="65">
        <f>SUM(N25:N32)</f>
        <v>680</v>
      </c>
      <c r="O24" s="65">
        <f>SUM(O25:O32)</f>
        <v>810</v>
      </c>
      <c r="P24" s="65">
        <f>SUM(P25:P32)</f>
        <v>1616</v>
      </c>
      <c r="Q24" s="65">
        <f>SUM(Q25:Q32)</f>
        <v>1960</v>
      </c>
      <c r="R24" s="66">
        <f>Q24/Q$6*100</f>
        <v>6.1749787341293594</v>
      </c>
      <c r="S24" s="45"/>
      <c r="T24" s="60"/>
    </row>
    <row r="25" spans="1:29" s="44" customFormat="1" ht="15.95" customHeight="1" x14ac:dyDescent="0.2">
      <c r="A25" s="36">
        <v>14</v>
      </c>
      <c r="B25" s="37" t="s">
        <v>34</v>
      </c>
      <c r="C25" s="55">
        <v>2000</v>
      </c>
      <c r="D25" s="61">
        <v>430</v>
      </c>
      <c r="E25" s="39">
        <v>130.30000000000001</v>
      </c>
      <c r="F25" s="67">
        <v>470</v>
      </c>
      <c r="G25" s="67">
        <v>470</v>
      </c>
      <c r="H25" s="67">
        <v>470</v>
      </c>
      <c r="I25" s="67">
        <v>470</v>
      </c>
      <c r="J25" s="67">
        <v>470</v>
      </c>
      <c r="K25" s="67">
        <v>470</v>
      </c>
      <c r="L25" s="67">
        <v>470</v>
      </c>
      <c r="M25" s="67">
        <v>470</v>
      </c>
      <c r="N25" s="67">
        <v>470</v>
      </c>
      <c r="O25" s="67">
        <v>470</v>
      </c>
      <c r="P25" s="67">
        <v>470</v>
      </c>
      <c r="Q25" s="67">
        <v>470</v>
      </c>
      <c r="R25" s="40">
        <f>Q25/Q$6*100</f>
        <v>1.4807346964493873</v>
      </c>
      <c r="S25" s="45"/>
      <c r="T25" s="60"/>
    </row>
    <row r="26" spans="1:29" s="44" customFormat="1" ht="15.95" customHeight="1" x14ac:dyDescent="0.2">
      <c r="A26" s="36">
        <v>15</v>
      </c>
      <c r="B26" s="37" t="s">
        <v>35</v>
      </c>
      <c r="C26" s="38" t="s">
        <v>20</v>
      </c>
      <c r="D26" s="61">
        <v>244</v>
      </c>
      <c r="E26" s="39" t="s">
        <v>21</v>
      </c>
      <c r="F26" s="39"/>
      <c r="G26" s="39"/>
      <c r="H26" s="39"/>
      <c r="I26" s="39"/>
      <c r="J26" s="39"/>
      <c r="K26" s="39"/>
      <c r="L26" s="28" t="s">
        <v>13</v>
      </c>
      <c r="M26" s="28" t="s">
        <v>13</v>
      </c>
      <c r="N26" s="28" t="s">
        <v>13</v>
      </c>
      <c r="O26" s="28" t="s">
        <v>13</v>
      </c>
      <c r="P26" s="28" t="s">
        <v>13</v>
      </c>
      <c r="Q26" s="67">
        <v>244</v>
      </c>
      <c r="R26" s="40">
        <f t="shared" ref="R26:R31" si="6">Q26/Q$6*100</f>
        <v>0.76872184241202235</v>
      </c>
      <c r="S26" s="45"/>
      <c r="T26" s="60"/>
    </row>
    <row r="27" spans="1:29" s="44" customFormat="1" ht="15.95" customHeight="1" x14ac:dyDescent="0.2">
      <c r="A27" s="36">
        <v>16</v>
      </c>
      <c r="B27" s="37" t="s">
        <v>36</v>
      </c>
      <c r="C27" s="55">
        <v>2017</v>
      </c>
      <c r="D27" s="61">
        <v>358</v>
      </c>
      <c r="E27" s="39" t="s">
        <v>21</v>
      </c>
      <c r="F27" s="67"/>
      <c r="G27" s="67"/>
      <c r="H27" s="67"/>
      <c r="I27" s="67"/>
      <c r="J27" s="67"/>
      <c r="K27" s="67"/>
      <c r="L27" s="39" t="s">
        <v>13</v>
      </c>
      <c r="M27" s="39" t="s">
        <v>13</v>
      </c>
      <c r="N27" s="39" t="s">
        <v>13</v>
      </c>
      <c r="O27" s="28" t="s">
        <v>13</v>
      </c>
      <c r="P27" s="67">
        <v>358</v>
      </c>
      <c r="Q27" s="67">
        <v>358</v>
      </c>
      <c r="R27" s="40">
        <f t="shared" si="6"/>
        <v>1.1278787687848524</v>
      </c>
      <c r="S27" s="45"/>
      <c r="T27" s="60"/>
    </row>
    <row r="28" spans="1:29" s="44" customFormat="1" ht="15.95" customHeight="1" x14ac:dyDescent="0.2">
      <c r="A28" s="36">
        <v>17</v>
      </c>
      <c r="B28" s="37" t="s">
        <v>37</v>
      </c>
      <c r="C28" s="55">
        <v>2016</v>
      </c>
      <c r="D28" s="61">
        <v>130</v>
      </c>
      <c r="E28" s="39">
        <v>155</v>
      </c>
      <c r="F28" s="67" t="s">
        <v>13</v>
      </c>
      <c r="G28" s="67" t="s">
        <v>13</v>
      </c>
      <c r="H28" s="67" t="s">
        <v>13</v>
      </c>
      <c r="I28" s="67" t="s">
        <v>13</v>
      </c>
      <c r="J28" s="67" t="s">
        <v>13</v>
      </c>
      <c r="K28" s="67" t="s">
        <v>13</v>
      </c>
      <c r="L28" s="67" t="s">
        <v>13</v>
      </c>
      <c r="M28" s="67" t="s">
        <v>13</v>
      </c>
      <c r="N28" s="67" t="s">
        <v>13</v>
      </c>
      <c r="O28" s="67">
        <v>130</v>
      </c>
      <c r="P28" s="67">
        <v>202</v>
      </c>
      <c r="Q28" s="67">
        <v>202</v>
      </c>
      <c r="R28" s="40">
        <f t="shared" si="6"/>
        <v>0.63640086953782182</v>
      </c>
      <c r="S28" s="45"/>
      <c r="T28" s="60"/>
    </row>
    <row r="29" spans="1:29" s="44" customFormat="1" ht="15.95" customHeight="1" x14ac:dyDescent="0.2">
      <c r="A29" s="36">
        <v>18</v>
      </c>
      <c r="B29" s="37" t="s">
        <v>38</v>
      </c>
      <c r="C29" s="38" t="s">
        <v>20</v>
      </c>
      <c r="D29" s="61">
        <v>100</v>
      </c>
      <c r="E29" s="39" t="s">
        <v>21</v>
      </c>
      <c r="F29" s="39"/>
      <c r="G29" s="39"/>
      <c r="H29" s="39"/>
      <c r="I29" s="39"/>
      <c r="J29" s="39"/>
      <c r="K29" s="39"/>
      <c r="L29" s="28" t="s">
        <v>13</v>
      </c>
      <c r="M29" s="28" t="s">
        <v>13</v>
      </c>
      <c r="N29" s="28" t="s">
        <v>13</v>
      </c>
      <c r="O29" s="28" t="s">
        <v>13</v>
      </c>
      <c r="P29" s="28" t="s">
        <v>13</v>
      </c>
      <c r="Q29" s="67">
        <v>100</v>
      </c>
      <c r="R29" s="40">
        <f t="shared" si="6"/>
        <v>0.31504993541476323</v>
      </c>
      <c r="S29" s="45"/>
      <c r="T29" s="60"/>
    </row>
    <row r="30" spans="1:29" s="44" customFormat="1" ht="15.95" customHeight="1" x14ac:dyDescent="0.2">
      <c r="A30" s="36">
        <v>19</v>
      </c>
      <c r="B30" s="37" t="s">
        <v>39</v>
      </c>
      <c r="C30" s="55">
        <v>2017</v>
      </c>
      <c r="D30" s="39">
        <v>214</v>
      </c>
      <c r="E30" s="39" t="s">
        <v>21</v>
      </c>
      <c r="F30" s="67"/>
      <c r="G30" s="67"/>
      <c r="H30" s="67"/>
      <c r="I30" s="67"/>
      <c r="J30" s="67"/>
      <c r="K30" s="67"/>
      <c r="L30" s="39" t="s">
        <v>13</v>
      </c>
      <c r="M30" s="39" t="s">
        <v>13</v>
      </c>
      <c r="N30" s="39" t="s">
        <v>13</v>
      </c>
      <c r="O30" s="28" t="s">
        <v>13</v>
      </c>
      <c r="P30" s="67">
        <v>214</v>
      </c>
      <c r="Q30" s="67">
        <v>214</v>
      </c>
      <c r="R30" s="40">
        <f t="shared" si="6"/>
        <v>0.67420686178759326</v>
      </c>
      <c r="S30" s="45"/>
      <c r="T30" s="60"/>
    </row>
    <row r="31" spans="1:29" s="44" customFormat="1" ht="15.95" customHeight="1" x14ac:dyDescent="0.2">
      <c r="A31" s="36">
        <v>20</v>
      </c>
      <c r="B31" s="37" t="s">
        <v>40</v>
      </c>
      <c r="C31" s="55">
        <v>2014</v>
      </c>
      <c r="D31" s="39">
        <v>40</v>
      </c>
      <c r="E31" s="39">
        <v>177</v>
      </c>
      <c r="F31" s="39" t="s">
        <v>13</v>
      </c>
      <c r="G31" s="39" t="s">
        <v>13</v>
      </c>
      <c r="H31" s="39" t="s">
        <v>13</v>
      </c>
      <c r="I31" s="39" t="s">
        <v>13</v>
      </c>
      <c r="J31" s="39" t="s">
        <v>13</v>
      </c>
      <c r="K31" s="39" t="s">
        <v>13</v>
      </c>
      <c r="L31" s="39" t="s">
        <v>13</v>
      </c>
      <c r="M31" s="39">
        <v>186</v>
      </c>
      <c r="N31" s="39">
        <v>210</v>
      </c>
      <c r="O31" s="39">
        <v>210</v>
      </c>
      <c r="P31" s="39">
        <v>210</v>
      </c>
      <c r="Q31" s="39">
        <v>210</v>
      </c>
      <c r="R31" s="40">
        <f t="shared" si="6"/>
        <v>0.66160486437100285</v>
      </c>
      <c r="S31" s="45"/>
      <c r="T31" s="60"/>
    </row>
    <row r="32" spans="1:29" s="44" customFormat="1" ht="26.25" customHeight="1" x14ac:dyDescent="0.2">
      <c r="A32" s="36">
        <v>21</v>
      </c>
      <c r="B32" s="37" t="s">
        <v>41</v>
      </c>
      <c r="C32" s="68">
        <v>2017</v>
      </c>
      <c r="D32" s="51">
        <v>162</v>
      </c>
      <c r="E32" s="51" t="s">
        <v>21</v>
      </c>
      <c r="F32" s="69"/>
      <c r="G32" s="67"/>
      <c r="H32" s="67"/>
      <c r="I32" s="67"/>
      <c r="J32" s="67"/>
      <c r="K32" s="67"/>
      <c r="L32" s="39" t="s">
        <v>13</v>
      </c>
      <c r="M32" s="39" t="s">
        <v>13</v>
      </c>
      <c r="N32" s="39" t="s">
        <v>13</v>
      </c>
      <c r="O32" s="28" t="s">
        <v>13</v>
      </c>
      <c r="P32" s="67">
        <v>162</v>
      </c>
      <c r="Q32" s="67">
        <v>162</v>
      </c>
      <c r="R32" s="40">
        <f>Q32/Q$6*100</f>
        <v>0.51038089537191644</v>
      </c>
      <c r="S32" s="45"/>
      <c r="T32" s="60"/>
    </row>
    <row r="33" spans="1:29" s="44" customFormat="1" ht="15.95" customHeight="1" x14ac:dyDescent="0.2">
      <c r="A33" s="63"/>
      <c r="B33" s="64" t="s">
        <v>42</v>
      </c>
      <c r="C33" s="27" t="s">
        <v>13</v>
      </c>
      <c r="D33" s="27" t="s">
        <v>13</v>
      </c>
      <c r="E33" s="27" t="s">
        <v>13</v>
      </c>
      <c r="F33" s="65">
        <f t="shared" ref="F33:Q33" si="7">SUM(F34:F48)</f>
        <v>1240</v>
      </c>
      <c r="G33" s="65">
        <f t="shared" si="7"/>
        <v>1240</v>
      </c>
      <c r="H33" s="65">
        <f t="shared" si="7"/>
        <v>1240</v>
      </c>
      <c r="I33" s="65">
        <f t="shared" si="7"/>
        <v>1398</v>
      </c>
      <c r="J33" s="65">
        <f t="shared" si="7"/>
        <v>1398</v>
      </c>
      <c r="K33" s="65">
        <f t="shared" si="7"/>
        <v>1660</v>
      </c>
      <c r="L33" s="65">
        <f t="shared" si="7"/>
        <v>1704</v>
      </c>
      <c r="M33" s="65">
        <f t="shared" si="7"/>
        <v>1704</v>
      </c>
      <c r="N33" s="65">
        <f t="shared" si="7"/>
        <v>1700</v>
      </c>
      <c r="O33" s="65">
        <f t="shared" si="7"/>
        <v>2204</v>
      </c>
      <c r="P33" s="65">
        <f t="shared" si="7"/>
        <v>2562</v>
      </c>
      <c r="Q33" s="65">
        <f t="shared" si="7"/>
        <v>2882</v>
      </c>
      <c r="R33" s="66">
        <f>Q33/Q$6*100</f>
        <v>9.0797391386534763</v>
      </c>
      <c r="S33" s="45"/>
      <c r="T33" s="60"/>
    </row>
    <row r="34" spans="1:29" s="44" customFormat="1" ht="20.25" customHeight="1" x14ac:dyDescent="0.2">
      <c r="A34" s="36">
        <v>22</v>
      </c>
      <c r="B34" s="37" t="s">
        <v>43</v>
      </c>
      <c r="C34" s="55">
        <v>2010</v>
      </c>
      <c r="D34" s="61">
        <v>110</v>
      </c>
      <c r="E34" s="39">
        <v>125</v>
      </c>
      <c r="F34" s="39" t="s">
        <v>13</v>
      </c>
      <c r="G34" s="39" t="s">
        <v>13</v>
      </c>
      <c r="H34" s="39" t="s">
        <v>13</v>
      </c>
      <c r="I34" s="39">
        <v>110</v>
      </c>
      <c r="J34" s="39">
        <v>110</v>
      </c>
      <c r="K34" s="39">
        <v>164</v>
      </c>
      <c r="L34" s="39">
        <v>172</v>
      </c>
      <c r="M34" s="39">
        <v>172</v>
      </c>
      <c r="N34" s="39">
        <v>172</v>
      </c>
      <c r="O34" s="39">
        <v>172</v>
      </c>
      <c r="P34" s="39">
        <v>172</v>
      </c>
      <c r="Q34" s="39">
        <v>178</v>
      </c>
      <c r="R34" s="40">
        <f>Q34/Q$6*100</f>
        <v>0.56078888503827862</v>
      </c>
      <c r="S34" s="41"/>
      <c r="T34" s="60"/>
    </row>
    <row r="35" spans="1:29" s="44" customFormat="1" ht="20.25" customHeight="1" x14ac:dyDescent="0.2">
      <c r="A35" s="36">
        <v>23</v>
      </c>
      <c r="B35" s="37" t="s">
        <v>44</v>
      </c>
      <c r="C35" s="70">
        <v>1998</v>
      </c>
      <c r="D35" s="61">
        <v>192</v>
      </c>
      <c r="E35" s="39">
        <v>124</v>
      </c>
      <c r="F35" s="56">
        <v>200</v>
      </c>
      <c r="G35" s="56">
        <v>200</v>
      </c>
      <c r="H35" s="56">
        <v>200</v>
      </c>
      <c r="I35" s="56">
        <v>200</v>
      </c>
      <c r="J35" s="56">
        <v>200</v>
      </c>
      <c r="K35" s="56">
        <v>200</v>
      </c>
      <c r="L35" s="56">
        <v>200</v>
      </c>
      <c r="M35" s="56">
        <v>200</v>
      </c>
      <c r="N35" s="56">
        <v>196</v>
      </c>
      <c r="O35" s="56">
        <v>196</v>
      </c>
      <c r="P35" s="56">
        <v>196</v>
      </c>
      <c r="Q35" s="56">
        <v>196</v>
      </c>
      <c r="R35" s="40">
        <f t="shared" ref="R35:R47" si="8">Q35/Q$6*100</f>
        <v>0.61749787341293594</v>
      </c>
      <c r="S35" s="45"/>
      <c r="T35" s="60"/>
    </row>
    <row r="36" spans="1:29" s="44" customFormat="1" ht="20.25" customHeight="1" x14ac:dyDescent="0.2">
      <c r="A36" s="36">
        <v>24</v>
      </c>
      <c r="B36" s="37" t="s">
        <v>45</v>
      </c>
      <c r="C36" s="70" t="s">
        <v>46</v>
      </c>
      <c r="D36" s="61">
        <v>80</v>
      </c>
      <c r="E36" s="39">
        <v>121</v>
      </c>
      <c r="F36" s="56" t="s">
        <v>13</v>
      </c>
      <c r="G36" s="56" t="s">
        <v>13</v>
      </c>
      <c r="H36" s="56" t="s">
        <v>13</v>
      </c>
      <c r="I36" s="56" t="s">
        <v>13</v>
      </c>
      <c r="J36" s="56" t="s">
        <v>13</v>
      </c>
      <c r="K36" s="56" t="s">
        <v>13</v>
      </c>
      <c r="L36" s="56" t="s">
        <v>13</v>
      </c>
      <c r="M36" s="56" t="s">
        <v>13</v>
      </c>
      <c r="N36" s="56" t="s">
        <v>13</v>
      </c>
      <c r="O36" s="56">
        <v>80</v>
      </c>
      <c r="P36" s="56">
        <v>80</v>
      </c>
      <c r="Q36" s="56">
        <v>80</v>
      </c>
      <c r="R36" s="40">
        <f t="shared" si="8"/>
        <v>0.25203994833181059</v>
      </c>
      <c r="S36" s="45"/>
      <c r="T36" s="60"/>
    </row>
    <row r="37" spans="1:29" s="44" customFormat="1" ht="20.25" customHeight="1" x14ac:dyDescent="0.2">
      <c r="A37" s="36">
        <v>25</v>
      </c>
      <c r="B37" s="71" t="s">
        <v>47</v>
      </c>
      <c r="C37" s="55">
        <v>2018</v>
      </c>
      <c r="D37" s="39">
        <v>180</v>
      </c>
      <c r="E37" s="39" t="s">
        <v>21</v>
      </c>
      <c r="F37" s="39"/>
      <c r="G37" s="39"/>
      <c r="H37" s="39"/>
      <c r="I37" s="39"/>
      <c r="J37" s="39"/>
      <c r="K37" s="39"/>
      <c r="L37" s="28" t="s">
        <v>13</v>
      </c>
      <c r="M37" s="28" t="s">
        <v>13</v>
      </c>
      <c r="N37" s="28" t="s">
        <v>13</v>
      </c>
      <c r="O37" s="28" t="s">
        <v>13</v>
      </c>
      <c r="P37" s="28" t="s">
        <v>13</v>
      </c>
      <c r="Q37" s="56">
        <v>180</v>
      </c>
      <c r="R37" s="40">
        <f t="shared" si="8"/>
        <v>0.56708988374657376</v>
      </c>
      <c r="S37" s="41"/>
      <c r="T37" s="60"/>
    </row>
    <row r="38" spans="1:29" s="44" customFormat="1" ht="20.25" customHeight="1" x14ac:dyDescent="0.2">
      <c r="A38" s="36">
        <v>26</v>
      </c>
      <c r="B38" s="37" t="s">
        <v>48</v>
      </c>
      <c r="C38" s="70" t="s">
        <v>49</v>
      </c>
      <c r="D38" s="61">
        <v>20</v>
      </c>
      <c r="E38" s="39">
        <v>120</v>
      </c>
      <c r="F38" s="61" t="s">
        <v>13</v>
      </c>
      <c r="G38" s="61" t="s">
        <v>13</v>
      </c>
      <c r="H38" s="61" t="s">
        <v>13</v>
      </c>
      <c r="I38" s="61" t="s">
        <v>13</v>
      </c>
      <c r="J38" s="61" t="s">
        <v>13</v>
      </c>
      <c r="K38" s="56">
        <v>208</v>
      </c>
      <c r="L38" s="56">
        <v>208</v>
      </c>
      <c r="M38" s="56">
        <v>208</v>
      </c>
      <c r="N38" s="56">
        <v>208</v>
      </c>
      <c r="O38" s="56">
        <v>208</v>
      </c>
      <c r="P38" s="56">
        <v>208</v>
      </c>
      <c r="Q38" s="56">
        <v>208</v>
      </c>
      <c r="R38" s="40">
        <f t="shared" si="8"/>
        <v>0.65530386566270749</v>
      </c>
      <c r="S38" s="45"/>
      <c r="T38" s="60"/>
    </row>
    <row r="39" spans="1:29" s="44" customFormat="1" ht="32.25" customHeight="1" x14ac:dyDescent="0.2">
      <c r="A39" s="36">
        <v>27</v>
      </c>
      <c r="B39" s="37" t="s">
        <v>50</v>
      </c>
      <c r="C39" s="70" t="s">
        <v>46</v>
      </c>
      <c r="D39" s="61">
        <v>272</v>
      </c>
      <c r="E39" s="39">
        <v>132</v>
      </c>
      <c r="F39" s="61" t="s">
        <v>13</v>
      </c>
      <c r="G39" s="61" t="s">
        <v>13</v>
      </c>
      <c r="H39" s="61" t="s">
        <v>13</v>
      </c>
      <c r="I39" s="61" t="s">
        <v>13</v>
      </c>
      <c r="J39" s="61" t="s">
        <v>13</v>
      </c>
      <c r="K39" s="56" t="s">
        <v>13</v>
      </c>
      <c r="L39" s="56" t="s">
        <v>13</v>
      </c>
      <c r="M39" s="56" t="s">
        <v>13</v>
      </c>
      <c r="N39" s="56" t="s">
        <v>13</v>
      </c>
      <c r="O39" s="56">
        <v>272</v>
      </c>
      <c r="P39" s="56">
        <v>272</v>
      </c>
      <c r="Q39" s="56">
        <v>272</v>
      </c>
      <c r="R39" s="40">
        <f t="shared" si="8"/>
        <v>0.85693582432815607</v>
      </c>
      <c r="S39" s="45"/>
      <c r="T39" s="60"/>
    </row>
    <row r="40" spans="1:29" s="44" customFormat="1" ht="25.5" customHeight="1" x14ac:dyDescent="0.2">
      <c r="A40" s="36">
        <v>28</v>
      </c>
      <c r="B40" s="37" t="s">
        <v>51</v>
      </c>
      <c r="C40" s="70" t="s">
        <v>46</v>
      </c>
      <c r="D40" s="61">
        <v>26</v>
      </c>
      <c r="E40" s="39">
        <v>135</v>
      </c>
      <c r="F40" s="61" t="s">
        <v>13</v>
      </c>
      <c r="G40" s="61" t="s">
        <v>13</v>
      </c>
      <c r="H40" s="61" t="s">
        <v>13</v>
      </c>
      <c r="I40" s="61" t="s">
        <v>13</v>
      </c>
      <c r="J40" s="61" t="s">
        <v>13</v>
      </c>
      <c r="K40" s="56" t="s">
        <v>13</v>
      </c>
      <c r="L40" s="56" t="s">
        <v>13</v>
      </c>
      <c r="M40" s="56" t="s">
        <v>13</v>
      </c>
      <c r="N40" s="56" t="s">
        <v>13</v>
      </c>
      <c r="O40" s="56">
        <v>26</v>
      </c>
      <c r="P40" s="56">
        <v>26</v>
      </c>
      <c r="Q40" s="56">
        <v>26</v>
      </c>
      <c r="R40" s="40">
        <f t="shared" si="8"/>
        <v>8.1912983207838436E-2</v>
      </c>
      <c r="S40" s="45"/>
      <c r="T40" s="60"/>
    </row>
    <row r="41" spans="1:29" s="44" customFormat="1" ht="20.25" customHeight="1" x14ac:dyDescent="0.2">
      <c r="A41" s="36">
        <v>29</v>
      </c>
      <c r="B41" s="37" t="s">
        <v>52</v>
      </c>
      <c r="C41" s="70" t="s">
        <v>53</v>
      </c>
      <c r="D41" s="61">
        <v>206</v>
      </c>
      <c r="E41" s="39">
        <v>120</v>
      </c>
      <c r="F41" s="56">
        <v>206</v>
      </c>
      <c r="G41" s="56">
        <v>206</v>
      </c>
      <c r="H41" s="56">
        <v>206</v>
      </c>
      <c r="I41" s="56">
        <v>206</v>
      </c>
      <c r="J41" s="56">
        <v>206</v>
      </c>
      <c r="K41" s="56">
        <v>206</v>
      </c>
      <c r="L41" s="56">
        <v>206</v>
      </c>
      <c r="M41" s="56">
        <v>206</v>
      </c>
      <c r="N41" s="56">
        <v>206</v>
      </c>
      <c r="O41" s="56">
        <v>244</v>
      </c>
      <c r="P41" s="56">
        <v>244</v>
      </c>
      <c r="Q41" s="56">
        <v>244</v>
      </c>
      <c r="R41" s="40">
        <f t="shared" si="8"/>
        <v>0.76872184241202235</v>
      </c>
      <c r="S41" s="45"/>
      <c r="T41" s="60"/>
    </row>
    <row r="42" spans="1:29" s="44" customFormat="1" ht="20.25" customHeight="1" x14ac:dyDescent="0.2">
      <c r="A42" s="36">
        <v>30</v>
      </c>
      <c r="B42" s="37" t="s">
        <v>54</v>
      </c>
      <c r="C42" s="38" t="s">
        <v>55</v>
      </c>
      <c r="D42" s="61">
        <v>200</v>
      </c>
      <c r="E42" s="39">
        <v>104.6</v>
      </c>
      <c r="F42" s="56">
        <v>200</v>
      </c>
      <c r="G42" s="56">
        <v>200</v>
      </c>
      <c r="H42" s="56">
        <v>200</v>
      </c>
      <c r="I42" s="56">
        <v>200</v>
      </c>
      <c r="J42" s="56">
        <v>200</v>
      </c>
      <c r="K42" s="56">
        <v>200</v>
      </c>
      <c r="L42" s="56">
        <v>236</v>
      </c>
      <c r="M42" s="56">
        <v>236</v>
      </c>
      <c r="N42" s="56">
        <v>236</v>
      </c>
      <c r="O42" s="56">
        <v>236</v>
      </c>
      <c r="P42" s="56">
        <v>236</v>
      </c>
      <c r="Q42" s="56">
        <v>236</v>
      </c>
      <c r="R42" s="40">
        <f t="shared" si="8"/>
        <v>0.74351784757884132</v>
      </c>
      <c r="S42" s="45"/>
      <c r="T42" s="60"/>
    </row>
    <row r="43" spans="1:29" s="44" customFormat="1" ht="20.25" customHeight="1" x14ac:dyDescent="0.2">
      <c r="A43" s="36">
        <v>31</v>
      </c>
      <c r="B43" s="37" t="s">
        <v>56</v>
      </c>
      <c r="C43" s="38" t="s">
        <v>46</v>
      </c>
      <c r="D43" s="61">
        <v>30</v>
      </c>
      <c r="E43" s="39">
        <v>128</v>
      </c>
      <c r="F43" s="56" t="s">
        <v>13</v>
      </c>
      <c r="G43" s="56" t="s">
        <v>13</v>
      </c>
      <c r="H43" s="56" t="s">
        <v>13</v>
      </c>
      <c r="I43" s="56" t="s">
        <v>13</v>
      </c>
      <c r="J43" s="56" t="s">
        <v>13</v>
      </c>
      <c r="K43" s="56" t="s">
        <v>13</v>
      </c>
      <c r="L43" s="56" t="s">
        <v>13</v>
      </c>
      <c r="M43" s="56" t="s">
        <v>13</v>
      </c>
      <c r="N43" s="56" t="s">
        <v>13</v>
      </c>
      <c r="O43" s="56">
        <v>88</v>
      </c>
      <c r="P43" s="56">
        <v>100</v>
      </c>
      <c r="Q43" s="56">
        <v>100</v>
      </c>
      <c r="R43" s="40">
        <f t="shared" si="8"/>
        <v>0.31504993541476323</v>
      </c>
      <c r="S43" s="45"/>
      <c r="T43" s="60"/>
    </row>
    <row r="44" spans="1:29" s="44" customFormat="1" ht="20.25" customHeight="1" x14ac:dyDescent="0.2">
      <c r="A44" s="36">
        <v>32</v>
      </c>
      <c r="B44" s="37" t="s">
        <v>57</v>
      </c>
      <c r="C44" s="38">
        <v>1998</v>
      </c>
      <c r="D44" s="61">
        <v>200</v>
      </c>
      <c r="E44" s="39">
        <v>104.6</v>
      </c>
      <c r="F44" s="56">
        <v>200</v>
      </c>
      <c r="G44" s="56">
        <v>200</v>
      </c>
      <c r="H44" s="56">
        <v>200</v>
      </c>
      <c r="I44" s="56">
        <v>248</v>
      </c>
      <c r="J44" s="56">
        <v>248</v>
      </c>
      <c r="K44" s="56">
        <v>248</v>
      </c>
      <c r="L44" s="56">
        <v>248</v>
      </c>
      <c r="M44" s="56">
        <v>248</v>
      </c>
      <c r="N44" s="56">
        <v>248</v>
      </c>
      <c r="O44" s="56">
        <v>248</v>
      </c>
      <c r="P44" s="56">
        <v>248</v>
      </c>
      <c r="Q44" s="56">
        <v>248</v>
      </c>
      <c r="R44" s="40">
        <f t="shared" si="8"/>
        <v>0.78132383982861286</v>
      </c>
      <c r="S44" s="45"/>
      <c r="T44" s="60"/>
    </row>
    <row r="45" spans="1:29" s="44" customFormat="1" ht="20.25" customHeight="1" x14ac:dyDescent="0.2">
      <c r="A45" s="36">
        <v>33</v>
      </c>
      <c r="B45" s="37" t="s">
        <v>58</v>
      </c>
      <c r="C45" s="55">
        <v>2001</v>
      </c>
      <c r="D45" s="61">
        <v>304</v>
      </c>
      <c r="E45" s="39">
        <v>110</v>
      </c>
      <c r="F45" s="56">
        <v>304</v>
      </c>
      <c r="G45" s="56">
        <v>304</v>
      </c>
      <c r="H45" s="56">
        <v>304</v>
      </c>
      <c r="I45" s="56">
        <v>304</v>
      </c>
      <c r="J45" s="56">
        <v>304</v>
      </c>
      <c r="K45" s="56">
        <v>304</v>
      </c>
      <c r="L45" s="56">
        <v>304</v>
      </c>
      <c r="M45" s="56">
        <v>304</v>
      </c>
      <c r="N45" s="56">
        <v>304</v>
      </c>
      <c r="O45" s="56">
        <v>304</v>
      </c>
      <c r="P45" s="56">
        <v>304</v>
      </c>
      <c r="Q45" s="56">
        <v>304</v>
      </c>
      <c r="R45" s="40">
        <f t="shared" si="8"/>
        <v>0.95775180366088031</v>
      </c>
      <c r="S45" s="41"/>
      <c r="T45" s="60"/>
    </row>
    <row r="46" spans="1:29" s="44" customFormat="1" ht="20.25" customHeight="1" x14ac:dyDescent="0.2">
      <c r="A46" s="36">
        <v>34</v>
      </c>
      <c r="B46" s="37" t="s">
        <v>59</v>
      </c>
      <c r="C46" s="67" t="s">
        <v>60</v>
      </c>
      <c r="D46" s="61">
        <v>50</v>
      </c>
      <c r="E46" s="39">
        <v>104.6</v>
      </c>
      <c r="F46" s="67">
        <v>130</v>
      </c>
      <c r="G46" s="67">
        <v>130</v>
      </c>
      <c r="H46" s="67">
        <v>130</v>
      </c>
      <c r="I46" s="67">
        <v>130</v>
      </c>
      <c r="J46" s="67">
        <v>130</v>
      </c>
      <c r="K46" s="67">
        <v>130</v>
      </c>
      <c r="L46" s="67">
        <v>130</v>
      </c>
      <c r="M46" s="67">
        <v>130</v>
      </c>
      <c r="N46" s="67">
        <v>130</v>
      </c>
      <c r="O46" s="67">
        <v>130</v>
      </c>
      <c r="P46" s="67">
        <v>228</v>
      </c>
      <c r="Q46" s="67">
        <v>228</v>
      </c>
      <c r="R46" s="40">
        <f t="shared" si="8"/>
        <v>0.71831385274566018</v>
      </c>
      <c r="S46" s="45"/>
      <c r="T46" s="8"/>
      <c r="U46" s="9"/>
      <c r="V46" s="9"/>
      <c r="W46" s="9"/>
      <c r="X46" s="9"/>
      <c r="Y46" s="9"/>
      <c r="Z46" s="9"/>
      <c r="AA46" s="9"/>
      <c r="AB46" s="9"/>
      <c r="AC46" s="9"/>
    </row>
    <row r="47" spans="1:29" s="44" customFormat="1" ht="20.25" customHeight="1" x14ac:dyDescent="0.2">
      <c r="A47" s="44">
        <v>35</v>
      </c>
      <c r="B47" s="71" t="s">
        <v>61</v>
      </c>
      <c r="C47" s="55">
        <v>2018</v>
      </c>
      <c r="D47" s="39">
        <v>134</v>
      </c>
      <c r="E47" s="39" t="s">
        <v>21</v>
      </c>
      <c r="F47" s="39"/>
      <c r="G47" s="39"/>
      <c r="H47" s="39"/>
      <c r="I47" s="39"/>
      <c r="J47" s="39"/>
      <c r="K47" s="39"/>
      <c r="L47" s="28" t="s">
        <v>13</v>
      </c>
      <c r="M47" s="28" t="s">
        <v>13</v>
      </c>
      <c r="N47" s="28" t="s">
        <v>13</v>
      </c>
      <c r="O47" s="28" t="s">
        <v>13</v>
      </c>
      <c r="P47" s="28" t="s">
        <v>13</v>
      </c>
      <c r="Q47" s="56">
        <v>134</v>
      </c>
      <c r="R47" s="40">
        <f t="shared" si="8"/>
        <v>0.42216691345578272</v>
      </c>
      <c r="S47" s="41"/>
      <c r="T47" s="60"/>
    </row>
    <row r="48" spans="1:29" ht="20.25" customHeight="1" x14ac:dyDescent="0.2">
      <c r="A48" s="47">
        <v>36</v>
      </c>
      <c r="B48" s="72" t="s">
        <v>62</v>
      </c>
      <c r="C48" s="57">
        <v>2017</v>
      </c>
      <c r="D48" s="73" t="s">
        <v>13</v>
      </c>
      <c r="E48" s="73" t="s">
        <v>13</v>
      </c>
      <c r="F48" s="74"/>
      <c r="G48" s="74"/>
      <c r="H48" s="74"/>
      <c r="I48" s="74"/>
      <c r="J48" s="74"/>
      <c r="K48" s="74"/>
      <c r="L48" s="74" t="s">
        <v>13</v>
      </c>
      <c r="M48" s="74" t="s">
        <v>13</v>
      </c>
      <c r="N48" s="74" t="s">
        <v>13</v>
      </c>
      <c r="O48" s="74" t="s">
        <v>13</v>
      </c>
      <c r="P48" s="74">
        <v>248</v>
      </c>
      <c r="Q48" s="74">
        <v>248</v>
      </c>
      <c r="R48" s="52">
        <f>Q48/Q$6*100</f>
        <v>0.78132383982861286</v>
      </c>
      <c r="S48" s="41"/>
      <c r="T48" s="60"/>
      <c r="U48" s="44"/>
      <c r="V48" s="44"/>
      <c r="W48" s="44"/>
      <c r="X48" s="44"/>
      <c r="Y48" s="44"/>
      <c r="Z48" s="44"/>
      <c r="AA48" s="44"/>
      <c r="AB48" s="44"/>
      <c r="AC48" s="44"/>
    </row>
    <row r="49" spans="1:24" s="44" customFormat="1" ht="15.95" customHeight="1" x14ac:dyDescent="0.2">
      <c r="A49" s="75"/>
      <c r="B49" s="26" t="s">
        <v>63</v>
      </c>
      <c r="C49" s="27" t="s">
        <v>13</v>
      </c>
      <c r="D49" s="27" t="s">
        <v>13</v>
      </c>
      <c r="E49" s="27" t="s">
        <v>13</v>
      </c>
      <c r="F49" s="27">
        <f t="shared" ref="F49:K49" si="9">SUM(F54:F58)</f>
        <v>1276</v>
      </c>
      <c r="G49" s="27">
        <f t="shared" si="9"/>
        <v>1294</v>
      </c>
      <c r="H49" s="27">
        <f t="shared" si="9"/>
        <v>1336</v>
      </c>
      <c r="I49" s="27">
        <f t="shared" si="9"/>
        <v>1336</v>
      </c>
      <c r="J49" s="27">
        <f t="shared" si="9"/>
        <v>1336</v>
      </c>
      <c r="K49" s="27">
        <f t="shared" si="9"/>
        <v>1336</v>
      </c>
      <c r="L49" s="27">
        <f t="shared" ref="L49:Q49" si="10">SUM(L50:L58)</f>
        <v>1476</v>
      </c>
      <c r="M49" s="27">
        <f t="shared" si="10"/>
        <v>1636</v>
      </c>
      <c r="N49" s="27">
        <f t="shared" si="10"/>
        <v>1636</v>
      </c>
      <c r="O49" s="27">
        <f t="shared" si="10"/>
        <v>2138</v>
      </c>
      <c r="P49" s="27">
        <f t="shared" si="10"/>
        <v>2250</v>
      </c>
      <c r="Q49" s="27">
        <f t="shared" si="10"/>
        <v>2284</v>
      </c>
      <c r="R49" s="33">
        <f>Q49/Q$6*100</f>
        <v>7.1957405248731927</v>
      </c>
      <c r="S49" s="45"/>
      <c r="T49" s="60"/>
    </row>
    <row r="50" spans="1:24" s="44" customFormat="1" ht="15.95" customHeight="1" x14ac:dyDescent="0.2">
      <c r="A50" s="36">
        <v>37</v>
      </c>
      <c r="B50" s="37" t="s">
        <v>64</v>
      </c>
      <c r="C50" s="55">
        <v>2013</v>
      </c>
      <c r="D50" s="39">
        <v>140</v>
      </c>
      <c r="E50" s="39">
        <v>133</v>
      </c>
      <c r="F50" s="39" t="s">
        <v>13</v>
      </c>
      <c r="G50" s="39" t="s">
        <v>13</v>
      </c>
      <c r="H50" s="39" t="s">
        <v>13</v>
      </c>
      <c r="I50" s="39" t="s">
        <v>13</v>
      </c>
      <c r="J50" s="39" t="s">
        <v>13</v>
      </c>
      <c r="K50" s="39" t="s">
        <v>13</v>
      </c>
      <c r="L50" s="56">
        <v>140</v>
      </c>
      <c r="M50" s="56">
        <v>300</v>
      </c>
      <c r="N50" s="56">
        <v>300</v>
      </c>
      <c r="O50" s="56">
        <v>300</v>
      </c>
      <c r="P50" s="56">
        <v>300</v>
      </c>
      <c r="Q50" s="56">
        <v>300</v>
      </c>
      <c r="R50" s="40">
        <f>Q50/Q$6*100</f>
        <v>0.94514980624428968</v>
      </c>
      <c r="S50" s="45"/>
      <c r="T50" s="60"/>
    </row>
    <row r="51" spans="1:24" s="44" customFormat="1" ht="15.95" customHeight="1" x14ac:dyDescent="0.2">
      <c r="A51" s="36">
        <v>38</v>
      </c>
      <c r="B51" s="37" t="s">
        <v>65</v>
      </c>
      <c r="C51" s="38" t="s">
        <v>46</v>
      </c>
      <c r="D51" s="39">
        <v>302</v>
      </c>
      <c r="E51" s="39">
        <v>122</v>
      </c>
      <c r="F51" s="39" t="s">
        <v>13</v>
      </c>
      <c r="G51" s="39" t="s">
        <v>13</v>
      </c>
      <c r="H51" s="39" t="s">
        <v>13</v>
      </c>
      <c r="I51" s="39" t="s">
        <v>13</v>
      </c>
      <c r="J51" s="39" t="s">
        <v>13</v>
      </c>
      <c r="K51" s="39" t="s">
        <v>13</v>
      </c>
      <c r="L51" s="56" t="s">
        <v>13</v>
      </c>
      <c r="M51" s="56" t="s">
        <v>13</v>
      </c>
      <c r="N51" s="56" t="s">
        <v>13</v>
      </c>
      <c r="O51" s="56">
        <v>302</v>
      </c>
      <c r="P51" s="56">
        <v>302</v>
      </c>
      <c r="Q51" s="56">
        <v>302</v>
      </c>
      <c r="R51" s="40">
        <f>Q51/Q$6*100</f>
        <v>0.95145080495258505</v>
      </c>
      <c r="S51" s="45"/>
      <c r="T51" s="60"/>
    </row>
    <row r="52" spans="1:24" s="44" customFormat="1" ht="15.95" customHeight="1" x14ac:dyDescent="0.2">
      <c r="A52" s="36">
        <v>39</v>
      </c>
      <c r="B52" s="37" t="s">
        <v>66</v>
      </c>
      <c r="C52" s="38" t="s">
        <v>67</v>
      </c>
      <c r="D52" s="39">
        <v>98</v>
      </c>
      <c r="E52" s="27" t="s">
        <v>21</v>
      </c>
      <c r="F52" s="39"/>
      <c r="G52" s="39"/>
      <c r="H52" s="39"/>
      <c r="I52" s="39"/>
      <c r="J52" s="39"/>
      <c r="K52" s="39"/>
      <c r="L52" s="39" t="s">
        <v>13</v>
      </c>
      <c r="M52" s="39" t="s">
        <v>13</v>
      </c>
      <c r="N52" s="39" t="s">
        <v>13</v>
      </c>
      <c r="O52" s="28" t="s">
        <v>13</v>
      </c>
      <c r="P52" s="56">
        <v>98</v>
      </c>
      <c r="Q52" s="56">
        <v>98</v>
      </c>
      <c r="R52" s="40">
        <f t="shared" ref="R52:R115" si="11">Q52/Q$6*100</f>
        <v>0.30874893670646797</v>
      </c>
      <c r="S52" s="45"/>
      <c r="T52" s="60"/>
    </row>
    <row r="53" spans="1:24" s="44" customFormat="1" ht="15.95" customHeight="1" x14ac:dyDescent="0.2">
      <c r="A53" s="36">
        <v>40</v>
      </c>
      <c r="B53" s="37" t="s">
        <v>68</v>
      </c>
      <c r="C53" s="38" t="s">
        <v>46</v>
      </c>
      <c r="D53" s="39">
        <v>180</v>
      </c>
      <c r="E53" s="39">
        <v>148</v>
      </c>
      <c r="F53" s="39" t="s">
        <v>13</v>
      </c>
      <c r="G53" s="39" t="s">
        <v>13</v>
      </c>
      <c r="H53" s="39" t="s">
        <v>13</v>
      </c>
      <c r="I53" s="39" t="s">
        <v>13</v>
      </c>
      <c r="J53" s="39" t="s">
        <v>13</v>
      </c>
      <c r="K53" s="39" t="s">
        <v>13</v>
      </c>
      <c r="L53" s="56" t="s">
        <v>13</v>
      </c>
      <c r="M53" s="56" t="s">
        <v>13</v>
      </c>
      <c r="N53" s="56" t="s">
        <v>13</v>
      </c>
      <c r="O53" s="56">
        <v>180</v>
      </c>
      <c r="P53" s="56">
        <v>180</v>
      </c>
      <c r="Q53" s="56">
        <v>180</v>
      </c>
      <c r="R53" s="40">
        <f t="shared" si="11"/>
        <v>0.56708988374657376</v>
      </c>
      <c r="S53" s="45"/>
      <c r="T53" s="60"/>
    </row>
    <row r="54" spans="1:24" s="5" customFormat="1" ht="15.95" customHeight="1" x14ac:dyDescent="0.2">
      <c r="A54" s="36">
        <v>41</v>
      </c>
      <c r="B54" s="37" t="s">
        <v>69</v>
      </c>
      <c r="C54" s="38" t="s">
        <v>55</v>
      </c>
      <c r="D54" s="61">
        <v>200</v>
      </c>
      <c r="E54" s="39">
        <v>125.5</v>
      </c>
      <c r="F54" s="39">
        <v>200</v>
      </c>
      <c r="G54" s="39">
        <v>200</v>
      </c>
      <c r="H54" s="39">
        <v>200</v>
      </c>
      <c r="I54" s="39">
        <v>200</v>
      </c>
      <c r="J54" s="39">
        <v>200</v>
      </c>
      <c r="K54" s="39">
        <v>200</v>
      </c>
      <c r="L54" s="56">
        <v>200</v>
      </c>
      <c r="M54" s="56">
        <v>200</v>
      </c>
      <c r="N54" s="56">
        <v>200</v>
      </c>
      <c r="O54" s="56">
        <v>200</v>
      </c>
      <c r="P54" s="56">
        <v>192</v>
      </c>
      <c r="Q54" s="56">
        <v>192</v>
      </c>
      <c r="R54" s="40">
        <f t="shared" si="11"/>
        <v>0.60489587599634542</v>
      </c>
      <c r="S54" s="45"/>
      <c r="T54" s="4"/>
    </row>
    <row r="55" spans="1:24" s="43" customFormat="1" ht="15.95" customHeight="1" x14ac:dyDescent="0.2">
      <c r="A55" s="36">
        <v>42</v>
      </c>
      <c r="B55" s="37" t="s">
        <v>70</v>
      </c>
      <c r="C55" s="38">
        <v>1998</v>
      </c>
      <c r="D55" s="61">
        <v>90</v>
      </c>
      <c r="E55" s="39">
        <v>128.69999999999999</v>
      </c>
      <c r="F55" s="39">
        <v>120</v>
      </c>
      <c r="G55" s="39">
        <v>120</v>
      </c>
      <c r="H55" s="39">
        <v>120</v>
      </c>
      <c r="I55" s="39">
        <v>120</v>
      </c>
      <c r="J55" s="39">
        <v>120</v>
      </c>
      <c r="K55" s="39">
        <v>120</v>
      </c>
      <c r="L55" s="56">
        <v>120</v>
      </c>
      <c r="M55" s="56">
        <v>120</v>
      </c>
      <c r="N55" s="56">
        <v>120</v>
      </c>
      <c r="O55" s="56">
        <v>130</v>
      </c>
      <c r="P55" s="56">
        <v>130</v>
      </c>
      <c r="Q55" s="56">
        <v>130</v>
      </c>
      <c r="R55" s="40">
        <f t="shared" si="11"/>
        <v>0.40956491603919221</v>
      </c>
      <c r="S55" s="45"/>
      <c r="T55" s="42"/>
    </row>
    <row r="56" spans="1:24" s="43" customFormat="1" ht="15.95" customHeight="1" x14ac:dyDescent="0.2">
      <c r="A56" s="36">
        <v>43</v>
      </c>
      <c r="B56" s="37" t="s">
        <v>71</v>
      </c>
      <c r="C56" s="38" t="s">
        <v>20</v>
      </c>
      <c r="D56" s="61">
        <v>34</v>
      </c>
      <c r="E56" s="39" t="s">
        <v>21</v>
      </c>
      <c r="F56" s="39"/>
      <c r="G56" s="39"/>
      <c r="H56" s="39"/>
      <c r="I56" s="39"/>
      <c r="J56" s="39"/>
      <c r="K56" s="39"/>
      <c r="L56" s="28" t="s">
        <v>13</v>
      </c>
      <c r="M56" s="28" t="s">
        <v>13</v>
      </c>
      <c r="N56" s="28" t="s">
        <v>13</v>
      </c>
      <c r="O56" s="28" t="s">
        <v>13</v>
      </c>
      <c r="P56" s="28" t="s">
        <v>13</v>
      </c>
      <c r="Q56" s="56">
        <v>34</v>
      </c>
      <c r="R56" s="40">
        <f t="shared" si="11"/>
        <v>0.10711697804101951</v>
      </c>
      <c r="S56" s="45"/>
      <c r="T56" s="42"/>
    </row>
    <row r="57" spans="1:24" ht="15.95" customHeight="1" x14ac:dyDescent="0.2">
      <c r="A57" s="36">
        <v>44</v>
      </c>
      <c r="B57" s="37" t="s">
        <v>72</v>
      </c>
      <c r="C57" s="67" t="s">
        <v>73</v>
      </c>
      <c r="D57" s="61">
        <v>18</v>
      </c>
      <c r="E57" s="39">
        <v>128.69999999999999</v>
      </c>
      <c r="F57" s="39">
        <v>740</v>
      </c>
      <c r="G57" s="39">
        <v>746</v>
      </c>
      <c r="H57" s="39">
        <v>768</v>
      </c>
      <c r="I57" s="39">
        <v>768</v>
      </c>
      <c r="J57" s="39">
        <v>768</v>
      </c>
      <c r="K57" s="39">
        <v>768</v>
      </c>
      <c r="L57" s="56">
        <v>768</v>
      </c>
      <c r="M57" s="56">
        <v>768</v>
      </c>
      <c r="N57" s="56">
        <v>768</v>
      </c>
      <c r="O57" s="56">
        <v>778</v>
      </c>
      <c r="P57" s="56">
        <v>778</v>
      </c>
      <c r="Q57" s="56">
        <v>778</v>
      </c>
      <c r="R57" s="40">
        <f t="shared" si="11"/>
        <v>2.4510884975268583</v>
      </c>
      <c r="S57" s="45"/>
      <c r="T57" s="45"/>
    </row>
    <row r="58" spans="1:24" ht="15.95" customHeight="1" x14ac:dyDescent="0.2">
      <c r="A58" s="36">
        <v>45</v>
      </c>
      <c r="B58" s="48" t="s">
        <v>74</v>
      </c>
      <c r="C58" s="57">
        <v>1999</v>
      </c>
      <c r="D58" s="58">
        <v>200</v>
      </c>
      <c r="E58" s="50">
        <v>128.69999999999999</v>
      </c>
      <c r="F58" s="50">
        <v>216</v>
      </c>
      <c r="G58" s="50">
        <v>228</v>
      </c>
      <c r="H58" s="50">
        <v>248</v>
      </c>
      <c r="I58" s="50">
        <v>248</v>
      </c>
      <c r="J58" s="50">
        <v>248</v>
      </c>
      <c r="K58" s="50">
        <v>248</v>
      </c>
      <c r="L58" s="76">
        <v>248</v>
      </c>
      <c r="M58" s="76">
        <v>248</v>
      </c>
      <c r="N58" s="76">
        <v>248</v>
      </c>
      <c r="O58" s="76">
        <v>248</v>
      </c>
      <c r="P58" s="76">
        <v>270</v>
      </c>
      <c r="Q58" s="76">
        <v>270</v>
      </c>
      <c r="R58" s="52">
        <f t="shared" si="11"/>
        <v>0.85063482561986081</v>
      </c>
      <c r="S58" s="45"/>
      <c r="T58" s="45"/>
    </row>
    <row r="59" spans="1:24" s="44" customFormat="1" ht="15.95" customHeight="1" x14ac:dyDescent="0.2">
      <c r="A59" s="36"/>
      <c r="B59" s="26" t="s">
        <v>75</v>
      </c>
      <c r="C59" s="27" t="s">
        <v>13</v>
      </c>
      <c r="D59" s="27" t="s">
        <v>13</v>
      </c>
      <c r="E59" s="27" t="s">
        <v>13</v>
      </c>
      <c r="F59" s="27">
        <f t="shared" ref="F59:O59" si="12">SUM(F60:F106)</f>
        <v>8420</v>
      </c>
      <c r="G59" s="27">
        <f t="shared" si="12"/>
        <v>8610</v>
      </c>
      <c r="H59" s="27">
        <f t="shared" si="12"/>
        <v>8678</v>
      </c>
      <c r="I59" s="27">
        <f t="shared" si="12"/>
        <v>8754</v>
      </c>
      <c r="J59" s="27">
        <f t="shared" si="12"/>
        <v>8824</v>
      </c>
      <c r="K59" s="27">
        <f t="shared" si="12"/>
        <v>8828</v>
      </c>
      <c r="L59" s="27">
        <f t="shared" si="12"/>
        <v>8964</v>
      </c>
      <c r="M59" s="27">
        <f t="shared" si="12"/>
        <v>8968</v>
      </c>
      <c r="N59" s="27">
        <f t="shared" si="12"/>
        <v>9088</v>
      </c>
      <c r="O59" s="27">
        <f t="shared" si="12"/>
        <v>9506</v>
      </c>
      <c r="P59" s="27">
        <f>SUM(P60:P106)</f>
        <v>10094</v>
      </c>
      <c r="Q59" s="27">
        <f>SUM(Q60:Q106)</f>
        <v>10568</v>
      </c>
      <c r="R59" s="33">
        <f t="shared" si="11"/>
        <v>33.294477174632178</v>
      </c>
      <c r="S59" s="45"/>
      <c r="T59" s="45"/>
    </row>
    <row r="60" spans="1:24" x14ac:dyDescent="0.2">
      <c r="A60" s="36">
        <v>46</v>
      </c>
      <c r="B60" s="37" t="s">
        <v>76</v>
      </c>
      <c r="C60" s="70">
        <v>1978</v>
      </c>
      <c r="D60" s="61">
        <v>34</v>
      </c>
      <c r="E60" s="39">
        <v>34</v>
      </c>
      <c r="F60" s="39">
        <v>232</v>
      </c>
      <c r="G60" s="39">
        <v>256</v>
      </c>
      <c r="H60" s="39">
        <v>256</v>
      </c>
      <c r="I60" s="39">
        <v>256</v>
      </c>
      <c r="J60" s="39">
        <v>256</v>
      </c>
      <c r="K60" s="39">
        <v>256</v>
      </c>
      <c r="L60" s="39">
        <v>256</v>
      </c>
      <c r="M60" s="39">
        <v>256</v>
      </c>
      <c r="N60" s="39">
        <v>256</v>
      </c>
      <c r="O60" s="39">
        <v>256</v>
      </c>
      <c r="P60" s="39">
        <v>260</v>
      </c>
      <c r="Q60" s="39">
        <v>260</v>
      </c>
      <c r="R60" s="40">
        <f t="shared" si="11"/>
        <v>0.81912983207838441</v>
      </c>
      <c r="S60" s="45"/>
      <c r="T60" s="45"/>
    </row>
    <row r="61" spans="1:24" x14ac:dyDescent="0.2">
      <c r="A61" s="36">
        <v>47</v>
      </c>
      <c r="B61" s="37" t="s">
        <v>77</v>
      </c>
      <c r="C61" s="67" t="s">
        <v>73</v>
      </c>
      <c r="D61" s="61">
        <v>18</v>
      </c>
      <c r="E61" s="39">
        <v>8</v>
      </c>
      <c r="F61" s="39">
        <v>66</v>
      </c>
      <c r="G61" s="39">
        <v>66</v>
      </c>
      <c r="H61" s="39">
        <v>100</v>
      </c>
      <c r="I61" s="39">
        <v>100</v>
      </c>
      <c r="J61" s="39">
        <v>100</v>
      </c>
      <c r="K61" s="39">
        <v>100</v>
      </c>
      <c r="L61" s="39">
        <v>100</v>
      </c>
      <c r="M61" s="39">
        <v>100</v>
      </c>
      <c r="N61" s="39">
        <v>100</v>
      </c>
      <c r="O61" s="39">
        <v>100</v>
      </c>
      <c r="P61" s="39">
        <v>100</v>
      </c>
      <c r="Q61" s="39">
        <v>100</v>
      </c>
      <c r="R61" s="40">
        <f t="shared" si="11"/>
        <v>0.31504993541476323</v>
      </c>
      <c r="S61" s="45"/>
      <c r="T61" s="45"/>
      <c r="U61" s="44"/>
      <c r="V61" s="44"/>
      <c r="W61" s="44"/>
      <c r="X61" s="44"/>
    </row>
    <row r="62" spans="1:24" ht="24" customHeight="1" x14ac:dyDescent="0.2">
      <c r="A62" s="36">
        <v>48</v>
      </c>
      <c r="B62" s="37" t="s">
        <v>78</v>
      </c>
      <c r="C62" s="67" t="s">
        <v>79</v>
      </c>
      <c r="D62" s="61">
        <v>40</v>
      </c>
      <c r="E62" s="39">
        <v>22.5</v>
      </c>
      <c r="F62" s="39">
        <v>354</v>
      </c>
      <c r="G62" s="39">
        <v>354</v>
      </c>
      <c r="H62" s="39">
        <v>354</v>
      </c>
      <c r="I62" s="39">
        <v>354</v>
      </c>
      <c r="J62" s="39">
        <v>354</v>
      </c>
      <c r="K62" s="39">
        <v>354</v>
      </c>
      <c r="L62" s="39">
        <v>354</v>
      </c>
      <c r="M62" s="39">
        <v>354</v>
      </c>
      <c r="N62" s="39">
        <v>354</v>
      </c>
      <c r="O62" s="39">
        <v>354</v>
      </c>
      <c r="P62" s="39">
        <v>404</v>
      </c>
      <c r="Q62" s="39">
        <v>404</v>
      </c>
      <c r="R62" s="40">
        <f t="shared" si="11"/>
        <v>1.2728017390756436</v>
      </c>
      <c r="S62" s="45"/>
      <c r="T62" s="45"/>
    </row>
    <row r="63" spans="1:24" ht="13.5" customHeight="1" x14ac:dyDescent="0.2">
      <c r="A63" s="36">
        <v>49</v>
      </c>
      <c r="B63" s="37" t="s">
        <v>80</v>
      </c>
      <c r="C63" s="70" t="s">
        <v>81</v>
      </c>
      <c r="D63" s="61">
        <v>24</v>
      </c>
      <c r="E63" s="39">
        <v>40</v>
      </c>
      <c r="F63" s="39">
        <v>220</v>
      </c>
      <c r="G63" s="39">
        <v>220</v>
      </c>
      <c r="H63" s="39">
        <v>220</v>
      </c>
      <c r="I63" s="39">
        <v>220</v>
      </c>
      <c r="J63" s="39">
        <v>220</v>
      </c>
      <c r="K63" s="39">
        <v>220</v>
      </c>
      <c r="L63" s="39">
        <v>220</v>
      </c>
      <c r="M63" s="39">
        <v>220</v>
      </c>
      <c r="N63" s="39">
        <v>220</v>
      </c>
      <c r="O63" s="39">
        <v>220</v>
      </c>
      <c r="P63" s="39">
        <v>226</v>
      </c>
      <c r="Q63" s="39">
        <v>226</v>
      </c>
      <c r="R63" s="40">
        <f t="shared" si="11"/>
        <v>0.71201285403736492</v>
      </c>
      <c r="S63" s="45"/>
      <c r="T63" s="45"/>
    </row>
    <row r="64" spans="1:24" s="44" customFormat="1" ht="15.95" customHeight="1" x14ac:dyDescent="0.2">
      <c r="A64" s="36">
        <v>50</v>
      </c>
      <c r="B64" s="37" t="s">
        <v>82</v>
      </c>
      <c r="C64" s="38" t="s">
        <v>73</v>
      </c>
      <c r="D64" s="61">
        <v>20</v>
      </c>
      <c r="E64" s="39">
        <v>17</v>
      </c>
      <c r="F64" s="39">
        <v>90</v>
      </c>
      <c r="G64" s="39">
        <v>90</v>
      </c>
      <c r="H64" s="39">
        <v>90</v>
      </c>
      <c r="I64" s="39">
        <v>90</v>
      </c>
      <c r="J64" s="39">
        <v>90</v>
      </c>
      <c r="K64" s="39">
        <v>90</v>
      </c>
      <c r="L64" s="39">
        <v>90</v>
      </c>
      <c r="M64" s="39">
        <v>90</v>
      </c>
      <c r="N64" s="39">
        <v>90</v>
      </c>
      <c r="O64" s="39">
        <v>90</v>
      </c>
      <c r="P64" s="39">
        <v>90</v>
      </c>
      <c r="Q64" s="39">
        <v>90</v>
      </c>
      <c r="R64" s="40">
        <f t="shared" si="11"/>
        <v>0.28354494187328688</v>
      </c>
      <c r="S64" s="45"/>
      <c r="T64" s="45"/>
      <c r="U64" s="9"/>
      <c r="V64" s="9"/>
      <c r="W64" s="9"/>
      <c r="X64" s="9"/>
    </row>
    <row r="65" spans="1:24" ht="15.95" customHeight="1" x14ac:dyDescent="0.2">
      <c r="A65" s="36">
        <v>51</v>
      </c>
      <c r="B65" s="37" t="s">
        <v>83</v>
      </c>
      <c r="C65" s="70" t="s">
        <v>84</v>
      </c>
      <c r="D65" s="61">
        <v>36</v>
      </c>
      <c r="E65" s="39">
        <v>32</v>
      </c>
      <c r="F65" s="39">
        <v>60</v>
      </c>
      <c r="G65" s="39">
        <v>60</v>
      </c>
      <c r="H65" s="39">
        <v>60</v>
      </c>
      <c r="I65" s="39">
        <v>60</v>
      </c>
      <c r="J65" s="39">
        <v>60</v>
      </c>
      <c r="K65" s="39">
        <v>60</v>
      </c>
      <c r="L65" s="39">
        <v>60</v>
      </c>
      <c r="M65" s="39">
        <v>60</v>
      </c>
      <c r="N65" s="39">
        <v>60</v>
      </c>
      <c r="O65" s="39">
        <v>60</v>
      </c>
      <c r="P65" s="39">
        <v>60</v>
      </c>
      <c r="Q65" s="39">
        <v>60</v>
      </c>
      <c r="R65" s="40">
        <f t="shared" si="11"/>
        <v>0.18902996124885793</v>
      </c>
      <c r="S65" s="45"/>
      <c r="T65" s="45"/>
      <c r="U65" s="44"/>
      <c r="V65" s="44"/>
      <c r="W65" s="44"/>
      <c r="X65" s="44"/>
    </row>
    <row r="66" spans="1:24" s="44" customFormat="1" ht="23.25" customHeight="1" x14ac:dyDescent="0.2">
      <c r="A66" s="36">
        <v>52</v>
      </c>
      <c r="B66" s="37" t="s">
        <v>85</v>
      </c>
      <c r="C66" s="70" t="s">
        <v>86</v>
      </c>
      <c r="D66" s="61">
        <v>220</v>
      </c>
      <c r="E66" s="39">
        <v>8</v>
      </c>
      <c r="F66" s="39">
        <v>450</v>
      </c>
      <c r="G66" s="39">
        <v>450</v>
      </c>
      <c r="H66" s="39">
        <v>450</v>
      </c>
      <c r="I66" s="39">
        <v>450</v>
      </c>
      <c r="J66" s="39">
        <v>450</v>
      </c>
      <c r="K66" s="39">
        <v>450</v>
      </c>
      <c r="L66" s="39">
        <v>450</v>
      </c>
      <c r="M66" s="39">
        <v>430</v>
      </c>
      <c r="N66" s="39">
        <v>430</v>
      </c>
      <c r="O66" s="39">
        <v>430</v>
      </c>
      <c r="P66" s="39">
        <v>430</v>
      </c>
      <c r="Q66" s="39">
        <v>430</v>
      </c>
      <c r="R66" s="40">
        <f t="shared" si="11"/>
        <v>1.3547147222834819</v>
      </c>
      <c r="S66" s="45"/>
      <c r="T66" s="45"/>
      <c r="U66" s="9"/>
      <c r="V66" s="9"/>
      <c r="W66" s="9"/>
      <c r="X66" s="9"/>
    </row>
    <row r="67" spans="1:24" s="44" customFormat="1" ht="15.95" customHeight="1" x14ac:dyDescent="0.2">
      <c r="A67" s="36">
        <v>53</v>
      </c>
      <c r="B67" s="37" t="s">
        <v>87</v>
      </c>
      <c r="C67" s="67" t="s">
        <v>88</v>
      </c>
      <c r="D67" s="61">
        <v>24</v>
      </c>
      <c r="E67" s="39">
        <v>12</v>
      </c>
      <c r="F67" s="39">
        <v>96</v>
      </c>
      <c r="G67" s="39">
        <v>96</v>
      </c>
      <c r="H67" s="39">
        <v>96</v>
      </c>
      <c r="I67" s="39">
        <v>96</v>
      </c>
      <c r="J67" s="39">
        <v>96</v>
      </c>
      <c r="K67" s="39">
        <v>96</v>
      </c>
      <c r="L67" s="39">
        <v>96</v>
      </c>
      <c r="M67" s="39">
        <v>96</v>
      </c>
      <c r="N67" s="39">
        <v>96</v>
      </c>
      <c r="O67" s="39">
        <v>96</v>
      </c>
      <c r="P67" s="39">
        <v>96</v>
      </c>
      <c r="Q67" s="39">
        <v>96</v>
      </c>
      <c r="R67" s="40">
        <f t="shared" si="11"/>
        <v>0.30244793799817271</v>
      </c>
      <c r="S67" s="45"/>
      <c r="T67" s="45"/>
      <c r="U67" s="77"/>
      <c r="V67" s="77"/>
      <c r="W67" s="45"/>
      <c r="X67" s="60"/>
    </row>
    <row r="68" spans="1:24" ht="15.95" customHeight="1" x14ac:dyDescent="0.2">
      <c r="A68" s="36">
        <v>54</v>
      </c>
      <c r="B68" s="37" t="s">
        <v>89</v>
      </c>
      <c r="C68" s="70" t="s">
        <v>90</v>
      </c>
      <c r="D68" s="61">
        <v>56</v>
      </c>
      <c r="E68" s="39">
        <v>16</v>
      </c>
      <c r="F68" s="39">
        <v>150</v>
      </c>
      <c r="G68" s="39">
        <v>150</v>
      </c>
      <c r="H68" s="39">
        <v>150</v>
      </c>
      <c r="I68" s="39">
        <v>150</v>
      </c>
      <c r="J68" s="39">
        <v>150</v>
      </c>
      <c r="K68" s="39">
        <v>150</v>
      </c>
      <c r="L68" s="39">
        <v>150</v>
      </c>
      <c r="M68" s="39">
        <v>150</v>
      </c>
      <c r="N68" s="39">
        <v>150</v>
      </c>
      <c r="O68" s="39">
        <v>150</v>
      </c>
      <c r="P68" s="39">
        <v>150</v>
      </c>
      <c r="Q68" s="39">
        <v>150</v>
      </c>
      <c r="R68" s="40">
        <f t="shared" si="11"/>
        <v>0.47257490312214484</v>
      </c>
      <c r="S68" s="45"/>
      <c r="T68" s="45"/>
      <c r="U68" s="44"/>
      <c r="V68" s="44"/>
      <c r="W68" s="44"/>
      <c r="X68" s="44"/>
    </row>
    <row r="69" spans="1:24" s="43" customFormat="1" ht="15.95" customHeight="1" x14ac:dyDescent="0.2">
      <c r="A69" s="36">
        <v>55</v>
      </c>
      <c r="B69" s="37" t="s">
        <v>91</v>
      </c>
      <c r="C69" s="70" t="s">
        <v>92</v>
      </c>
      <c r="D69" s="61">
        <v>192</v>
      </c>
      <c r="E69" s="39">
        <v>18</v>
      </c>
      <c r="F69" s="39">
        <v>192</v>
      </c>
      <c r="G69" s="39">
        <v>192</v>
      </c>
      <c r="H69" s="39">
        <v>192</v>
      </c>
      <c r="I69" s="39">
        <v>192</v>
      </c>
      <c r="J69" s="39">
        <v>192</v>
      </c>
      <c r="K69" s="39">
        <v>192</v>
      </c>
      <c r="L69" s="39">
        <v>192</v>
      </c>
      <c r="M69" s="39">
        <v>192</v>
      </c>
      <c r="N69" s="39">
        <v>192</v>
      </c>
      <c r="O69" s="39">
        <v>192</v>
      </c>
      <c r="P69" s="39">
        <v>192</v>
      </c>
      <c r="Q69" s="39">
        <v>192</v>
      </c>
      <c r="R69" s="40">
        <f t="shared" si="11"/>
        <v>0.60489587599634542</v>
      </c>
      <c r="S69" s="45"/>
      <c r="T69" s="45"/>
      <c r="U69" s="9"/>
      <c r="V69" s="9"/>
      <c r="W69" s="9"/>
      <c r="X69" s="9"/>
    </row>
    <row r="70" spans="1:24" s="43" customFormat="1" ht="15.95" customHeight="1" x14ac:dyDescent="0.2">
      <c r="A70" s="36">
        <v>56</v>
      </c>
      <c r="B70" s="37" t="s">
        <v>93</v>
      </c>
      <c r="C70" s="38" t="s">
        <v>81</v>
      </c>
      <c r="D70" s="61">
        <v>40</v>
      </c>
      <c r="E70" s="39">
        <v>11.3</v>
      </c>
      <c r="F70" s="39">
        <v>132</v>
      </c>
      <c r="G70" s="39">
        <v>132</v>
      </c>
      <c r="H70" s="39">
        <v>132</v>
      </c>
      <c r="I70" s="39">
        <v>132</v>
      </c>
      <c r="J70" s="39">
        <v>132</v>
      </c>
      <c r="K70" s="39">
        <v>132</v>
      </c>
      <c r="L70" s="39">
        <v>220</v>
      </c>
      <c r="M70" s="39">
        <v>220</v>
      </c>
      <c r="N70" s="39">
        <v>220</v>
      </c>
      <c r="O70" s="39">
        <v>220</v>
      </c>
      <c r="P70" s="39">
        <v>280</v>
      </c>
      <c r="Q70" s="39">
        <v>280</v>
      </c>
      <c r="R70" s="40">
        <f t="shared" si="11"/>
        <v>0.88213981916133699</v>
      </c>
      <c r="S70" s="45"/>
      <c r="T70" s="45"/>
      <c r="U70" s="44"/>
      <c r="V70" s="44"/>
      <c r="W70" s="44"/>
      <c r="X70" s="44"/>
    </row>
    <row r="71" spans="1:24" s="43" customFormat="1" ht="15.95" customHeight="1" x14ac:dyDescent="0.2">
      <c r="A71" s="36">
        <v>57</v>
      </c>
      <c r="B71" s="37" t="s">
        <v>94</v>
      </c>
      <c r="C71" s="67" t="s">
        <v>84</v>
      </c>
      <c r="D71" s="61">
        <v>20</v>
      </c>
      <c r="E71" s="39">
        <v>13</v>
      </c>
      <c r="F71" s="39">
        <v>292</v>
      </c>
      <c r="G71" s="39">
        <v>292</v>
      </c>
      <c r="H71" s="39">
        <v>296</v>
      </c>
      <c r="I71" s="39">
        <v>296</v>
      </c>
      <c r="J71" s="39">
        <v>296</v>
      </c>
      <c r="K71" s="39">
        <v>296</v>
      </c>
      <c r="L71" s="39">
        <v>296</v>
      </c>
      <c r="M71" s="39">
        <v>296</v>
      </c>
      <c r="N71" s="39">
        <v>296</v>
      </c>
      <c r="O71" s="39">
        <v>296</v>
      </c>
      <c r="P71" s="39">
        <v>296</v>
      </c>
      <c r="Q71" s="39">
        <v>296</v>
      </c>
      <c r="R71" s="40">
        <f t="shared" si="11"/>
        <v>0.93254780882769917</v>
      </c>
      <c r="S71" s="45"/>
      <c r="T71" s="45"/>
      <c r="U71" s="44"/>
      <c r="V71" s="44"/>
      <c r="W71" s="44"/>
      <c r="X71" s="44"/>
    </row>
    <row r="72" spans="1:24" s="44" customFormat="1" ht="15.95" customHeight="1" x14ac:dyDescent="0.2">
      <c r="A72" s="36">
        <v>58</v>
      </c>
      <c r="B72" s="37" t="s">
        <v>95</v>
      </c>
      <c r="C72" s="38" t="s">
        <v>81</v>
      </c>
      <c r="D72" s="61">
        <v>18</v>
      </c>
      <c r="E72" s="39">
        <v>23</v>
      </c>
      <c r="F72" s="39">
        <v>80</v>
      </c>
      <c r="G72" s="39">
        <v>80</v>
      </c>
      <c r="H72" s="39">
        <v>80</v>
      </c>
      <c r="I72" s="39">
        <v>80</v>
      </c>
      <c r="J72" s="39">
        <v>80</v>
      </c>
      <c r="K72" s="39">
        <v>80</v>
      </c>
      <c r="L72" s="39">
        <v>80</v>
      </c>
      <c r="M72" s="39">
        <v>104</v>
      </c>
      <c r="N72" s="39">
        <v>104</v>
      </c>
      <c r="O72" s="39">
        <v>104</v>
      </c>
      <c r="P72" s="39">
        <v>104</v>
      </c>
      <c r="Q72" s="39">
        <v>104</v>
      </c>
      <c r="R72" s="40">
        <f t="shared" si="11"/>
        <v>0.32765193283135374</v>
      </c>
      <c r="S72" s="45"/>
      <c r="T72" s="45"/>
    </row>
    <row r="73" spans="1:24" s="44" customFormat="1" ht="15.95" customHeight="1" x14ac:dyDescent="0.2">
      <c r="A73" s="36">
        <v>59</v>
      </c>
      <c r="B73" s="37" t="s">
        <v>96</v>
      </c>
      <c r="C73" s="38" t="s">
        <v>73</v>
      </c>
      <c r="D73" s="61">
        <v>18</v>
      </c>
      <c r="E73" s="39">
        <v>19.3</v>
      </c>
      <c r="F73" s="39">
        <v>444</v>
      </c>
      <c r="G73" s="39">
        <v>444</v>
      </c>
      <c r="H73" s="39">
        <v>444</v>
      </c>
      <c r="I73" s="39">
        <v>456</v>
      </c>
      <c r="J73" s="39">
        <v>448</v>
      </c>
      <c r="K73" s="39">
        <v>448</v>
      </c>
      <c r="L73" s="39">
        <v>492</v>
      </c>
      <c r="M73" s="39">
        <v>492</v>
      </c>
      <c r="N73" s="39">
        <v>492</v>
      </c>
      <c r="O73" s="39">
        <v>492</v>
      </c>
      <c r="P73" s="39">
        <v>492</v>
      </c>
      <c r="Q73" s="39">
        <v>544</v>
      </c>
      <c r="R73" s="40">
        <f t="shared" si="11"/>
        <v>1.7138716486563121</v>
      </c>
      <c r="S73" s="45"/>
      <c r="T73" s="45"/>
    </row>
    <row r="74" spans="1:24" s="44" customFormat="1" ht="15.95" customHeight="1" x14ac:dyDescent="0.2">
      <c r="A74" s="36">
        <v>60</v>
      </c>
      <c r="B74" s="37" t="s">
        <v>97</v>
      </c>
      <c r="C74" s="70" t="s">
        <v>79</v>
      </c>
      <c r="D74" s="61">
        <v>50</v>
      </c>
      <c r="E74" s="39">
        <v>29</v>
      </c>
      <c r="F74" s="39">
        <v>206</v>
      </c>
      <c r="G74" s="39">
        <v>206</v>
      </c>
      <c r="H74" s="39">
        <v>206</v>
      </c>
      <c r="I74" s="39">
        <v>206</v>
      </c>
      <c r="J74" s="39">
        <v>206</v>
      </c>
      <c r="K74" s="39">
        <v>206</v>
      </c>
      <c r="L74" s="39">
        <v>206</v>
      </c>
      <c r="M74" s="39">
        <v>206</v>
      </c>
      <c r="N74" s="39">
        <v>206</v>
      </c>
      <c r="O74" s="39">
        <v>206</v>
      </c>
      <c r="P74" s="39">
        <v>200</v>
      </c>
      <c r="Q74" s="39">
        <v>200</v>
      </c>
      <c r="R74" s="40">
        <f t="shared" si="11"/>
        <v>0.63009987082952645</v>
      </c>
      <c r="S74" s="45"/>
      <c r="T74" s="45"/>
      <c r="U74" s="43"/>
      <c r="V74" s="43"/>
      <c r="W74" s="43"/>
      <c r="X74" s="43"/>
    </row>
    <row r="75" spans="1:24" s="44" customFormat="1" ht="15.95" customHeight="1" x14ac:dyDescent="0.2">
      <c r="A75" s="36">
        <v>61</v>
      </c>
      <c r="B75" s="37" t="s">
        <v>98</v>
      </c>
      <c r="C75" s="38" t="s">
        <v>99</v>
      </c>
      <c r="D75" s="61">
        <v>12</v>
      </c>
      <c r="E75" s="39">
        <v>27.4</v>
      </c>
      <c r="F75" s="39">
        <v>14</v>
      </c>
      <c r="G75" s="39">
        <v>14</v>
      </c>
      <c r="H75" s="39">
        <v>14</v>
      </c>
      <c r="I75" s="39">
        <v>14</v>
      </c>
      <c r="J75" s="39">
        <v>14</v>
      </c>
      <c r="K75" s="39">
        <v>14</v>
      </c>
      <c r="L75" s="39">
        <v>14</v>
      </c>
      <c r="M75" s="39">
        <v>14</v>
      </c>
      <c r="N75" s="39">
        <v>14</v>
      </c>
      <c r="O75" s="39">
        <v>14</v>
      </c>
      <c r="P75" s="39">
        <v>14</v>
      </c>
      <c r="Q75" s="39">
        <v>14</v>
      </c>
      <c r="R75" s="40">
        <f t="shared" si="11"/>
        <v>4.4106990958066854E-2</v>
      </c>
      <c r="S75" s="45"/>
      <c r="T75" s="45"/>
      <c r="U75" s="43"/>
      <c r="V75" s="43"/>
      <c r="W75" s="43"/>
      <c r="X75" s="43"/>
    </row>
    <row r="76" spans="1:24" s="44" customFormat="1" ht="15.95" customHeight="1" x14ac:dyDescent="0.2">
      <c r="A76" s="36">
        <v>62</v>
      </c>
      <c r="B76" s="37" t="s">
        <v>100</v>
      </c>
      <c r="C76" s="70">
        <v>1981</v>
      </c>
      <c r="D76" s="61">
        <v>12</v>
      </c>
      <c r="E76" s="39">
        <v>30</v>
      </c>
      <c r="F76" s="39">
        <v>70</v>
      </c>
      <c r="G76" s="39">
        <v>70</v>
      </c>
      <c r="H76" s="39">
        <v>70</v>
      </c>
      <c r="I76" s="39">
        <v>70</v>
      </c>
      <c r="J76" s="39">
        <v>70</v>
      </c>
      <c r="K76" s="39">
        <v>70</v>
      </c>
      <c r="L76" s="39">
        <v>70</v>
      </c>
      <c r="M76" s="39">
        <v>70</v>
      </c>
      <c r="N76" s="39">
        <v>70</v>
      </c>
      <c r="O76" s="39">
        <v>70</v>
      </c>
      <c r="P76" s="39">
        <v>70</v>
      </c>
      <c r="Q76" s="39">
        <v>70</v>
      </c>
      <c r="R76" s="40">
        <f t="shared" si="11"/>
        <v>0.22053495479033425</v>
      </c>
      <c r="S76" s="45"/>
      <c r="T76" s="45"/>
      <c r="U76" s="43"/>
      <c r="V76" s="43"/>
      <c r="W76" s="43"/>
      <c r="X76" s="43"/>
    </row>
    <row r="77" spans="1:24" ht="22.5" customHeight="1" x14ac:dyDescent="0.2">
      <c r="A77" s="36">
        <v>63</v>
      </c>
      <c r="B77" s="37" t="s">
        <v>101</v>
      </c>
      <c r="C77" s="67" t="s">
        <v>84</v>
      </c>
      <c r="D77" s="61">
        <v>120</v>
      </c>
      <c r="E77" s="39">
        <v>29</v>
      </c>
      <c r="F77" s="39">
        <v>120</v>
      </c>
      <c r="G77" s="39">
        <v>120</v>
      </c>
      <c r="H77" s="39">
        <v>120</v>
      </c>
      <c r="I77" s="39">
        <v>120</v>
      </c>
      <c r="J77" s="39">
        <v>120</v>
      </c>
      <c r="K77" s="39">
        <v>120</v>
      </c>
      <c r="L77" s="39">
        <v>120</v>
      </c>
      <c r="M77" s="39">
        <v>120</v>
      </c>
      <c r="N77" s="39">
        <v>120</v>
      </c>
      <c r="O77" s="39">
        <v>120</v>
      </c>
      <c r="P77" s="39">
        <v>120</v>
      </c>
      <c r="Q77" s="39">
        <v>120</v>
      </c>
      <c r="R77" s="40">
        <f t="shared" si="11"/>
        <v>0.37805992249771586</v>
      </c>
      <c r="S77" s="45"/>
      <c r="T77" s="45"/>
      <c r="U77" s="44"/>
      <c r="V77" s="44"/>
      <c r="W77" s="44"/>
      <c r="X77" s="44"/>
    </row>
    <row r="78" spans="1:24" s="44" customFormat="1" x14ac:dyDescent="0.2">
      <c r="A78" s="36">
        <v>64</v>
      </c>
      <c r="B78" s="37" t="s">
        <v>102</v>
      </c>
      <c r="C78" s="38" t="s">
        <v>79</v>
      </c>
      <c r="D78" s="61">
        <v>44</v>
      </c>
      <c r="E78" s="39">
        <v>8</v>
      </c>
      <c r="F78" s="39">
        <v>236</v>
      </c>
      <c r="G78" s="39">
        <v>236</v>
      </c>
      <c r="H78" s="39">
        <v>236</v>
      </c>
      <c r="I78" s="39">
        <v>236</v>
      </c>
      <c r="J78" s="39">
        <v>236</v>
      </c>
      <c r="K78" s="39">
        <v>236</v>
      </c>
      <c r="L78" s="39">
        <v>236</v>
      </c>
      <c r="M78" s="39">
        <v>236</v>
      </c>
      <c r="N78" s="39">
        <v>236</v>
      </c>
      <c r="O78" s="39">
        <v>236</v>
      </c>
      <c r="P78" s="39">
        <v>236</v>
      </c>
      <c r="Q78" s="39">
        <v>236</v>
      </c>
      <c r="R78" s="40">
        <f t="shared" si="11"/>
        <v>0.74351784757884132</v>
      </c>
      <c r="S78" s="45"/>
      <c r="T78" s="45"/>
    </row>
    <row r="79" spans="1:24" s="44" customFormat="1" ht="15.95" customHeight="1" x14ac:dyDescent="0.2">
      <c r="A79" s="36">
        <v>65</v>
      </c>
      <c r="B79" s="37" t="s">
        <v>103</v>
      </c>
      <c r="C79" s="38" t="s">
        <v>92</v>
      </c>
      <c r="D79" s="61">
        <v>40</v>
      </c>
      <c r="E79" s="39">
        <v>40</v>
      </c>
      <c r="F79" s="39">
        <v>114</v>
      </c>
      <c r="G79" s="39">
        <v>114</v>
      </c>
      <c r="H79" s="39">
        <v>114</v>
      </c>
      <c r="I79" s="39">
        <v>114</v>
      </c>
      <c r="J79" s="39">
        <v>114</v>
      </c>
      <c r="K79" s="39">
        <v>114</v>
      </c>
      <c r="L79" s="39">
        <v>114</v>
      </c>
      <c r="M79" s="39">
        <v>114</v>
      </c>
      <c r="N79" s="39">
        <v>114</v>
      </c>
      <c r="O79" s="39">
        <v>152</v>
      </c>
      <c r="P79" s="39">
        <v>152</v>
      </c>
      <c r="Q79" s="39">
        <v>152</v>
      </c>
      <c r="R79" s="40">
        <f t="shared" si="11"/>
        <v>0.47887590183044015</v>
      </c>
      <c r="S79" s="45"/>
      <c r="T79" s="45"/>
    </row>
    <row r="80" spans="1:24" s="44" customFormat="1" ht="21.75" customHeight="1" x14ac:dyDescent="0.2">
      <c r="A80" s="36">
        <v>66</v>
      </c>
      <c r="B80" s="37" t="s">
        <v>104</v>
      </c>
      <c r="C80" s="38" t="s">
        <v>84</v>
      </c>
      <c r="D80" s="61">
        <v>90</v>
      </c>
      <c r="E80" s="39">
        <v>28</v>
      </c>
      <c r="F80" s="39">
        <v>300</v>
      </c>
      <c r="G80" s="39">
        <v>300</v>
      </c>
      <c r="H80" s="39">
        <v>300</v>
      </c>
      <c r="I80" s="39">
        <v>300</v>
      </c>
      <c r="J80" s="39">
        <v>300</v>
      </c>
      <c r="K80" s="39">
        <v>300</v>
      </c>
      <c r="L80" s="39">
        <v>300</v>
      </c>
      <c r="M80" s="39">
        <v>300</v>
      </c>
      <c r="N80" s="39">
        <v>300</v>
      </c>
      <c r="O80" s="39">
        <v>300</v>
      </c>
      <c r="P80" s="39">
        <v>300</v>
      </c>
      <c r="Q80" s="39">
        <v>300</v>
      </c>
      <c r="R80" s="40">
        <f t="shared" si="11"/>
        <v>0.94514980624428968</v>
      </c>
      <c r="S80" s="45"/>
      <c r="T80" s="45"/>
    </row>
    <row r="81" spans="1:24" s="44" customFormat="1" ht="24" customHeight="1" x14ac:dyDescent="0.2">
      <c r="A81" s="36">
        <v>67</v>
      </c>
      <c r="B81" s="37" t="s">
        <v>105</v>
      </c>
      <c r="C81" s="38" t="s">
        <v>106</v>
      </c>
      <c r="D81" s="61">
        <v>32</v>
      </c>
      <c r="E81" s="39">
        <v>12.9</v>
      </c>
      <c r="F81" s="39">
        <v>212</v>
      </c>
      <c r="G81" s="39">
        <v>212</v>
      </c>
      <c r="H81" s="39">
        <v>212</v>
      </c>
      <c r="I81" s="39">
        <v>212</v>
      </c>
      <c r="J81" s="39">
        <v>212</v>
      </c>
      <c r="K81" s="39">
        <v>212</v>
      </c>
      <c r="L81" s="39">
        <v>212</v>
      </c>
      <c r="M81" s="39">
        <v>212</v>
      </c>
      <c r="N81" s="39">
        <v>212</v>
      </c>
      <c r="O81" s="39">
        <v>212</v>
      </c>
      <c r="P81" s="39">
        <v>220</v>
      </c>
      <c r="Q81" s="39">
        <v>220</v>
      </c>
      <c r="R81" s="40">
        <f t="shared" si="11"/>
        <v>0.69310985791247914</v>
      </c>
      <c r="S81" s="45"/>
      <c r="T81" s="45"/>
      <c r="U81" s="9"/>
      <c r="V81" s="9"/>
      <c r="W81" s="9"/>
      <c r="X81" s="9"/>
    </row>
    <row r="82" spans="1:24" s="44" customFormat="1" ht="18" customHeight="1" x14ac:dyDescent="0.2">
      <c r="A82" s="36">
        <v>68</v>
      </c>
      <c r="B82" s="37" t="s">
        <v>107</v>
      </c>
      <c r="C82" s="38" t="s">
        <v>81</v>
      </c>
      <c r="D82" s="61">
        <v>44</v>
      </c>
      <c r="E82" s="39">
        <v>38</v>
      </c>
      <c r="F82" s="39">
        <v>200</v>
      </c>
      <c r="G82" s="39">
        <v>200</v>
      </c>
      <c r="H82" s="39">
        <v>200</v>
      </c>
      <c r="I82" s="39">
        <v>200</v>
      </c>
      <c r="J82" s="39">
        <v>200</v>
      </c>
      <c r="K82" s="39">
        <v>200</v>
      </c>
      <c r="L82" s="39">
        <v>200</v>
      </c>
      <c r="M82" s="39">
        <v>200</v>
      </c>
      <c r="N82" s="39">
        <v>200</v>
      </c>
      <c r="O82" s="39">
        <v>200</v>
      </c>
      <c r="P82" s="39">
        <v>150</v>
      </c>
      <c r="Q82" s="39">
        <v>150</v>
      </c>
      <c r="R82" s="40">
        <f t="shared" si="11"/>
        <v>0.47257490312214484</v>
      </c>
      <c r="S82" s="45"/>
      <c r="T82" s="45"/>
    </row>
    <row r="83" spans="1:24" s="44" customFormat="1" ht="18" customHeight="1" x14ac:dyDescent="0.2">
      <c r="A83" s="36">
        <v>69</v>
      </c>
      <c r="B83" s="37" t="s">
        <v>108</v>
      </c>
      <c r="C83" s="38" t="s">
        <v>67</v>
      </c>
      <c r="D83" s="27" t="s">
        <v>13</v>
      </c>
      <c r="E83" s="39" t="s">
        <v>21</v>
      </c>
      <c r="F83" s="39"/>
      <c r="G83" s="39"/>
      <c r="H83" s="39"/>
      <c r="I83" s="39"/>
      <c r="J83" s="39"/>
      <c r="K83" s="39"/>
      <c r="L83" s="39" t="s">
        <v>13</v>
      </c>
      <c r="M83" s="39" t="s">
        <v>13</v>
      </c>
      <c r="N83" s="39" t="s">
        <v>13</v>
      </c>
      <c r="O83" s="28" t="s">
        <v>13</v>
      </c>
      <c r="P83" s="39">
        <v>250</v>
      </c>
      <c r="Q83" s="39">
        <v>94</v>
      </c>
      <c r="R83" s="40">
        <f t="shared" si="11"/>
        <v>0.29614693928987745</v>
      </c>
      <c r="S83" s="45"/>
      <c r="T83" s="45"/>
    </row>
    <row r="84" spans="1:24" s="44" customFormat="1" ht="15.95" customHeight="1" x14ac:dyDescent="0.2">
      <c r="A84" s="36">
        <v>70</v>
      </c>
      <c r="B84" s="37" t="s">
        <v>109</v>
      </c>
      <c r="C84" s="38" t="s">
        <v>110</v>
      </c>
      <c r="D84" s="61">
        <v>98</v>
      </c>
      <c r="E84" s="39">
        <v>27.4</v>
      </c>
      <c r="F84" s="39">
        <v>204</v>
      </c>
      <c r="G84" s="39">
        <v>322</v>
      </c>
      <c r="H84" s="39">
        <v>322</v>
      </c>
      <c r="I84" s="39">
        <v>322</v>
      </c>
      <c r="J84" s="39">
        <v>322</v>
      </c>
      <c r="K84" s="39">
        <v>322</v>
      </c>
      <c r="L84" s="39">
        <v>322</v>
      </c>
      <c r="M84" s="39">
        <v>322</v>
      </c>
      <c r="N84" s="39">
        <v>322</v>
      </c>
      <c r="O84" s="39">
        <v>322</v>
      </c>
      <c r="P84" s="39">
        <v>322</v>
      </c>
      <c r="Q84" s="39">
        <v>250</v>
      </c>
      <c r="R84" s="40">
        <f t="shared" si="11"/>
        <v>0.78762483853690812</v>
      </c>
      <c r="S84" s="45"/>
      <c r="T84" s="45"/>
    </row>
    <row r="85" spans="1:24" s="43" customFormat="1" x14ac:dyDescent="0.2">
      <c r="A85" s="36">
        <v>71</v>
      </c>
      <c r="B85" s="37" t="s">
        <v>111</v>
      </c>
      <c r="C85" s="67" t="s">
        <v>79</v>
      </c>
      <c r="D85" s="61">
        <v>80</v>
      </c>
      <c r="E85" s="39">
        <v>25.7</v>
      </c>
      <c r="F85" s="39">
        <v>102</v>
      </c>
      <c r="G85" s="39">
        <v>102</v>
      </c>
      <c r="H85" s="39">
        <v>102</v>
      </c>
      <c r="I85" s="39">
        <v>102</v>
      </c>
      <c r="J85" s="39">
        <v>102</v>
      </c>
      <c r="K85" s="39">
        <v>102</v>
      </c>
      <c r="L85" s="39">
        <v>102</v>
      </c>
      <c r="M85" s="39">
        <v>102</v>
      </c>
      <c r="N85" s="39">
        <v>102</v>
      </c>
      <c r="O85" s="39">
        <v>102</v>
      </c>
      <c r="P85" s="39">
        <v>98</v>
      </c>
      <c r="Q85" s="39">
        <v>322</v>
      </c>
      <c r="R85" s="40">
        <f t="shared" si="11"/>
        <v>1.0144607920355377</v>
      </c>
      <c r="S85" s="45"/>
      <c r="T85" s="45"/>
      <c r="U85" s="44"/>
      <c r="V85" s="44"/>
      <c r="W85" s="44"/>
      <c r="X85" s="44"/>
    </row>
    <row r="86" spans="1:24" s="44" customFormat="1" ht="15.95" customHeight="1" x14ac:dyDescent="0.2">
      <c r="A86" s="36">
        <v>72</v>
      </c>
      <c r="B86" s="37" t="s">
        <v>112</v>
      </c>
      <c r="C86" s="70" t="s">
        <v>92</v>
      </c>
      <c r="D86" s="61">
        <v>64</v>
      </c>
      <c r="E86" s="39">
        <v>12</v>
      </c>
      <c r="F86" s="39">
        <v>110</v>
      </c>
      <c r="G86" s="39">
        <v>110</v>
      </c>
      <c r="H86" s="39">
        <v>110</v>
      </c>
      <c r="I86" s="39">
        <v>110</v>
      </c>
      <c r="J86" s="39">
        <v>174</v>
      </c>
      <c r="K86" s="39">
        <v>178</v>
      </c>
      <c r="L86" s="39">
        <v>178</v>
      </c>
      <c r="M86" s="39">
        <v>178</v>
      </c>
      <c r="N86" s="39">
        <v>178</v>
      </c>
      <c r="O86" s="39">
        <v>178</v>
      </c>
      <c r="P86" s="39">
        <v>196</v>
      </c>
      <c r="Q86" s="39">
        <v>98</v>
      </c>
      <c r="R86" s="40">
        <f t="shared" si="11"/>
        <v>0.30874893670646797</v>
      </c>
      <c r="S86" s="45"/>
      <c r="T86" s="45"/>
      <c r="U86" s="43"/>
      <c r="V86" s="43"/>
      <c r="W86" s="43"/>
      <c r="X86" s="43"/>
    </row>
    <row r="87" spans="1:24" s="44" customFormat="1" ht="15.95" customHeight="1" x14ac:dyDescent="0.2">
      <c r="A87" s="36">
        <v>73</v>
      </c>
      <c r="B87" s="37" t="s">
        <v>113</v>
      </c>
      <c r="C87" s="67" t="s">
        <v>86</v>
      </c>
      <c r="D87" s="61">
        <v>60</v>
      </c>
      <c r="E87" s="39">
        <v>3.2</v>
      </c>
      <c r="F87" s="39">
        <v>362</v>
      </c>
      <c r="G87" s="39">
        <v>362</v>
      </c>
      <c r="H87" s="39">
        <v>362</v>
      </c>
      <c r="I87" s="39">
        <v>362</v>
      </c>
      <c r="J87" s="39">
        <v>362</v>
      </c>
      <c r="K87" s="39">
        <v>362</v>
      </c>
      <c r="L87" s="39">
        <v>362</v>
      </c>
      <c r="M87" s="39">
        <v>362</v>
      </c>
      <c r="N87" s="39">
        <v>362</v>
      </c>
      <c r="O87" s="39">
        <v>362</v>
      </c>
      <c r="P87" s="39">
        <v>362</v>
      </c>
      <c r="Q87" s="39">
        <v>196</v>
      </c>
      <c r="R87" s="40">
        <f t="shared" si="11"/>
        <v>0.61749787341293594</v>
      </c>
      <c r="S87" s="45"/>
      <c r="T87" s="45"/>
    </row>
    <row r="88" spans="1:24" s="44" customFormat="1" ht="15.95" customHeight="1" x14ac:dyDescent="0.2">
      <c r="A88" s="36">
        <v>74</v>
      </c>
      <c r="B88" s="37" t="s">
        <v>114</v>
      </c>
      <c r="C88" s="67">
        <v>2018</v>
      </c>
      <c r="D88" s="61">
        <v>362</v>
      </c>
      <c r="E88" s="39" t="s">
        <v>21</v>
      </c>
      <c r="F88" s="39"/>
      <c r="G88" s="39"/>
      <c r="H88" s="39"/>
      <c r="I88" s="39"/>
      <c r="J88" s="39"/>
      <c r="K88" s="39"/>
      <c r="L88" s="28" t="s">
        <v>13</v>
      </c>
      <c r="M88" s="28" t="s">
        <v>13</v>
      </c>
      <c r="N88" s="28" t="s">
        <v>13</v>
      </c>
      <c r="O88" s="28" t="s">
        <v>13</v>
      </c>
      <c r="P88" s="28" t="s">
        <v>13</v>
      </c>
      <c r="Q88" s="39">
        <v>362</v>
      </c>
      <c r="R88" s="40">
        <f t="shared" si="11"/>
        <v>1.1404807662014429</v>
      </c>
      <c r="S88" s="45"/>
      <c r="T88" s="45"/>
    </row>
    <row r="89" spans="1:24" s="44" customFormat="1" ht="15.95" customHeight="1" x14ac:dyDescent="0.2">
      <c r="A89" s="36">
        <v>75</v>
      </c>
      <c r="B89" s="37" t="s">
        <v>115</v>
      </c>
      <c r="C89" s="67" t="s">
        <v>60</v>
      </c>
      <c r="D89" s="61">
        <v>58</v>
      </c>
      <c r="E89" s="39">
        <v>38.6</v>
      </c>
      <c r="F89" s="39">
        <v>74</v>
      </c>
      <c r="G89" s="39">
        <v>74</v>
      </c>
      <c r="H89" s="39">
        <v>74</v>
      </c>
      <c r="I89" s="39">
        <v>74</v>
      </c>
      <c r="J89" s="39">
        <v>74</v>
      </c>
      <c r="K89" s="39">
        <v>74</v>
      </c>
      <c r="L89" s="39">
        <v>74</v>
      </c>
      <c r="M89" s="39">
        <v>74</v>
      </c>
      <c r="N89" s="39">
        <v>74</v>
      </c>
      <c r="O89" s="39">
        <v>74</v>
      </c>
      <c r="P89" s="39">
        <v>72</v>
      </c>
      <c r="Q89" s="39">
        <v>94</v>
      </c>
      <c r="R89" s="40">
        <f t="shared" si="11"/>
        <v>0.29614693928987745</v>
      </c>
      <c r="S89" s="45"/>
      <c r="T89" s="45"/>
    </row>
    <row r="90" spans="1:24" s="44" customFormat="1" ht="15.95" customHeight="1" x14ac:dyDescent="0.2">
      <c r="A90" s="36">
        <v>76</v>
      </c>
      <c r="B90" s="37" t="s">
        <v>116</v>
      </c>
      <c r="C90" s="55">
        <v>2016</v>
      </c>
      <c r="D90" s="61">
        <v>164</v>
      </c>
      <c r="E90" s="39">
        <v>8</v>
      </c>
      <c r="F90" s="39" t="s">
        <v>13</v>
      </c>
      <c r="G90" s="39" t="s">
        <v>13</v>
      </c>
      <c r="H90" s="39" t="s">
        <v>13</v>
      </c>
      <c r="I90" s="39" t="s">
        <v>13</v>
      </c>
      <c r="J90" s="39" t="s">
        <v>13</v>
      </c>
      <c r="K90" s="39" t="s">
        <v>13</v>
      </c>
      <c r="L90" s="39" t="s">
        <v>13</v>
      </c>
      <c r="M90" s="39" t="s">
        <v>13</v>
      </c>
      <c r="N90" s="39" t="s">
        <v>13</v>
      </c>
      <c r="O90" s="39">
        <v>164</v>
      </c>
      <c r="P90" s="39">
        <v>164</v>
      </c>
      <c r="Q90" s="39">
        <v>72</v>
      </c>
      <c r="R90" s="40">
        <f t="shared" si="11"/>
        <v>0.22683595349862953</v>
      </c>
      <c r="S90" s="45"/>
      <c r="T90" s="45"/>
    </row>
    <row r="91" spans="1:24" s="44" customFormat="1" ht="15.95" customHeight="1" x14ac:dyDescent="0.2">
      <c r="A91" s="36">
        <v>77</v>
      </c>
      <c r="B91" s="37" t="s">
        <v>117</v>
      </c>
      <c r="C91" s="67" t="s">
        <v>73</v>
      </c>
      <c r="D91" s="61">
        <v>128</v>
      </c>
      <c r="E91" s="39">
        <v>37</v>
      </c>
      <c r="F91" s="39">
        <v>570</v>
      </c>
      <c r="G91" s="39">
        <v>570</v>
      </c>
      <c r="H91" s="39">
        <v>570</v>
      </c>
      <c r="I91" s="39">
        <v>570</v>
      </c>
      <c r="J91" s="39">
        <v>570</v>
      </c>
      <c r="K91" s="39">
        <v>570</v>
      </c>
      <c r="L91" s="39">
        <v>570</v>
      </c>
      <c r="M91" s="39">
        <v>570</v>
      </c>
      <c r="N91" s="39">
        <v>570</v>
      </c>
      <c r="O91" s="39">
        <v>570</v>
      </c>
      <c r="P91" s="39">
        <v>572</v>
      </c>
      <c r="Q91" s="39">
        <v>164</v>
      </c>
      <c r="R91" s="40">
        <f t="shared" si="11"/>
        <v>0.5166818940802117</v>
      </c>
      <c r="S91" s="45"/>
      <c r="T91" s="45"/>
      <c r="U91" s="43"/>
      <c r="V91" s="43"/>
      <c r="W91" s="43"/>
      <c r="X91" s="43"/>
    </row>
    <row r="92" spans="1:24" s="44" customFormat="1" ht="15.95" customHeight="1" x14ac:dyDescent="0.2">
      <c r="A92" s="36">
        <v>78</v>
      </c>
      <c r="B92" s="37" t="s">
        <v>118</v>
      </c>
      <c r="C92" s="55">
        <v>1986</v>
      </c>
      <c r="D92" s="61">
        <v>32</v>
      </c>
      <c r="E92" s="39">
        <v>27</v>
      </c>
      <c r="F92" s="39">
        <v>138</v>
      </c>
      <c r="G92" s="39">
        <v>138</v>
      </c>
      <c r="H92" s="39">
        <v>138</v>
      </c>
      <c r="I92" s="39">
        <v>138</v>
      </c>
      <c r="J92" s="39">
        <v>138</v>
      </c>
      <c r="K92" s="39">
        <v>138</v>
      </c>
      <c r="L92" s="39">
        <v>138</v>
      </c>
      <c r="M92" s="39">
        <v>138</v>
      </c>
      <c r="N92" s="39">
        <v>138</v>
      </c>
      <c r="O92" s="39">
        <v>138</v>
      </c>
      <c r="P92" s="39">
        <v>176</v>
      </c>
      <c r="Q92" s="39">
        <v>572</v>
      </c>
      <c r="R92" s="40">
        <f t="shared" si="11"/>
        <v>1.8020856305724458</v>
      </c>
      <c r="S92" s="45"/>
      <c r="T92" s="45"/>
    </row>
    <row r="93" spans="1:24" s="43" customFormat="1" ht="15.95" customHeight="1" x14ac:dyDescent="0.2">
      <c r="A93" s="36">
        <v>79</v>
      </c>
      <c r="B93" s="37" t="s">
        <v>119</v>
      </c>
      <c r="C93" s="38" t="s">
        <v>79</v>
      </c>
      <c r="D93" s="61">
        <v>20</v>
      </c>
      <c r="E93" s="39">
        <v>46.7</v>
      </c>
      <c r="F93" s="39">
        <v>100</v>
      </c>
      <c r="G93" s="39">
        <v>100</v>
      </c>
      <c r="H93" s="39">
        <v>100</v>
      </c>
      <c r="I93" s="39">
        <v>100</v>
      </c>
      <c r="J93" s="39">
        <v>100</v>
      </c>
      <c r="K93" s="39">
        <v>100</v>
      </c>
      <c r="L93" s="39">
        <v>100</v>
      </c>
      <c r="M93" s="39">
        <v>100</v>
      </c>
      <c r="N93" s="39">
        <v>220</v>
      </c>
      <c r="O93" s="39">
        <v>236</v>
      </c>
      <c r="P93" s="39">
        <v>236</v>
      </c>
      <c r="Q93" s="39">
        <v>176</v>
      </c>
      <c r="R93" s="40">
        <f t="shared" si="11"/>
        <v>0.55448788632998336</v>
      </c>
      <c r="S93" s="45"/>
      <c r="T93" s="45"/>
      <c r="U93" s="44"/>
      <c r="V93" s="44"/>
      <c r="W93" s="44"/>
      <c r="X93" s="44"/>
    </row>
    <row r="94" spans="1:24" s="43" customFormat="1" ht="15.95" customHeight="1" x14ac:dyDescent="0.2">
      <c r="A94" s="36">
        <v>80</v>
      </c>
      <c r="B94" s="37" t="s">
        <v>120</v>
      </c>
      <c r="C94" s="38" t="s">
        <v>20</v>
      </c>
      <c r="D94" s="61">
        <v>236</v>
      </c>
      <c r="E94" s="39" t="s">
        <v>21</v>
      </c>
      <c r="F94" s="39"/>
      <c r="G94" s="39"/>
      <c r="H94" s="39"/>
      <c r="I94" s="39"/>
      <c r="J94" s="39"/>
      <c r="K94" s="39"/>
      <c r="L94" s="28" t="s">
        <v>13</v>
      </c>
      <c r="M94" s="28" t="s">
        <v>13</v>
      </c>
      <c r="N94" s="28" t="s">
        <v>13</v>
      </c>
      <c r="O94" s="28" t="s">
        <v>13</v>
      </c>
      <c r="P94" s="28" t="s">
        <v>13</v>
      </c>
      <c r="Q94" s="39">
        <v>236</v>
      </c>
      <c r="R94" s="40">
        <f t="shared" si="11"/>
        <v>0.74351784757884132</v>
      </c>
      <c r="S94" s="45"/>
      <c r="T94" s="45"/>
      <c r="U94" s="44"/>
      <c r="V94" s="44"/>
      <c r="W94" s="44"/>
      <c r="X94" s="44"/>
    </row>
    <row r="95" spans="1:24" s="43" customFormat="1" ht="15.95" customHeight="1" x14ac:dyDescent="0.2">
      <c r="A95" s="36">
        <v>81</v>
      </c>
      <c r="B95" s="37" t="s">
        <v>121</v>
      </c>
      <c r="C95" s="67" t="s">
        <v>79</v>
      </c>
      <c r="D95" s="61">
        <v>36</v>
      </c>
      <c r="E95" s="39">
        <v>51.5</v>
      </c>
      <c r="F95" s="39">
        <v>268</v>
      </c>
      <c r="G95" s="39">
        <v>268</v>
      </c>
      <c r="H95" s="39">
        <v>268</v>
      </c>
      <c r="I95" s="39">
        <v>332</v>
      </c>
      <c r="J95" s="39">
        <v>332</v>
      </c>
      <c r="K95" s="39">
        <v>332</v>
      </c>
      <c r="L95" s="39">
        <v>332</v>
      </c>
      <c r="M95" s="39">
        <v>332</v>
      </c>
      <c r="N95" s="39">
        <v>332</v>
      </c>
      <c r="O95" s="39">
        <v>332</v>
      </c>
      <c r="P95" s="39">
        <v>416</v>
      </c>
      <c r="Q95" s="39">
        <v>288</v>
      </c>
      <c r="R95" s="40">
        <f t="shared" si="11"/>
        <v>0.90734381399451813</v>
      </c>
      <c r="S95" s="45"/>
      <c r="T95" s="45"/>
    </row>
    <row r="96" spans="1:24" s="43" customFormat="1" x14ac:dyDescent="0.2">
      <c r="A96" s="36">
        <v>82</v>
      </c>
      <c r="B96" s="37" t="s">
        <v>122</v>
      </c>
      <c r="C96" s="67" t="s">
        <v>79</v>
      </c>
      <c r="D96" s="61">
        <v>24</v>
      </c>
      <c r="E96" s="39">
        <v>64.400000000000006</v>
      </c>
      <c r="F96" s="39">
        <v>264</v>
      </c>
      <c r="G96" s="39">
        <v>264</v>
      </c>
      <c r="H96" s="39">
        <v>268</v>
      </c>
      <c r="I96" s="39">
        <v>268</v>
      </c>
      <c r="J96" s="39">
        <v>268</v>
      </c>
      <c r="K96" s="39">
        <v>268</v>
      </c>
      <c r="L96" s="39">
        <v>268</v>
      </c>
      <c r="M96" s="39">
        <v>268</v>
      </c>
      <c r="N96" s="39">
        <v>268</v>
      </c>
      <c r="O96" s="39">
        <v>268</v>
      </c>
      <c r="P96" s="39">
        <v>268</v>
      </c>
      <c r="Q96" s="39">
        <v>456</v>
      </c>
      <c r="R96" s="40">
        <f t="shared" si="11"/>
        <v>1.4366277054913204</v>
      </c>
      <c r="S96" s="45"/>
      <c r="T96" s="45"/>
    </row>
    <row r="97" spans="1:24" s="43" customFormat="1" x14ac:dyDescent="0.2">
      <c r="A97" s="36">
        <v>83</v>
      </c>
      <c r="B97" s="37" t="s">
        <v>123</v>
      </c>
      <c r="C97" s="55">
        <v>2016</v>
      </c>
      <c r="D97" s="61">
        <v>198</v>
      </c>
      <c r="E97" s="39">
        <v>36.4</v>
      </c>
      <c r="F97" s="39" t="s">
        <v>13</v>
      </c>
      <c r="G97" s="39" t="s">
        <v>13</v>
      </c>
      <c r="H97" s="39" t="s">
        <v>13</v>
      </c>
      <c r="I97" s="39" t="s">
        <v>13</v>
      </c>
      <c r="J97" s="39" t="s">
        <v>13</v>
      </c>
      <c r="K97" s="39" t="s">
        <v>13</v>
      </c>
      <c r="L97" s="39" t="s">
        <v>13</v>
      </c>
      <c r="M97" s="39" t="s">
        <v>13</v>
      </c>
      <c r="N97" s="39" t="s">
        <v>13</v>
      </c>
      <c r="O97" s="39">
        <v>204</v>
      </c>
      <c r="P97" s="39">
        <v>204</v>
      </c>
      <c r="Q97" s="39">
        <v>268</v>
      </c>
      <c r="R97" s="40">
        <f t="shared" si="11"/>
        <v>0.84433382691156544</v>
      </c>
      <c r="S97" s="45"/>
      <c r="T97" s="45"/>
    </row>
    <row r="98" spans="1:24" s="44" customFormat="1" ht="15.95" customHeight="1" x14ac:dyDescent="0.2">
      <c r="A98" s="36">
        <v>84</v>
      </c>
      <c r="B98" s="37" t="s">
        <v>124</v>
      </c>
      <c r="C98" s="67" t="s">
        <v>79</v>
      </c>
      <c r="D98" s="61">
        <v>24</v>
      </c>
      <c r="E98" s="39">
        <v>9.6</v>
      </c>
      <c r="F98" s="39">
        <v>520</v>
      </c>
      <c r="G98" s="39">
        <v>568</v>
      </c>
      <c r="H98" s="39">
        <v>568</v>
      </c>
      <c r="I98" s="39">
        <v>568</v>
      </c>
      <c r="J98" s="39">
        <v>568</v>
      </c>
      <c r="K98" s="39">
        <v>568</v>
      </c>
      <c r="L98" s="39">
        <v>568</v>
      </c>
      <c r="M98" s="39">
        <v>568</v>
      </c>
      <c r="N98" s="39">
        <v>568</v>
      </c>
      <c r="O98" s="39">
        <v>568</v>
      </c>
      <c r="P98" s="39">
        <v>568</v>
      </c>
      <c r="Q98" s="39">
        <v>204</v>
      </c>
      <c r="R98" s="40">
        <f t="shared" si="11"/>
        <v>0.64270186824611708</v>
      </c>
      <c r="S98" s="45"/>
      <c r="T98" s="37"/>
    </row>
    <row r="99" spans="1:24" s="44" customFormat="1" ht="15.95" customHeight="1" x14ac:dyDescent="0.2">
      <c r="A99" s="36">
        <v>85</v>
      </c>
      <c r="B99" s="37" t="s">
        <v>125</v>
      </c>
      <c r="C99" s="67" t="s">
        <v>81</v>
      </c>
      <c r="D99" s="61">
        <v>40</v>
      </c>
      <c r="E99" s="39">
        <v>40.200000000000003</v>
      </c>
      <c r="F99" s="39">
        <v>100</v>
      </c>
      <c r="G99" s="39">
        <v>100</v>
      </c>
      <c r="H99" s="39">
        <v>100</v>
      </c>
      <c r="I99" s="39">
        <v>100</v>
      </c>
      <c r="J99" s="39">
        <v>100</v>
      </c>
      <c r="K99" s="39">
        <v>100</v>
      </c>
      <c r="L99" s="39">
        <v>100</v>
      </c>
      <c r="M99" s="39">
        <v>100</v>
      </c>
      <c r="N99" s="39">
        <v>100</v>
      </c>
      <c r="O99" s="39">
        <v>100</v>
      </c>
      <c r="P99" s="39">
        <v>100</v>
      </c>
      <c r="Q99" s="39">
        <v>568</v>
      </c>
      <c r="R99" s="40">
        <f t="shared" si="11"/>
        <v>1.7894836331558552</v>
      </c>
      <c r="S99" s="45"/>
      <c r="T99" s="45"/>
    </row>
    <row r="100" spans="1:24" s="44" customFormat="1" ht="15.95" customHeight="1" x14ac:dyDescent="0.2">
      <c r="A100" s="36">
        <v>86</v>
      </c>
      <c r="B100" s="37" t="s">
        <v>126</v>
      </c>
      <c r="C100" s="38">
        <v>1973</v>
      </c>
      <c r="D100" s="61">
        <v>112</v>
      </c>
      <c r="E100" s="39">
        <v>5.6</v>
      </c>
      <c r="F100" s="39">
        <v>312</v>
      </c>
      <c r="G100" s="39">
        <v>312</v>
      </c>
      <c r="H100" s="39">
        <v>312</v>
      </c>
      <c r="I100" s="39">
        <v>312</v>
      </c>
      <c r="J100" s="39">
        <v>312</v>
      </c>
      <c r="K100" s="39">
        <v>312</v>
      </c>
      <c r="L100" s="39">
        <v>312</v>
      </c>
      <c r="M100" s="39">
        <v>312</v>
      </c>
      <c r="N100" s="39">
        <v>312</v>
      </c>
      <c r="O100" s="39">
        <v>312</v>
      </c>
      <c r="P100" s="39">
        <v>352</v>
      </c>
      <c r="Q100" s="39">
        <v>100</v>
      </c>
      <c r="R100" s="40">
        <f t="shared" si="11"/>
        <v>0.31504993541476323</v>
      </c>
      <c r="S100" s="45"/>
      <c r="T100" s="45"/>
    </row>
    <row r="101" spans="1:24" ht="15.95" customHeight="1" x14ac:dyDescent="0.2">
      <c r="A101" s="36">
        <v>87</v>
      </c>
      <c r="B101" s="37" t="s">
        <v>127</v>
      </c>
      <c r="C101" s="38" t="s">
        <v>81</v>
      </c>
      <c r="D101" s="61">
        <v>12</v>
      </c>
      <c r="E101" s="39">
        <v>9.6999999999999993</v>
      </c>
      <c r="F101" s="39">
        <v>94</v>
      </c>
      <c r="G101" s="39">
        <v>94</v>
      </c>
      <c r="H101" s="39">
        <v>94</v>
      </c>
      <c r="I101" s="39">
        <v>94</v>
      </c>
      <c r="J101" s="39">
        <v>94</v>
      </c>
      <c r="K101" s="39">
        <v>94</v>
      </c>
      <c r="L101" s="39">
        <v>94</v>
      </c>
      <c r="M101" s="39">
        <v>94</v>
      </c>
      <c r="N101" s="39">
        <v>94</v>
      </c>
      <c r="O101" s="39">
        <v>94</v>
      </c>
      <c r="P101" s="39">
        <v>94</v>
      </c>
      <c r="Q101" s="39">
        <v>352</v>
      </c>
      <c r="R101" s="40">
        <f t="shared" si="11"/>
        <v>1.1089757726599667</v>
      </c>
      <c r="S101" s="45"/>
      <c r="T101" s="45"/>
    </row>
    <row r="102" spans="1:24" ht="15.95" customHeight="1" x14ac:dyDescent="0.2">
      <c r="A102" s="36">
        <v>88</v>
      </c>
      <c r="B102" s="37" t="s">
        <v>128</v>
      </c>
      <c r="C102" s="55">
        <v>1983</v>
      </c>
      <c r="D102" s="61">
        <v>58</v>
      </c>
      <c r="E102" s="39">
        <v>35</v>
      </c>
      <c r="F102" s="39">
        <v>216</v>
      </c>
      <c r="G102" s="39">
        <v>216</v>
      </c>
      <c r="H102" s="39">
        <v>216</v>
      </c>
      <c r="I102" s="39">
        <v>216</v>
      </c>
      <c r="J102" s="39">
        <v>230</v>
      </c>
      <c r="K102" s="39">
        <v>230</v>
      </c>
      <c r="L102" s="39">
        <v>230</v>
      </c>
      <c r="M102" s="39">
        <v>230</v>
      </c>
      <c r="N102" s="39">
        <v>230</v>
      </c>
      <c r="O102" s="39">
        <v>230</v>
      </c>
      <c r="P102" s="39">
        <v>314</v>
      </c>
      <c r="Q102" s="39">
        <v>314</v>
      </c>
      <c r="R102" s="40">
        <f t="shared" si="11"/>
        <v>0.9892567972023566</v>
      </c>
      <c r="S102" s="45"/>
      <c r="T102" s="45"/>
    </row>
    <row r="103" spans="1:24" s="44" customFormat="1" ht="15.95" customHeight="1" x14ac:dyDescent="0.2">
      <c r="A103" s="36">
        <v>89</v>
      </c>
      <c r="B103" s="37" t="s">
        <v>129</v>
      </c>
      <c r="C103" s="55">
        <v>1983</v>
      </c>
      <c r="D103" s="61">
        <v>20</v>
      </c>
      <c r="E103" s="39">
        <v>12.9</v>
      </c>
      <c r="F103" s="39">
        <v>128</v>
      </c>
      <c r="G103" s="39">
        <v>128</v>
      </c>
      <c r="H103" s="39">
        <v>128</v>
      </c>
      <c r="I103" s="39">
        <v>128</v>
      </c>
      <c r="J103" s="39">
        <v>128</v>
      </c>
      <c r="K103" s="39">
        <v>128</v>
      </c>
      <c r="L103" s="39">
        <v>128</v>
      </c>
      <c r="M103" s="39">
        <v>128</v>
      </c>
      <c r="N103" s="39">
        <v>128</v>
      </c>
      <c r="O103" s="39">
        <v>128</v>
      </c>
      <c r="P103" s="39">
        <v>134</v>
      </c>
      <c r="Q103" s="39">
        <v>134</v>
      </c>
      <c r="R103" s="40">
        <f t="shared" si="11"/>
        <v>0.42216691345578272</v>
      </c>
      <c r="S103" s="45"/>
      <c r="T103" s="45"/>
    </row>
    <row r="104" spans="1:24" s="44" customFormat="1" ht="15.95" customHeight="1" x14ac:dyDescent="0.2">
      <c r="A104" s="36">
        <v>90</v>
      </c>
      <c r="B104" s="37" t="s">
        <v>130</v>
      </c>
      <c r="C104" s="67" t="s">
        <v>81</v>
      </c>
      <c r="D104" s="61">
        <v>44</v>
      </c>
      <c r="E104" s="39">
        <v>11</v>
      </c>
      <c r="F104" s="39">
        <v>138</v>
      </c>
      <c r="G104" s="39">
        <v>138</v>
      </c>
      <c r="H104" s="39">
        <v>172</v>
      </c>
      <c r="I104" s="39">
        <v>172</v>
      </c>
      <c r="J104" s="39">
        <v>172</v>
      </c>
      <c r="K104" s="39">
        <v>172</v>
      </c>
      <c r="L104" s="39">
        <v>172</v>
      </c>
      <c r="M104" s="39">
        <v>172</v>
      </c>
      <c r="N104" s="39">
        <v>172</v>
      </c>
      <c r="O104" s="39">
        <v>168</v>
      </c>
      <c r="P104" s="39">
        <v>168</v>
      </c>
      <c r="Q104" s="39">
        <v>168</v>
      </c>
      <c r="R104" s="40">
        <f t="shared" si="11"/>
        <v>0.52928389149680222</v>
      </c>
      <c r="S104" s="45"/>
      <c r="T104" s="45"/>
    </row>
    <row r="105" spans="1:24" s="44" customFormat="1" ht="15.95" customHeight="1" x14ac:dyDescent="0.2">
      <c r="A105" s="36">
        <v>91</v>
      </c>
      <c r="B105" s="37" t="s">
        <v>131</v>
      </c>
      <c r="C105" s="67" t="s">
        <v>132</v>
      </c>
      <c r="D105" s="61">
        <v>90</v>
      </c>
      <c r="E105" s="39">
        <v>11.3</v>
      </c>
      <c r="F105" s="39">
        <v>258</v>
      </c>
      <c r="G105" s="39">
        <v>258</v>
      </c>
      <c r="H105" s="39">
        <v>258</v>
      </c>
      <c r="I105" s="39">
        <v>258</v>
      </c>
      <c r="J105" s="39">
        <v>258</v>
      </c>
      <c r="K105" s="39">
        <v>258</v>
      </c>
      <c r="L105" s="39">
        <v>258</v>
      </c>
      <c r="M105" s="39">
        <v>258</v>
      </c>
      <c r="N105" s="39">
        <v>258</v>
      </c>
      <c r="O105" s="39">
        <v>258</v>
      </c>
      <c r="P105" s="39">
        <v>258</v>
      </c>
      <c r="Q105" s="39">
        <v>258</v>
      </c>
      <c r="R105" s="40">
        <f t="shared" si="11"/>
        <v>0.81282883337008927</v>
      </c>
      <c r="S105" s="45"/>
      <c r="T105" s="45"/>
    </row>
    <row r="106" spans="1:24" s="44" customFormat="1" ht="15.95" customHeight="1" x14ac:dyDescent="0.2">
      <c r="A106" s="47">
        <v>92</v>
      </c>
      <c r="B106" s="48" t="s">
        <v>133</v>
      </c>
      <c r="C106" s="57">
        <v>1982</v>
      </c>
      <c r="D106" s="58">
        <v>68</v>
      </c>
      <c r="E106" s="50">
        <v>32.200000000000003</v>
      </c>
      <c r="F106" s="50">
        <v>132</v>
      </c>
      <c r="G106" s="50">
        <v>132</v>
      </c>
      <c r="H106" s="50">
        <v>124</v>
      </c>
      <c r="I106" s="50">
        <v>124</v>
      </c>
      <c r="J106" s="50">
        <v>124</v>
      </c>
      <c r="K106" s="50">
        <v>124</v>
      </c>
      <c r="L106" s="51">
        <v>128</v>
      </c>
      <c r="M106" s="51">
        <v>128</v>
      </c>
      <c r="N106" s="51">
        <v>128</v>
      </c>
      <c r="O106" s="51">
        <v>128</v>
      </c>
      <c r="P106" s="51">
        <v>128</v>
      </c>
      <c r="Q106" s="51">
        <v>128</v>
      </c>
      <c r="R106" s="78">
        <f t="shared" si="11"/>
        <v>0.403263917330897</v>
      </c>
      <c r="S106" s="45"/>
      <c r="T106" s="45"/>
    </row>
    <row r="107" spans="1:24" s="44" customFormat="1" ht="15.95" customHeight="1" x14ac:dyDescent="0.2">
      <c r="A107" s="75"/>
      <c r="B107" s="26" t="s">
        <v>134</v>
      </c>
      <c r="C107" s="27" t="s">
        <v>13</v>
      </c>
      <c r="D107" s="27" t="s">
        <v>13</v>
      </c>
      <c r="E107" s="27" t="s">
        <v>13</v>
      </c>
      <c r="F107" s="27">
        <f t="shared" ref="F107:O107" si="13">SUM(F108:F120)</f>
        <v>1858</v>
      </c>
      <c r="G107" s="27">
        <f t="shared" si="13"/>
        <v>1928</v>
      </c>
      <c r="H107" s="27">
        <f t="shared" si="13"/>
        <v>1988</v>
      </c>
      <c r="I107" s="27">
        <f t="shared" si="13"/>
        <v>1988</v>
      </c>
      <c r="J107" s="27">
        <f t="shared" si="13"/>
        <v>1988</v>
      </c>
      <c r="K107" s="27">
        <f t="shared" si="13"/>
        <v>1988</v>
      </c>
      <c r="L107" s="27">
        <f t="shared" si="13"/>
        <v>2156</v>
      </c>
      <c r="M107" s="27">
        <f t="shared" si="13"/>
        <v>2216</v>
      </c>
      <c r="N107" s="27">
        <f t="shared" si="13"/>
        <v>2244</v>
      </c>
      <c r="O107" s="27">
        <f t="shared" si="13"/>
        <v>2454</v>
      </c>
      <c r="P107" s="27">
        <f>SUM(P108:P120)</f>
        <v>2488</v>
      </c>
      <c r="Q107" s="27">
        <f>SUM(Q108:Q120)</f>
        <v>2488</v>
      </c>
      <c r="R107" s="33">
        <f t="shared" si="11"/>
        <v>7.8384423931193092</v>
      </c>
      <c r="S107" s="45"/>
      <c r="T107" s="45"/>
    </row>
    <row r="108" spans="1:24" s="44" customFormat="1" ht="15.95" customHeight="1" x14ac:dyDescent="0.2">
      <c r="A108" s="36">
        <v>93</v>
      </c>
      <c r="B108" s="37" t="s">
        <v>135</v>
      </c>
      <c r="C108" s="70" t="s">
        <v>60</v>
      </c>
      <c r="D108" s="61">
        <v>20</v>
      </c>
      <c r="E108" s="39">
        <v>48.3</v>
      </c>
      <c r="F108" s="39">
        <v>90</v>
      </c>
      <c r="G108" s="39">
        <v>90</v>
      </c>
      <c r="H108" s="39">
        <v>90</v>
      </c>
      <c r="I108" s="39">
        <v>90</v>
      </c>
      <c r="J108" s="39">
        <v>90</v>
      </c>
      <c r="K108" s="39">
        <v>90</v>
      </c>
      <c r="L108" s="39">
        <v>90</v>
      </c>
      <c r="M108" s="39">
        <v>90</v>
      </c>
      <c r="N108" s="39">
        <v>90</v>
      </c>
      <c r="O108" s="39">
        <v>90</v>
      </c>
      <c r="P108" s="39">
        <v>90</v>
      </c>
      <c r="Q108" s="39">
        <v>90</v>
      </c>
      <c r="R108" s="40">
        <f t="shared" si="11"/>
        <v>0.28354494187328688</v>
      </c>
      <c r="S108" s="45"/>
      <c r="T108" s="45"/>
    </row>
    <row r="109" spans="1:24" s="44" customFormat="1" ht="20.25" customHeight="1" x14ac:dyDescent="0.2">
      <c r="A109" s="36">
        <v>94</v>
      </c>
      <c r="B109" s="37" t="s">
        <v>136</v>
      </c>
      <c r="C109" s="38" t="s">
        <v>92</v>
      </c>
      <c r="D109" s="61">
        <v>30</v>
      </c>
      <c r="E109" s="39">
        <v>36</v>
      </c>
      <c r="F109" s="39">
        <v>112</v>
      </c>
      <c r="G109" s="39">
        <v>112</v>
      </c>
      <c r="H109" s="39">
        <v>172</v>
      </c>
      <c r="I109" s="39">
        <v>172</v>
      </c>
      <c r="J109" s="39">
        <v>172</v>
      </c>
      <c r="K109" s="39">
        <v>172</v>
      </c>
      <c r="L109" s="39">
        <v>172</v>
      </c>
      <c r="M109" s="39">
        <v>172</v>
      </c>
      <c r="N109" s="39">
        <v>172</v>
      </c>
      <c r="O109" s="39">
        <v>172</v>
      </c>
      <c r="P109" s="39">
        <v>172</v>
      </c>
      <c r="Q109" s="39">
        <v>172</v>
      </c>
      <c r="R109" s="40">
        <f t="shared" si="11"/>
        <v>0.54188588891339273</v>
      </c>
      <c r="S109" s="45"/>
      <c r="T109" s="45"/>
    </row>
    <row r="110" spans="1:24" s="43" customFormat="1" ht="15.95" customHeight="1" x14ac:dyDescent="0.2">
      <c r="A110" s="36">
        <v>95</v>
      </c>
      <c r="B110" s="37" t="s">
        <v>137</v>
      </c>
      <c r="C110" s="70" t="s">
        <v>110</v>
      </c>
      <c r="D110" s="61">
        <v>32</v>
      </c>
      <c r="E110" s="39">
        <v>54</v>
      </c>
      <c r="F110" s="39">
        <v>176</v>
      </c>
      <c r="G110" s="39">
        <v>224</v>
      </c>
      <c r="H110" s="39">
        <v>224</v>
      </c>
      <c r="I110" s="39">
        <v>224</v>
      </c>
      <c r="J110" s="39">
        <v>224</v>
      </c>
      <c r="K110" s="39">
        <v>224</v>
      </c>
      <c r="L110" s="39">
        <v>224</v>
      </c>
      <c r="M110" s="39">
        <v>224</v>
      </c>
      <c r="N110" s="39">
        <v>224</v>
      </c>
      <c r="O110" s="39">
        <v>224</v>
      </c>
      <c r="P110" s="39">
        <v>224</v>
      </c>
      <c r="Q110" s="39">
        <v>224</v>
      </c>
      <c r="R110" s="40">
        <f t="shared" si="11"/>
        <v>0.70571185532906966</v>
      </c>
      <c r="S110" s="45"/>
      <c r="T110" s="45"/>
      <c r="U110" s="44"/>
      <c r="V110" s="44"/>
      <c r="W110" s="44"/>
      <c r="X110" s="44"/>
    </row>
    <row r="111" spans="1:24" s="44" customFormat="1" ht="15.95" customHeight="1" x14ac:dyDescent="0.2">
      <c r="A111" s="36">
        <v>96</v>
      </c>
      <c r="B111" s="37" t="s">
        <v>138</v>
      </c>
      <c r="C111" s="38" t="s">
        <v>139</v>
      </c>
      <c r="D111" s="61">
        <v>50</v>
      </c>
      <c r="E111" s="39">
        <v>77.2</v>
      </c>
      <c r="F111" s="39">
        <v>50</v>
      </c>
      <c r="G111" s="39">
        <v>72</v>
      </c>
      <c r="H111" s="39">
        <v>72</v>
      </c>
      <c r="I111" s="39">
        <v>72</v>
      </c>
      <c r="J111" s="39">
        <v>72</v>
      </c>
      <c r="K111" s="39">
        <v>72</v>
      </c>
      <c r="L111" s="39">
        <v>72</v>
      </c>
      <c r="M111" s="39">
        <v>72</v>
      </c>
      <c r="N111" s="39">
        <v>72</v>
      </c>
      <c r="O111" s="39">
        <v>72</v>
      </c>
      <c r="P111" s="39">
        <v>72</v>
      </c>
      <c r="Q111" s="39">
        <v>72</v>
      </c>
      <c r="R111" s="40">
        <f t="shared" si="11"/>
        <v>0.22683595349862953</v>
      </c>
      <c r="S111" s="45"/>
      <c r="T111" s="45"/>
      <c r="U111" s="43"/>
      <c r="V111" s="43"/>
      <c r="W111" s="43"/>
      <c r="X111" s="43"/>
    </row>
    <row r="112" spans="1:24" s="44" customFormat="1" ht="15.95" customHeight="1" x14ac:dyDescent="0.2">
      <c r="A112" s="36">
        <v>97</v>
      </c>
      <c r="B112" s="37" t="s">
        <v>140</v>
      </c>
      <c r="C112" s="38" t="s">
        <v>141</v>
      </c>
      <c r="D112" s="61">
        <v>60</v>
      </c>
      <c r="E112" s="39">
        <v>74.599999999999994</v>
      </c>
      <c r="F112" s="39" t="s">
        <v>13</v>
      </c>
      <c r="G112" s="39" t="s">
        <v>13</v>
      </c>
      <c r="H112" s="39" t="s">
        <v>13</v>
      </c>
      <c r="I112" s="39" t="s">
        <v>13</v>
      </c>
      <c r="J112" s="39" t="s">
        <v>13</v>
      </c>
      <c r="K112" s="39" t="s">
        <v>13</v>
      </c>
      <c r="L112" s="39" t="s">
        <v>13</v>
      </c>
      <c r="M112" s="39">
        <v>60</v>
      </c>
      <c r="N112" s="39">
        <v>60</v>
      </c>
      <c r="O112" s="39">
        <v>60</v>
      </c>
      <c r="P112" s="39">
        <v>60</v>
      </c>
      <c r="Q112" s="39">
        <v>60</v>
      </c>
      <c r="R112" s="40">
        <f t="shared" si="11"/>
        <v>0.18902996124885793</v>
      </c>
      <c r="S112" s="45"/>
      <c r="T112" s="45"/>
    </row>
    <row r="113" spans="1:24" s="44" customFormat="1" ht="15.95" customHeight="1" x14ac:dyDescent="0.2">
      <c r="A113" s="36">
        <v>98</v>
      </c>
      <c r="B113" s="37" t="s">
        <v>142</v>
      </c>
      <c r="C113" s="67" t="s">
        <v>88</v>
      </c>
      <c r="D113" s="61">
        <v>48</v>
      </c>
      <c r="E113" s="39">
        <v>56.3</v>
      </c>
      <c r="F113" s="39">
        <v>580</v>
      </c>
      <c r="G113" s="39">
        <v>580</v>
      </c>
      <c r="H113" s="39">
        <v>580</v>
      </c>
      <c r="I113" s="39">
        <v>580</v>
      </c>
      <c r="J113" s="39">
        <v>580</v>
      </c>
      <c r="K113" s="39">
        <v>580</v>
      </c>
      <c r="L113" s="39">
        <v>580</v>
      </c>
      <c r="M113" s="39">
        <v>580</v>
      </c>
      <c r="N113" s="39">
        <v>580</v>
      </c>
      <c r="O113" s="39">
        <v>790</v>
      </c>
      <c r="P113" s="39">
        <v>790</v>
      </c>
      <c r="Q113" s="39">
        <v>790</v>
      </c>
      <c r="R113" s="40">
        <f t="shared" si="11"/>
        <v>2.4888944897766296</v>
      </c>
      <c r="S113" s="45"/>
      <c r="T113" s="45"/>
    </row>
    <row r="114" spans="1:24" ht="15.95" customHeight="1" x14ac:dyDescent="0.2">
      <c r="A114" s="36">
        <v>99</v>
      </c>
      <c r="B114" s="37" t="s">
        <v>143</v>
      </c>
      <c r="C114" s="67" t="s">
        <v>60</v>
      </c>
      <c r="D114" s="61">
        <v>48</v>
      </c>
      <c r="E114" s="39">
        <v>63</v>
      </c>
      <c r="F114" s="39">
        <v>150</v>
      </c>
      <c r="G114" s="39">
        <v>150</v>
      </c>
      <c r="H114" s="39">
        <v>150</v>
      </c>
      <c r="I114" s="39">
        <v>150</v>
      </c>
      <c r="J114" s="39">
        <v>150</v>
      </c>
      <c r="K114" s="39">
        <v>150</v>
      </c>
      <c r="L114" s="39">
        <v>150</v>
      </c>
      <c r="M114" s="39">
        <v>150</v>
      </c>
      <c r="N114" s="39">
        <v>150</v>
      </c>
      <c r="O114" s="39">
        <v>150</v>
      </c>
      <c r="P114" s="39">
        <v>150</v>
      </c>
      <c r="Q114" s="39">
        <v>150</v>
      </c>
      <c r="R114" s="40">
        <f t="shared" si="11"/>
        <v>0.47257490312214484</v>
      </c>
      <c r="S114" s="45"/>
      <c r="T114" s="45"/>
    </row>
    <row r="115" spans="1:24" ht="15.95" customHeight="1" x14ac:dyDescent="0.2">
      <c r="A115" s="36">
        <v>100</v>
      </c>
      <c r="B115" s="37" t="s">
        <v>144</v>
      </c>
      <c r="C115" s="67" t="s">
        <v>145</v>
      </c>
      <c r="D115" s="61">
        <v>70</v>
      </c>
      <c r="E115" s="39">
        <v>77.2</v>
      </c>
      <c r="F115" s="39">
        <v>112</v>
      </c>
      <c r="G115" s="39">
        <v>112</v>
      </c>
      <c r="H115" s="39">
        <v>112</v>
      </c>
      <c r="I115" s="39">
        <v>112</v>
      </c>
      <c r="J115" s="39">
        <v>112</v>
      </c>
      <c r="K115" s="39">
        <v>112</v>
      </c>
      <c r="L115" s="39">
        <v>112</v>
      </c>
      <c r="M115" s="39">
        <v>112</v>
      </c>
      <c r="N115" s="39">
        <v>112</v>
      </c>
      <c r="O115" s="39">
        <v>112</v>
      </c>
      <c r="P115" s="39">
        <v>112</v>
      </c>
      <c r="Q115" s="39">
        <v>112</v>
      </c>
      <c r="R115" s="40">
        <f t="shared" si="11"/>
        <v>0.35285592766453483</v>
      </c>
      <c r="S115" s="45"/>
      <c r="T115" s="45"/>
    </row>
    <row r="116" spans="1:24" ht="15.95" customHeight="1" x14ac:dyDescent="0.2">
      <c r="A116" s="36">
        <v>101</v>
      </c>
      <c r="B116" s="37" t="s">
        <v>146</v>
      </c>
      <c r="C116" s="67" t="s">
        <v>60</v>
      </c>
      <c r="D116" s="61">
        <v>30</v>
      </c>
      <c r="E116" s="39">
        <v>69.2</v>
      </c>
      <c r="F116" s="39">
        <v>76</v>
      </c>
      <c r="G116" s="39">
        <v>76</v>
      </c>
      <c r="H116" s="39">
        <v>76</v>
      </c>
      <c r="I116" s="39">
        <v>76</v>
      </c>
      <c r="J116" s="39">
        <v>76</v>
      </c>
      <c r="K116" s="39">
        <v>76</v>
      </c>
      <c r="L116" s="39">
        <v>76</v>
      </c>
      <c r="M116" s="39">
        <v>76</v>
      </c>
      <c r="N116" s="39">
        <v>104</v>
      </c>
      <c r="O116" s="39">
        <v>104</v>
      </c>
      <c r="P116" s="39">
        <v>104</v>
      </c>
      <c r="Q116" s="39">
        <v>104</v>
      </c>
      <c r="R116" s="40">
        <f t="shared" ref="R116:R170" si="14">Q116/Q$6*100</f>
        <v>0.32765193283135374</v>
      </c>
      <c r="S116" s="45"/>
      <c r="T116" s="45"/>
    </row>
    <row r="117" spans="1:24" ht="15.95" customHeight="1" x14ac:dyDescent="0.2">
      <c r="A117" s="36">
        <v>102</v>
      </c>
      <c r="B117" s="37" t="s">
        <v>147</v>
      </c>
      <c r="C117" s="38">
        <v>2014</v>
      </c>
      <c r="D117" s="61">
        <v>168</v>
      </c>
      <c r="E117" s="39">
        <v>60</v>
      </c>
      <c r="F117" s="39" t="s">
        <v>13</v>
      </c>
      <c r="G117" s="39" t="s">
        <v>13</v>
      </c>
      <c r="H117" s="39" t="s">
        <v>13</v>
      </c>
      <c r="I117" s="39" t="s">
        <v>13</v>
      </c>
      <c r="J117" s="39" t="s">
        <v>13</v>
      </c>
      <c r="K117" s="39" t="s">
        <v>13</v>
      </c>
      <c r="L117" s="39">
        <v>168</v>
      </c>
      <c r="M117" s="39">
        <v>168</v>
      </c>
      <c r="N117" s="39">
        <v>168</v>
      </c>
      <c r="O117" s="39">
        <v>168</v>
      </c>
      <c r="P117" s="39">
        <v>168</v>
      </c>
      <c r="Q117" s="39">
        <v>168</v>
      </c>
      <c r="R117" s="40">
        <f t="shared" si="14"/>
        <v>0.52928389149680222</v>
      </c>
      <c r="S117" s="45"/>
      <c r="T117" s="45"/>
    </row>
    <row r="118" spans="1:24" s="44" customFormat="1" ht="15.95" customHeight="1" x14ac:dyDescent="0.2">
      <c r="A118" s="36">
        <v>103</v>
      </c>
      <c r="B118" s="37" t="s">
        <v>148</v>
      </c>
      <c r="C118" s="55">
        <v>1989</v>
      </c>
      <c r="D118" s="61">
        <v>22</v>
      </c>
      <c r="E118" s="39">
        <v>80.5</v>
      </c>
      <c r="F118" s="39">
        <v>200</v>
      </c>
      <c r="G118" s="39">
        <v>200</v>
      </c>
      <c r="H118" s="39">
        <v>200</v>
      </c>
      <c r="I118" s="39">
        <v>200</v>
      </c>
      <c r="J118" s="39">
        <v>200</v>
      </c>
      <c r="K118" s="39">
        <v>200</v>
      </c>
      <c r="L118" s="39">
        <v>200</v>
      </c>
      <c r="M118" s="39">
        <v>200</v>
      </c>
      <c r="N118" s="39">
        <v>200</v>
      </c>
      <c r="O118" s="39">
        <v>200</v>
      </c>
      <c r="P118" s="39">
        <v>200</v>
      </c>
      <c r="Q118" s="39">
        <v>200</v>
      </c>
      <c r="R118" s="40">
        <f t="shared" si="14"/>
        <v>0.63009987082952645</v>
      </c>
      <c r="S118" s="45"/>
      <c r="T118" s="45"/>
    </row>
    <row r="119" spans="1:24" s="43" customFormat="1" ht="15.95" customHeight="1" x14ac:dyDescent="0.2">
      <c r="A119" s="36">
        <v>104</v>
      </c>
      <c r="B119" s="37" t="s">
        <v>149</v>
      </c>
      <c r="C119" s="67" t="s">
        <v>150</v>
      </c>
      <c r="D119" s="61">
        <v>34</v>
      </c>
      <c r="E119" s="39">
        <v>51</v>
      </c>
      <c r="F119" s="39">
        <v>148</v>
      </c>
      <c r="G119" s="39">
        <v>148</v>
      </c>
      <c r="H119" s="39">
        <v>148</v>
      </c>
      <c r="I119" s="39">
        <v>148</v>
      </c>
      <c r="J119" s="39">
        <v>148</v>
      </c>
      <c r="K119" s="39">
        <v>148</v>
      </c>
      <c r="L119" s="39">
        <v>148</v>
      </c>
      <c r="M119" s="39">
        <v>148</v>
      </c>
      <c r="N119" s="39">
        <v>148</v>
      </c>
      <c r="O119" s="39">
        <v>148</v>
      </c>
      <c r="P119" s="39">
        <v>182</v>
      </c>
      <c r="Q119" s="39">
        <v>182</v>
      </c>
      <c r="R119" s="40">
        <f t="shared" si="14"/>
        <v>0.57339088245486913</v>
      </c>
      <c r="S119" s="45"/>
      <c r="T119" s="45"/>
    </row>
    <row r="120" spans="1:24" s="43" customFormat="1" ht="15.95" customHeight="1" x14ac:dyDescent="0.2">
      <c r="A120" s="47">
        <v>105</v>
      </c>
      <c r="B120" s="48" t="s">
        <v>151</v>
      </c>
      <c r="C120" s="49" t="s">
        <v>92</v>
      </c>
      <c r="D120" s="58">
        <v>90</v>
      </c>
      <c r="E120" s="50">
        <v>72.400000000000006</v>
      </c>
      <c r="F120" s="50">
        <v>164</v>
      </c>
      <c r="G120" s="50">
        <v>164</v>
      </c>
      <c r="H120" s="50">
        <v>164</v>
      </c>
      <c r="I120" s="50">
        <v>164</v>
      </c>
      <c r="J120" s="50">
        <v>164</v>
      </c>
      <c r="K120" s="50">
        <v>164</v>
      </c>
      <c r="L120" s="50">
        <v>164</v>
      </c>
      <c r="M120" s="50">
        <v>164</v>
      </c>
      <c r="N120" s="50">
        <v>164</v>
      </c>
      <c r="O120" s="50">
        <v>164</v>
      </c>
      <c r="P120" s="50">
        <v>164</v>
      </c>
      <c r="Q120" s="50">
        <v>164</v>
      </c>
      <c r="R120" s="40">
        <f t="shared" si="14"/>
        <v>0.5166818940802117</v>
      </c>
      <c r="S120" s="45"/>
      <c r="T120" s="45"/>
    </row>
    <row r="121" spans="1:24" s="43" customFormat="1" ht="15.95" customHeight="1" x14ac:dyDescent="0.2">
      <c r="A121" s="36"/>
      <c r="B121" s="26" t="s">
        <v>152</v>
      </c>
      <c r="C121" s="27" t="s">
        <v>13</v>
      </c>
      <c r="D121" s="27" t="s">
        <v>13</v>
      </c>
      <c r="E121" s="27" t="s">
        <v>13</v>
      </c>
      <c r="F121" s="27">
        <f t="shared" ref="F121:L121" si="15">SUM(F122:F138)</f>
        <v>3200</v>
      </c>
      <c r="G121" s="27">
        <f t="shared" si="15"/>
        <v>3312</v>
      </c>
      <c r="H121" s="27">
        <f t="shared" si="15"/>
        <v>3538</v>
      </c>
      <c r="I121" s="27">
        <f t="shared" si="15"/>
        <v>3586</v>
      </c>
      <c r="J121" s="27">
        <f t="shared" si="15"/>
        <v>3818</v>
      </c>
      <c r="K121" s="27">
        <f t="shared" si="15"/>
        <v>3818</v>
      </c>
      <c r="L121" s="27">
        <f t="shared" si="15"/>
        <v>3818</v>
      </c>
      <c r="M121" s="27">
        <f t="shared" ref="M121:O121" si="16">SUM(M122:M138)</f>
        <v>3862</v>
      </c>
      <c r="N121" s="27">
        <f t="shared" si="16"/>
        <v>3982</v>
      </c>
      <c r="O121" s="27">
        <f t="shared" si="16"/>
        <v>3982</v>
      </c>
      <c r="P121" s="27">
        <f>SUM(P122:P138)</f>
        <v>4036</v>
      </c>
      <c r="Q121" s="27">
        <f>SUM(Q122:Q138)</f>
        <v>4056</v>
      </c>
      <c r="R121" s="66">
        <f t="shared" si="14"/>
        <v>12.778425380422798</v>
      </c>
      <c r="S121" s="45"/>
      <c r="T121" s="45"/>
    </row>
    <row r="122" spans="1:24" s="43" customFormat="1" ht="15.95" customHeight="1" x14ac:dyDescent="0.2">
      <c r="A122" s="36">
        <v>106</v>
      </c>
      <c r="B122" s="37" t="s">
        <v>153</v>
      </c>
      <c r="C122" s="70" t="s">
        <v>145</v>
      </c>
      <c r="D122" s="61">
        <v>100</v>
      </c>
      <c r="E122" s="39">
        <v>85</v>
      </c>
      <c r="F122" s="39">
        <v>140</v>
      </c>
      <c r="G122" s="39">
        <v>140</v>
      </c>
      <c r="H122" s="39">
        <v>140</v>
      </c>
      <c r="I122" s="39">
        <v>140</v>
      </c>
      <c r="J122" s="39">
        <v>140</v>
      </c>
      <c r="K122" s="39">
        <v>140</v>
      </c>
      <c r="L122" s="39">
        <v>140</v>
      </c>
      <c r="M122" s="39">
        <v>180</v>
      </c>
      <c r="N122" s="39">
        <v>180</v>
      </c>
      <c r="O122" s="39">
        <v>180</v>
      </c>
      <c r="P122" s="39">
        <v>180</v>
      </c>
      <c r="Q122" s="39">
        <v>102</v>
      </c>
      <c r="R122" s="40">
        <f t="shared" si="14"/>
        <v>0.32135093412305854</v>
      </c>
      <c r="S122" s="45"/>
      <c r="T122" s="45"/>
    </row>
    <row r="123" spans="1:24" s="44" customFormat="1" ht="15.95" customHeight="1" x14ac:dyDescent="0.2">
      <c r="A123" s="36">
        <v>107</v>
      </c>
      <c r="B123" s="37" t="s">
        <v>154</v>
      </c>
      <c r="C123" s="70" t="s">
        <v>155</v>
      </c>
      <c r="D123" s="61">
        <v>79</v>
      </c>
      <c r="E123" s="39">
        <v>90</v>
      </c>
      <c r="F123" s="39">
        <v>98</v>
      </c>
      <c r="G123" s="39">
        <v>98</v>
      </c>
      <c r="H123" s="39">
        <v>98</v>
      </c>
      <c r="I123" s="39">
        <v>146</v>
      </c>
      <c r="J123" s="39">
        <v>146</v>
      </c>
      <c r="K123" s="39">
        <v>146</v>
      </c>
      <c r="L123" s="39">
        <v>146</v>
      </c>
      <c r="M123" s="39">
        <v>146</v>
      </c>
      <c r="N123" s="39">
        <v>146</v>
      </c>
      <c r="O123" s="39">
        <v>146</v>
      </c>
      <c r="P123" s="39">
        <v>146</v>
      </c>
      <c r="Q123" s="39">
        <v>180</v>
      </c>
      <c r="R123" s="40">
        <f t="shared" si="14"/>
        <v>0.56708988374657376</v>
      </c>
      <c r="S123" s="45"/>
      <c r="T123" s="45"/>
    </row>
    <row r="124" spans="1:24" s="44" customFormat="1" x14ac:dyDescent="0.2">
      <c r="A124" s="36">
        <v>108</v>
      </c>
      <c r="B124" s="37" t="s">
        <v>156</v>
      </c>
      <c r="C124" s="67" t="s">
        <v>157</v>
      </c>
      <c r="D124" s="61">
        <v>96</v>
      </c>
      <c r="E124" s="39">
        <v>95</v>
      </c>
      <c r="F124" s="39">
        <v>128</v>
      </c>
      <c r="G124" s="39">
        <v>128</v>
      </c>
      <c r="H124" s="39">
        <v>224</v>
      </c>
      <c r="I124" s="39">
        <v>224</v>
      </c>
      <c r="J124" s="39">
        <v>224</v>
      </c>
      <c r="K124" s="39">
        <v>224</v>
      </c>
      <c r="L124" s="39">
        <v>224</v>
      </c>
      <c r="M124" s="39">
        <v>224</v>
      </c>
      <c r="N124" s="39">
        <v>224</v>
      </c>
      <c r="O124" s="39">
        <v>224</v>
      </c>
      <c r="P124" s="39">
        <v>224</v>
      </c>
      <c r="Q124" s="39">
        <v>224</v>
      </c>
      <c r="R124" s="40">
        <f t="shared" si="14"/>
        <v>0.70571185532906966</v>
      </c>
      <c r="S124" s="45"/>
      <c r="T124" s="45"/>
    </row>
    <row r="125" spans="1:24" s="44" customFormat="1" x14ac:dyDescent="0.2">
      <c r="A125" s="36">
        <v>109</v>
      </c>
      <c r="B125" s="37" t="s">
        <v>158</v>
      </c>
      <c r="C125" s="55">
        <v>1992</v>
      </c>
      <c r="D125" s="61">
        <v>80</v>
      </c>
      <c r="E125" s="39">
        <v>96.6</v>
      </c>
      <c r="F125" s="39">
        <v>304</v>
      </c>
      <c r="G125" s="39">
        <v>304</v>
      </c>
      <c r="H125" s="39">
        <v>304</v>
      </c>
      <c r="I125" s="39">
        <v>304</v>
      </c>
      <c r="J125" s="39">
        <v>304</v>
      </c>
      <c r="K125" s="39">
        <v>304</v>
      </c>
      <c r="L125" s="39">
        <v>304</v>
      </c>
      <c r="M125" s="39">
        <v>304</v>
      </c>
      <c r="N125" s="39">
        <v>304</v>
      </c>
      <c r="O125" s="39">
        <v>304</v>
      </c>
      <c r="P125" s="39">
        <v>304</v>
      </c>
      <c r="Q125" s="39">
        <v>304</v>
      </c>
      <c r="R125" s="40">
        <f t="shared" si="14"/>
        <v>0.95775180366088031</v>
      </c>
      <c r="S125" s="45"/>
      <c r="T125" s="45"/>
    </row>
    <row r="126" spans="1:24" s="44" customFormat="1" ht="15.95" customHeight="1" x14ac:dyDescent="0.2">
      <c r="A126" s="36">
        <v>110</v>
      </c>
      <c r="B126" s="37" t="s">
        <v>159</v>
      </c>
      <c r="C126" s="67" t="s">
        <v>155</v>
      </c>
      <c r="D126" s="39">
        <v>84</v>
      </c>
      <c r="E126" s="39">
        <v>80</v>
      </c>
      <c r="F126" s="39">
        <v>124</v>
      </c>
      <c r="G126" s="39">
        <v>124</v>
      </c>
      <c r="H126" s="39">
        <v>124</v>
      </c>
      <c r="I126" s="39">
        <v>124</v>
      </c>
      <c r="J126" s="39">
        <v>220</v>
      </c>
      <c r="K126" s="39">
        <v>220</v>
      </c>
      <c r="L126" s="39">
        <v>220</v>
      </c>
      <c r="M126" s="39">
        <v>220</v>
      </c>
      <c r="N126" s="39">
        <v>220</v>
      </c>
      <c r="O126" s="39">
        <v>220</v>
      </c>
      <c r="P126" s="39">
        <v>220</v>
      </c>
      <c r="Q126" s="39">
        <v>220</v>
      </c>
      <c r="R126" s="40">
        <f t="shared" si="14"/>
        <v>0.69310985791247914</v>
      </c>
      <c r="S126" s="45"/>
      <c r="T126" s="45"/>
      <c r="U126" s="9"/>
      <c r="V126" s="9"/>
      <c r="W126" s="9"/>
      <c r="X126" s="9"/>
    </row>
    <row r="127" spans="1:24" s="44" customFormat="1" ht="15.95" customHeight="1" x14ac:dyDescent="0.2">
      <c r="A127" s="36">
        <v>111</v>
      </c>
      <c r="B127" s="37" t="s">
        <v>160</v>
      </c>
      <c r="C127" s="55">
        <v>2015</v>
      </c>
      <c r="D127" s="61">
        <v>60</v>
      </c>
      <c r="E127" s="39">
        <v>90</v>
      </c>
      <c r="F127" s="39" t="s">
        <v>13</v>
      </c>
      <c r="G127" s="39" t="s">
        <v>13</v>
      </c>
      <c r="H127" s="39" t="s">
        <v>13</v>
      </c>
      <c r="I127" s="39" t="s">
        <v>13</v>
      </c>
      <c r="J127" s="39" t="s">
        <v>13</v>
      </c>
      <c r="K127" s="39" t="s">
        <v>13</v>
      </c>
      <c r="L127" s="39" t="s">
        <v>13</v>
      </c>
      <c r="M127" s="39" t="s">
        <v>13</v>
      </c>
      <c r="N127" s="39">
        <v>60</v>
      </c>
      <c r="O127" s="39">
        <v>60</v>
      </c>
      <c r="P127" s="39">
        <v>60</v>
      </c>
      <c r="Q127" s="39">
        <v>146</v>
      </c>
      <c r="R127" s="40">
        <f t="shared" si="14"/>
        <v>0.45997290570555427</v>
      </c>
      <c r="S127" s="45"/>
      <c r="T127" s="45"/>
    </row>
    <row r="128" spans="1:24" s="44" customFormat="1" ht="15.95" customHeight="1" x14ac:dyDescent="0.2">
      <c r="A128" s="36">
        <v>112</v>
      </c>
      <c r="B128" s="37" t="s">
        <v>161</v>
      </c>
      <c r="C128" s="38">
        <v>1994</v>
      </c>
      <c r="D128" s="61">
        <v>284</v>
      </c>
      <c r="E128" s="39">
        <v>93</v>
      </c>
      <c r="F128" s="39">
        <v>284</v>
      </c>
      <c r="G128" s="39">
        <v>284</v>
      </c>
      <c r="H128" s="39">
        <v>284</v>
      </c>
      <c r="I128" s="39">
        <v>284</v>
      </c>
      <c r="J128" s="39">
        <v>284</v>
      </c>
      <c r="K128" s="39">
        <v>284</v>
      </c>
      <c r="L128" s="39">
        <v>284</v>
      </c>
      <c r="M128" s="39">
        <v>284</v>
      </c>
      <c r="N128" s="39">
        <v>284</v>
      </c>
      <c r="O128" s="39">
        <v>284</v>
      </c>
      <c r="P128" s="39">
        <v>284</v>
      </c>
      <c r="Q128" s="39">
        <v>144</v>
      </c>
      <c r="R128" s="40">
        <f t="shared" si="14"/>
        <v>0.45367190699725907</v>
      </c>
      <c r="S128" s="45"/>
      <c r="T128" s="45"/>
    </row>
    <row r="129" spans="1:24" s="44" customFormat="1" x14ac:dyDescent="0.2">
      <c r="A129" s="36">
        <v>113</v>
      </c>
      <c r="B129" s="37" t="s">
        <v>162</v>
      </c>
      <c r="C129" s="38">
        <v>1991</v>
      </c>
      <c r="D129" s="61">
        <v>50</v>
      </c>
      <c r="E129" s="39">
        <v>88.5</v>
      </c>
      <c r="F129" s="39">
        <v>60</v>
      </c>
      <c r="G129" s="39">
        <v>60</v>
      </c>
      <c r="H129" s="39">
        <v>60</v>
      </c>
      <c r="I129" s="39">
        <v>60</v>
      </c>
      <c r="J129" s="39">
        <v>60</v>
      </c>
      <c r="K129" s="39">
        <v>60</v>
      </c>
      <c r="L129" s="39">
        <v>60</v>
      </c>
      <c r="M129" s="39">
        <v>60</v>
      </c>
      <c r="N129" s="39">
        <v>120</v>
      </c>
      <c r="O129" s="39">
        <v>120</v>
      </c>
      <c r="P129" s="39">
        <v>102</v>
      </c>
      <c r="Q129" s="39">
        <v>60</v>
      </c>
      <c r="R129" s="40">
        <f t="shared" si="14"/>
        <v>0.18902996124885793</v>
      </c>
      <c r="S129" s="45"/>
      <c r="T129" s="45"/>
    </row>
    <row r="130" spans="1:24" s="44" customFormat="1" ht="15.95" customHeight="1" x14ac:dyDescent="0.2">
      <c r="A130" s="36">
        <v>114</v>
      </c>
      <c r="B130" s="37" t="s">
        <v>163</v>
      </c>
      <c r="C130" s="55">
        <v>1994</v>
      </c>
      <c r="D130" s="61">
        <v>168</v>
      </c>
      <c r="E130" s="39">
        <v>85</v>
      </c>
      <c r="F130" s="39">
        <v>170</v>
      </c>
      <c r="G130" s="39">
        <v>170</v>
      </c>
      <c r="H130" s="39">
        <v>250</v>
      </c>
      <c r="I130" s="39">
        <v>250</v>
      </c>
      <c r="J130" s="39">
        <v>250</v>
      </c>
      <c r="K130" s="39">
        <v>250</v>
      </c>
      <c r="L130" s="39">
        <v>250</v>
      </c>
      <c r="M130" s="39">
        <v>250</v>
      </c>
      <c r="N130" s="39">
        <v>250</v>
      </c>
      <c r="O130" s="39">
        <v>250</v>
      </c>
      <c r="P130" s="39">
        <v>250</v>
      </c>
      <c r="Q130" s="39">
        <v>284</v>
      </c>
      <c r="R130" s="40">
        <f t="shared" si="14"/>
        <v>0.89474181657792762</v>
      </c>
      <c r="S130" s="45"/>
      <c r="T130" s="45"/>
      <c r="V130" s="71"/>
    </row>
    <row r="131" spans="1:24" ht="15.95" customHeight="1" x14ac:dyDescent="0.2">
      <c r="A131" s="36">
        <v>115</v>
      </c>
      <c r="B131" s="37" t="s">
        <v>164</v>
      </c>
      <c r="C131" s="70">
        <v>1988</v>
      </c>
      <c r="D131" s="61">
        <v>180</v>
      </c>
      <c r="E131" s="39">
        <v>104</v>
      </c>
      <c r="F131" s="39">
        <v>282</v>
      </c>
      <c r="G131" s="39">
        <v>394</v>
      </c>
      <c r="H131" s="39">
        <v>394</v>
      </c>
      <c r="I131" s="39">
        <v>394</v>
      </c>
      <c r="J131" s="39">
        <v>394</v>
      </c>
      <c r="K131" s="39">
        <v>394</v>
      </c>
      <c r="L131" s="39">
        <v>394</v>
      </c>
      <c r="M131" s="39">
        <v>394</v>
      </c>
      <c r="N131" s="39">
        <v>394</v>
      </c>
      <c r="O131" s="39">
        <v>394</v>
      </c>
      <c r="P131" s="39">
        <v>394</v>
      </c>
      <c r="Q131" s="39">
        <v>250</v>
      </c>
      <c r="R131" s="40">
        <f t="shared" si="14"/>
        <v>0.78762483853690812</v>
      </c>
      <c r="S131" s="45"/>
      <c r="T131" s="45"/>
    </row>
    <row r="132" spans="1:24" ht="15.95" customHeight="1" x14ac:dyDescent="0.2">
      <c r="A132" s="36">
        <v>116</v>
      </c>
      <c r="B132" s="37" t="s">
        <v>165</v>
      </c>
      <c r="C132" s="67" t="s">
        <v>145</v>
      </c>
      <c r="D132" s="61">
        <v>36</v>
      </c>
      <c r="E132" s="39">
        <v>112.6</v>
      </c>
      <c r="F132" s="39">
        <v>72</v>
      </c>
      <c r="G132" s="39">
        <v>72</v>
      </c>
      <c r="H132" s="39">
        <v>72</v>
      </c>
      <c r="I132" s="39">
        <v>72</v>
      </c>
      <c r="J132" s="39">
        <v>72</v>
      </c>
      <c r="K132" s="39">
        <v>72</v>
      </c>
      <c r="L132" s="39">
        <v>72</v>
      </c>
      <c r="M132" s="39">
        <v>76</v>
      </c>
      <c r="N132" s="39">
        <v>76</v>
      </c>
      <c r="O132" s="39">
        <v>76</v>
      </c>
      <c r="P132" s="39">
        <v>76</v>
      </c>
      <c r="Q132" s="39">
        <v>394</v>
      </c>
      <c r="R132" s="40">
        <f t="shared" si="14"/>
        <v>1.241296745534167</v>
      </c>
      <c r="S132" s="45"/>
      <c r="T132" s="45"/>
      <c r="U132" s="44"/>
      <c r="V132" s="37"/>
      <c r="W132" s="44"/>
      <c r="X132" s="44"/>
    </row>
    <row r="133" spans="1:24" ht="15.95" customHeight="1" x14ac:dyDescent="0.2">
      <c r="A133" s="36">
        <v>117</v>
      </c>
      <c r="B133" s="37" t="s">
        <v>166</v>
      </c>
      <c r="C133" s="55">
        <v>1991</v>
      </c>
      <c r="D133" s="61">
        <v>112</v>
      </c>
      <c r="E133" s="39">
        <v>77</v>
      </c>
      <c r="F133" s="39">
        <v>112</v>
      </c>
      <c r="G133" s="39">
        <v>112</v>
      </c>
      <c r="H133" s="39">
        <v>112</v>
      </c>
      <c r="I133" s="39">
        <v>112</v>
      </c>
      <c r="J133" s="39">
        <v>112</v>
      </c>
      <c r="K133" s="39">
        <v>112</v>
      </c>
      <c r="L133" s="39">
        <v>112</v>
      </c>
      <c r="M133" s="39">
        <v>112</v>
      </c>
      <c r="N133" s="39">
        <v>112</v>
      </c>
      <c r="O133" s="39">
        <v>112</v>
      </c>
      <c r="P133" s="39">
        <v>112</v>
      </c>
      <c r="Q133" s="39">
        <v>76</v>
      </c>
      <c r="R133" s="40">
        <f t="shared" si="14"/>
        <v>0.23943795091522008</v>
      </c>
      <c r="S133" s="45"/>
      <c r="T133" s="45"/>
    </row>
    <row r="134" spans="1:24" ht="15.95" customHeight="1" x14ac:dyDescent="0.2">
      <c r="A134" s="36">
        <v>118</v>
      </c>
      <c r="B134" s="37" t="s">
        <v>167</v>
      </c>
      <c r="C134" s="55">
        <v>1998</v>
      </c>
      <c r="D134" s="39">
        <v>700</v>
      </c>
      <c r="E134" s="39">
        <v>99.8</v>
      </c>
      <c r="F134" s="39">
        <v>852</v>
      </c>
      <c r="G134" s="39">
        <v>852</v>
      </c>
      <c r="H134" s="39">
        <v>852</v>
      </c>
      <c r="I134" s="39">
        <v>852</v>
      </c>
      <c r="J134" s="39">
        <v>852</v>
      </c>
      <c r="K134" s="39">
        <v>852</v>
      </c>
      <c r="L134" s="39">
        <v>852</v>
      </c>
      <c r="M134" s="39">
        <v>852</v>
      </c>
      <c r="N134" s="39">
        <v>852</v>
      </c>
      <c r="O134" s="39">
        <v>852</v>
      </c>
      <c r="P134" s="39">
        <v>924</v>
      </c>
      <c r="Q134" s="39">
        <v>112</v>
      </c>
      <c r="R134" s="40">
        <f t="shared" si="14"/>
        <v>0.35285592766453483</v>
      </c>
      <c r="S134" s="45"/>
      <c r="T134" s="45"/>
    </row>
    <row r="135" spans="1:24" ht="15.95" customHeight="1" x14ac:dyDescent="0.2">
      <c r="A135" s="36">
        <v>119</v>
      </c>
      <c r="B135" s="37" t="s">
        <v>168</v>
      </c>
      <c r="C135" s="67" t="s">
        <v>155</v>
      </c>
      <c r="D135" s="39">
        <v>74</v>
      </c>
      <c r="E135" s="39">
        <v>80.5</v>
      </c>
      <c r="F135" s="39">
        <v>94</v>
      </c>
      <c r="G135" s="39">
        <v>94</v>
      </c>
      <c r="H135" s="39">
        <v>94</v>
      </c>
      <c r="I135" s="39">
        <v>94</v>
      </c>
      <c r="J135" s="39">
        <v>144</v>
      </c>
      <c r="K135" s="39">
        <v>144</v>
      </c>
      <c r="L135" s="39">
        <v>144</v>
      </c>
      <c r="M135" s="39">
        <v>144</v>
      </c>
      <c r="N135" s="39">
        <v>144</v>
      </c>
      <c r="O135" s="39">
        <v>144</v>
      </c>
      <c r="P135" s="39">
        <v>144</v>
      </c>
      <c r="Q135" s="39">
        <v>924</v>
      </c>
      <c r="R135" s="40">
        <f t="shared" si="14"/>
        <v>2.911061403232412</v>
      </c>
      <c r="S135" s="45"/>
      <c r="T135" s="45"/>
    </row>
    <row r="136" spans="1:24" s="44" customFormat="1" ht="15.95" customHeight="1" x14ac:dyDescent="0.2">
      <c r="A136" s="36">
        <v>120</v>
      </c>
      <c r="B136" s="37" t="s">
        <v>169</v>
      </c>
      <c r="C136" s="67" t="s">
        <v>170</v>
      </c>
      <c r="D136" s="39">
        <v>60</v>
      </c>
      <c r="E136" s="39">
        <v>54.7</v>
      </c>
      <c r="F136" s="39">
        <v>98</v>
      </c>
      <c r="G136" s="39">
        <v>98</v>
      </c>
      <c r="H136" s="39">
        <v>98</v>
      </c>
      <c r="I136" s="39">
        <v>98</v>
      </c>
      <c r="J136" s="39">
        <v>98</v>
      </c>
      <c r="K136" s="39">
        <v>98</v>
      </c>
      <c r="L136" s="39">
        <v>98</v>
      </c>
      <c r="M136" s="39">
        <v>98</v>
      </c>
      <c r="N136" s="39">
        <v>98</v>
      </c>
      <c r="O136" s="39">
        <v>98</v>
      </c>
      <c r="P136" s="39">
        <v>98</v>
      </c>
      <c r="Q136" s="39">
        <v>98</v>
      </c>
      <c r="R136" s="40">
        <f t="shared" si="14"/>
        <v>0.30874893670646797</v>
      </c>
      <c r="S136" s="45"/>
      <c r="T136" s="45"/>
      <c r="U136" s="9"/>
      <c r="V136" s="9"/>
      <c r="W136" s="9"/>
      <c r="X136" s="9"/>
    </row>
    <row r="137" spans="1:24" s="44" customFormat="1" ht="15.95" customHeight="1" x14ac:dyDescent="0.2">
      <c r="A137" s="36">
        <v>121</v>
      </c>
      <c r="B137" s="37" t="s">
        <v>171</v>
      </c>
      <c r="C137" s="55">
        <v>1994</v>
      </c>
      <c r="D137" s="39">
        <v>100</v>
      </c>
      <c r="E137" s="39">
        <v>90</v>
      </c>
      <c r="F137" s="39">
        <v>100</v>
      </c>
      <c r="G137" s="39">
        <v>100</v>
      </c>
      <c r="H137" s="39">
        <v>150</v>
      </c>
      <c r="I137" s="39">
        <v>150</v>
      </c>
      <c r="J137" s="39">
        <v>150</v>
      </c>
      <c r="K137" s="39">
        <v>150</v>
      </c>
      <c r="L137" s="39">
        <v>150</v>
      </c>
      <c r="M137" s="39">
        <v>150</v>
      </c>
      <c r="N137" s="39">
        <v>150</v>
      </c>
      <c r="O137" s="39">
        <v>150</v>
      </c>
      <c r="P137" s="39">
        <v>150</v>
      </c>
      <c r="Q137" s="39">
        <v>150</v>
      </c>
      <c r="R137" s="40">
        <f t="shared" si="14"/>
        <v>0.47257490312214484</v>
      </c>
      <c r="S137" s="45"/>
      <c r="T137" s="45"/>
    </row>
    <row r="138" spans="1:24" ht="15.95" customHeight="1" x14ac:dyDescent="0.2">
      <c r="A138" s="47">
        <v>122</v>
      </c>
      <c r="B138" s="48" t="s">
        <v>172</v>
      </c>
      <c r="C138" s="57">
        <v>1994</v>
      </c>
      <c r="D138" s="50">
        <v>200</v>
      </c>
      <c r="E138" s="50">
        <v>48.3</v>
      </c>
      <c r="F138" s="50">
        <v>282</v>
      </c>
      <c r="G138" s="50">
        <v>282</v>
      </c>
      <c r="H138" s="50">
        <v>282</v>
      </c>
      <c r="I138" s="50">
        <v>282</v>
      </c>
      <c r="J138" s="50">
        <v>368</v>
      </c>
      <c r="K138" s="50">
        <v>368</v>
      </c>
      <c r="L138" s="50">
        <v>368</v>
      </c>
      <c r="M138" s="50">
        <v>368</v>
      </c>
      <c r="N138" s="50">
        <v>368</v>
      </c>
      <c r="O138" s="50">
        <v>368</v>
      </c>
      <c r="P138" s="50">
        <v>368</v>
      </c>
      <c r="Q138" s="50">
        <v>388</v>
      </c>
      <c r="R138" s="78">
        <f t="shared" si="14"/>
        <v>1.2223937494092814</v>
      </c>
      <c r="S138" s="45"/>
      <c r="T138" s="45"/>
      <c r="U138" s="44"/>
      <c r="V138" s="44"/>
      <c r="W138" s="44"/>
      <c r="X138" s="44"/>
    </row>
    <row r="139" spans="1:24" s="44" customFormat="1" ht="15.95" customHeight="1" x14ac:dyDescent="0.2">
      <c r="A139" s="36"/>
      <c r="B139" s="26" t="s">
        <v>173</v>
      </c>
      <c r="C139" s="27" t="s">
        <v>13</v>
      </c>
      <c r="D139" s="27" t="s">
        <v>13</v>
      </c>
      <c r="E139" s="27" t="s">
        <v>13</v>
      </c>
      <c r="F139" s="28">
        <f t="shared" ref="F139:Q139" si="17">SUM(F140:F141)</f>
        <v>350</v>
      </c>
      <c r="G139" s="28">
        <f t="shared" si="17"/>
        <v>350</v>
      </c>
      <c r="H139" s="28">
        <f t="shared" si="17"/>
        <v>350</v>
      </c>
      <c r="I139" s="28">
        <f t="shared" si="17"/>
        <v>350</v>
      </c>
      <c r="J139" s="28">
        <f t="shared" si="17"/>
        <v>350</v>
      </c>
      <c r="K139" s="28">
        <f t="shared" si="17"/>
        <v>402</v>
      </c>
      <c r="L139" s="28">
        <f t="shared" si="17"/>
        <v>402</v>
      </c>
      <c r="M139" s="28">
        <f t="shared" si="17"/>
        <v>402</v>
      </c>
      <c r="N139" s="28">
        <f t="shared" si="17"/>
        <v>402</v>
      </c>
      <c r="O139" s="28">
        <f t="shared" si="17"/>
        <v>434</v>
      </c>
      <c r="P139" s="28">
        <f t="shared" si="17"/>
        <v>434</v>
      </c>
      <c r="Q139" s="28">
        <f t="shared" si="17"/>
        <v>434</v>
      </c>
      <c r="R139" s="66">
        <f t="shared" si="14"/>
        <v>1.3673167197000724</v>
      </c>
      <c r="S139" s="45"/>
      <c r="T139" s="45"/>
    </row>
    <row r="140" spans="1:24" ht="15.95" customHeight="1" x14ac:dyDescent="0.2">
      <c r="A140" s="36">
        <v>123</v>
      </c>
      <c r="B140" s="37" t="s">
        <v>174</v>
      </c>
      <c r="C140" s="70" t="s">
        <v>175</v>
      </c>
      <c r="D140" s="39">
        <v>20</v>
      </c>
      <c r="E140" s="39">
        <v>48</v>
      </c>
      <c r="F140" s="39">
        <v>260</v>
      </c>
      <c r="G140" s="39">
        <v>260</v>
      </c>
      <c r="H140" s="39">
        <v>260</v>
      </c>
      <c r="I140" s="39">
        <v>260</v>
      </c>
      <c r="J140" s="39">
        <v>260</v>
      </c>
      <c r="K140" s="39">
        <v>312</v>
      </c>
      <c r="L140" s="39">
        <v>312</v>
      </c>
      <c r="M140" s="39">
        <v>312</v>
      </c>
      <c r="N140" s="39">
        <v>312</v>
      </c>
      <c r="O140" s="39">
        <v>312</v>
      </c>
      <c r="P140" s="39">
        <v>312</v>
      </c>
      <c r="Q140" s="39">
        <v>312</v>
      </c>
      <c r="R140" s="40">
        <f t="shared" si="14"/>
        <v>0.98295579849406123</v>
      </c>
      <c r="S140" s="45"/>
      <c r="T140" s="45"/>
    </row>
    <row r="141" spans="1:24" s="44" customFormat="1" ht="15" customHeight="1" x14ac:dyDescent="0.2">
      <c r="A141" s="47">
        <v>124</v>
      </c>
      <c r="B141" s="48" t="s">
        <v>176</v>
      </c>
      <c r="C141" s="79" t="s">
        <v>92</v>
      </c>
      <c r="D141" s="50">
        <v>50</v>
      </c>
      <c r="E141" s="50">
        <v>32</v>
      </c>
      <c r="F141" s="50">
        <v>90</v>
      </c>
      <c r="G141" s="50">
        <v>90</v>
      </c>
      <c r="H141" s="50">
        <v>90</v>
      </c>
      <c r="I141" s="50">
        <v>90</v>
      </c>
      <c r="J141" s="50">
        <v>90</v>
      </c>
      <c r="K141" s="50">
        <v>90</v>
      </c>
      <c r="L141" s="50">
        <v>90</v>
      </c>
      <c r="M141" s="50">
        <v>90</v>
      </c>
      <c r="N141" s="50">
        <v>90</v>
      </c>
      <c r="O141" s="50">
        <v>122</v>
      </c>
      <c r="P141" s="50">
        <v>122</v>
      </c>
      <c r="Q141" s="50">
        <v>122</v>
      </c>
      <c r="R141" s="78">
        <f t="shared" si="14"/>
        <v>0.38436092120601117</v>
      </c>
      <c r="S141" s="45"/>
      <c r="T141" s="45"/>
    </row>
    <row r="142" spans="1:24" s="44" customFormat="1" ht="15.95" customHeight="1" x14ac:dyDescent="0.2">
      <c r="A142" s="36"/>
      <c r="B142" s="32" t="s">
        <v>177</v>
      </c>
      <c r="C142" s="27" t="s">
        <v>13</v>
      </c>
      <c r="D142" s="27" t="s">
        <v>13</v>
      </c>
      <c r="E142" s="27" t="s">
        <v>13</v>
      </c>
      <c r="F142" s="28">
        <f t="shared" ref="F142:O142" si="18">SUM(F143:F144)</f>
        <v>400</v>
      </c>
      <c r="G142" s="28">
        <f t="shared" si="18"/>
        <v>400</v>
      </c>
      <c r="H142" s="28">
        <f t="shared" si="18"/>
        <v>400</v>
      </c>
      <c r="I142" s="28">
        <f t="shared" si="18"/>
        <v>400</v>
      </c>
      <c r="J142" s="28">
        <f t="shared" si="18"/>
        <v>400</v>
      </c>
      <c r="K142" s="28">
        <f t="shared" si="18"/>
        <v>400</v>
      </c>
      <c r="L142" s="28">
        <f t="shared" si="18"/>
        <v>400</v>
      </c>
      <c r="M142" s="28">
        <f t="shared" si="18"/>
        <v>400</v>
      </c>
      <c r="N142" s="28">
        <f t="shared" si="18"/>
        <v>400</v>
      </c>
      <c r="O142" s="28">
        <f t="shared" si="18"/>
        <v>400</v>
      </c>
      <c r="P142" s="28">
        <f>SUM(P143:P144)</f>
        <v>400</v>
      </c>
      <c r="Q142" s="28">
        <f>SUM(Q143:Q144)</f>
        <v>400</v>
      </c>
      <c r="R142" s="66">
        <f t="shared" si="14"/>
        <v>1.2601997416590529</v>
      </c>
      <c r="S142" s="45"/>
      <c r="T142" s="45"/>
    </row>
    <row r="143" spans="1:24" ht="21.75" customHeight="1" x14ac:dyDescent="0.2">
      <c r="A143" s="36">
        <v>125</v>
      </c>
      <c r="B143" s="37" t="s">
        <v>178</v>
      </c>
      <c r="C143" s="38" t="s">
        <v>55</v>
      </c>
      <c r="D143" s="39">
        <v>72</v>
      </c>
      <c r="E143" s="39">
        <v>128.69999999999999</v>
      </c>
      <c r="F143" s="39">
        <v>160</v>
      </c>
      <c r="G143" s="39">
        <v>160</v>
      </c>
      <c r="H143" s="39">
        <v>160</v>
      </c>
      <c r="I143" s="39">
        <v>160</v>
      </c>
      <c r="J143" s="39">
        <v>160</v>
      </c>
      <c r="K143" s="39">
        <v>160</v>
      </c>
      <c r="L143" s="39">
        <v>160</v>
      </c>
      <c r="M143" s="39">
        <v>160</v>
      </c>
      <c r="N143" s="39">
        <v>160</v>
      </c>
      <c r="O143" s="39">
        <v>160</v>
      </c>
      <c r="P143" s="39">
        <v>160</v>
      </c>
      <c r="Q143" s="39">
        <v>160</v>
      </c>
      <c r="R143" s="40">
        <f t="shared" si="14"/>
        <v>0.50407989666362119</v>
      </c>
      <c r="S143" s="45"/>
      <c r="T143" s="45"/>
    </row>
    <row r="144" spans="1:24" s="44" customFormat="1" ht="15.95" customHeight="1" x14ac:dyDescent="0.2">
      <c r="A144" s="47">
        <v>126</v>
      </c>
      <c r="B144" s="80" t="s">
        <v>179</v>
      </c>
      <c r="C144" s="81">
        <v>2000</v>
      </c>
      <c r="D144" s="81">
        <v>240</v>
      </c>
      <c r="E144" s="74">
        <v>128.69999999999999</v>
      </c>
      <c r="F144" s="81">
        <v>240</v>
      </c>
      <c r="G144" s="81">
        <v>240</v>
      </c>
      <c r="H144" s="81">
        <v>240</v>
      </c>
      <c r="I144" s="81">
        <v>240</v>
      </c>
      <c r="J144" s="81">
        <v>240</v>
      </c>
      <c r="K144" s="81">
        <v>240</v>
      </c>
      <c r="L144" s="81">
        <v>240</v>
      </c>
      <c r="M144" s="81">
        <v>240</v>
      </c>
      <c r="N144" s="81">
        <v>240</v>
      </c>
      <c r="O144" s="81">
        <v>240</v>
      </c>
      <c r="P144" s="81">
        <v>240</v>
      </c>
      <c r="Q144" s="81">
        <v>240</v>
      </c>
      <c r="R144" s="78">
        <f t="shared" si="14"/>
        <v>0.75611984499543172</v>
      </c>
      <c r="S144" s="45"/>
      <c r="T144" s="45"/>
    </row>
    <row r="145" spans="1:29" s="44" customFormat="1" ht="15.95" customHeight="1" x14ac:dyDescent="0.2">
      <c r="A145" s="36"/>
      <c r="B145" s="32" t="s">
        <v>180</v>
      </c>
      <c r="C145" s="27" t="s">
        <v>13</v>
      </c>
      <c r="D145" s="27" t="s">
        <v>13</v>
      </c>
      <c r="E145" s="27" t="s">
        <v>13</v>
      </c>
      <c r="F145" s="28">
        <f t="shared" ref="F145:Q145" si="19">SUM(F146)</f>
        <v>250</v>
      </c>
      <c r="G145" s="28">
        <f t="shared" si="19"/>
        <v>250</v>
      </c>
      <c r="H145" s="28">
        <f t="shared" si="19"/>
        <v>250</v>
      </c>
      <c r="I145" s="28">
        <f t="shared" si="19"/>
        <v>250</v>
      </c>
      <c r="J145" s="28">
        <f t="shared" si="19"/>
        <v>250</v>
      </c>
      <c r="K145" s="28">
        <f t="shared" si="19"/>
        <v>250</v>
      </c>
      <c r="L145" s="28">
        <f t="shared" si="19"/>
        <v>250</v>
      </c>
      <c r="M145" s="28">
        <f t="shared" si="19"/>
        <v>250</v>
      </c>
      <c r="N145" s="28">
        <f t="shared" si="19"/>
        <v>250</v>
      </c>
      <c r="O145" s="28">
        <f t="shared" si="19"/>
        <v>250</v>
      </c>
      <c r="P145" s="28">
        <f t="shared" si="19"/>
        <v>250</v>
      </c>
      <c r="Q145" s="28">
        <f t="shared" si="19"/>
        <v>250</v>
      </c>
      <c r="R145" s="66">
        <f t="shared" si="14"/>
        <v>0.78762483853690812</v>
      </c>
      <c r="S145" s="45"/>
      <c r="T145" s="45"/>
    </row>
    <row r="146" spans="1:29" s="44" customFormat="1" ht="15.95" customHeight="1" x14ac:dyDescent="0.2">
      <c r="A146" s="47">
        <v>127</v>
      </c>
      <c r="B146" s="48" t="s">
        <v>181</v>
      </c>
      <c r="C146" s="49" t="s">
        <v>55</v>
      </c>
      <c r="D146" s="50">
        <v>250</v>
      </c>
      <c r="E146" s="50">
        <v>120.7</v>
      </c>
      <c r="F146" s="50">
        <v>250</v>
      </c>
      <c r="G146" s="50">
        <v>250</v>
      </c>
      <c r="H146" s="50">
        <v>250</v>
      </c>
      <c r="I146" s="50">
        <v>250</v>
      </c>
      <c r="J146" s="50">
        <v>250</v>
      </c>
      <c r="K146" s="50">
        <v>250</v>
      </c>
      <c r="L146" s="81">
        <v>250</v>
      </c>
      <c r="M146" s="81">
        <v>250</v>
      </c>
      <c r="N146" s="81">
        <v>250</v>
      </c>
      <c r="O146" s="81">
        <v>250</v>
      </c>
      <c r="P146" s="81">
        <v>250</v>
      </c>
      <c r="Q146" s="81">
        <v>250</v>
      </c>
      <c r="R146" s="78">
        <f t="shared" si="14"/>
        <v>0.78762483853690812</v>
      </c>
      <c r="S146" s="45"/>
      <c r="T146" s="45"/>
    </row>
    <row r="147" spans="1:29" s="82" customFormat="1" ht="15.95" customHeight="1" x14ac:dyDescent="0.2">
      <c r="A147" s="36"/>
      <c r="B147" s="32" t="s">
        <v>182</v>
      </c>
      <c r="C147" s="27" t="s">
        <v>13</v>
      </c>
      <c r="D147" s="27" t="s">
        <v>13</v>
      </c>
      <c r="E147" s="27" t="s">
        <v>13</v>
      </c>
      <c r="F147" s="28">
        <f>SUM(F148:F154)</f>
        <v>324</v>
      </c>
      <c r="G147" s="28">
        <f t="shared" ref="G147:O147" si="20">SUM(G148:G154)</f>
        <v>324</v>
      </c>
      <c r="H147" s="28">
        <f t="shared" si="20"/>
        <v>436</v>
      </c>
      <c r="I147" s="28">
        <f t="shared" si="20"/>
        <v>436</v>
      </c>
      <c r="J147" s="28">
        <f t="shared" si="20"/>
        <v>436</v>
      </c>
      <c r="K147" s="28">
        <f t="shared" si="20"/>
        <v>590</v>
      </c>
      <c r="L147" s="28">
        <f t="shared" si="20"/>
        <v>590</v>
      </c>
      <c r="M147" s="28">
        <f t="shared" si="20"/>
        <v>590</v>
      </c>
      <c r="N147" s="28">
        <f t="shared" si="20"/>
        <v>778</v>
      </c>
      <c r="O147" s="28">
        <f t="shared" si="20"/>
        <v>962</v>
      </c>
      <c r="P147" s="28">
        <f>SUM(P148:P154)</f>
        <v>1512</v>
      </c>
      <c r="Q147" s="28">
        <f>SUM(Q148:Q154)</f>
        <v>1754</v>
      </c>
      <c r="R147" s="33">
        <f t="shared" si="14"/>
        <v>5.5259758671749477</v>
      </c>
      <c r="S147" s="45"/>
      <c r="T147" s="45"/>
    </row>
    <row r="148" spans="1:29" s="44" customFormat="1" ht="15.95" customHeight="1" x14ac:dyDescent="0.2">
      <c r="A148" s="36">
        <v>128</v>
      </c>
      <c r="B148" s="37" t="s">
        <v>183</v>
      </c>
      <c r="C148" s="55">
        <v>2015</v>
      </c>
      <c r="D148" s="39">
        <v>66</v>
      </c>
      <c r="E148" s="39">
        <v>158</v>
      </c>
      <c r="F148" s="39" t="s">
        <v>13</v>
      </c>
      <c r="G148" s="39" t="s">
        <v>13</v>
      </c>
      <c r="H148" s="39" t="s">
        <v>13</v>
      </c>
      <c r="I148" s="39" t="s">
        <v>13</v>
      </c>
      <c r="J148" s="39" t="s">
        <v>13</v>
      </c>
      <c r="K148" s="39" t="s">
        <v>13</v>
      </c>
      <c r="L148" s="39" t="s">
        <v>13</v>
      </c>
      <c r="M148" s="39" t="s">
        <v>13</v>
      </c>
      <c r="N148" s="39">
        <v>66</v>
      </c>
      <c r="O148" s="39">
        <v>66</v>
      </c>
      <c r="P148" s="39">
        <v>66</v>
      </c>
      <c r="Q148" s="39">
        <v>66</v>
      </c>
      <c r="R148" s="40">
        <f t="shared" si="14"/>
        <v>0.20793295737374373</v>
      </c>
      <c r="S148" s="45"/>
      <c r="T148" s="45"/>
    </row>
    <row r="149" spans="1:29" s="44" customFormat="1" ht="15.95" customHeight="1" x14ac:dyDescent="0.2">
      <c r="A149" s="36">
        <v>129</v>
      </c>
      <c r="B149" s="37" t="s">
        <v>184</v>
      </c>
      <c r="C149" s="55">
        <v>1998</v>
      </c>
      <c r="D149" s="39">
        <v>50</v>
      </c>
      <c r="E149" s="39">
        <v>146</v>
      </c>
      <c r="F149" s="39">
        <v>168</v>
      </c>
      <c r="G149" s="39">
        <v>168</v>
      </c>
      <c r="H149" s="39">
        <v>236</v>
      </c>
      <c r="I149" s="39">
        <v>236</v>
      </c>
      <c r="J149" s="39">
        <v>236</v>
      </c>
      <c r="K149" s="39">
        <v>236</v>
      </c>
      <c r="L149" s="39">
        <v>236</v>
      </c>
      <c r="M149" s="39">
        <v>236</v>
      </c>
      <c r="N149" s="39">
        <v>238</v>
      </c>
      <c r="O149" s="39">
        <v>238</v>
      </c>
      <c r="P149" s="39">
        <v>238</v>
      </c>
      <c r="Q149" s="39">
        <v>238</v>
      </c>
      <c r="R149" s="40">
        <f t="shared" si="14"/>
        <v>0.74981884628713646</v>
      </c>
      <c r="S149" s="45"/>
      <c r="T149" s="45"/>
    </row>
    <row r="150" spans="1:29" s="44" customFormat="1" ht="15.95" customHeight="1" x14ac:dyDescent="0.2">
      <c r="A150" s="36">
        <v>130</v>
      </c>
      <c r="B150" s="37" t="s">
        <v>185</v>
      </c>
      <c r="C150" s="55">
        <v>2017</v>
      </c>
      <c r="D150" s="27" t="s">
        <v>13</v>
      </c>
      <c r="E150" s="27" t="s">
        <v>13</v>
      </c>
      <c r="F150" s="39"/>
      <c r="G150" s="39"/>
      <c r="H150" s="39"/>
      <c r="I150" s="39"/>
      <c r="J150" s="39"/>
      <c r="K150" s="39"/>
      <c r="L150" s="39" t="s">
        <v>13</v>
      </c>
      <c r="M150" s="39" t="s">
        <v>13</v>
      </c>
      <c r="N150" s="39" t="s">
        <v>13</v>
      </c>
      <c r="O150" s="28" t="s">
        <v>13</v>
      </c>
      <c r="P150" s="39">
        <v>544</v>
      </c>
      <c r="Q150" s="39">
        <v>544</v>
      </c>
      <c r="R150" s="40">
        <f t="shared" si="14"/>
        <v>1.7138716486563121</v>
      </c>
      <c r="S150" s="45"/>
      <c r="T150" s="45"/>
    </row>
    <row r="151" spans="1:29" s="44" customFormat="1" ht="20.25" customHeight="1" x14ac:dyDescent="0.2">
      <c r="A151" s="36">
        <v>131</v>
      </c>
      <c r="B151" s="37" t="s">
        <v>186</v>
      </c>
      <c r="C151" s="55">
        <v>2012</v>
      </c>
      <c r="D151" s="39">
        <v>56</v>
      </c>
      <c r="E151" s="39">
        <v>180</v>
      </c>
      <c r="F151" s="39" t="s">
        <v>13</v>
      </c>
      <c r="G151" s="39" t="s">
        <v>13</v>
      </c>
      <c r="H151" s="39" t="s">
        <v>13</v>
      </c>
      <c r="I151" s="39" t="s">
        <v>13</v>
      </c>
      <c r="J151" s="39" t="s">
        <v>13</v>
      </c>
      <c r="K151" s="39">
        <v>154</v>
      </c>
      <c r="L151" s="39">
        <v>154</v>
      </c>
      <c r="M151" s="39">
        <v>154</v>
      </c>
      <c r="N151" s="39">
        <v>274</v>
      </c>
      <c r="O151" s="39">
        <v>274</v>
      </c>
      <c r="P151" s="39">
        <v>274</v>
      </c>
      <c r="Q151" s="39">
        <v>274</v>
      </c>
      <c r="R151" s="40">
        <f t="shared" si="14"/>
        <v>0.86323682303645133</v>
      </c>
      <c r="S151" s="45"/>
      <c r="T151" s="45"/>
    </row>
    <row r="152" spans="1:29" s="44" customFormat="1" ht="21" customHeight="1" x14ac:dyDescent="0.2">
      <c r="A152" s="36">
        <v>132</v>
      </c>
      <c r="B152" s="37" t="s">
        <v>187</v>
      </c>
      <c r="C152" s="55">
        <v>2018</v>
      </c>
      <c r="D152" s="39">
        <v>242</v>
      </c>
      <c r="E152" s="39" t="s">
        <v>21</v>
      </c>
      <c r="F152" s="39"/>
      <c r="G152" s="39"/>
      <c r="H152" s="39"/>
      <c r="I152" s="39"/>
      <c r="J152" s="39"/>
      <c r="K152" s="39"/>
      <c r="L152" s="28" t="s">
        <v>13</v>
      </c>
      <c r="M152" s="28" t="s">
        <v>13</v>
      </c>
      <c r="N152" s="28" t="s">
        <v>13</v>
      </c>
      <c r="O152" s="28" t="s">
        <v>13</v>
      </c>
      <c r="P152" s="28" t="s">
        <v>13</v>
      </c>
      <c r="Q152" s="39">
        <v>242</v>
      </c>
      <c r="R152" s="40">
        <f t="shared" si="14"/>
        <v>0.76242084370372709</v>
      </c>
      <c r="S152" s="45"/>
      <c r="T152" s="45"/>
    </row>
    <row r="153" spans="1:29" s="44" customFormat="1" ht="21" customHeight="1" x14ac:dyDescent="0.2">
      <c r="A153" s="36">
        <v>133</v>
      </c>
      <c r="B153" s="37" t="s">
        <v>188</v>
      </c>
      <c r="C153" s="38">
        <v>1998</v>
      </c>
      <c r="D153" s="39">
        <v>136</v>
      </c>
      <c r="E153" s="39">
        <v>144</v>
      </c>
      <c r="F153" s="39">
        <v>156</v>
      </c>
      <c r="G153" s="39">
        <v>156</v>
      </c>
      <c r="H153" s="39">
        <v>200</v>
      </c>
      <c r="I153" s="39">
        <v>200</v>
      </c>
      <c r="J153" s="39">
        <v>200</v>
      </c>
      <c r="K153" s="39">
        <v>200</v>
      </c>
      <c r="L153" s="39">
        <v>200</v>
      </c>
      <c r="M153" s="39">
        <v>200</v>
      </c>
      <c r="N153" s="39">
        <v>200</v>
      </c>
      <c r="O153" s="39">
        <v>200</v>
      </c>
      <c r="P153" s="39">
        <v>200</v>
      </c>
      <c r="Q153" s="39">
        <v>200</v>
      </c>
      <c r="R153" s="40">
        <f t="shared" si="14"/>
        <v>0.63009987082952645</v>
      </c>
      <c r="S153" s="45"/>
      <c r="T153" s="45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ht="15.95" customHeight="1" x14ac:dyDescent="0.2">
      <c r="A154" s="47">
        <v>134</v>
      </c>
      <c r="B154" s="48" t="s">
        <v>189</v>
      </c>
      <c r="C154" s="57">
        <v>2016</v>
      </c>
      <c r="D154" s="50">
        <v>28</v>
      </c>
      <c r="E154" s="50">
        <v>160</v>
      </c>
      <c r="F154" s="50" t="s">
        <v>13</v>
      </c>
      <c r="G154" s="50" t="s">
        <v>13</v>
      </c>
      <c r="H154" s="50" t="s">
        <v>13</v>
      </c>
      <c r="I154" s="50" t="s">
        <v>13</v>
      </c>
      <c r="J154" s="50" t="s">
        <v>13</v>
      </c>
      <c r="K154" s="50" t="s">
        <v>13</v>
      </c>
      <c r="L154" s="50" t="s">
        <v>13</v>
      </c>
      <c r="M154" s="50" t="s">
        <v>13</v>
      </c>
      <c r="N154" s="50" t="s">
        <v>13</v>
      </c>
      <c r="O154" s="50">
        <v>184</v>
      </c>
      <c r="P154" s="50">
        <v>190</v>
      </c>
      <c r="Q154" s="50">
        <v>190</v>
      </c>
      <c r="R154" s="40">
        <f t="shared" si="14"/>
        <v>0.59859487728805016</v>
      </c>
      <c r="S154" s="45"/>
      <c r="T154" s="45"/>
      <c r="U154" s="44"/>
      <c r="V154" s="44"/>
      <c r="W154" s="44"/>
      <c r="X154" s="44"/>
      <c r="Y154" s="44"/>
      <c r="Z154" s="44"/>
      <c r="AA154" s="44"/>
      <c r="AB154" s="44"/>
      <c r="AC154" s="44"/>
    </row>
    <row r="155" spans="1:29" s="44" customFormat="1" ht="15.95" customHeight="1" x14ac:dyDescent="0.2">
      <c r="A155" s="36"/>
      <c r="B155" s="26" t="s">
        <v>190</v>
      </c>
      <c r="C155" s="27" t="s">
        <v>13</v>
      </c>
      <c r="D155" s="27" t="s">
        <v>13</v>
      </c>
      <c r="E155" s="27" t="s">
        <v>13</v>
      </c>
      <c r="F155" s="27" t="s">
        <v>13</v>
      </c>
      <c r="G155" s="27" t="s">
        <v>13</v>
      </c>
      <c r="H155" s="27" t="s">
        <v>13</v>
      </c>
      <c r="I155" s="27" t="s">
        <v>13</v>
      </c>
      <c r="J155" s="27" t="s">
        <v>13</v>
      </c>
      <c r="K155" s="27" t="s">
        <v>13</v>
      </c>
      <c r="L155" s="27">
        <f t="shared" ref="L155:Q155" si="21">SUM(L156)</f>
        <v>46</v>
      </c>
      <c r="M155" s="27">
        <f t="shared" si="21"/>
        <v>132</v>
      </c>
      <c r="N155" s="27">
        <f t="shared" si="21"/>
        <v>152</v>
      </c>
      <c r="O155" s="27">
        <f t="shared" si="21"/>
        <v>152</v>
      </c>
      <c r="P155" s="27">
        <f t="shared" si="21"/>
        <v>152</v>
      </c>
      <c r="Q155" s="27">
        <f t="shared" si="21"/>
        <v>152</v>
      </c>
      <c r="R155" s="66">
        <f t="shared" si="14"/>
        <v>0.47887590183044015</v>
      </c>
      <c r="S155" s="45"/>
      <c r="T155" s="45"/>
    </row>
    <row r="156" spans="1:29" s="44" customFormat="1" ht="15.95" customHeight="1" x14ac:dyDescent="0.2">
      <c r="A156" s="47">
        <v>135</v>
      </c>
      <c r="B156" s="48" t="s">
        <v>191</v>
      </c>
      <c r="C156" s="49" t="s">
        <v>192</v>
      </c>
      <c r="D156" s="50">
        <v>66</v>
      </c>
      <c r="E156" s="50">
        <v>260</v>
      </c>
      <c r="F156" s="50" t="s">
        <v>13</v>
      </c>
      <c r="G156" s="50" t="s">
        <v>13</v>
      </c>
      <c r="H156" s="50" t="s">
        <v>13</v>
      </c>
      <c r="I156" s="50" t="s">
        <v>13</v>
      </c>
      <c r="J156" s="50" t="s">
        <v>13</v>
      </c>
      <c r="K156" s="50" t="s">
        <v>13</v>
      </c>
      <c r="L156" s="50">
        <v>46</v>
      </c>
      <c r="M156" s="50">
        <v>132</v>
      </c>
      <c r="N156" s="50">
        <v>152</v>
      </c>
      <c r="O156" s="50">
        <v>152</v>
      </c>
      <c r="P156" s="50">
        <v>152</v>
      </c>
      <c r="Q156" s="50">
        <v>152</v>
      </c>
      <c r="R156" s="78">
        <f t="shared" si="14"/>
        <v>0.47887590183044015</v>
      </c>
      <c r="S156" s="45"/>
      <c r="T156" s="45"/>
    </row>
    <row r="157" spans="1:29" s="44" customFormat="1" ht="15.95" customHeight="1" x14ac:dyDescent="0.2">
      <c r="A157" s="36"/>
      <c r="B157" s="26" t="s">
        <v>193</v>
      </c>
      <c r="C157" s="27" t="s">
        <v>13</v>
      </c>
      <c r="D157" s="27" t="s">
        <v>13</v>
      </c>
      <c r="E157" s="27" t="s">
        <v>13</v>
      </c>
      <c r="F157" s="27" t="s">
        <v>13</v>
      </c>
      <c r="G157" s="27" t="s">
        <v>13</v>
      </c>
      <c r="H157" s="27" t="s">
        <v>13</v>
      </c>
      <c r="I157" s="27" t="s">
        <v>13</v>
      </c>
      <c r="J157" s="27">
        <f t="shared" ref="J157:O157" si="22">SUM(J158)</f>
        <v>194</v>
      </c>
      <c r="K157" s="27">
        <f t="shared" si="22"/>
        <v>194</v>
      </c>
      <c r="L157" s="27">
        <f t="shared" si="22"/>
        <v>194</v>
      </c>
      <c r="M157" s="27">
        <f t="shared" si="22"/>
        <v>194</v>
      </c>
      <c r="N157" s="27">
        <f t="shared" si="22"/>
        <v>194</v>
      </c>
      <c r="O157" s="27">
        <f t="shared" si="22"/>
        <v>194</v>
      </c>
      <c r="P157" s="27">
        <f>SUM(P158)</f>
        <v>194</v>
      </c>
      <c r="Q157" s="27">
        <f>SUM(Q158)</f>
        <v>194</v>
      </c>
      <c r="R157" s="66">
        <f t="shared" si="14"/>
        <v>0.61119687470464068</v>
      </c>
      <c r="S157" s="45"/>
      <c r="T157" s="45"/>
    </row>
    <row r="158" spans="1:29" s="44" customFormat="1" ht="15.95" customHeight="1" x14ac:dyDescent="0.2">
      <c r="A158" s="47">
        <v>136</v>
      </c>
      <c r="B158" s="48" t="s">
        <v>194</v>
      </c>
      <c r="C158" s="49">
        <v>2011</v>
      </c>
      <c r="D158" s="50">
        <v>66</v>
      </c>
      <c r="E158" s="50">
        <v>260</v>
      </c>
      <c r="F158" s="50" t="s">
        <v>13</v>
      </c>
      <c r="G158" s="50" t="s">
        <v>13</v>
      </c>
      <c r="H158" s="50" t="s">
        <v>13</v>
      </c>
      <c r="I158" s="50" t="s">
        <v>13</v>
      </c>
      <c r="J158" s="50">
        <v>194</v>
      </c>
      <c r="K158" s="50">
        <v>194</v>
      </c>
      <c r="L158" s="50">
        <v>194</v>
      </c>
      <c r="M158" s="50">
        <v>194</v>
      </c>
      <c r="N158" s="50">
        <v>194</v>
      </c>
      <c r="O158" s="50">
        <v>194</v>
      </c>
      <c r="P158" s="50">
        <v>194</v>
      </c>
      <c r="Q158" s="50">
        <v>194</v>
      </c>
      <c r="R158" s="78">
        <f t="shared" si="14"/>
        <v>0.61119687470464068</v>
      </c>
      <c r="S158" s="45"/>
      <c r="T158" s="45"/>
    </row>
    <row r="159" spans="1:29" s="5" customFormat="1" ht="15" customHeight="1" x14ac:dyDescent="0.2">
      <c r="A159" s="36"/>
      <c r="B159" s="32" t="s">
        <v>195</v>
      </c>
      <c r="C159" s="27" t="s">
        <v>13</v>
      </c>
      <c r="D159" s="27" t="s">
        <v>13</v>
      </c>
      <c r="E159" s="27" t="s">
        <v>13</v>
      </c>
      <c r="F159" s="27" t="s">
        <v>13</v>
      </c>
      <c r="G159" s="27" t="s">
        <v>13</v>
      </c>
      <c r="H159" s="28">
        <f t="shared" ref="H159:O159" si="23">SUM(H160:H163)</f>
        <v>200</v>
      </c>
      <c r="I159" s="28">
        <f t="shared" si="23"/>
        <v>250</v>
      </c>
      <c r="J159" s="28">
        <f t="shared" si="23"/>
        <v>324</v>
      </c>
      <c r="K159" s="28">
        <f t="shared" si="23"/>
        <v>524</v>
      </c>
      <c r="L159" s="28">
        <f t="shared" si="23"/>
        <v>576</v>
      </c>
      <c r="M159" s="28">
        <f t="shared" si="23"/>
        <v>576</v>
      </c>
      <c r="N159" s="28">
        <f t="shared" si="23"/>
        <v>576</v>
      </c>
      <c r="O159" s="28">
        <f t="shared" si="23"/>
        <v>616</v>
      </c>
      <c r="P159" s="28">
        <f>SUM(P160:P163)</f>
        <v>616</v>
      </c>
      <c r="Q159" s="28">
        <f>SUM(Q160:Q163)</f>
        <v>616</v>
      </c>
      <c r="R159" s="33">
        <f t="shared" si="14"/>
        <v>1.9407076021549416</v>
      </c>
      <c r="S159" s="45"/>
      <c r="T159" s="45"/>
    </row>
    <row r="160" spans="1:29" x14ac:dyDescent="0.2">
      <c r="A160" s="36">
        <v>137</v>
      </c>
      <c r="B160" s="37" t="s">
        <v>196</v>
      </c>
      <c r="C160" s="83">
        <v>2011</v>
      </c>
      <c r="D160" s="83">
        <v>74</v>
      </c>
      <c r="E160" s="39">
        <v>400</v>
      </c>
      <c r="F160" s="39" t="s">
        <v>13</v>
      </c>
      <c r="G160" s="39" t="s">
        <v>13</v>
      </c>
      <c r="H160" s="39" t="s">
        <v>13</v>
      </c>
      <c r="I160" s="39" t="s">
        <v>13</v>
      </c>
      <c r="J160" s="39">
        <v>74</v>
      </c>
      <c r="K160" s="39">
        <v>74</v>
      </c>
      <c r="L160" s="39">
        <v>74</v>
      </c>
      <c r="M160" s="39">
        <v>74</v>
      </c>
      <c r="N160" s="39">
        <v>74</v>
      </c>
      <c r="O160" s="39">
        <v>74</v>
      </c>
      <c r="P160" s="39">
        <v>74</v>
      </c>
      <c r="Q160" s="39">
        <v>74</v>
      </c>
      <c r="R160" s="40">
        <f t="shared" si="14"/>
        <v>0.23313695220692479</v>
      </c>
      <c r="S160" s="45"/>
      <c r="T160" s="45"/>
      <c r="U160" s="43"/>
      <c r="V160" s="43"/>
      <c r="W160" s="43"/>
      <c r="X160" s="43"/>
      <c r="Y160" s="43"/>
      <c r="Z160" s="43"/>
      <c r="AA160" s="43"/>
      <c r="AB160" s="43"/>
      <c r="AC160" s="43"/>
    </row>
    <row r="161" spans="1:29" x14ac:dyDescent="0.2">
      <c r="A161" s="36">
        <v>138</v>
      </c>
      <c r="B161" s="37" t="s">
        <v>197</v>
      </c>
      <c r="C161" s="55">
        <v>2009</v>
      </c>
      <c r="D161" s="39">
        <v>100</v>
      </c>
      <c r="E161" s="39">
        <v>405</v>
      </c>
      <c r="F161" s="39" t="s">
        <v>13</v>
      </c>
      <c r="G161" s="39" t="s">
        <v>13</v>
      </c>
      <c r="H161" s="39">
        <v>100</v>
      </c>
      <c r="I161" s="39">
        <v>100</v>
      </c>
      <c r="J161" s="39">
        <v>100</v>
      </c>
      <c r="K161" s="39">
        <v>100</v>
      </c>
      <c r="L161" s="39">
        <v>100</v>
      </c>
      <c r="M161" s="39">
        <v>100</v>
      </c>
      <c r="N161" s="39">
        <v>100</v>
      </c>
      <c r="O161" s="39">
        <v>100</v>
      </c>
      <c r="P161" s="39">
        <v>100</v>
      </c>
      <c r="Q161" s="39">
        <v>100</v>
      </c>
      <c r="R161" s="40">
        <f t="shared" si="14"/>
        <v>0.31504993541476323</v>
      </c>
      <c r="S161" s="45"/>
      <c r="T161" s="45"/>
    </row>
    <row r="162" spans="1:29" s="43" customFormat="1" x14ac:dyDescent="0.2">
      <c r="A162" s="36">
        <v>139</v>
      </c>
      <c r="B162" s="37" t="s">
        <v>198</v>
      </c>
      <c r="C162" s="55">
        <v>2009</v>
      </c>
      <c r="D162" s="39">
        <v>100</v>
      </c>
      <c r="E162" s="39">
        <v>400</v>
      </c>
      <c r="F162" s="39" t="s">
        <v>13</v>
      </c>
      <c r="G162" s="39" t="s">
        <v>13</v>
      </c>
      <c r="H162" s="39">
        <v>100</v>
      </c>
      <c r="I162" s="39">
        <v>150</v>
      </c>
      <c r="J162" s="39">
        <v>150</v>
      </c>
      <c r="K162" s="39">
        <v>150</v>
      </c>
      <c r="L162" s="39">
        <v>202</v>
      </c>
      <c r="M162" s="39">
        <v>202</v>
      </c>
      <c r="N162" s="39">
        <v>202</v>
      </c>
      <c r="O162" s="39">
        <v>242</v>
      </c>
      <c r="P162" s="39">
        <v>242</v>
      </c>
      <c r="Q162" s="39">
        <v>242</v>
      </c>
      <c r="R162" s="40">
        <f t="shared" si="14"/>
        <v>0.76242084370372709</v>
      </c>
      <c r="S162" s="45"/>
      <c r="T162" s="45"/>
      <c r="U162" s="9"/>
      <c r="V162" s="9"/>
      <c r="W162" s="9"/>
      <c r="X162" s="9"/>
      <c r="Y162" s="9"/>
      <c r="Z162" s="9"/>
      <c r="AA162" s="9"/>
      <c r="AB162" s="9"/>
      <c r="AC162" s="9"/>
    </row>
    <row r="163" spans="1:29" s="43" customFormat="1" x14ac:dyDescent="0.2">
      <c r="A163" s="47">
        <v>140</v>
      </c>
      <c r="B163" s="48" t="s">
        <v>199</v>
      </c>
      <c r="C163" s="84">
        <v>2012</v>
      </c>
      <c r="D163" s="84">
        <v>108</v>
      </c>
      <c r="E163" s="50">
        <v>405</v>
      </c>
      <c r="F163" s="50" t="s">
        <v>13</v>
      </c>
      <c r="G163" s="50" t="s">
        <v>13</v>
      </c>
      <c r="H163" s="50" t="s">
        <v>13</v>
      </c>
      <c r="I163" s="50" t="s">
        <v>13</v>
      </c>
      <c r="J163" s="50" t="s">
        <v>13</v>
      </c>
      <c r="K163" s="50">
        <v>200</v>
      </c>
      <c r="L163" s="50">
        <v>200</v>
      </c>
      <c r="M163" s="50">
        <v>200</v>
      </c>
      <c r="N163" s="50">
        <v>200</v>
      </c>
      <c r="O163" s="50">
        <v>200</v>
      </c>
      <c r="P163" s="50">
        <v>200</v>
      </c>
      <c r="Q163" s="50">
        <v>200</v>
      </c>
      <c r="R163" s="40">
        <f t="shared" si="14"/>
        <v>0.63009987082952645</v>
      </c>
      <c r="S163" s="45"/>
      <c r="T163" s="45"/>
    </row>
    <row r="164" spans="1:29" s="85" customFormat="1" x14ac:dyDescent="0.2">
      <c r="A164" s="36"/>
      <c r="B164" s="32" t="s">
        <v>200</v>
      </c>
      <c r="C164" s="27" t="s">
        <v>13</v>
      </c>
      <c r="D164" s="27" t="s">
        <v>13</v>
      </c>
      <c r="E164" s="27" t="s">
        <v>13</v>
      </c>
      <c r="F164" s="27" t="s">
        <v>13</v>
      </c>
      <c r="G164" s="27" t="s">
        <v>13</v>
      </c>
      <c r="H164" s="27" t="s">
        <v>13</v>
      </c>
      <c r="I164" s="27" t="s">
        <v>13</v>
      </c>
      <c r="J164" s="28">
        <f>SUM(J165:J167)</f>
        <v>200</v>
      </c>
      <c r="K164" s="28">
        <f t="shared" ref="K164:O164" si="24">SUM(K165:K167)</f>
        <v>200</v>
      </c>
      <c r="L164" s="28">
        <f t="shared" si="24"/>
        <v>200</v>
      </c>
      <c r="M164" s="28">
        <f t="shared" si="24"/>
        <v>200</v>
      </c>
      <c r="N164" s="28">
        <f t="shared" si="24"/>
        <v>550</v>
      </c>
      <c r="O164" s="28">
        <f t="shared" si="24"/>
        <v>550</v>
      </c>
      <c r="P164" s="28">
        <f>SUM(P165:P167)</f>
        <v>550</v>
      </c>
      <c r="Q164" s="28">
        <f>SUM(Q165:Q167)</f>
        <v>550</v>
      </c>
      <c r="R164" s="66">
        <f t="shared" si="14"/>
        <v>1.7327746447811976</v>
      </c>
      <c r="S164" s="45"/>
      <c r="T164" s="45"/>
    </row>
    <row r="165" spans="1:29" s="85" customFormat="1" x14ac:dyDescent="0.2">
      <c r="A165" s="36">
        <v>141</v>
      </c>
      <c r="B165" s="86" t="s">
        <v>201</v>
      </c>
      <c r="C165" s="87">
        <v>2015</v>
      </c>
      <c r="D165" s="87">
        <v>240</v>
      </c>
      <c r="E165" s="39">
        <v>240</v>
      </c>
      <c r="F165" s="39" t="s">
        <v>13</v>
      </c>
      <c r="G165" s="39" t="s">
        <v>13</v>
      </c>
      <c r="H165" s="39" t="s">
        <v>13</v>
      </c>
      <c r="I165" s="39" t="s">
        <v>13</v>
      </c>
      <c r="J165" s="39" t="s">
        <v>13</v>
      </c>
      <c r="K165" s="39" t="s">
        <v>13</v>
      </c>
      <c r="L165" s="39" t="s">
        <v>13</v>
      </c>
      <c r="M165" s="39" t="s">
        <v>13</v>
      </c>
      <c r="N165" s="39">
        <v>240</v>
      </c>
      <c r="O165" s="39">
        <v>240</v>
      </c>
      <c r="P165" s="39">
        <v>240</v>
      </c>
      <c r="Q165" s="39">
        <v>240</v>
      </c>
      <c r="R165" s="40">
        <f t="shared" si="14"/>
        <v>0.75611984499543172</v>
      </c>
      <c r="S165" s="45"/>
      <c r="T165" s="45"/>
    </row>
    <row r="166" spans="1:29" s="85" customFormat="1" x14ac:dyDescent="0.2">
      <c r="A166" s="36">
        <v>142</v>
      </c>
      <c r="B166" s="54" t="s">
        <v>202</v>
      </c>
      <c r="C166" s="87">
        <v>2011</v>
      </c>
      <c r="D166" s="87">
        <v>200</v>
      </c>
      <c r="E166" s="39">
        <v>420</v>
      </c>
      <c r="F166" s="39" t="s">
        <v>13</v>
      </c>
      <c r="G166" s="39" t="s">
        <v>13</v>
      </c>
      <c r="H166" s="39" t="s">
        <v>13</v>
      </c>
      <c r="I166" s="39" t="s">
        <v>13</v>
      </c>
      <c r="J166" s="39">
        <v>200</v>
      </c>
      <c r="K166" s="39">
        <v>200</v>
      </c>
      <c r="L166" s="39">
        <v>200</v>
      </c>
      <c r="M166" s="39">
        <v>200</v>
      </c>
      <c r="N166" s="39">
        <v>200</v>
      </c>
      <c r="O166" s="39">
        <v>200</v>
      </c>
      <c r="P166" s="39">
        <v>200</v>
      </c>
      <c r="Q166" s="39">
        <v>200</v>
      </c>
      <c r="R166" s="40">
        <f t="shared" si="14"/>
        <v>0.63009987082952645</v>
      </c>
      <c r="S166" s="45"/>
      <c r="T166" s="45"/>
    </row>
    <row r="167" spans="1:29" s="85" customFormat="1" x14ac:dyDescent="0.2">
      <c r="A167" s="47">
        <v>143</v>
      </c>
      <c r="B167" s="88" t="s">
        <v>203</v>
      </c>
      <c r="C167" s="89">
        <v>2015</v>
      </c>
      <c r="D167" s="89">
        <v>110</v>
      </c>
      <c r="E167" s="51">
        <v>110</v>
      </c>
      <c r="F167" s="51" t="s">
        <v>13</v>
      </c>
      <c r="G167" s="51" t="s">
        <v>13</v>
      </c>
      <c r="H167" s="51" t="s">
        <v>13</v>
      </c>
      <c r="I167" s="51" t="s">
        <v>13</v>
      </c>
      <c r="J167" s="51" t="s">
        <v>13</v>
      </c>
      <c r="K167" s="51" t="s">
        <v>13</v>
      </c>
      <c r="L167" s="51" t="s">
        <v>13</v>
      </c>
      <c r="M167" s="51" t="s">
        <v>13</v>
      </c>
      <c r="N167" s="51">
        <v>110</v>
      </c>
      <c r="O167" s="51">
        <v>110</v>
      </c>
      <c r="P167" s="51">
        <v>110</v>
      </c>
      <c r="Q167" s="51">
        <v>110</v>
      </c>
      <c r="R167" s="78">
        <f t="shared" si="14"/>
        <v>0.34655492895623957</v>
      </c>
      <c r="S167" s="45"/>
      <c r="T167" s="45"/>
    </row>
    <row r="168" spans="1:29" s="85" customFormat="1" ht="18.75" customHeight="1" x14ac:dyDescent="0.2">
      <c r="A168" s="36"/>
      <c r="B168" s="32" t="s">
        <v>204</v>
      </c>
      <c r="C168" s="27" t="s">
        <v>13</v>
      </c>
      <c r="D168" s="27" t="s">
        <v>13</v>
      </c>
      <c r="E168" s="27" t="s">
        <v>13</v>
      </c>
      <c r="F168" s="28">
        <f>SUM(F169)</f>
        <v>546</v>
      </c>
      <c r="G168" s="28">
        <f>SUM(G169)</f>
        <v>546</v>
      </c>
      <c r="H168" s="28">
        <f t="shared" ref="H168:O168" si="25">SUM(H169:H170)</f>
        <v>830</v>
      </c>
      <c r="I168" s="28">
        <f t="shared" si="25"/>
        <v>830</v>
      </c>
      <c r="J168" s="28">
        <f t="shared" si="25"/>
        <v>830</v>
      </c>
      <c r="K168" s="28">
        <f t="shared" si="25"/>
        <v>830</v>
      </c>
      <c r="L168" s="28">
        <f t="shared" si="25"/>
        <v>830</v>
      </c>
      <c r="M168" s="28">
        <f t="shared" si="25"/>
        <v>826</v>
      </c>
      <c r="N168" s="28">
        <f t="shared" si="25"/>
        <v>826</v>
      </c>
      <c r="O168" s="28">
        <f t="shared" si="25"/>
        <v>826</v>
      </c>
      <c r="P168" s="28">
        <f>SUM(P169:P170)</f>
        <v>826</v>
      </c>
      <c r="Q168" s="28">
        <f>SUM(Q169:Q170)</f>
        <v>826</v>
      </c>
      <c r="R168" s="33">
        <f t="shared" si="14"/>
        <v>2.6023124665259445</v>
      </c>
      <c r="S168" s="45"/>
      <c r="T168" s="45"/>
    </row>
    <row r="169" spans="1:29" s="44" customFormat="1" ht="21.75" customHeight="1" x14ac:dyDescent="0.2">
      <c r="A169" s="36">
        <v>144</v>
      </c>
      <c r="B169" s="37" t="s">
        <v>205</v>
      </c>
      <c r="C169" s="38">
        <v>2007</v>
      </c>
      <c r="D169" s="39">
        <v>106</v>
      </c>
      <c r="E169" s="39">
        <v>480</v>
      </c>
      <c r="F169" s="39">
        <v>546</v>
      </c>
      <c r="G169" s="39">
        <v>546</v>
      </c>
      <c r="H169" s="39">
        <v>546</v>
      </c>
      <c r="I169" s="39">
        <v>546</v>
      </c>
      <c r="J169" s="39">
        <v>546</v>
      </c>
      <c r="K169" s="39">
        <v>546</v>
      </c>
      <c r="L169" s="39">
        <v>546</v>
      </c>
      <c r="M169" s="39">
        <v>542</v>
      </c>
      <c r="N169" s="39">
        <v>542</v>
      </c>
      <c r="O169" s="39">
        <v>542</v>
      </c>
      <c r="P169" s="39">
        <v>542</v>
      </c>
      <c r="Q169" s="39">
        <v>542</v>
      </c>
      <c r="R169" s="40">
        <f t="shared" si="14"/>
        <v>1.7075706499480168</v>
      </c>
      <c r="S169" s="45"/>
      <c r="T169" s="45"/>
    </row>
    <row r="170" spans="1:29" s="44" customFormat="1" x14ac:dyDescent="0.2">
      <c r="A170" s="90">
        <v>145</v>
      </c>
      <c r="B170" s="91" t="s">
        <v>206</v>
      </c>
      <c r="C170" s="92" t="s">
        <v>207</v>
      </c>
      <c r="D170" s="93">
        <v>284</v>
      </c>
      <c r="E170" s="93">
        <v>478</v>
      </c>
      <c r="F170" s="93" t="s">
        <v>13</v>
      </c>
      <c r="G170" s="93" t="s">
        <v>13</v>
      </c>
      <c r="H170" s="93">
        <v>284</v>
      </c>
      <c r="I170" s="93">
        <v>284</v>
      </c>
      <c r="J170" s="93">
        <v>284</v>
      </c>
      <c r="K170" s="93">
        <v>284</v>
      </c>
      <c r="L170" s="93">
        <v>284</v>
      </c>
      <c r="M170" s="93">
        <v>284</v>
      </c>
      <c r="N170" s="93">
        <v>284</v>
      </c>
      <c r="O170" s="93">
        <v>284</v>
      </c>
      <c r="P170" s="93">
        <v>284</v>
      </c>
      <c r="Q170" s="93">
        <v>284</v>
      </c>
      <c r="R170" s="94">
        <f t="shared" si="14"/>
        <v>0.89474181657792762</v>
      </c>
      <c r="S170" s="45"/>
      <c r="T170" s="45"/>
    </row>
    <row r="171" spans="1:29" s="44" customFormat="1" ht="15.95" customHeight="1" x14ac:dyDescent="0.2">
      <c r="A171" s="1"/>
      <c r="B171" s="95" t="s">
        <v>208</v>
      </c>
      <c r="C171" s="96"/>
      <c r="D171" s="77"/>
      <c r="E171" s="9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98"/>
      <c r="S171" s="45"/>
      <c r="T171" s="45"/>
    </row>
    <row r="172" spans="1:29" s="44" customFormat="1" ht="11.25" customHeight="1" x14ac:dyDescent="0.2">
      <c r="A172" s="75"/>
      <c r="B172" s="95" t="s">
        <v>209</v>
      </c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100"/>
      <c r="S172" s="101"/>
      <c r="T172" s="102"/>
    </row>
    <row r="173" spans="1:29" x14ac:dyDescent="0.2">
      <c r="B173" s="103"/>
    </row>
    <row r="174" spans="1:29" x14ac:dyDescent="0.2">
      <c r="B174" s="103"/>
    </row>
    <row r="176" spans="1:29" x14ac:dyDescent="0.2">
      <c r="B176" s="104"/>
    </row>
    <row r="178" spans="2:2" x14ac:dyDescent="0.2">
      <c r="B178" s="104"/>
    </row>
    <row r="290" spans="2:18" x14ac:dyDescent="0.2">
      <c r="R290" s="29"/>
    </row>
    <row r="291" spans="2:18" x14ac:dyDescent="0.2">
      <c r="B291" s="105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29"/>
    </row>
    <row r="292" spans="2:18" x14ac:dyDescent="0.2">
      <c r="R292" s="29"/>
    </row>
    <row r="293" spans="2:18" x14ac:dyDescent="0.2">
      <c r="R293" s="29"/>
    </row>
    <row r="294" spans="2:18" x14ac:dyDescent="0.2">
      <c r="H294" s="11" t="s">
        <v>210</v>
      </c>
      <c r="R294" s="29"/>
    </row>
    <row r="295" spans="2:18" x14ac:dyDescent="0.2">
      <c r="R295" s="29"/>
    </row>
    <row r="296" spans="2:18" x14ac:dyDescent="0.2">
      <c r="R296" s="29"/>
    </row>
    <row r="297" spans="2:18" x14ac:dyDescent="0.2">
      <c r="R297" s="29"/>
    </row>
  </sheetData>
  <mergeCells count="4">
    <mergeCell ref="B1:R1"/>
    <mergeCell ref="B2:R2"/>
    <mergeCell ref="B4:B5"/>
    <mergeCell ref="J4:Q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10.14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2019-05-14T04:41:55Z</dcterms:created>
  <dcterms:modified xsi:type="dcterms:W3CDTF">2019-05-14T04:43:43Z</dcterms:modified>
</cp:coreProperties>
</file>