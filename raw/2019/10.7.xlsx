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7" sheetId="7" r:id="rId1"/>
  </sheets>
  <externalReferences>
    <externalReference r:id="rId2"/>
  </externalReferences>
  <definedNames>
    <definedName name="_xlnm.Print_Area" localSheetId="0">'10.7'!$A$1:$K$38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32" i="7" l="1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D9" i="7"/>
  <c r="I8" i="7"/>
  <c r="D8" i="7"/>
  <c r="I7" i="7"/>
  <c r="D7" i="7"/>
  <c r="D6" i="7" s="1"/>
  <c r="K6" i="7"/>
  <c r="J6" i="7"/>
  <c r="H6" i="7"/>
  <c r="G6" i="7"/>
  <c r="F6" i="7"/>
  <c r="E6" i="7"/>
  <c r="C6" i="7"/>
  <c r="B6" i="7"/>
  <c r="I6" i="7" l="1"/>
</calcChain>
</file>

<file path=xl/sharedStrings.xml><?xml version="1.0" encoding="utf-8"?>
<sst xmlns="http://schemas.openxmlformats.org/spreadsheetml/2006/main" count="52" uniqueCount="40">
  <si>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</si>
  <si>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</si>
  <si>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</si>
  <si>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</si>
  <si>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</si>
  <si>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</si>
  <si>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</si>
  <si>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</si>
  <si>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</si>
  <si>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</si>
  <si>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</si>
  <si>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</si>
  <si>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</si>
  <si>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</si>
  <si>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</si>
  <si>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</si>
  <si>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</si>
  <si>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</si>
  <si>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</si>
  <si>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</si>
  <si>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</si>
  <si>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</si>
  <si>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</si>
  <si>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</si>
  <si>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</si>
  <si>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</si>
  <si>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</si>
  <si>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</si>
  <si>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</si>
  <si>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</si>
  <si>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</si>
  <si>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</si>
  <si>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</si>
  <si>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</si>
  <si>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</si>
  <si>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</si>
  <si>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</si>
  <si>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</si>
  <si>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10.7: BED CAPACITY AND UTILIZATION OF SAFARI VESSELS BY MONTH,  2017 - 2018</t>
  </si>
  <si>
    <t>2018 - 2017  ,urwvcnim unuverukcnunEb wgWj egudnea iaWa wgWj eg udnea egukwtudnwLua IrWfws uhwmcswmikea : 10.7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</si>
</sst>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7" formatCode="#,##0.0"/>
    <numFmt numFmtId="168" formatCode="[$-409]mmm\-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2" borderId="0" xfId="0" applyFont="1" applyFill="1" applyAlignment="1" applyProtection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8" fillId="2" borderId="0" xfId="0" applyFont="1" applyFill="1"/>
    <xf numFmtId="0" fontId="10" fillId="2" borderId="0" xfId="0" applyFont="1" applyFill="1"/>
    <xf numFmtId="37" fontId="6" fillId="2" borderId="6" xfId="0" applyNumberFormat="1" applyFont="1" applyFill="1" applyBorder="1" applyAlignment="1" applyProtection="1">
      <alignment horizontal="center" vertical="center" wrapText="1"/>
    </xf>
    <xf numFmtId="37" fontId="6" fillId="2" borderId="7" xfId="0" applyNumberFormat="1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left" vertical="center" wrapText="1"/>
    </xf>
    <xf numFmtId="0" fontId="5" fillId="2" borderId="0" xfId="0" applyFont="1" applyFill="1" applyAlignment="1" applyProtection="1">
      <alignment horizontal="left" vertical="center"/>
    </xf>
    <xf numFmtId="3" fontId="5" fillId="2" borderId="11" xfId="0" applyNumberFormat="1" applyFont="1" applyFill="1" applyBorder="1" applyAlignment="1">
      <alignment horizontal="center"/>
    </xf>
    <xf numFmtId="0" fontId="5" fillId="2" borderId="0" xfId="0" applyFont="1" applyFill="1" applyBorder="1" applyAlignment="1" applyProtection="1">
      <alignment horizontal="left" vertical="center"/>
    </xf>
    <xf numFmtId="0" fontId="5" fillId="2" borderId="2" xfId="0" applyFont="1" applyFill="1" applyBorder="1" applyAlignment="1" applyProtection="1">
      <alignment horizontal="left" vertical="center"/>
    </xf>
    <xf numFmtId="167" fontId="8" fillId="2" borderId="0" xfId="0" applyNumberFormat="1" applyFont="1" applyFill="1"/>
    <xf numFmtId="164" fontId="8" fillId="2" borderId="0" xfId="0" applyNumberFormat="1" applyFont="1" applyFill="1"/>
    <xf numFmtId="0" fontId="11" fillId="2" borderId="2" xfId="0" applyFont="1" applyFill="1" applyBorder="1" applyAlignment="1" applyProtection="1">
      <alignment horizontal="center" vertical="center" wrapText="1"/>
    </xf>
    <xf numFmtId="3" fontId="8" fillId="2" borderId="0" xfId="0" applyNumberFormat="1" applyFont="1" applyFill="1"/>
    <xf numFmtId="0" fontId="8" fillId="2" borderId="0" xfId="0" applyFont="1" applyFill="1" applyAlignment="1" applyProtection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7" fontId="8" fillId="2" borderId="0" xfId="0" applyNumberFormat="1" applyFont="1" applyFill="1" applyBorder="1"/>
    <xf numFmtId="3" fontId="8" fillId="2" borderId="0" xfId="0" applyNumberFormat="1" applyFont="1" applyFill="1" applyBorder="1"/>
    <xf numFmtId="0" fontId="11" fillId="2" borderId="0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/>
    <xf numFmtId="3" fontId="8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12" fillId="2" borderId="0" xfId="0" applyFont="1" applyFill="1" applyBorder="1" applyAlignment="1" applyProtection="1">
      <alignment horizontal="left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/>
    </xf>
    <xf numFmtId="168" fontId="12" fillId="2" borderId="0" xfId="0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 applyBorder="1" applyAlignment="1">
      <alignment horizontal="center"/>
    </xf>
    <xf numFmtId="167" fontId="8" fillId="2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3" fontId="4" fillId="2" borderId="0" xfId="0" applyNumberFormat="1" applyFont="1" applyFill="1" applyAlignment="1">
      <alignment horizontal="right" vertical="center" indent="3"/>
    </xf>
    <xf numFmtId="3" fontId="5" fillId="2" borderId="0" xfId="0" applyNumberFormat="1" applyFont="1" applyFill="1" applyBorder="1" applyAlignment="1">
      <alignment horizontal="right" vertical="center" indent="3"/>
    </xf>
    <xf numFmtId="3" fontId="5" fillId="2" borderId="2" xfId="0" applyNumberFormat="1" applyFont="1" applyFill="1" applyBorder="1" applyAlignment="1">
      <alignment horizontal="right" vertical="center" indent="3"/>
    </xf>
    <xf numFmtId="0" fontId="8" fillId="2" borderId="0" xfId="0" applyFont="1" applyFill="1" applyAlignment="1">
      <alignment horizontal="right" indent="1"/>
    </xf>
    <xf numFmtId="0" fontId="7" fillId="2" borderId="0" xfId="0" applyFont="1" applyFill="1" applyAlignment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</xf>
    <xf numFmtId="0" fontId="9" fillId="2" borderId="3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/>
    </xf>
    <xf numFmtId="37" fontId="6" fillId="2" borderId="13" xfId="0" applyNumberFormat="1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7" fontId="4" fillId="2" borderId="0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3" fontId="5" fillId="2" borderId="1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3" fontId="5" fillId="2" borderId="8" xfId="0" applyNumberFormat="1" applyFont="1" applyFill="1" applyBorder="1" applyAlignment="1">
      <alignment horizontal="center" vertical="center"/>
    </xf>
    <xf numFmtId="167" fontId="4" fillId="2" borderId="0" xfId="0" applyNumberFormat="1" applyFont="1" applyFill="1" applyAlignment="1">
      <alignment horizontal="right" vertical="center" indent="3"/>
    </xf>
    <xf numFmtId="164" fontId="5" fillId="2" borderId="0" xfId="0" applyNumberFormat="1" applyFont="1" applyFill="1" applyAlignment="1">
      <alignment horizontal="right" vertical="center" indent="3"/>
    </xf>
    <xf numFmtId="164" fontId="5" fillId="2" borderId="2" xfId="0" applyNumberFormat="1" applyFont="1" applyFill="1" applyBorder="1" applyAlignment="1">
      <alignment horizontal="right" vertical="center" indent="3"/>
    </xf>
  </cellXfs>
  <cellStyles count="4">
    <cellStyle name="Normal" xfId="0" builtinId="0"/>
    <cellStyle name="Normal 2" xfId="1"/>
    <cellStyle name="Normal 5 2" xfId="3"/>
    <cellStyle name="Percent 2 2" xfId="2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10.7:  Bed capacity and beds in operation in safari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400" b="1" i="0" baseline="0">
                <a:effectLst/>
              </a:rPr>
              <a:t> , 2018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'10.7'!$AR$20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'10.7'!$AQ$21:$AQ$32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'10.7'!$AR$21:$AR$32</c:f>
              <c:numCache>
                <c:formatCode>#,##0</c:formatCode>
                <c:ptCount val="12"/>
                <c:pt idx="0">
                  <c:v>2619</c:v>
                </c:pt>
                <c:pt idx="1">
                  <c:v>2663</c:v>
                </c:pt>
                <c:pt idx="2">
                  <c:v>2663</c:v>
                </c:pt>
                <c:pt idx="3">
                  <c:v>2719</c:v>
                </c:pt>
                <c:pt idx="4">
                  <c:v>2741</c:v>
                </c:pt>
                <c:pt idx="5">
                  <c:v>2749</c:v>
                </c:pt>
                <c:pt idx="6">
                  <c:v>2764</c:v>
                </c:pt>
                <c:pt idx="7">
                  <c:v>2764</c:v>
                </c:pt>
                <c:pt idx="8">
                  <c:v>2769</c:v>
                </c:pt>
                <c:pt idx="9">
                  <c:v>2769</c:v>
                </c:pt>
                <c:pt idx="10">
                  <c:v>2772</c:v>
                </c:pt>
                <c:pt idx="11">
                  <c:v>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9-46A5-969C-EA5E831585B5}"/>
            </c:ext>
          </c:extLst>
        </c:ser>
        <c:ser>
          <c:idx val="1"/>
          <c:order val="1"/>
          <c:tx>
            <c:strRef>
              <c:f>'10.7'!$AS$20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'10.7'!$AQ$21:$AQ$32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'10.7'!$AS$21:$AS$32</c:f>
              <c:numCache>
                <c:formatCode>#,##0</c:formatCode>
                <c:ptCount val="12"/>
                <c:pt idx="0">
                  <c:v>2619</c:v>
                </c:pt>
                <c:pt idx="1">
                  <c:v>2663</c:v>
                </c:pt>
                <c:pt idx="2">
                  <c:v>2663</c:v>
                </c:pt>
                <c:pt idx="3">
                  <c:v>2719</c:v>
                </c:pt>
                <c:pt idx="4">
                  <c:v>2741</c:v>
                </c:pt>
                <c:pt idx="5">
                  <c:v>2735</c:v>
                </c:pt>
                <c:pt idx="6">
                  <c:v>2764</c:v>
                </c:pt>
                <c:pt idx="7">
                  <c:v>2764</c:v>
                </c:pt>
                <c:pt idx="8">
                  <c:v>2769</c:v>
                </c:pt>
                <c:pt idx="9">
                  <c:v>2769</c:v>
                </c:pt>
                <c:pt idx="10">
                  <c:v>2772</c:v>
                </c:pt>
                <c:pt idx="11">
                  <c:v>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9-46A5-969C-EA5E8315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351668928"/>
        <c:axId val="351669488"/>
      </c:barChart>
      <c:catAx>
        <c:axId val="3516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9488"/>
        <c:crosses val="autoZero"/>
        <c:auto val="1"/>
        <c:lblAlgn val="ctr"/>
        <c:lblOffset val="100"/>
        <c:noMultiLvlLbl val="0"/>
      </c:catAx>
      <c:valAx>
        <c:axId val="351669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89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750339115800337E-2"/>
          <c:y val="0.14280316049069047"/>
          <c:w val="0.37889986285826799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19</xdr:row>
      <xdr:rowOff>190500</xdr:rowOff>
    </xdr:from>
    <xdr:to>
      <xdr:col>9</xdr:col>
      <xdr:colOff>661720</xdr:colOff>
      <xdr:row>37</xdr:row>
      <xdr:rowOff>48374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E71"/>
  <sheetViews>
    <sheetView tabSelected="1" zoomScaleNormal="100" workbookViewId="0">
      <selection activeCell="P10" sqref="P10"/>
    </sheetView>
  </sheetViews>
  <sheetFormatPr defaultColWidth="9.140625" defaultRowHeight="12" x14ac:dyDescent="0.2"/>
  <cols>
    <col min="1" max="1" width="13.7109375" style="3" customWidth="1"/>
    <col min="2" max="3" width="12.28515625" style="3" customWidth="1"/>
    <col min="4" max="11" width="14.7109375" style="3" customWidth="1"/>
    <col min="12" max="39" width="18.28515625" style="3" customWidth="1"/>
    <col min="40" max="16384" width="9.140625" style="3"/>
  </cols>
  <sheetData>
    <row r="1" spans="1:39" ht="17.25" customHeight="1" x14ac:dyDescent="0.2">
      <c r="A1" s="38" t="s">
        <v>39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39" ht="24" customHeight="1" x14ac:dyDescent="0.2">
      <c r="A2" s="39" t="s">
        <v>38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</row>
    <row r="3" spans="1:39" s="4" customFormat="1" ht="18.75" customHeight="1" x14ac:dyDescent="0.2">
      <c r="A3" s="42" t="s">
        <v>2</v>
      </c>
      <c r="B3" s="41">
        <v>2017</v>
      </c>
      <c r="C3" s="41"/>
      <c r="D3" s="41"/>
      <c r="E3" s="41"/>
      <c r="F3" s="45"/>
      <c r="G3" s="40">
        <v>2018</v>
      </c>
      <c r="H3" s="41"/>
      <c r="I3" s="41"/>
      <c r="J3" s="41"/>
      <c r="K3" s="41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</row>
    <row r="4" spans="1:39" s="4" customFormat="1" ht="52.5" customHeight="1" x14ac:dyDescent="0.2">
      <c r="A4" s="44"/>
      <c r="B4" s="6" t="s">
        <v>3</v>
      </c>
      <c r="C4" s="6" t="s">
        <v>4</v>
      </c>
      <c r="D4" s="6" t="s">
        <v>1</v>
      </c>
      <c r="E4" s="6" t="s">
        <v>5</v>
      </c>
      <c r="F4" s="46" t="s">
        <v>6</v>
      </c>
      <c r="G4" s="5" t="s">
        <v>3</v>
      </c>
      <c r="H4" s="6" t="s">
        <v>4</v>
      </c>
      <c r="I4" s="6" t="s">
        <v>1</v>
      </c>
      <c r="J4" s="6" t="s">
        <v>5</v>
      </c>
      <c r="K4" s="6" t="s">
        <v>6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</row>
    <row r="5" spans="1:39" s="4" customFormat="1" ht="46.5" customHeight="1" x14ac:dyDescent="0.2">
      <c r="A5" s="43"/>
      <c r="B5" s="33" t="s">
        <v>11</v>
      </c>
      <c r="C5" s="33" t="s">
        <v>7</v>
      </c>
      <c r="D5" s="33" t="s">
        <v>8</v>
      </c>
      <c r="E5" s="33" t="s">
        <v>9</v>
      </c>
      <c r="F5" s="32" t="s">
        <v>10</v>
      </c>
      <c r="G5" s="7" t="s">
        <v>11</v>
      </c>
      <c r="H5" s="31" t="s">
        <v>7</v>
      </c>
      <c r="I5" s="31" t="s">
        <v>8</v>
      </c>
      <c r="J5" s="31" t="s">
        <v>9</v>
      </c>
      <c r="K5" s="31" t="s">
        <v>10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</row>
    <row r="6" spans="1:39" s="4" customFormat="1" ht="16.5" customHeight="1" x14ac:dyDescent="0.2">
      <c r="A6" s="8" t="s">
        <v>12</v>
      </c>
      <c r="B6" s="47">
        <f>AVERAGE(B7:B18)</f>
        <v>2728.25</v>
      </c>
      <c r="C6" s="48">
        <f>AVERAGE(C7:C18)</f>
        <v>2680.75</v>
      </c>
      <c r="D6" s="49">
        <f>AVERAGE(D7:D18)</f>
        <v>98.258835883554283</v>
      </c>
      <c r="E6" s="63">
        <f>AVERAGE(E7:E18)</f>
        <v>26.385018397706389</v>
      </c>
      <c r="F6" s="60">
        <f>SUM(F7:F18)</f>
        <v>256783.10345637635</v>
      </c>
      <c r="G6" s="50">
        <f>AVERAGE(G7:G18)</f>
        <v>2729.1666666666665</v>
      </c>
      <c r="H6" s="51">
        <f>AVERAGE(H7:H18)</f>
        <v>2728</v>
      </c>
      <c r="I6" s="63">
        <f>AVERAGE(I7:I18)</f>
        <v>99.95756032496665</v>
      </c>
      <c r="J6" s="52">
        <f>AVERAGE(J7:J18)</f>
        <v>28.109894030598621</v>
      </c>
      <c r="K6" s="34">
        <f>SUM(K7:K18)</f>
        <v>277720.49223391007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</row>
    <row r="7" spans="1:39" s="4" customFormat="1" ht="16.5" customHeight="1" x14ac:dyDescent="0.2">
      <c r="A7" s="9" t="s">
        <v>13</v>
      </c>
      <c r="B7" s="53">
        <v>2748</v>
      </c>
      <c r="C7" s="53">
        <v>2691</v>
      </c>
      <c r="D7" s="54">
        <f>C7/B7*100</f>
        <v>97.925764192139738</v>
      </c>
      <c r="E7" s="64">
        <v>34.394757487655177</v>
      </c>
      <c r="F7" s="61">
        <v>28692.450643776825</v>
      </c>
      <c r="G7" s="55">
        <v>2619</v>
      </c>
      <c r="H7" s="53">
        <v>2619</v>
      </c>
      <c r="I7" s="64">
        <f>H7/G7*100</f>
        <v>100</v>
      </c>
      <c r="J7" s="56">
        <v>34.710267956005019</v>
      </c>
      <c r="K7" s="35">
        <v>28180.919450800917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s="4" customFormat="1" ht="16.5" customHeight="1" x14ac:dyDescent="0.2">
      <c r="A8" s="9" t="s">
        <v>14</v>
      </c>
      <c r="B8" s="53">
        <v>2703</v>
      </c>
      <c r="C8" s="53">
        <v>2647</v>
      </c>
      <c r="D8" s="54">
        <f t="shared" ref="D8:D18" si="0">C8/B8*100</f>
        <v>97.928227894931553</v>
      </c>
      <c r="E8" s="64">
        <v>38.254928139480093</v>
      </c>
      <c r="F8" s="61">
        <v>28353.022539857066</v>
      </c>
      <c r="G8" s="55">
        <v>2663</v>
      </c>
      <c r="H8" s="53">
        <v>2663</v>
      </c>
      <c r="I8" s="64">
        <f t="shared" ref="I8:I18" si="1">H8/G8*100</f>
        <v>100</v>
      </c>
      <c r="J8" s="56">
        <v>43.641398063403628</v>
      </c>
      <c r="K8" s="35">
        <v>32540.772051996286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</row>
    <row r="9" spans="1:39" s="4" customFormat="1" ht="16.5" customHeight="1" x14ac:dyDescent="0.2">
      <c r="A9" s="9" t="s">
        <v>15</v>
      </c>
      <c r="B9" s="53">
        <v>2738</v>
      </c>
      <c r="C9" s="53">
        <v>2675</v>
      </c>
      <c r="D9" s="54">
        <f t="shared" si="0"/>
        <v>97.699050401753112</v>
      </c>
      <c r="E9" s="64">
        <v>40.594606357868663</v>
      </c>
      <c r="F9" s="61">
        <v>33663.077322262587</v>
      </c>
      <c r="G9" s="55">
        <v>2663</v>
      </c>
      <c r="H9" s="53">
        <v>2663</v>
      </c>
      <c r="I9" s="64">
        <f t="shared" si="1"/>
        <v>100</v>
      </c>
      <c r="J9" s="56">
        <v>43.597124493587991</v>
      </c>
      <c r="K9" s="35">
        <v>35990.734183191693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spans="1:39" s="4" customFormat="1" ht="16.5" customHeight="1" x14ac:dyDescent="0.2">
      <c r="A10" s="9" t="s">
        <v>16</v>
      </c>
      <c r="B10" s="53">
        <v>2738</v>
      </c>
      <c r="C10" s="53">
        <v>2675</v>
      </c>
      <c r="D10" s="54">
        <f t="shared" si="0"/>
        <v>97.699050401753112</v>
      </c>
      <c r="E10" s="64">
        <v>36.021991263744539</v>
      </c>
      <c r="F10" s="61">
        <v>28907.647989154993</v>
      </c>
      <c r="G10" s="55">
        <v>2719</v>
      </c>
      <c r="H10" s="53">
        <v>2719</v>
      </c>
      <c r="I10" s="64">
        <f t="shared" si="1"/>
        <v>100</v>
      </c>
      <c r="J10" s="56">
        <v>38.759368836291912</v>
      </c>
      <c r="K10" s="35">
        <v>31616.017159763313</v>
      </c>
      <c r="L10" s="29"/>
      <c r="M10" s="29"/>
      <c r="N10" s="26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</row>
    <row r="11" spans="1:39" s="4" customFormat="1" ht="16.5" customHeight="1" x14ac:dyDescent="0.2">
      <c r="A11" s="9" t="s">
        <v>17</v>
      </c>
      <c r="B11" s="53">
        <v>2748</v>
      </c>
      <c r="C11" s="53">
        <v>2716</v>
      </c>
      <c r="D11" s="54">
        <f t="shared" si="0"/>
        <v>98.835516739446874</v>
      </c>
      <c r="E11" s="64">
        <v>18.522229917918036</v>
      </c>
      <c r="F11" s="61">
        <v>15594.97670169027</v>
      </c>
      <c r="G11" s="55">
        <v>2741</v>
      </c>
      <c r="H11" s="53">
        <v>2741</v>
      </c>
      <c r="I11" s="64">
        <f t="shared" si="1"/>
        <v>100</v>
      </c>
      <c r="J11" s="56">
        <v>19.317640757052732</v>
      </c>
      <c r="K11" s="35">
        <v>16414.392527675278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</row>
    <row r="12" spans="1:39" s="4" customFormat="1" ht="16.5" customHeight="1" x14ac:dyDescent="0.2">
      <c r="A12" s="9" t="s">
        <v>18</v>
      </c>
      <c r="B12" s="53">
        <v>2748</v>
      </c>
      <c r="C12" s="53">
        <v>2726</v>
      </c>
      <c r="D12" s="54">
        <f t="shared" si="0"/>
        <v>99.199417758369719</v>
      </c>
      <c r="E12" s="64">
        <v>9.8514851485148522</v>
      </c>
      <c r="F12" s="61">
        <v>8056.5445544554459</v>
      </c>
      <c r="G12" s="55">
        <v>2749</v>
      </c>
      <c r="H12" s="53">
        <v>2735</v>
      </c>
      <c r="I12" s="64">
        <f t="shared" si="1"/>
        <v>99.490723899599857</v>
      </c>
      <c r="J12" s="56">
        <v>11.380728554641598</v>
      </c>
      <c r="K12" s="35">
        <v>9337.8877790834304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</row>
    <row r="13" spans="1:39" s="4" customFormat="1" ht="16.5" customHeight="1" x14ac:dyDescent="0.2">
      <c r="A13" s="9" t="s">
        <v>19</v>
      </c>
      <c r="B13" s="53">
        <v>2748</v>
      </c>
      <c r="C13" s="53">
        <v>2700</v>
      </c>
      <c r="D13" s="54">
        <f t="shared" si="0"/>
        <v>98.253275109170303</v>
      </c>
      <c r="E13" s="64">
        <v>12.74679313013552</v>
      </c>
      <c r="F13" s="61">
        <v>10669.065849923431</v>
      </c>
      <c r="G13" s="55">
        <v>2764</v>
      </c>
      <c r="H13" s="53">
        <v>2764</v>
      </c>
      <c r="I13" s="64">
        <f t="shared" si="1"/>
        <v>100</v>
      </c>
      <c r="J13" s="56">
        <v>13.563614094903919</v>
      </c>
      <c r="K13" s="35">
        <v>11621.847101077476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spans="1:39" s="4" customFormat="1" ht="16.5" customHeight="1" x14ac:dyDescent="0.2">
      <c r="A14" s="9" t="s">
        <v>20</v>
      </c>
      <c r="B14" s="53">
        <v>2733</v>
      </c>
      <c r="C14" s="53">
        <v>2625</v>
      </c>
      <c r="D14" s="54">
        <f t="shared" si="0"/>
        <v>96.0482985729967</v>
      </c>
      <c r="E14" s="64">
        <v>21.346959947287996</v>
      </c>
      <c r="F14" s="61">
        <v>17371.088657105607</v>
      </c>
      <c r="G14" s="55">
        <v>2764</v>
      </c>
      <c r="H14" s="53">
        <v>2764</v>
      </c>
      <c r="I14" s="64">
        <f t="shared" si="1"/>
        <v>100</v>
      </c>
      <c r="J14" s="56">
        <v>22.089794916632151</v>
      </c>
      <c r="K14" s="35">
        <v>18927.419876367094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1:39" s="4" customFormat="1" ht="16.5" customHeight="1" x14ac:dyDescent="0.2">
      <c r="A15" s="9" t="s">
        <v>21</v>
      </c>
      <c r="B15" s="53">
        <v>2759</v>
      </c>
      <c r="C15" s="53">
        <v>2724</v>
      </c>
      <c r="D15" s="54">
        <f t="shared" si="0"/>
        <v>98.731424429140986</v>
      </c>
      <c r="E15" s="64">
        <v>18.834570056743779</v>
      </c>
      <c r="F15" s="61">
        <v>15391.610650371016</v>
      </c>
      <c r="G15" s="55">
        <v>2769</v>
      </c>
      <c r="H15" s="53">
        <v>2769</v>
      </c>
      <c r="I15" s="64">
        <f t="shared" si="1"/>
        <v>100</v>
      </c>
      <c r="J15" s="56">
        <v>23.866140437428054</v>
      </c>
      <c r="K15" s="35">
        <v>19825.602861371484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spans="1:39" s="4" customFormat="1" ht="16.5" customHeight="1" x14ac:dyDescent="0.2">
      <c r="A16" s="9" t="s">
        <v>22</v>
      </c>
      <c r="B16" s="53">
        <v>2779</v>
      </c>
      <c r="C16" s="53">
        <v>2757</v>
      </c>
      <c r="D16" s="54">
        <f t="shared" si="0"/>
        <v>99.208348326736242</v>
      </c>
      <c r="E16" s="64">
        <v>26.444009007691633</v>
      </c>
      <c r="F16" s="61">
        <v>22600.901178603806</v>
      </c>
      <c r="G16" s="55">
        <v>2769</v>
      </c>
      <c r="H16" s="53">
        <v>2769</v>
      </c>
      <c r="I16" s="64">
        <f t="shared" si="1"/>
        <v>100</v>
      </c>
      <c r="J16" s="56">
        <v>29.749770156293721</v>
      </c>
      <c r="K16" s="35">
        <v>25536.905204460967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1:57" s="4" customFormat="1" ht="16.5" customHeight="1" x14ac:dyDescent="0.2">
      <c r="A17" s="11" t="s">
        <v>23</v>
      </c>
      <c r="B17" s="53">
        <v>2779</v>
      </c>
      <c r="C17" s="53">
        <v>2747</v>
      </c>
      <c r="D17" s="54">
        <f t="shared" si="0"/>
        <v>98.848506657070885</v>
      </c>
      <c r="E17" s="64">
        <v>28.916553493285047</v>
      </c>
      <c r="F17" s="61">
        <v>23830.131733816208</v>
      </c>
      <c r="G17" s="55">
        <v>2772</v>
      </c>
      <c r="H17" s="53">
        <v>2772</v>
      </c>
      <c r="I17" s="64">
        <f t="shared" si="1"/>
        <v>100</v>
      </c>
      <c r="J17" s="56">
        <v>29.963027826425375</v>
      </c>
      <c r="K17" s="35">
        <v>24917.253940455343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spans="1:57" s="4" customFormat="1" ht="16.5" customHeight="1" x14ac:dyDescent="0.2">
      <c r="A18" s="12" t="s">
        <v>24</v>
      </c>
      <c r="B18" s="57">
        <v>2518</v>
      </c>
      <c r="C18" s="57">
        <v>2486</v>
      </c>
      <c r="D18" s="58">
        <f t="shared" si="0"/>
        <v>98.729150119142176</v>
      </c>
      <c r="E18" s="65">
        <v>30.691336822151293</v>
      </c>
      <c r="F18" s="62">
        <v>23652.585635359115</v>
      </c>
      <c r="G18" s="59">
        <v>2758</v>
      </c>
      <c r="H18" s="57">
        <v>2758</v>
      </c>
      <c r="I18" s="65">
        <f t="shared" si="1"/>
        <v>100</v>
      </c>
      <c r="J18" s="58">
        <v>26.679852274517351</v>
      </c>
      <c r="K18" s="36">
        <v>22810.740097666847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</row>
    <row r="19" spans="1:57" ht="19.5" customHeight="1" x14ac:dyDescent="0.2">
      <c r="A19" s="1" t="s">
        <v>0</v>
      </c>
      <c r="B19" s="13"/>
      <c r="C19" s="13"/>
      <c r="D19" s="14"/>
      <c r="F19" s="37"/>
      <c r="G19" s="25"/>
      <c r="H19" s="29"/>
      <c r="I19" s="29"/>
      <c r="J19" s="29"/>
      <c r="K19" s="2" t="s">
        <v>25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57" ht="18.75" customHeight="1" x14ac:dyDescent="0.2">
      <c r="A20" s="18"/>
      <c r="B20" s="13"/>
      <c r="C20" s="13"/>
      <c r="G20" s="25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R20" s="15" t="s">
        <v>11</v>
      </c>
      <c r="AS20" s="15" t="s">
        <v>26</v>
      </c>
    </row>
    <row r="21" spans="1:57" ht="18.75" customHeight="1" x14ac:dyDescent="0.2">
      <c r="A21" s="18"/>
      <c r="B21" s="13"/>
      <c r="C21" s="13"/>
      <c r="G21" s="25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Q21" s="17" t="s">
        <v>27</v>
      </c>
      <c r="AR21" s="10">
        <f>G7</f>
        <v>2619</v>
      </c>
      <c r="AS21" s="10">
        <f>H7</f>
        <v>2619</v>
      </c>
    </row>
    <row r="22" spans="1:57" ht="18.75" customHeight="1" x14ac:dyDescent="0.2">
      <c r="A22" s="18"/>
      <c r="B22" s="13"/>
      <c r="C22" s="13"/>
      <c r="G22" s="25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Q22" s="17" t="s">
        <v>28</v>
      </c>
      <c r="AR22" s="10">
        <f t="shared" ref="AR22:AS32" si="2">G8</f>
        <v>2663</v>
      </c>
      <c r="AS22" s="10">
        <f t="shared" si="2"/>
        <v>2663</v>
      </c>
    </row>
    <row r="23" spans="1:57" ht="18.75" customHeight="1" x14ac:dyDescent="0.2">
      <c r="A23" s="18"/>
      <c r="B23" s="13"/>
      <c r="C23" s="13"/>
      <c r="G23" s="25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Q23" s="17" t="s">
        <v>29</v>
      </c>
      <c r="AR23" s="10">
        <f t="shared" si="2"/>
        <v>2663</v>
      </c>
      <c r="AS23" s="10">
        <f t="shared" si="2"/>
        <v>2663</v>
      </c>
    </row>
    <row r="24" spans="1:57" ht="18.75" customHeight="1" x14ac:dyDescent="0.2">
      <c r="A24" s="18"/>
      <c r="B24" s="13"/>
      <c r="C24" s="13"/>
      <c r="G24" s="25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Q24" s="17" t="s">
        <v>30</v>
      </c>
      <c r="AR24" s="10">
        <f t="shared" si="2"/>
        <v>2719</v>
      </c>
      <c r="AS24" s="10">
        <f t="shared" si="2"/>
        <v>2719</v>
      </c>
    </row>
    <row r="25" spans="1:57" ht="18.75" customHeight="1" x14ac:dyDescent="0.2">
      <c r="A25" s="18"/>
      <c r="B25" s="13"/>
      <c r="C25" s="13"/>
      <c r="G25" s="28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Q25" s="17" t="s">
        <v>17</v>
      </c>
      <c r="AR25" s="10">
        <f t="shared" si="2"/>
        <v>2741</v>
      </c>
      <c r="AS25" s="10">
        <f t="shared" si="2"/>
        <v>2741</v>
      </c>
    </row>
    <row r="26" spans="1:57" ht="18.75" customHeight="1" x14ac:dyDescent="0.2">
      <c r="A26" s="18"/>
      <c r="B26" s="13"/>
      <c r="C26" s="13"/>
      <c r="G26" s="25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Q26" s="17" t="s">
        <v>31</v>
      </c>
      <c r="AR26" s="10">
        <f t="shared" si="2"/>
        <v>2749</v>
      </c>
      <c r="AS26" s="10">
        <f t="shared" si="2"/>
        <v>2735</v>
      </c>
    </row>
    <row r="27" spans="1:57" ht="18.75" customHeight="1" x14ac:dyDescent="0.2">
      <c r="A27" s="18"/>
      <c r="B27" s="13"/>
      <c r="C27" s="13"/>
      <c r="G27" s="25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Q27" s="17" t="s">
        <v>32</v>
      </c>
      <c r="AR27" s="10">
        <f t="shared" si="2"/>
        <v>2764</v>
      </c>
      <c r="AS27" s="10">
        <f t="shared" si="2"/>
        <v>2764</v>
      </c>
    </row>
    <row r="28" spans="1:57" ht="18.75" customHeight="1" x14ac:dyDescent="0.2">
      <c r="A28" s="18"/>
      <c r="B28" s="13"/>
      <c r="C28" s="13"/>
      <c r="G28" s="25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Q28" s="17" t="s">
        <v>33</v>
      </c>
      <c r="AR28" s="10">
        <f t="shared" si="2"/>
        <v>2764</v>
      </c>
      <c r="AS28" s="10">
        <f t="shared" si="2"/>
        <v>2764</v>
      </c>
    </row>
    <row r="29" spans="1:57" ht="18.75" customHeight="1" x14ac:dyDescent="0.2">
      <c r="A29" s="18"/>
      <c r="B29" s="13"/>
      <c r="C29" s="13"/>
      <c r="D29" s="16"/>
      <c r="G29" s="25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Q29" s="17" t="s">
        <v>34</v>
      </c>
      <c r="AR29" s="10">
        <f t="shared" si="2"/>
        <v>2769</v>
      </c>
      <c r="AS29" s="10">
        <f t="shared" si="2"/>
        <v>2769</v>
      </c>
    </row>
    <row r="30" spans="1:57" ht="18.75" customHeight="1" x14ac:dyDescent="0.2">
      <c r="A30" s="18"/>
      <c r="B30" s="19"/>
      <c r="C30" s="19"/>
      <c r="D30" s="20"/>
      <c r="G30" s="25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Q30" s="17" t="s">
        <v>35</v>
      </c>
      <c r="AR30" s="10">
        <f t="shared" si="2"/>
        <v>2769</v>
      </c>
      <c r="AS30" s="10">
        <f t="shared" si="2"/>
        <v>2769</v>
      </c>
    </row>
    <row r="31" spans="1:57" ht="9.75" customHeight="1" x14ac:dyDescent="0.2">
      <c r="A31" s="18"/>
      <c r="B31" s="21"/>
      <c r="C31" s="21"/>
      <c r="D31" s="21"/>
      <c r="E31" s="22"/>
      <c r="G31" s="25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Q31" s="17" t="s">
        <v>36</v>
      </c>
      <c r="AR31" s="10">
        <f t="shared" si="2"/>
        <v>2772</v>
      </c>
      <c r="AS31" s="10">
        <f t="shared" si="2"/>
        <v>2772</v>
      </c>
    </row>
    <row r="32" spans="1:57" ht="18.75" customHeight="1" x14ac:dyDescent="0.2">
      <c r="A32" s="18"/>
      <c r="B32" s="23"/>
      <c r="C32" s="23"/>
      <c r="D32" s="23"/>
      <c r="E32" s="22"/>
      <c r="G32" s="25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Q32" s="17" t="s">
        <v>37</v>
      </c>
      <c r="AR32" s="10">
        <f t="shared" si="2"/>
        <v>2758</v>
      </c>
      <c r="AS32" s="10">
        <f t="shared" si="2"/>
        <v>2758</v>
      </c>
    </row>
    <row r="33" spans="1:45" ht="18.75" customHeight="1" x14ac:dyDescent="0.2">
      <c r="A33" s="18"/>
      <c r="B33" s="23"/>
      <c r="C33" s="23"/>
      <c r="D33" s="23"/>
      <c r="E33" s="22"/>
      <c r="F33" s="22"/>
      <c r="G33" s="25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Q33" s="4"/>
      <c r="AR33" s="4"/>
      <c r="AS33" s="4"/>
    </row>
    <row r="34" spans="1:45" ht="12.75" x14ac:dyDescent="0.2">
      <c r="B34" s="23"/>
      <c r="C34" s="23"/>
      <c r="D34" s="23"/>
      <c r="E34" s="22"/>
      <c r="F34" s="24"/>
      <c r="G34" s="25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45" ht="12.75" x14ac:dyDescent="0.2">
      <c r="B35" s="23"/>
      <c r="C35" s="23"/>
      <c r="D35" s="23"/>
      <c r="E35" s="17"/>
      <c r="F35" s="22"/>
      <c r="G35" s="25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45" ht="12.75" x14ac:dyDescent="0.2">
      <c r="B36" s="23"/>
      <c r="C36" s="23"/>
      <c r="D36" s="23"/>
      <c r="E36" s="17"/>
      <c r="G36" s="25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45" x14ac:dyDescent="0.2">
      <c r="B37" s="23"/>
      <c r="C37" s="23"/>
      <c r="D37" s="23"/>
      <c r="E37" s="17"/>
    </row>
    <row r="38" spans="1:45" x14ac:dyDescent="0.2">
      <c r="B38" s="23"/>
      <c r="C38" s="23"/>
      <c r="D38" s="23"/>
      <c r="E38" s="17"/>
    </row>
    <row r="39" spans="1:45" x14ac:dyDescent="0.2">
      <c r="B39" s="23"/>
      <c r="C39" s="23"/>
      <c r="D39" s="23"/>
      <c r="E39" s="17"/>
    </row>
    <row r="40" spans="1:45" x14ac:dyDescent="0.2">
      <c r="B40" s="23"/>
      <c r="C40" s="23"/>
      <c r="D40" s="23"/>
      <c r="E40" s="17"/>
    </row>
    <row r="41" spans="1:45" x14ac:dyDescent="0.2">
      <c r="B41" s="23"/>
      <c r="C41" s="23"/>
      <c r="D41" s="23"/>
      <c r="E41" s="17"/>
    </row>
    <row r="42" spans="1:45" x14ac:dyDescent="0.2">
      <c r="B42" s="23"/>
      <c r="C42" s="23"/>
      <c r="D42" s="23"/>
      <c r="E42" s="17"/>
    </row>
    <row r="43" spans="1:45" x14ac:dyDescent="0.2">
      <c r="B43" s="23"/>
      <c r="C43" s="23"/>
      <c r="D43" s="23"/>
      <c r="E43" s="17"/>
    </row>
    <row r="44" spans="1:45" x14ac:dyDescent="0.2">
      <c r="B44" s="22"/>
      <c r="C44" s="22"/>
      <c r="D44" s="22"/>
      <c r="E44" s="17"/>
    </row>
    <row r="45" spans="1:45" x14ac:dyDescent="0.2">
      <c r="B45" s="22"/>
      <c r="C45" s="22"/>
      <c r="D45" s="22"/>
      <c r="E45" s="17"/>
    </row>
    <row r="46" spans="1:45" x14ac:dyDescent="0.2">
      <c r="E46" s="17"/>
    </row>
    <row r="70" spans="47:47" x14ac:dyDescent="0.2">
      <c r="AU70" s="30"/>
    </row>
    <row r="71" spans="47:47" x14ac:dyDescent="0.2">
      <c r="AU71" s="30"/>
    </row>
  </sheetData>
  <mergeCells count="5">
    <mergeCell ref="A1:K1"/>
    <mergeCell ref="A2:K2"/>
    <mergeCell ref="A3:A5"/>
    <mergeCell ref="B3:F3"/>
    <mergeCell ref="G3:K3"/>
  </mergeCells>
  <pageMargins left="0.7" right="0.7" top="0.75" bottom="0.75" header="0.3" footer="0.3"/>
  <pageSetup paperSize="9" scale="71" orientation="landscape" horizontalDpi="4294967295" verticalDpi="4294967295" r:id="rId1"/>
  <rowBreaks count="1" manualBreakCount="1">
    <brk id="38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2019-04-29T03:20:22Z</cp:lastPrinted>
  <dcterms:created xsi:type="dcterms:W3CDTF">2019-02-27T06:18:18Z</dcterms:created>
  <dcterms:modified xsi:type="dcterms:W3CDTF">2019-04-29T03:20:49Z</dcterms:modified>
</cp:coreProperties>
</file>