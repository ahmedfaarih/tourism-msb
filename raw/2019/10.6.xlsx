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6" sheetId="6" r:id="rId1"/>
  </sheets>
  <externalReferences>
    <externalReference r:id="rId2"/>
  </externalReferences>
  <definedNames>
    <definedName name="_xlnm.Print_Area" localSheetId="0">'10.6'!$A$1:$L$41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6" l="1"/>
  <c r="AC20" i="6" l="1"/>
  <c r="AD31" i="6" l="1"/>
  <c r="AC31" i="6"/>
  <c r="AD30" i="6"/>
  <c r="AC30" i="6"/>
  <c r="AD29" i="6"/>
  <c r="AC29" i="6"/>
  <c r="AD28" i="6"/>
  <c r="AC28" i="6"/>
  <c r="AD27" i="6"/>
  <c r="AC27" i="6"/>
  <c r="AD26" i="6"/>
  <c r="AC26" i="6"/>
  <c r="AD25" i="6"/>
  <c r="AC25" i="6"/>
  <c r="AD24" i="6"/>
  <c r="AC24" i="6"/>
  <c r="AD23" i="6"/>
  <c r="AC23" i="6"/>
  <c r="AD22" i="6"/>
  <c r="AC22" i="6"/>
  <c r="AD21" i="6"/>
  <c r="AC21" i="6"/>
  <c r="AD20" i="6"/>
  <c r="I18" i="6"/>
  <c r="D18" i="6"/>
  <c r="I17" i="6"/>
  <c r="D17" i="6"/>
  <c r="I16" i="6"/>
  <c r="D16" i="6"/>
  <c r="I15" i="6"/>
  <c r="D15" i="6"/>
  <c r="I14" i="6"/>
  <c r="D14" i="6"/>
  <c r="I13" i="6"/>
  <c r="D13" i="6"/>
  <c r="I12" i="6"/>
  <c r="D12" i="6"/>
  <c r="I11" i="6"/>
  <c r="D11" i="6"/>
  <c r="I10" i="6"/>
  <c r="D10" i="6"/>
  <c r="I9" i="6"/>
  <c r="D9" i="6"/>
  <c r="I8" i="6"/>
  <c r="D8" i="6"/>
  <c r="I7" i="6"/>
  <c r="D7" i="6"/>
  <c r="K6" i="6"/>
  <c r="J6" i="6"/>
  <c r="H6" i="6"/>
  <c r="G6" i="6"/>
  <c r="E6" i="6"/>
  <c r="C6" i="6"/>
  <c r="B6" i="6"/>
  <c r="D6" i="6" l="1"/>
  <c r="I6" i="6"/>
</calcChain>
</file>

<file path=xl/sharedStrings.xml><?xml version="1.0" encoding="utf-8"?>
<sst xmlns="http://schemas.openxmlformats.org/spreadsheetml/2006/main" count="52" uniqueCount="40">
  <si>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</si>
  <si>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</si>
  <si>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</si>
  <si>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</si>
  <si>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</si>
  <si>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</si>
  <si>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</si>
  <si>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</si>
  <si>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</si>
  <si>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</si>
  <si>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</si>
  <si>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</si>
  <si>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</si>
  <si>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</si>
  <si>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</si>
  <si>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</si>
  <si>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</si>
  <si>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</si>
  <si>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</si>
  <si>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</si>
  <si>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</si>
  <si>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</si>
  <si>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</si>
  <si>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</si>
  <si>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</si>
  <si>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</si>
  <si>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</si>
  <si>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</si>
  <si>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</si>
  <si>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</si>
  <si>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</si>
  <si>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</si>
  <si>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</si>
  <si>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</si>
  <si>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</si>
  <si>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</si>
  <si>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</si>
  <si>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</si>
  <si>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2018 - 2017  ,urwvcnim unuverukcnunEb wgWjegudnea iaWa wgWj egudnea egukwtcsuawhcTcseg uhwmcswmikea : 10.6 ulwvWt</t>
  </si>
  <si>
    <t>Table  10.6: BED CAPACITY AND UTILIZATION OF GUEST HOUSES BY MONTH, 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</si>
</sst>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7" formatCode="#,##0.0"/>
    <numFmt numFmtId="168" formatCode="[$-409]mmm\-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2" borderId="0" xfId="0" applyFont="1" applyFill="1" applyAlignment="1" applyProtection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8" fillId="2" borderId="0" xfId="0" applyFont="1" applyFill="1"/>
    <xf numFmtId="0" fontId="10" fillId="2" borderId="0" xfId="0" applyFont="1" applyFill="1"/>
    <xf numFmtId="37" fontId="6" fillId="2" borderId="6" xfId="0" applyNumberFormat="1" applyFont="1" applyFill="1" applyBorder="1" applyAlignment="1" applyProtection="1">
      <alignment horizontal="center" vertical="center" wrapText="1"/>
    </xf>
    <xf numFmtId="37" fontId="6" fillId="2" borderId="7" xfId="0" applyNumberFormat="1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3" fontId="5" fillId="2" borderId="11" xfId="0" applyNumberFormat="1" applyFont="1" applyFill="1" applyBorder="1" applyAlignment="1">
      <alignment horizontal="center"/>
    </xf>
    <xf numFmtId="167" fontId="8" fillId="2" borderId="0" xfId="0" applyNumberFormat="1" applyFont="1" applyFill="1"/>
    <xf numFmtId="164" fontId="8" fillId="2" borderId="0" xfId="0" applyNumberFormat="1" applyFont="1" applyFill="1"/>
    <xf numFmtId="0" fontId="11" fillId="2" borderId="2" xfId="0" applyFont="1" applyFill="1" applyBorder="1" applyAlignment="1" applyProtection="1">
      <alignment horizontal="center" vertical="center" wrapText="1"/>
    </xf>
    <xf numFmtId="3" fontId="8" fillId="2" borderId="0" xfId="0" applyNumberFormat="1" applyFont="1" applyFill="1"/>
    <xf numFmtId="0" fontId="8" fillId="2" borderId="0" xfId="0" applyFont="1" applyFill="1" applyAlignment="1" applyProtection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7" fontId="8" fillId="2" borderId="0" xfId="0" applyNumberFormat="1" applyFont="1" applyFill="1" applyBorder="1"/>
    <xf numFmtId="3" fontId="8" fillId="2" borderId="0" xfId="0" applyNumberFormat="1" applyFont="1" applyFill="1" applyBorder="1"/>
    <xf numFmtId="0" fontId="11" fillId="2" borderId="0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/>
    <xf numFmtId="3" fontId="8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12" fillId="2" borderId="0" xfId="0" applyFont="1" applyFill="1" applyBorder="1" applyAlignment="1" applyProtection="1">
      <alignment horizontal="left" vertical="center"/>
    </xf>
    <xf numFmtId="164" fontId="5" fillId="2" borderId="0" xfId="0" applyNumberFormat="1" applyFont="1" applyFill="1" applyBorder="1" applyAlignment="1">
      <alignment horizontal="center"/>
    </xf>
    <xf numFmtId="168" fontId="12" fillId="2" borderId="0" xfId="0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 applyBorder="1" applyAlignment="1">
      <alignment horizontal="center"/>
    </xf>
    <xf numFmtId="0" fontId="4" fillId="2" borderId="2" xfId="0" applyFont="1" applyFill="1" applyBorder="1" applyAlignment="1" applyProtection="1">
      <alignment horizontal="righ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14" fillId="2" borderId="0" xfId="0" applyFont="1" applyFill="1" applyAlignment="1" applyProtection="1">
      <alignment horizontal="left" vertical="center" wrapText="1"/>
    </xf>
    <xf numFmtId="3" fontId="14" fillId="2" borderId="10" xfId="0" applyNumberFormat="1" applyFont="1" applyFill="1" applyBorder="1" applyAlignment="1">
      <alignment horizontal="center"/>
    </xf>
    <xf numFmtId="3" fontId="14" fillId="2" borderId="0" xfId="0" applyNumberFormat="1" applyFont="1" applyFill="1" applyAlignment="1">
      <alignment horizontal="center"/>
    </xf>
    <xf numFmtId="167" fontId="14" fillId="2" borderId="0" xfId="0" applyNumberFormat="1" applyFont="1" applyFill="1" applyAlignment="1">
      <alignment horizontal="center"/>
    </xf>
    <xf numFmtId="3" fontId="14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 applyProtection="1">
      <alignment horizontal="left" vertical="center"/>
    </xf>
    <xf numFmtId="3" fontId="15" fillId="2" borderId="11" xfId="0" applyNumberFormat="1" applyFont="1" applyFill="1" applyBorder="1" applyAlignment="1">
      <alignment horizontal="center"/>
    </xf>
    <xf numFmtId="3" fontId="15" fillId="2" borderId="0" xfId="0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center"/>
    </xf>
    <xf numFmtId="3" fontId="15" fillId="2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horizontal="left" vertical="center"/>
    </xf>
    <xf numFmtId="0" fontId="15" fillId="2" borderId="2" xfId="0" applyFont="1" applyFill="1" applyBorder="1" applyAlignment="1" applyProtection="1">
      <alignment horizontal="left" vertical="center"/>
    </xf>
    <xf numFmtId="3" fontId="15" fillId="2" borderId="9" xfId="0" applyNumberFormat="1" applyFont="1" applyFill="1" applyBorder="1" applyAlignment="1">
      <alignment horizontal="center"/>
    </xf>
    <xf numFmtId="3" fontId="15" fillId="2" borderId="2" xfId="0" applyNumberFormat="1" applyFont="1" applyFill="1" applyBorder="1" applyAlignment="1">
      <alignment horizontal="center"/>
    </xf>
    <xf numFmtId="164" fontId="15" fillId="2" borderId="2" xfId="0" applyNumberFormat="1" applyFont="1" applyFill="1" applyBorder="1" applyAlignment="1">
      <alignment horizontal="center"/>
    </xf>
    <xf numFmtId="3" fontId="15" fillId="2" borderId="2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</xf>
    <xf numFmtId="0" fontId="9" fillId="2" borderId="3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/>
    </xf>
    <xf numFmtId="37" fontId="6" fillId="2" borderId="13" xfId="0" applyNumberFormat="1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right" vertical="center" wrapText="1"/>
    </xf>
    <xf numFmtId="3" fontId="14" fillId="2" borderId="1" xfId="0" applyNumberFormat="1" applyFont="1" applyFill="1" applyBorder="1" applyAlignment="1">
      <alignment horizontal="center"/>
    </xf>
    <xf numFmtId="3" fontId="14" fillId="2" borderId="0" xfId="0" applyNumberFormat="1" applyFont="1" applyFill="1" applyBorder="1" applyAlignment="1">
      <alignment horizontal="center"/>
    </xf>
    <xf numFmtId="167" fontId="14" fillId="2" borderId="0" xfId="0" applyNumberFormat="1" applyFont="1" applyFill="1" applyBorder="1" applyAlignment="1">
      <alignment horizontal="center"/>
    </xf>
    <xf numFmtId="3" fontId="14" fillId="2" borderId="5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>
      <alignment horizontal="center"/>
    </xf>
    <xf numFmtId="3" fontId="15" fillId="2" borderId="5" xfId="0" applyNumberFormat="1" applyFont="1" applyFill="1" applyBorder="1" applyAlignment="1">
      <alignment horizontal="right" vertical="center"/>
    </xf>
    <xf numFmtId="3" fontId="15" fillId="2" borderId="8" xfId="0" applyNumberFormat="1" applyFont="1" applyFill="1" applyBorder="1" applyAlignment="1">
      <alignment horizontal="right" vertical="center"/>
    </xf>
  </cellXfs>
  <cellStyles count="4">
    <cellStyle name="Normal" xfId="0" builtinId="0"/>
    <cellStyle name="Normal 2" xfId="1"/>
    <cellStyle name="Normal 5 2" xfId="3"/>
    <cellStyle name="Percent 2 2" xfId="2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10.7:  Bed capacity and beds in operation in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400" b="1" i="0" baseline="0">
                <a:effectLst/>
              </a:rPr>
              <a:t>, 2018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424117563054431"/>
          <c:y val="2.8021253440880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'10.6'!$AC$19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'10.6'!$AB$20:$AB$31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'10.6'!$AC$20:$AC$31</c:f>
              <c:numCache>
                <c:formatCode>#,##0</c:formatCode>
                <c:ptCount val="12"/>
                <c:pt idx="0">
                  <c:v>7464</c:v>
                </c:pt>
                <c:pt idx="1">
                  <c:v>7528</c:v>
                </c:pt>
                <c:pt idx="2">
                  <c:v>7750</c:v>
                </c:pt>
                <c:pt idx="3">
                  <c:v>7922</c:v>
                </c:pt>
                <c:pt idx="4">
                  <c:v>7948</c:v>
                </c:pt>
                <c:pt idx="5">
                  <c:v>8006</c:v>
                </c:pt>
                <c:pt idx="6">
                  <c:v>8098</c:v>
                </c:pt>
                <c:pt idx="7">
                  <c:v>8134</c:v>
                </c:pt>
                <c:pt idx="8">
                  <c:v>8208</c:v>
                </c:pt>
                <c:pt idx="9">
                  <c:v>8294</c:v>
                </c:pt>
                <c:pt idx="10">
                  <c:v>8292</c:v>
                </c:pt>
                <c:pt idx="11">
                  <c:v>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8-441E-B04C-71F893D65C4D}"/>
            </c:ext>
          </c:extLst>
        </c:ser>
        <c:ser>
          <c:idx val="1"/>
          <c:order val="1"/>
          <c:tx>
            <c:strRef>
              <c:f>'10.6'!$AD$19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'10.6'!$AB$20:$AB$31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'10.6'!$AD$20:$AD$31</c:f>
              <c:numCache>
                <c:formatCode>#,##0</c:formatCode>
                <c:ptCount val="12"/>
                <c:pt idx="0">
                  <c:v>7464</c:v>
                </c:pt>
                <c:pt idx="1">
                  <c:v>7528</c:v>
                </c:pt>
                <c:pt idx="2">
                  <c:v>7750</c:v>
                </c:pt>
                <c:pt idx="3">
                  <c:v>7922</c:v>
                </c:pt>
                <c:pt idx="4">
                  <c:v>7948</c:v>
                </c:pt>
                <c:pt idx="5">
                  <c:v>7998</c:v>
                </c:pt>
                <c:pt idx="6">
                  <c:v>8090</c:v>
                </c:pt>
                <c:pt idx="7">
                  <c:v>8112</c:v>
                </c:pt>
                <c:pt idx="8">
                  <c:v>8200</c:v>
                </c:pt>
                <c:pt idx="9">
                  <c:v>8286</c:v>
                </c:pt>
                <c:pt idx="10">
                  <c:v>8248</c:v>
                </c:pt>
                <c:pt idx="11">
                  <c:v>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8-441E-B04C-71F893D6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351660736"/>
        <c:axId val="351661296"/>
      </c:barChart>
      <c:catAx>
        <c:axId val="3516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1296"/>
        <c:crosses val="autoZero"/>
        <c:auto val="1"/>
        <c:lblAlgn val="ctr"/>
        <c:lblOffset val="100"/>
        <c:noMultiLvlLbl val="0"/>
      </c:catAx>
      <c:valAx>
        <c:axId val="351661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073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1817738743509181E-2"/>
          <c:y val="0.16155714571196761"/>
          <c:w val="0.38037445914359286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19</xdr:row>
      <xdr:rowOff>76201</xdr:rowOff>
    </xdr:from>
    <xdr:to>
      <xdr:col>10</xdr:col>
      <xdr:colOff>171449</xdr:colOff>
      <xdr:row>38</xdr:row>
      <xdr:rowOff>133351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7"/>
  <sheetViews>
    <sheetView tabSelected="1" zoomScaleNormal="100" workbookViewId="0">
      <selection activeCell="V6" sqref="V6"/>
    </sheetView>
  </sheetViews>
  <sheetFormatPr defaultColWidth="9.140625" defaultRowHeight="12" x14ac:dyDescent="0.2"/>
  <cols>
    <col min="1" max="1" width="19.28515625" style="3" customWidth="1"/>
    <col min="2" max="11" width="13.140625" style="3" customWidth="1"/>
    <col min="12" max="12" width="4.42578125" style="3" customWidth="1"/>
    <col min="13" max="16384" width="9.140625" style="3"/>
  </cols>
  <sheetData>
    <row r="1" spans="1:12" ht="19.5" x14ac:dyDescent="0.2">
      <c r="A1" s="44" t="s">
        <v>38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2" ht="12.75" x14ac:dyDescent="0.2">
      <c r="A2" s="45" t="s">
        <v>39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20"/>
    </row>
    <row r="3" spans="1:12" s="4" customFormat="1" ht="13.5" customHeight="1" x14ac:dyDescent="0.2">
      <c r="A3" s="48" t="s">
        <v>2</v>
      </c>
      <c r="B3" s="47">
        <v>2017</v>
      </c>
      <c r="C3" s="47"/>
      <c r="D3" s="47"/>
      <c r="E3" s="47"/>
      <c r="F3" s="51"/>
      <c r="G3" s="46">
        <v>2018</v>
      </c>
      <c r="H3" s="47"/>
      <c r="I3" s="47"/>
      <c r="J3" s="47"/>
      <c r="K3" s="47"/>
      <c r="L3" s="24"/>
    </row>
    <row r="4" spans="1:12" s="4" customFormat="1" ht="56.25" x14ac:dyDescent="0.2">
      <c r="A4" s="50"/>
      <c r="B4" s="6" t="s">
        <v>3</v>
      </c>
      <c r="C4" s="6" t="s">
        <v>4</v>
      </c>
      <c r="D4" s="6" t="s">
        <v>1</v>
      </c>
      <c r="E4" s="6" t="s">
        <v>5</v>
      </c>
      <c r="F4" s="52" t="s">
        <v>6</v>
      </c>
      <c r="G4" s="5" t="s">
        <v>3</v>
      </c>
      <c r="H4" s="6" t="s">
        <v>4</v>
      </c>
      <c r="I4" s="6" t="s">
        <v>1</v>
      </c>
      <c r="J4" s="6" t="s">
        <v>5</v>
      </c>
      <c r="K4" s="6" t="s">
        <v>6</v>
      </c>
      <c r="L4" s="24"/>
    </row>
    <row r="5" spans="1:12" s="4" customFormat="1" ht="51" x14ac:dyDescent="0.2">
      <c r="A5" s="49"/>
      <c r="B5" s="27" t="s">
        <v>11</v>
      </c>
      <c r="C5" s="27" t="s">
        <v>7</v>
      </c>
      <c r="D5" s="27" t="s">
        <v>8</v>
      </c>
      <c r="E5" s="27" t="s">
        <v>9</v>
      </c>
      <c r="F5" s="53" t="s">
        <v>10</v>
      </c>
      <c r="G5" s="7" t="s">
        <v>11</v>
      </c>
      <c r="H5" s="26" t="s">
        <v>7</v>
      </c>
      <c r="I5" s="26" t="s">
        <v>8</v>
      </c>
      <c r="J5" s="26" t="s">
        <v>9</v>
      </c>
      <c r="K5" s="25" t="s">
        <v>10</v>
      </c>
      <c r="L5" s="24"/>
    </row>
    <row r="6" spans="1:12" s="4" customFormat="1" ht="18.75" customHeight="1" x14ac:dyDescent="0.25">
      <c r="A6" s="28" t="s">
        <v>12</v>
      </c>
      <c r="B6" s="54">
        <f>AVERAGE(B7:B18)</f>
        <v>6778.083333333333</v>
      </c>
      <c r="C6" s="55">
        <f>AVERAGE(C7:C18)</f>
        <v>6728.833333333333</v>
      </c>
      <c r="D6" s="56">
        <f>AVERAGE(D7:D18)</f>
        <v>99.211682726796042</v>
      </c>
      <c r="E6" s="56">
        <f>AVERAGE(E7:E18)</f>
        <v>30.768031823623502</v>
      </c>
      <c r="F6" s="57">
        <f>SUM(F7:F18)</f>
        <v>751079.82619962806</v>
      </c>
      <c r="G6" s="29">
        <f>AVERAGE(G7:G18)</f>
        <v>8017.25</v>
      </c>
      <c r="H6" s="30">
        <f>AVERAGE(H7:H18)</f>
        <v>8000</v>
      </c>
      <c r="I6" s="31">
        <f>AVERAGE(I7:I18)</f>
        <v>99.794445335464502</v>
      </c>
      <c r="J6" s="31">
        <f>AVERAGE(J7:J18)</f>
        <v>32.573452691970985</v>
      </c>
      <c r="K6" s="32">
        <f>SUM(K7:K18)</f>
        <v>944521.39614352607</v>
      </c>
      <c r="L6" s="24"/>
    </row>
    <row r="7" spans="1:12" s="4" customFormat="1" ht="15.75" x14ac:dyDescent="0.25">
      <c r="A7" s="33" t="s">
        <v>13</v>
      </c>
      <c r="B7" s="35">
        <v>6134</v>
      </c>
      <c r="C7" s="35">
        <v>5717</v>
      </c>
      <c r="D7" s="58">
        <f>C7/B7*100</f>
        <v>93.20182588849039</v>
      </c>
      <c r="E7" s="58">
        <v>35.109388345049595</v>
      </c>
      <c r="F7" s="59">
        <v>62223.315682281056</v>
      </c>
      <c r="G7" s="34">
        <v>7464</v>
      </c>
      <c r="H7" s="35">
        <v>7464</v>
      </c>
      <c r="I7" s="36">
        <f>H7/G7*100</f>
        <v>100</v>
      </c>
      <c r="J7" s="36">
        <v>44.887239508992295</v>
      </c>
      <c r="K7" s="37">
        <v>103861.89026548673</v>
      </c>
      <c r="L7" s="24"/>
    </row>
    <row r="8" spans="1:12" s="4" customFormat="1" ht="15.75" x14ac:dyDescent="0.25">
      <c r="A8" s="33" t="s">
        <v>14</v>
      </c>
      <c r="B8" s="35">
        <v>6336</v>
      </c>
      <c r="C8" s="35">
        <v>6245</v>
      </c>
      <c r="D8" s="58">
        <f t="shared" ref="D8:D18" si="0">C8/B8*100</f>
        <v>98.56376262626263</v>
      </c>
      <c r="E8" s="58">
        <v>43.470754638489055</v>
      </c>
      <c r="F8" s="59">
        <v>76012.961560861964</v>
      </c>
      <c r="G8" s="34">
        <v>7528</v>
      </c>
      <c r="H8" s="35">
        <v>7528</v>
      </c>
      <c r="I8" s="36">
        <f t="shared" ref="I8:I18" si="1">H8/G8*100</f>
        <v>100</v>
      </c>
      <c r="J8" s="36">
        <v>48.9502999143102</v>
      </c>
      <c r="K8" s="37">
        <v>103179.4001713796</v>
      </c>
      <c r="L8" s="24"/>
    </row>
    <row r="9" spans="1:12" s="4" customFormat="1" ht="15.75" x14ac:dyDescent="0.25">
      <c r="A9" s="33" t="s">
        <v>15</v>
      </c>
      <c r="B9" s="35">
        <v>6398</v>
      </c>
      <c r="C9" s="35">
        <v>6381</v>
      </c>
      <c r="D9" s="58">
        <f t="shared" si="0"/>
        <v>99.734291966239454</v>
      </c>
      <c r="E9" s="58">
        <v>37.885077155036015</v>
      </c>
      <c r="F9" s="59">
        <v>74940.849971148302</v>
      </c>
      <c r="G9" s="34">
        <v>7750</v>
      </c>
      <c r="H9" s="35">
        <v>7750</v>
      </c>
      <c r="I9" s="36">
        <f t="shared" si="1"/>
        <v>100</v>
      </c>
      <c r="J9" s="36">
        <v>38.764922057022076</v>
      </c>
      <c r="K9" s="37">
        <v>93132.725241995533</v>
      </c>
      <c r="L9" s="24"/>
    </row>
    <row r="10" spans="1:12" s="4" customFormat="1" ht="15.75" x14ac:dyDescent="0.25">
      <c r="A10" s="33" t="s">
        <v>16</v>
      </c>
      <c r="B10" s="35">
        <v>6431</v>
      </c>
      <c r="C10" s="35">
        <v>6425</v>
      </c>
      <c r="D10" s="58">
        <f t="shared" si="0"/>
        <v>99.906701912610799</v>
      </c>
      <c r="E10" s="58">
        <v>32.134780642243328</v>
      </c>
      <c r="F10" s="59">
        <v>61939.789687924014</v>
      </c>
      <c r="G10" s="34">
        <v>7922</v>
      </c>
      <c r="H10" s="35">
        <v>7922</v>
      </c>
      <c r="I10" s="36">
        <f t="shared" si="1"/>
        <v>100</v>
      </c>
      <c r="J10" s="36">
        <v>30.592478104070072</v>
      </c>
      <c r="K10" s="37">
        <v>72706.083462132927</v>
      </c>
      <c r="L10" s="24"/>
    </row>
    <row r="11" spans="1:12" s="4" customFormat="1" ht="15.75" x14ac:dyDescent="0.25">
      <c r="A11" s="33" t="s">
        <v>17</v>
      </c>
      <c r="B11" s="35">
        <v>6598</v>
      </c>
      <c r="C11" s="35">
        <v>6589</v>
      </c>
      <c r="D11" s="58">
        <f t="shared" si="0"/>
        <v>99.86359502879661</v>
      </c>
      <c r="E11" s="58">
        <v>22.418999013856837</v>
      </c>
      <c r="F11" s="59">
        <v>45792.823195713834</v>
      </c>
      <c r="G11" s="34">
        <v>7948</v>
      </c>
      <c r="H11" s="35">
        <v>7948</v>
      </c>
      <c r="I11" s="36">
        <f t="shared" si="1"/>
        <v>100</v>
      </c>
      <c r="J11" s="36">
        <v>22.085715478028625</v>
      </c>
      <c r="K11" s="37">
        <v>54416.552652005172</v>
      </c>
      <c r="L11" s="24"/>
    </row>
    <row r="12" spans="1:12" s="4" customFormat="1" ht="15.75" x14ac:dyDescent="0.25">
      <c r="A12" s="33" t="s">
        <v>18</v>
      </c>
      <c r="B12" s="35">
        <v>6717</v>
      </c>
      <c r="C12" s="35">
        <v>6711</v>
      </c>
      <c r="D12" s="58">
        <f t="shared" si="0"/>
        <v>99.910674408217957</v>
      </c>
      <c r="E12" s="58">
        <v>19.082403336715139</v>
      </c>
      <c r="F12" s="59">
        <v>38418.602637808588</v>
      </c>
      <c r="G12" s="34">
        <v>8006</v>
      </c>
      <c r="H12" s="35">
        <v>7998</v>
      </c>
      <c r="I12" s="36">
        <f t="shared" si="1"/>
        <v>99.900074943792163</v>
      </c>
      <c r="J12" s="36">
        <v>22.764136904761905</v>
      </c>
      <c r="K12" s="37">
        <v>54620.270089285717</v>
      </c>
      <c r="L12" s="24"/>
    </row>
    <row r="13" spans="1:12" s="4" customFormat="1" ht="15.75" x14ac:dyDescent="0.25">
      <c r="A13" s="33" t="s">
        <v>19</v>
      </c>
      <c r="B13" s="35">
        <v>6914</v>
      </c>
      <c r="C13" s="35">
        <v>6893</v>
      </c>
      <c r="D13" s="58">
        <f t="shared" si="0"/>
        <v>99.696268440844662</v>
      </c>
      <c r="E13" s="58">
        <v>30.399152818507659</v>
      </c>
      <c r="F13" s="59">
        <v>64957.821717171719</v>
      </c>
      <c r="G13" s="34">
        <v>8098</v>
      </c>
      <c r="H13" s="35">
        <v>8090</v>
      </c>
      <c r="I13" s="36">
        <f t="shared" si="1"/>
        <v>99.901210175351935</v>
      </c>
      <c r="J13" s="36">
        <v>28.928325125545161</v>
      </c>
      <c r="K13" s="37">
        <v>72549.346582354716</v>
      </c>
      <c r="L13" s="24"/>
    </row>
    <row r="14" spans="1:12" s="4" customFormat="1" ht="15.75" x14ac:dyDescent="0.25">
      <c r="A14" s="33" t="s">
        <v>20</v>
      </c>
      <c r="B14" s="35">
        <v>6987</v>
      </c>
      <c r="C14" s="35">
        <v>6981</v>
      </c>
      <c r="D14" s="58">
        <f t="shared" si="0"/>
        <v>99.914126234435386</v>
      </c>
      <c r="E14" s="58">
        <v>31.339917484341267</v>
      </c>
      <c r="F14" s="59">
        <v>67823.028827037779</v>
      </c>
      <c r="G14" s="34">
        <v>8134</v>
      </c>
      <c r="H14" s="35">
        <v>8112</v>
      </c>
      <c r="I14" s="36">
        <f t="shared" si="1"/>
        <v>99.72953036636342</v>
      </c>
      <c r="J14" s="36">
        <v>32.908998616516207</v>
      </c>
      <c r="K14" s="37">
        <v>82756.917000925634</v>
      </c>
      <c r="L14" s="24"/>
    </row>
    <row r="15" spans="1:12" s="4" customFormat="1" ht="15.75" x14ac:dyDescent="0.25">
      <c r="A15" s="33" t="s">
        <v>21</v>
      </c>
      <c r="B15" s="35">
        <v>7009</v>
      </c>
      <c r="C15" s="35">
        <v>7003</v>
      </c>
      <c r="D15" s="58">
        <f t="shared" si="0"/>
        <v>99.914395776858328</v>
      </c>
      <c r="E15" s="58">
        <v>22.481022388776786</v>
      </c>
      <c r="F15" s="59">
        <v>47230.37993658115</v>
      </c>
      <c r="G15" s="34">
        <v>8208</v>
      </c>
      <c r="H15" s="35">
        <v>8200</v>
      </c>
      <c r="I15" s="36">
        <f t="shared" si="1"/>
        <v>99.902534113060426</v>
      </c>
      <c r="J15" s="36">
        <v>25.1469596222415</v>
      </c>
      <c r="K15" s="37">
        <v>61861.520670714082</v>
      </c>
      <c r="L15" s="24"/>
    </row>
    <row r="16" spans="1:12" s="4" customFormat="1" ht="15.75" x14ac:dyDescent="0.25">
      <c r="A16" s="33" t="s">
        <v>22</v>
      </c>
      <c r="B16" s="35">
        <v>7149</v>
      </c>
      <c r="C16" s="35">
        <v>7143</v>
      </c>
      <c r="D16" s="58">
        <f t="shared" si="0"/>
        <v>99.916072177926978</v>
      </c>
      <c r="E16" s="58">
        <v>27.200701401734257</v>
      </c>
      <c r="F16" s="59">
        <v>60231.329134902218</v>
      </c>
      <c r="G16" s="34">
        <v>8294</v>
      </c>
      <c r="H16" s="35">
        <v>8286</v>
      </c>
      <c r="I16" s="36">
        <f t="shared" si="1"/>
        <v>99.903544731130935</v>
      </c>
      <c r="J16" s="36">
        <v>25.17155880585053</v>
      </c>
      <c r="K16" s="37">
        <v>64657.176242236026</v>
      </c>
      <c r="L16" s="24"/>
    </row>
    <row r="17" spans="1:30" s="4" customFormat="1" ht="15.75" x14ac:dyDescent="0.25">
      <c r="A17" s="38" t="s">
        <v>23</v>
      </c>
      <c r="B17" s="35">
        <v>7360</v>
      </c>
      <c r="C17" s="35">
        <v>7354</v>
      </c>
      <c r="D17" s="58">
        <f t="shared" si="0"/>
        <v>99.918478260869563</v>
      </c>
      <c r="E17" s="58">
        <v>30.443777110443783</v>
      </c>
      <c r="F17" s="59">
        <v>67165.06106106106</v>
      </c>
      <c r="G17" s="34">
        <v>8292</v>
      </c>
      <c r="H17" s="35">
        <v>8248</v>
      </c>
      <c r="I17" s="36">
        <f t="shared" si="1"/>
        <v>99.469368065605408</v>
      </c>
      <c r="J17" s="36">
        <v>30.452926208651398</v>
      </c>
      <c r="K17" s="37">
        <v>75352.720610687029</v>
      </c>
      <c r="L17" s="24"/>
    </row>
    <row r="18" spans="1:30" s="4" customFormat="1" ht="15.75" x14ac:dyDescent="0.25">
      <c r="A18" s="39" t="s">
        <v>24</v>
      </c>
      <c r="B18" s="41">
        <v>7304</v>
      </c>
      <c r="C18" s="41">
        <v>7304</v>
      </c>
      <c r="D18" s="42">
        <f t="shared" si="0"/>
        <v>100</v>
      </c>
      <c r="E18" s="42">
        <v>37.250407548288301</v>
      </c>
      <c r="F18" s="60">
        <v>84343.862787136299</v>
      </c>
      <c r="G18" s="40">
        <v>8563</v>
      </c>
      <c r="H18" s="41">
        <v>8454</v>
      </c>
      <c r="I18" s="42">
        <f t="shared" si="1"/>
        <v>98.727081630269765</v>
      </c>
      <c r="J18" s="42">
        <v>40.22787195766189</v>
      </c>
      <c r="K18" s="43">
        <v>105426.7931543228</v>
      </c>
      <c r="L18" s="24"/>
    </row>
    <row r="19" spans="1:30" ht="20.25" customHeight="1" x14ac:dyDescent="0.2">
      <c r="A19" s="1" t="s">
        <v>0</v>
      </c>
      <c r="B19" s="9"/>
      <c r="C19" s="9"/>
      <c r="D19" s="10"/>
      <c r="F19" s="2"/>
      <c r="G19" s="9"/>
      <c r="H19" s="9"/>
      <c r="I19" s="10"/>
      <c r="K19" s="2" t="s">
        <v>25</v>
      </c>
      <c r="L19" s="24"/>
      <c r="AC19" s="11" t="s">
        <v>11</v>
      </c>
      <c r="AD19" s="11" t="s">
        <v>26</v>
      </c>
    </row>
    <row r="20" spans="1:30" ht="12.75" x14ac:dyDescent="0.2">
      <c r="A20" s="12"/>
      <c r="B20" s="9"/>
      <c r="C20" s="9"/>
      <c r="D20" s="10"/>
      <c r="G20" s="21"/>
      <c r="H20" s="24"/>
      <c r="I20" s="24"/>
      <c r="J20" s="24"/>
      <c r="K20" s="24"/>
      <c r="L20" s="24"/>
      <c r="AB20" s="13" t="s">
        <v>27</v>
      </c>
      <c r="AC20" s="8">
        <f>G7</f>
        <v>7464</v>
      </c>
      <c r="AD20" s="8">
        <f>H7</f>
        <v>7464</v>
      </c>
    </row>
    <row r="21" spans="1:30" ht="12.75" x14ac:dyDescent="0.2">
      <c r="A21" s="14"/>
      <c r="B21" s="9"/>
      <c r="C21" s="9"/>
      <c r="G21" s="21"/>
      <c r="H21" s="24"/>
      <c r="I21" s="24"/>
      <c r="J21" s="24"/>
      <c r="K21" s="24"/>
      <c r="L21" s="24"/>
      <c r="AB21" s="13" t="s">
        <v>28</v>
      </c>
      <c r="AC21" s="8">
        <f t="shared" ref="AC21:AD31" si="2">G8</f>
        <v>7528</v>
      </c>
      <c r="AD21" s="8">
        <f t="shared" si="2"/>
        <v>7528</v>
      </c>
    </row>
    <row r="22" spans="1:30" ht="12.75" x14ac:dyDescent="0.2">
      <c r="A22" s="14"/>
      <c r="B22" s="9"/>
      <c r="C22" s="9"/>
      <c r="G22" s="21"/>
      <c r="H22" s="24"/>
      <c r="I22" s="24"/>
      <c r="J22" s="24"/>
      <c r="K22" s="24"/>
      <c r="L22" s="24"/>
      <c r="AB22" s="13" t="s">
        <v>29</v>
      </c>
      <c r="AC22" s="8">
        <f t="shared" si="2"/>
        <v>7750</v>
      </c>
      <c r="AD22" s="8">
        <f t="shared" si="2"/>
        <v>7750</v>
      </c>
    </row>
    <row r="23" spans="1:30" ht="12.75" x14ac:dyDescent="0.2">
      <c r="A23" s="14"/>
      <c r="B23" s="9"/>
      <c r="C23" s="9"/>
      <c r="G23" s="21"/>
      <c r="H23" s="24"/>
      <c r="I23" s="24"/>
      <c r="J23" s="24"/>
      <c r="K23" s="24"/>
      <c r="L23" s="24"/>
      <c r="AB23" s="13" t="s">
        <v>30</v>
      </c>
      <c r="AC23" s="8">
        <f t="shared" si="2"/>
        <v>7922</v>
      </c>
      <c r="AD23" s="8">
        <f t="shared" si="2"/>
        <v>7922</v>
      </c>
    </row>
    <row r="24" spans="1:30" ht="12.75" x14ac:dyDescent="0.2">
      <c r="A24" s="14"/>
      <c r="B24" s="9"/>
      <c r="C24" s="9"/>
      <c r="G24" s="21"/>
      <c r="H24" s="24"/>
      <c r="I24" s="24"/>
      <c r="J24" s="24"/>
      <c r="K24" s="24"/>
      <c r="L24" s="24"/>
      <c r="AB24" s="13" t="s">
        <v>17</v>
      </c>
      <c r="AC24" s="8">
        <f t="shared" si="2"/>
        <v>7948</v>
      </c>
      <c r="AD24" s="8">
        <f t="shared" si="2"/>
        <v>7948</v>
      </c>
    </row>
    <row r="25" spans="1:30" ht="12.75" x14ac:dyDescent="0.2">
      <c r="A25" s="14"/>
      <c r="B25" s="9"/>
      <c r="C25" s="9"/>
      <c r="G25" s="21"/>
      <c r="H25" s="24"/>
      <c r="I25" s="24"/>
      <c r="J25" s="24"/>
      <c r="K25" s="24"/>
      <c r="L25" s="24"/>
      <c r="AB25" s="13" t="s">
        <v>31</v>
      </c>
      <c r="AC25" s="8">
        <f t="shared" si="2"/>
        <v>8006</v>
      </c>
      <c r="AD25" s="8">
        <f t="shared" si="2"/>
        <v>7998</v>
      </c>
    </row>
    <row r="26" spans="1:30" ht="12.75" x14ac:dyDescent="0.2">
      <c r="A26" s="14"/>
      <c r="B26" s="9"/>
      <c r="C26" s="9"/>
      <c r="G26" s="23"/>
      <c r="H26" s="22"/>
      <c r="I26" s="22"/>
      <c r="J26" s="22"/>
      <c r="K26" s="22"/>
      <c r="L26" s="22"/>
      <c r="AB26" s="13" t="s">
        <v>32</v>
      </c>
      <c r="AC26" s="8">
        <f t="shared" si="2"/>
        <v>8098</v>
      </c>
      <c r="AD26" s="8">
        <f t="shared" si="2"/>
        <v>8090</v>
      </c>
    </row>
    <row r="27" spans="1:30" ht="12.75" x14ac:dyDescent="0.2">
      <c r="A27" s="14"/>
      <c r="B27" s="9"/>
      <c r="C27" s="9"/>
      <c r="G27" s="21"/>
      <c r="H27" s="22"/>
      <c r="I27" s="22"/>
      <c r="J27" s="22"/>
      <c r="K27" s="22"/>
      <c r="L27" s="22"/>
      <c r="AB27" s="13" t="s">
        <v>33</v>
      </c>
      <c r="AC27" s="8">
        <f t="shared" si="2"/>
        <v>8134</v>
      </c>
      <c r="AD27" s="8">
        <f t="shared" si="2"/>
        <v>8112</v>
      </c>
    </row>
    <row r="28" spans="1:30" ht="12.75" x14ac:dyDescent="0.2">
      <c r="A28" s="14"/>
      <c r="B28" s="9"/>
      <c r="C28" s="9"/>
      <c r="G28" s="21"/>
      <c r="H28" s="22"/>
      <c r="I28" s="22"/>
      <c r="J28" s="22"/>
      <c r="K28" s="22"/>
      <c r="L28" s="22"/>
      <c r="AB28" s="13" t="s">
        <v>34</v>
      </c>
      <c r="AC28" s="8">
        <f t="shared" si="2"/>
        <v>8208</v>
      </c>
      <c r="AD28" s="8">
        <f t="shared" si="2"/>
        <v>8200</v>
      </c>
    </row>
    <row r="29" spans="1:30" ht="12.75" x14ac:dyDescent="0.2">
      <c r="A29" s="14"/>
      <c r="B29" s="9"/>
      <c r="C29" s="9"/>
      <c r="G29" s="21"/>
      <c r="H29" s="22"/>
      <c r="I29" s="22"/>
      <c r="J29" s="22"/>
      <c r="K29" s="22"/>
      <c r="L29" s="22"/>
      <c r="AB29" s="13" t="s">
        <v>35</v>
      </c>
      <c r="AC29" s="8">
        <f t="shared" si="2"/>
        <v>8294</v>
      </c>
      <c r="AD29" s="8">
        <f t="shared" si="2"/>
        <v>8286</v>
      </c>
    </row>
    <row r="30" spans="1:30" ht="12.75" x14ac:dyDescent="0.2">
      <c r="A30" s="14"/>
      <c r="B30" s="9"/>
      <c r="C30" s="9"/>
      <c r="D30" s="12"/>
      <c r="G30" s="21"/>
      <c r="H30" s="22"/>
      <c r="I30" s="22"/>
      <c r="J30" s="22"/>
      <c r="K30" s="22"/>
      <c r="L30" s="22"/>
      <c r="AB30" s="13" t="s">
        <v>36</v>
      </c>
      <c r="AC30" s="8">
        <f t="shared" si="2"/>
        <v>8292</v>
      </c>
      <c r="AD30" s="8">
        <f t="shared" si="2"/>
        <v>8248</v>
      </c>
    </row>
    <row r="31" spans="1:30" ht="12.75" x14ac:dyDescent="0.2">
      <c r="A31" s="14"/>
      <c r="B31" s="15"/>
      <c r="C31" s="15"/>
      <c r="D31" s="16"/>
      <c r="G31" s="21"/>
      <c r="H31" s="22"/>
      <c r="I31" s="22"/>
      <c r="J31" s="22"/>
      <c r="K31" s="22"/>
      <c r="L31" s="22"/>
      <c r="AB31" s="13" t="s">
        <v>37</v>
      </c>
      <c r="AC31" s="8">
        <f t="shared" si="2"/>
        <v>8563</v>
      </c>
      <c r="AD31" s="8">
        <f t="shared" si="2"/>
        <v>8454</v>
      </c>
    </row>
    <row r="32" spans="1:30" ht="12.75" x14ac:dyDescent="0.2">
      <c r="A32" s="14"/>
      <c r="B32" s="17"/>
      <c r="C32" s="17"/>
      <c r="D32" s="17"/>
      <c r="E32" s="18"/>
      <c r="G32" s="21"/>
      <c r="H32" s="22"/>
      <c r="I32" s="22"/>
      <c r="J32" s="22"/>
      <c r="K32" s="22"/>
      <c r="L32" s="22"/>
      <c r="AB32" s="4"/>
      <c r="AC32" s="4"/>
      <c r="AD32" s="4"/>
    </row>
    <row r="33" spans="1:12" ht="12.75" x14ac:dyDescent="0.2">
      <c r="A33" s="14"/>
      <c r="B33" s="19"/>
      <c r="C33" s="19"/>
      <c r="D33" s="19"/>
      <c r="E33" s="18"/>
      <c r="G33" s="21"/>
      <c r="H33" s="22"/>
      <c r="I33" s="22"/>
      <c r="J33" s="22"/>
      <c r="K33" s="22"/>
      <c r="L33" s="22"/>
    </row>
    <row r="34" spans="1:12" ht="12.75" x14ac:dyDescent="0.2">
      <c r="A34" s="14"/>
      <c r="B34" s="19"/>
      <c r="C34" s="19"/>
      <c r="D34" s="19"/>
      <c r="E34" s="18"/>
      <c r="F34" s="18"/>
      <c r="G34" s="21"/>
      <c r="H34" s="22"/>
      <c r="I34" s="22"/>
      <c r="J34" s="22"/>
      <c r="K34" s="22"/>
      <c r="L34" s="22"/>
    </row>
    <row r="35" spans="1:12" ht="12.75" x14ac:dyDescent="0.2">
      <c r="B35" s="19"/>
      <c r="C35" s="19"/>
      <c r="D35" s="19"/>
      <c r="E35" s="18"/>
      <c r="F35" s="20"/>
      <c r="G35" s="21"/>
      <c r="H35" s="22"/>
      <c r="I35" s="22"/>
      <c r="J35" s="22"/>
      <c r="K35" s="22"/>
      <c r="L35" s="22"/>
    </row>
    <row r="36" spans="1:12" ht="12.75" x14ac:dyDescent="0.2">
      <c r="B36" s="19"/>
      <c r="C36" s="19"/>
      <c r="D36" s="19"/>
      <c r="E36" s="13"/>
      <c r="F36" s="18"/>
      <c r="G36" s="21"/>
      <c r="H36" s="22"/>
      <c r="I36" s="22"/>
      <c r="J36" s="22"/>
      <c r="K36" s="22"/>
      <c r="L36" s="22"/>
    </row>
    <row r="37" spans="1:12" ht="12.75" x14ac:dyDescent="0.2">
      <c r="B37" s="19"/>
      <c r="C37" s="19"/>
      <c r="D37" s="19"/>
      <c r="E37" s="13"/>
      <c r="G37" s="21"/>
      <c r="H37" s="22"/>
      <c r="I37" s="22"/>
      <c r="J37" s="22"/>
      <c r="K37" s="22"/>
      <c r="L37" s="22"/>
    </row>
    <row r="38" spans="1:12" x14ac:dyDescent="0.2">
      <c r="B38" s="19"/>
      <c r="C38" s="19"/>
      <c r="D38" s="19"/>
      <c r="E38" s="13"/>
    </row>
    <row r="39" spans="1:12" x14ac:dyDescent="0.2">
      <c r="B39" s="19"/>
      <c r="C39" s="19"/>
      <c r="D39" s="19"/>
      <c r="E39" s="13"/>
    </row>
    <row r="40" spans="1:12" x14ac:dyDescent="0.2">
      <c r="B40" s="19"/>
      <c r="C40" s="19"/>
      <c r="D40" s="19"/>
      <c r="E40" s="13"/>
    </row>
    <row r="41" spans="1:12" x14ac:dyDescent="0.2">
      <c r="B41" s="19"/>
      <c r="C41" s="19"/>
      <c r="D41" s="19"/>
      <c r="E41" s="13"/>
    </row>
    <row r="42" spans="1:12" x14ac:dyDescent="0.2">
      <c r="B42" s="19"/>
      <c r="C42" s="19"/>
      <c r="D42" s="19"/>
      <c r="E42" s="13"/>
    </row>
    <row r="43" spans="1:12" x14ac:dyDescent="0.2">
      <c r="B43" s="19"/>
      <c r="C43" s="19"/>
      <c r="D43" s="19"/>
      <c r="E43" s="13"/>
    </row>
    <row r="44" spans="1:12" x14ac:dyDescent="0.2">
      <c r="B44" s="19"/>
      <c r="C44" s="19"/>
      <c r="D44" s="19"/>
      <c r="E44" s="13"/>
    </row>
    <row r="45" spans="1:12" x14ac:dyDescent="0.2">
      <c r="B45" s="18"/>
      <c r="C45" s="18"/>
      <c r="D45" s="18"/>
      <c r="E45" s="13"/>
    </row>
    <row r="46" spans="1:12" x14ac:dyDescent="0.2">
      <c r="B46" s="18"/>
      <c r="C46" s="18"/>
      <c r="D46" s="18"/>
      <c r="E46" s="13"/>
    </row>
    <row r="47" spans="1:12" x14ac:dyDescent="0.2">
      <c r="E47" s="13"/>
    </row>
  </sheetData>
  <mergeCells count="5">
    <mergeCell ref="A1:K1"/>
    <mergeCell ref="A2:K2"/>
    <mergeCell ref="A3:A5"/>
    <mergeCell ref="B3:F3"/>
    <mergeCell ref="G3:K3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2019-04-29T03:16:28Z</cp:lastPrinted>
  <dcterms:created xsi:type="dcterms:W3CDTF">2019-02-27T06:18:18Z</dcterms:created>
  <dcterms:modified xsi:type="dcterms:W3CDTF">2019-04-29T03:18:17Z</dcterms:modified>
</cp:coreProperties>
</file>