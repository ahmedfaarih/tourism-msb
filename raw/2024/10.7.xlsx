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1B7246C8-E421-4E5D-BFA5-65F24779F514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7" sheetId="7" r:id="rId1"/>
  </sheets>
  <externalReferences>
    <externalReference r:id="rId2"/>
  </externalReferences>
  <definedNames>
    <definedName name="_xlnm.Print_Area" localSheetId="0">'10.7'!$A$1:$L$39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5" i="7" l="1"/>
  <c r="AJ35" i="7"/>
  <c r="AI36" i="7"/>
  <c r="AJ36" i="7"/>
  <c r="AI37" i="7"/>
  <c r="AJ37" i="7"/>
  <c r="AI38" i="7"/>
  <c r="AJ38" i="7"/>
  <c r="AI39" i="7"/>
  <c r="AJ39" i="7"/>
  <c r="AI40" i="7"/>
  <c r="AJ40" i="7"/>
  <c r="AI41" i="7"/>
  <c r="AJ41" i="7"/>
  <c r="AI42" i="7"/>
  <c r="AJ42" i="7"/>
  <c r="AI43" i="7"/>
  <c r="AJ43" i="7"/>
  <c r="AI44" i="7"/>
  <c r="AJ44" i="7"/>
  <c r="AI45" i="7"/>
  <c r="AJ45" i="7"/>
  <c r="AJ34" i="7"/>
  <c r="AI34" i="7"/>
  <c r="I18" i="7" l="1"/>
  <c r="I17" i="7"/>
  <c r="I16" i="7"/>
  <c r="I15" i="7"/>
  <c r="I14" i="7"/>
  <c r="I13" i="7"/>
  <c r="I12" i="7"/>
  <c r="I11" i="7"/>
  <c r="I10" i="7"/>
  <c r="I9" i="7"/>
  <c r="I8" i="7"/>
  <c r="I7" i="7"/>
  <c r="K6" i="7"/>
  <c r="J6" i="7"/>
  <c r="H6" i="7"/>
  <c r="G6" i="7"/>
  <c r="I6" i="7" l="1"/>
  <c r="D18" i="7" l="1"/>
  <c r="D17" i="7"/>
  <c r="D16" i="7"/>
  <c r="D15" i="7"/>
  <c r="D14" i="7"/>
  <c r="D13" i="7"/>
  <c r="D12" i="7"/>
  <c r="D11" i="7"/>
  <c r="D10" i="7"/>
  <c r="D9" i="7"/>
  <c r="D8" i="7"/>
  <c r="D7" i="7"/>
  <c r="F6" i="7"/>
  <c r="E6" i="7"/>
  <c r="C6" i="7"/>
  <c r="B6" i="7"/>
  <c r="D6" i="7" l="1"/>
</calcChain>
</file>

<file path=xl/sharedStrings.xml><?xml version="1.0" encoding="utf-8"?>
<sst xmlns="http://schemas.openxmlformats.org/spreadsheetml/2006/main" count="55" uniqueCount="42">
  <si>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</si>
  <si>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</si>
  <si>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</si>
  <si>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</si>
  <si>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</si>
  <si>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</si>
  <si>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</si>
  <si>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</si>
  <si>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</si>
  <si>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</si>
  <si>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</si>
  <si>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</si>
  <si>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</si>
  <si>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</si>
  <si>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</si>
  <si>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</si>
  <si>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</si>
  <si>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</si>
  <si>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</si>
  <si>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</si>
  <si>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</si>
  <si>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</si>
  <si>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</si>
  <si>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</si>
  <si>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</si>
  <si>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</si>
  <si>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</si>
  <si>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</si>
  <si>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</si>
  <si>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</si>
  <si>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</si>
  <si>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</si>
  <si>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</si>
  <si>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</si>
  <si>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</si>
  <si>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</si>
  <si>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</si>
  <si>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</si>
  <si>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</si>
  <si>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</si>
  <si>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2023 - 2022  ,urwvcnim unuverukcnunEb wgWj egudnea iaWa wgWj eg udnea egukwtudnwLua IrWfws uhwmcswmikea : 10.7 ulwvWt</t>
  </si>
  <si>
    <t>Table  10.7: BED CAPACITY AND UTILIZATION OF SAFARI VESSELS BY MONTH, 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</si>
</sst>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171" fontId="15" fillId="0" borderId="0"/>
    <xf numFmtId="1" fontId="16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6" fillId="0" borderId="12" applyNumberFormat="0"/>
    <xf numFmtId="0" fontId="1" fillId="0" borderId="0"/>
    <xf numFmtId="0" fontId="3" fillId="0" borderId="0"/>
    <xf numFmtId="0" fontId="20" fillId="0" borderId="0" applyFill="0" applyProtection="0"/>
    <xf numFmtId="1" fontId="16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3" fillId="0" borderId="0"/>
    <xf numFmtId="0" fontId="20" fillId="0" borderId="0" applyFill="0" applyProtection="0"/>
    <xf numFmtId="1" fontId="16" fillId="0" borderId="12" applyNumberFormat="0"/>
    <xf numFmtId="0" fontId="1" fillId="0" borderId="0"/>
    <xf numFmtId="0" fontId="2" fillId="0" borderId="0"/>
    <xf numFmtId="0" fontId="21" fillId="0" borderId="0"/>
    <xf numFmtId="0" fontId="22" fillId="0" borderId="0"/>
    <xf numFmtId="0" fontId="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  <xf numFmtId="0" fontId="1" fillId="0" borderId="0"/>
    <xf numFmtId="0" fontId="1" fillId="0" borderId="0"/>
    <xf numFmtId="0" fontId="23" fillId="0" borderId="0" applyBorder="0"/>
    <xf numFmtId="0" fontId="23" fillId="0" borderId="0"/>
    <xf numFmtId="0" fontId="1" fillId="0" borderId="0"/>
    <xf numFmtId="0" fontId="3" fillId="0" borderId="0"/>
    <xf numFmtId="0" fontId="3" fillId="0" borderId="0"/>
    <xf numFmtId="1" fontId="16" fillId="0" borderId="12" applyNumberFormat="0"/>
  </cellStyleXfs>
  <cellXfs count="39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164" fontId="18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75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10.11:  Bed capacity and beds in operation in safari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100" b="1" i="0" baseline="0">
                <a:effectLst/>
              </a:rPr>
              <a:t> , 2023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6787146024400732"/>
          <c:y val="4.8583143344664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'10.7'!$AI$33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'10.7'!$AH$34:$AH$45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'10.7'!$AI$34:$AI$45</c:f>
              <c:numCache>
                <c:formatCode>#,##0</c:formatCode>
                <c:ptCount val="12"/>
                <c:pt idx="0">
                  <c:v>3079</c:v>
                </c:pt>
                <c:pt idx="1">
                  <c:v>3129</c:v>
                </c:pt>
                <c:pt idx="2">
                  <c:v>3129</c:v>
                </c:pt>
                <c:pt idx="3">
                  <c:v>3103</c:v>
                </c:pt>
                <c:pt idx="4">
                  <c:v>3125</c:v>
                </c:pt>
                <c:pt idx="5">
                  <c:v>3139</c:v>
                </c:pt>
                <c:pt idx="6">
                  <c:v>3181</c:v>
                </c:pt>
                <c:pt idx="7">
                  <c:v>3181</c:v>
                </c:pt>
                <c:pt idx="8">
                  <c:v>3181</c:v>
                </c:pt>
                <c:pt idx="9">
                  <c:v>3208</c:v>
                </c:pt>
                <c:pt idx="10">
                  <c:v>2741</c:v>
                </c:pt>
                <c:pt idx="11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53E-B050-5126D987D595}"/>
            </c:ext>
          </c:extLst>
        </c:ser>
        <c:ser>
          <c:idx val="1"/>
          <c:order val="1"/>
          <c:tx>
            <c:strRef>
              <c:f>'10.7'!$AJ$33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'10.7'!$AH$34:$AH$45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'10.7'!$AJ$34:$AJ$45</c:f>
              <c:numCache>
                <c:formatCode>#,##0</c:formatCode>
                <c:ptCount val="12"/>
                <c:pt idx="0">
                  <c:v>3079</c:v>
                </c:pt>
                <c:pt idx="1">
                  <c:v>3129</c:v>
                </c:pt>
                <c:pt idx="2">
                  <c:v>3129</c:v>
                </c:pt>
                <c:pt idx="3">
                  <c:v>3103</c:v>
                </c:pt>
                <c:pt idx="4">
                  <c:v>3125</c:v>
                </c:pt>
                <c:pt idx="5">
                  <c:v>3139</c:v>
                </c:pt>
                <c:pt idx="6">
                  <c:v>3181</c:v>
                </c:pt>
                <c:pt idx="7">
                  <c:v>3181</c:v>
                </c:pt>
                <c:pt idx="8">
                  <c:v>3181</c:v>
                </c:pt>
                <c:pt idx="9">
                  <c:v>3208</c:v>
                </c:pt>
                <c:pt idx="10">
                  <c:v>2741</c:v>
                </c:pt>
                <c:pt idx="11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53E-B050-5126D98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8777216819589391"/>
          <c:y val="0.92479197419611714"/>
          <c:w val="0.42125167233498467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916556</xdr:colOff>
      <xdr:row>21</xdr:row>
      <xdr:rowOff>215659</xdr:rowOff>
    </xdr:from>
    <xdr:to>
      <xdr:col>10</xdr:col>
      <xdr:colOff>431320</xdr:colOff>
      <xdr:row>37</xdr:row>
      <xdr:rowOff>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71"/>
  <sheetViews>
    <sheetView tabSelected="1" zoomScaleNormal="100" zoomScaleSheetLayoutView="106" workbookViewId="0">
      <selection activeCell="O15" sqref="O15"/>
    </sheetView>
  </sheetViews>
  <sheetFormatPr defaultColWidth="9.140625" defaultRowHeight="12"/>
  <cols>
    <col min="1" max="1" width="13.7109375" style="3" customWidth="1"/>
    <col min="2" max="2" width="18.28515625" style="3" customWidth="1"/>
    <col min="3" max="5" width="9.140625" style="3"/>
    <col min="6" max="6" width="19" style="3" customWidth="1"/>
    <col min="7" max="7" width="18.28515625" style="3" customWidth="1"/>
    <col min="8" max="10" width="9.140625" style="3"/>
    <col min="11" max="11" width="19" style="3" customWidth="1"/>
    <col min="12" max="12" width="3.140625" style="3" customWidth="1"/>
    <col min="13" max="16384" width="9.140625" style="3"/>
  </cols>
  <sheetData>
    <row r="1" spans="1:11" ht="17.25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" customHeight="1">
      <c r="A2" s="38" t="s">
        <v>41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4" customFormat="1" ht="18.75" customHeight="1">
      <c r="A3" s="32" t="s">
        <v>2</v>
      </c>
      <c r="B3" s="35">
        <v>2022</v>
      </c>
      <c r="C3" s="36"/>
      <c r="D3" s="36"/>
      <c r="E3" s="36"/>
      <c r="F3" s="36"/>
      <c r="G3" s="35">
        <v>2023</v>
      </c>
      <c r="H3" s="36"/>
      <c r="I3" s="36"/>
      <c r="J3" s="36"/>
      <c r="K3" s="36"/>
    </row>
    <row r="4" spans="1:11" s="4" customFormat="1" ht="52.5" customHeight="1">
      <c r="A4" s="33"/>
      <c r="B4" s="5" t="s">
        <v>3</v>
      </c>
      <c r="C4" s="6" t="s">
        <v>4</v>
      </c>
      <c r="D4" s="6" t="s">
        <v>1</v>
      </c>
      <c r="E4" s="6" t="s">
        <v>5</v>
      </c>
      <c r="F4" s="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</row>
    <row r="5" spans="1:11" s="4" customFormat="1" ht="46.5" customHeight="1">
      <c r="A5" s="34"/>
      <c r="B5" s="29" t="s">
        <v>11</v>
      </c>
      <c r="C5" s="28" t="s">
        <v>7</v>
      </c>
      <c r="D5" s="28" t="s">
        <v>8</v>
      </c>
      <c r="E5" s="28" t="s">
        <v>9</v>
      </c>
      <c r="F5" s="28" t="s">
        <v>10</v>
      </c>
      <c r="G5" s="29" t="s">
        <v>11</v>
      </c>
      <c r="H5" s="28" t="s">
        <v>7</v>
      </c>
      <c r="I5" s="28" t="s">
        <v>8</v>
      </c>
      <c r="J5" s="28" t="s">
        <v>9</v>
      </c>
      <c r="K5" s="28" t="s">
        <v>10</v>
      </c>
    </row>
    <row r="6" spans="1:11" s="4" customFormat="1" ht="16.5" customHeight="1">
      <c r="A6" s="7" t="s">
        <v>12</v>
      </c>
      <c r="B6" s="8">
        <f>AVERAGE(B7:B18)</f>
        <v>2942.1666666666665</v>
      </c>
      <c r="C6" s="9">
        <f>AVERAGE(C7:C18)</f>
        <v>2937.9166666666665</v>
      </c>
      <c r="D6" s="10">
        <f>AVERAGE(D7:D18)</f>
        <v>99.85564735134642</v>
      </c>
      <c r="E6" s="10">
        <f>AVERAGE(E7:E18)</f>
        <v>24.183333333333337</v>
      </c>
      <c r="F6" s="23">
        <f>SUM(F7:F18)</f>
        <v>258548.68608797944</v>
      </c>
      <c r="G6" s="8">
        <f>AVERAGE(G7:G18)</f>
        <v>3085.5</v>
      </c>
      <c r="H6" s="9">
        <f>AVERAGE(H7:H18)</f>
        <v>3085.5</v>
      </c>
      <c r="I6" s="10">
        <f>AVERAGE(I7:I18)</f>
        <v>100</v>
      </c>
      <c r="J6" s="10">
        <f>AVERAGE(J7:J18)</f>
        <v>23.474999999999998</v>
      </c>
      <c r="K6" s="23">
        <f>SUM(K7:K18)</f>
        <v>262683.00001366669</v>
      </c>
    </row>
    <row r="7" spans="1:11" s="4" customFormat="1" ht="16.5" customHeight="1">
      <c r="A7" s="11" t="s">
        <v>13</v>
      </c>
      <c r="B7" s="12">
        <v>2923</v>
      </c>
      <c r="C7" s="2">
        <v>2912</v>
      </c>
      <c r="D7" s="13">
        <f>C7/B7*100</f>
        <v>99.623674307218607</v>
      </c>
      <c r="E7" s="13">
        <v>30.3</v>
      </c>
      <c r="F7" s="24">
        <v>27368.149068322982</v>
      </c>
      <c r="G7" s="12">
        <v>3079</v>
      </c>
      <c r="H7" s="2">
        <v>3079</v>
      </c>
      <c r="I7" s="13">
        <f>H7/G7*100</f>
        <v>100</v>
      </c>
      <c r="J7" s="13">
        <v>32.299999999999997</v>
      </c>
      <c r="K7" s="24">
        <v>30867.730715287518</v>
      </c>
    </row>
    <row r="8" spans="1:11" s="4" customFormat="1" ht="16.5" customHeight="1">
      <c r="A8" s="11" t="s">
        <v>14</v>
      </c>
      <c r="B8" s="12">
        <v>2911</v>
      </c>
      <c r="C8" s="2">
        <v>2912</v>
      </c>
      <c r="D8" s="13">
        <f t="shared" ref="D8:D18" si="0">C8/B8*100</f>
        <v>100.03435245620062</v>
      </c>
      <c r="E8" s="13">
        <v>33.200000000000003</v>
      </c>
      <c r="F8" s="24">
        <v>27080.076721883175</v>
      </c>
      <c r="G8" s="12">
        <v>3129</v>
      </c>
      <c r="H8" s="2">
        <v>3129</v>
      </c>
      <c r="I8" s="13">
        <f t="shared" ref="I8:I18" si="1">H8/G8*100</f>
        <v>100</v>
      </c>
      <c r="J8" s="13">
        <v>36.5</v>
      </c>
      <c r="K8" s="24">
        <v>32010.098630136985</v>
      </c>
    </row>
    <row r="9" spans="1:11" s="4" customFormat="1" ht="16.5" customHeight="1">
      <c r="A9" s="11" t="s">
        <v>15</v>
      </c>
      <c r="B9" s="12">
        <v>2915</v>
      </c>
      <c r="C9" s="2">
        <v>2953</v>
      </c>
      <c r="D9" s="13">
        <f t="shared" si="0"/>
        <v>101.30360205831903</v>
      </c>
      <c r="E9" s="13">
        <v>37.4</v>
      </c>
      <c r="F9" s="24">
        <v>34235.563028764802</v>
      </c>
      <c r="G9" s="12">
        <v>3129</v>
      </c>
      <c r="H9" s="2">
        <v>3129</v>
      </c>
      <c r="I9" s="13">
        <f t="shared" si="1"/>
        <v>100</v>
      </c>
      <c r="J9" s="13">
        <v>34.4</v>
      </c>
      <c r="K9" s="24">
        <v>33413.196861626246</v>
      </c>
    </row>
    <row r="10" spans="1:11" s="4" customFormat="1" ht="16.5" customHeight="1">
      <c r="A10" s="11" t="s">
        <v>16</v>
      </c>
      <c r="B10" s="12">
        <v>2958</v>
      </c>
      <c r="C10" s="2">
        <v>2954</v>
      </c>
      <c r="D10" s="13">
        <f t="shared" si="0"/>
        <v>99.864773495605135</v>
      </c>
      <c r="E10" s="13">
        <v>37.200000000000003</v>
      </c>
      <c r="F10" s="24">
        <v>32943.867924528298</v>
      </c>
      <c r="G10" s="12">
        <v>3103</v>
      </c>
      <c r="H10" s="2">
        <v>3103</v>
      </c>
      <c r="I10" s="13">
        <f t="shared" si="1"/>
        <v>100</v>
      </c>
      <c r="J10" s="13">
        <v>32.4</v>
      </c>
      <c r="K10" s="24">
        <v>30130.892443208159</v>
      </c>
    </row>
    <row r="11" spans="1:11" s="4" customFormat="1" ht="16.5" customHeight="1">
      <c r="A11" s="11" t="s">
        <v>17</v>
      </c>
      <c r="B11" s="12">
        <v>2972</v>
      </c>
      <c r="C11" s="2">
        <v>2972</v>
      </c>
      <c r="D11" s="13">
        <f t="shared" si="0"/>
        <v>100</v>
      </c>
      <c r="E11" s="13">
        <v>20.9</v>
      </c>
      <c r="F11" s="24">
        <v>19217.199124726478</v>
      </c>
      <c r="G11" s="12">
        <v>3125</v>
      </c>
      <c r="H11" s="2">
        <v>3125</v>
      </c>
      <c r="I11" s="13">
        <f t="shared" si="1"/>
        <v>100</v>
      </c>
      <c r="J11" s="13">
        <v>14.4</v>
      </c>
      <c r="K11" s="24">
        <v>13921.029337379869</v>
      </c>
    </row>
    <row r="12" spans="1:11" s="4" customFormat="1" ht="16.5" customHeight="1">
      <c r="A12" s="11" t="s">
        <v>18</v>
      </c>
      <c r="B12" s="12">
        <v>2972</v>
      </c>
      <c r="C12" s="2">
        <v>2972</v>
      </c>
      <c r="D12" s="13">
        <f t="shared" si="0"/>
        <v>100</v>
      </c>
      <c r="E12" s="13">
        <v>10.1</v>
      </c>
      <c r="F12" s="24">
        <v>8970.5571363010549</v>
      </c>
      <c r="G12" s="12">
        <v>3139</v>
      </c>
      <c r="H12" s="2">
        <v>3139</v>
      </c>
      <c r="I12" s="13">
        <f t="shared" si="1"/>
        <v>100</v>
      </c>
      <c r="J12" s="13">
        <v>9.4</v>
      </c>
      <c r="K12" s="24">
        <v>8822.8005633802823</v>
      </c>
    </row>
    <row r="13" spans="1:11" s="4" customFormat="1" ht="16.5" customHeight="1">
      <c r="A13" s="11" t="s">
        <v>19</v>
      </c>
      <c r="B13" s="12">
        <v>2924</v>
      </c>
      <c r="C13" s="2">
        <v>2917</v>
      </c>
      <c r="D13" s="13">
        <f t="shared" si="0"/>
        <v>99.760601915184679</v>
      </c>
      <c r="E13" s="13">
        <v>11.8</v>
      </c>
      <c r="F13" s="24">
        <v>10681.272013460461</v>
      </c>
      <c r="G13" s="12">
        <v>3181</v>
      </c>
      <c r="H13" s="2">
        <v>3181</v>
      </c>
      <c r="I13" s="13">
        <f t="shared" si="1"/>
        <v>100</v>
      </c>
      <c r="J13" s="13">
        <v>11.4</v>
      </c>
      <c r="K13" s="24">
        <v>11267.119241192411</v>
      </c>
    </row>
    <row r="14" spans="1:11" s="4" customFormat="1" ht="16.5" customHeight="1">
      <c r="A14" s="11" t="s">
        <v>20</v>
      </c>
      <c r="B14" s="12">
        <v>2932</v>
      </c>
      <c r="C14" s="2">
        <v>2864</v>
      </c>
      <c r="D14" s="13">
        <f t="shared" si="0"/>
        <v>97.680763983628921</v>
      </c>
      <c r="E14" s="13">
        <v>21.9</v>
      </c>
      <c r="F14" s="24">
        <v>19402.694992412748</v>
      </c>
      <c r="G14" s="12">
        <v>3181</v>
      </c>
      <c r="H14" s="2">
        <v>3181</v>
      </c>
      <c r="I14" s="13">
        <f t="shared" si="1"/>
        <v>100</v>
      </c>
      <c r="J14" s="13">
        <v>15.7</v>
      </c>
      <c r="K14" s="24">
        <v>15526.5645342312</v>
      </c>
    </row>
    <row r="15" spans="1:11" s="4" customFormat="1" ht="16.5" customHeight="1">
      <c r="A15" s="11" t="s">
        <v>21</v>
      </c>
      <c r="B15" s="12">
        <v>2955</v>
      </c>
      <c r="C15" s="2">
        <v>2955</v>
      </c>
      <c r="D15" s="13">
        <f t="shared" si="0"/>
        <v>100</v>
      </c>
      <c r="E15" s="13">
        <v>18.7</v>
      </c>
      <c r="F15" s="24">
        <v>16585.228346456694</v>
      </c>
      <c r="G15" s="12">
        <v>3181</v>
      </c>
      <c r="H15" s="2">
        <v>3181</v>
      </c>
      <c r="I15" s="13">
        <f t="shared" si="1"/>
        <v>100</v>
      </c>
      <c r="J15" s="13">
        <v>19.3</v>
      </c>
      <c r="K15" s="24">
        <v>18381.705198776759</v>
      </c>
    </row>
    <row r="16" spans="1:11" s="4" customFormat="1" ht="16.5" customHeight="1">
      <c r="A16" s="11" t="s">
        <v>22</v>
      </c>
      <c r="B16" s="12">
        <v>2963</v>
      </c>
      <c r="C16" s="2">
        <v>2963</v>
      </c>
      <c r="D16" s="13">
        <f t="shared" si="0"/>
        <v>100</v>
      </c>
      <c r="E16" s="13">
        <v>23.8</v>
      </c>
      <c r="F16" s="24">
        <v>21817.888655462186</v>
      </c>
      <c r="G16" s="12">
        <v>3208</v>
      </c>
      <c r="H16" s="2">
        <v>3208</v>
      </c>
      <c r="I16" s="13">
        <f t="shared" si="1"/>
        <v>100</v>
      </c>
      <c r="J16" s="13">
        <v>28.2</v>
      </c>
      <c r="K16" s="24">
        <v>28075.702650290885</v>
      </c>
    </row>
    <row r="17" spans="1:25" s="4" customFormat="1" ht="16.5" customHeight="1">
      <c r="A17" s="11" t="s">
        <v>23</v>
      </c>
      <c r="B17" s="12">
        <v>2963</v>
      </c>
      <c r="C17" s="2">
        <v>2963</v>
      </c>
      <c r="D17" s="13">
        <f t="shared" si="0"/>
        <v>100</v>
      </c>
      <c r="E17" s="13">
        <v>23.1</v>
      </c>
      <c r="F17" s="24">
        <v>20517.530142945929</v>
      </c>
      <c r="G17" s="12">
        <v>2741</v>
      </c>
      <c r="H17" s="2">
        <v>2741</v>
      </c>
      <c r="I17" s="13">
        <f t="shared" si="1"/>
        <v>100</v>
      </c>
      <c r="J17" s="13">
        <v>28.4</v>
      </c>
      <c r="K17" s="24">
        <v>23373.77593722755</v>
      </c>
    </row>
    <row r="18" spans="1:25" s="4" customFormat="1" ht="16.5" customHeight="1">
      <c r="A18" s="14" t="s">
        <v>24</v>
      </c>
      <c r="B18" s="15">
        <v>2918</v>
      </c>
      <c r="C18" s="16">
        <v>2918</v>
      </c>
      <c r="D18" s="17">
        <f t="shared" si="0"/>
        <v>100</v>
      </c>
      <c r="E18" s="17">
        <v>21.8</v>
      </c>
      <c r="F18" s="25">
        <v>19728.658932714618</v>
      </c>
      <c r="G18" s="15">
        <v>2830</v>
      </c>
      <c r="H18" s="16">
        <v>2830</v>
      </c>
      <c r="I18" s="17">
        <f t="shared" si="1"/>
        <v>100</v>
      </c>
      <c r="J18" s="17">
        <v>19.3</v>
      </c>
      <c r="K18" s="25">
        <v>16892.383900928791</v>
      </c>
    </row>
    <row r="19" spans="1:25" ht="19.5" customHeight="1">
      <c r="A19" s="1" t="s">
        <v>0</v>
      </c>
      <c r="B19" s="20"/>
      <c r="C19" s="26"/>
      <c r="D19" s="26"/>
      <c r="E19" s="26"/>
      <c r="F19" s="27" t="s">
        <v>25</v>
      </c>
      <c r="G19" s="20"/>
      <c r="H19" s="26"/>
      <c r="I19" s="26"/>
      <c r="J19" s="26"/>
      <c r="K19" s="27" t="s">
        <v>25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1.25" customHeight="1">
      <c r="A20" s="30" t="s">
        <v>38</v>
      </c>
      <c r="B20" s="22"/>
      <c r="G20" s="22"/>
    </row>
    <row r="21" spans="1:25" ht="11.25" customHeight="1">
      <c r="A21" s="31" t="s">
        <v>39</v>
      </c>
      <c r="B21" s="22"/>
      <c r="G21" s="22"/>
    </row>
    <row r="22" spans="1:25" ht="18.75" customHeight="1">
      <c r="A22" s="19"/>
      <c r="B22" s="22"/>
      <c r="G22" s="22"/>
    </row>
    <row r="23" spans="1:25" ht="18.75" customHeight="1">
      <c r="A23" s="19"/>
      <c r="B23" s="22"/>
      <c r="G23" s="22"/>
    </row>
    <row r="24" spans="1:25" ht="18.75" customHeight="1">
      <c r="A24" s="19"/>
      <c r="B24" s="22"/>
      <c r="G24" s="22"/>
    </row>
    <row r="25" spans="1:25" ht="18.75" customHeight="1">
      <c r="A25" s="19"/>
      <c r="B25" s="13"/>
      <c r="G25" s="13"/>
    </row>
    <row r="26" spans="1:25" ht="18.75" customHeight="1">
      <c r="A26" s="19"/>
      <c r="B26" s="13"/>
      <c r="G26" s="13"/>
    </row>
    <row r="27" spans="1:25" ht="18.75" customHeight="1">
      <c r="A27" s="19"/>
      <c r="B27" s="13"/>
      <c r="G27" s="13"/>
    </row>
    <row r="28" spans="1:25" ht="18.75" customHeight="1">
      <c r="A28" s="19"/>
      <c r="B28" s="13"/>
      <c r="G28" s="13"/>
    </row>
    <row r="29" spans="1:25" ht="18.75" customHeight="1">
      <c r="A29" s="19"/>
      <c r="B29" s="13"/>
      <c r="G29" s="13"/>
    </row>
    <row r="30" spans="1:25" ht="18.75" customHeight="1">
      <c r="A30" s="19"/>
      <c r="B30" s="13"/>
      <c r="G30" s="13"/>
    </row>
    <row r="31" spans="1:25" ht="9.75" customHeight="1">
      <c r="A31" s="19"/>
      <c r="B31" s="13"/>
      <c r="G31" s="13"/>
    </row>
    <row r="32" spans="1:25" ht="18.75" customHeight="1">
      <c r="A32" s="19"/>
      <c r="B32" s="13"/>
      <c r="G32" s="13"/>
    </row>
    <row r="33" spans="1:36" ht="18.75" customHeight="1">
      <c r="A33" s="19"/>
      <c r="B33" s="13"/>
      <c r="G33" s="13"/>
      <c r="AI33" s="18" t="s">
        <v>11</v>
      </c>
      <c r="AJ33" s="18" t="s">
        <v>26</v>
      </c>
    </row>
    <row r="34" spans="1:36" ht="12.75">
      <c r="B34" s="13"/>
      <c r="G34" s="13"/>
      <c r="AH34" s="19" t="s">
        <v>27</v>
      </c>
      <c r="AI34" s="12">
        <f>G7</f>
        <v>3079</v>
      </c>
      <c r="AJ34" s="12">
        <f>H7</f>
        <v>3079</v>
      </c>
    </row>
    <row r="35" spans="1:36" ht="12.75">
      <c r="B35" s="13"/>
      <c r="G35" s="13"/>
      <c r="AH35" s="19" t="s">
        <v>28</v>
      </c>
      <c r="AI35" s="12">
        <f t="shared" ref="AI35:AJ35" si="2">G8</f>
        <v>3129</v>
      </c>
      <c r="AJ35" s="12">
        <f t="shared" si="2"/>
        <v>3129</v>
      </c>
    </row>
    <row r="36" spans="1:36" ht="12.75">
      <c r="B36" s="13"/>
      <c r="F36" s="4"/>
      <c r="G36" s="13"/>
      <c r="K36" s="4"/>
      <c r="L36" s="4"/>
      <c r="M36" s="4"/>
      <c r="AH36" s="19" t="s">
        <v>29</v>
      </c>
      <c r="AI36" s="12">
        <f t="shared" ref="AI36:AJ36" si="3">G9</f>
        <v>3129</v>
      </c>
      <c r="AJ36" s="12">
        <f t="shared" si="3"/>
        <v>3129</v>
      </c>
    </row>
    <row r="37" spans="1:36" ht="12.75">
      <c r="AH37" s="19" t="s">
        <v>30</v>
      </c>
      <c r="AI37" s="12">
        <f t="shared" ref="AI37:AJ37" si="4">G10</f>
        <v>3103</v>
      </c>
      <c r="AJ37" s="12">
        <f t="shared" si="4"/>
        <v>3103</v>
      </c>
    </row>
    <row r="38" spans="1:36" ht="12.75">
      <c r="AH38" s="19" t="s">
        <v>17</v>
      </c>
      <c r="AI38" s="12">
        <f t="shared" ref="AI38:AJ38" si="5">G11</f>
        <v>3125</v>
      </c>
      <c r="AJ38" s="12">
        <f t="shared" si="5"/>
        <v>3125</v>
      </c>
    </row>
    <row r="39" spans="1:36" ht="12.75">
      <c r="AH39" s="19" t="s">
        <v>31</v>
      </c>
      <c r="AI39" s="12">
        <f t="shared" ref="AI39:AJ39" si="6">G12</f>
        <v>3139</v>
      </c>
      <c r="AJ39" s="12">
        <f t="shared" si="6"/>
        <v>3139</v>
      </c>
    </row>
    <row r="40" spans="1:36" ht="12.75">
      <c r="AH40" s="19" t="s">
        <v>32</v>
      </c>
      <c r="AI40" s="12">
        <f t="shared" ref="AI40:AJ40" si="7">G13</f>
        <v>3181</v>
      </c>
      <c r="AJ40" s="12">
        <f t="shared" si="7"/>
        <v>3181</v>
      </c>
    </row>
    <row r="41" spans="1:36" ht="12.75">
      <c r="AH41" s="19" t="s">
        <v>33</v>
      </c>
      <c r="AI41" s="12">
        <f t="shared" ref="AI41:AJ41" si="8">G14</f>
        <v>3181</v>
      </c>
      <c r="AJ41" s="12">
        <f t="shared" si="8"/>
        <v>3181</v>
      </c>
    </row>
    <row r="42" spans="1:36" ht="12.75">
      <c r="AH42" s="19" t="s">
        <v>34</v>
      </c>
      <c r="AI42" s="12">
        <f t="shared" ref="AI42:AJ42" si="9">G15</f>
        <v>3181</v>
      </c>
      <c r="AJ42" s="12">
        <f t="shared" si="9"/>
        <v>3181</v>
      </c>
    </row>
    <row r="43" spans="1:36" ht="12.75">
      <c r="AH43" s="19" t="s">
        <v>35</v>
      </c>
      <c r="AI43" s="12">
        <f t="shared" ref="AI43:AJ43" si="10">G16</f>
        <v>3208</v>
      </c>
      <c r="AJ43" s="12">
        <f t="shared" si="10"/>
        <v>3208</v>
      </c>
    </row>
    <row r="44" spans="1:36" ht="12.75">
      <c r="AH44" s="19" t="s">
        <v>36</v>
      </c>
      <c r="AI44" s="12">
        <f t="shared" ref="AI44:AJ44" si="11">G17</f>
        <v>2741</v>
      </c>
      <c r="AJ44" s="12">
        <f t="shared" si="11"/>
        <v>2741</v>
      </c>
    </row>
    <row r="45" spans="1:36" ht="12.75">
      <c r="AH45" s="19" t="s">
        <v>37</v>
      </c>
      <c r="AI45" s="12">
        <f t="shared" ref="AI45:AJ45" si="12">G18</f>
        <v>2830</v>
      </c>
      <c r="AJ45" s="12">
        <f t="shared" si="12"/>
        <v>2830</v>
      </c>
    </row>
    <row r="50" spans="6:13" ht="12.75">
      <c r="F50" s="4"/>
      <c r="K50" s="4"/>
      <c r="L50" s="4"/>
      <c r="M50" s="4"/>
    </row>
    <row r="70" spans="15:15">
      <c r="O70" s="21"/>
    </row>
    <row r="71" spans="15:15">
      <c r="O71" s="21"/>
    </row>
  </sheetData>
  <mergeCells count="5">
    <mergeCell ref="G3:K3"/>
    <mergeCell ref="A1:K1"/>
    <mergeCell ref="A2:K2"/>
    <mergeCell ref="B3:F3"/>
    <mergeCell ref="A3:A5"/>
  </mergeCells>
  <pageMargins left="0.7" right="0.7" top="0.75" bottom="0.75" header="0.3" footer="0.3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2024-07-09T03:28:30Z</cp:lastPrinted>
  <dcterms:created xsi:type="dcterms:W3CDTF">2019-02-27T06:18:18Z</dcterms:created>
  <dcterms:modified xsi:type="dcterms:W3CDTF">2024-07-09T03:28:38Z</dcterms:modified>
</cp:coreProperties>
</file>