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DC2FF825-111D-4FAE-89BC-1BB304E14A46}" xr6:coauthVersionLast="47" xr6:coauthVersionMax="47" xr10:uidLastSave="{00000000-0000-0000-0000-000000000000}"/>
  <bookViews>
    <workbookView xWindow="-120" yWindow="-120" windowWidth="29040" windowHeight="15720" tabRatio="713" xr2:uid="{00000000-000D-0000-FFFF-FFFF00000000}"/>
  </bookViews>
  <sheets>
    <sheet name="10.3" sheetId="3" r:id="rId1"/>
  </sheets>
  <externalReferences>
    <externalReference r:id="rId2"/>
  </externalReferences>
  <definedNames>
    <definedName name="_xlnm.Print_Area" localSheetId="0">'10.3'!$A$1:$N$59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40" i="3" l="1"/>
  <c r="AR141" i="3"/>
  <c r="AR142" i="3"/>
  <c r="AR143" i="3"/>
  <c r="AR144" i="3"/>
  <c r="AR145" i="3"/>
  <c r="AR146" i="3"/>
  <c r="AR147" i="3"/>
  <c r="AR148" i="3"/>
  <c r="AR149" i="3"/>
  <c r="AR150" i="3"/>
  <c r="AR139" i="3"/>
  <c r="AQ17" i="3"/>
  <c r="AR17" i="3"/>
  <c r="AQ18" i="3"/>
  <c r="AR18" i="3"/>
  <c r="AQ19" i="3"/>
  <c r="AR19" i="3"/>
  <c r="AQ20" i="3"/>
  <c r="AR20" i="3"/>
  <c r="AQ21" i="3"/>
  <c r="AR21" i="3"/>
  <c r="AQ22" i="3"/>
  <c r="AR22" i="3"/>
  <c r="AQ23" i="3"/>
  <c r="AR23" i="3"/>
  <c r="AQ24" i="3"/>
  <c r="AR24" i="3"/>
  <c r="AQ25" i="3"/>
  <c r="AR25" i="3"/>
  <c r="AQ26" i="3"/>
  <c r="AR26" i="3"/>
  <c r="AQ27" i="3"/>
  <c r="AR27" i="3"/>
  <c r="AR16" i="3"/>
  <c r="AQ16" i="3"/>
  <c r="L6" i="3" l="1"/>
  <c r="J18" i="3" l="1"/>
  <c r="J17" i="3"/>
  <c r="J16" i="3"/>
  <c r="J15" i="3"/>
  <c r="J14" i="3"/>
  <c r="J13" i="3"/>
  <c r="J12" i="3"/>
  <c r="J11" i="3"/>
  <c r="J10" i="3"/>
  <c r="J9" i="3"/>
  <c r="J8" i="3"/>
  <c r="J7" i="3"/>
  <c r="M6" i="3"/>
  <c r="K6" i="3"/>
  <c r="I6" i="3"/>
  <c r="H6" i="3"/>
  <c r="J6" i="3" l="1"/>
  <c r="D18" i="3" l="1"/>
  <c r="D17" i="3"/>
  <c r="D16" i="3"/>
  <c r="D15" i="3"/>
  <c r="D14" i="3"/>
  <c r="D13" i="3"/>
  <c r="D12" i="3"/>
  <c r="D11" i="3"/>
  <c r="D10" i="3"/>
  <c r="D9" i="3"/>
  <c r="D8" i="3"/>
  <c r="D7" i="3"/>
  <c r="G6" i="3"/>
  <c r="F6" i="3"/>
  <c r="E6" i="3"/>
  <c r="C6" i="3"/>
  <c r="B6" i="3"/>
  <c r="D6" i="3" l="1"/>
</calcChain>
</file>

<file path=xl/sharedStrings.xml><?xml version="1.0" encoding="utf-8"?>
<sst xmlns="http://schemas.openxmlformats.org/spreadsheetml/2006/main" count="169" uniqueCount="45">
  <si>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</si>
  <si>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</si>
  <si>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</si>
  <si>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</si>
  <si>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</si>
  <si>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</si>
  <si>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</si>
  <si>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</si>
  <si>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</si>
  <si>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</si>
  <si>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</si>
  <si>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</si>
  <si>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</si>
  <si>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</si>
  <si>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</si>
  <si>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</si>
  <si>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</si>
  <si>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</si>
  <si>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</si>
  <si>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</si>
  <si>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</si>
  <si>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</si>
  <si>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</si>
  <si>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</si>
  <si>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</si>
  <si>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</si>
  <si>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</si>
  <si>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</si>
  <si>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</si>
  <si>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</si>
  <si>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</si>
  <si>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</si>
  <si>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</si>
  <si>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</si>
  <si>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</si>
  <si>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</si>
  <si>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</si>
  <si>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</si>
  <si>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</si>
  <si>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</si>
  <si>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</si>
  <si>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</si>
  <si>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</si>
  <si>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10.3: BED CAPACITY AND UTILIZATION BY MONTH,  2022-2023</t>
  </si>
  <si>
    <t>2023 - 2022  ,urwvcnim unuverukcnunEb wgWjegudnea iaWa wgWj egudnea uhwmcswmikea : 10.3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</si>
</sst>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0" fontId="1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0" fontId="1" fillId="0" borderId="0"/>
    <xf numFmtId="0" fontId="1" fillId="0" borderId="0"/>
    <xf numFmtId="0" fontId="25" fillId="0" borderId="0" applyBorder="0"/>
    <xf numFmtId="0" fontId="25" fillId="0" borderId="0"/>
    <xf numFmtId="0" fontId="1" fillId="0" borderId="0"/>
    <xf numFmtId="0" fontId="3" fillId="0" borderId="0"/>
    <xf numFmtId="0" fontId="3" fillId="0" borderId="0"/>
    <xf numFmtId="1" fontId="17" fillId="0" borderId="12" applyNumberFormat="0"/>
  </cellStyleXfs>
  <cellXfs count="67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7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Alignment="1">
      <alignment horizontal="center"/>
    </xf>
    <xf numFmtId="3" fontId="7" fillId="0" borderId="9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75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10.5: Average duration of stay of tourists, 2021 - 2023</a:t>
            </a:r>
          </a:p>
        </c:rich>
      </c:tx>
      <c:layout>
        <c:manualLayout>
          <c:xMode val="edge"/>
          <c:yMode val="edge"/>
          <c:x val="0.1380565231051688"/>
          <c:y val="2.27667114894745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27589706887405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9999"/>
              </a:solidFill>
            </a:ln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rgbClr val="00DFDA"/>
                </a:solidFill>
              </a:ln>
            </c:spPr>
          </c:marker>
          <c:cat>
            <c:strRef>
              <c:f>'10.3'!$AQ$115:$AQ$150</c:f>
              <c:strCache>
                <c:ptCount val="36"/>
                <c:pt idx="0">
                  <c:v>Jan-21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Jan-22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Jan-23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'10.3'!$AR$115:$AR$150</c:f>
              <c:numCache>
                <c:formatCode>0.0</c:formatCode>
                <c:ptCount val="36"/>
                <c:pt idx="0">
                  <c:v>9.1999999999999993</c:v>
                </c:pt>
                <c:pt idx="1">
                  <c:v>8.8000000000000007</c:v>
                </c:pt>
                <c:pt idx="2">
                  <c:v>8.6999999999999993</c:v>
                </c:pt>
                <c:pt idx="3">
                  <c:v>9.3000000000000007</c:v>
                </c:pt>
                <c:pt idx="4">
                  <c:v>9.1</c:v>
                </c:pt>
                <c:pt idx="5">
                  <c:v>9</c:v>
                </c:pt>
                <c:pt idx="6">
                  <c:v>9.1</c:v>
                </c:pt>
                <c:pt idx="7">
                  <c:v>9.6</c:v>
                </c:pt>
                <c:pt idx="8">
                  <c:v>8.1</c:v>
                </c:pt>
                <c:pt idx="9">
                  <c:v>8.3000000000000007</c:v>
                </c:pt>
                <c:pt idx="10">
                  <c:v>8</c:v>
                </c:pt>
                <c:pt idx="11">
                  <c:v>8.4</c:v>
                </c:pt>
                <c:pt idx="12" formatCode="#,##0.0">
                  <c:v>9</c:v>
                </c:pt>
                <c:pt idx="13" formatCode="#,##0.0">
                  <c:v>8.6</c:v>
                </c:pt>
                <c:pt idx="14" formatCode="#,##0.0">
                  <c:v>8</c:v>
                </c:pt>
                <c:pt idx="15" formatCode="#,##0.0">
                  <c:v>8.1</c:v>
                </c:pt>
                <c:pt idx="16" formatCode="#,##0.0">
                  <c:v>7.2</c:v>
                </c:pt>
                <c:pt idx="17" formatCode="#,##0.0">
                  <c:v>7.7</c:v>
                </c:pt>
                <c:pt idx="18" formatCode="#,##0.0">
                  <c:v>8.3000000000000007</c:v>
                </c:pt>
                <c:pt idx="19" formatCode="#,##0.0">
                  <c:v>8.3000000000000007</c:v>
                </c:pt>
                <c:pt idx="20" formatCode="#,##0.0">
                  <c:v>7.8</c:v>
                </c:pt>
                <c:pt idx="21" formatCode="#,##0.0">
                  <c:v>7.7</c:v>
                </c:pt>
                <c:pt idx="22" formatCode="#,##0.0">
                  <c:v>7.7</c:v>
                </c:pt>
                <c:pt idx="23" formatCode="#,##0.0">
                  <c:v>7.8</c:v>
                </c:pt>
                <c:pt idx="24" formatCode="#,##0.0">
                  <c:v>8.1</c:v>
                </c:pt>
                <c:pt idx="25" formatCode="#,##0.0">
                  <c:v>8</c:v>
                </c:pt>
                <c:pt idx="26" formatCode="#,##0.0">
                  <c:v>7.8</c:v>
                </c:pt>
                <c:pt idx="27" formatCode="#,##0.0">
                  <c:v>7.6</c:v>
                </c:pt>
                <c:pt idx="28" formatCode="#,##0.0">
                  <c:v>7.2</c:v>
                </c:pt>
                <c:pt idx="29" formatCode="#,##0.0">
                  <c:v>7.1</c:v>
                </c:pt>
                <c:pt idx="30" formatCode="#,##0.0">
                  <c:v>7.7</c:v>
                </c:pt>
                <c:pt idx="31" formatCode="#,##0.0">
                  <c:v>7.5</c:v>
                </c:pt>
                <c:pt idx="32" formatCode="#,##0.0">
                  <c:v>7.2</c:v>
                </c:pt>
                <c:pt idx="33" formatCode="#,##0.0">
                  <c:v>7.5</c:v>
                </c:pt>
                <c:pt idx="34" formatCode="#,##0.0">
                  <c:v>7.6</c:v>
                </c:pt>
                <c:pt idx="35" formatCode="#,##0.0">
                  <c:v>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12"/>
          <c:min val="0"/>
        </c:scaling>
        <c:delete val="0"/>
        <c:axPos val="l"/>
        <c:majorGridlines>
          <c:spPr>
            <a:ln w="1270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2023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0957567726330672"/>
          <c:y val="5.508848433500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'10.3'!$AQ$15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'10.3'!$AP$16:$AP$27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'10.3'!$AQ$16:$AQ$27</c:f>
              <c:numCache>
                <c:formatCode>#,##0</c:formatCode>
                <c:ptCount val="12"/>
                <c:pt idx="0">
                  <c:v>61216</c:v>
                </c:pt>
                <c:pt idx="1">
                  <c:v>61350</c:v>
                </c:pt>
                <c:pt idx="2">
                  <c:v>61644</c:v>
                </c:pt>
                <c:pt idx="3">
                  <c:v>61702</c:v>
                </c:pt>
                <c:pt idx="4">
                  <c:v>61570</c:v>
                </c:pt>
                <c:pt idx="5">
                  <c:v>61698</c:v>
                </c:pt>
                <c:pt idx="6">
                  <c:v>62300</c:v>
                </c:pt>
                <c:pt idx="7">
                  <c:v>63142</c:v>
                </c:pt>
                <c:pt idx="8">
                  <c:v>63260</c:v>
                </c:pt>
                <c:pt idx="9">
                  <c:v>63885</c:v>
                </c:pt>
                <c:pt idx="10">
                  <c:v>63980</c:v>
                </c:pt>
                <c:pt idx="11">
                  <c:v>62658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'10.3'!$AR$15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'10.3'!$AP$16:$AP$27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'10.3'!$AR$16:$AR$27</c:f>
              <c:numCache>
                <c:formatCode>#,##0</c:formatCode>
                <c:ptCount val="12"/>
                <c:pt idx="0">
                  <c:v>60254</c:v>
                </c:pt>
                <c:pt idx="1">
                  <c:v>60388</c:v>
                </c:pt>
                <c:pt idx="2">
                  <c:v>60682</c:v>
                </c:pt>
                <c:pt idx="3">
                  <c:v>60728</c:v>
                </c:pt>
                <c:pt idx="4">
                  <c:v>60838</c:v>
                </c:pt>
                <c:pt idx="5">
                  <c:v>61112</c:v>
                </c:pt>
                <c:pt idx="6">
                  <c:v>61692</c:v>
                </c:pt>
                <c:pt idx="7">
                  <c:v>62266</c:v>
                </c:pt>
                <c:pt idx="8">
                  <c:v>62924</c:v>
                </c:pt>
                <c:pt idx="9">
                  <c:v>63127</c:v>
                </c:pt>
                <c:pt idx="10">
                  <c:v>63134</c:v>
                </c:pt>
                <c:pt idx="11">
                  <c:v>61812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7974435997979185E-2"/>
          <c:y val="0.21705907566410659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681490</xdr:colOff>
      <xdr:row>35</xdr:row>
      <xdr:rowOff>70454</xdr:rowOff>
    </xdr:from>
    <xdr:to>
      <xdr:col>10</xdr:col>
      <xdr:colOff>537701</xdr:colOff>
      <xdr:row>57</xdr:row>
      <xdr:rowOff>38407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646981</xdr:colOff>
      <xdr:row>21</xdr:row>
      <xdr:rowOff>112670</xdr:rowOff>
    </xdr:from>
    <xdr:to>
      <xdr:col>10</xdr:col>
      <xdr:colOff>368420</xdr:colOff>
      <xdr:row>33</xdr:row>
      <xdr:rowOff>113029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50"/>
  <sheetViews>
    <sheetView tabSelected="1" zoomScale="98" zoomScaleNormal="98" zoomScaleSheetLayoutView="87" workbookViewId="0">
      <pane xSplit="1" ySplit="5" topLeftCell="B6" activePane="bottomRight" state="frozen"/>
      <selection pane="topRight" activeCell="AG1" sqref="AG1"/>
      <selection pane="bottomLeft" activeCell="A6" sqref="A6"/>
      <selection pane="bottomRight" activeCell="P4" sqref="P4"/>
    </sheetView>
  </sheetViews>
  <sheetFormatPr defaultColWidth="9.140625" defaultRowHeight="12"/>
  <cols>
    <col min="1" max="1" width="16.85546875" style="5" customWidth="1"/>
    <col min="2" max="3" width="11.28515625" style="5" customWidth="1"/>
    <col min="4" max="4" width="14.85546875" style="5" customWidth="1"/>
    <col min="5" max="9" width="11.28515625" style="5" customWidth="1"/>
    <col min="10" max="10" width="14.85546875" style="5" customWidth="1"/>
    <col min="11" max="13" width="11.28515625" style="5" customWidth="1"/>
    <col min="14" max="14" width="4.85546875" style="5" customWidth="1"/>
    <col min="15" max="23" width="11.28515625" style="5" customWidth="1"/>
    <col min="24" max="16384" width="9.140625" style="5"/>
  </cols>
  <sheetData>
    <row r="1" spans="1:44" ht="17.25" customHeight="1">
      <c r="A1" s="66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44" ht="24" customHeight="1">
      <c r="A2" s="65" t="s">
        <v>43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44" s="6" customFormat="1" ht="18.75" customHeight="1">
      <c r="A3" s="60" t="s">
        <v>3</v>
      </c>
      <c r="B3" s="63">
        <v>2022</v>
      </c>
      <c r="C3" s="64"/>
      <c r="D3" s="64"/>
      <c r="E3" s="64"/>
      <c r="F3" s="64"/>
      <c r="G3" s="64"/>
      <c r="H3" s="63">
        <v>2023</v>
      </c>
      <c r="I3" s="64"/>
      <c r="J3" s="64"/>
      <c r="K3" s="64"/>
      <c r="L3" s="64"/>
      <c r="M3" s="64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44" s="6" customFormat="1" ht="72" customHeight="1">
      <c r="A4" s="61"/>
      <c r="B4" s="7" t="s">
        <v>4</v>
      </c>
      <c r="C4" s="8" t="s">
        <v>5</v>
      </c>
      <c r="D4" s="8" t="s">
        <v>2</v>
      </c>
      <c r="E4" s="8" t="s">
        <v>6</v>
      </c>
      <c r="F4" s="8" t="s">
        <v>7</v>
      </c>
      <c r="G4" s="8" t="s">
        <v>8</v>
      </c>
      <c r="H4" s="7" t="s">
        <v>4</v>
      </c>
      <c r="I4" s="8" t="s">
        <v>5</v>
      </c>
      <c r="J4" s="8" t="s">
        <v>2</v>
      </c>
      <c r="K4" s="8" t="s">
        <v>6</v>
      </c>
      <c r="L4" s="8" t="s">
        <v>7</v>
      </c>
      <c r="M4" s="8" t="s">
        <v>8</v>
      </c>
      <c r="N4" s="33"/>
      <c r="O4" s="33"/>
      <c r="P4" s="33"/>
      <c r="Q4" s="33"/>
      <c r="R4" s="33"/>
      <c r="S4" s="33"/>
      <c r="T4" s="33"/>
      <c r="U4" s="33"/>
      <c r="V4" s="33"/>
      <c r="W4" s="33"/>
      <c r="Y4" s="59"/>
      <c r="Z4" s="59"/>
      <c r="AA4" s="59"/>
      <c r="AB4" s="59"/>
      <c r="AC4" s="59"/>
      <c r="AD4" s="59"/>
    </row>
    <row r="5" spans="1:44" s="6" customFormat="1" ht="46.5" customHeight="1">
      <c r="A5" s="62"/>
      <c r="B5" s="43" t="s">
        <v>14</v>
      </c>
      <c r="C5" s="42" t="s">
        <v>9</v>
      </c>
      <c r="D5" s="42" t="s">
        <v>10</v>
      </c>
      <c r="E5" s="42" t="s">
        <v>11</v>
      </c>
      <c r="F5" s="42" t="s">
        <v>12</v>
      </c>
      <c r="G5" s="42" t="s">
        <v>13</v>
      </c>
      <c r="H5" s="43" t="s">
        <v>14</v>
      </c>
      <c r="I5" s="42" t="s">
        <v>9</v>
      </c>
      <c r="J5" s="42" t="s">
        <v>10</v>
      </c>
      <c r="K5" s="42" t="s">
        <v>11</v>
      </c>
      <c r="L5" s="42" t="s">
        <v>12</v>
      </c>
      <c r="M5" s="42" t="s">
        <v>13</v>
      </c>
      <c r="N5" s="34"/>
      <c r="O5" s="34"/>
      <c r="P5" s="34"/>
      <c r="Q5" s="34"/>
      <c r="R5" s="34"/>
      <c r="S5" s="34"/>
      <c r="T5" s="34"/>
      <c r="U5" s="34"/>
      <c r="V5" s="34"/>
      <c r="W5" s="34"/>
    </row>
    <row r="6" spans="1:44" s="6" customFormat="1" ht="16.5" customHeight="1">
      <c r="A6" s="9" t="s">
        <v>15</v>
      </c>
      <c r="B6" s="47">
        <f>AVERAGE(B7:B18)</f>
        <v>59132.166666666664</v>
      </c>
      <c r="C6" s="48">
        <f>AVERAGE(C7:C18)</f>
        <v>57254.75</v>
      </c>
      <c r="D6" s="49">
        <f>AVERAGE(D7:D18)</f>
        <v>96.794454718197855</v>
      </c>
      <c r="E6" s="49">
        <f>AVERAGE(E7:E18)</f>
        <v>58.9</v>
      </c>
      <c r="F6" s="2">
        <f>SUM(F7:F18)</f>
        <v>12260108.330737725</v>
      </c>
      <c r="G6" s="49">
        <f>AVERAGE(G7:G18)</f>
        <v>8.0166666666666675</v>
      </c>
      <c r="H6" s="47">
        <f>AVERAGE(H7:H18)</f>
        <v>62367.083333333336</v>
      </c>
      <c r="I6" s="48">
        <f>AVERAGE(I7:I18)</f>
        <v>61579.75</v>
      </c>
      <c r="J6" s="49">
        <f>AVERAGE(J7:J18)</f>
        <v>98.735771742785218</v>
      </c>
      <c r="K6" s="49">
        <f>AVERAGE(K7:K18)</f>
        <v>57.6</v>
      </c>
      <c r="L6" s="2">
        <f>SUM(L7:L18)</f>
        <v>12906378.346717887</v>
      </c>
      <c r="M6" s="49">
        <f>AVERAGE(M7:M18)</f>
        <v>7.583333333333333</v>
      </c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44" s="6" customFormat="1" ht="16.5" customHeight="1">
      <c r="A7" s="11" t="s">
        <v>16</v>
      </c>
      <c r="B7" s="50">
        <v>57452</v>
      </c>
      <c r="C7" s="51">
        <v>54114</v>
      </c>
      <c r="D7" s="13">
        <f t="shared" ref="D7:D18" si="0">C7/B7*100</f>
        <v>94.189932465362389</v>
      </c>
      <c r="E7" s="52">
        <v>68.599999999999994</v>
      </c>
      <c r="F7" s="3">
        <v>1150713.3636085521</v>
      </c>
      <c r="G7" s="55">
        <v>9</v>
      </c>
      <c r="H7" s="50">
        <v>61216</v>
      </c>
      <c r="I7" s="51">
        <v>60254</v>
      </c>
      <c r="J7" s="13">
        <f t="shared" ref="J7:J18" si="1">I7/H7*100</f>
        <v>98.428515420805013</v>
      </c>
      <c r="K7" s="52">
        <v>71.8</v>
      </c>
      <c r="L7" s="3">
        <v>1340468.7854954551</v>
      </c>
      <c r="M7" s="55">
        <v>8.1</v>
      </c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44" s="6" customFormat="1" ht="16.5" customHeight="1">
      <c r="A8" s="11" t="s">
        <v>17</v>
      </c>
      <c r="B8" s="50">
        <v>57608</v>
      </c>
      <c r="C8" s="51">
        <v>54172</v>
      </c>
      <c r="D8" s="13">
        <f t="shared" si="0"/>
        <v>94.035550617969719</v>
      </c>
      <c r="E8" s="52">
        <v>72.599999999999994</v>
      </c>
      <c r="F8" s="3">
        <v>1100758.9602994234</v>
      </c>
      <c r="G8" s="55">
        <v>8.6</v>
      </c>
      <c r="H8" s="50">
        <v>61350</v>
      </c>
      <c r="I8" s="51">
        <v>60388</v>
      </c>
      <c r="J8" s="13">
        <f t="shared" si="1"/>
        <v>98.431947840260804</v>
      </c>
      <c r="K8" s="52">
        <v>75.900000000000006</v>
      </c>
      <c r="L8" s="3">
        <v>1282815.6760906836</v>
      </c>
      <c r="M8" s="55">
        <v>8</v>
      </c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44" s="6" customFormat="1" ht="16.5" customHeight="1">
      <c r="A9" s="11" t="s">
        <v>18</v>
      </c>
      <c r="B9" s="50">
        <v>58044</v>
      </c>
      <c r="C9" s="51">
        <v>54661</v>
      </c>
      <c r="D9" s="13">
        <f t="shared" si="0"/>
        <v>94.17166287643856</v>
      </c>
      <c r="E9" s="52">
        <v>67.2</v>
      </c>
      <c r="F9" s="3">
        <v>1137971.7070753367</v>
      </c>
      <c r="G9" s="55">
        <v>8</v>
      </c>
      <c r="H9" s="50">
        <v>61644</v>
      </c>
      <c r="I9" s="51">
        <v>60682</v>
      </c>
      <c r="J9" s="13">
        <f t="shared" si="1"/>
        <v>98.439426383751865</v>
      </c>
      <c r="K9" s="52">
        <v>66.2</v>
      </c>
      <c r="L9" s="3">
        <v>1244688.7864587356</v>
      </c>
      <c r="M9" s="55">
        <v>7.8</v>
      </c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44" s="6" customFormat="1" ht="16.5" customHeight="1">
      <c r="A10" s="11" t="s">
        <v>19</v>
      </c>
      <c r="B10" s="50">
        <v>58319</v>
      </c>
      <c r="C10" s="51">
        <v>54846</v>
      </c>
      <c r="D10" s="13">
        <f t="shared" si="0"/>
        <v>94.044822442085774</v>
      </c>
      <c r="E10" s="52">
        <v>65.3</v>
      </c>
      <c r="F10" s="3">
        <v>1074531.6077666467</v>
      </c>
      <c r="G10" s="55">
        <v>8.1</v>
      </c>
      <c r="H10" s="50">
        <v>61702</v>
      </c>
      <c r="I10" s="51">
        <v>60728</v>
      </c>
      <c r="J10" s="13">
        <f t="shared" si="1"/>
        <v>98.421445009886227</v>
      </c>
      <c r="K10" s="52">
        <v>64</v>
      </c>
      <c r="L10" s="3">
        <v>1165424.0233137847</v>
      </c>
      <c r="M10" s="55">
        <v>7.6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44" s="6" customFormat="1" ht="16.5" customHeight="1">
      <c r="A11" s="11" t="s">
        <v>20</v>
      </c>
      <c r="B11" s="50">
        <v>58717</v>
      </c>
      <c r="C11" s="51">
        <v>57595</v>
      </c>
      <c r="D11" s="13">
        <f t="shared" si="0"/>
        <v>98.089139431510461</v>
      </c>
      <c r="E11" s="52">
        <v>48.2</v>
      </c>
      <c r="F11" s="3">
        <v>860190.70555042452</v>
      </c>
      <c r="G11" s="55">
        <v>7.2</v>
      </c>
      <c r="H11" s="50">
        <v>61570</v>
      </c>
      <c r="I11" s="51">
        <v>60838</v>
      </c>
      <c r="J11" s="13">
        <f t="shared" si="1"/>
        <v>98.811109306480432</v>
      </c>
      <c r="K11" s="52">
        <v>43.8</v>
      </c>
      <c r="L11" s="3">
        <v>825161.40556539781</v>
      </c>
      <c r="M11" s="55">
        <v>7.2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44" s="6" customFormat="1" ht="16.5" customHeight="1">
      <c r="A12" s="11" t="s">
        <v>21</v>
      </c>
      <c r="B12" s="50">
        <v>58893</v>
      </c>
      <c r="C12" s="51">
        <v>57731</v>
      </c>
      <c r="D12" s="13">
        <f t="shared" si="0"/>
        <v>98.026930195439192</v>
      </c>
      <c r="E12" s="52">
        <v>45.1</v>
      </c>
      <c r="F12" s="3">
        <v>780785.81253420108</v>
      </c>
      <c r="G12" s="55">
        <v>7.7</v>
      </c>
      <c r="H12" s="50">
        <v>61698</v>
      </c>
      <c r="I12" s="51">
        <v>61112</v>
      </c>
      <c r="J12" s="13">
        <f t="shared" si="1"/>
        <v>99.050212324548596</v>
      </c>
      <c r="K12" s="52">
        <v>43.4</v>
      </c>
      <c r="L12" s="3">
        <v>796244.65711217758</v>
      </c>
      <c r="M12" s="55">
        <v>7.1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44" s="6" customFormat="1" ht="16.5" customHeight="1">
      <c r="A13" s="11" t="s">
        <v>22</v>
      </c>
      <c r="B13" s="50">
        <v>59501</v>
      </c>
      <c r="C13" s="51">
        <v>58100</v>
      </c>
      <c r="D13" s="13">
        <f t="shared" si="0"/>
        <v>97.645417724071862</v>
      </c>
      <c r="E13" s="52">
        <v>55.2</v>
      </c>
      <c r="F13" s="3">
        <v>993898.20842588414</v>
      </c>
      <c r="G13" s="55">
        <v>8.3000000000000007</v>
      </c>
      <c r="H13" s="50">
        <v>62300</v>
      </c>
      <c r="I13" s="51">
        <v>61692</v>
      </c>
      <c r="J13" s="13">
        <f t="shared" si="1"/>
        <v>99.024077046548953</v>
      </c>
      <c r="K13" s="52">
        <v>47.6</v>
      </c>
      <c r="L13" s="3">
        <v>909846.38488471729</v>
      </c>
      <c r="M13" s="55">
        <v>7.7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44" s="6" customFormat="1" ht="16.5" customHeight="1">
      <c r="A14" s="11" t="s">
        <v>23</v>
      </c>
      <c r="B14" s="50">
        <v>59637</v>
      </c>
      <c r="C14" s="51">
        <v>58233</v>
      </c>
      <c r="D14" s="13">
        <f t="shared" si="0"/>
        <v>97.645756828814328</v>
      </c>
      <c r="E14" s="52">
        <v>58.8</v>
      </c>
      <c r="F14" s="3">
        <v>1061929.1703655317</v>
      </c>
      <c r="G14" s="55">
        <v>8.3000000000000007</v>
      </c>
      <c r="H14" s="50">
        <v>63142</v>
      </c>
      <c r="I14" s="51">
        <v>62266</v>
      </c>
      <c r="J14" s="13">
        <f t="shared" si="1"/>
        <v>98.612650850464036</v>
      </c>
      <c r="K14" s="52">
        <v>57.5</v>
      </c>
      <c r="L14" s="3">
        <v>1108996.2484387148</v>
      </c>
      <c r="M14" s="55">
        <v>7.5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44" s="6" customFormat="1" ht="16.5" customHeight="1">
      <c r="A15" s="11" t="s">
        <v>24</v>
      </c>
      <c r="B15" s="50">
        <v>59898</v>
      </c>
      <c r="C15" s="51">
        <v>58776</v>
      </c>
      <c r="D15" s="13">
        <f t="shared" si="0"/>
        <v>98.126815586497045</v>
      </c>
      <c r="E15" s="52">
        <v>45.8</v>
      </c>
      <c r="F15" s="3">
        <v>807036.36245775828</v>
      </c>
      <c r="G15" s="55">
        <v>7.8</v>
      </c>
      <c r="H15" s="50">
        <v>63260</v>
      </c>
      <c r="I15" s="51">
        <v>62924</v>
      </c>
      <c r="J15" s="13">
        <f t="shared" si="1"/>
        <v>99.4688586784698</v>
      </c>
      <c r="K15" s="52">
        <v>45.1</v>
      </c>
      <c r="L15" s="3">
        <v>852131.42220048269</v>
      </c>
      <c r="M15" s="55">
        <v>7.2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AP15" s="5"/>
      <c r="AQ15" s="18" t="s">
        <v>14</v>
      </c>
      <c r="AR15" s="18" t="s">
        <v>28</v>
      </c>
    </row>
    <row r="16" spans="1:44" s="6" customFormat="1" ht="16.5" customHeight="1">
      <c r="A16" s="11" t="s">
        <v>25</v>
      </c>
      <c r="B16" s="50">
        <v>60434</v>
      </c>
      <c r="C16" s="51">
        <v>59538</v>
      </c>
      <c r="D16" s="13">
        <f t="shared" si="0"/>
        <v>98.517390872687557</v>
      </c>
      <c r="E16" s="52">
        <v>58.4</v>
      </c>
      <c r="F16" s="3">
        <v>1078513.3785202014</v>
      </c>
      <c r="G16" s="55">
        <v>7.7</v>
      </c>
      <c r="H16" s="50">
        <v>63885</v>
      </c>
      <c r="I16" s="51">
        <v>63127</v>
      </c>
      <c r="J16" s="13">
        <f t="shared" si="1"/>
        <v>98.813492995225801</v>
      </c>
      <c r="K16" s="52">
        <v>55.7</v>
      </c>
      <c r="L16" s="3">
        <v>1090723.7213819372</v>
      </c>
      <c r="M16" s="55">
        <v>7.5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AP16" s="20" t="s">
        <v>29</v>
      </c>
      <c r="AQ16" s="12">
        <f>H7</f>
        <v>61216</v>
      </c>
      <c r="AR16" s="21">
        <f>I7</f>
        <v>60254</v>
      </c>
    </row>
    <row r="17" spans="1:44" s="6" customFormat="1" ht="16.5" customHeight="1">
      <c r="A17" s="11" t="s">
        <v>26</v>
      </c>
      <c r="B17" s="50">
        <v>60434</v>
      </c>
      <c r="C17" s="51">
        <v>59538</v>
      </c>
      <c r="D17" s="13">
        <f t="shared" si="0"/>
        <v>98.517390872687557</v>
      </c>
      <c r="E17" s="52">
        <v>59.5</v>
      </c>
      <c r="F17" s="3">
        <v>1063273.9032417238</v>
      </c>
      <c r="G17" s="55">
        <v>7.7</v>
      </c>
      <c r="H17" s="50">
        <v>63980</v>
      </c>
      <c r="I17" s="51">
        <v>63134</v>
      </c>
      <c r="J17" s="13">
        <f t="shared" si="1"/>
        <v>98.677711784932782</v>
      </c>
      <c r="K17" s="52">
        <v>60.7</v>
      </c>
      <c r="L17" s="3">
        <v>1149201.6374202347</v>
      </c>
      <c r="M17" s="55">
        <v>7.6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AP17" s="20" t="s">
        <v>30</v>
      </c>
      <c r="AQ17" s="12">
        <f t="shared" ref="AQ17:AR17" si="2">H8</f>
        <v>61350</v>
      </c>
      <c r="AR17" s="21">
        <f t="shared" si="2"/>
        <v>60388</v>
      </c>
    </row>
    <row r="18" spans="1:44" s="6" customFormat="1" ht="16.5" customHeight="1">
      <c r="A18" s="14" t="s">
        <v>27</v>
      </c>
      <c r="B18" s="58">
        <v>60649</v>
      </c>
      <c r="C18" s="54">
        <v>59753</v>
      </c>
      <c r="D18" s="15">
        <f t="shared" si="0"/>
        <v>98.522646704809645</v>
      </c>
      <c r="E18" s="46">
        <v>62.1</v>
      </c>
      <c r="F18" s="4">
        <v>1150505.1508920391</v>
      </c>
      <c r="G18" s="56">
        <v>7.8</v>
      </c>
      <c r="H18" s="53">
        <v>62658</v>
      </c>
      <c r="I18" s="54">
        <v>61812</v>
      </c>
      <c r="J18" s="15">
        <f t="shared" si="1"/>
        <v>98.649813272048263</v>
      </c>
      <c r="K18" s="46">
        <v>59.5</v>
      </c>
      <c r="L18" s="4">
        <v>1140675.598355568</v>
      </c>
      <c r="M18" s="56">
        <v>7.7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AP18" s="20" t="s">
        <v>31</v>
      </c>
      <c r="AQ18" s="12">
        <f t="shared" ref="AQ18:AR18" si="3">H9</f>
        <v>61644</v>
      </c>
      <c r="AR18" s="21">
        <f t="shared" si="3"/>
        <v>60682</v>
      </c>
    </row>
    <row r="19" spans="1:44" s="37" customFormat="1" ht="13.5" customHeight="1">
      <c r="A19" s="44" t="s">
        <v>41</v>
      </c>
      <c r="B19" s="35"/>
      <c r="C19" s="35"/>
      <c r="D19" s="36"/>
      <c r="G19" s="32"/>
      <c r="H19" s="35"/>
      <c r="I19" s="35"/>
      <c r="J19" s="36"/>
      <c r="M19" s="32" t="s">
        <v>1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AP19" s="39" t="s">
        <v>32</v>
      </c>
      <c r="AQ19" s="12">
        <f t="shared" ref="AQ19:AR19" si="4">H10</f>
        <v>61702</v>
      </c>
      <c r="AR19" s="21">
        <f t="shared" si="4"/>
        <v>60728</v>
      </c>
    </row>
    <row r="20" spans="1:44" ht="13.5" customHeight="1">
      <c r="A20" s="45" t="s">
        <v>40</v>
      </c>
      <c r="B20" s="16"/>
      <c r="C20" s="16"/>
      <c r="D20" s="17"/>
      <c r="H20" s="16"/>
      <c r="I20" s="16"/>
      <c r="J20" s="17"/>
      <c r="AP20" s="20" t="s">
        <v>20</v>
      </c>
      <c r="AQ20" s="12">
        <f t="shared" ref="AQ20:AR20" si="5">H11</f>
        <v>61570</v>
      </c>
      <c r="AR20" s="21">
        <f t="shared" si="5"/>
        <v>60838</v>
      </c>
    </row>
    <row r="21" spans="1:44" ht="13.5" customHeight="1">
      <c r="A21" s="45" t="s">
        <v>42</v>
      </c>
      <c r="B21" s="16"/>
      <c r="C21" s="16"/>
      <c r="H21" s="16"/>
      <c r="I21" s="16"/>
      <c r="AP21" s="20" t="s">
        <v>33</v>
      </c>
      <c r="AQ21" s="12">
        <f t="shared" ref="AQ21:AR21" si="6">H12</f>
        <v>61698</v>
      </c>
      <c r="AR21" s="21">
        <f t="shared" si="6"/>
        <v>61112</v>
      </c>
    </row>
    <row r="22" spans="1:44" ht="18.75" customHeight="1">
      <c r="A22" s="1" t="s">
        <v>0</v>
      </c>
      <c r="B22" s="16"/>
      <c r="C22" s="16"/>
      <c r="H22" s="16"/>
      <c r="I22" s="16"/>
      <c r="AP22" s="20" t="s">
        <v>34</v>
      </c>
      <c r="AQ22" s="12">
        <f t="shared" ref="AQ22:AR22" si="7">H13</f>
        <v>62300</v>
      </c>
      <c r="AR22" s="21">
        <f t="shared" si="7"/>
        <v>61692</v>
      </c>
    </row>
    <row r="23" spans="1:44" ht="18.75" customHeight="1">
      <c r="A23" s="20"/>
      <c r="B23" s="16"/>
      <c r="C23" s="16"/>
      <c r="H23" s="16"/>
      <c r="I23" s="16"/>
      <c r="AP23" s="20" t="s">
        <v>35</v>
      </c>
      <c r="AQ23" s="12">
        <f t="shared" ref="AQ23:AR23" si="8">H14</f>
        <v>63142</v>
      </c>
      <c r="AR23" s="21">
        <f t="shared" si="8"/>
        <v>62266</v>
      </c>
    </row>
    <row r="24" spans="1:44" ht="18.75" customHeight="1">
      <c r="A24" s="20"/>
      <c r="B24" s="16"/>
      <c r="C24" s="16"/>
      <c r="H24" s="16"/>
      <c r="I24" s="16"/>
      <c r="AP24" s="20" t="s">
        <v>36</v>
      </c>
      <c r="AQ24" s="12">
        <f t="shared" ref="AQ24:AR24" si="9">H15</f>
        <v>63260</v>
      </c>
      <c r="AR24" s="21">
        <f t="shared" si="9"/>
        <v>62924</v>
      </c>
    </row>
    <row r="25" spans="1:44" ht="18.75" customHeight="1">
      <c r="A25" s="20"/>
      <c r="B25" s="16"/>
      <c r="C25" s="16"/>
      <c r="H25" s="16"/>
      <c r="I25" s="16"/>
      <c r="AP25" s="20" t="s">
        <v>37</v>
      </c>
      <c r="AQ25" s="12">
        <f t="shared" ref="AQ25:AR25" si="10">H16</f>
        <v>63885</v>
      </c>
      <c r="AR25" s="21">
        <f t="shared" si="10"/>
        <v>63127</v>
      </c>
    </row>
    <row r="26" spans="1:44" ht="18.75" customHeight="1">
      <c r="A26" s="20"/>
      <c r="B26" s="16"/>
      <c r="C26" s="16"/>
      <c r="H26" s="16"/>
      <c r="I26" s="16"/>
      <c r="AP26" s="20" t="s">
        <v>38</v>
      </c>
      <c r="AQ26" s="12">
        <f t="shared" ref="AQ26:AR26" si="11">H17</f>
        <v>63980</v>
      </c>
      <c r="AR26" s="21">
        <f t="shared" si="11"/>
        <v>63134</v>
      </c>
    </row>
    <row r="27" spans="1:44" ht="18.75" customHeight="1">
      <c r="A27" s="20"/>
      <c r="B27" s="16"/>
      <c r="C27" s="16"/>
      <c r="H27" s="16"/>
      <c r="I27" s="16"/>
      <c r="AP27" s="20" t="s">
        <v>39</v>
      </c>
      <c r="AQ27" s="12">
        <f t="shared" ref="AQ27:AR27" si="12">H18</f>
        <v>62658</v>
      </c>
      <c r="AR27" s="21">
        <f t="shared" si="12"/>
        <v>61812</v>
      </c>
    </row>
    <row r="28" spans="1:44" ht="18.75" customHeight="1">
      <c r="A28" s="20"/>
      <c r="B28" s="16"/>
      <c r="C28" s="16"/>
      <c r="H28" s="16"/>
      <c r="I28" s="16"/>
      <c r="AP28" s="6"/>
      <c r="AQ28" s="6"/>
      <c r="AR28" s="6"/>
    </row>
    <row r="29" spans="1:44" ht="18.75" customHeight="1">
      <c r="A29" s="20"/>
      <c r="B29" s="16"/>
      <c r="C29" s="16"/>
      <c r="H29" s="16"/>
      <c r="I29" s="16"/>
    </row>
    <row r="30" spans="1:44" ht="18.75" customHeight="1">
      <c r="A30" s="20"/>
      <c r="B30" s="16"/>
      <c r="C30" s="16"/>
      <c r="D30" s="19"/>
      <c r="H30" s="16"/>
      <c r="I30" s="16"/>
      <c r="J30" s="19"/>
    </row>
    <row r="31" spans="1:44" ht="18.75" customHeight="1">
      <c r="A31" s="20"/>
      <c r="B31" s="16"/>
      <c r="C31" s="16"/>
      <c r="D31" s="19"/>
      <c r="H31" s="16"/>
      <c r="I31" s="16"/>
      <c r="J31" s="19"/>
      <c r="AQ31" s="22">
        <v>41640</v>
      </c>
      <c r="AR31" s="23">
        <v>6.4975117763257861</v>
      </c>
    </row>
    <row r="32" spans="1:44" ht="9.75" customHeight="1">
      <c r="A32" s="20"/>
      <c r="B32" s="25"/>
      <c r="C32" s="25"/>
      <c r="D32" s="25"/>
      <c r="H32" s="25"/>
      <c r="I32" s="25"/>
      <c r="J32" s="25"/>
      <c r="AQ32" s="24" t="s">
        <v>17</v>
      </c>
      <c r="AR32" s="23">
        <v>6.1376541258299087</v>
      </c>
    </row>
    <row r="33" spans="1:44" ht="18.75" customHeight="1">
      <c r="A33" s="20"/>
      <c r="B33" s="26"/>
      <c r="C33" s="26"/>
      <c r="D33" s="26"/>
      <c r="H33" s="26"/>
      <c r="I33" s="26"/>
      <c r="J33" s="26"/>
      <c r="AQ33" s="24" t="s">
        <v>18</v>
      </c>
      <c r="AR33" s="23">
        <v>6.4923550587343692</v>
      </c>
    </row>
    <row r="34" spans="1:44" ht="18.75" customHeight="1">
      <c r="A34" s="20"/>
      <c r="B34" s="26"/>
      <c r="C34" s="26"/>
      <c r="D34" s="26"/>
      <c r="H34" s="26"/>
      <c r="I34" s="26"/>
      <c r="J34" s="26"/>
      <c r="AQ34" s="24" t="s">
        <v>19</v>
      </c>
      <c r="AR34" s="23">
        <v>6.15079432906969</v>
      </c>
    </row>
    <row r="35" spans="1:44">
      <c r="B35" s="26"/>
      <c r="C35" s="26"/>
      <c r="D35" s="26"/>
      <c r="F35" s="27"/>
      <c r="G35" s="27"/>
      <c r="H35" s="26"/>
      <c r="I35" s="26"/>
      <c r="J35" s="26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AQ35" s="24" t="s">
        <v>20</v>
      </c>
      <c r="AR35" s="23">
        <v>6.1992748860848232</v>
      </c>
    </row>
    <row r="36" spans="1:44">
      <c r="B36" s="26"/>
      <c r="C36" s="26"/>
      <c r="D36" s="26"/>
      <c r="E36" s="20"/>
      <c r="H36" s="26"/>
      <c r="I36" s="26"/>
      <c r="J36" s="26"/>
      <c r="K36" s="20"/>
      <c r="AQ36" s="24" t="s">
        <v>21</v>
      </c>
      <c r="AR36" s="23">
        <v>5.5955943225311051</v>
      </c>
    </row>
    <row r="37" spans="1:44">
      <c r="B37" s="26"/>
      <c r="C37" s="26"/>
      <c r="D37" s="26"/>
      <c r="E37" s="20"/>
      <c r="H37" s="26"/>
      <c r="I37" s="26"/>
      <c r="J37" s="26"/>
      <c r="K37" s="20"/>
      <c r="AQ37" s="24" t="s">
        <v>22</v>
      </c>
      <c r="AR37" s="23">
        <v>5.7481210887205441</v>
      </c>
    </row>
    <row r="38" spans="1:44">
      <c r="B38" s="26"/>
      <c r="C38" s="26"/>
      <c r="D38" s="26"/>
      <c r="E38" s="20"/>
      <c r="H38" s="26"/>
      <c r="I38" s="26"/>
      <c r="J38" s="26"/>
      <c r="K38" s="20"/>
      <c r="AQ38" s="24" t="s">
        <v>23</v>
      </c>
      <c r="AR38" s="23">
        <v>6.0467913155318369</v>
      </c>
    </row>
    <row r="39" spans="1:44">
      <c r="B39" s="26"/>
      <c r="C39" s="26"/>
      <c r="D39" s="26"/>
      <c r="E39" s="20"/>
      <c r="H39" s="26"/>
      <c r="I39" s="26"/>
      <c r="J39" s="26"/>
      <c r="K39" s="20"/>
      <c r="AQ39" s="24" t="s">
        <v>24</v>
      </c>
      <c r="AR39" s="23">
        <v>5.681066930210064</v>
      </c>
    </row>
    <row r="40" spans="1:44">
      <c r="B40" s="26"/>
      <c r="C40" s="26"/>
      <c r="D40" s="26"/>
      <c r="E40" s="20"/>
      <c r="H40" s="26"/>
      <c r="I40" s="26"/>
      <c r="J40" s="26"/>
      <c r="K40" s="20"/>
      <c r="AQ40" s="24" t="s">
        <v>25</v>
      </c>
      <c r="AR40" s="23">
        <v>6.0237285984899982</v>
      </c>
    </row>
    <row r="41" spans="1:44">
      <c r="B41" s="26"/>
      <c r="C41" s="26"/>
      <c r="D41" s="26"/>
      <c r="E41" s="20"/>
      <c r="H41" s="26"/>
      <c r="I41" s="26"/>
      <c r="J41" s="26"/>
      <c r="K41" s="20"/>
      <c r="AQ41" s="24" t="s">
        <v>26</v>
      </c>
      <c r="AR41" s="23">
        <v>6.1560850096905702</v>
      </c>
    </row>
    <row r="42" spans="1:44">
      <c r="B42" s="26"/>
      <c r="C42" s="26"/>
      <c r="D42" s="26"/>
      <c r="E42" s="20"/>
      <c r="H42" s="26"/>
      <c r="I42" s="26"/>
      <c r="J42" s="26"/>
      <c r="K42" s="20"/>
      <c r="AQ42" s="28" t="s">
        <v>27</v>
      </c>
      <c r="AR42" s="23">
        <v>5.9540985502776067</v>
      </c>
    </row>
    <row r="43" spans="1:44">
      <c r="B43" s="26"/>
      <c r="C43" s="26"/>
      <c r="D43" s="26"/>
      <c r="E43" s="20"/>
      <c r="H43" s="26"/>
      <c r="I43" s="26"/>
      <c r="J43" s="26"/>
      <c r="K43" s="20"/>
      <c r="AQ43" s="22">
        <v>42005</v>
      </c>
      <c r="AR43" s="23">
        <v>6.4986144447992746</v>
      </c>
    </row>
    <row r="44" spans="1:44">
      <c r="B44" s="26"/>
      <c r="C44" s="26"/>
      <c r="D44" s="26"/>
      <c r="E44" s="20"/>
      <c r="H44" s="26"/>
      <c r="I44" s="26"/>
      <c r="J44" s="26"/>
      <c r="K44" s="20"/>
      <c r="AQ44" s="24" t="s">
        <v>17</v>
      </c>
      <c r="AR44" s="23">
        <v>5.6647325430819802</v>
      </c>
    </row>
    <row r="45" spans="1:44">
      <c r="E45" s="20"/>
      <c r="K45" s="20"/>
      <c r="AQ45" s="24" t="s">
        <v>18</v>
      </c>
      <c r="AR45" s="23">
        <v>5.8371209762779399</v>
      </c>
    </row>
    <row r="46" spans="1:44">
      <c r="E46" s="20"/>
      <c r="K46" s="20"/>
      <c r="AQ46" s="24" t="s">
        <v>19</v>
      </c>
      <c r="AR46" s="23">
        <v>5.8961776960544592</v>
      </c>
    </row>
    <row r="47" spans="1:44">
      <c r="E47" s="20"/>
      <c r="K47" s="20"/>
      <c r="AQ47" s="24" t="s">
        <v>20</v>
      </c>
      <c r="AR47" s="23">
        <v>5.8370252335174913</v>
      </c>
    </row>
    <row r="48" spans="1:44">
      <c r="AQ48" s="24" t="s">
        <v>21</v>
      </c>
      <c r="AR48" s="23">
        <v>5.3335091895075211</v>
      </c>
    </row>
    <row r="49" spans="43:44">
      <c r="AQ49" s="24" t="s">
        <v>22</v>
      </c>
      <c r="AR49" s="23">
        <v>5.2416292086454837</v>
      </c>
    </row>
    <row r="50" spans="43:44">
      <c r="AQ50" s="24" t="s">
        <v>23</v>
      </c>
      <c r="AR50" s="23">
        <v>5.5166509296920392</v>
      </c>
    </row>
    <row r="51" spans="43:44">
      <c r="AQ51" s="24" t="s">
        <v>24</v>
      </c>
      <c r="AR51" s="23">
        <v>5.4870643171990663</v>
      </c>
    </row>
    <row r="52" spans="43:44">
      <c r="AQ52" s="24" t="s">
        <v>25</v>
      </c>
      <c r="AR52" s="23">
        <v>5.783171244952511</v>
      </c>
    </row>
    <row r="53" spans="43:44">
      <c r="AQ53" s="24" t="s">
        <v>26</v>
      </c>
      <c r="AR53" s="23">
        <v>5.9014498215433724</v>
      </c>
    </row>
    <row r="54" spans="43:44">
      <c r="AQ54" s="28" t="s">
        <v>27</v>
      </c>
      <c r="AR54" s="23">
        <v>4.9508699844870234</v>
      </c>
    </row>
    <row r="55" spans="43:44">
      <c r="AQ55" s="22">
        <v>42370</v>
      </c>
      <c r="AR55" s="23">
        <v>6.1</v>
      </c>
    </row>
    <row r="56" spans="43:44">
      <c r="AQ56" s="20" t="s">
        <v>30</v>
      </c>
      <c r="AR56" s="23">
        <v>6.2</v>
      </c>
    </row>
    <row r="57" spans="43:44">
      <c r="AQ57" s="20" t="s">
        <v>31</v>
      </c>
      <c r="AR57" s="23">
        <v>6.5</v>
      </c>
    </row>
    <row r="58" spans="43:44">
      <c r="AQ58" s="20" t="s">
        <v>32</v>
      </c>
      <c r="AR58" s="23">
        <v>6.3</v>
      </c>
    </row>
    <row r="59" spans="43:44">
      <c r="AQ59" s="20" t="s">
        <v>20</v>
      </c>
      <c r="AR59" s="23">
        <v>6.2</v>
      </c>
    </row>
    <row r="60" spans="43:44">
      <c r="AQ60" s="20" t="s">
        <v>33</v>
      </c>
      <c r="AR60" s="23">
        <v>5.6</v>
      </c>
    </row>
    <row r="61" spans="43:44">
      <c r="AQ61" s="20" t="s">
        <v>34</v>
      </c>
      <c r="AR61" s="23">
        <v>5.7</v>
      </c>
    </row>
    <row r="62" spans="43:44">
      <c r="AQ62" s="20" t="s">
        <v>35</v>
      </c>
      <c r="AR62" s="23">
        <v>6</v>
      </c>
    </row>
    <row r="63" spans="43:44">
      <c r="AQ63" s="20" t="s">
        <v>36</v>
      </c>
      <c r="AR63" s="23">
        <v>5.8</v>
      </c>
    </row>
    <row r="64" spans="43:44">
      <c r="AQ64" s="20" t="s">
        <v>37</v>
      </c>
      <c r="AR64" s="23">
        <v>6</v>
      </c>
    </row>
    <row r="65" spans="43:44">
      <c r="AQ65" s="20" t="s">
        <v>38</v>
      </c>
      <c r="AR65" s="23">
        <v>6.2</v>
      </c>
    </row>
    <row r="66" spans="43:44">
      <c r="AQ66" s="20" t="s">
        <v>39</v>
      </c>
      <c r="AR66" s="23">
        <v>5.7</v>
      </c>
    </row>
    <row r="67" spans="43:44">
      <c r="AQ67" s="22">
        <v>42736</v>
      </c>
      <c r="AR67" s="29">
        <v>6.4</v>
      </c>
    </row>
    <row r="68" spans="43:44">
      <c r="AQ68" s="20" t="s">
        <v>30</v>
      </c>
      <c r="AR68" s="29">
        <v>6.4</v>
      </c>
    </row>
    <row r="69" spans="43:44">
      <c r="AQ69" s="20" t="s">
        <v>31</v>
      </c>
      <c r="AR69" s="29">
        <v>6.7</v>
      </c>
    </row>
    <row r="70" spans="43:44">
      <c r="AQ70" s="20" t="s">
        <v>32</v>
      </c>
      <c r="AR70" s="29">
        <v>6.2</v>
      </c>
    </row>
    <row r="71" spans="43:44">
      <c r="AQ71" s="20" t="s">
        <v>20</v>
      </c>
      <c r="AR71" s="29">
        <v>6.4</v>
      </c>
    </row>
    <row r="72" spans="43:44">
      <c r="AQ72" s="20" t="s">
        <v>33</v>
      </c>
      <c r="AR72" s="29">
        <v>5.6</v>
      </c>
    </row>
    <row r="73" spans="43:44">
      <c r="AQ73" s="20" t="s">
        <v>34</v>
      </c>
      <c r="AR73" s="29">
        <v>6.1</v>
      </c>
    </row>
    <row r="74" spans="43:44">
      <c r="AQ74" s="20" t="s">
        <v>35</v>
      </c>
      <c r="AR74" s="29">
        <v>6.2</v>
      </c>
    </row>
    <row r="75" spans="43:44">
      <c r="AQ75" s="20" t="s">
        <v>36</v>
      </c>
      <c r="AR75" s="29">
        <v>5.7</v>
      </c>
    </row>
    <row r="76" spans="43:44">
      <c r="AQ76" s="20" t="s">
        <v>37</v>
      </c>
      <c r="AR76" s="29">
        <v>6.2</v>
      </c>
    </row>
    <row r="77" spans="43:44">
      <c r="AQ77" s="20" t="s">
        <v>38</v>
      </c>
      <c r="AR77" s="29">
        <v>6.2</v>
      </c>
    </row>
    <row r="78" spans="43:44">
      <c r="AQ78" s="20" t="s">
        <v>39</v>
      </c>
      <c r="AR78" s="30">
        <v>6</v>
      </c>
    </row>
    <row r="79" spans="43:44">
      <c r="AQ79" s="22">
        <v>43101</v>
      </c>
      <c r="AR79" s="29">
        <v>6.6</v>
      </c>
    </row>
    <row r="80" spans="43:44">
      <c r="AQ80" s="20" t="s">
        <v>30</v>
      </c>
      <c r="AR80" s="29">
        <v>6.4</v>
      </c>
    </row>
    <row r="81" spans="43:44">
      <c r="AQ81" s="20" t="s">
        <v>31</v>
      </c>
      <c r="AR81" s="29">
        <v>6.5</v>
      </c>
    </row>
    <row r="82" spans="43:44">
      <c r="AQ82" s="20" t="s">
        <v>32</v>
      </c>
      <c r="AR82" s="29">
        <v>6.7</v>
      </c>
    </row>
    <row r="83" spans="43:44">
      <c r="AQ83" s="20" t="s">
        <v>20</v>
      </c>
      <c r="AR83" s="29">
        <v>6.9</v>
      </c>
    </row>
    <row r="84" spans="43:44">
      <c r="AQ84" s="20" t="s">
        <v>33</v>
      </c>
      <c r="AR84" s="29">
        <v>5.8</v>
      </c>
    </row>
    <row r="85" spans="43:44">
      <c r="AQ85" s="20" t="s">
        <v>34</v>
      </c>
      <c r="AR85" s="29">
        <v>6.1</v>
      </c>
    </row>
    <row r="86" spans="43:44">
      <c r="AQ86" s="20" t="s">
        <v>35</v>
      </c>
      <c r="AR86" s="29">
        <v>6.6</v>
      </c>
    </row>
    <row r="87" spans="43:44">
      <c r="AQ87" s="20" t="s">
        <v>36</v>
      </c>
      <c r="AR87" s="29">
        <v>6</v>
      </c>
    </row>
    <row r="88" spans="43:44">
      <c r="AQ88" s="20" t="s">
        <v>37</v>
      </c>
      <c r="AR88" s="29">
        <v>6.4</v>
      </c>
    </row>
    <row r="89" spans="43:44">
      <c r="AQ89" s="20" t="s">
        <v>38</v>
      </c>
      <c r="AR89" s="29">
        <v>6.4</v>
      </c>
    </row>
    <row r="90" spans="43:44">
      <c r="AQ90" s="20" t="s">
        <v>39</v>
      </c>
      <c r="AR90" s="29">
        <v>6</v>
      </c>
    </row>
    <row r="91" spans="43:44">
      <c r="AQ91" s="22">
        <v>43466</v>
      </c>
      <c r="AR91" s="29">
        <v>6.5882149816969973</v>
      </c>
    </row>
    <row r="92" spans="43:44">
      <c r="AQ92" s="20" t="s">
        <v>30</v>
      </c>
      <c r="AR92" s="29">
        <v>6.0482804911572279</v>
      </c>
    </row>
    <row r="93" spans="43:44">
      <c r="AQ93" s="20" t="s">
        <v>31</v>
      </c>
      <c r="AR93" s="29">
        <v>6.1824598176503818</v>
      </c>
    </row>
    <row r="94" spans="43:44">
      <c r="AQ94" s="20" t="s">
        <v>32</v>
      </c>
      <c r="AR94" s="29">
        <v>6.0189152035866762</v>
      </c>
    </row>
    <row r="95" spans="43:44">
      <c r="AQ95" s="20" t="s">
        <v>20</v>
      </c>
      <c r="AR95" s="29">
        <v>6.9693063559966193</v>
      </c>
    </row>
    <row r="96" spans="43:44">
      <c r="AQ96" s="20" t="s">
        <v>33</v>
      </c>
      <c r="AR96" s="29">
        <v>6.2974838531525128</v>
      </c>
    </row>
    <row r="97" spans="43:44">
      <c r="AQ97" s="20" t="s">
        <v>34</v>
      </c>
      <c r="AR97" s="29">
        <v>5.8777392231348422</v>
      </c>
    </row>
    <row r="98" spans="43:44">
      <c r="AQ98" s="20" t="s">
        <v>35</v>
      </c>
      <c r="AR98" s="29">
        <v>6.5354937125120207</v>
      </c>
    </row>
    <row r="99" spans="43:44">
      <c r="AQ99" s="20" t="s">
        <v>36</v>
      </c>
      <c r="AR99" s="29">
        <v>6.0265945053859173</v>
      </c>
    </row>
    <row r="100" spans="43:44">
      <c r="AQ100" s="20" t="s">
        <v>37</v>
      </c>
      <c r="AR100" s="29">
        <v>6.4568748581424016</v>
      </c>
    </row>
    <row r="101" spans="43:44">
      <c r="AQ101" s="20" t="s">
        <v>38</v>
      </c>
      <c r="AR101" s="29">
        <v>6.431551764903114</v>
      </c>
    </row>
    <row r="102" spans="43:44">
      <c r="AQ102" s="20" t="s">
        <v>39</v>
      </c>
      <c r="AR102" s="29">
        <v>6.1300122010911764</v>
      </c>
    </row>
    <row r="103" spans="43:44">
      <c r="AQ103" s="22">
        <v>43831</v>
      </c>
      <c r="AR103" s="29">
        <v>6.5920863312702735</v>
      </c>
    </row>
    <row r="104" spans="43:44">
      <c r="AQ104" s="20" t="s">
        <v>30</v>
      </c>
      <c r="AR104" s="29">
        <v>6.8118280755823273</v>
      </c>
    </row>
    <row r="105" spans="43:44">
      <c r="AQ105" s="20" t="s">
        <v>31</v>
      </c>
      <c r="AR105" s="29">
        <v>9.4298541854713473</v>
      </c>
    </row>
    <row r="106" spans="43:44">
      <c r="AQ106" s="20" t="s">
        <v>32</v>
      </c>
      <c r="AR106" s="29">
        <v>9.4285930300820073</v>
      </c>
    </row>
    <row r="107" spans="43:44">
      <c r="AQ107" s="20" t="s">
        <v>20</v>
      </c>
      <c r="AR107" s="29">
        <v>86.847657368887681</v>
      </c>
    </row>
    <row r="108" spans="43:44">
      <c r="AQ108" s="20" t="s">
        <v>33</v>
      </c>
      <c r="AR108" s="29">
        <v>42.28729376191415</v>
      </c>
    </row>
    <row r="109" spans="43:44">
      <c r="AQ109" s="20" t="s">
        <v>34</v>
      </c>
      <c r="AR109" s="29">
        <v>14.083004941514982</v>
      </c>
    </row>
    <row r="110" spans="43:44">
      <c r="AQ110" s="20" t="s">
        <v>35</v>
      </c>
      <c r="AR110" s="29">
        <v>9.3485538100132146</v>
      </c>
    </row>
    <row r="111" spans="43:44">
      <c r="AQ111" s="20" t="s">
        <v>36</v>
      </c>
      <c r="AR111" s="29">
        <v>9.4824196160074017</v>
      </c>
    </row>
    <row r="112" spans="43:44">
      <c r="AQ112" s="20" t="s">
        <v>37</v>
      </c>
      <c r="AR112" s="29">
        <v>9.6159959503923051</v>
      </c>
    </row>
    <row r="113" spans="43:44">
      <c r="AQ113" s="20" t="s">
        <v>38</v>
      </c>
      <c r="AR113" s="29">
        <v>8.877098540145985</v>
      </c>
    </row>
    <row r="114" spans="43:44">
      <c r="AQ114" s="20" t="s">
        <v>39</v>
      </c>
      <c r="AR114" s="29">
        <v>9.1055876952922024</v>
      </c>
    </row>
    <row r="115" spans="43:44">
      <c r="AQ115" s="22">
        <v>44197</v>
      </c>
      <c r="AR115" s="31">
        <v>9.1999999999999993</v>
      </c>
    </row>
    <row r="116" spans="43:44">
      <c r="AQ116" s="20" t="s">
        <v>30</v>
      </c>
      <c r="AR116" s="31">
        <v>8.8000000000000007</v>
      </c>
    </row>
    <row r="117" spans="43:44">
      <c r="AQ117" s="20" t="s">
        <v>31</v>
      </c>
      <c r="AR117" s="31">
        <v>8.6999999999999993</v>
      </c>
    </row>
    <row r="118" spans="43:44">
      <c r="AQ118" s="20" t="s">
        <v>32</v>
      </c>
      <c r="AR118" s="31">
        <v>9.3000000000000007</v>
      </c>
    </row>
    <row r="119" spans="43:44">
      <c r="AQ119" s="20" t="s">
        <v>20</v>
      </c>
      <c r="AR119" s="31">
        <v>9.1</v>
      </c>
    </row>
    <row r="120" spans="43:44">
      <c r="AQ120" s="20" t="s">
        <v>33</v>
      </c>
      <c r="AR120" s="31">
        <v>9</v>
      </c>
    </row>
    <row r="121" spans="43:44">
      <c r="AQ121" s="20" t="s">
        <v>34</v>
      </c>
      <c r="AR121" s="31">
        <v>9.1</v>
      </c>
    </row>
    <row r="122" spans="43:44">
      <c r="AQ122" s="20" t="s">
        <v>35</v>
      </c>
      <c r="AR122" s="31">
        <v>9.6</v>
      </c>
    </row>
    <row r="123" spans="43:44">
      <c r="AQ123" s="20" t="s">
        <v>36</v>
      </c>
      <c r="AR123" s="31">
        <v>8.1</v>
      </c>
    </row>
    <row r="124" spans="43:44">
      <c r="AQ124" s="20" t="s">
        <v>37</v>
      </c>
      <c r="AR124" s="31">
        <v>8.3000000000000007</v>
      </c>
    </row>
    <row r="125" spans="43:44">
      <c r="AQ125" s="20" t="s">
        <v>38</v>
      </c>
      <c r="AR125" s="31">
        <v>8</v>
      </c>
    </row>
    <row r="126" spans="43:44">
      <c r="AQ126" s="20" t="s">
        <v>39</v>
      </c>
      <c r="AR126" s="31">
        <v>8.4</v>
      </c>
    </row>
    <row r="127" spans="43:44">
      <c r="AQ127" s="22">
        <v>44562</v>
      </c>
      <c r="AR127" s="57">
        <v>9</v>
      </c>
    </row>
    <row r="128" spans="43:44">
      <c r="AQ128" s="20" t="s">
        <v>30</v>
      </c>
      <c r="AR128" s="57">
        <v>8.6</v>
      </c>
    </row>
    <row r="129" spans="43:44">
      <c r="AQ129" s="20" t="s">
        <v>31</v>
      </c>
      <c r="AR129" s="57">
        <v>8</v>
      </c>
    </row>
    <row r="130" spans="43:44">
      <c r="AQ130" s="20" t="s">
        <v>32</v>
      </c>
      <c r="AR130" s="57">
        <v>8.1</v>
      </c>
    </row>
    <row r="131" spans="43:44">
      <c r="AQ131" s="20" t="s">
        <v>20</v>
      </c>
      <c r="AR131" s="57">
        <v>7.2</v>
      </c>
    </row>
    <row r="132" spans="43:44">
      <c r="AQ132" s="20" t="s">
        <v>33</v>
      </c>
      <c r="AR132" s="57">
        <v>7.7</v>
      </c>
    </row>
    <row r="133" spans="43:44">
      <c r="AQ133" s="20" t="s">
        <v>34</v>
      </c>
      <c r="AR133" s="57">
        <v>8.3000000000000007</v>
      </c>
    </row>
    <row r="134" spans="43:44">
      <c r="AQ134" s="20" t="s">
        <v>35</v>
      </c>
      <c r="AR134" s="57">
        <v>8.3000000000000007</v>
      </c>
    </row>
    <row r="135" spans="43:44">
      <c r="AQ135" s="20" t="s">
        <v>36</v>
      </c>
      <c r="AR135" s="57">
        <v>7.8</v>
      </c>
    </row>
    <row r="136" spans="43:44">
      <c r="AQ136" s="20" t="s">
        <v>37</v>
      </c>
      <c r="AR136" s="57">
        <v>7.7</v>
      </c>
    </row>
    <row r="137" spans="43:44">
      <c r="AQ137" s="20" t="s">
        <v>38</v>
      </c>
      <c r="AR137" s="57">
        <v>7.7</v>
      </c>
    </row>
    <row r="138" spans="43:44">
      <c r="AQ138" s="20" t="s">
        <v>39</v>
      </c>
      <c r="AR138" s="57">
        <v>7.8</v>
      </c>
    </row>
    <row r="139" spans="43:44">
      <c r="AQ139" s="22">
        <v>44927</v>
      </c>
      <c r="AR139" s="57">
        <f>M7</f>
        <v>8.1</v>
      </c>
    </row>
    <row r="140" spans="43:44">
      <c r="AQ140" s="20" t="s">
        <v>30</v>
      </c>
      <c r="AR140" s="57">
        <f>M8</f>
        <v>8</v>
      </c>
    </row>
    <row r="141" spans="43:44">
      <c r="AQ141" s="20" t="s">
        <v>31</v>
      </c>
      <c r="AR141" s="57">
        <f>M9</f>
        <v>7.8</v>
      </c>
    </row>
    <row r="142" spans="43:44">
      <c r="AQ142" s="20" t="s">
        <v>32</v>
      </c>
      <c r="AR142" s="57">
        <f>M10</f>
        <v>7.6</v>
      </c>
    </row>
    <row r="143" spans="43:44">
      <c r="AQ143" s="20" t="s">
        <v>20</v>
      </c>
      <c r="AR143" s="57">
        <f>M11</f>
        <v>7.2</v>
      </c>
    </row>
    <row r="144" spans="43:44">
      <c r="AQ144" s="20" t="s">
        <v>33</v>
      </c>
      <c r="AR144" s="57">
        <f>M12</f>
        <v>7.1</v>
      </c>
    </row>
    <row r="145" spans="43:44">
      <c r="AQ145" s="20" t="s">
        <v>34</v>
      </c>
      <c r="AR145" s="57">
        <f>M13</f>
        <v>7.7</v>
      </c>
    </row>
    <row r="146" spans="43:44">
      <c r="AQ146" s="20" t="s">
        <v>35</v>
      </c>
      <c r="AR146" s="57">
        <f>M14</f>
        <v>7.5</v>
      </c>
    </row>
    <row r="147" spans="43:44">
      <c r="AQ147" s="20" t="s">
        <v>36</v>
      </c>
      <c r="AR147" s="57">
        <f>M15</f>
        <v>7.2</v>
      </c>
    </row>
    <row r="148" spans="43:44">
      <c r="AQ148" s="20" t="s">
        <v>37</v>
      </c>
      <c r="AR148" s="57">
        <f>M16</f>
        <v>7.5</v>
      </c>
    </row>
    <row r="149" spans="43:44">
      <c r="AQ149" s="20" t="s">
        <v>38</v>
      </c>
      <c r="AR149" s="57">
        <f>M17</f>
        <v>7.6</v>
      </c>
    </row>
    <row r="150" spans="43:44">
      <c r="AQ150" s="20" t="s">
        <v>39</v>
      </c>
      <c r="AR150" s="57">
        <f>M18</f>
        <v>7.7</v>
      </c>
    </row>
  </sheetData>
  <mergeCells count="6">
    <mergeCell ref="A2:M2"/>
    <mergeCell ref="A1:M1"/>
    <mergeCell ref="Y4:AD4"/>
    <mergeCell ref="A3:A5"/>
    <mergeCell ref="B3:G3"/>
    <mergeCell ref="H3:M3"/>
  </mergeCells>
  <pageMargins left="0.7" right="0.7" top="0.75" bottom="0.75" header="0.3" footer="0.3"/>
  <pageSetup paperSize="9" scale="73" orientation="landscape" r:id="rId1"/>
  <rowBreaks count="1" manualBreakCount="1">
    <brk id="34" max="13" man="1"/>
  </rowBreaks>
  <ignoredErrors>
    <ignoredError sqref="L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2024-07-09T03:18:57Z</cp:lastPrinted>
  <dcterms:created xsi:type="dcterms:W3CDTF">2019-02-27T06:18:18Z</dcterms:created>
  <dcterms:modified xsi:type="dcterms:W3CDTF">2024-07-09T03:21:16Z</dcterms:modified>
</cp:coreProperties>
</file>